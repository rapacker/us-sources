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3.xml" ContentType="application/vnd.openxmlformats-officedocument.spreadsheetml.queryTable+xml"/>
  <Override PartName="/xl/tables/table12.xml" ContentType="application/vnd.openxmlformats-officedocument.spreadsheetml.table+xml"/>
  <Override PartName="/xl/queryTables/queryTable4.xml" ContentType="application/vnd.openxmlformats-officedocument.spreadsheetml.query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C:\Users\Owner\Documents\Just Saying That\Consulting\GCO\Program Sources\HIX\"/>
    </mc:Choice>
  </mc:AlternateContent>
  <xr:revisionPtr revIDLastSave="0" documentId="13_ncr:1_{546F3D77-D43D-404A-82E5-2D161E50C501}" xr6:coauthVersionLast="47" xr6:coauthVersionMax="47" xr10:uidLastSave="{00000000-0000-0000-0000-000000000000}"/>
  <bookViews>
    <workbookView xWindow="7150" yWindow="220" windowWidth="11930" windowHeight="9570" xr2:uid="{4A1C1BD5-6F60-4D92-86B3-1458B7B86E72}"/>
  </bookViews>
  <sheets>
    <sheet name="HIX" sheetId="1" r:id="rId1"/>
    <sheet name="HIX National" sheetId="2" r:id="rId2"/>
    <sheet name="FIPS" sheetId="3" r:id="rId3"/>
  </sheets>
  <externalReferences>
    <externalReference r:id="rId4"/>
    <externalReference r:id="rId5"/>
  </externalReferences>
  <definedNames>
    <definedName name="ActiveState">[1]Calc1!$C$3</definedName>
    <definedName name="Adjusted_Gross_Income" localSheetId="1">[1]Calc1!$N$26:INDEX([1]Calc1!$N$26:$HF$26,COUNTIF([1]Calc1!$N$26:$HF$26,”&lt;&gt;”&amp;””))</definedName>
    <definedName name="Adjusted_Gross_Income">[1]Calc1!$N$26:INDEX([1]Calc1!$N$26:$HF$26,COUNTIF([1]Calc1!$N$26:$HF$26,”&lt;&gt;”&amp;””))</definedName>
    <definedName name="AgeAdult">[1]Lists!$F$10:$F$59</definedName>
    <definedName name="AgeChild">[1]Lists!$H$10:$H$33</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RateCategoryStatesEntireCol">INDEX([1]!CCA_RateCategoryStates[#Data],,CCA_RateCategoryStatesStateColNum)</definedName>
    <definedName name="CCA_RateCategoryStatesLookup">INDEX([1]!CCA_RateCategoryStates[#Data],1,CCA_RateCategoryStatesStateColNum):INDEX([1]!CCA_RateCategoryStates[#Data],COUNTA(CCA_RateCategoryStatesEntireCol),CCA_RateCategoryStatesStateColNum)</definedName>
    <definedName name="CCA_RateCategoryStatesStateColNum">MATCH(InputStateName,[1]!CCA_RateCategoryStates[#Headers],0)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CA_SettingsStatesEntireCol">INDEX([1]!CCA_SettingsStates[#Data],,CCA_SettingsStatesStateColNum)</definedName>
    <definedName name="CCA_SettingsStatesLookup">INDEX([1]!CCA_SettingsStates[#Data],1,CCA_SettingsStatesStateColNum):INDEX([1]!CCA_SettingsStates[#Data],COUNTA(CCA_SettingsStatesEntireCol),CCA_SettingsStatesStateColNum)</definedName>
    <definedName name="CCA_SettingsStatesStateColNum">MATCH(InputStateName,[1]!CCA_SettingsStates[#Headers],0)</definedName>
    <definedName name="CompareAlabamaOutputComboCashAssistance" localSheetId="1">CompareAlabamaOutputTANF + CompareAlabamaOutputSSI +CompareAlabamaOutputLIHEAP</definedName>
    <definedName name="CompareAlabamaOutputComboCashAssistance">CompareAlabamaOutputTANF + CompareAlabamaOutputSSI +CompareAlabamaOutputLIHEAP</definedName>
    <definedName name="CompareAlabamaOutputComboFoodAssistance" localSheetId="1">CompareAlabamaOutputSNAP + CompareAlabamaOutputWIC + CompareAlabamaOutputSubsidizedSchoolMeals</definedName>
    <definedName name="CompareAlabamaOutputComboFoodAssistance">CompareAlabamaOutputSNAP + CompareAlabamaOutputWIC + CompareAlabamaOutputSubsidizedSchoolMeals</definedName>
    <definedName name="CompareAlabamaOutputComboMedicalAssistance" localSheetId="1">CompareAlabamaOutputMedicaid + CompareAlabamaOutputCHIP + CompareAlabamaOutputHIXPTC</definedName>
    <definedName name="CompareAlabamaOutputComboMedicalAssistance">CompareAlabamaOutputMedicaid + CompareAlabamaOutputCHIP + CompareAlabamaOutputHIXPTC</definedName>
    <definedName name="CompareAlabamaOutputComboNetEarnings" localSheetId="1">CompareAlabamaAdjusted_Gross_Income - CompareAlabamaOutputFICA - CompareAlabamaOutputFedTax - CompareAlabamaOutputStateTax</definedName>
    <definedName name="CompareAlabamaOutputComboNetEarnings">CompareAlabamaAdjusted_Gross_Income - CompareAlabamaOutputFICA - CompareAlabamaOutputFedTax - CompareAlabamaOutputStateTax</definedName>
    <definedName name="CompareAlabamaOutputComboRefundableTaxCredits" localSheetId="1">CompareAlabamaOutputEITC + CompareAlabamaOutputACTC + CompareAlabamaOutputStateEITC + CompareAlabamaOutputCTC</definedName>
    <definedName name="CompareAlabamaOutputComboRefundableTaxCredits">CompareAlabamaOutputEITC + CompareAlabamaOutputACTC + CompareAlabamaOutputStateEITC + CompareAlabamaOutputCTC</definedName>
    <definedName name="CompareAlabamaOutputMedicaidAndCHIP" localSheetId="1">CompareAlabamaOutputMedicaid + CompareAlabamaOutputCHIP</definedName>
    <definedName name="CompareAlabamaOutputMedicaidAndCHIP">CompareAlabamaOutputMedicaid + CompareAlabamaOutputCHIP</definedName>
    <definedName name="CompareAlabamaOutputStackPlusCashAssistance" localSheetId="1">'HIX National'!CompareAlabamaOutputStackPlusRefundableTaxCredits + 'HIX National'!CompareAlabamaOutputComboCashAssistance</definedName>
    <definedName name="CompareAlabamaOutputStackPlusCashAssistance">CompareAlabamaOutputStackPlusRefundableTaxCredits + CompareAlabamaOutputComboCashAssistance</definedName>
    <definedName name="CompareAlabamaOutputStackPlusChildCareFinal" localSheetId="1">'HIX National'!CompareAlabamaOutputStackPlusMedicalAssistance + CompareAlabamaOutputChildCareSubsidyFinal</definedName>
    <definedName name="CompareAlabamaOutputStackPlusChildCareFinal">CompareAlabamaOutputStackPlusMedicalAssistance + CompareAlabamaOutputChildCareSubsidyFinal</definedName>
    <definedName name="CompareAlabamaOutputStackPlusFoodAssistance" localSheetId="1">'HIX National'!CompareAlabamaOutputStackPlusCashAssistance + 'HIX National'!CompareAlabamaOutputComboFoodAssistance</definedName>
    <definedName name="CompareAlabamaOutputStackPlusFoodAssistance">CompareAlabamaOutputStackPlusCashAssistance + CompareAlabamaOutputComboFoodAssistance</definedName>
    <definedName name="CompareAlabamaOutputStackPlusHIXPTC" localSheetId="1">'HIX National'!CompareAlabamaOutputStackPlusMedicaidAndCHIP + CompareAlabamaOutputHIXPTC</definedName>
    <definedName name="CompareAlabamaOutputStackPlusHIXPTC">CompareAlabamaOutputStackPlusMedicaidAndCHIP + CompareAlabamaOutputHIXPTC</definedName>
    <definedName name="CompareAlabamaOutputStackPlusMedicaidAndCHIP" localSheetId="1">'HIX National'!CompareAlabamaOutputStackPlusFoodAssistance + CompareAlabamaOutputMedicaid + CompareAlabamaOutputCHIP</definedName>
    <definedName name="CompareAlabamaOutputStackPlusMedicaidAndCHIP">CompareAlabamaOutputStackPlusFoodAssistance + CompareAlabamaOutputMedicaid + CompareAlabamaOutputCHIP</definedName>
    <definedName name="CompareAlabamaOutputStackPlusMedicalAssistance" localSheetId="1">'HIX National'!CompareAlabamaOutputStackPlusFoodAssistance + 'HIX National'!CompareAlabamaOutputComboMedicalAssistance</definedName>
    <definedName name="CompareAlabamaOutputStackPlusMedicalAssistance">CompareAlabamaOutputStackPlusFoodAssistance + CompareAlabamaOutputComboMedicalAssistance</definedName>
    <definedName name="CompareAlabamaOutputStackPlusRefundableTaxCredits" localSheetId="1">'HIX National'!CompareAlabamaOutputComboNetEarnings+'HIX National'!CompareAlabamaOutputComboRefundableTaxCredits</definedName>
    <definedName name="CompareAlabamaOutputStackPlusRefundableTaxCredits">CompareAlabamaOutputComboNetEarnings+CompareAlabamaOutputComboRefundableTaxCredits</definedName>
    <definedName name="CompareAlabamaOutputStackPlusSec8Entry" localSheetId="1">'HIX National'!CompareAlabamaOutputStackPlusChildCareFinal + CompareAlabamaOutputSec8Entry</definedName>
    <definedName name="CompareAlabamaOutputStackPlusSec8Entry">CompareAlabamaOutputStackPlusChildCareFinal + CompareAlabamaOutputSec8Entry</definedName>
    <definedName name="CompareAlabamaOutputStackPlusSec8Entry_Graph" localSheetId="1">'HIX National'!CompareAlabamaOutputStackPlusChildCareFinal + CompareAlabamaOutputSec8Final</definedName>
    <definedName name="CompareAlabamaOutputStackPlusSec8Entry_Graph">CompareAlabamaOutputStackPlusChildCareFinal + CompareAlabamaOutputSec8Final</definedName>
    <definedName name="CompareAlabamaOutputStackPlusSec8Extended" localSheetId="1">'HIX National'!CompareAlabamaOutputStackPlusSec8Entry + CompareAlabamaOutputSec8Extended</definedName>
    <definedName name="CompareAlabamaOutputStackPlusSec8Extended">CompareAlabamaOutputStackPlusSec8Entry + CompareAlabamaOutputSec8Extended</definedName>
    <definedName name="CompareFloridaOutputComboCashAssistance" localSheetId="1">CompareFloridaOutputTANF + CompareFloridaOutputSSI +CompareFloridaOutputLIHEAP</definedName>
    <definedName name="CompareFloridaOutputComboCashAssistance">CompareFloridaOutputTANF + CompareFloridaOutputSSI +CompareFloridaOutputLIHEAP</definedName>
    <definedName name="CompareFloridaOutputComboFoodAssistance" localSheetId="1">CompareFloridaOutputSNAP + CompareFloridaOutputWIC + CompareFloridaOutputSubsidizedSchoolMeals</definedName>
    <definedName name="CompareFloridaOutputComboFoodAssistance">CompareFloridaOutputSNAP + CompareFloridaOutputWIC + CompareFloridaOutputSubsidizedSchoolMeals</definedName>
    <definedName name="CompareFloridaOutputComboMedicalAssistance" localSheetId="1">CompareFloridaOutputMedicaid + CompareFloridaOutputCHIP + CompareFloridaOutputHIXPTC</definedName>
    <definedName name="CompareFloridaOutputComboMedicalAssistance">CompareFloridaOutputMedicaid + CompareFloridaOutputCHIP + CompareFloridaOutputHIXPTC</definedName>
    <definedName name="CompareFloridaOutputComboNetEarnings" localSheetId="1">CompareFloridaAdjusted_Gross_Income - CompareFloridaOutputFICA - CompareFloridaOutputFedTax - CompareFloridaOutputStateTax</definedName>
    <definedName name="CompareFloridaOutputComboNetEarnings">CompareFloridaAdjusted_Gross_Income - CompareFloridaOutputFICA - CompareFloridaOutputFedTax - CompareFloridaOutputStateTax</definedName>
    <definedName name="CompareFloridaOutputComboRefundableTaxCredits" localSheetId="1">CompareFloridaOutputEITC + CompareFloridaOutputACTC + CompareFloridaOutputStateEITC + CompareFloridaOutputCTC</definedName>
    <definedName name="CompareFloridaOutputComboRefundableTaxCredits">CompareFloridaOutputEITC + CompareFloridaOutputACTC + CompareFloridaOutputStateEITC + CompareFloridaOutputCTC</definedName>
    <definedName name="CompareFloridaOutputMedicaidAndCHIP" localSheetId="1">CompareFloridaOutputMedicaid + CompareFloridaOutputCHIP</definedName>
    <definedName name="CompareFloridaOutputMedicaidAndCHIP">CompareFloridaOutputMedicaid + CompareFloridaOutputCHIP</definedName>
    <definedName name="CompareFloridaOutputStackPlusCashAssistance" localSheetId="1">'HIX National'!CompareFloridaOutputStackPlusRefundableTaxCredits + 'HIX National'!CompareFloridaOutputComboCashAssistance</definedName>
    <definedName name="CompareFloridaOutputStackPlusCashAssistance">CompareFloridaOutputStackPlusRefundableTaxCredits + CompareFloridaOutputComboCashAssistance</definedName>
    <definedName name="CompareFloridaOutputStackPlusChildCareFinal" localSheetId="1">'HIX National'!CompareFloridaOutputStackPlusMedicalAssistance + CompareFloridaOutputChildCareSubsidyFinal</definedName>
    <definedName name="CompareFloridaOutputStackPlusChildCareFinal">CompareFloridaOutputStackPlusMedicalAssistance + CompareFloridaOutputChildCareSubsidyFinal</definedName>
    <definedName name="CompareFloridaOutputStackPlusFoodAssistance" localSheetId="1">'HIX National'!CompareFloridaOutputStackPlusCashAssistance + 'HIX National'!CompareFloridaOutputComboFoodAssistance</definedName>
    <definedName name="CompareFloridaOutputStackPlusFoodAssistance">CompareFloridaOutputStackPlusCashAssistance + CompareFloridaOutputComboFoodAssistance</definedName>
    <definedName name="CompareFloridaOutputStackPlusHIXPTC" localSheetId="1">'HIX National'!CompareFloridaOutputStackPlusMedicaidAndCHIP + CompareFloridaOutputHIXPTC</definedName>
    <definedName name="CompareFloridaOutputStackPlusHIXPTC">CompareFloridaOutputStackPlusMedicaidAndCHIP + CompareFloridaOutputHIXPTC</definedName>
    <definedName name="CompareFloridaOutputStackPlusMedicaidAndCHIP" localSheetId="1">'HIX National'!CompareFloridaOutputStackPlusFoodAssistance + CompareFloridaOutputMedicaid + CompareFloridaOutputCHIP</definedName>
    <definedName name="CompareFloridaOutputStackPlusMedicaidAndCHIP">CompareFloridaOutputStackPlusFoodAssistance + CompareFloridaOutputMedicaid + CompareFloridaOutputCHIP</definedName>
    <definedName name="CompareFloridaOutputStackPlusMedicalAssistance" localSheetId="1">'HIX National'!CompareFloridaOutputStackPlusFoodAssistance + 'HIX National'!CompareFloridaOutputComboMedicalAssistance</definedName>
    <definedName name="CompareFloridaOutputStackPlusMedicalAssistance">CompareFloridaOutputStackPlusFoodAssistance + CompareFloridaOutputComboMedicalAssistance</definedName>
    <definedName name="CompareFloridaOutputStackPlusRefundableTaxCredits" localSheetId="1">'HIX National'!CompareFloridaOutputComboNetEarnings+'HIX National'!CompareFloridaOutputComboRefundableTaxCredits</definedName>
    <definedName name="CompareFloridaOutputStackPlusRefundableTaxCredits">CompareFloridaOutputComboNetEarnings+CompareFloridaOutputComboRefundableTaxCredits</definedName>
    <definedName name="CompareFloridaOutputStackPlusSec8Entry" localSheetId="1">'HIX National'!CompareFloridaOutputStackPlusChildCareFinal + CompareFloridaOutputSec8Entry</definedName>
    <definedName name="CompareFloridaOutputStackPlusSec8Entry">CompareFloridaOutputStackPlusChildCareFinal + CompareFloridaOutputSec8Entry</definedName>
    <definedName name="CompareFloridaOutputStackPlusSec8Entry_Graph" localSheetId="1">'HIX National'!CompareFloridaOutputStackPlusChildCareFinal + CompareFloridaOutputSec8Final</definedName>
    <definedName name="CompareFloridaOutputStackPlusSec8Entry_Graph">CompareFloridaOutputStackPlusChildCareFinal + CompareFloridaOutputSec8Final</definedName>
    <definedName name="CompareFloridaOutputStackPlusSec8Extended" localSheetId="1">'HIX National'!CompareFloridaOutputStackPlusSec8Entry + CompareFloridaOutputSec8Extended</definedName>
    <definedName name="CompareFloridaOutputStackPlusSec8Extended">CompareFloridaOutputStackPlusSec8Entry + CompareFloridaOutputSec8Extended</definedName>
    <definedName name="CompareGeorgiaOutputComboCashAssistance" localSheetId="1">CompareGeorgiaOutputTANF + CompareGeorgiaOutputSSI +CompareGeorgiaOutputLIHEAP</definedName>
    <definedName name="CompareGeorgiaOutputComboCashAssistance">CompareGeorgiaOutputTANF + CompareGeorgiaOutputSSI +CompareGeorgiaOutputLIHEAP</definedName>
    <definedName name="CompareGeorgiaOutputComboFoodAssistance" localSheetId="1">CompareGeorgiaOutputSNAP + CompareGeorgiaOutputWIC + CompareGeorgiaOutputSubsidizedSchoolMeals</definedName>
    <definedName name="CompareGeorgiaOutputComboFoodAssistance">CompareGeorgiaOutputSNAP + CompareGeorgiaOutputWIC + CompareGeorgiaOutputSubsidizedSchoolMeals</definedName>
    <definedName name="CompareGeorgiaOutputComboMedicalAssistance" localSheetId="1">CompareGeorgiaOutputMedicaid + CompareGeorgiaOutputCHIP + CompareGeorgiaOutputHIXPTC</definedName>
    <definedName name="CompareGeorgiaOutputComboMedicalAssistance">CompareGeorgiaOutputMedicaid + CompareGeorgiaOutputCHIP + CompareGeorgiaOutputHIXPTC</definedName>
    <definedName name="CompareGeorgiaOutputComboNetEarnings" localSheetId="1">CompareGeorgiaAdjusted_Gross_Income - CompareGeorgiaOutputFICA - CompareGeorgiaOutputFedTax - CompareGeorgiaOutputStateTax</definedName>
    <definedName name="CompareGeorgiaOutputComboNetEarnings">CompareGeorgiaAdjusted_Gross_Income - CompareGeorgiaOutputFICA - CompareGeorgiaOutputFedTax - CompareGeorgiaOutputStateTax</definedName>
    <definedName name="CompareGeorgiaOutputComboRefundableTaxCredits" localSheetId="1">CompareGeorgiaOutputEITC + CompareGeorgiaOutputACTC + CompareGeorgiaOutputStateEITC + CompareGeorgiaOutputCTC</definedName>
    <definedName name="CompareGeorgiaOutputComboRefundableTaxCredits">CompareGeorgiaOutputEITC + CompareGeorgiaOutputACTC + CompareGeorgiaOutputStateEITC + CompareGeorgiaOutputCTC</definedName>
    <definedName name="CompareGeorgiaOutputMedicaidAndCHIP" localSheetId="1">CompareGeorgiaOutputMedicaid + CompareGeorgiaOutputCHIP</definedName>
    <definedName name="CompareGeorgiaOutputMedicaidAndCHIP">CompareGeorgiaOutputMedicaid + CompareGeorgiaOutputCHIP</definedName>
    <definedName name="CompareGeorgiaOutputStackPlusCashAssistance" localSheetId="1">'HIX National'!CompareGeorgiaOutputStackPlusRefundableTaxCredits + 'HIX National'!CompareGeorgiaOutputComboCashAssistance</definedName>
    <definedName name="CompareGeorgiaOutputStackPlusCashAssistance">CompareGeorgiaOutputStackPlusRefundableTaxCredits + CompareGeorgiaOutputComboCashAssistance</definedName>
    <definedName name="CompareGeorgiaOutputStackPlusChildCareFinal" localSheetId="1">'HIX National'!CompareGeorgiaOutputStackPlusMedicalAssistance + CompareGeorgiaOutputChildCareSubsidyFinal</definedName>
    <definedName name="CompareGeorgiaOutputStackPlusChildCareFinal">CompareGeorgiaOutputStackPlusMedicalAssistance + CompareGeorgiaOutputChildCareSubsidyFinal</definedName>
    <definedName name="CompareGeorgiaOutputStackPlusFoodAssistance" localSheetId="1">'HIX National'!CompareGeorgiaOutputStackPlusCashAssistance + 'HIX National'!CompareGeorgiaOutputComboFoodAssistance</definedName>
    <definedName name="CompareGeorgiaOutputStackPlusFoodAssistance">CompareGeorgiaOutputStackPlusCashAssistance + CompareGeorgiaOutputComboFoodAssistance</definedName>
    <definedName name="CompareGeorgiaOutputStackPlusHIXPTC" localSheetId="1">'HIX National'!CompareGeorgiaOutputStackPlusMedicaidAndCHIP + CompareGeorgiaOutputHIXPTC</definedName>
    <definedName name="CompareGeorgiaOutputStackPlusHIXPTC">CompareGeorgiaOutputStackPlusMedicaidAndCHIP + CompareGeorgiaOutputHIXPTC</definedName>
    <definedName name="CompareGeorgiaOutputStackPlusMedicaidAndCHIP" localSheetId="1">'HIX National'!CompareGeorgiaOutputStackPlusFoodAssistance + CompareGeorgiaOutputMedicaid + CompareGeorgiaOutputCHIP</definedName>
    <definedName name="CompareGeorgiaOutputStackPlusMedicaidAndCHIP">CompareGeorgiaOutputStackPlusFoodAssistance + CompareGeorgiaOutputMedicaid + CompareGeorgiaOutputCHIP</definedName>
    <definedName name="CompareGeorgiaOutputStackPlusMedicalAssistance" localSheetId="1">'HIX National'!CompareGeorgiaOutputStackPlusFoodAssistance + 'HIX National'!CompareGeorgiaOutputComboMedicalAssistance</definedName>
    <definedName name="CompareGeorgiaOutputStackPlusMedicalAssistance">CompareGeorgiaOutputStackPlusFoodAssistance + CompareGeorgiaOutputComboMedicalAssistance</definedName>
    <definedName name="CompareGeorgiaOutputStackPlusRefundableTaxCredits" localSheetId="1">'HIX National'!CompareGeorgiaOutputComboNetEarnings+'HIX National'!CompareGeorgiaOutputComboRefundableTaxCredits</definedName>
    <definedName name="CompareGeorgiaOutputStackPlusRefundableTaxCredits">CompareGeorgiaOutputComboNetEarnings+CompareGeorgiaOutputComboRefundableTaxCredits</definedName>
    <definedName name="CompareGeorgiaOutputStackPlusSec8Entry" localSheetId="1">'HIX National'!CompareGeorgiaOutputStackPlusChildCareFinal + CompareGeorgiaOutputSec8Entry</definedName>
    <definedName name="CompareGeorgiaOutputStackPlusSec8Entry">CompareGeorgiaOutputStackPlusChildCareFinal + CompareGeorgiaOutputSec8Entry</definedName>
    <definedName name="CompareGeorgiaOutputStackPlusSec8Entry_Graph" localSheetId="1">'HIX National'!CompareGeorgiaOutputStackPlusChildCareFinal + CompareGeorgiaOutputSec8Final</definedName>
    <definedName name="CompareGeorgiaOutputStackPlusSec8Entry_Graph">CompareGeorgiaOutputStackPlusChildCareFinal + CompareGeorgiaOutputSec8Final</definedName>
    <definedName name="CompareGeorgiaOutputStackPlusSec8Extended" localSheetId="1">'HIX National'!CompareGeorgiaOutputStackPlusSec8Entry + CompareGeorgiaOutputSec8Extended</definedName>
    <definedName name="CompareGeorgiaOutputStackPlusSec8Extended">CompareGeorgiaOutputStackPlusSec8Entry + CompareGeorgiaOutputSec8Extended</definedName>
    <definedName name="CompareLouisianaOutputComboCashAssistance" localSheetId="1">CompareLouisianaOutputTANF + CompareLouisianaOutputSSI + CompareLouisianaOutputLIHEAP</definedName>
    <definedName name="CompareLouisianaOutputComboCashAssistance">CompareLouisianaOutputTANF + CompareLouisianaOutputSSI + CompareLouisianaOutputLIHEAP</definedName>
    <definedName name="CompareLouisianaOutputComboFoodAssistance" localSheetId="1">CompareLouisianaOutputSNAP + CompareLouisianaOutputWIC + CompareLouisianaOutputSubsidizedSchoolMeals</definedName>
    <definedName name="CompareLouisianaOutputComboFoodAssistance">CompareLouisianaOutputSNAP + CompareLouisianaOutputWIC + CompareLouisianaOutputSubsidizedSchoolMeals</definedName>
    <definedName name="CompareLouisianaOutputComboMedicalAssistance" localSheetId="1">CompareLouisianaOutputMedicaid + CompareLouisianaOutputCHIP + CompareLouisianaOutputHIXPTC</definedName>
    <definedName name="CompareLouisianaOutputComboMedicalAssistance">CompareLouisianaOutputMedicaid + CompareLouisianaOutputCHIP + CompareLouisianaOutputHIXPTC</definedName>
    <definedName name="CompareLouisianaOutputComboNetEarnings" localSheetId="1">CompareLouisianaAdjusted_Gross_Income - CompareLouisianaOutputFICA - CompareLouisianaOutputFedTax - CompareLouisianaOutputStateTax</definedName>
    <definedName name="CompareLouisianaOutputComboNetEarnings">CompareLouisianaAdjusted_Gross_Income - CompareLouisianaOutputFICA - CompareLouisianaOutputFedTax - CompareLouisianaOutputStateTax</definedName>
    <definedName name="CompareLouisianaOutputComboRefundableTaxCredits" localSheetId="1">CompareLouisianaOutputEITC + CompareLouisianaOutputACTC + CompareLouisianaOutputStateEITC + CompareLouisianaOutputCTC</definedName>
    <definedName name="CompareLouisianaOutputComboRefundableTaxCredits">CompareLouisianaOutputEITC + CompareLouisianaOutputACTC + CompareLouisianaOutputStateEITC + CompareLouisianaOutputCTC</definedName>
    <definedName name="CompareLouisianaOutputMedicaidAndCHIP" localSheetId="1">CompareLouisianaOutputMedicaid + CompareLouisianaOutputCHIP</definedName>
    <definedName name="CompareLouisianaOutputMedicaidAndCHIP">CompareLouisianaOutputMedicaid + CompareLouisianaOutputCHIP</definedName>
    <definedName name="CompareLouisianaOutputStackPlusCashAssistance" localSheetId="1">'HIX National'!CompareLouisianaOutputStackPlusRefundableTaxCredits + 'HIX National'!CompareLouisianaOutputComboCashAssistance</definedName>
    <definedName name="CompareLouisianaOutputStackPlusCashAssistance">CompareLouisianaOutputStackPlusRefundableTaxCredits + CompareLouisianaOutputComboCashAssistance</definedName>
    <definedName name="CompareLouisianaOutputStackPlusChildCareFinal" localSheetId="1">'HIX National'!CompareLouisianaOutputStackPlusMedicalAssistance + CompareLouisianaOutputChildCareSubsidyFinal</definedName>
    <definedName name="CompareLouisianaOutputStackPlusChildCareFinal">CompareLouisianaOutputStackPlusMedicalAssistance + CompareLouisianaOutputChildCareSubsidyFinal</definedName>
    <definedName name="CompareLouisianaOutputStackPlusFoodAssistance" localSheetId="1">'HIX National'!CompareLouisianaOutputStackPlusCashAssistance + 'HIX National'!CompareLouisianaOutputComboFoodAssistance</definedName>
    <definedName name="CompareLouisianaOutputStackPlusFoodAssistance">CompareLouisianaOutputStackPlusCashAssistance + CompareLouisianaOutputComboFoodAssistance</definedName>
    <definedName name="CompareLouisianaOutputStackPlusHIXPTC" localSheetId="1">'HIX National'!CompareLouisianaOutputStackPlusMedicaidAndCHIP + CompareLouisianaOutputHIXPTC</definedName>
    <definedName name="CompareLouisianaOutputStackPlusHIXPTC">CompareLouisianaOutputStackPlusMedicaidAndCHIP + CompareLouisianaOutputHIXPTC</definedName>
    <definedName name="CompareLouisianaOutputStackPlusMedicaidAndCHIP" localSheetId="1">'HIX National'!CompareLouisianaOutputStackPlusFoodAssistance + CompareLouisianaOutputMedicaid + CompareLouisianaOutputCHIP</definedName>
    <definedName name="CompareLouisianaOutputStackPlusMedicaidAndCHIP">CompareLouisianaOutputStackPlusFoodAssistance + CompareLouisianaOutputMedicaid + CompareLouisianaOutputCHIP</definedName>
    <definedName name="CompareLouisianaOutputStackPlusMedicalAssistance" localSheetId="1">'HIX National'!CompareLouisianaOutputStackPlusFoodAssistance + 'HIX National'!CompareLouisianaOutputComboMedicalAssistance</definedName>
    <definedName name="CompareLouisianaOutputStackPlusMedicalAssistance">CompareLouisianaOutputStackPlusFoodAssistance + CompareLouisianaOutputComboMedicalAssistance</definedName>
    <definedName name="CompareLouisianaOutputStackPlusRefundableTaxCredits" localSheetId="1">'HIX National'!CompareLouisianaOutputComboNetEarnings+'HIX National'!CompareLouisianaOutputComboRefundableTaxCredits</definedName>
    <definedName name="CompareLouisianaOutputStackPlusRefundableTaxCredits">CompareLouisianaOutputComboNetEarnings+CompareLouisianaOutputComboRefundableTaxCredits</definedName>
    <definedName name="CompareLouisianaOutputStackPlusSec8Entry" localSheetId="1">'HIX National'!CompareLouisianaOutputStackPlusChildCareFinal + CompareLouisianaOutputSec8Entry</definedName>
    <definedName name="CompareLouisianaOutputStackPlusSec8Entry">CompareLouisianaOutputStackPlusChildCareFinal + CompareLouisianaOutputSec8Entry</definedName>
    <definedName name="CompareLouisianaOutputStackPlusSec8Entry_Graph" localSheetId="1">'HIX National'!CompareLouisianaOutputStackPlusChildCareFinal + CompareLouisianaOutputSec8Final</definedName>
    <definedName name="CompareLouisianaOutputStackPlusSec8Entry_Graph">CompareLouisianaOutputStackPlusChildCareFinal + CompareLouisianaOutputSec8Final</definedName>
    <definedName name="CompareLouisianaOutputStackPlusSec8Extended" localSheetId="1">'HIX National'!CompareLouisianaOutputStackPlusSec8Entry + CompareLouisianaOutputSec8Extended</definedName>
    <definedName name="CompareLouisianaOutputStackPlusSec8Extended">CompareLouisianaOutputStackPlusSec8Entry + CompareLouisianaOutputSec8Extended</definedName>
    <definedName name="CompareMississippiOutputComboCashAssistance" localSheetId="1">CompareMississippiOutputTANF + CompareMississippiOutputSSI + CompareMississippiOutputLIHEAP</definedName>
    <definedName name="CompareMississippiOutputComboCashAssistance">CompareMississippiOutputTANF + CompareMississippiOutputSSI + CompareMississippiOutputLIHEAP</definedName>
    <definedName name="CompareMississippiOutputComboFoodAssistance" localSheetId="1">CompareMississippiOutputSNAP + CompareMississippiOutputWIC + CompareMississippiOutputSubsidizedSchoolMeals</definedName>
    <definedName name="CompareMississippiOutputComboFoodAssistance">CompareMississippiOutputSNAP + CompareMississippiOutputWIC + CompareMississippiOutputSubsidizedSchoolMeals</definedName>
    <definedName name="CompareMississippiOutputComboMedicalAssistance" localSheetId="1">CompareMississippiOutputMedicaid + CompareMississippiOutputCHIP + CompareMississippiOutputHIXPTC</definedName>
    <definedName name="CompareMississippiOutputComboMedicalAssistance">CompareMississippiOutputMedicaid + CompareMississippiOutputCHIP + CompareMississippiOutputHIXPTC</definedName>
    <definedName name="CompareMississippiOutputComboNetEarnings" localSheetId="1">CompareMississippiAdjusted_Gross_Income - CompareMississippiOutputFICA - CompareMississippiOutputFedTax - CompareMississippiOutputStateTax</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 localSheetId="1">CompareMississippiOutputEITC + CompareMississippiOutputACTC + CompareMississippiOutputStateEITC + CompareMississippiOutputCTC</definedName>
    <definedName name="CompareMississippiOutputComboRefundableTaxCredits">CompareMississippiOutputEITC + CompareMississippiOutputACTC + CompareMississippiOutputStateEITC + CompareMississippiOutputCTC</definedName>
    <definedName name="CompareMississippiOutputMedicaidAndCHIP" localSheetId="1">CompareMississippiOutputMedicaid + CompareMississippiOutputCHIP</definedName>
    <definedName name="CompareMississippiOutputMedicaidAndCHIP">CompareMississippiOutputMedicaid + CompareMississippiOutputCHIP</definedName>
    <definedName name="CompareMississippiOutputStackPlusCashAssistance" localSheetId="1">'HIX National'!CompareMississippiOutputStackPlusRefundableTaxCredits + 'HIX National'!CompareMississippiOutputComboCashAssistance</definedName>
    <definedName name="CompareMississippiOutputStackPlusCashAssistance">CompareMississippiOutputStackPlusRefundableTaxCredits + CompareMississippiOutputComboCashAssistance</definedName>
    <definedName name="CompareMississippiOutputStackPlusChildCareFinal" localSheetId="1">'HIX National'!CompareMississippiOutputStackPlusMedicalAssistance + CompareMississippiOutputChildCareSubsidyFinal</definedName>
    <definedName name="CompareMississippiOutputStackPlusChildCareFinal">CompareMississippiOutputStackPlusMedicalAssistance + CompareMississippiOutputChildCareSubsidyFinal</definedName>
    <definedName name="CompareMississippiOutputStackPlusFoodAssistance" localSheetId="1">'HIX National'!CompareMississippiOutputStackPlusCashAssistance + 'HIX National'!CompareMississippiOutputComboFoodAssistance</definedName>
    <definedName name="CompareMississippiOutputStackPlusFoodAssistance">CompareMississippiOutputStackPlusCashAssistance + CompareMississippiOutputComboFoodAssistance</definedName>
    <definedName name="CompareMississippiOutputStackPlusHIXPTC" localSheetId="1">'HIX National'!CompareMississippiOutputStackPlusMedicaidAndCHIP + CompareMississippiOutputHIXPTC</definedName>
    <definedName name="CompareMississippiOutputStackPlusHIXPTC">CompareMississippiOutputStackPlusMedicaidAndCHIP + CompareMississippiOutputHIXPTC</definedName>
    <definedName name="CompareMississippiOutputStackPlusMedicaidAndCHIP" localSheetId="1">'HIX National'!CompareMississippiOutputStackPlusFoodAssistance + CompareMississippiOutputMedicaid + CompareMississippiOutputCHIP</definedName>
    <definedName name="CompareMississippiOutputStackPlusMedicaidAndCHIP">CompareMississippiOutputStackPlusFoodAssistance + CompareMississippiOutputMedicaid + CompareMississippiOutputCHIP</definedName>
    <definedName name="CompareMississippiOutputStackPlusMedicalAssistance" localSheetId="1">'HIX National'!CompareMississippiOutputStackPlusFoodAssistance + 'HIX National'!CompareMississippiOutputComboMedicalAssistance</definedName>
    <definedName name="CompareMississippiOutputStackPlusMedicalAssistance">CompareMississippiOutputStackPlusFoodAssistance + CompareMississippiOutputComboMedicalAssistance</definedName>
    <definedName name="CompareMississippiOutputStackPlusRefundableTaxCredits" localSheetId="1">'HIX National'!CompareMississippiOutputComboNetEarnings+'HIX National'!CompareMississippiOutputComboRefundableTaxCredits</definedName>
    <definedName name="CompareMississippiOutputStackPlusRefundableTaxCredits">CompareMississippiOutputComboNetEarnings+CompareMississippiOutputComboRefundableTaxCredits</definedName>
    <definedName name="CompareMississippiOutputStackPlusSec8Entry" localSheetId="1">'HIX National'!CompareMississippiOutputStackPlusChildCareFinal + CompareMississippiOutputSec8Entry</definedName>
    <definedName name="CompareMississippiOutputStackPlusSec8Entry">CompareMississippiOutputStackPlusChildCareFinal + CompareMississippiOutputSec8Entry</definedName>
    <definedName name="CompareMississippiOutputStackPlusSec8Entry_Graph" localSheetId="1">'HIX National'!CompareMississippiOutputStackPlusChildCareFinal + CompareMississippiOutputSec8Final</definedName>
    <definedName name="CompareMississippiOutputStackPlusSec8Entry_Graph">CompareMississippiOutputStackPlusChildCareFinal + CompareMississippiOutputSec8Final</definedName>
    <definedName name="CompareMississippiOutputStackPlusSec8Extended" localSheetId="1">'HIX National'!CompareMississippiOutputStackPlusSec8Entry + CompareMississippiOutputSec8Extended</definedName>
    <definedName name="CompareMississippiOutputStackPlusSec8Extended">CompareMississippiOutputStackPlusSec8Entry + CompareMississippiOutputSec8Extended</definedName>
    <definedName name="CompareNorthCarolinaOutputComboCashAssistance" localSheetId="1">CompareNorthCarolinaOutputTANF + CompareNorthCarolinaOutputSSI +CompareNorthCarolinaOutputLIHEAP</definedName>
    <definedName name="CompareNorthCarolinaOutputComboCashAssistance">CompareNorthCarolinaOutputTANF + CompareNorthCarolinaOutputSSI +CompareNorthCarolinaOutputLIHEAP</definedName>
    <definedName name="CompareNorthCarolinaOutputComboFoodAssistance" localSheetId="1">CompareNorthCarolinaOutputSNAP + CompareNorthCarolinaOutputWIC + CompareNorthCarolinaOutputSubsidizedSchoolMeals</definedName>
    <definedName name="CompareNorthCarolinaOutputComboFoodAssistance">CompareNorthCarolinaOutputSNAP + CompareNorthCarolinaOutputWIC + CompareNorthCarolinaOutputSubsidizedSchoolMeals</definedName>
    <definedName name="CompareNorthCarolinaOutputComboMedicalAssistance" localSheetId="1">CompareNorthCarolinaOutputMedicaid + CompareNorthCarolinaOutputCHIP + CompareNorthCarolinaOutputHIXPTC</definedName>
    <definedName name="CompareNorthCarolinaOutputComboMedicalAssistance">CompareNorthCarolinaOutputMedicaid + CompareNorthCarolinaOutputCHIP + CompareNorthCarolinaOutputHIXPTC</definedName>
    <definedName name="CompareNorthCarolinaOutputComboNetEarnings" localSheetId="1">CompareNorthCarolinaAdjusted_Gross_Income - CompareNorthCarolinaOutputFICA - CompareNorthCarolinaOutputFedTax - CompareNorthCarolinaOutputStateTax</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 localSheetId="1">CompareNorthCarolinaOutputEITC + CompareNorthCarolinaOutputACTC + CompareNorthCarolinaOutputStateEITC + CompareNorthCarolinaOutputCTC</definedName>
    <definedName name="CompareNorthCarolinaOutputComboRefundableTaxCredits">CompareNorthCarolinaOutputEITC + CompareNorthCarolinaOutputACTC + CompareNorthCarolinaOutputStateEITC + CompareNorthCarolinaOutputCTC</definedName>
    <definedName name="CompareNorthCarolinaOutputMedicaidAndCHIP" localSheetId="1">CompareNorthCarolinaOutputMedicaid + CompareNorthCarolinaOutputCHIP</definedName>
    <definedName name="CompareNorthCarolinaOutputMedicaidAndCHIP">CompareNorthCarolinaOutputMedicaid + CompareNorthCarolinaOutputCHIP</definedName>
    <definedName name="CompareNorthCarolinaOutputStackPlusCashAssistance" localSheetId="1">'HIX National'!CompareNorthCarolinaOutputStackPlusRefundableTaxCredits + 'HIX National'!CompareNorthCarolinaOutputComboCashAssistance</definedName>
    <definedName name="CompareNorthCarolinaOutputStackPlusCashAssistance">CompareNorthCarolinaOutputStackPlusRefundableTaxCredits + CompareNorthCarolinaOutputComboCashAssistance</definedName>
    <definedName name="CompareNorthCarolinaOutputStackPlusChildCareFinal" localSheetId="1">'HIX National'!CompareNorthCarolinaOutputStackPlusMedicalAssistance + CompareNorthCarolinaOutputChildCareSubsidyFinal</definedName>
    <definedName name="CompareNorthCarolinaOutputStackPlusChildCareFinal">CompareNorthCarolinaOutputStackPlusMedicalAssistance + CompareNorthCarolinaOutputChildCareSubsidyFinal</definedName>
    <definedName name="CompareNorthCarolinaOutputStackPlusFoodAssistance" localSheetId="1">'HIX National'!CompareNorthCarolinaOutputStackPlusCashAssistance + 'HIX National'!CompareNorthCarolinaOutputComboFoodAssistance</definedName>
    <definedName name="CompareNorthCarolinaOutputStackPlusFoodAssistance">CompareNorthCarolinaOutputStackPlusCashAssistance + CompareNorthCarolinaOutputComboFoodAssistance</definedName>
    <definedName name="CompareNorthCarolinaOutputStackPlusHIXPTC" localSheetId="1">'HIX National'!CompareNorthCarolinaOutputStackPlusMedicaidAndCHIP + CompareNorthCarolinaOutputHIXPTC</definedName>
    <definedName name="CompareNorthCarolinaOutputStackPlusHIXPTC">CompareNorthCarolinaOutputStackPlusMedicaidAndCHIP + CompareNorthCarolinaOutputHIXPTC</definedName>
    <definedName name="CompareNorthCarolinaOutputStackPlusMedicaidAndCHIP" localSheetId="1">'HIX National'!CompareNorthCarolinaOutputStackPlusFoodAssistance + CompareNorthCarolinaOutputMedicaid + CompareNorthCarolinaOutputCHIP</definedName>
    <definedName name="CompareNorthCarolinaOutputStackPlusMedicaidAndCHIP">CompareNorthCarolinaOutputStackPlusFoodAssistance + CompareNorthCarolinaOutputMedicaid + CompareNorthCarolinaOutputCHIP</definedName>
    <definedName name="CompareNorthCarolinaOutputStackPlusMedicalAssistance" localSheetId="1">'HIX National'!CompareNorthCarolinaOutputStackPlusFoodAssistance + 'HIX National'!CompareNorthCarolinaOutputComboMedicalAssistance</definedName>
    <definedName name="CompareNorthCarolinaOutputStackPlusMedicalAssistance">CompareNorthCarolinaOutputStackPlusFoodAssistance + CompareNorthCarolinaOutputComboMedicalAssistance</definedName>
    <definedName name="CompareNorthCarolinaOutputStackPlusRefundableTaxCredits" localSheetId="1">'HIX National'!CompareNorthCarolinaOutputComboNetEarnings+'HIX National'!CompareNorthCarolinaOutputComboRefundableTaxCredits</definedName>
    <definedName name="CompareNorthCarolinaOutputStackPlusRefundableTaxCredits">CompareNorthCarolinaOutputComboNetEarnings+CompareNorthCarolinaOutputComboRefundableTaxCredits</definedName>
    <definedName name="CompareNorthCarolinaOutputStackPlusSec8Entry" localSheetId="1">'HIX National'!CompareNorthCarolinaOutputStackPlusChildCareFinal + CompareNorthCarolinaOutputSec8Entry</definedName>
    <definedName name="CompareNorthCarolinaOutputStackPlusSec8Entry">CompareNorthCarolinaOutputStackPlusChildCareFinal + CompareNorthCarolinaOutputSec8Entry</definedName>
    <definedName name="CompareNorthCarolinaOutputStackPlusSec8Entry_Graph" localSheetId="1">'HIX National'!CompareNorthCarolinaOutputStackPlusChildCareFinal + CompareNorthCarolinaOutputSec8Final</definedName>
    <definedName name="CompareNorthCarolinaOutputStackPlusSec8Entry_Graph">CompareNorthCarolinaOutputStackPlusChildCareFinal + CompareNorthCarolinaOutputSec8Final</definedName>
    <definedName name="CompareNorthCarolinaOutputStackPlusSec8Extended" localSheetId="1">'HIX National'!CompareNorthCarolinaOutputStackPlusSec8Entry + CompareNorthCarolinaOutputSec8Extended</definedName>
    <definedName name="CompareNorthCarolinaOutputStackPlusSec8Extended">CompareNorthCarolinaOutputStackPlusSec8Entry + CompareNorthCarolinaOutputSec8Extended</definedName>
    <definedName name="CompareOriginalIncomeOutputComboCashAssistance" localSheetId="1">CompareOriginalIncomeOutputTANF + CompareOriginalIncomeOutputSSI + CompareOriginalIncomeOutputLIHEAP</definedName>
    <definedName name="CompareOriginalIncomeOutputComboCashAssistance">CompareOriginalIncomeOutputTANF + CompareOriginalIncomeOutputSSI + CompareOriginalIncomeOutputLIHEAP</definedName>
    <definedName name="CompareOriginalIncomeOutputComboFoodAssistance" localSheetId="1">CompareOriginalIncomeOutputSNAP + CompareOriginalIncomeOutputWIC + CompareOriginalIncomeOutputSubsidizedSchoolMeals</definedName>
    <definedName name="CompareOriginalIncomeOutputComboFoodAssistance">CompareOriginalIncomeOutputSNAP + CompareOriginalIncomeOutputWIC + CompareOriginalIncomeOutputSubsidizedSchoolMeals</definedName>
    <definedName name="CompareOriginalIncomeOutputComboMedicalAssistance" localSheetId="1">CompareOriginalIncomeOutputMedicaid + CompareOriginalIncomeOutputCHIP + CompareOriginalIncomeOutputHIXPTC</definedName>
    <definedName name="CompareOriginalIncomeOutputComboMedicalAssistance">CompareOriginalIncomeOutputMedicaid + CompareOriginalIncomeOutputCHIP + CompareOriginalIncomeOutputHIXPTC</definedName>
    <definedName name="CompareOriginalIncomeOutputComboNetEarnings" localSheetId="1">CompareOriginalIncomeAdjusted_Gross_Income - CompareOriginalIncomeOutputFICA - CompareOriginalIncomeOutputFedTax - CompareOriginalIncomeOutputStateTax</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 localSheetId="1">CompareOriginalIncomeOutputEITC + CompareOriginalIncomeOutputACTC + CompareOriginalIncomeOutputStateEITC + CompareOriginalIncomeOutputCTC</definedName>
    <definedName name="CompareOriginalIncomeOutputComboRefundableTaxCredits">CompareOriginalIncomeOutputEITC + CompareOriginalIncomeOutputACTC + CompareOriginalIncomeOutputStateEITC + CompareOriginalIncomeOutputCTC</definedName>
    <definedName name="CompareOriginalIncomeOutputMedicaidAndCHIP" localSheetId="1">CompareOriginalIncomeOutputMedicaid + CompareOriginalIncomeOutputCHIP</definedName>
    <definedName name="CompareOriginalIncomeOutputMedicaidAndCHIP">CompareOriginalIncomeOutputMedicaid + CompareOriginalIncomeOutputCHIP</definedName>
    <definedName name="CompareOriginalIncomeOutputStackPlusCashAssistance" localSheetId="1">'HIX National'!CompareOriginalIncomeOutputStackPlusRefundableTaxCredits + 'HIX National'!CompareOriginalIncomeOutputComboCashAssistance</definedName>
    <definedName name="CompareOriginalIncomeOutputStackPlusCashAssistance">CompareOriginalIncomeOutputStackPlusRefundableTaxCredits + CompareOriginalIncomeOutputComboCashAssistance</definedName>
    <definedName name="CompareOriginalIncomeOutputStackPlusChildCareFinal" localSheetId="1">'HIX National'!CompareOriginalIncomeOutputStackPlusMedicalAssistance + CompareOriginalIncomeOutputChildCareSubsidyFinal</definedName>
    <definedName name="CompareOriginalIncomeOutputStackPlusChildCareFinal">CompareOriginalIncomeOutputStackPlusMedicalAssistance + CompareOriginalIncomeOutputChildCareSubsidyFinal</definedName>
    <definedName name="CompareOriginalIncomeOutputStackPlusFoodAssistance" localSheetId="1">'HIX National'!CompareOriginalIncomeOutputStackPlusCashAssistance + 'HIX National'!CompareOriginalIncomeOutputComboFoodAssistance</definedName>
    <definedName name="CompareOriginalIncomeOutputStackPlusFoodAssistance">CompareOriginalIncomeOutputStackPlusCashAssistance + CompareOriginalIncomeOutputComboFoodAssistance</definedName>
    <definedName name="CompareOriginalIncomeOutputStackPlusHIXPTC" localSheetId="1">'HIX National'!CompareOriginalIncomeOutputStackPlusMedicaidAndCHIP + CompareOriginalIncomeOutputHIXPTC</definedName>
    <definedName name="CompareOriginalIncomeOutputStackPlusHIXPTC">CompareOriginalIncomeOutputStackPlusMedicaidAndCHIP + CompareOriginalIncomeOutputHIXPTC</definedName>
    <definedName name="CompareOriginalIncomeOutputStackPlusMedicaidAndCHIP" localSheetId="1">'HIX National'!CompareOriginalIncomeOutputStackPlusFoodAssistance + CompareOriginalIncomeOutputMedicaid + CompareOriginalIncomeOutputCHIP</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 localSheetId="1">'HIX National'!CompareOriginalIncomeOutputStackPlusFoodAssistance + 'HIX National'!CompareOriginalIncomeOutputComboMedicalAssistance</definedName>
    <definedName name="CompareOriginalIncomeOutputStackPlusMedicalAssistance">CompareOriginalIncomeOutputStackPlusFoodAssistance + CompareOriginalIncomeOutputComboMedicalAssistance</definedName>
    <definedName name="CompareOriginalIncomeOutputStackPlusRefundableTaxCredits" localSheetId="1">'HIX National'!CompareOriginalIncomeOutputComboNetEarnings+'HIX National'!CompareOriginalIncomeOutputComboRefundableTaxCredits</definedName>
    <definedName name="CompareOriginalIncomeOutputStackPlusRefundableTaxCredits">CompareOriginalIncomeOutputComboNetEarnings+CompareOriginalIncomeOutputComboRefundableTaxCredits</definedName>
    <definedName name="CompareOriginalIncomeOutputStackPlusSec8Entry" localSheetId="1">'HIX National'!CompareOriginalIncomeOutputStackPlusChildCareFinal + CompareOriginalIncomeOutputSec8Entry</definedName>
    <definedName name="CompareOriginalIncomeOutputStackPlusSec8Entry">CompareOriginalIncomeOutputStackPlusChildCareFinal + CompareOriginalIncomeOutputSec8Entry</definedName>
    <definedName name="CompareOriginalIncomeOutputStackPlusSec8Entry_Graph" localSheetId="1">'HIX National'!CompareOriginalIncomeOutputStackPlusChildCareFinal + CompareOriginalIncomeOutputSec8Final</definedName>
    <definedName name="CompareOriginalIncomeOutputStackPlusSec8Entry_Graph">CompareOriginalIncomeOutputStackPlusChildCareFinal + CompareOriginalIncomeOutputSec8Final</definedName>
    <definedName name="CompareOriginalIncomeOutputStackPlusSec8Extended" localSheetId="1">'HIX National'!CompareOriginalIncomeOutputStackPlusSec8Entry + CompareOriginalIncomeOutputSec8Extended</definedName>
    <definedName name="CompareOriginalIncomeOutputStackPlusSec8Extended">CompareOriginalIncomeOutputStackPlusSec8Entry + CompareOriginalIncomeOutputSec8Extended</definedName>
    <definedName name="CompareProspectiveIncomeOutputComboCashAssistance" localSheetId="1">CompareProspectiveIncomeOutputTANF + CompareProspectiveIncomeOutputSSI + CompareProspectiveIncomeOutputLIHEAP</definedName>
    <definedName name="CompareProspectiveIncomeOutputComboCashAssistance">CompareProspectiveIncomeOutputTANF + CompareProspectiveIncomeOutputSSI + CompareProspectiveIncomeOutputLIHEAP</definedName>
    <definedName name="CompareProspectiveIncomeOutputComboFoodAssistance" localSheetId="1">CompareProspectiveIncomeOutputSNAP + CompareProspectiveIncomeOutputWIC + CompareProspectiveIncomeOutputSubsidizedSchoolMeals</definedName>
    <definedName name="CompareProspectiveIncomeOutputComboFoodAssistance">CompareProspectiveIncomeOutputSNAP + CompareProspectiveIncomeOutputWIC + CompareProspectiveIncomeOutputSubsidizedSchoolMeals</definedName>
    <definedName name="CompareProspectiveIncomeOutputComboMedicalAssistance" localSheetId="1">CompareProspectiveIncomeOutputMedicaid + CompareProspectiveIncomeOutputCHIP + CompareProspectiveIncomeOutputHIXPTC</definedName>
    <definedName name="CompareProspectiveIncomeOutputComboMedicalAssistance">CompareProspectiveIncomeOutputMedicaid + CompareProspectiveIncomeOutputCHIP + CompareProspectiveIncomeOutputHIXPTC</definedName>
    <definedName name="CompareProspectiveIncomeOutputComboNetEarnings" localSheetId="1">CompareProspectiveIncomeAdjusted_Gross_Income - CompareProspectiveIncomeOutputFICA - CompareProspectiveIncomeOutputFedTax - CompareProspectiveIncomeOutputStateTax</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 localSheetId="1">CompareProspectiveIncomeOutputEITC + CompareProspectiveIncomeOutputACTC + CompareProspectiveIncomeOutputStateEITC</definedName>
    <definedName name="CompareProspectiveIncomeOutputComboRefundableTaxCredits">CompareProspectiveIncomeOutputEITC + CompareProspectiveIncomeOutputACTC + CompareProspectiveIncomeOutputStateEITC</definedName>
    <definedName name="CompareProspectiveIncomeOutputMedicaidAndCHIP" localSheetId="1">CompareProspectiveIncomeOutputMedicaid + CompareProspectiveIncomeOutputCHIP</definedName>
    <definedName name="CompareProspectiveIncomeOutputMedicaidAndCHIP">CompareProspectiveIncomeOutputMedicaid + CompareProspectiveIncomeOutputCHIP</definedName>
    <definedName name="CompareProspectiveIncomeOutputStackPlusCashAssistance" localSheetId="1">'HIX National'!CompareProspectiveIncomeOutputStackPlusRefundableTaxCredits + 'HIX National'!CompareProspectiveIncomeOutputComboCashAssistance</definedName>
    <definedName name="CompareProspectiveIncomeOutputStackPlusCashAssistance">CompareProspectiveIncomeOutputStackPlusRefundableTaxCredits + CompareProspectiveIncomeOutputComboCashAssistance</definedName>
    <definedName name="CompareProspectiveIncomeOutputStackPlusChildCareFinal" localSheetId="1">'HIX National'!CompareProspectiveIncomeOutputStackPlusMedicalAssistance + CompareProspectiveIncomeOutputChildCareSubsidyFinal</definedName>
    <definedName name="CompareProspectiveIncomeOutputStackPlusChildCareFinal">CompareProspectiveIncomeOutputStackPlusMedicalAssistance + CompareProspectiveIncomeOutputChildCareSubsidyFinal</definedName>
    <definedName name="CompareProspectiveIncomeOutputStackPlusFoodAssistance" localSheetId="1">'HIX National'!CompareProspectiveIncomeOutputStackPlusCashAssistance + 'HIX National'!CompareProspectiveIncomeOutputComboFoodAssistance</definedName>
    <definedName name="CompareProspectiveIncomeOutputStackPlusFoodAssistance">CompareProspectiveIncomeOutputStackPlusCashAssistance + CompareProspectiveIncomeOutputComboFoodAssistance</definedName>
    <definedName name="CompareProspectiveIncomeOutputStackPlusHIXPTC" localSheetId="1">'HIX National'!CompareProspectiveIncomeOutputStackPlusMedicaidAndCHIP + CompareProspectiveIncomeOutputHIXPTC</definedName>
    <definedName name="CompareProspectiveIncomeOutputStackPlusHIXPTC">CompareProspectiveIncomeOutputStackPlusMedicaidAndCHIP + CompareProspectiveIncomeOutputHIXPTC</definedName>
    <definedName name="CompareProspectiveIncomeOutputStackPlusMedicaidAndCHIP" localSheetId="1">'HIX National'!CompareProspectiveIncomeOutputStackPlusFoodAssistance + CompareProspectiveIncomeOutputMedicaid + CompareProspectiveIncomeOutputCHIP</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 localSheetId="1">'HIX National'!CompareProspectiveIncomeOutputStackPlusFoodAssistance + 'HIX National'!CompareProspectiveIncomeOutputComboMedicalAssistance</definedName>
    <definedName name="CompareProspectiveIncomeOutputStackPlusMedicalAssistance">CompareProspectiveIncomeOutputStackPlusFoodAssistance + CompareProspectiveIncomeOutputComboMedicalAssistance</definedName>
    <definedName name="CompareProspectiveIncomeOutputStackPlusRefundableTaxCredits" localSheetId="1">'HIX National'!CompareProspectiveIncomeOutputComboNetEarnings+'HIX National'!CompareProspectiveIncomeOutputComboRefundableTaxCredits</definedName>
    <definedName name="CompareProspectiveIncomeOutputStackPlusRefundableTaxCredits">CompareProspectiveIncomeOutputComboNetEarnings+CompareProspectiveIncomeOutputComboRefundableTaxCredits</definedName>
    <definedName name="CompareProspectiveIncomeOutputStackPlusSec8Entry" localSheetId="1">'HIX National'!CompareProspectiveIncomeOutputStackPlusChildCareFinal + CompareProspectiveIncomeOutputSec8Entry</definedName>
    <definedName name="CompareProspectiveIncomeOutputStackPlusSec8Entry">CompareProspectiveIncomeOutputStackPlusChildCareFinal + CompareProspectiveIncomeOutputSec8Entry</definedName>
    <definedName name="CompareProspectiveIncomeOutputStackPlusSec8Entry_Graph" localSheetId="1">'HIX National'!CompareProspectiveIncomeOutputStackPlusChildCareFinal + CompareProspectiveIncomeOutputSec8Final</definedName>
    <definedName name="CompareProspectiveIncomeOutputStackPlusSec8Entry_Graph">CompareProspectiveIncomeOutputStackPlusChildCareFinal + CompareProspectiveIncomeOutputSec8Final</definedName>
    <definedName name="CompareProspectiveIncomeOutputStackPlusSec8Extended" localSheetId="1">'HIX National'!CompareProspectiveIncomeOutputStackPlusSec8Entry + CompareProspectiveIncomeOutputSec8Extended</definedName>
    <definedName name="CompareProspectiveIncomeOutputStackPlusSec8Extended">CompareProspectiveIncomeOutputStackPlusSec8Entry + CompareProspectiveIncomeOutputSec8Extended</definedName>
    <definedName name="CompareSouthCarolinaOutputComboCashAssistance" localSheetId="1">CompareSouthCarolinaOutputTANF + CompareSouthCarolinaOutputSSI + CompareSouthCarolinaOutputLIHEAP</definedName>
    <definedName name="CompareSouthCarolinaOutputComboCashAssistance">CompareSouthCarolinaOutputTANF + CompareSouthCarolinaOutputSSI + CompareSouthCarolinaOutputLIHEAP</definedName>
    <definedName name="CompareSouthCarolinaOutputComboFoodAssistance" localSheetId="1">CompareSouthCarolinaOutputSNAP + CompareSouthCarolinaOutputWIC + CompareSouthCarolinaOutputSubsidizedSchoolMeals</definedName>
    <definedName name="CompareSouthCarolinaOutputComboFoodAssistance">CompareSouthCarolinaOutputSNAP + CompareSouthCarolinaOutputWIC + CompareSouthCarolinaOutputSubsidizedSchoolMeals</definedName>
    <definedName name="CompareSouthCarolinaOutputComboMedicalAssistance" localSheetId="1">CompareSouthCarolinaOutputMedicaid + CompareSouthCarolinaOutputCHIP + CompareSouthCarolinaOutputHIXPTC</definedName>
    <definedName name="CompareSouthCarolinaOutputComboMedicalAssistance">CompareSouthCarolinaOutputMedicaid + CompareSouthCarolinaOutputCHIP + CompareSouthCarolinaOutputHIXPTC</definedName>
    <definedName name="CompareSouthCarolinaOutputComboNetEarnings" localSheetId="1">CompareSouthCarolinaAdjusted_Gross_Income - CompareSouthCarolinaOutputFICA - CompareSouthCarolinaOutputFedTax - CompareSouthCarolinaOutputStateTax</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 localSheetId="1">CompareSouthCarolinaOutputEITC + CompareSouthCarolinaOutputACTC + CompareSouthCarolinaOutputStateEITC + CompareSouthCarolinaOutputCTC</definedName>
    <definedName name="CompareSouthCarolinaOutputComboRefundableTaxCredits">CompareSouthCarolinaOutputEITC + CompareSouthCarolinaOutputACTC + CompareSouthCarolinaOutputStateEITC + CompareSouthCarolinaOutputCTC</definedName>
    <definedName name="CompareSouthCarolinaOutputMedicaidAndCHIP" localSheetId="1">CompareSouthCarolinaOutputMedicaid + CompareSouthCarolinaOutputCHIP</definedName>
    <definedName name="CompareSouthCarolinaOutputMedicaidAndCHIP">CompareSouthCarolinaOutputMedicaid + CompareSouthCarolinaOutputCHIP</definedName>
    <definedName name="CompareSouthCarolinaOutputStackPlusCashAssistance" localSheetId="1">'HIX National'!CompareSouthCarolinaOutputStackPlusRefundableTaxCredits + 'HIX National'!CompareSouthCarolinaOutputComboCashAssistance</definedName>
    <definedName name="CompareSouthCarolinaOutputStackPlusCashAssistance">CompareSouthCarolinaOutputStackPlusRefundableTaxCredits + CompareSouthCarolinaOutputComboCashAssistance</definedName>
    <definedName name="CompareSouthCarolinaOutputStackPlusChildCareFinal" localSheetId="1">'HIX National'!CompareSouthCarolinaOutputStackPlusMedicalAssistance + CompareSouthCarolinaOutputChildCareSubsidyFinal</definedName>
    <definedName name="CompareSouthCarolinaOutputStackPlusChildCareFinal">CompareSouthCarolinaOutputStackPlusMedicalAssistance + CompareSouthCarolinaOutputChildCareSubsidyFinal</definedName>
    <definedName name="CompareSouthCarolinaOutputStackPlusFoodAssistance" localSheetId="1">'HIX National'!CompareSouthCarolinaOutputStackPlusCashAssistance + 'HIX National'!CompareSouthCarolinaOutputComboFoodAssistance</definedName>
    <definedName name="CompareSouthCarolinaOutputStackPlusFoodAssistance">CompareSouthCarolinaOutputStackPlusCashAssistance + CompareSouthCarolinaOutputComboFoodAssistance</definedName>
    <definedName name="CompareSouthCarolinaOutputStackPlusHIXPTC" localSheetId="1">'HIX National'!CompareSouthCarolinaOutputStackPlusMedicaidAndCHIP + CompareSouthCarolinaOutputHIXPTC</definedName>
    <definedName name="CompareSouthCarolinaOutputStackPlusHIXPTC">CompareSouthCarolinaOutputStackPlusMedicaidAndCHIP + CompareSouthCarolinaOutputHIXPTC</definedName>
    <definedName name="CompareSouthCarolinaOutputStackPlusMedicaidAndCHIP" localSheetId="1">'HIX National'!CompareSouthCarolinaOutputStackPlusFoodAssistance + CompareSouthCarolinaOutputMedicaid + CompareSouthCarolinaOutputCHIP</definedName>
    <definedName name="CompareSouthCarolinaOutputStackPlusMedicaidAndCHIP">CompareSouthCarolinaOutputStackPlusFoodAssistance + CompareSouthCarolinaOutputMedicaid + CompareSouthCarolinaOutputCHIP</definedName>
    <definedName name="CompareSouthCarolinaOutputStackPlusMedicalAssistance" localSheetId="1">'HIX National'!CompareSouthCarolinaOutputStackPlusFoodAssistance + 'HIX National'!CompareSouthCarolinaOutputComboMedicalAssistance</definedName>
    <definedName name="CompareSouthCarolinaOutputStackPlusMedicalAssistance">CompareSouthCarolinaOutputStackPlusFoodAssistance + CompareSouthCarolinaOutputComboMedicalAssistance</definedName>
    <definedName name="CompareSouthCarolinaOutputStackPlusRefundableTaxCredits" localSheetId="1">'HIX National'!CompareSouthCarolinaOutputComboNetEarnings+'HIX National'!CompareSouthCarolinaOutputComboRefundableTaxCredits</definedName>
    <definedName name="CompareSouthCarolinaOutputStackPlusRefundableTaxCredits">CompareSouthCarolinaOutputComboNetEarnings+CompareSouthCarolinaOutputComboRefundableTaxCredits</definedName>
    <definedName name="CompareSouthCarolinaOutputStackPlusSec8Entry" localSheetId="1">'HIX National'!CompareSouthCarolinaOutputStackPlusChildCareFinal + CompareSouthCarolinaOutputSec8Entry</definedName>
    <definedName name="CompareSouthCarolinaOutputStackPlusSec8Entry">CompareSouthCarolinaOutputStackPlusChildCareFinal + CompareSouthCarolinaOutputSec8Entry</definedName>
    <definedName name="CompareSouthCarolinaOutputStackPlusSec8Entry_Graph" localSheetId="1">'HIX National'!CompareSouthCarolinaOutputStackPlusChildCareFinal + CompareSouthCarolinaOutputSec8Final</definedName>
    <definedName name="CompareSouthCarolinaOutputStackPlusSec8Entry_Graph">CompareSouthCarolinaOutputStackPlusChildCareFinal + CompareSouthCarolinaOutputSec8Final</definedName>
    <definedName name="CompareSouthCarolinaOutputStackPlusSec8Extended" localSheetId="1">'HIX National'!CompareSouthCarolinaOutputStackPlusSec8Entry + CompareSouthCarolinaOutputSec8Extended</definedName>
    <definedName name="CompareSouthCarolinaOutputStackPlusSec8Extended">CompareSouthCarolinaOutputStackPlusSec8Entry + CompareSouthCarolinaOutputSec8Extended</definedName>
    <definedName name="CompareTennesseeOutputComboCashAssistance" localSheetId="1">CompareTennesseeOutputTANF + CompareTennesseeOutputSSI + CompareTennesseeOutputLIHEAP</definedName>
    <definedName name="CompareTennesseeOutputComboCashAssistance">CompareTennesseeOutputTANF + CompareTennesseeOutputSSI + CompareTennesseeOutputLIHEAP</definedName>
    <definedName name="CompareTennesseeOutputComboFoodAssistance" localSheetId="1">CompareTennesseeOutputSNAP + CompareTennesseeOutputWIC + CompareTennesseeOutputSubsidizedSchoolMeals</definedName>
    <definedName name="CompareTennesseeOutputComboFoodAssistance">CompareTennesseeOutputSNAP + CompareTennesseeOutputWIC + CompareTennesseeOutputSubsidizedSchoolMeals</definedName>
    <definedName name="CompareTennesseeOutputComboMedicalAssistance" localSheetId="1">CompareTennesseeOutputMedicaid + CompareTennesseeOutputCHIP + CompareTennesseeOutputHIXPTC</definedName>
    <definedName name="CompareTennesseeOutputComboMedicalAssistance">CompareTennesseeOutputMedicaid + CompareTennesseeOutputCHIP + CompareTennesseeOutputHIXPTC</definedName>
    <definedName name="CompareTennesseeOutputComboNetEarnings" localSheetId="1">CompareTennesseeAdjusted_Gross_Income - CompareTennesseeOutputFICA - CompareTennesseeOutputFedTax - CompareTennesseeOutputStateTax</definedName>
    <definedName name="CompareTennesseeOutputComboNetEarnings">CompareTennesseeAdjusted_Gross_Income - CompareTennesseeOutputFICA - CompareTennesseeOutputFedTax - CompareTennesseeOutputStateTax</definedName>
    <definedName name="CompareTennesseeOutputComboRefundableTaxCredits" localSheetId="1">CompareTennesseeOutputEITC + CompareTennesseeOutputACTC + CompareTennesseeOutputStateEITC + CompareTennesseeOutputCTC</definedName>
    <definedName name="CompareTennesseeOutputComboRefundableTaxCredits">CompareTennesseeOutputEITC + CompareTennesseeOutputACTC + CompareTennesseeOutputStateEITC + CompareTennesseeOutputCTC</definedName>
    <definedName name="CompareTennesseeOutputMedicaidAndCHIP" localSheetId="1">CompareTennesseeOutputMedicaid + CompareTennesseeOutputCHIP</definedName>
    <definedName name="CompareTennesseeOutputMedicaidAndCHIP">CompareTennesseeOutputMedicaid + CompareTennesseeOutputCHIP</definedName>
    <definedName name="CompareTennesseeOutputStackPlusCashAssistance" localSheetId="1">'HIX National'!CompareTennesseeOutputStackPlusRefundableTaxCredits + 'HIX National'!CompareTennesseeOutputComboCashAssistance</definedName>
    <definedName name="CompareTennesseeOutputStackPlusCashAssistance">CompareTennesseeOutputStackPlusRefundableTaxCredits + CompareTennesseeOutputComboCashAssistance</definedName>
    <definedName name="CompareTennesseeOutputStackPlusChildCareFinal" localSheetId="1">'HIX National'!CompareTennesseeOutputStackPlusMedicalAssistance + CompareTennesseeOutputChildCareSubsidyFinal</definedName>
    <definedName name="CompareTennesseeOutputStackPlusChildCareFinal">CompareTennesseeOutputStackPlusMedicalAssistance + CompareTennesseeOutputChildCareSubsidyFinal</definedName>
    <definedName name="CompareTennesseeOutputStackPlusFoodAssistance" localSheetId="1">'HIX National'!CompareTennesseeOutputStackPlusCashAssistance + 'HIX National'!CompareTennesseeOutputComboFoodAssistance</definedName>
    <definedName name="CompareTennesseeOutputStackPlusFoodAssistance">CompareTennesseeOutputStackPlusCashAssistance + CompareTennesseeOutputComboFoodAssistance</definedName>
    <definedName name="CompareTennesseeOutputStackPlusHIXPTC" localSheetId="1">'HIX National'!CompareTennesseeOutputStackPlusMedicaidAndCHIP + CompareTennesseeOutputHIXPTC</definedName>
    <definedName name="CompareTennesseeOutputStackPlusHIXPTC">CompareTennesseeOutputStackPlusMedicaidAndCHIP + CompareTennesseeOutputHIXPTC</definedName>
    <definedName name="CompareTennesseeOutputStackPlusMedicaidAndCHIP" localSheetId="1">'HIX National'!CompareTennesseeOutputStackPlusFoodAssistance + CompareTennesseeOutputMedicaid + CompareTennesseeOutputCHIP</definedName>
    <definedName name="CompareTennesseeOutputStackPlusMedicaidAndCHIP">CompareTennesseeOutputStackPlusFoodAssistance + CompareTennesseeOutputMedicaid + CompareTennesseeOutputCHIP</definedName>
    <definedName name="CompareTennesseeOutputStackPlusMedicalAssistance" localSheetId="1">'HIX National'!CompareTennesseeOutputStackPlusFoodAssistance + 'HIX National'!CompareTennesseeOutputComboMedicalAssistance</definedName>
    <definedName name="CompareTennesseeOutputStackPlusMedicalAssistance">CompareTennesseeOutputStackPlusFoodAssistance + CompareTennesseeOutputComboMedicalAssistance</definedName>
    <definedName name="CompareTennesseeOutputStackPlusRefundableTaxCredits" localSheetId="1">'HIX National'!CompareTennesseeOutputComboNetEarnings+'HIX National'!CompareTennesseeOutputComboRefundableTaxCredits</definedName>
    <definedName name="CompareTennesseeOutputStackPlusRefundableTaxCredits">CompareTennesseeOutputComboNetEarnings+CompareTennesseeOutputComboRefundableTaxCredits</definedName>
    <definedName name="CompareTennesseeOutputStackPlusSec8Entry" localSheetId="1">'HIX National'!CompareTennesseeOutputStackPlusChildCareFinal + CompareTennesseeOutputSec8Entry</definedName>
    <definedName name="CompareTennesseeOutputStackPlusSec8Entry">CompareTennesseeOutputStackPlusChildCareFinal + CompareTennesseeOutputSec8Entry</definedName>
    <definedName name="CompareTennesseeOutputStackPlusSec8Entry_Graph" localSheetId="1">'HIX National'!CompareTennesseeOutputStackPlusChildCareFinal + CompareTennesseeOutputSec8Final</definedName>
    <definedName name="CompareTennesseeOutputStackPlusSec8Entry_Graph">CompareTennesseeOutputStackPlusChildCareFinal + CompareTennesseeOutputSec8Final</definedName>
    <definedName name="CompareTennesseeOutputStackPlusSec8Extended" localSheetId="1">'HIX National'!CompareTennesseeOutputStackPlusSec8Entry + CompareTennesseeOutputSec8Extended</definedName>
    <definedName name="CompareTennesseeOutputStackPlusSec8Extended">CompareTennesseeOutputStackPlusSec8Entry + CompareTennesseeOutputSec8Extended</definedName>
    <definedName name="CompareTexasOutputComboCashAssistance" localSheetId="1">CompareTexasOutputTANF + CompareTexasOutputSSI + CompareTexasOutputLIHEAP</definedName>
    <definedName name="CompareTexasOutputComboCashAssistance">CompareTexasOutputTANF + CompareTexasOutputSSI + CompareTexasOutputLIHEAP</definedName>
    <definedName name="CompareTexasOutputComboFoodAssistance" localSheetId="1">CompareTexasOutputSNAP + CompareTexasOutputWIC + CompareTexasOutputSubsidizedSchoolMeals</definedName>
    <definedName name="CompareTexasOutputComboFoodAssistance">CompareTexasOutputSNAP + CompareTexasOutputWIC + CompareTexasOutputSubsidizedSchoolMeals</definedName>
    <definedName name="CompareTexasOutputComboMedicalAssistance" localSheetId="1">CompareTexasOutputMedicaid + CompareTexasOutputCHIP + CompareTexasOutputHIXPTC</definedName>
    <definedName name="CompareTexasOutputComboMedicalAssistance">CompareTexasOutputMedicaid + CompareTexasOutputCHIP + CompareTexasOutputHIXPTC</definedName>
    <definedName name="CompareTexasOutputComboNetEarnings" localSheetId="1">CompareTexasAdjusted_Gross_Income - CompareTexasOutputFICA - CompareTexasOutputFedTax - CompareTexasOutputStateTax</definedName>
    <definedName name="CompareTexasOutputComboNetEarnings">CompareTexasAdjusted_Gross_Income - CompareTexasOutputFICA - CompareTexasOutputFedTax - CompareTexasOutputStateTax</definedName>
    <definedName name="CompareTexasOutputComboRefundableTaxCredits" localSheetId="1">CompareTexasOutputEITC + CompareTexasOutputACTC + CompareTexasOutputStateEITC + CompareTexasOutputCTC</definedName>
    <definedName name="CompareTexasOutputComboRefundableTaxCredits">CompareTexasOutputEITC + CompareTexasOutputACTC + CompareTexasOutputStateEITC + CompareTexasOutputCTC</definedName>
    <definedName name="CompareTexasOutputMedicaidAndCHIP" localSheetId="1">CompareTexasOutputMedicaid + CompareTexasOutputCHIP</definedName>
    <definedName name="CompareTexasOutputMedicaidAndCHIP">CompareTexasOutputMedicaid + CompareTexasOutputCHIP</definedName>
    <definedName name="CompareTexasOutputStackPlusCashAssistance" localSheetId="1">'HIX National'!CompareTexasOutputStackPlusRefundableTaxCredits + 'HIX National'!CompareTexasOutputComboCashAssistance</definedName>
    <definedName name="CompareTexasOutputStackPlusCashAssistance">CompareTexasOutputStackPlusRefundableTaxCredits + CompareTexasOutputComboCashAssistance</definedName>
    <definedName name="CompareTexasOutputStackPlusChildCareFinal" localSheetId="1">'HIX National'!CompareTexasOutputStackPlusMedicalAssistance + CompareTexasOutputChildCareSubsidyFinal</definedName>
    <definedName name="CompareTexasOutputStackPlusChildCareFinal">CompareTexasOutputStackPlusMedicalAssistance + CompareTexasOutputChildCareSubsidyFinal</definedName>
    <definedName name="CompareTexasOutputStackPlusFoodAssistance" localSheetId="1">'HIX National'!CompareTexasOutputStackPlusCashAssistance + 'HIX National'!CompareTexasOutputComboFoodAssistance</definedName>
    <definedName name="CompareTexasOutputStackPlusFoodAssistance">CompareTexasOutputStackPlusCashAssistance + CompareTexasOutputComboFoodAssistance</definedName>
    <definedName name="CompareTexasOutputStackPlusHIXPTC" localSheetId="1">'HIX National'!CompareTexasOutputStackPlusMedicaidAndCHIP + CompareTexasOutputHIXPTC</definedName>
    <definedName name="CompareTexasOutputStackPlusHIXPTC">CompareTexasOutputStackPlusMedicaidAndCHIP + CompareTexasOutputHIXPTC</definedName>
    <definedName name="CompareTexasOutputStackPlusMedicaidAndCHIP" localSheetId="1">'HIX National'!CompareTexasOutputStackPlusFoodAssistance + CompareTexasOutputMedicaid + CompareTexasOutputCHIP</definedName>
    <definedName name="CompareTexasOutputStackPlusMedicaidAndCHIP">CompareTexasOutputStackPlusFoodAssistance + CompareTexasOutputMedicaid + CompareTexasOutputCHIP</definedName>
    <definedName name="CompareTexasOutputStackPlusMedicalAssistance" localSheetId="1">'HIX National'!CompareTexasOutputStackPlusFoodAssistance + 'HIX National'!CompareTexasOutputComboMedicalAssistance</definedName>
    <definedName name="CompareTexasOutputStackPlusMedicalAssistance">CompareTexasOutputStackPlusFoodAssistance + CompareTexasOutputComboMedicalAssistance</definedName>
    <definedName name="CompareTexasOutputStackPlusRefundableTaxCredits" localSheetId="1">'HIX National'!CompareTexasOutputComboNetEarnings+'HIX National'!CompareTexasOutputComboRefundableTaxCredits</definedName>
    <definedName name="CompareTexasOutputStackPlusRefundableTaxCredits">CompareTexasOutputComboNetEarnings+CompareTexasOutputComboRefundableTaxCredits</definedName>
    <definedName name="CompareTexasOutputStackPlusSec8Entry" localSheetId="1">'HIX National'!CompareTexasOutputStackPlusChildCareFinal + CompareTexasOutputSec8Entry</definedName>
    <definedName name="CompareTexasOutputStackPlusSec8Entry">CompareTexasOutputStackPlusChildCareFinal + CompareTexasOutputSec8Entry</definedName>
    <definedName name="CompareTexasOutputStackPlusSec8Entry_Graph" localSheetId="1">'HIX National'!CompareTexasOutputStackPlusChildCareFinal + CompareTexasOutputSec8Final</definedName>
    <definedName name="CompareTexasOutputStackPlusSec8Entry_Graph">CompareTexasOutputStackPlusChildCareFinal + CompareTexasOutputSec8Final</definedName>
    <definedName name="CompareTexasOutputStackPlusSec8Extended" localSheetId="1">'HIX National'!CompareTexasOutputStackPlusSec8Entry + CompareTexasOutputSec8Extended</definedName>
    <definedName name="CompareTexasOutputStackPlusSec8Extended">CompareTexasOutputStackPlusSec8Entry + CompareTexasOutputSec8Extended</definedName>
    <definedName name="ExternalData_1" localSheetId="0" hidden="1">HIX!$L$113:$P$514</definedName>
    <definedName name="ExternalData_1" localSheetId="1" hidden="1">'HIX National'!$L$113:$P$514</definedName>
    <definedName name="ExternalData_2" localSheetId="0" hidden="1">HIX!$S$113:$U$118</definedName>
    <definedName name="ExternalData_2" localSheetId="1" hidden="1">'HIX National'!$S$113:$U$118</definedName>
    <definedName name="FICAlist">[1]!FICAtbl[#Headers]</definedName>
    <definedName name="InputDad">[1]Inputs!$C$12</definedName>
    <definedName name="InputDadAge">[1]Inputs!$D$12</definedName>
    <definedName name="InputMarried">[1]Inputs!$H$11</definedName>
    <definedName name="InputMom">[1]Inputs!$C$11</definedName>
    <definedName name="InputMomAge">[1]Inputs!$D$11</definedName>
    <definedName name="InputMomPregnant">[1]Inputs!$E$11</definedName>
    <definedName name="InputStateName">[1]Inputs!$C$6</definedName>
    <definedName name="InputYear">[1]Inputs!$C$5</definedName>
    <definedName name="OnACTC">[1]Inputs!$D$29</definedName>
    <definedName name="OnCHIP">[1]Inputs!$D$36</definedName>
    <definedName name="OnCTC">[1]Inputs!$D$28</definedName>
    <definedName name="OnEITC">[1]Inputs!$D$26</definedName>
    <definedName name="OnFedTax">[1]Inputs!$D$24</definedName>
    <definedName name="OnFICA">[1]Inputs!$D$23</definedName>
    <definedName name="OnHIX_PTC">[1]Inputs!$D$37</definedName>
    <definedName name="OnLIHEAP">[1]Inputs!$D$40</definedName>
    <definedName name="OnMedicaid">[1]Inputs!$D$35</definedName>
    <definedName name="OnPandemic">[1]Inputs!$D$22</definedName>
    <definedName name="OnSchoolMealsSubsidy">[1]Inputs!$D$33</definedName>
    <definedName name="OnSec8_Housing">[1]Inputs!$D$39</definedName>
    <definedName name="OnSNAP">[1]Inputs!$D$32</definedName>
    <definedName name="OnSSI">[1]Inputs!$D$31</definedName>
    <definedName name="OnstateEITC">[1]Inputs!$D$27</definedName>
    <definedName name="OnStateTax">[1]Inputs!$D$25</definedName>
    <definedName name="OnSubsidizedChildcare">[1]Inputs!$D$38</definedName>
    <definedName name="OnTANF">[1]Inputs!$D$30</definedName>
    <definedName name="OnWIC">[1]Inputs!$D$34</definedName>
    <definedName name="OutputACTC">[1]Calc1!$N$99:$HF$99</definedName>
    <definedName name="OutputChildCareSubsidyFinal">[1]Calc1!$N$260:$HF$260</definedName>
    <definedName name="OutputCHIP">[1]Calc1!$N$250:$HF$250</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OutputEarnings - OutputFICA - OutputFedTax - OutputStateTax</definedName>
    <definedName name="OutputComboRefundableTaxCredits">OutputEITC + OutputCTC + OutputACTC + OutputStateEITC</definedName>
    <definedName name="OutputCTC">[1]Calc1!$N$66:$HF$66</definedName>
    <definedName name="OutputEarnings">[1]Calc1!$N$15:$HF$15</definedName>
    <definedName name="OutputEITC">[1]Calc1!$N$80:$HF$80</definedName>
    <definedName name="OutputFedTax">[1]Calc1!$N$60:$HF$60</definedName>
    <definedName name="OutputFICA">[1]Calc1!$N$19:$HF$19</definedName>
    <definedName name="OutputHIXPTC">[1]Calc1!$N$256:$HF$256</definedName>
    <definedName name="OutputInterval">[1]Calc1!$N$2:$HF$2</definedName>
    <definedName name="OutputLIHEAP">[1]Calc1!$N$276:$HF$276</definedName>
    <definedName name="OutputMedicaid">[1]Calc1!$N$211:$HF$211</definedName>
    <definedName name="OutputMedicaidAndCHIP">OutputMedicaid + OutputCHIP</definedName>
    <definedName name="OutputMomHourlyWage">[1]Calc1!$N$5:$HF$5</definedName>
    <definedName name="OutputMomWeeklyHours">[1]Calc1!$N$4:$HF$4</definedName>
    <definedName name="OutputSec8Entry">[1]Calc1!$N$264:$HF$264</definedName>
    <definedName name="OutputSec8Extended">[1]Calc1!$N$269:$HF$269</definedName>
    <definedName name="OutputSec8Final">[1]Calc1!$N$267:$HF$267</definedName>
    <definedName name="OutputSNAP">[1]Calc1!$N$157:$HF$157</definedName>
    <definedName name="OutputSSI">[1]Calc1!$N$124:$HF$124</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[1]Calc1!$N$107:$HF$107</definedName>
    <definedName name="OutputStateTax">[1]Calc1!$N$103:$HF$103</definedName>
    <definedName name="OutputSubsidizedSchoolMeals">[1]Calc1!$N$186:$HF$186</definedName>
    <definedName name="OutputTANF">[1]Calc1!$N$111:$HF$111</definedName>
    <definedName name="OutputWIC">[1]Calc1!$N$175:$HF$175</definedName>
    <definedName name="Sex">[1]Lists!$D$15:$D$16</definedName>
    <definedName name="South_Carolina">#REF!</definedName>
    <definedName name="State_List">[1]!StateAreasTbl[#Headers]</definedName>
    <definedName name="StateColNum">MATCH(InputStateName,State_List,0)</definedName>
    <definedName name="StateEntireCol">INDEX([1]!StateAreasTbl[#Data],,StateColNum)</definedName>
    <definedName name="StateLookup">INDEX([1]!StateAreasTbl[#Data],1,StateColNum):INDEX([1]!StateAreasTbl[#Data],COUNTA(StateEntireCol),StateColNum)</definedName>
    <definedName name="StateLookup2">#N/A</definedName>
    <definedName name="SubdivisionName">[1]Inputs!$C$7</definedName>
    <definedName name="YearSelect">[1]Lists!$B$11:$B$15</definedName>
    <definedName name="YesNo">[1]Lists!$D$10:$D$11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S2031" i="1" l="1"/>
  <c r="AW2031" i="1" l="1"/>
  <c r="AX2031" i="1"/>
  <c r="AY2031" i="1"/>
  <c r="BA2031" i="1"/>
  <c r="BB2031" i="1"/>
  <c r="BD2031" i="1"/>
  <c r="BF2031" i="1"/>
  <c r="BH2031" i="1"/>
  <c r="BJ2031" i="1"/>
  <c r="BL2031" i="1"/>
  <c r="BN2031" i="1"/>
  <c r="AT2031" i="1"/>
  <c r="AU2031" i="1"/>
  <c r="AV2031" i="1"/>
  <c r="AQ2031" i="1"/>
  <c r="M2030" i="2"/>
  <c r="R2030" i="2"/>
  <c r="W2030" i="2"/>
  <c r="AB2030" i="2"/>
  <c r="AG2030" i="2"/>
  <c r="AL2030" i="2"/>
  <c r="AN2030" i="2"/>
  <c r="AO2030" i="2"/>
  <c r="AP2030" i="2"/>
  <c r="AQ2030" i="2"/>
  <c r="AV2030" i="2"/>
  <c r="AX2030" i="2"/>
  <c r="AZ2030" i="2"/>
  <c r="BB2030" i="2"/>
  <c r="AL2031" i="2"/>
  <c r="AG2031" i="2"/>
  <c r="AB2031" i="2"/>
  <c r="W2031" i="2"/>
  <c r="R2031" i="2"/>
  <c r="M2031" i="2"/>
  <c r="M2029" i="2"/>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417" i="1"/>
  <c r="AY2030" i="1"/>
  <c r="AY2029" i="1"/>
  <c r="AY2028" i="1"/>
  <c r="AY2027" i="1"/>
  <c r="AY2026" i="1"/>
  <c r="AY2025" i="1"/>
  <c r="AY2024" i="1"/>
  <c r="AY2023" i="1"/>
  <c r="AY2022" i="1"/>
  <c r="AY2021" i="1"/>
  <c r="AY2020" i="1"/>
  <c r="AY2018" i="1"/>
  <c r="AY2017" i="1"/>
  <c r="AY2016" i="1"/>
  <c r="AY2015" i="1"/>
  <c r="AY2014" i="1"/>
  <c r="AY2013" i="1"/>
  <c r="AY2011" i="1"/>
  <c r="AY2010" i="1"/>
  <c r="AY2009" i="1"/>
  <c r="AY2008" i="1"/>
  <c r="AY2007" i="1"/>
  <c r="AY2006" i="1"/>
  <c r="AY2005" i="1"/>
  <c r="AY2004" i="1"/>
  <c r="AY2003" i="1"/>
  <c r="AY2002" i="1"/>
  <c r="AY2001" i="1"/>
  <c r="AY2000" i="1"/>
  <c r="AY1999" i="1"/>
  <c r="AY1998" i="1"/>
  <c r="AY1997" i="1"/>
  <c r="AY1996" i="1"/>
  <c r="AY1995" i="1"/>
  <c r="AY1994" i="1"/>
  <c r="AY1993" i="1"/>
  <c r="AY1992" i="1"/>
  <c r="AY1991" i="1"/>
  <c r="AY1990" i="1"/>
  <c r="AY1989" i="1"/>
  <c r="AY1988" i="1"/>
  <c r="AY1987" i="1"/>
  <c r="AY1986" i="1"/>
  <c r="AY1985" i="1"/>
  <c r="AY1983" i="1"/>
  <c r="AY1982" i="1"/>
  <c r="AY1981" i="1"/>
  <c r="AY1980" i="1"/>
  <c r="AY1979" i="1"/>
  <c r="AY1978" i="1"/>
  <c r="AY1977" i="1"/>
  <c r="AY1976" i="1"/>
  <c r="AY1974" i="1"/>
  <c r="AY1973" i="1"/>
  <c r="AY1972" i="1"/>
  <c r="AY1971" i="1"/>
  <c r="AY1970" i="1"/>
  <c r="AY1969" i="1"/>
  <c r="AY1968" i="1"/>
  <c r="AY1967" i="1"/>
  <c r="AY1966" i="1"/>
  <c r="AY1965" i="1"/>
  <c r="AY1964" i="1"/>
  <c r="AY1963" i="1"/>
  <c r="AY1962" i="1"/>
  <c r="AY1961" i="1"/>
  <c r="AY1960" i="1"/>
  <c r="AY1959" i="1"/>
  <c r="AY1958" i="1"/>
  <c r="AY1957" i="1"/>
  <c r="AY1956" i="1"/>
  <c r="AY1955" i="1"/>
  <c r="AY1954" i="1"/>
  <c r="AY1953" i="1"/>
  <c r="AY1952" i="1"/>
  <c r="AY1951" i="1"/>
  <c r="AY1950" i="1"/>
  <c r="AY1949" i="1"/>
  <c r="AY1948" i="1"/>
  <c r="AY1947" i="1"/>
  <c r="AY1946" i="1"/>
  <c r="AY1945" i="1"/>
  <c r="AY1944" i="1"/>
  <c r="AY1943" i="1"/>
  <c r="AY1942" i="1"/>
  <c r="AY1941" i="1"/>
  <c r="AY1940" i="1"/>
  <c r="AY1939" i="1"/>
  <c r="AY1938" i="1"/>
  <c r="AY1937" i="1"/>
  <c r="AY1936" i="1"/>
  <c r="AY1935" i="1"/>
  <c r="AY1934" i="1"/>
  <c r="AY1933" i="1"/>
  <c r="AY1932" i="1"/>
  <c r="AY1931" i="1"/>
  <c r="AY1930" i="1"/>
  <c r="AY1929" i="1"/>
  <c r="AY1927" i="1"/>
  <c r="AY1926" i="1"/>
  <c r="AY1925" i="1"/>
  <c r="AY1924" i="1"/>
  <c r="AY1923" i="1"/>
  <c r="AY1922" i="1"/>
  <c r="AY1921" i="1"/>
  <c r="AY1920" i="1"/>
  <c r="AY1919" i="1"/>
  <c r="AY1918" i="1"/>
  <c r="AY1917" i="1"/>
  <c r="AY1916" i="1"/>
  <c r="AY1915" i="1"/>
  <c r="AY1914" i="1"/>
  <c r="AY1913" i="1"/>
  <c r="AY1912" i="1"/>
  <c r="AY1910" i="1"/>
  <c r="AY1909" i="1"/>
  <c r="AY1908" i="1"/>
  <c r="AY1907" i="1"/>
  <c r="AY1906" i="1"/>
  <c r="AY1905" i="1"/>
  <c r="AY1904" i="1"/>
  <c r="AY1903" i="1"/>
  <c r="AY1902" i="1"/>
  <c r="AY1901" i="1"/>
  <c r="AY1899" i="1"/>
  <c r="AY1898" i="1"/>
  <c r="AY1897" i="1"/>
  <c r="AY1896" i="1"/>
  <c r="AY1895" i="1"/>
  <c r="AY1894" i="1"/>
  <c r="AY1892" i="1"/>
  <c r="AY1891" i="1"/>
  <c r="AY1890" i="1"/>
  <c r="AY1889" i="1"/>
  <c r="AY1888" i="1"/>
  <c r="AY1887" i="1"/>
  <c r="AY1886" i="1"/>
  <c r="AY1885" i="1"/>
  <c r="AY1883" i="1"/>
  <c r="AY1882" i="1"/>
  <c r="AY1881" i="1"/>
  <c r="AY1880" i="1"/>
  <c r="AY1879" i="1"/>
  <c r="AY1878" i="1"/>
  <c r="AY1877" i="1"/>
  <c r="AY1876" i="1"/>
  <c r="AY1875" i="1"/>
  <c r="AY1874" i="1"/>
  <c r="AY1873" i="1"/>
  <c r="AY1872" i="1"/>
  <c r="AY1871" i="1"/>
  <c r="AY1870" i="1"/>
  <c r="AY1869" i="1"/>
  <c r="AY1868" i="1"/>
  <c r="AY1866" i="1"/>
  <c r="AY1865" i="1"/>
  <c r="AY1864" i="1"/>
  <c r="AY1863" i="1"/>
  <c r="AY1862" i="1"/>
  <c r="AY1861" i="1"/>
  <c r="AY1860" i="1"/>
  <c r="AY1859" i="1"/>
  <c r="AY1858" i="1"/>
  <c r="AY1857" i="1"/>
  <c r="AY1856" i="1"/>
  <c r="AY1855" i="1"/>
  <c r="AY1854" i="1"/>
  <c r="AY1853" i="1"/>
  <c r="AY1852" i="1"/>
  <c r="AY1851" i="1"/>
  <c r="AY1850" i="1"/>
  <c r="AY1849" i="1"/>
  <c r="AY1848" i="1"/>
  <c r="AY1847" i="1"/>
  <c r="AY1846" i="1"/>
  <c r="AY1845" i="1"/>
  <c r="AY1844" i="1"/>
  <c r="AY1843" i="1"/>
  <c r="AY1842" i="1"/>
  <c r="AY1841" i="1"/>
  <c r="AY1840" i="1"/>
  <c r="AY1839" i="1"/>
  <c r="AY1838" i="1"/>
  <c r="AY1837" i="1"/>
  <c r="AY1836" i="1"/>
  <c r="AY1835" i="1"/>
  <c r="AY1834" i="1"/>
  <c r="AY1833" i="1"/>
  <c r="AY1832" i="1"/>
  <c r="AY1831" i="1"/>
  <c r="AY1830" i="1"/>
  <c r="AY1829" i="1"/>
  <c r="AY1828" i="1"/>
  <c r="AY1827" i="1"/>
  <c r="AY1826" i="1"/>
  <c r="AY1825" i="1"/>
  <c r="AY1824" i="1"/>
  <c r="AY1823" i="1"/>
  <c r="AY1822" i="1"/>
  <c r="AY1821" i="1"/>
  <c r="AY1820" i="1"/>
  <c r="AY1819" i="1"/>
  <c r="AY1818" i="1"/>
  <c r="AY1817" i="1"/>
  <c r="AY1816" i="1"/>
  <c r="AY1815" i="1"/>
  <c r="AY1814" i="1"/>
  <c r="AY1813" i="1"/>
  <c r="AY1812" i="1"/>
  <c r="AY1811" i="1"/>
  <c r="AY1810" i="1"/>
  <c r="AY1809" i="1"/>
  <c r="AY1808" i="1"/>
  <c r="AY1807" i="1"/>
  <c r="AY1806" i="1"/>
  <c r="AY1805" i="1"/>
  <c r="AY1804" i="1"/>
  <c r="AY1803" i="1"/>
  <c r="AY1802" i="1"/>
  <c r="AY1801" i="1"/>
  <c r="AY1800" i="1"/>
  <c r="AY1798" i="1"/>
  <c r="AY1792" i="1"/>
  <c r="AY1797" i="1"/>
  <c r="AY1796" i="1"/>
  <c r="AY1795" i="1"/>
  <c r="AY1794" i="1"/>
  <c r="AY1793" i="1"/>
  <c r="BN1899" i="1"/>
  <c r="BN1898" i="1"/>
  <c r="BN1897" i="1"/>
  <c r="BN1896" i="1"/>
  <c r="BN1895" i="1"/>
  <c r="BN1894" i="1"/>
  <c r="BN1901" i="1"/>
  <c r="BN1902" i="1"/>
  <c r="BN1903" i="1"/>
  <c r="BN1904" i="1"/>
  <c r="BN1905" i="1"/>
  <c r="BN1906" i="1"/>
  <c r="BN1907" i="1"/>
  <c r="BN1908" i="1"/>
  <c r="BN1909" i="1"/>
  <c r="BN1910" i="1"/>
  <c r="AQ2030" i="1"/>
  <c r="AQ2029" i="1"/>
  <c r="AQ2028" i="1"/>
  <c r="AQ2027" i="1"/>
  <c r="AQ2026" i="1"/>
  <c r="AQ2025" i="1"/>
  <c r="AQ2024" i="1"/>
  <c r="AQ2023" i="1"/>
  <c r="AQ2022" i="1"/>
  <c r="AQ2021" i="1"/>
  <c r="AQ2020" i="1"/>
  <c r="AQ2018" i="1"/>
  <c r="AQ2017" i="1"/>
  <c r="AQ2016" i="1"/>
  <c r="AQ2015" i="1"/>
  <c r="AQ2014" i="1"/>
  <c r="AQ2013" i="1"/>
  <c r="AQ2011" i="1"/>
  <c r="AQ2010" i="1"/>
  <c r="AQ2009" i="1"/>
  <c r="AQ2008" i="1"/>
  <c r="AQ2007" i="1"/>
  <c r="AQ2006" i="1"/>
  <c r="AQ2005" i="1"/>
  <c r="AQ2004" i="1"/>
  <c r="AQ2003" i="1"/>
  <c r="AQ2002" i="1"/>
  <c r="AQ2001" i="1"/>
  <c r="AQ2000" i="1"/>
  <c r="AQ1999" i="1"/>
  <c r="AQ1998" i="1"/>
  <c r="AQ1997" i="1"/>
  <c r="AQ1996" i="1"/>
  <c r="AQ1995" i="1"/>
  <c r="AQ1994" i="1"/>
  <c r="AQ1993" i="1"/>
  <c r="AQ1992" i="1"/>
  <c r="AQ1991" i="1"/>
  <c r="AQ1990" i="1"/>
  <c r="AQ1989" i="1"/>
  <c r="AQ1988" i="1"/>
  <c r="AQ1987" i="1"/>
  <c r="AQ1986" i="1"/>
  <c r="AQ1985" i="1"/>
  <c r="AQ1983" i="1"/>
  <c r="AQ1982" i="1"/>
  <c r="AQ1981" i="1"/>
  <c r="AQ1980" i="1"/>
  <c r="AQ1979" i="1"/>
  <c r="AQ1978" i="1"/>
  <c r="AQ1977" i="1"/>
  <c r="AQ1976" i="1"/>
  <c r="AQ1974" i="1"/>
  <c r="AQ1973" i="1"/>
  <c r="AQ1972" i="1"/>
  <c r="AQ1971" i="1"/>
  <c r="AQ1970" i="1"/>
  <c r="AQ1969" i="1"/>
  <c r="AQ1968" i="1"/>
  <c r="AQ1967" i="1"/>
  <c r="AQ1966" i="1"/>
  <c r="AQ1965" i="1"/>
  <c r="AQ1964" i="1"/>
  <c r="AQ1963" i="1"/>
  <c r="AQ1962" i="1"/>
  <c r="AQ1961" i="1"/>
  <c r="AQ1960" i="1"/>
  <c r="AQ1959" i="1"/>
  <c r="AQ1958" i="1"/>
  <c r="AQ1957" i="1"/>
  <c r="AQ1956" i="1"/>
  <c r="AQ1955" i="1"/>
  <c r="AQ1954" i="1"/>
  <c r="AQ1953" i="1"/>
  <c r="AQ1952" i="1"/>
  <c r="AQ1951" i="1"/>
  <c r="AQ1950" i="1"/>
  <c r="AQ1949" i="1"/>
  <c r="AQ1948" i="1"/>
  <c r="AQ1947" i="1"/>
  <c r="AQ1946" i="1"/>
  <c r="AQ1945" i="1"/>
  <c r="AQ1944" i="1"/>
  <c r="AQ1943" i="1"/>
  <c r="AQ1942" i="1"/>
  <c r="AQ1941" i="1"/>
  <c r="AQ1940" i="1"/>
  <c r="AQ1939" i="1"/>
  <c r="AQ1938" i="1"/>
  <c r="AQ1937" i="1"/>
  <c r="AQ1936" i="1"/>
  <c r="AQ1935" i="1"/>
  <c r="AQ1934" i="1"/>
  <c r="AQ1933" i="1"/>
  <c r="AQ1932" i="1"/>
  <c r="AQ1931" i="1"/>
  <c r="AQ1930" i="1"/>
  <c r="AQ1929" i="1"/>
  <c r="AQ1927" i="1"/>
  <c r="AQ1926" i="1"/>
  <c r="AQ1925" i="1"/>
  <c r="AQ1924" i="1"/>
  <c r="AQ1923" i="1"/>
  <c r="AQ1922" i="1"/>
  <c r="AQ1921" i="1"/>
  <c r="AQ1920" i="1"/>
  <c r="AQ1919" i="1"/>
  <c r="AQ1918" i="1"/>
  <c r="AQ1917" i="1"/>
  <c r="AQ1916" i="1"/>
  <c r="AQ1915" i="1"/>
  <c r="AQ1914" i="1"/>
  <c r="AQ1913" i="1"/>
  <c r="AQ1912" i="1"/>
  <c r="AQ1910" i="1"/>
  <c r="AQ1909" i="1"/>
  <c r="AQ1908" i="1"/>
  <c r="AQ1907" i="1"/>
  <c r="AQ1906" i="1"/>
  <c r="AQ1905" i="1"/>
  <c r="AQ1904" i="1"/>
  <c r="AQ1903" i="1"/>
  <c r="AQ1902" i="1"/>
  <c r="AQ1901" i="1"/>
  <c r="AQ1899" i="1"/>
  <c r="AQ1898" i="1"/>
  <c r="AQ1897" i="1"/>
  <c r="AQ1896" i="1"/>
  <c r="AQ1895" i="1"/>
  <c r="AQ1894" i="1"/>
  <c r="AQ1892" i="1"/>
  <c r="AQ1891" i="1"/>
  <c r="AQ1890" i="1"/>
  <c r="AQ1889" i="1"/>
  <c r="AQ1888" i="1"/>
  <c r="AQ1887" i="1"/>
  <c r="AQ1886" i="1"/>
  <c r="AQ1885" i="1"/>
  <c r="AQ1883" i="1"/>
  <c r="AQ1882" i="1"/>
  <c r="AQ1881" i="1"/>
  <c r="AQ1880" i="1"/>
  <c r="AQ1879" i="1"/>
  <c r="AQ1878" i="1"/>
  <c r="AQ1877" i="1"/>
  <c r="AQ1876" i="1"/>
  <c r="AQ1875" i="1"/>
  <c r="AQ1874" i="1"/>
  <c r="AQ1873" i="1"/>
  <c r="AQ1872" i="1"/>
  <c r="AQ1871" i="1"/>
  <c r="AQ1870" i="1"/>
  <c r="AQ1869" i="1"/>
  <c r="AQ1868" i="1"/>
  <c r="AQ1866" i="1"/>
  <c r="AQ1865" i="1"/>
  <c r="AQ1864" i="1"/>
  <c r="AQ1863" i="1"/>
  <c r="AQ1862" i="1"/>
  <c r="AQ1861" i="1"/>
  <c r="AQ1860" i="1"/>
  <c r="AQ1859" i="1"/>
  <c r="AQ1858" i="1"/>
  <c r="AQ1857" i="1"/>
  <c r="AQ1856" i="1"/>
  <c r="AQ1855" i="1"/>
  <c r="AQ1854" i="1"/>
  <c r="AQ1853" i="1"/>
  <c r="AQ1852" i="1"/>
  <c r="AQ1851" i="1"/>
  <c r="AQ1850" i="1"/>
  <c r="AQ1849" i="1"/>
  <c r="AQ1848" i="1"/>
  <c r="AQ1847" i="1"/>
  <c r="AQ1846" i="1"/>
  <c r="AQ1845" i="1"/>
  <c r="AQ1844" i="1"/>
  <c r="AQ1843" i="1"/>
  <c r="AQ1842" i="1"/>
  <c r="AQ1841" i="1"/>
  <c r="AQ1840" i="1"/>
  <c r="AQ1839" i="1"/>
  <c r="AQ1838" i="1"/>
  <c r="AQ1837" i="1"/>
  <c r="AQ1836" i="1"/>
  <c r="AQ1835" i="1"/>
  <c r="AQ1834" i="1"/>
  <c r="AQ1833" i="1"/>
  <c r="AQ1832" i="1"/>
  <c r="AQ1831" i="1"/>
  <c r="AQ1830" i="1"/>
  <c r="AQ1829" i="1"/>
  <c r="AQ1828" i="1"/>
  <c r="AQ1827" i="1"/>
  <c r="AQ1826" i="1"/>
  <c r="AQ1825" i="1"/>
  <c r="AQ1824" i="1"/>
  <c r="AQ1823" i="1"/>
  <c r="AQ1822" i="1"/>
  <c r="AQ1821" i="1"/>
  <c r="AQ1820" i="1"/>
  <c r="AQ1819" i="1"/>
  <c r="AQ1818" i="1"/>
  <c r="AQ1817" i="1"/>
  <c r="AQ1816" i="1"/>
  <c r="AQ1815" i="1"/>
  <c r="AQ1814" i="1"/>
  <c r="AQ1813" i="1"/>
  <c r="AQ1812" i="1"/>
  <c r="AQ1811" i="1"/>
  <c r="AQ1810" i="1"/>
  <c r="AQ1809" i="1"/>
  <c r="AQ1808" i="1"/>
  <c r="AQ1807" i="1"/>
  <c r="AQ1806" i="1"/>
  <c r="AQ1805" i="1"/>
  <c r="AQ1804" i="1"/>
  <c r="AQ1803" i="1"/>
  <c r="AQ1802" i="1"/>
  <c r="AQ1801" i="1"/>
  <c r="AQ1800" i="1"/>
  <c r="AQ1793" i="1"/>
  <c r="AQ1794" i="1"/>
  <c r="AQ1795" i="1"/>
  <c r="AQ1796" i="1"/>
  <c r="AQ1797" i="1"/>
  <c r="AQ1798" i="1"/>
  <c r="AQ1792" i="1"/>
  <c r="BN1778" i="1"/>
  <c r="BN1779" i="1"/>
  <c r="BN1780" i="1"/>
  <c r="BN1781" i="1"/>
  <c r="BN1782" i="1"/>
  <c r="BN1783" i="1"/>
  <c r="BN1784" i="1"/>
  <c r="BN1785" i="1"/>
  <c r="BN1786" i="1"/>
  <c r="BN1787" i="1"/>
  <c r="BN1788" i="1"/>
  <c r="BN1789" i="1"/>
  <c r="BN1790" i="1"/>
  <c r="BN1792" i="1"/>
  <c r="BN1793" i="1"/>
  <c r="BN1794" i="1"/>
  <c r="BN1795" i="1"/>
  <c r="BN1796" i="1"/>
  <c r="BN1797" i="1"/>
  <c r="BN1798" i="1"/>
  <c r="BN1800" i="1"/>
  <c r="BN1801" i="1"/>
  <c r="BN1802" i="1"/>
  <c r="BN1803" i="1"/>
  <c r="BN1804" i="1"/>
  <c r="BN1805" i="1"/>
  <c r="BN1806" i="1"/>
  <c r="BN1807" i="1"/>
  <c r="BN1808" i="1"/>
  <c r="BN1809" i="1"/>
  <c r="BN1810" i="1"/>
  <c r="BN1811" i="1"/>
  <c r="BN1812" i="1"/>
  <c r="BN1813" i="1"/>
  <c r="BN1814" i="1"/>
  <c r="BN1815" i="1"/>
  <c r="BN1816" i="1"/>
  <c r="BN1817" i="1"/>
  <c r="BN1818" i="1"/>
  <c r="BN1819" i="1"/>
  <c r="BN1820" i="1"/>
  <c r="BN1821" i="1"/>
  <c r="BN1822" i="1"/>
  <c r="BN1823" i="1"/>
  <c r="BN1824" i="1"/>
  <c r="BN1825" i="1"/>
  <c r="BN1826" i="1"/>
  <c r="BN1827" i="1"/>
  <c r="BN1828" i="1"/>
  <c r="BN1829" i="1"/>
  <c r="BN1830" i="1"/>
  <c r="BN1831" i="1"/>
  <c r="BN1832" i="1"/>
  <c r="BN1833" i="1"/>
  <c r="BN1834" i="1"/>
  <c r="BN1835" i="1"/>
  <c r="BN1836" i="1"/>
  <c r="BN1837" i="1"/>
  <c r="BN1838" i="1"/>
  <c r="BN1839" i="1"/>
  <c r="BN1840" i="1"/>
  <c r="BN1841" i="1"/>
  <c r="BN1842" i="1"/>
  <c r="BN1843" i="1"/>
  <c r="BN1844" i="1"/>
  <c r="BN1845" i="1"/>
  <c r="BN1846" i="1"/>
  <c r="BN1847" i="1"/>
  <c r="BN1848" i="1"/>
  <c r="BN1849" i="1"/>
  <c r="BN1850" i="1"/>
  <c r="BN1851" i="1"/>
  <c r="BN1852" i="1"/>
  <c r="BN1853" i="1"/>
  <c r="BN1854" i="1"/>
  <c r="BN1855" i="1"/>
  <c r="BN1856" i="1"/>
  <c r="BN1857" i="1"/>
  <c r="BN1858" i="1"/>
  <c r="BN1859" i="1"/>
  <c r="BN1860" i="1"/>
  <c r="BN1861" i="1"/>
  <c r="BN1862" i="1"/>
  <c r="BN1863" i="1"/>
  <c r="BN1864" i="1"/>
  <c r="BN1865" i="1"/>
  <c r="BN1866" i="1"/>
  <c r="BN1868" i="1"/>
  <c r="BN1869" i="1"/>
  <c r="BN1870" i="1"/>
  <c r="BN1871" i="1"/>
  <c r="BN1872" i="1"/>
  <c r="BN1873" i="1"/>
  <c r="BN1874" i="1"/>
  <c r="BN1875" i="1"/>
  <c r="BN1876" i="1"/>
  <c r="BN1877" i="1"/>
  <c r="BN1878" i="1"/>
  <c r="BN1879" i="1"/>
  <c r="BN1880" i="1"/>
  <c r="BN1881" i="1"/>
  <c r="BN1882" i="1"/>
  <c r="BN1883" i="1"/>
  <c r="BN1885" i="1"/>
  <c r="BN1886" i="1"/>
  <c r="BN1887" i="1"/>
  <c r="BN1888" i="1"/>
  <c r="BN1889" i="1"/>
  <c r="BN1890" i="1"/>
  <c r="BN1891" i="1"/>
  <c r="BN1892" i="1"/>
  <c r="BN1912" i="1"/>
  <c r="BN1913" i="1"/>
  <c r="BN1914" i="1"/>
  <c r="BN1915" i="1"/>
  <c r="BN1916" i="1"/>
  <c r="BN1917" i="1"/>
  <c r="BN1918" i="1"/>
  <c r="BN1919" i="1"/>
  <c r="BN1920" i="1"/>
  <c r="BN1921" i="1"/>
  <c r="BN1922" i="1"/>
  <c r="BN1923" i="1"/>
  <c r="BN1924" i="1"/>
  <c r="BN1925" i="1"/>
  <c r="BN1926" i="1"/>
  <c r="BN1927" i="1"/>
  <c r="BN1929" i="1"/>
  <c r="BN1930" i="1"/>
  <c r="BN1931" i="1"/>
  <c r="BN1932" i="1"/>
  <c r="BN1933" i="1"/>
  <c r="BN1934" i="1"/>
  <c r="BN1935" i="1"/>
  <c r="BN1936" i="1"/>
  <c r="BN1937" i="1"/>
  <c r="BN1938" i="1"/>
  <c r="BN1939" i="1"/>
  <c r="BN1940" i="1"/>
  <c r="BN1941" i="1"/>
  <c r="BN1942" i="1"/>
  <c r="BN1943" i="1"/>
  <c r="BN1944" i="1"/>
  <c r="BN1945" i="1"/>
  <c r="BN1946" i="1"/>
  <c r="BN1947" i="1"/>
  <c r="BN1948" i="1"/>
  <c r="BN1949" i="1"/>
  <c r="BN1950" i="1"/>
  <c r="BN1951" i="1"/>
  <c r="BN1952" i="1"/>
  <c r="BN1953" i="1"/>
  <c r="BN1954" i="1"/>
  <c r="BN1955" i="1"/>
  <c r="BN1956" i="1"/>
  <c r="BN1957" i="1"/>
  <c r="BN1958" i="1"/>
  <c r="BN1959" i="1"/>
  <c r="BN1960" i="1"/>
  <c r="BN1961" i="1"/>
  <c r="BN1962" i="1"/>
  <c r="BN1963" i="1"/>
  <c r="BN1964" i="1"/>
  <c r="BN1965" i="1"/>
  <c r="BN1966" i="1"/>
  <c r="BN1967" i="1"/>
  <c r="BN1968" i="1"/>
  <c r="BN1969" i="1"/>
  <c r="BN1970" i="1"/>
  <c r="BN1971" i="1"/>
  <c r="BN1972" i="1"/>
  <c r="BN1973" i="1"/>
  <c r="BN1974" i="1"/>
  <c r="BN1976" i="1"/>
  <c r="BN1977" i="1"/>
  <c r="BN1978" i="1"/>
  <c r="BN1979" i="1"/>
  <c r="BN1980" i="1"/>
  <c r="BN1981" i="1"/>
  <c r="BN1982" i="1"/>
  <c r="BN1983" i="1"/>
  <c r="BN1985" i="1"/>
  <c r="BN1986" i="1"/>
  <c r="BN1987" i="1"/>
  <c r="BN1988" i="1"/>
  <c r="BN1989" i="1"/>
  <c r="BN1990" i="1"/>
  <c r="BN1991" i="1"/>
  <c r="BN1992" i="1"/>
  <c r="BN1993" i="1"/>
  <c r="BN1994" i="1"/>
  <c r="BN1995" i="1"/>
  <c r="BN1996" i="1"/>
  <c r="BN1997" i="1"/>
  <c r="BN1998" i="1"/>
  <c r="BN1999" i="1"/>
  <c r="BN2000" i="1"/>
  <c r="BN2001" i="1"/>
  <c r="BN2002" i="1"/>
  <c r="BN2003" i="1"/>
  <c r="BN2004" i="1"/>
  <c r="BN2005" i="1"/>
  <c r="BN2006" i="1"/>
  <c r="BN2007" i="1"/>
  <c r="BN2008" i="1"/>
  <c r="BN2009" i="1"/>
  <c r="BN2010" i="1"/>
  <c r="BN2011" i="1"/>
  <c r="BN2013" i="1"/>
  <c r="BN2014" i="1"/>
  <c r="BN2015" i="1"/>
  <c r="BN2016" i="1"/>
  <c r="BN2017" i="1"/>
  <c r="BN2018" i="1"/>
  <c r="BN2020" i="1"/>
  <c r="BN2021" i="1"/>
  <c r="BN2022" i="1"/>
  <c r="BN2023" i="1"/>
  <c r="BN2024" i="1"/>
  <c r="BN2025" i="1"/>
  <c r="BN2026" i="1"/>
  <c r="BN2027" i="1"/>
  <c r="BN2028" i="1"/>
  <c r="BN2029" i="1"/>
  <c r="BN2030" i="1"/>
  <c r="BL1778" i="1"/>
  <c r="AY1779" i="1"/>
  <c r="AY1780" i="1"/>
  <c r="AY1781" i="1"/>
  <c r="AY1782" i="1"/>
  <c r="AY1783" i="1"/>
  <c r="AY1784" i="1"/>
  <c r="AY1785" i="1"/>
  <c r="AY1786" i="1"/>
  <c r="AY1787" i="1"/>
  <c r="AY1788" i="1"/>
  <c r="AY1789" i="1"/>
  <c r="AY1790" i="1"/>
  <c r="AY1778" i="1"/>
  <c r="AX1778" i="1"/>
  <c r="AQ1778" i="1"/>
  <c r="AQ1779" i="1"/>
  <c r="AQ1780" i="1"/>
  <c r="AQ1781" i="1"/>
  <c r="AQ1782" i="1"/>
  <c r="AQ1783" i="1"/>
  <c r="AQ1784" i="1"/>
  <c r="AQ1785" i="1"/>
  <c r="AQ1786" i="1"/>
  <c r="AQ1787" i="1"/>
  <c r="AQ1788" i="1"/>
  <c r="AQ1789" i="1"/>
  <c r="AQ1790" i="1"/>
  <c r="H2117" i="2"/>
  <c r="P2116" i="2"/>
  <c r="H2116" i="2"/>
  <c r="P2115" i="2"/>
  <c r="H2115" i="2"/>
  <c r="P2114" i="2"/>
  <c r="H2114" i="2"/>
  <c r="P2113" i="2"/>
  <c r="H2113" i="2"/>
  <c r="P2112" i="2"/>
  <c r="H2112" i="2"/>
  <c r="P2111" i="2"/>
  <c r="H2111" i="2"/>
  <c r="H2110" i="2"/>
  <c r="F2106" i="2"/>
  <c r="F2068" i="2" a="1"/>
  <c r="F2068" i="2" s="1"/>
  <c r="BF2029" i="2"/>
  <c r="BD2029" i="2"/>
  <c r="BB2029" i="2"/>
  <c r="AZ2029" i="2"/>
  <c r="AX2029" i="2"/>
  <c r="AV2029" i="2"/>
  <c r="AS2029" i="2"/>
  <c r="AR2029" i="2"/>
  <c r="AQ2029" i="2"/>
  <c r="AP2029" i="2"/>
  <c r="AO2029" i="2"/>
  <c r="AN2029" i="2"/>
  <c r="AL2029" i="2"/>
  <c r="AG2029" i="2"/>
  <c r="AB2029" i="2"/>
  <c r="W2029" i="2"/>
  <c r="R2029" i="2"/>
  <c r="BF2028" i="2"/>
  <c r="BD2028" i="2"/>
  <c r="BB2028" i="2"/>
  <c r="AZ2028" i="2"/>
  <c r="AX2028" i="2"/>
  <c r="AV2028" i="2"/>
  <c r="AS2028" i="2"/>
  <c r="AR2028" i="2"/>
  <c r="AQ2028" i="2"/>
  <c r="AP2028" i="2"/>
  <c r="AO2028" i="2"/>
  <c r="AN2028" i="2"/>
  <c r="AL2028" i="2"/>
  <c r="AG2028" i="2"/>
  <c r="AB2028" i="2"/>
  <c r="W2028" i="2"/>
  <c r="R2028" i="2"/>
  <c r="M2028" i="2"/>
  <c r="BF2027" i="2"/>
  <c r="BD2027" i="2"/>
  <c r="BB2027" i="2"/>
  <c r="AZ2027" i="2"/>
  <c r="AX2027" i="2"/>
  <c r="AV2027" i="2"/>
  <c r="AS2027" i="2"/>
  <c r="AR2027" i="2"/>
  <c r="AQ2027" i="2"/>
  <c r="AP2027" i="2"/>
  <c r="AO2027" i="2"/>
  <c r="AN2027" i="2"/>
  <c r="AL2027" i="2"/>
  <c r="AG2027" i="2"/>
  <c r="AB2027" i="2"/>
  <c r="W2027" i="2"/>
  <c r="R2027" i="2"/>
  <c r="M2027" i="2"/>
  <c r="BF2026" i="2"/>
  <c r="BD2026" i="2"/>
  <c r="BB2026" i="2"/>
  <c r="AZ2026" i="2"/>
  <c r="AX2026" i="2"/>
  <c r="AV2026" i="2"/>
  <c r="AS2026" i="2"/>
  <c r="AR2026" i="2"/>
  <c r="AQ2026" i="2"/>
  <c r="AP2026" i="2"/>
  <c r="AO2026" i="2"/>
  <c r="AN2026" i="2"/>
  <c r="AL2026" i="2"/>
  <c r="AG2026" i="2"/>
  <c r="AB2026" i="2"/>
  <c r="W2026" i="2"/>
  <c r="R2026" i="2"/>
  <c r="M2026" i="2"/>
  <c r="BF2025" i="2"/>
  <c r="BD2025" i="2"/>
  <c r="BB2025" i="2"/>
  <c r="AZ2025" i="2"/>
  <c r="AX2025" i="2"/>
  <c r="AV2025" i="2"/>
  <c r="AS2025" i="2"/>
  <c r="AR2025" i="2"/>
  <c r="AQ2025" i="2"/>
  <c r="AP2025" i="2"/>
  <c r="AO2025" i="2"/>
  <c r="AN2025" i="2"/>
  <c r="AL2025" i="2"/>
  <c r="AG2025" i="2"/>
  <c r="AB2025" i="2"/>
  <c r="W2025" i="2"/>
  <c r="R2025" i="2"/>
  <c r="M2025" i="2"/>
  <c r="BF2024" i="2"/>
  <c r="BD2024" i="2"/>
  <c r="BB2024" i="2"/>
  <c r="AZ2024" i="2"/>
  <c r="AX2024" i="2"/>
  <c r="AV2024" i="2"/>
  <c r="AS2024" i="2"/>
  <c r="AR2024" i="2"/>
  <c r="AQ2024" i="2"/>
  <c r="AP2024" i="2"/>
  <c r="AO2024" i="2"/>
  <c r="AN2024" i="2"/>
  <c r="AL2024" i="2"/>
  <c r="AG2024" i="2"/>
  <c r="AB2024" i="2"/>
  <c r="W2024" i="2"/>
  <c r="R2024" i="2"/>
  <c r="M2024" i="2"/>
  <c r="BF2023" i="2"/>
  <c r="BD2023" i="2"/>
  <c r="BB2023" i="2"/>
  <c r="AZ2023" i="2"/>
  <c r="AX2023" i="2"/>
  <c r="AV2023" i="2"/>
  <c r="AS2023" i="2"/>
  <c r="AR2023" i="2"/>
  <c r="AQ2023" i="2"/>
  <c r="AP2023" i="2"/>
  <c r="AO2023" i="2"/>
  <c r="AN2023" i="2"/>
  <c r="AL2023" i="2"/>
  <c r="AG2023" i="2"/>
  <c r="AB2023" i="2"/>
  <c r="W2023" i="2"/>
  <c r="R2023" i="2"/>
  <c r="M2023" i="2"/>
  <c r="BF2022" i="2"/>
  <c r="BD2022" i="2"/>
  <c r="BB2022" i="2"/>
  <c r="AZ2022" i="2"/>
  <c r="AX2022" i="2"/>
  <c r="AV2022" i="2"/>
  <c r="AS2022" i="2"/>
  <c r="AR2022" i="2"/>
  <c r="AQ2022" i="2"/>
  <c r="AP2022" i="2"/>
  <c r="AO2022" i="2"/>
  <c r="AN2022" i="2"/>
  <c r="AL2022" i="2"/>
  <c r="AG2022" i="2"/>
  <c r="AB2022" i="2"/>
  <c r="W2022" i="2"/>
  <c r="R2022" i="2"/>
  <c r="M2022" i="2"/>
  <c r="BF2021" i="2"/>
  <c r="BD2021" i="2"/>
  <c r="BB2021" i="2"/>
  <c r="AZ2021" i="2"/>
  <c r="AX2021" i="2"/>
  <c r="AV2021" i="2"/>
  <c r="AS2021" i="2"/>
  <c r="AR2021" i="2"/>
  <c r="AQ2021" i="2"/>
  <c r="AP2021" i="2"/>
  <c r="AO2021" i="2"/>
  <c r="AN2021" i="2"/>
  <c r="AL2021" i="2"/>
  <c r="AG2021" i="2"/>
  <c r="AB2021" i="2"/>
  <c r="W2021" i="2"/>
  <c r="R2021" i="2"/>
  <c r="M2021" i="2"/>
  <c r="BF2020" i="2"/>
  <c r="BD2020" i="2"/>
  <c r="BB2020" i="2"/>
  <c r="AZ2020" i="2"/>
  <c r="AX2020" i="2"/>
  <c r="AV2020" i="2"/>
  <c r="AS2020" i="2"/>
  <c r="AR2020" i="2"/>
  <c r="AQ2020" i="2"/>
  <c r="AP2020" i="2"/>
  <c r="AO2020" i="2"/>
  <c r="AN2020" i="2"/>
  <c r="AL2020" i="2"/>
  <c r="AG2020" i="2"/>
  <c r="AB2020" i="2"/>
  <c r="W2020" i="2"/>
  <c r="R2020" i="2"/>
  <c r="M2020" i="2"/>
  <c r="BF2019" i="2"/>
  <c r="BD2019" i="2"/>
  <c r="BB2019" i="2"/>
  <c r="AZ2019" i="2"/>
  <c r="AX2019" i="2"/>
  <c r="AV2019" i="2"/>
  <c r="AS2019" i="2"/>
  <c r="AR2019" i="2"/>
  <c r="AQ2019" i="2"/>
  <c r="AP2019" i="2"/>
  <c r="AO2019" i="2"/>
  <c r="AN2019" i="2"/>
  <c r="AL2019" i="2"/>
  <c r="AG2019" i="2"/>
  <c r="AB2019" i="2"/>
  <c r="W2019" i="2"/>
  <c r="R2019" i="2"/>
  <c r="M2019" i="2"/>
  <c r="AT2018" i="2"/>
  <c r="AU2019" i="2" s="1"/>
  <c r="BF2017" i="2"/>
  <c r="BD2017" i="2"/>
  <c r="BB2017" i="2"/>
  <c r="AZ2017" i="2"/>
  <c r="AX2017" i="2"/>
  <c r="AV2017" i="2"/>
  <c r="AS2017" i="2"/>
  <c r="AR2017" i="2"/>
  <c r="AQ2017" i="2"/>
  <c r="AP2017" i="2"/>
  <c r="AO2017" i="2"/>
  <c r="AN2017" i="2"/>
  <c r="AL2017" i="2"/>
  <c r="AG2017" i="2"/>
  <c r="AB2017" i="2"/>
  <c r="W2017" i="2"/>
  <c r="R2017" i="2"/>
  <c r="M2017" i="2"/>
  <c r="BF2016" i="2"/>
  <c r="BD2016" i="2"/>
  <c r="BB2016" i="2"/>
  <c r="AZ2016" i="2"/>
  <c r="AX2016" i="2"/>
  <c r="AV2016" i="2"/>
  <c r="AS2016" i="2"/>
  <c r="AR2016" i="2"/>
  <c r="AQ2016" i="2"/>
  <c r="AP2016" i="2"/>
  <c r="AO2016" i="2"/>
  <c r="AN2016" i="2"/>
  <c r="AL2016" i="2"/>
  <c r="AG2016" i="2"/>
  <c r="AB2016" i="2"/>
  <c r="W2016" i="2"/>
  <c r="R2016" i="2"/>
  <c r="M2016" i="2"/>
  <c r="BF2015" i="2"/>
  <c r="BD2015" i="2"/>
  <c r="BB2015" i="2"/>
  <c r="AZ2015" i="2"/>
  <c r="AX2015" i="2"/>
  <c r="AV2015" i="2"/>
  <c r="AS2015" i="2"/>
  <c r="AR2015" i="2"/>
  <c r="AQ2015" i="2"/>
  <c r="AP2015" i="2"/>
  <c r="AO2015" i="2"/>
  <c r="AN2015" i="2"/>
  <c r="AL2015" i="2"/>
  <c r="AG2015" i="2"/>
  <c r="AB2015" i="2"/>
  <c r="W2015" i="2"/>
  <c r="R2015" i="2"/>
  <c r="M2015" i="2"/>
  <c r="BF2014" i="2"/>
  <c r="BD2014" i="2"/>
  <c r="BB2014" i="2"/>
  <c r="AZ2014" i="2"/>
  <c r="AX2014" i="2"/>
  <c r="AV2014" i="2"/>
  <c r="AS2014" i="2"/>
  <c r="AR2014" i="2"/>
  <c r="AQ2014" i="2"/>
  <c r="AP2014" i="2"/>
  <c r="AO2014" i="2"/>
  <c r="AN2014" i="2"/>
  <c r="AL2014" i="2"/>
  <c r="AG2014" i="2"/>
  <c r="AB2014" i="2"/>
  <c r="W2014" i="2"/>
  <c r="R2014" i="2"/>
  <c r="M2014" i="2"/>
  <c r="BF2013" i="2"/>
  <c r="BD2013" i="2"/>
  <c r="BB2013" i="2"/>
  <c r="AZ2013" i="2"/>
  <c r="AX2013" i="2"/>
  <c r="AV2013" i="2"/>
  <c r="AS2013" i="2"/>
  <c r="AR2013" i="2"/>
  <c r="AQ2013" i="2"/>
  <c r="AP2013" i="2"/>
  <c r="AO2013" i="2"/>
  <c r="AN2013" i="2"/>
  <c r="AL2013" i="2"/>
  <c r="AG2013" i="2"/>
  <c r="AB2013" i="2"/>
  <c r="W2013" i="2"/>
  <c r="R2013" i="2"/>
  <c r="M2013" i="2"/>
  <c r="BF2012" i="2"/>
  <c r="BD2012" i="2"/>
  <c r="BB2012" i="2"/>
  <c r="AZ2012" i="2"/>
  <c r="AX2012" i="2"/>
  <c r="AV2012" i="2"/>
  <c r="AS2012" i="2"/>
  <c r="AR2012" i="2"/>
  <c r="AQ2012" i="2"/>
  <c r="AP2012" i="2"/>
  <c r="AO2012" i="2"/>
  <c r="AN2012" i="2"/>
  <c r="AL2012" i="2"/>
  <c r="AG2012" i="2"/>
  <c r="AB2012" i="2"/>
  <c r="W2012" i="2"/>
  <c r="R2012" i="2"/>
  <c r="M2012" i="2"/>
  <c r="AT2011" i="2"/>
  <c r="AU2015" i="2" s="1"/>
  <c r="BF2010" i="2"/>
  <c r="BD2010" i="2"/>
  <c r="BB2010" i="2"/>
  <c r="AZ2010" i="2"/>
  <c r="AX2010" i="2"/>
  <c r="AV2010" i="2"/>
  <c r="AS2010" i="2"/>
  <c r="AR2010" i="2"/>
  <c r="AQ2010" i="2"/>
  <c r="AP2010" i="2"/>
  <c r="AO2010" i="2"/>
  <c r="AN2010" i="2"/>
  <c r="AL2010" i="2"/>
  <c r="AG2010" i="2"/>
  <c r="AB2010" i="2"/>
  <c r="W2010" i="2"/>
  <c r="R2010" i="2"/>
  <c r="M2010" i="2"/>
  <c r="BF2009" i="2"/>
  <c r="BD2009" i="2"/>
  <c r="BB2009" i="2"/>
  <c r="AZ2009" i="2"/>
  <c r="AX2009" i="2"/>
  <c r="AV2009" i="2"/>
  <c r="AS2009" i="2"/>
  <c r="AR2009" i="2"/>
  <c r="AQ2009" i="2"/>
  <c r="AP2009" i="2"/>
  <c r="AO2009" i="2"/>
  <c r="AN2009" i="2"/>
  <c r="AL2009" i="2"/>
  <c r="AG2009" i="2"/>
  <c r="AB2009" i="2"/>
  <c r="W2009" i="2"/>
  <c r="R2009" i="2"/>
  <c r="M2009" i="2"/>
  <c r="BF2008" i="2"/>
  <c r="BD2008" i="2"/>
  <c r="BB2008" i="2"/>
  <c r="AZ2008" i="2"/>
  <c r="AX2008" i="2"/>
  <c r="AV2008" i="2"/>
  <c r="AS2008" i="2"/>
  <c r="AR2008" i="2"/>
  <c r="AQ2008" i="2"/>
  <c r="AP2008" i="2"/>
  <c r="AO2008" i="2"/>
  <c r="AN2008" i="2"/>
  <c r="AL2008" i="2"/>
  <c r="AG2008" i="2"/>
  <c r="AB2008" i="2"/>
  <c r="W2008" i="2"/>
  <c r="R2008" i="2"/>
  <c r="M2008" i="2"/>
  <c r="BF2007" i="2"/>
  <c r="BD2007" i="2"/>
  <c r="BB2007" i="2"/>
  <c r="AZ2007" i="2"/>
  <c r="AX2007" i="2"/>
  <c r="AV2007" i="2"/>
  <c r="AS2007" i="2"/>
  <c r="AR2007" i="2"/>
  <c r="AQ2007" i="2"/>
  <c r="AP2007" i="2"/>
  <c r="AO2007" i="2"/>
  <c r="AN2007" i="2"/>
  <c r="AL2007" i="2"/>
  <c r="AG2007" i="2"/>
  <c r="AB2007" i="2"/>
  <c r="W2007" i="2"/>
  <c r="R2007" i="2"/>
  <c r="M2007" i="2"/>
  <c r="BF2006" i="2"/>
  <c r="BD2006" i="2"/>
  <c r="BB2006" i="2"/>
  <c r="AZ2006" i="2"/>
  <c r="AX2006" i="2"/>
  <c r="AV2006" i="2"/>
  <c r="AS2006" i="2"/>
  <c r="AR2006" i="2"/>
  <c r="AQ2006" i="2"/>
  <c r="AP2006" i="2"/>
  <c r="AO2006" i="2"/>
  <c r="AN2006" i="2"/>
  <c r="AL2006" i="2"/>
  <c r="AG2006" i="2"/>
  <c r="AB2006" i="2"/>
  <c r="W2006" i="2"/>
  <c r="R2006" i="2"/>
  <c r="M2006" i="2"/>
  <c r="BF2005" i="2"/>
  <c r="BD2005" i="2"/>
  <c r="BB2005" i="2"/>
  <c r="AZ2005" i="2"/>
  <c r="AX2005" i="2"/>
  <c r="AV2005" i="2"/>
  <c r="AS2005" i="2"/>
  <c r="AR2005" i="2"/>
  <c r="AQ2005" i="2"/>
  <c r="AP2005" i="2"/>
  <c r="AO2005" i="2"/>
  <c r="AN2005" i="2"/>
  <c r="AL2005" i="2"/>
  <c r="AG2005" i="2"/>
  <c r="AB2005" i="2"/>
  <c r="W2005" i="2"/>
  <c r="R2005" i="2"/>
  <c r="M2005" i="2"/>
  <c r="BF2004" i="2"/>
  <c r="BD2004" i="2"/>
  <c r="BB2004" i="2"/>
  <c r="AZ2004" i="2"/>
  <c r="AX2004" i="2"/>
  <c r="AV2004" i="2"/>
  <c r="AS2004" i="2"/>
  <c r="AR2004" i="2"/>
  <c r="AQ2004" i="2"/>
  <c r="AP2004" i="2"/>
  <c r="AO2004" i="2"/>
  <c r="AN2004" i="2"/>
  <c r="AL2004" i="2"/>
  <c r="AG2004" i="2"/>
  <c r="AB2004" i="2"/>
  <c r="W2004" i="2"/>
  <c r="R2004" i="2"/>
  <c r="M2004" i="2"/>
  <c r="BF2003" i="2"/>
  <c r="BD2003" i="2"/>
  <c r="BB2003" i="2"/>
  <c r="AZ2003" i="2"/>
  <c r="AX2003" i="2"/>
  <c r="AV2003" i="2"/>
  <c r="AS2003" i="2"/>
  <c r="AR2003" i="2"/>
  <c r="AQ2003" i="2"/>
  <c r="AP2003" i="2"/>
  <c r="AO2003" i="2"/>
  <c r="AN2003" i="2"/>
  <c r="AL2003" i="2"/>
  <c r="AG2003" i="2"/>
  <c r="AB2003" i="2"/>
  <c r="W2003" i="2"/>
  <c r="R2003" i="2"/>
  <c r="M2003" i="2"/>
  <c r="BF2002" i="2"/>
  <c r="BD2002" i="2"/>
  <c r="BB2002" i="2"/>
  <c r="AZ2002" i="2"/>
  <c r="AX2002" i="2"/>
  <c r="AV2002" i="2"/>
  <c r="AS2002" i="2"/>
  <c r="AR2002" i="2"/>
  <c r="AQ2002" i="2"/>
  <c r="AP2002" i="2"/>
  <c r="AO2002" i="2"/>
  <c r="AN2002" i="2"/>
  <c r="AL2002" i="2"/>
  <c r="AG2002" i="2"/>
  <c r="AB2002" i="2"/>
  <c r="W2002" i="2"/>
  <c r="R2002" i="2"/>
  <c r="M2002" i="2"/>
  <c r="BF2001" i="2"/>
  <c r="BD2001" i="2"/>
  <c r="BB2001" i="2"/>
  <c r="AZ2001" i="2"/>
  <c r="AX2001" i="2"/>
  <c r="AV2001" i="2"/>
  <c r="AS2001" i="2"/>
  <c r="AR2001" i="2"/>
  <c r="AQ2001" i="2"/>
  <c r="AP2001" i="2"/>
  <c r="AO2001" i="2"/>
  <c r="AN2001" i="2"/>
  <c r="AL2001" i="2"/>
  <c r="AG2001" i="2"/>
  <c r="AB2001" i="2"/>
  <c r="W2001" i="2"/>
  <c r="R2001" i="2"/>
  <c r="M2001" i="2"/>
  <c r="BF2000" i="2"/>
  <c r="BD2000" i="2"/>
  <c r="BB2000" i="2"/>
  <c r="AZ2000" i="2"/>
  <c r="AX2000" i="2"/>
  <c r="AV2000" i="2"/>
  <c r="AS2000" i="2"/>
  <c r="AR2000" i="2"/>
  <c r="AQ2000" i="2"/>
  <c r="AP2000" i="2"/>
  <c r="AO2000" i="2"/>
  <c r="AN2000" i="2"/>
  <c r="AL2000" i="2"/>
  <c r="AG2000" i="2"/>
  <c r="AB2000" i="2"/>
  <c r="W2000" i="2"/>
  <c r="R2000" i="2"/>
  <c r="M2000" i="2"/>
  <c r="BF1999" i="2"/>
  <c r="BD1999" i="2"/>
  <c r="BB1999" i="2"/>
  <c r="AZ1999" i="2"/>
  <c r="AX1999" i="2"/>
  <c r="AV1999" i="2"/>
  <c r="AS1999" i="2"/>
  <c r="AR1999" i="2"/>
  <c r="AQ1999" i="2"/>
  <c r="AP1999" i="2"/>
  <c r="AO1999" i="2"/>
  <c r="AN1999" i="2"/>
  <c r="AL1999" i="2"/>
  <c r="AG1999" i="2"/>
  <c r="AB1999" i="2"/>
  <c r="W1999" i="2"/>
  <c r="R1999" i="2"/>
  <c r="M1999" i="2"/>
  <c r="BF1998" i="2"/>
  <c r="BD1998" i="2"/>
  <c r="BB1998" i="2"/>
  <c r="AZ1998" i="2"/>
  <c r="AX1998" i="2"/>
  <c r="AV1998" i="2"/>
  <c r="AS1998" i="2"/>
  <c r="AR1998" i="2"/>
  <c r="AQ1998" i="2"/>
  <c r="AP1998" i="2"/>
  <c r="AO1998" i="2"/>
  <c r="AN1998" i="2"/>
  <c r="AL1998" i="2"/>
  <c r="AG1998" i="2"/>
  <c r="AB1998" i="2"/>
  <c r="W1998" i="2"/>
  <c r="R1998" i="2"/>
  <c r="M1998" i="2"/>
  <c r="BF1997" i="2"/>
  <c r="BD1997" i="2"/>
  <c r="BB1997" i="2"/>
  <c r="AZ1997" i="2"/>
  <c r="AX1997" i="2"/>
  <c r="AV1997" i="2"/>
  <c r="AS1997" i="2"/>
  <c r="AR1997" i="2"/>
  <c r="AQ1997" i="2"/>
  <c r="AP1997" i="2"/>
  <c r="AO1997" i="2"/>
  <c r="AN1997" i="2"/>
  <c r="AL1997" i="2"/>
  <c r="AG1997" i="2"/>
  <c r="AB1997" i="2"/>
  <c r="W1997" i="2"/>
  <c r="R1997" i="2"/>
  <c r="M1997" i="2"/>
  <c r="BF1996" i="2"/>
  <c r="BD1996" i="2"/>
  <c r="BB1996" i="2"/>
  <c r="AZ1996" i="2"/>
  <c r="AX1996" i="2"/>
  <c r="AV1996" i="2"/>
  <c r="AS1996" i="2"/>
  <c r="AR1996" i="2"/>
  <c r="AQ1996" i="2"/>
  <c r="AP1996" i="2"/>
  <c r="AO1996" i="2"/>
  <c r="AN1996" i="2"/>
  <c r="AL1996" i="2"/>
  <c r="AG1996" i="2"/>
  <c r="AB1996" i="2"/>
  <c r="W1996" i="2"/>
  <c r="R1996" i="2"/>
  <c r="M1996" i="2"/>
  <c r="BF1995" i="2"/>
  <c r="BD1995" i="2"/>
  <c r="BB1995" i="2"/>
  <c r="AZ1995" i="2"/>
  <c r="AX1995" i="2"/>
  <c r="AV1995" i="2"/>
  <c r="AS1995" i="2"/>
  <c r="AR1995" i="2"/>
  <c r="AQ1995" i="2"/>
  <c r="AP1995" i="2"/>
  <c r="AO1995" i="2"/>
  <c r="AN1995" i="2"/>
  <c r="AL1995" i="2"/>
  <c r="AG1995" i="2"/>
  <c r="AB1995" i="2"/>
  <c r="W1995" i="2"/>
  <c r="R1995" i="2"/>
  <c r="M1995" i="2"/>
  <c r="BF1994" i="2"/>
  <c r="BD1994" i="2"/>
  <c r="BB1994" i="2"/>
  <c r="AZ1994" i="2"/>
  <c r="AX1994" i="2"/>
  <c r="AV1994" i="2"/>
  <c r="AS1994" i="2"/>
  <c r="AR1994" i="2"/>
  <c r="AQ1994" i="2"/>
  <c r="AP1994" i="2"/>
  <c r="AO1994" i="2"/>
  <c r="AN1994" i="2"/>
  <c r="AL1994" i="2"/>
  <c r="AG1994" i="2"/>
  <c r="AB1994" i="2"/>
  <c r="W1994" i="2"/>
  <c r="R1994" i="2"/>
  <c r="M1994" i="2"/>
  <c r="BF1993" i="2"/>
  <c r="BD1993" i="2"/>
  <c r="BB1993" i="2"/>
  <c r="AZ1993" i="2"/>
  <c r="AX1993" i="2"/>
  <c r="AV1993" i="2"/>
  <c r="AS1993" i="2"/>
  <c r="AR1993" i="2"/>
  <c r="AQ1993" i="2"/>
  <c r="AP1993" i="2"/>
  <c r="AO1993" i="2"/>
  <c r="AN1993" i="2"/>
  <c r="AL1993" i="2"/>
  <c r="AG1993" i="2"/>
  <c r="AB1993" i="2"/>
  <c r="W1993" i="2"/>
  <c r="R1993" i="2"/>
  <c r="M1993" i="2"/>
  <c r="BF1992" i="2"/>
  <c r="BD1992" i="2"/>
  <c r="BB1992" i="2"/>
  <c r="AZ1992" i="2"/>
  <c r="AX1992" i="2"/>
  <c r="AV1992" i="2"/>
  <c r="AS1992" i="2"/>
  <c r="AR1992" i="2"/>
  <c r="AQ1992" i="2"/>
  <c r="AP1992" i="2"/>
  <c r="AO1992" i="2"/>
  <c r="AN1992" i="2"/>
  <c r="AL1992" i="2"/>
  <c r="AG1992" i="2"/>
  <c r="AB1992" i="2"/>
  <c r="W1992" i="2"/>
  <c r="R1992" i="2"/>
  <c r="M1992" i="2"/>
  <c r="BF1991" i="2"/>
  <c r="BD1991" i="2"/>
  <c r="BB1991" i="2"/>
  <c r="AZ1991" i="2"/>
  <c r="AX1991" i="2"/>
  <c r="AV1991" i="2"/>
  <c r="AS1991" i="2"/>
  <c r="AR1991" i="2"/>
  <c r="AQ1991" i="2"/>
  <c r="AP1991" i="2"/>
  <c r="AO1991" i="2"/>
  <c r="AN1991" i="2"/>
  <c r="AL1991" i="2"/>
  <c r="AG1991" i="2"/>
  <c r="AB1991" i="2"/>
  <c r="W1991" i="2"/>
  <c r="R1991" i="2"/>
  <c r="M1991" i="2"/>
  <c r="BF1990" i="2"/>
  <c r="BD1990" i="2"/>
  <c r="BB1990" i="2"/>
  <c r="AZ1990" i="2"/>
  <c r="AX1990" i="2"/>
  <c r="AV1990" i="2"/>
  <c r="AS1990" i="2"/>
  <c r="AR1990" i="2"/>
  <c r="AQ1990" i="2"/>
  <c r="AP1990" i="2"/>
  <c r="AO1990" i="2"/>
  <c r="AN1990" i="2"/>
  <c r="AL1990" i="2"/>
  <c r="AG1990" i="2"/>
  <c r="AB1990" i="2"/>
  <c r="W1990" i="2"/>
  <c r="R1990" i="2"/>
  <c r="M1990" i="2"/>
  <c r="BF1989" i="2"/>
  <c r="BD1989" i="2"/>
  <c r="BB1989" i="2"/>
  <c r="AZ1989" i="2"/>
  <c r="AX1989" i="2"/>
  <c r="AV1989" i="2"/>
  <c r="AS1989" i="2"/>
  <c r="AR1989" i="2"/>
  <c r="AQ1989" i="2"/>
  <c r="AP1989" i="2"/>
  <c r="AO1989" i="2"/>
  <c r="AN1989" i="2"/>
  <c r="AL1989" i="2"/>
  <c r="AG1989" i="2"/>
  <c r="AB1989" i="2"/>
  <c r="W1989" i="2"/>
  <c r="R1989" i="2"/>
  <c r="M1989" i="2"/>
  <c r="BF1988" i="2"/>
  <c r="BD1988" i="2"/>
  <c r="BB1988" i="2"/>
  <c r="AZ1988" i="2"/>
  <c r="AX1988" i="2"/>
  <c r="AV1988" i="2"/>
  <c r="AS1988" i="2"/>
  <c r="AR1988" i="2"/>
  <c r="AQ1988" i="2"/>
  <c r="AP1988" i="2"/>
  <c r="AO1988" i="2"/>
  <c r="AN1988" i="2"/>
  <c r="AL1988" i="2"/>
  <c r="AG1988" i="2"/>
  <c r="AB1988" i="2"/>
  <c r="W1988" i="2"/>
  <c r="R1988" i="2"/>
  <c r="M1988" i="2"/>
  <c r="BF1987" i="2"/>
  <c r="BD1987" i="2"/>
  <c r="BB1987" i="2"/>
  <c r="AZ1987" i="2"/>
  <c r="AX1987" i="2"/>
  <c r="AV1987" i="2"/>
  <c r="AS1987" i="2"/>
  <c r="AR1987" i="2"/>
  <c r="AQ1987" i="2"/>
  <c r="AP1987" i="2"/>
  <c r="AO1987" i="2"/>
  <c r="AN1987" i="2"/>
  <c r="AL1987" i="2"/>
  <c r="AG1987" i="2"/>
  <c r="AB1987" i="2"/>
  <c r="W1987" i="2"/>
  <c r="R1987" i="2"/>
  <c r="M1987" i="2"/>
  <c r="BF1986" i="2"/>
  <c r="BD1986" i="2"/>
  <c r="BB1986" i="2"/>
  <c r="AZ1986" i="2"/>
  <c r="AX1986" i="2"/>
  <c r="AV1986" i="2"/>
  <c r="AS1986" i="2"/>
  <c r="AR1986" i="2"/>
  <c r="AQ1986" i="2"/>
  <c r="AP1986" i="2"/>
  <c r="AO1986" i="2"/>
  <c r="AN1986" i="2"/>
  <c r="AL1986" i="2"/>
  <c r="AG1986" i="2"/>
  <c r="AB1986" i="2"/>
  <c r="W1986" i="2"/>
  <c r="R1986" i="2"/>
  <c r="M1986" i="2"/>
  <c r="BF1985" i="2"/>
  <c r="BD1985" i="2"/>
  <c r="BB1985" i="2"/>
  <c r="AZ1985" i="2"/>
  <c r="AX1985" i="2"/>
  <c r="AV1985" i="2"/>
  <c r="AS1985" i="2"/>
  <c r="AR1985" i="2"/>
  <c r="AQ1985" i="2"/>
  <c r="AP1985" i="2"/>
  <c r="AO1985" i="2"/>
  <c r="AN1985" i="2"/>
  <c r="AL1985" i="2"/>
  <c r="AG1985" i="2"/>
  <c r="AB1985" i="2"/>
  <c r="W1985" i="2"/>
  <c r="R1985" i="2"/>
  <c r="M1985" i="2"/>
  <c r="BF1984" i="2"/>
  <c r="BD1984" i="2"/>
  <c r="BB1984" i="2"/>
  <c r="AZ1984" i="2"/>
  <c r="AX1984" i="2"/>
  <c r="AV1984" i="2"/>
  <c r="AS1984" i="2"/>
  <c r="AR1984" i="2"/>
  <c r="AQ1984" i="2"/>
  <c r="AP1984" i="2"/>
  <c r="AO1984" i="2"/>
  <c r="AN1984" i="2"/>
  <c r="AL1984" i="2"/>
  <c r="AG1984" i="2"/>
  <c r="AB1984" i="2"/>
  <c r="W1984" i="2"/>
  <c r="R1984" i="2"/>
  <c r="M1984" i="2"/>
  <c r="AT1983" i="2"/>
  <c r="AU2009" i="2" s="1"/>
  <c r="AM1983" i="2"/>
  <c r="BF1982" i="2"/>
  <c r="BD1982" i="2"/>
  <c r="BB1982" i="2"/>
  <c r="AZ1982" i="2"/>
  <c r="AX1982" i="2"/>
  <c r="AV1982" i="2"/>
  <c r="AS1982" i="2"/>
  <c r="AR1982" i="2"/>
  <c r="AP1982" i="2"/>
  <c r="AO1982" i="2"/>
  <c r="AN1982" i="2"/>
  <c r="AL1982" i="2"/>
  <c r="AG1982" i="2"/>
  <c r="AB1982" i="2"/>
  <c r="W1982" i="2"/>
  <c r="R1982" i="2"/>
  <c r="M1982" i="2"/>
  <c r="BF1981" i="2"/>
  <c r="BD1981" i="2"/>
  <c r="BB1981" i="2"/>
  <c r="AZ1981" i="2"/>
  <c r="AX1981" i="2"/>
  <c r="AV1981" i="2"/>
  <c r="AS1981" i="2"/>
  <c r="AR1981" i="2"/>
  <c r="AQ1981" i="2"/>
  <c r="AP1981" i="2"/>
  <c r="AO1981" i="2"/>
  <c r="AN1981" i="2"/>
  <c r="AL1981" i="2"/>
  <c r="AG1981" i="2"/>
  <c r="AB1981" i="2"/>
  <c r="W1981" i="2"/>
  <c r="R1981" i="2"/>
  <c r="M1981" i="2"/>
  <c r="BF1980" i="2"/>
  <c r="BD1980" i="2"/>
  <c r="BB1980" i="2"/>
  <c r="AZ1980" i="2"/>
  <c r="AX1980" i="2"/>
  <c r="AV1980" i="2"/>
  <c r="AS1980" i="2"/>
  <c r="AR1980" i="2"/>
  <c r="AQ1980" i="2"/>
  <c r="AP1980" i="2"/>
  <c r="AO1980" i="2"/>
  <c r="AN1980" i="2"/>
  <c r="AL1980" i="2"/>
  <c r="AG1980" i="2"/>
  <c r="AB1980" i="2"/>
  <c r="W1980" i="2"/>
  <c r="R1980" i="2"/>
  <c r="M1980" i="2"/>
  <c r="BF1979" i="2"/>
  <c r="BD1979" i="2"/>
  <c r="BB1979" i="2"/>
  <c r="AZ1979" i="2"/>
  <c r="AX1979" i="2"/>
  <c r="AV1979" i="2"/>
  <c r="AS1979" i="2"/>
  <c r="AR1979" i="2"/>
  <c r="AP1979" i="2"/>
  <c r="AO1979" i="2"/>
  <c r="AN1979" i="2"/>
  <c r="AL1979" i="2"/>
  <c r="AG1979" i="2"/>
  <c r="AB1979" i="2"/>
  <c r="W1979" i="2"/>
  <c r="R1979" i="2"/>
  <c r="M1979" i="2"/>
  <c r="BF1978" i="2"/>
  <c r="BD1978" i="2"/>
  <c r="BB1978" i="2"/>
  <c r="AZ1978" i="2"/>
  <c r="AX1978" i="2"/>
  <c r="AV1978" i="2"/>
  <c r="AS1978" i="2"/>
  <c r="AR1978" i="2"/>
  <c r="AQ1978" i="2"/>
  <c r="AP1978" i="2"/>
  <c r="AO1978" i="2"/>
  <c r="AN1978" i="2"/>
  <c r="AL1978" i="2"/>
  <c r="AG1978" i="2"/>
  <c r="AB1978" i="2"/>
  <c r="W1978" i="2"/>
  <c r="R1978" i="2"/>
  <c r="M1978" i="2"/>
  <c r="BF1977" i="2"/>
  <c r="BD1977" i="2"/>
  <c r="BB1977" i="2"/>
  <c r="AZ1977" i="2"/>
  <c r="AX1977" i="2"/>
  <c r="AV1977" i="2"/>
  <c r="AS1977" i="2"/>
  <c r="AR1977" i="2"/>
  <c r="AP1977" i="2"/>
  <c r="AO1977" i="2"/>
  <c r="AN1977" i="2"/>
  <c r="AL1977" i="2"/>
  <c r="AG1977" i="2"/>
  <c r="AB1977" i="2"/>
  <c r="W1977" i="2"/>
  <c r="R1977" i="2"/>
  <c r="M1977" i="2"/>
  <c r="BF1976" i="2"/>
  <c r="BD1976" i="2"/>
  <c r="BB1976" i="2"/>
  <c r="AZ1976" i="2"/>
  <c r="AX1976" i="2"/>
  <c r="AV1976" i="2"/>
  <c r="AS1976" i="2"/>
  <c r="AR1976" i="2"/>
  <c r="AQ1976" i="2"/>
  <c r="AP1976" i="2"/>
  <c r="AO1976" i="2"/>
  <c r="AN1976" i="2"/>
  <c r="AL1976" i="2"/>
  <c r="AG1976" i="2"/>
  <c r="AB1976" i="2"/>
  <c r="W1976" i="2"/>
  <c r="R1976" i="2"/>
  <c r="M1976" i="2"/>
  <c r="BF1975" i="2"/>
  <c r="BD1975" i="2"/>
  <c r="BB1975" i="2"/>
  <c r="AZ1975" i="2"/>
  <c r="AX1975" i="2"/>
  <c r="AV1975" i="2"/>
  <c r="AS1975" i="2"/>
  <c r="AR1975" i="2"/>
  <c r="AQ1975" i="2"/>
  <c r="AP1975" i="2"/>
  <c r="AO1975" i="2"/>
  <c r="AN1975" i="2"/>
  <c r="AL1975" i="2"/>
  <c r="AG1975" i="2"/>
  <c r="AB1975" i="2"/>
  <c r="W1975" i="2"/>
  <c r="R1975" i="2"/>
  <c r="M1975" i="2"/>
  <c r="AT1974" i="2"/>
  <c r="AU1981" i="2" s="1"/>
  <c r="AM1974" i="2"/>
  <c r="BF1973" i="2"/>
  <c r="BD1973" i="2"/>
  <c r="BB1973" i="2"/>
  <c r="AZ1973" i="2"/>
  <c r="AX1973" i="2"/>
  <c r="AV1973" i="2"/>
  <c r="AS1973" i="2"/>
  <c r="AR1973" i="2"/>
  <c r="AQ1973" i="2"/>
  <c r="AP1973" i="2"/>
  <c r="AO1973" i="2"/>
  <c r="AN1973" i="2"/>
  <c r="AL1973" i="2"/>
  <c r="AG1973" i="2"/>
  <c r="AB1973" i="2"/>
  <c r="W1973" i="2"/>
  <c r="R1973" i="2"/>
  <c r="M1973" i="2"/>
  <c r="BF1972" i="2"/>
  <c r="BD1972" i="2"/>
  <c r="BB1972" i="2"/>
  <c r="AZ1972" i="2"/>
  <c r="AX1972" i="2"/>
  <c r="AV1972" i="2"/>
  <c r="AS1972" i="2"/>
  <c r="AR1972" i="2"/>
  <c r="AQ1972" i="2"/>
  <c r="AP1972" i="2"/>
  <c r="AO1972" i="2"/>
  <c r="AN1972" i="2"/>
  <c r="AL1972" i="2"/>
  <c r="AG1972" i="2"/>
  <c r="AB1972" i="2"/>
  <c r="W1972" i="2"/>
  <c r="R1972" i="2"/>
  <c r="M1972" i="2"/>
  <c r="BF1971" i="2"/>
  <c r="BD1971" i="2"/>
  <c r="BB1971" i="2"/>
  <c r="AZ1971" i="2"/>
  <c r="AX1971" i="2"/>
  <c r="AV1971" i="2"/>
  <c r="AS1971" i="2"/>
  <c r="AR1971" i="2"/>
  <c r="AQ1971" i="2"/>
  <c r="AP1971" i="2"/>
  <c r="AO1971" i="2"/>
  <c r="AN1971" i="2"/>
  <c r="AL1971" i="2"/>
  <c r="AG1971" i="2"/>
  <c r="AB1971" i="2"/>
  <c r="W1971" i="2"/>
  <c r="R1971" i="2"/>
  <c r="M1971" i="2"/>
  <c r="BF1970" i="2"/>
  <c r="BD1970" i="2"/>
  <c r="BB1970" i="2"/>
  <c r="AZ1970" i="2"/>
  <c r="AX1970" i="2"/>
  <c r="AV1970" i="2"/>
  <c r="AS1970" i="2"/>
  <c r="AR1970" i="2"/>
  <c r="AQ1970" i="2"/>
  <c r="AP1970" i="2"/>
  <c r="AO1970" i="2"/>
  <c r="AN1970" i="2"/>
  <c r="AL1970" i="2"/>
  <c r="AG1970" i="2"/>
  <c r="AB1970" i="2"/>
  <c r="W1970" i="2"/>
  <c r="R1970" i="2"/>
  <c r="M1970" i="2"/>
  <c r="BF1969" i="2"/>
  <c r="BD1969" i="2"/>
  <c r="BB1969" i="2"/>
  <c r="AZ1969" i="2"/>
  <c r="AX1969" i="2"/>
  <c r="AV1969" i="2"/>
  <c r="AS1969" i="2"/>
  <c r="AR1969" i="2"/>
  <c r="AQ1969" i="2"/>
  <c r="AP1969" i="2"/>
  <c r="AO1969" i="2"/>
  <c r="AN1969" i="2"/>
  <c r="AL1969" i="2"/>
  <c r="AG1969" i="2"/>
  <c r="AB1969" i="2"/>
  <c r="W1969" i="2"/>
  <c r="R1969" i="2"/>
  <c r="M1969" i="2"/>
  <c r="BF1968" i="2"/>
  <c r="BD1968" i="2"/>
  <c r="BB1968" i="2"/>
  <c r="AZ1968" i="2"/>
  <c r="AX1968" i="2"/>
  <c r="AV1968" i="2"/>
  <c r="AS1968" i="2"/>
  <c r="AR1968" i="2"/>
  <c r="AQ1968" i="2"/>
  <c r="AP1968" i="2"/>
  <c r="AO1968" i="2"/>
  <c r="AN1968" i="2"/>
  <c r="AL1968" i="2"/>
  <c r="AG1968" i="2"/>
  <c r="AB1968" i="2"/>
  <c r="W1968" i="2"/>
  <c r="R1968" i="2"/>
  <c r="M1968" i="2"/>
  <c r="BF1967" i="2"/>
  <c r="BD1967" i="2"/>
  <c r="BB1967" i="2"/>
  <c r="AZ1967" i="2"/>
  <c r="AX1967" i="2"/>
  <c r="AV1967" i="2"/>
  <c r="AS1967" i="2"/>
  <c r="AR1967" i="2"/>
  <c r="AQ1967" i="2"/>
  <c r="AP1967" i="2"/>
  <c r="AO1967" i="2"/>
  <c r="AN1967" i="2"/>
  <c r="AL1967" i="2"/>
  <c r="AG1967" i="2"/>
  <c r="AB1967" i="2"/>
  <c r="W1967" i="2"/>
  <c r="R1967" i="2"/>
  <c r="M1967" i="2"/>
  <c r="BF1966" i="2"/>
  <c r="BD1966" i="2"/>
  <c r="BB1966" i="2"/>
  <c r="AZ1966" i="2"/>
  <c r="AX1966" i="2"/>
  <c r="AV1966" i="2"/>
  <c r="AS1966" i="2"/>
  <c r="AR1966" i="2"/>
  <c r="AQ1966" i="2"/>
  <c r="AP1966" i="2"/>
  <c r="AO1966" i="2"/>
  <c r="AN1966" i="2"/>
  <c r="AL1966" i="2"/>
  <c r="AG1966" i="2"/>
  <c r="AB1966" i="2"/>
  <c r="W1966" i="2"/>
  <c r="R1966" i="2"/>
  <c r="M1966" i="2"/>
  <c r="BF1965" i="2"/>
  <c r="BD1965" i="2"/>
  <c r="BB1965" i="2"/>
  <c r="AZ1965" i="2"/>
  <c r="AX1965" i="2"/>
  <c r="AV1965" i="2"/>
  <c r="AS1965" i="2"/>
  <c r="AR1965" i="2"/>
  <c r="AQ1965" i="2"/>
  <c r="AP1965" i="2"/>
  <c r="AO1965" i="2"/>
  <c r="AN1965" i="2"/>
  <c r="AL1965" i="2"/>
  <c r="AG1965" i="2"/>
  <c r="AB1965" i="2"/>
  <c r="W1965" i="2"/>
  <c r="R1965" i="2"/>
  <c r="M1965" i="2"/>
  <c r="BF1964" i="2"/>
  <c r="BD1964" i="2"/>
  <c r="BB1964" i="2"/>
  <c r="AZ1964" i="2"/>
  <c r="AX1964" i="2"/>
  <c r="AV1964" i="2"/>
  <c r="AS1964" i="2"/>
  <c r="AR1964" i="2"/>
  <c r="AQ1964" i="2"/>
  <c r="AP1964" i="2"/>
  <c r="AO1964" i="2"/>
  <c r="AN1964" i="2"/>
  <c r="AL1964" i="2"/>
  <c r="AG1964" i="2"/>
  <c r="AB1964" i="2"/>
  <c r="W1964" i="2"/>
  <c r="R1964" i="2"/>
  <c r="M1964" i="2"/>
  <c r="BF1963" i="2"/>
  <c r="BD1963" i="2"/>
  <c r="BB1963" i="2"/>
  <c r="AZ1963" i="2"/>
  <c r="AX1963" i="2"/>
  <c r="AV1963" i="2"/>
  <c r="AS1963" i="2"/>
  <c r="AR1963" i="2"/>
  <c r="AQ1963" i="2"/>
  <c r="AP1963" i="2"/>
  <c r="AO1963" i="2"/>
  <c r="AN1963" i="2"/>
  <c r="AL1963" i="2"/>
  <c r="AG1963" i="2"/>
  <c r="AB1963" i="2"/>
  <c r="W1963" i="2"/>
  <c r="R1963" i="2"/>
  <c r="M1963" i="2"/>
  <c r="BF1962" i="2"/>
  <c r="BD1962" i="2"/>
  <c r="BB1962" i="2"/>
  <c r="AZ1962" i="2"/>
  <c r="AX1962" i="2"/>
  <c r="AV1962" i="2"/>
  <c r="AS1962" i="2"/>
  <c r="AR1962" i="2"/>
  <c r="AQ1962" i="2"/>
  <c r="AP1962" i="2"/>
  <c r="AO1962" i="2"/>
  <c r="AN1962" i="2"/>
  <c r="AL1962" i="2"/>
  <c r="AG1962" i="2"/>
  <c r="AB1962" i="2"/>
  <c r="W1962" i="2"/>
  <c r="R1962" i="2"/>
  <c r="M1962" i="2"/>
  <c r="BF1961" i="2"/>
  <c r="BD1961" i="2"/>
  <c r="BB1961" i="2"/>
  <c r="AZ1961" i="2"/>
  <c r="AX1961" i="2"/>
  <c r="AV1961" i="2"/>
  <c r="AS1961" i="2"/>
  <c r="AR1961" i="2"/>
  <c r="AQ1961" i="2"/>
  <c r="AP1961" i="2"/>
  <c r="AO1961" i="2"/>
  <c r="AN1961" i="2"/>
  <c r="AL1961" i="2"/>
  <c r="AG1961" i="2"/>
  <c r="AB1961" i="2"/>
  <c r="W1961" i="2"/>
  <c r="R1961" i="2"/>
  <c r="M1961" i="2"/>
  <c r="BF1960" i="2"/>
  <c r="BD1960" i="2"/>
  <c r="BB1960" i="2"/>
  <c r="AZ1960" i="2"/>
  <c r="AX1960" i="2"/>
  <c r="AV1960" i="2"/>
  <c r="AS1960" i="2"/>
  <c r="AR1960" i="2"/>
  <c r="AQ1960" i="2"/>
  <c r="AP1960" i="2"/>
  <c r="AO1960" i="2"/>
  <c r="AN1960" i="2"/>
  <c r="AL1960" i="2"/>
  <c r="AG1960" i="2"/>
  <c r="AB1960" i="2"/>
  <c r="W1960" i="2"/>
  <c r="R1960" i="2"/>
  <c r="M1960" i="2"/>
  <c r="BF1959" i="2"/>
  <c r="BD1959" i="2"/>
  <c r="BB1959" i="2"/>
  <c r="AZ1959" i="2"/>
  <c r="AX1959" i="2"/>
  <c r="AV1959" i="2"/>
  <c r="AS1959" i="2"/>
  <c r="AR1959" i="2"/>
  <c r="AQ1959" i="2"/>
  <c r="AP1959" i="2"/>
  <c r="AO1959" i="2"/>
  <c r="AN1959" i="2"/>
  <c r="AL1959" i="2"/>
  <c r="AG1959" i="2"/>
  <c r="AB1959" i="2"/>
  <c r="W1959" i="2"/>
  <c r="R1959" i="2"/>
  <c r="M1959" i="2"/>
  <c r="BF1958" i="2"/>
  <c r="BD1958" i="2"/>
  <c r="BB1958" i="2"/>
  <c r="AZ1958" i="2"/>
  <c r="AX1958" i="2"/>
  <c r="AV1958" i="2"/>
  <c r="AS1958" i="2"/>
  <c r="AR1958" i="2"/>
  <c r="AQ1958" i="2"/>
  <c r="AP1958" i="2"/>
  <c r="AO1958" i="2"/>
  <c r="AN1958" i="2"/>
  <c r="AL1958" i="2"/>
  <c r="AG1958" i="2"/>
  <c r="AB1958" i="2"/>
  <c r="W1958" i="2"/>
  <c r="R1958" i="2"/>
  <c r="M1958" i="2"/>
  <c r="BF1957" i="2"/>
  <c r="BD1957" i="2"/>
  <c r="BB1957" i="2"/>
  <c r="AZ1957" i="2"/>
  <c r="AX1957" i="2"/>
  <c r="AV1957" i="2"/>
  <c r="AS1957" i="2"/>
  <c r="AR1957" i="2"/>
  <c r="AQ1957" i="2"/>
  <c r="AP1957" i="2"/>
  <c r="AO1957" i="2"/>
  <c r="AN1957" i="2"/>
  <c r="AL1957" i="2"/>
  <c r="AG1957" i="2"/>
  <c r="AB1957" i="2"/>
  <c r="W1957" i="2"/>
  <c r="R1957" i="2"/>
  <c r="M1957" i="2"/>
  <c r="BF1956" i="2"/>
  <c r="BD1956" i="2"/>
  <c r="BB1956" i="2"/>
  <c r="AZ1956" i="2"/>
  <c r="AX1956" i="2"/>
  <c r="AV1956" i="2"/>
  <c r="AS1956" i="2"/>
  <c r="AR1956" i="2"/>
  <c r="AQ1956" i="2"/>
  <c r="AP1956" i="2"/>
  <c r="AO1956" i="2"/>
  <c r="AN1956" i="2"/>
  <c r="AL1956" i="2"/>
  <c r="AG1956" i="2"/>
  <c r="AB1956" i="2"/>
  <c r="W1956" i="2"/>
  <c r="R1956" i="2"/>
  <c r="M1956" i="2"/>
  <c r="BF1955" i="2"/>
  <c r="BD1955" i="2"/>
  <c r="BB1955" i="2"/>
  <c r="AZ1955" i="2"/>
  <c r="AX1955" i="2"/>
  <c r="AV1955" i="2"/>
  <c r="AS1955" i="2"/>
  <c r="AR1955" i="2"/>
  <c r="AQ1955" i="2"/>
  <c r="AP1955" i="2"/>
  <c r="AO1955" i="2"/>
  <c r="AN1955" i="2"/>
  <c r="AL1955" i="2"/>
  <c r="AG1955" i="2"/>
  <c r="AB1955" i="2"/>
  <c r="W1955" i="2"/>
  <c r="R1955" i="2"/>
  <c r="M1955" i="2"/>
  <c r="BF1954" i="2"/>
  <c r="BD1954" i="2"/>
  <c r="BB1954" i="2"/>
  <c r="AZ1954" i="2"/>
  <c r="AX1954" i="2"/>
  <c r="AV1954" i="2"/>
  <c r="AS1954" i="2"/>
  <c r="AR1954" i="2"/>
  <c r="AQ1954" i="2"/>
  <c r="AP1954" i="2"/>
  <c r="AO1954" i="2"/>
  <c r="AN1954" i="2"/>
  <c r="AL1954" i="2"/>
  <c r="AG1954" i="2"/>
  <c r="AB1954" i="2"/>
  <c r="W1954" i="2"/>
  <c r="R1954" i="2"/>
  <c r="M1954" i="2"/>
  <c r="BF1953" i="2"/>
  <c r="BD1953" i="2"/>
  <c r="BB1953" i="2"/>
  <c r="AZ1953" i="2"/>
  <c r="AX1953" i="2"/>
  <c r="AV1953" i="2"/>
  <c r="AS1953" i="2"/>
  <c r="AR1953" i="2"/>
  <c r="AQ1953" i="2"/>
  <c r="AP1953" i="2"/>
  <c r="AO1953" i="2"/>
  <c r="AN1953" i="2"/>
  <c r="AL1953" i="2"/>
  <c r="AG1953" i="2"/>
  <c r="AB1953" i="2"/>
  <c r="W1953" i="2"/>
  <c r="R1953" i="2"/>
  <c r="M1953" i="2"/>
  <c r="BF1952" i="2"/>
  <c r="BD1952" i="2"/>
  <c r="BB1952" i="2"/>
  <c r="AZ1952" i="2"/>
  <c r="AX1952" i="2"/>
  <c r="AV1952" i="2"/>
  <c r="AS1952" i="2"/>
  <c r="AR1952" i="2"/>
  <c r="AQ1952" i="2"/>
  <c r="AP1952" i="2"/>
  <c r="AO1952" i="2"/>
  <c r="AN1952" i="2"/>
  <c r="AL1952" i="2"/>
  <c r="AG1952" i="2"/>
  <c r="AB1952" i="2"/>
  <c r="W1952" i="2"/>
  <c r="R1952" i="2"/>
  <c r="M1952" i="2"/>
  <c r="BF1951" i="2"/>
  <c r="BD1951" i="2"/>
  <c r="BB1951" i="2"/>
  <c r="AZ1951" i="2"/>
  <c r="AX1951" i="2"/>
  <c r="AV1951" i="2"/>
  <c r="AS1951" i="2"/>
  <c r="AR1951" i="2"/>
  <c r="AQ1951" i="2"/>
  <c r="AP1951" i="2"/>
  <c r="AO1951" i="2"/>
  <c r="AN1951" i="2"/>
  <c r="AL1951" i="2"/>
  <c r="AG1951" i="2"/>
  <c r="AB1951" i="2"/>
  <c r="W1951" i="2"/>
  <c r="R1951" i="2"/>
  <c r="M1951" i="2"/>
  <c r="BF1950" i="2"/>
  <c r="BD1950" i="2"/>
  <c r="BB1950" i="2"/>
  <c r="AZ1950" i="2"/>
  <c r="AX1950" i="2"/>
  <c r="AV1950" i="2"/>
  <c r="AS1950" i="2"/>
  <c r="AR1950" i="2"/>
  <c r="AQ1950" i="2"/>
  <c r="AP1950" i="2"/>
  <c r="AO1950" i="2"/>
  <c r="AN1950" i="2"/>
  <c r="AL1950" i="2"/>
  <c r="AG1950" i="2"/>
  <c r="AB1950" i="2"/>
  <c r="W1950" i="2"/>
  <c r="R1950" i="2"/>
  <c r="M1950" i="2"/>
  <c r="BF1949" i="2"/>
  <c r="BD1949" i="2"/>
  <c r="BB1949" i="2"/>
  <c r="AZ1949" i="2"/>
  <c r="AX1949" i="2"/>
  <c r="AV1949" i="2"/>
  <c r="AS1949" i="2"/>
  <c r="AR1949" i="2"/>
  <c r="AQ1949" i="2"/>
  <c r="AP1949" i="2"/>
  <c r="AO1949" i="2"/>
  <c r="AN1949" i="2"/>
  <c r="AL1949" i="2"/>
  <c r="AG1949" i="2"/>
  <c r="AB1949" i="2"/>
  <c r="W1949" i="2"/>
  <c r="R1949" i="2"/>
  <c r="M1949" i="2"/>
  <c r="BF1948" i="2"/>
  <c r="BD1948" i="2"/>
  <c r="BB1948" i="2"/>
  <c r="AZ1948" i="2"/>
  <c r="AX1948" i="2"/>
  <c r="AV1948" i="2"/>
  <c r="AS1948" i="2"/>
  <c r="AR1948" i="2"/>
  <c r="AQ1948" i="2"/>
  <c r="AP1948" i="2"/>
  <c r="AO1948" i="2"/>
  <c r="AN1948" i="2"/>
  <c r="AL1948" i="2"/>
  <c r="AG1948" i="2"/>
  <c r="AB1948" i="2"/>
  <c r="W1948" i="2"/>
  <c r="R1948" i="2"/>
  <c r="M1948" i="2"/>
  <c r="BF1947" i="2"/>
  <c r="BD1947" i="2"/>
  <c r="BB1947" i="2"/>
  <c r="AZ1947" i="2"/>
  <c r="AX1947" i="2"/>
  <c r="AV1947" i="2"/>
  <c r="AS1947" i="2"/>
  <c r="AR1947" i="2"/>
  <c r="AQ1947" i="2"/>
  <c r="AP1947" i="2"/>
  <c r="AO1947" i="2"/>
  <c r="AN1947" i="2"/>
  <c r="AL1947" i="2"/>
  <c r="AG1947" i="2"/>
  <c r="AB1947" i="2"/>
  <c r="W1947" i="2"/>
  <c r="R1947" i="2"/>
  <c r="M1947" i="2"/>
  <c r="BF1946" i="2"/>
  <c r="BD1946" i="2"/>
  <c r="BB1946" i="2"/>
  <c r="AZ1946" i="2"/>
  <c r="AX1946" i="2"/>
  <c r="AV1946" i="2"/>
  <c r="AS1946" i="2"/>
  <c r="AR1946" i="2"/>
  <c r="AQ1946" i="2"/>
  <c r="AP1946" i="2"/>
  <c r="AO1946" i="2"/>
  <c r="AN1946" i="2"/>
  <c r="AL1946" i="2"/>
  <c r="AG1946" i="2"/>
  <c r="AB1946" i="2"/>
  <c r="W1946" i="2"/>
  <c r="R1946" i="2"/>
  <c r="M1946" i="2"/>
  <c r="BF1945" i="2"/>
  <c r="BD1945" i="2"/>
  <c r="BB1945" i="2"/>
  <c r="AZ1945" i="2"/>
  <c r="AX1945" i="2"/>
  <c r="AV1945" i="2"/>
  <c r="AS1945" i="2"/>
  <c r="AR1945" i="2"/>
  <c r="AQ1945" i="2"/>
  <c r="AP1945" i="2"/>
  <c r="AO1945" i="2"/>
  <c r="AN1945" i="2"/>
  <c r="AL1945" i="2"/>
  <c r="AG1945" i="2"/>
  <c r="AB1945" i="2"/>
  <c r="W1945" i="2"/>
  <c r="R1945" i="2"/>
  <c r="M1945" i="2"/>
  <c r="BF1944" i="2"/>
  <c r="BD1944" i="2"/>
  <c r="BB1944" i="2"/>
  <c r="AZ1944" i="2"/>
  <c r="AX1944" i="2"/>
  <c r="AV1944" i="2"/>
  <c r="AS1944" i="2"/>
  <c r="AR1944" i="2"/>
  <c r="AQ1944" i="2"/>
  <c r="AP1944" i="2"/>
  <c r="AO1944" i="2"/>
  <c r="AN1944" i="2"/>
  <c r="AL1944" i="2"/>
  <c r="AG1944" i="2"/>
  <c r="AB1944" i="2"/>
  <c r="W1944" i="2"/>
  <c r="R1944" i="2"/>
  <c r="M1944" i="2"/>
  <c r="BF1943" i="2"/>
  <c r="BD1943" i="2"/>
  <c r="BB1943" i="2"/>
  <c r="AZ1943" i="2"/>
  <c r="AX1943" i="2"/>
  <c r="AV1943" i="2"/>
  <c r="AS1943" i="2"/>
  <c r="AR1943" i="2"/>
  <c r="AQ1943" i="2"/>
  <c r="AP1943" i="2"/>
  <c r="AO1943" i="2"/>
  <c r="AN1943" i="2"/>
  <c r="AL1943" i="2"/>
  <c r="AG1943" i="2"/>
  <c r="AB1943" i="2"/>
  <c r="W1943" i="2"/>
  <c r="R1943" i="2"/>
  <c r="M1943" i="2"/>
  <c r="BF1942" i="2"/>
  <c r="BD1942" i="2"/>
  <c r="BB1942" i="2"/>
  <c r="AZ1942" i="2"/>
  <c r="AX1942" i="2"/>
  <c r="AV1942" i="2"/>
  <c r="AS1942" i="2"/>
  <c r="AR1942" i="2"/>
  <c r="AQ1942" i="2"/>
  <c r="AP1942" i="2"/>
  <c r="AO1942" i="2"/>
  <c r="AN1942" i="2"/>
  <c r="AL1942" i="2"/>
  <c r="AG1942" i="2"/>
  <c r="AB1942" i="2"/>
  <c r="W1942" i="2"/>
  <c r="R1942" i="2"/>
  <c r="M1942" i="2"/>
  <c r="BF1941" i="2"/>
  <c r="BD1941" i="2"/>
  <c r="BB1941" i="2"/>
  <c r="AZ1941" i="2"/>
  <c r="AX1941" i="2"/>
  <c r="AV1941" i="2"/>
  <c r="AS1941" i="2"/>
  <c r="AR1941" i="2"/>
  <c r="AQ1941" i="2"/>
  <c r="AP1941" i="2"/>
  <c r="AO1941" i="2"/>
  <c r="AN1941" i="2"/>
  <c r="AL1941" i="2"/>
  <c r="AG1941" i="2"/>
  <c r="AB1941" i="2"/>
  <c r="W1941" i="2"/>
  <c r="R1941" i="2"/>
  <c r="M1941" i="2"/>
  <c r="BF1940" i="2"/>
  <c r="BD1940" i="2"/>
  <c r="BB1940" i="2"/>
  <c r="AZ1940" i="2"/>
  <c r="AX1940" i="2"/>
  <c r="AV1940" i="2"/>
  <c r="AS1940" i="2"/>
  <c r="AR1940" i="2"/>
  <c r="AQ1940" i="2"/>
  <c r="AP1940" i="2"/>
  <c r="AO1940" i="2"/>
  <c r="AN1940" i="2"/>
  <c r="AL1940" i="2"/>
  <c r="AG1940" i="2"/>
  <c r="AB1940" i="2"/>
  <c r="W1940" i="2"/>
  <c r="R1940" i="2"/>
  <c r="M1940" i="2"/>
  <c r="BF1939" i="2"/>
  <c r="BD1939" i="2"/>
  <c r="BB1939" i="2"/>
  <c r="AZ1939" i="2"/>
  <c r="AX1939" i="2"/>
  <c r="AV1939" i="2"/>
  <c r="AS1939" i="2"/>
  <c r="AR1939" i="2"/>
  <c r="AQ1939" i="2"/>
  <c r="AP1939" i="2"/>
  <c r="AO1939" i="2"/>
  <c r="AN1939" i="2"/>
  <c r="AL1939" i="2"/>
  <c r="AG1939" i="2"/>
  <c r="AB1939" i="2"/>
  <c r="W1939" i="2"/>
  <c r="R1939" i="2"/>
  <c r="M1939" i="2"/>
  <c r="BF1938" i="2"/>
  <c r="BD1938" i="2"/>
  <c r="BB1938" i="2"/>
  <c r="AZ1938" i="2"/>
  <c r="AX1938" i="2"/>
  <c r="AV1938" i="2"/>
  <c r="AS1938" i="2"/>
  <c r="AR1938" i="2"/>
  <c r="AQ1938" i="2"/>
  <c r="AP1938" i="2"/>
  <c r="AO1938" i="2"/>
  <c r="AN1938" i="2"/>
  <c r="AL1938" i="2"/>
  <c r="AG1938" i="2"/>
  <c r="AB1938" i="2"/>
  <c r="W1938" i="2"/>
  <c r="R1938" i="2"/>
  <c r="M1938" i="2"/>
  <c r="BF1937" i="2"/>
  <c r="BD1937" i="2"/>
  <c r="BB1937" i="2"/>
  <c r="AZ1937" i="2"/>
  <c r="AX1937" i="2"/>
  <c r="AV1937" i="2"/>
  <c r="AS1937" i="2"/>
  <c r="AR1937" i="2"/>
  <c r="AQ1937" i="2"/>
  <c r="AP1937" i="2"/>
  <c r="AO1937" i="2"/>
  <c r="AN1937" i="2"/>
  <c r="AL1937" i="2"/>
  <c r="AG1937" i="2"/>
  <c r="AB1937" i="2"/>
  <c r="W1937" i="2"/>
  <c r="R1937" i="2"/>
  <c r="M1937" i="2"/>
  <c r="BF1936" i="2"/>
  <c r="BD1936" i="2"/>
  <c r="BB1936" i="2"/>
  <c r="AZ1936" i="2"/>
  <c r="AX1936" i="2"/>
  <c r="AV1936" i="2"/>
  <c r="AS1936" i="2"/>
  <c r="AR1936" i="2"/>
  <c r="AQ1936" i="2"/>
  <c r="AP1936" i="2"/>
  <c r="AO1936" i="2"/>
  <c r="AN1936" i="2"/>
  <c r="AL1936" i="2"/>
  <c r="AG1936" i="2"/>
  <c r="AB1936" i="2"/>
  <c r="W1936" i="2"/>
  <c r="R1936" i="2"/>
  <c r="M1936" i="2"/>
  <c r="BF1935" i="2"/>
  <c r="BD1935" i="2"/>
  <c r="BB1935" i="2"/>
  <c r="AZ1935" i="2"/>
  <c r="AX1935" i="2"/>
  <c r="AV1935" i="2"/>
  <c r="AS1935" i="2"/>
  <c r="AR1935" i="2"/>
  <c r="AQ1935" i="2"/>
  <c r="AP1935" i="2"/>
  <c r="AO1935" i="2"/>
  <c r="AN1935" i="2"/>
  <c r="AL1935" i="2"/>
  <c r="AG1935" i="2"/>
  <c r="AB1935" i="2"/>
  <c r="W1935" i="2"/>
  <c r="R1935" i="2"/>
  <c r="M1935" i="2"/>
  <c r="BF1934" i="2"/>
  <c r="BD1934" i="2"/>
  <c r="BB1934" i="2"/>
  <c r="AZ1934" i="2"/>
  <c r="AX1934" i="2"/>
  <c r="AV1934" i="2"/>
  <c r="AS1934" i="2"/>
  <c r="AR1934" i="2"/>
  <c r="AQ1934" i="2"/>
  <c r="AP1934" i="2"/>
  <c r="AO1934" i="2"/>
  <c r="AN1934" i="2"/>
  <c r="AL1934" i="2"/>
  <c r="AG1934" i="2"/>
  <c r="AB1934" i="2"/>
  <c r="W1934" i="2"/>
  <c r="R1934" i="2"/>
  <c r="M1934" i="2"/>
  <c r="BF1933" i="2"/>
  <c r="BD1933" i="2"/>
  <c r="BB1933" i="2"/>
  <c r="AZ1933" i="2"/>
  <c r="AX1933" i="2"/>
  <c r="AV1933" i="2"/>
  <c r="AS1933" i="2"/>
  <c r="AR1933" i="2"/>
  <c r="AQ1933" i="2"/>
  <c r="AP1933" i="2"/>
  <c r="AO1933" i="2"/>
  <c r="AN1933" i="2"/>
  <c r="AL1933" i="2"/>
  <c r="AG1933" i="2"/>
  <c r="AB1933" i="2"/>
  <c r="W1933" i="2"/>
  <c r="R1933" i="2"/>
  <c r="M1933" i="2"/>
  <c r="BF1932" i="2"/>
  <c r="BD1932" i="2"/>
  <c r="BB1932" i="2"/>
  <c r="AZ1932" i="2"/>
  <c r="AX1932" i="2"/>
  <c r="AV1932" i="2"/>
  <c r="AS1932" i="2"/>
  <c r="AR1932" i="2"/>
  <c r="AQ1932" i="2"/>
  <c r="AP1932" i="2"/>
  <c r="AO1932" i="2"/>
  <c r="AN1932" i="2"/>
  <c r="AL1932" i="2"/>
  <c r="AG1932" i="2"/>
  <c r="AB1932" i="2"/>
  <c r="W1932" i="2"/>
  <c r="R1932" i="2"/>
  <c r="M1932" i="2"/>
  <c r="BF1931" i="2"/>
  <c r="BD1931" i="2"/>
  <c r="BB1931" i="2"/>
  <c r="AZ1931" i="2"/>
  <c r="AX1931" i="2"/>
  <c r="AV1931" i="2"/>
  <c r="AS1931" i="2"/>
  <c r="AR1931" i="2"/>
  <c r="AQ1931" i="2"/>
  <c r="AP1931" i="2"/>
  <c r="AO1931" i="2"/>
  <c r="AN1931" i="2"/>
  <c r="AL1931" i="2"/>
  <c r="AG1931" i="2"/>
  <c r="AB1931" i="2"/>
  <c r="W1931" i="2"/>
  <c r="R1931" i="2"/>
  <c r="M1931" i="2"/>
  <c r="BF1930" i="2"/>
  <c r="BD1930" i="2"/>
  <c r="BB1930" i="2"/>
  <c r="AZ1930" i="2"/>
  <c r="AX1930" i="2"/>
  <c r="AV1930" i="2"/>
  <c r="AS1930" i="2"/>
  <c r="AR1930" i="2"/>
  <c r="AQ1930" i="2"/>
  <c r="AP1930" i="2"/>
  <c r="AO1930" i="2"/>
  <c r="AN1930" i="2"/>
  <c r="AL1930" i="2"/>
  <c r="AG1930" i="2"/>
  <c r="AB1930" i="2"/>
  <c r="W1930" i="2"/>
  <c r="R1930" i="2"/>
  <c r="M1930" i="2"/>
  <c r="BF1929" i="2"/>
  <c r="BD1929" i="2"/>
  <c r="BB1929" i="2"/>
  <c r="AZ1929" i="2"/>
  <c r="AX1929" i="2"/>
  <c r="AV1929" i="2"/>
  <c r="AS1929" i="2"/>
  <c r="AR1929" i="2"/>
  <c r="AQ1929" i="2"/>
  <c r="AP1929" i="2"/>
  <c r="AO1929" i="2"/>
  <c r="AN1929" i="2"/>
  <c r="AL1929" i="2"/>
  <c r="AG1929" i="2"/>
  <c r="AB1929" i="2"/>
  <c r="W1929" i="2"/>
  <c r="R1929" i="2"/>
  <c r="M1929" i="2"/>
  <c r="BF1928" i="2"/>
  <c r="BD1928" i="2"/>
  <c r="BB1928" i="2"/>
  <c r="AZ1928" i="2"/>
  <c r="AX1928" i="2"/>
  <c r="AV1928" i="2"/>
  <c r="AS1928" i="2"/>
  <c r="AR1928" i="2"/>
  <c r="AQ1928" i="2"/>
  <c r="AP1928" i="2"/>
  <c r="AO1928" i="2"/>
  <c r="AN1928" i="2"/>
  <c r="AL1928" i="2"/>
  <c r="AG1928" i="2"/>
  <c r="AB1928" i="2"/>
  <c r="W1928" i="2"/>
  <c r="R1928" i="2"/>
  <c r="M1928" i="2"/>
  <c r="AT1927" i="2"/>
  <c r="AU1962" i="2" s="1"/>
  <c r="AM1927" i="2"/>
  <c r="BF1926" i="2"/>
  <c r="BD1926" i="2"/>
  <c r="BB1926" i="2"/>
  <c r="AZ1926" i="2"/>
  <c r="AX1926" i="2"/>
  <c r="AV1926" i="2"/>
  <c r="AS1926" i="2"/>
  <c r="AR1926" i="2"/>
  <c r="AQ1926" i="2"/>
  <c r="AP1926" i="2"/>
  <c r="AO1926" i="2"/>
  <c r="AN1926" i="2"/>
  <c r="AL1926" i="2"/>
  <c r="AG1926" i="2"/>
  <c r="AB1926" i="2"/>
  <c r="W1926" i="2"/>
  <c r="R1926" i="2"/>
  <c r="M1926" i="2"/>
  <c r="BF1925" i="2"/>
  <c r="BD1925" i="2"/>
  <c r="BB1925" i="2"/>
  <c r="AZ1925" i="2"/>
  <c r="AX1925" i="2"/>
  <c r="AV1925" i="2"/>
  <c r="AS1925" i="2"/>
  <c r="AR1925" i="2"/>
  <c r="AQ1925" i="2"/>
  <c r="AP1925" i="2"/>
  <c r="AO1925" i="2"/>
  <c r="AN1925" i="2"/>
  <c r="AL1925" i="2"/>
  <c r="AG1925" i="2"/>
  <c r="AB1925" i="2"/>
  <c r="W1925" i="2"/>
  <c r="R1925" i="2"/>
  <c r="M1925" i="2"/>
  <c r="BF1924" i="2"/>
  <c r="BD1924" i="2"/>
  <c r="BB1924" i="2"/>
  <c r="AZ1924" i="2"/>
  <c r="AX1924" i="2"/>
  <c r="AV1924" i="2"/>
  <c r="AS1924" i="2"/>
  <c r="AR1924" i="2"/>
  <c r="AQ1924" i="2"/>
  <c r="AP1924" i="2"/>
  <c r="AO1924" i="2"/>
  <c r="AN1924" i="2"/>
  <c r="AL1924" i="2"/>
  <c r="AG1924" i="2"/>
  <c r="AB1924" i="2"/>
  <c r="W1924" i="2"/>
  <c r="R1924" i="2"/>
  <c r="M1924" i="2"/>
  <c r="BF1923" i="2"/>
  <c r="BD1923" i="2"/>
  <c r="BB1923" i="2"/>
  <c r="AZ1923" i="2"/>
  <c r="AX1923" i="2"/>
  <c r="AV1923" i="2"/>
  <c r="AS1923" i="2"/>
  <c r="AR1923" i="2"/>
  <c r="AQ1923" i="2"/>
  <c r="AP1923" i="2"/>
  <c r="AO1923" i="2"/>
  <c r="AN1923" i="2"/>
  <c r="AL1923" i="2"/>
  <c r="AG1923" i="2"/>
  <c r="AB1923" i="2"/>
  <c r="W1923" i="2"/>
  <c r="R1923" i="2"/>
  <c r="M1923" i="2"/>
  <c r="BF1922" i="2"/>
  <c r="BD1922" i="2"/>
  <c r="BB1922" i="2"/>
  <c r="AZ1922" i="2"/>
  <c r="AX1922" i="2"/>
  <c r="AV1922" i="2"/>
  <c r="AS1922" i="2"/>
  <c r="AR1922" i="2"/>
  <c r="AQ1922" i="2"/>
  <c r="AP1922" i="2"/>
  <c r="AO1922" i="2"/>
  <c r="AN1922" i="2"/>
  <c r="AL1922" i="2"/>
  <c r="AG1922" i="2"/>
  <c r="AB1922" i="2"/>
  <c r="W1922" i="2"/>
  <c r="R1922" i="2"/>
  <c r="M1922" i="2"/>
  <c r="BF1921" i="2"/>
  <c r="BD1921" i="2"/>
  <c r="BB1921" i="2"/>
  <c r="AZ1921" i="2"/>
  <c r="AX1921" i="2"/>
  <c r="AV1921" i="2"/>
  <c r="AS1921" i="2"/>
  <c r="AR1921" i="2"/>
  <c r="AQ1921" i="2"/>
  <c r="AP1921" i="2"/>
  <c r="AO1921" i="2"/>
  <c r="AN1921" i="2"/>
  <c r="AL1921" i="2"/>
  <c r="AG1921" i="2"/>
  <c r="AB1921" i="2"/>
  <c r="W1921" i="2"/>
  <c r="R1921" i="2"/>
  <c r="M1921" i="2"/>
  <c r="BF1920" i="2"/>
  <c r="BD1920" i="2"/>
  <c r="BB1920" i="2"/>
  <c r="AZ1920" i="2"/>
  <c r="AX1920" i="2"/>
  <c r="AV1920" i="2"/>
  <c r="AS1920" i="2"/>
  <c r="AR1920" i="2"/>
  <c r="AQ1920" i="2"/>
  <c r="AP1920" i="2"/>
  <c r="AO1920" i="2"/>
  <c r="AN1920" i="2"/>
  <c r="AL1920" i="2"/>
  <c r="AG1920" i="2"/>
  <c r="AB1920" i="2"/>
  <c r="W1920" i="2"/>
  <c r="R1920" i="2"/>
  <c r="M1920" i="2"/>
  <c r="BF1919" i="2"/>
  <c r="BD1919" i="2"/>
  <c r="BB1919" i="2"/>
  <c r="AZ1919" i="2"/>
  <c r="AX1919" i="2"/>
  <c r="AV1919" i="2"/>
  <c r="AS1919" i="2"/>
  <c r="AR1919" i="2"/>
  <c r="AQ1919" i="2"/>
  <c r="AP1919" i="2"/>
  <c r="AO1919" i="2"/>
  <c r="AN1919" i="2"/>
  <c r="AL1919" i="2"/>
  <c r="AG1919" i="2"/>
  <c r="AB1919" i="2"/>
  <c r="W1919" i="2"/>
  <c r="R1919" i="2"/>
  <c r="M1919" i="2"/>
  <c r="BF1918" i="2"/>
  <c r="BD1918" i="2"/>
  <c r="BB1918" i="2"/>
  <c r="AZ1918" i="2"/>
  <c r="AX1918" i="2"/>
  <c r="AV1918" i="2"/>
  <c r="AS1918" i="2"/>
  <c r="AR1918" i="2"/>
  <c r="AQ1918" i="2"/>
  <c r="AP1918" i="2"/>
  <c r="AO1918" i="2"/>
  <c r="AN1918" i="2"/>
  <c r="AL1918" i="2"/>
  <c r="AG1918" i="2"/>
  <c r="AB1918" i="2"/>
  <c r="W1918" i="2"/>
  <c r="R1918" i="2"/>
  <c r="M1918" i="2"/>
  <c r="BF1917" i="2"/>
  <c r="BD1917" i="2"/>
  <c r="BB1917" i="2"/>
  <c r="AZ1917" i="2"/>
  <c r="AX1917" i="2"/>
  <c r="AV1917" i="2"/>
  <c r="AS1917" i="2"/>
  <c r="AR1917" i="2"/>
  <c r="AQ1917" i="2"/>
  <c r="AP1917" i="2"/>
  <c r="AO1917" i="2"/>
  <c r="AN1917" i="2"/>
  <c r="AL1917" i="2"/>
  <c r="AG1917" i="2"/>
  <c r="AB1917" i="2"/>
  <c r="W1917" i="2"/>
  <c r="R1917" i="2"/>
  <c r="M1917" i="2"/>
  <c r="BF1916" i="2"/>
  <c r="BD1916" i="2"/>
  <c r="BB1916" i="2"/>
  <c r="AZ1916" i="2"/>
  <c r="AX1916" i="2"/>
  <c r="AV1916" i="2"/>
  <c r="AS1916" i="2"/>
  <c r="AR1916" i="2"/>
  <c r="AQ1916" i="2"/>
  <c r="AP1916" i="2"/>
  <c r="AO1916" i="2"/>
  <c r="AN1916" i="2"/>
  <c r="AL1916" i="2"/>
  <c r="AG1916" i="2"/>
  <c r="AB1916" i="2"/>
  <c r="W1916" i="2"/>
  <c r="R1916" i="2"/>
  <c r="M1916" i="2"/>
  <c r="BF1915" i="2"/>
  <c r="BD1915" i="2"/>
  <c r="BB1915" i="2"/>
  <c r="AZ1915" i="2"/>
  <c r="AX1915" i="2"/>
  <c r="AV1915" i="2"/>
  <c r="AS1915" i="2"/>
  <c r="AR1915" i="2"/>
  <c r="AQ1915" i="2"/>
  <c r="AP1915" i="2"/>
  <c r="AO1915" i="2"/>
  <c r="AN1915" i="2"/>
  <c r="AL1915" i="2"/>
  <c r="AG1915" i="2"/>
  <c r="AB1915" i="2"/>
  <c r="W1915" i="2"/>
  <c r="R1915" i="2"/>
  <c r="M1915" i="2"/>
  <c r="BF1914" i="2"/>
  <c r="BD1914" i="2"/>
  <c r="BB1914" i="2"/>
  <c r="AZ1914" i="2"/>
  <c r="AX1914" i="2"/>
  <c r="AV1914" i="2"/>
  <c r="AS1914" i="2"/>
  <c r="AR1914" i="2"/>
  <c r="AQ1914" i="2"/>
  <c r="AP1914" i="2"/>
  <c r="AO1914" i="2"/>
  <c r="AN1914" i="2"/>
  <c r="AL1914" i="2"/>
  <c r="AG1914" i="2"/>
  <c r="AB1914" i="2"/>
  <c r="W1914" i="2"/>
  <c r="R1914" i="2"/>
  <c r="M1914" i="2"/>
  <c r="BF1913" i="2"/>
  <c r="BD1913" i="2"/>
  <c r="BB1913" i="2"/>
  <c r="AZ1913" i="2"/>
  <c r="AX1913" i="2"/>
  <c r="AV1913" i="2"/>
  <c r="AS1913" i="2"/>
  <c r="AR1913" i="2"/>
  <c r="AQ1913" i="2"/>
  <c r="AP1913" i="2"/>
  <c r="AO1913" i="2"/>
  <c r="AN1913" i="2"/>
  <c r="AL1913" i="2"/>
  <c r="AG1913" i="2"/>
  <c r="AB1913" i="2"/>
  <c r="W1913" i="2"/>
  <c r="R1913" i="2"/>
  <c r="M1913" i="2"/>
  <c r="BF1912" i="2"/>
  <c r="BD1912" i="2"/>
  <c r="BB1912" i="2"/>
  <c r="AZ1912" i="2"/>
  <c r="AX1912" i="2"/>
  <c r="AV1912" i="2"/>
  <c r="AS1912" i="2"/>
  <c r="AR1912" i="2"/>
  <c r="AQ1912" i="2"/>
  <c r="AP1912" i="2"/>
  <c r="AO1912" i="2"/>
  <c r="AN1912" i="2"/>
  <c r="AL1912" i="2"/>
  <c r="AG1912" i="2"/>
  <c r="AB1912" i="2"/>
  <c r="W1912" i="2"/>
  <c r="R1912" i="2"/>
  <c r="M1912" i="2"/>
  <c r="BF1911" i="2"/>
  <c r="BD1911" i="2"/>
  <c r="BB1911" i="2"/>
  <c r="AZ1911" i="2"/>
  <c r="AX1911" i="2"/>
  <c r="AV1911" i="2"/>
  <c r="AS1911" i="2"/>
  <c r="AR1911" i="2"/>
  <c r="AQ1911" i="2"/>
  <c r="AP1911" i="2"/>
  <c r="AO1911" i="2"/>
  <c r="AN1911" i="2"/>
  <c r="AL1911" i="2"/>
  <c r="AG1911" i="2"/>
  <c r="AB1911" i="2"/>
  <c r="W1911" i="2"/>
  <c r="R1911" i="2"/>
  <c r="M1911" i="2"/>
  <c r="AT1910" i="2"/>
  <c r="AM1910" i="2"/>
  <c r="BF1909" i="2"/>
  <c r="BD1909" i="2"/>
  <c r="BB1909" i="2"/>
  <c r="AZ1909" i="2"/>
  <c r="AX1909" i="2"/>
  <c r="AV1909" i="2"/>
  <c r="AS1909" i="2"/>
  <c r="AR1909" i="2"/>
  <c r="AQ1909" i="2"/>
  <c r="AP1909" i="2"/>
  <c r="AO1909" i="2"/>
  <c r="AN1909" i="2"/>
  <c r="AL1909" i="2"/>
  <c r="AG1909" i="2"/>
  <c r="AB1909" i="2"/>
  <c r="W1909" i="2"/>
  <c r="R1909" i="2"/>
  <c r="M1909" i="2"/>
  <c r="BF1908" i="2"/>
  <c r="BD1908" i="2"/>
  <c r="BB1908" i="2"/>
  <c r="AZ1908" i="2"/>
  <c r="AX1908" i="2"/>
  <c r="AV1908" i="2"/>
  <c r="AS1908" i="2"/>
  <c r="AR1908" i="2"/>
  <c r="AQ1908" i="2"/>
  <c r="AP1908" i="2"/>
  <c r="AO1908" i="2"/>
  <c r="AN1908" i="2"/>
  <c r="AL1908" i="2"/>
  <c r="AG1908" i="2"/>
  <c r="AB1908" i="2"/>
  <c r="W1908" i="2"/>
  <c r="R1908" i="2"/>
  <c r="M1908" i="2"/>
  <c r="BF1907" i="2"/>
  <c r="BD1907" i="2"/>
  <c r="BB1907" i="2"/>
  <c r="AZ1907" i="2"/>
  <c r="AX1907" i="2"/>
  <c r="AV1907" i="2"/>
  <c r="AS1907" i="2"/>
  <c r="AR1907" i="2"/>
  <c r="AQ1907" i="2"/>
  <c r="AP1907" i="2"/>
  <c r="AO1907" i="2"/>
  <c r="AN1907" i="2"/>
  <c r="AL1907" i="2"/>
  <c r="AG1907" i="2"/>
  <c r="AB1907" i="2"/>
  <c r="W1907" i="2"/>
  <c r="R1907" i="2"/>
  <c r="M1907" i="2"/>
  <c r="BF1906" i="2"/>
  <c r="BD1906" i="2"/>
  <c r="BB1906" i="2"/>
  <c r="AZ1906" i="2"/>
  <c r="AX1906" i="2"/>
  <c r="AV1906" i="2"/>
  <c r="AS1906" i="2"/>
  <c r="AR1906" i="2"/>
  <c r="AQ1906" i="2"/>
  <c r="AP1906" i="2"/>
  <c r="AO1906" i="2"/>
  <c r="AN1906" i="2"/>
  <c r="AL1906" i="2"/>
  <c r="AG1906" i="2"/>
  <c r="AB1906" i="2"/>
  <c r="W1906" i="2"/>
  <c r="R1906" i="2"/>
  <c r="M1906" i="2"/>
  <c r="BF1905" i="2"/>
  <c r="BD1905" i="2"/>
  <c r="BB1905" i="2"/>
  <c r="AZ1905" i="2"/>
  <c r="AX1905" i="2"/>
  <c r="AV1905" i="2"/>
  <c r="AS1905" i="2"/>
  <c r="AR1905" i="2"/>
  <c r="AQ1905" i="2"/>
  <c r="AP1905" i="2"/>
  <c r="AO1905" i="2"/>
  <c r="AN1905" i="2"/>
  <c r="AL1905" i="2"/>
  <c r="AG1905" i="2"/>
  <c r="AB1905" i="2"/>
  <c r="W1905" i="2"/>
  <c r="R1905" i="2"/>
  <c r="M1905" i="2"/>
  <c r="BF1904" i="2"/>
  <c r="BD1904" i="2"/>
  <c r="BB1904" i="2"/>
  <c r="AZ1904" i="2"/>
  <c r="AX1904" i="2"/>
  <c r="AV1904" i="2"/>
  <c r="AS1904" i="2"/>
  <c r="AR1904" i="2"/>
  <c r="AQ1904" i="2"/>
  <c r="AP1904" i="2"/>
  <c r="AO1904" i="2"/>
  <c r="AN1904" i="2"/>
  <c r="AL1904" i="2"/>
  <c r="AG1904" i="2"/>
  <c r="AB1904" i="2"/>
  <c r="W1904" i="2"/>
  <c r="R1904" i="2"/>
  <c r="M1904" i="2"/>
  <c r="BF1903" i="2"/>
  <c r="BD1903" i="2"/>
  <c r="BB1903" i="2"/>
  <c r="AZ1903" i="2"/>
  <c r="AX1903" i="2"/>
  <c r="AV1903" i="2"/>
  <c r="AS1903" i="2"/>
  <c r="AR1903" i="2"/>
  <c r="AQ1903" i="2"/>
  <c r="AP1903" i="2"/>
  <c r="AO1903" i="2"/>
  <c r="AN1903" i="2"/>
  <c r="AL1903" i="2"/>
  <c r="AG1903" i="2"/>
  <c r="AB1903" i="2"/>
  <c r="W1903" i="2"/>
  <c r="R1903" i="2"/>
  <c r="M1903" i="2"/>
  <c r="BF1902" i="2"/>
  <c r="BD1902" i="2"/>
  <c r="BB1902" i="2"/>
  <c r="AZ1902" i="2"/>
  <c r="AX1902" i="2"/>
  <c r="AV1902" i="2"/>
  <c r="AS1902" i="2"/>
  <c r="AR1902" i="2"/>
  <c r="AQ1902" i="2"/>
  <c r="AP1902" i="2"/>
  <c r="AO1902" i="2"/>
  <c r="AN1902" i="2"/>
  <c r="AL1902" i="2"/>
  <c r="AG1902" i="2"/>
  <c r="AB1902" i="2"/>
  <c r="W1902" i="2"/>
  <c r="R1902" i="2"/>
  <c r="M1902" i="2"/>
  <c r="BF1901" i="2"/>
  <c r="BD1901" i="2"/>
  <c r="BB1901" i="2"/>
  <c r="AZ1901" i="2"/>
  <c r="AX1901" i="2"/>
  <c r="AV1901" i="2"/>
  <c r="AS1901" i="2"/>
  <c r="AR1901" i="2"/>
  <c r="AQ1901" i="2"/>
  <c r="AP1901" i="2"/>
  <c r="AO1901" i="2"/>
  <c r="AN1901" i="2"/>
  <c r="AL1901" i="2"/>
  <c r="AG1901" i="2"/>
  <c r="AB1901" i="2"/>
  <c r="W1901" i="2"/>
  <c r="R1901" i="2"/>
  <c r="M1901" i="2"/>
  <c r="BF1900" i="2"/>
  <c r="BD1900" i="2"/>
  <c r="BB1900" i="2"/>
  <c r="AZ1900" i="2"/>
  <c r="AX1900" i="2"/>
  <c r="AV1900" i="2"/>
  <c r="AS1900" i="2"/>
  <c r="AR1900" i="2"/>
  <c r="AQ1900" i="2"/>
  <c r="AP1900" i="2"/>
  <c r="AO1900" i="2"/>
  <c r="AN1900" i="2"/>
  <c r="AL1900" i="2"/>
  <c r="AG1900" i="2"/>
  <c r="AB1900" i="2"/>
  <c r="W1900" i="2"/>
  <c r="R1900" i="2"/>
  <c r="M1900" i="2"/>
  <c r="AT1899" i="2"/>
  <c r="AU1902" i="2" s="1"/>
  <c r="BF1898" i="2"/>
  <c r="BD1898" i="2"/>
  <c r="BB1898" i="2"/>
  <c r="AZ1898" i="2"/>
  <c r="AX1898" i="2"/>
  <c r="AV1898" i="2"/>
  <c r="AS1898" i="2"/>
  <c r="AR1898" i="2"/>
  <c r="AQ1898" i="2"/>
  <c r="AP1898" i="2"/>
  <c r="AO1898" i="2"/>
  <c r="AN1898" i="2"/>
  <c r="AL1898" i="2"/>
  <c r="AG1898" i="2"/>
  <c r="AB1898" i="2"/>
  <c r="W1898" i="2"/>
  <c r="R1898" i="2"/>
  <c r="M1898" i="2"/>
  <c r="BF1897" i="2"/>
  <c r="BD1897" i="2"/>
  <c r="BB1897" i="2"/>
  <c r="AZ1897" i="2"/>
  <c r="AX1897" i="2"/>
  <c r="AV1897" i="2"/>
  <c r="AS1897" i="2"/>
  <c r="AR1897" i="2"/>
  <c r="AQ1897" i="2"/>
  <c r="AP1897" i="2"/>
  <c r="AO1897" i="2"/>
  <c r="AN1897" i="2"/>
  <c r="AL1897" i="2"/>
  <c r="AG1897" i="2"/>
  <c r="AB1897" i="2"/>
  <c r="W1897" i="2"/>
  <c r="R1897" i="2"/>
  <c r="M1897" i="2"/>
  <c r="BF1896" i="2"/>
  <c r="BD1896" i="2"/>
  <c r="BB1896" i="2"/>
  <c r="AZ1896" i="2"/>
  <c r="AX1896" i="2"/>
  <c r="AV1896" i="2"/>
  <c r="AS1896" i="2"/>
  <c r="AR1896" i="2"/>
  <c r="AQ1896" i="2"/>
  <c r="AP1896" i="2"/>
  <c r="AO1896" i="2"/>
  <c r="AN1896" i="2"/>
  <c r="AL1896" i="2"/>
  <c r="AG1896" i="2"/>
  <c r="AB1896" i="2"/>
  <c r="W1896" i="2"/>
  <c r="R1896" i="2"/>
  <c r="M1896" i="2"/>
  <c r="BF1895" i="2"/>
  <c r="BD1895" i="2"/>
  <c r="BB1895" i="2"/>
  <c r="AZ1895" i="2"/>
  <c r="AX1895" i="2"/>
  <c r="AV1895" i="2"/>
  <c r="AS1895" i="2"/>
  <c r="AR1895" i="2"/>
  <c r="AQ1895" i="2"/>
  <c r="AP1895" i="2"/>
  <c r="AO1895" i="2"/>
  <c r="AN1895" i="2"/>
  <c r="AL1895" i="2"/>
  <c r="AG1895" i="2"/>
  <c r="AB1895" i="2"/>
  <c r="W1895" i="2"/>
  <c r="R1895" i="2"/>
  <c r="M1895" i="2"/>
  <c r="BF1894" i="2"/>
  <c r="BD1894" i="2"/>
  <c r="BB1894" i="2"/>
  <c r="AZ1894" i="2"/>
  <c r="AX1894" i="2"/>
  <c r="AV1894" i="2"/>
  <c r="AS1894" i="2"/>
  <c r="AR1894" i="2"/>
  <c r="AQ1894" i="2"/>
  <c r="AP1894" i="2"/>
  <c r="AO1894" i="2"/>
  <c r="AN1894" i="2"/>
  <c r="AL1894" i="2"/>
  <c r="AG1894" i="2"/>
  <c r="AB1894" i="2"/>
  <c r="W1894" i="2"/>
  <c r="R1894" i="2"/>
  <c r="M1894" i="2"/>
  <c r="BF1893" i="2"/>
  <c r="BD1893" i="2"/>
  <c r="BB1893" i="2"/>
  <c r="AZ1893" i="2"/>
  <c r="AX1893" i="2"/>
  <c r="AV1893" i="2"/>
  <c r="AS1893" i="2"/>
  <c r="AR1893" i="2"/>
  <c r="AQ1893" i="2"/>
  <c r="AP1893" i="2"/>
  <c r="AO1893" i="2"/>
  <c r="AN1893" i="2"/>
  <c r="AL1893" i="2"/>
  <c r="AG1893" i="2"/>
  <c r="AB1893" i="2"/>
  <c r="W1893" i="2"/>
  <c r="R1893" i="2"/>
  <c r="M1893" i="2"/>
  <c r="AT1892" i="2"/>
  <c r="AU1897" i="2" s="1"/>
  <c r="AM1892" i="2"/>
  <c r="BF1891" i="2"/>
  <c r="BD1891" i="2"/>
  <c r="BB1891" i="2"/>
  <c r="AZ1891" i="2"/>
  <c r="AX1891" i="2"/>
  <c r="AV1891" i="2"/>
  <c r="AS1891" i="2"/>
  <c r="AR1891" i="2"/>
  <c r="AP1891" i="2"/>
  <c r="AO1891" i="2"/>
  <c r="AN1891" i="2"/>
  <c r="AL1891" i="2"/>
  <c r="AG1891" i="2"/>
  <c r="AB1891" i="2"/>
  <c r="W1891" i="2"/>
  <c r="R1891" i="2"/>
  <c r="M1891" i="2"/>
  <c r="BF1890" i="2"/>
  <c r="BD1890" i="2"/>
  <c r="BB1890" i="2"/>
  <c r="AZ1890" i="2"/>
  <c r="AX1890" i="2"/>
  <c r="AV1890" i="2"/>
  <c r="AS1890" i="2"/>
  <c r="AR1890" i="2"/>
  <c r="AP1890" i="2"/>
  <c r="AO1890" i="2"/>
  <c r="AN1890" i="2"/>
  <c r="AL1890" i="2"/>
  <c r="AG1890" i="2"/>
  <c r="AB1890" i="2"/>
  <c r="W1890" i="2"/>
  <c r="R1890" i="2"/>
  <c r="M1890" i="2"/>
  <c r="BF1889" i="2"/>
  <c r="BD1889" i="2"/>
  <c r="BB1889" i="2"/>
  <c r="AZ1889" i="2"/>
  <c r="AX1889" i="2"/>
  <c r="AV1889" i="2"/>
  <c r="AS1889" i="2"/>
  <c r="AR1889" i="2"/>
  <c r="AQ1889" i="2"/>
  <c r="AP1889" i="2"/>
  <c r="AO1889" i="2"/>
  <c r="AN1889" i="2"/>
  <c r="AL1889" i="2"/>
  <c r="AG1889" i="2"/>
  <c r="AB1889" i="2"/>
  <c r="W1889" i="2"/>
  <c r="R1889" i="2"/>
  <c r="M1889" i="2"/>
  <c r="BF1888" i="2"/>
  <c r="BD1888" i="2"/>
  <c r="BB1888" i="2"/>
  <c r="AZ1888" i="2"/>
  <c r="AX1888" i="2"/>
  <c r="AV1888" i="2"/>
  <c r="AS1888" i="2"/>
  <c r="AR1888" i="2"/>
  <c r="AQ1888" i="2"/>
  <c r="AP1888" i="2"/>
  <c r="AO1888" i="2"/>
  <c r="AN1888" i="2"/>
  <c r="AL1888" i="2"/>
  <c r="AG1888" i="2"/>
  <c r="AB1888" i="2"/>
  <c r="W1888" i="2"/>
  <c r="R1888" i="2"/>
  <c r="M1888" i="2"/>
  <c r="BF1887" i="2"/>
  <c r="BD1887" i="2"/>
  <c r="BB1887" i="2"/>
  <c r="AZ1887" i="2"/>
  <c r="AX1887" i="2"/>
  <c r="AV1887" i="2"/>
  <c r="AS1887" i="2"/>
  <c r="AR1887" i="2"/>
  <c r="AQ1887" i="2"/>
  <c r="AP1887" i="2"/>
  <c r="AO1887" i="2"/>
  <c r="AN1887" i="2"/>
  <c r="AL1887" i="2"/>
  <c r="AG1887" i="2"/>
  <c r="AB1887" i="2"/>
  <c r="W1887" i="2"/>
  <c r="R1887" i="2"/>
  <c r="M1887" i="2"/>
  <c r="BF1886" i="2"/>
  <c r="BD1886" i="2"/>
  <c r="BB1886" i="2"/>
  <c r="AZ1886" i="2"/>
  <c r="AX1886" i="2"/>
  <c r="AV1886" i="2"/>
  <c r="AS1886" i="2"/>
  <c r="AR1886" i="2"/>
  <c r="AQ1886" i="2"/>
  <c r="AP1886" i="2"/>
  <c r="AO1886" i="2"/>
  <c r="AN1886" i="2"/>
  <c r="AL1886" i="2"/>
  <c r="AG1886" i="2"/>
  <c r="AB1886" i="2"/>
  <c r="W1886" i="2"/>
  <c r="R1886" i="2"/>
  <c r="M1886" i="2"/>
  <c r="BF1885" i="2"/>
  <c r="BD1885" i="2"/>
  <c r="BB1885" i="2"/>
  <c r="AZ1885" i="2"/>
  <c r="AX1885" i="2"/>
  <c r="AV1885" i="2"/>
  <c r="AS1885" i="2"/>
  <c r="AR1885" i="2"/>
  <c r="AQ1885" i="2"/>
  <c r="AP1885" i="2"/>
  <c r="AO1885" i="2"/>
  <c r="AN1885" i="2"/>
  <c r="AL1885" i="2"/>
  <c r="AG1885" i="2"/>
  <c r="AB1885" i="2"/>
  <c r="W1885" i="2"/>
  <c r="R1885" i="2"/>
  <c r="M1885" i="2"/>
  <c r="BF1884" i="2"/>
  <c r="BD1884" i="2"/>
  <c r="BB1884" i="2"/>
  <c r="AZ1884" i="2"/>
  <c r="AX1884" i="2"/>
  <c r="AV1884" i="2"/>
  <c r="AS1884" i="2"/>
  <c r="AR1884" i="2"/>
  <c r="AQ1884" i="2"/>
  <c r="AP1884" i="2"/>
  <c r="AO1884" i="2"/>
  <c r="AN1884" i="2"/>
  <c r="AL1884" i="2"/>
  <c r="AG1884" i="2"/>
  <c r="AB1884" i="2"/>
  <c r="W1884" i="2"/>
  <c r="R1884" i="2"/>
  <c r="M1884" i="2"/>
  <c r="AT1883" i="2"/>
  <c r="AU1883" i="2" s="1"/>
  <c r="AM1883" i="2"/>
  <c r="BF1882" i="2"/>
  <c r="BD1882" i="2"/>
  <c r="BB1882" i="2"/>
  <c r="AZ1882" i="2"/>
  <c r="AX1882" i="2"/>
  <c r="AV1882" i="2"/>
  <c r="AS1882" i="2"/>
  <c r="AR1882" i="2"/>
  <c r="AQ1882" i="2"/>
  <c r="AP1882" i="2"/>
  <c r="AO1882" i="2"/>
  <c r="AN1882" i="2"/>
  <c r="AL1882" i="2"/>
  <c r="AG1882" i="2"/>
  <c r="AB1882" i="2"/>
  <c r="W1882" i="2"/>
  <c r="R1882" i="2"/>
  <c r="M1882" i="2"/>
  <c r="BF1881" i="2"/>
  <c r="BD1881" i="2"/>
  <c r="BB1881" i="2"/>
  <c r="AZ1881" i="2"/>
  <c r="AX1881" i="2"/>
  <c r="AV1881" i="2"/>
  <c r="AS1881" i="2"/>
  <c r="AR1881" i="2"/>
  <c r="AQ1881" i="2"/>
  <c r="AP1881" i="2"/>
  <c r="AO1881" i="2"/>
  <c r="AN1881" i="2"/>
  <c r="AL1881" i="2"/>
  <c r="AG1881" i="2"/>
  <c r="AB1881" i="2"/>
  <c r="W1881" i="2"/>
  <c r="R1881" i="2"/>
  <c r="M1881" i="2"/>
  <c r="BF1880" i="2"/>
  <c r="BD1880" i="2"/>
  <c r="BB1880" i="2"/>
  <c r="AZ1880" i="2"/>
  <c r="AX1880" i="2"/>
  <c r="AV1880" i="2"/>
  <c r="AS1880" i="2"/>
  <c r="AR1880" i="2"/>
  <c r="AQ1880" i="2"/>
  <c r="AP1880" i="2"/>
  <c r="AO1880" i="2"/>
  <c r="AN1880" i="2"/>
  <c r="AL1880" i="2"/>
  <c r="AG1880" i="2"/>
  <c r="AB1880" i="2"/>
  <c r="W1880" i="2"/>
  <c r="R1880" i="2"/>
  <c r="M1880" i="2"/>
  <c r="BF1879" i="2"/>
  <c r="BD1879" i="2"/>
  <c r="BB1879" i="2"/>
  <c r="AZ1879" i="2"/>
  <c r="AX1879" i="2"/>
  <c r="AV1879" i="2"/>
  <c r="AS1879" i="2"/>
  <c r="AR1879" i="2"/>
  <c r="AQ1879" i="2"/>
  <c r="AP1879" i="2"/>
  <c r="AO1879" i="2"/>
  <c r="AN1879" i="2"/>
  <c r="AL1879" i="2"/>
  <c r="AG1879" i="2"/>
  <c r="AB1879" i="2"/>
  <c r="W1879" i="2"/>
  <c r="R1879" i="2"/>
  <c r="M1879" i="2"/>
  <c r="BF1878" i="2"/>
  <c r="BD1878" i="2"/>
  <c r="BB1878" i="2"/>
  <c r="AZ1878" i="2"/>
  <c r="AX1878" i="2"/>
  <c r="AV1878" i="2"/>
  <c r="AS1878" i="2"/>
  <c r="AR1878" i="2"/>
  <c r="AQ1878" i="2"/>
  <c r="AP1878" i="2"/>
  <c r="AO1878" i="2"/>
  <c r="AN1878" i="2"/>
  <c r="AL1878" i="2"/>
  <c r="AG1878" i="2"/>
  <c r="AB1878" i="2"/>
  <c r="W1878" i="2"/>
  <c r="R1878" i="2"/>
  <c r="M1878" i="2"/>
  <c r="BF1877" i="2"/>
  <c r="BD1877" i="2"/>
  <c r="BB1877" i="2"/>
  <c r="AZ1877" i="2"/>
  <c r="AX1877" i="2"/>
  <c r="AV1877" i="2"/>
  <c r="AS1877" i="2"/>
  <c r="AR1877" i="2"/>
  <c r="AQ1877" i="2"/>
  <c r="AP1877" i="2"/>
  <c r="AO1877" i="2"/>
  <c r="AN1877" i="2"/>
  <c r="AL1877" i="2"/>
  <c r="AG1877" i="2"/>
  <c r="AB1877" i="2"/>
  <c r="W1877" i="2"/>
  <c r="R1877" i="2"/>
  <c r="M1877" i="2"/>
  <c r="BF1876" i="2"/>
  <c r="BD1876" i="2"/>
  <c r="BB1876" i="2"/>
  <c r="AZ1876" i="2"/>
  <c r="AX1876" i="2"/>
  <c r="AV1876" i="2"/>
  <c r="AS1876" i="2"/>
  <c r="AR1876" i="2"/>
  <c r="AQ1876" i="2"/>
  <c r="AP1876" i="2"/>
  <c r="AO1876" i="2"/>
  <c r="AN1876" i="2"/>
  <c r="AL1876" i="2"/>
  <c r="AG1876" i="2"/>
  <c r="AB1876" i="2"/>
  <c r="W1876" i="2"/>
  <c r="R1876" i="2"/>
  <c r="M1876" i="2"/>
  <c r="BF1875" i="2"/>
  <c r="BD1875" i="2"/>
  <c r="BB1875" i="2"/>
  <c r="AZ1875" i="2"/>
  <c r="AX1875" i="2"/>
  <c r="AV1875" i="2"/>
  <c r="AS1875" i="2"/>
  <c r="AR1875" i="2"/>
  <c r="AQ1875" i="2"/>
  <c r="AP1875" i="2"/>
  <c r="AO1875" i="2"/>
  <c r="AN1875" i="2"/>
  <c r="AL1875" i="2"/>
  <c r="AG1875" i="2"/>
  <c r="AB1875" i="2"/>
  <c r="W1875" i="2"/>
  <c r="R1875" i="2"/>
  <c r="M1875" i="2"/>
  <c r="BF1874" i="2"/>
  <c r="BD1874" i="2"/>
  <c r="BB1874" i="2"/>
  <c r="AZ1874" i="2"/>
  <c r="AX1874" i="2"/>
  <c r="AV1874" i="2"/>
  <c r="AS1874" i="2"/>
  <c r="AR1874" i="2"/>
  <c r="AQ1874" i="2"/>
  <c r="AP1874" i="2"/>
  <c r="AO1874" i="2"/>
  <c r="AN1874" i="2"/>
  <c r="AL1874" i="2"/>
  <c r="AG1874" i="2"/>
  <c r="AB1874" i="2"/>
  <c r="W1874" i="2"/>
  <c r="R1874" i="2"/>
  <c r="M1874" i="2"/>
  <c r="BF1873" i="2"/>
  <c r="BD1873" i="2"/>
  <c r="BB1873" i="2"/>
  <c r="AZ1873" i="2"/>
  <c r="AX1873" i="2"/>
  <c r="AV1873" i="2"/>
  <c r="AS1873" i="2"/>
  <c r="AR1873" i="2"/>
  <c r="AQ1873" i="2"/>
  <c r="AP1873" i="2"/>
  <c r="AO1873" i="2"/>
  <c r="AN1873" i="2"/>
  <c r="AL1873" i="2"/>
  <c r="AG1873" i="2"/>
  <c r="AB1873" i="2"/>
  <c r="W1873" i="2"/>
  <c r="R1873" i="2"/>
  <c r="M1873" i="2"/>
  <c r="BF1872" i="2"/>
  <c r="BD1872" i="2"/>
  <c r="BB1872" i="2"/>
  <c r="AZ1872" i="2"/>
  <c r="AX1872" i="2"/>
  <c r="AV1872" i="2"/>
  <c r="AS1872" i="2"/>
  <c r="AR1872" i="2"/>
  <c r="AQ1872" i="2"/>
  <c r="AP1872" i="2"/>
  <c r="AO1872" i="2"/>
  <c r="AN1872" i="2"/>
  <c r="AL1872" i="2"/>
  <c r="AG1872" i="2"/>
  <c r="AB1872" i="2"/>
  <c r="W1872" i="2"/>
  <c r="R1872" i="2"/>
  <c r="M1872" i="2"/>
  <c r="BF1871" i="2"/>
  <c r="BD1871" i="2"/>
  <c r="BB1871" i="2"/>
  <c r="AZ1871" i="2"/>
  <c r="AX1871" i="2"/>
  <c r="AV1871" i="2"/>
  <c r="AS1871" i="2"/>
  <c r="AR1871" i="2"/>
  <c r="AQ1871" i="2"/>
  <c r="AP1871" i="2"/>
  <c r="AO1871" i="2"/>
  <c r="AN1871" i="2"/>
  <c r="AL1871" i="2"/>
  <c r="AG1871" i="2"/>
  <c r="AB1871" i="2"/>
  <c r="W1871" i="2"/>
  <c r="R1871" i="2"/>
  <c r="M1871" i="2"/>
  <c r="BF1870" i="2"/>
  <c r="BD1870" i="2"/>
  <c r="BB1870" i="2"/>
  <c r="AZ1870" i="2"/>
  <c r="AX1870" i="2"/>
  <c r="AV1870" i="2"/>
  <c r="AS1870" i="2"/>
  <c r="AR1870" i="2"/>
  <c r="AQ1870" i="2"/>
  <c r="AP1870" i="2"/>
  <c r="AO1870" i="2"/>
  <c r="AN1870" i="2"/>
  <c r="AL1870" i="2"/>
  <c r="AG1870" i="2"/>
  <c r="AB1870" i="2"/>
  <c r="W1870" i="2"/>
  <c r="R1870" i="2"/>
  <c r="M1870" i="2"/>
  <c r="BF1869" i="2"/>
  <c r="BD1869" i="2"/>
  <c r="BB1869" i="2"/>
  <c r="AZ1869" i="2"/>
  <c r="AX1869" i="2"/>
  <c r="AV1869" i="2"/>
  <c r="AS1869" i="2"/>
  <c r="AR1869" i="2"/>
  <c r="AQ1869" i="2"/>
  <c r="AP1869" i="2"/>
  <c r="AO1869" i="2"/>
  <c r="AN1869" i="2"/>
  <c r="AL1869" i="2"/>
  <c r="AG1869" i="2"/>
  <c r="AB1869" i="2"/>
  <c r="W1869" i="2"/>
  <c r="R1869" i="2"/>
  <c r="M1869" i="2"/>
  <c r="BF1868" i="2"/>
  <c r="BD1868" i="2"/>
  <c r="BB1868" i="2"/>
  <c r="AZ1868" i="2"/>
  <c r="AX1868" i="2"/>
  <c r="AV1868" i="2"/>
  <c r="AS1868" i="2"/>
  <c r="AR1868" i="2"/>
  <c r="AQ1868" i="2"/>
  <c r="AP1868" i="2"/>
  <c r="AO1868" i="2"/>
  <c r="AN1868" i="2"/>
  <c r="AL1868" i="2"/>
  <c r="AG1868" i="2"/>
  <c r="AB1868" i="2"/>
  <c r="W1868" i="2"/>
  <c r="R1868" i="2"/>
  <c r="M1868" i="2"/>
  <c r="BF1867" i="2"/>
  <c r="BD1867" i="2"/>
  <c r="BB1867" i="2"/>
  <c r="AZ1867" i="2"/>
  <c r="AX1867" i="2"/>
  <c r="AV1867" i="2"/>
  <c r="AS1867" i="2"/>
  <c r="AR1867" i="2"/>
  <c r="AQ1867" i="2"/>
  <c r="AP1867" i="2"/>
  <c r="AO1867" i="2"/>
  <c r="AN1867" i="2"/>
  <c r="AL1867" i="2"/>
  <c r="AG1867" i="2"/>
  <c r="AB1867" i="2"/>
  <c r="W1867" i="2"/>
  <c r="R1867" i="2"/>
  <c r="M1867" i="2"/>
  <c r="AT1866" i="2"/>
  <c r="AU1877" i="2" s="1"/>
  <c r="AM1866" i="2"/>
  <c r="BF1865" i="2"/>
  <c r="BD1865" i="2"/>
  <c r="BB1865" i="2"/>
  <c r="AZ1865" i="2"/>
  <c r="AX1865" i="2"/>
  <c r="AV1865" i="2"/>
  <c r="AS1865" i="2"/>
  <c r="AR1865" i="2"/>
  <c r="AQ1865" i="2"/>
  <c r="AP1865" i="2"/>
  <c r="AO1865" i="2"/>
  <c r="AN1865" i="2"/>
  <c r="AL1865" i="2"/>
  <c r="AG1865" i="2"/>
  <c r="AB1865" i="2"/>
  <c r="W1865" i="2"/>
  <c r="R1865" i="2"/>
  <c r="M1865" i="2"/>
  <c r="BF1864" i="2"/>
  <c r="BD1864" i="2"/>
  <c r="BB1864" i="2"/>
  <c r="AZ1864" i="2"/>
  <c r="AX1864" i="2"/>
  <c r="AV1864" i="2"/>
  <c r="AS1864" i="2"/>
  <c r="AR1864" i="2"/>
  <c r="AQ1864" i="2"/>
  <c r="AP1864" i="2"/>
  <c r="AO1864" i="2"/>
  <c r="AN1864" i="2"/>
  <c r="AL1864" i="2"/>
  <c r="AG1864" i="2"/>
  <c r="AB1864" i="2"/>
  <c r="W1864" i="2"/>
  <c r="R1864" i="2"/>
  <c r="M1864" i="2"/>
  <c r="BF1863" i="2"/>
  <c r="BD1863" i="2"/>
  <c r="BB1863" i="2"/>
  <c r="AZ1863" i="2"/>
  <c r="AX1863" i="2"/>
  <c r="AV1863" i="2"/>
  <c r="AS1863" i="2"/>
  <c r="AR1863" i="2"/>
  <c r="AQ1863" i="2"/>
  <c r="AP1863" i="2"/>
  <c r="AO1863" i="2"/>
  <c r="AN1863" i="2"/>
  <c r="AL1863" i="2"/>
  <c r="AG1863" i="2"/>
  <c r="AB1863" i="2"/>
  <c r="W1863" i="2"/>
  <c r="R1863" i="2"/>
  <c r="M1863" i="2"/>
  <c r="BF1862" i="2"/>
  <c r="BD1862" i="2"/>
  <c r="BB1862" i="2"/>
  <c r="AZ1862" i="2"/>
  <c r="AX1862" i="2"/>
  <c r="AV1862" i="2"/>
  <c r="AS1862" i="2"/>
  <c r="AR1862" i="2"/>
  <c r="AQ1862" i="2"/>
  <c r="AP1862" i="2"/>
  <c r="AO1862" i="2"/>
  <c r="AN1862" i="2"/>
  <c r="AL1862" i="2"/>
  <c r="AG1862" i="2"/>
  <c r="AB1862" i="2"/>
  <c r="W1862" i="2"/>
  <c r="R1862" i="2"/>
  <c r="M1862" i="2"/>
  <c r="BF1861" i="2"/>
  <c r="BD1861" i="2"/>
  <c r="BB1861" i="2"/>
  <c r="AZ1861" i="2"/>
  <c r="AX1861" i="2"/>
  <c r="AV1861" i="2"/>
  <c r="AS1861" i="2"/>
  <c r="AR1861" i="2"/>
  <c r="AQ1861" i="2"/>
  <c r="AP1861" i="2"/>
  <c r="AO1861" i="2"/>
  <c r="AN1861" i="2"/>
  <c r="AL1861" i="2"/>
  <c r="AG1861" i="2"/>
  <c r="AB1861" i="2"/>
  <c r="W1861" i="2"/>
  <c r="R1861" i="2"/>
  <c r="M1861" i="2"/>
  <c r="BF1860" i="2"/>
  <c r="BD1860" i="2"/>
  <c r="BB1860" i="2"/>
  <c r="AZ1860" i="2"/>
  <c r="AX1860" i="2"/>
  <c r="AV1860" i="2"/>
  <c r="AS1860" i="2"/>
  <c r="AR1860" i="2"/>
  <c r="AQ1860" i="2"/>
  <c r="AP1860" i="2"/>
  <c r="AO1860" i="2"/>
  <c r="AN1860" i="2"/>
  <c r="AL1860" i="2"/>
  <c r="AG1860" i="2"/>
  <c r="AB1860" i="2"/>
  <c r="W1860" i="2"/>
  <c r="R1860" i="2"/>
  <c r="M1860" i="2"/>
  <c r="BF1859" i="2"/>
  <c r="BD1859" i="2"/>
  <c r="BB1859" i="2"/>
  <c r="AZ1859" i="2"/>
  <c r="AX1859" i="2"/>
  <c r="AV1859" i="2"/>
  <c r="AS1859" i="2"/>
  <c r="AR1859" i="2"/>
  <c r="AQ1859" i="2"/>
  <c r="AP1859" i="2"/>
  <c r="AO1859" i="2"/>
  <c r="AN1859" i="2"/>
  <c r="AL1859" i="2"/>
  <c r="AG1859" i="2"/>
  <c r="AB1859" i="2"/>
  <c r="W1859" i="2"/>
  <c r="R1859" i="2"/>
  <c r="M1859" i="2"/>
  <c r="BF1858" i="2"/>
  <c r="BD1858" i="2"/>
  <c r="BB1858" i="2"/>
  <c r="AZ1858" i="2"/>
  <c r="AX1858" i="2"/>
  <c r="AV1858" i="2"/>
  <c r="AS1858" i="2"/>
  <c r="AR1858" i="2"/>
  <c r="AQ1858" i="2"/>
  <c r="AP1858" i="2"/>
  <c r="AO1858" i="2"/>
  <c r="AN1858" i="2"/>
  <c r="AL1858" i="2"/>
  <c r="AG1858" i="2"/>
  <c r="AB1858" i="2"/>
  <c r="W1858" i="2"/>
  <c r="R1858" i="2"/>
  <c r="M1858" i="2"/>
  <c r="BF1857" i="2"/>
  <c r="BD1857" i="2"/>
  <c r="BB1857" i="2"/>
  <c r="AZ1857" i="2"/>
  <c r="AX1857" i="2"/>
  <c r="AV1857" i="2"/>
  <c r="AS1857" i="2"/>
  <c r="AR1857" i="2"/>
  <c r="AQ1857" i="2"/>
  <c r="AP1857" i="2"/>
  <c r="AO1857" i="2"/>
  <c r="AN1857" i="2"/>
  <c r="AL1857" i="2"/>
  <c r="AG1857" i="2"/>
  <c r="AB1857" i="2"/>
  <c r="W1857" i="2"/>
  <c r="R1857" i="2"/>
  <c r="M1857" i="2"/>
  <c r="BF1856" i="2"/>
  <c r="BD1856" i="2"/>
  <c r="BB1856" i="2"/>
  <c r="AZ1856" i="2"/>
  <c r="AX1856" i="2"/>
  <c r="AV1856" i="2"/>
  <c r="AS1856" i="2"/>
  <c r="AR1856" i="2"/>
  <c r="AQ1856" i="2"/>
  <c r="AP1856" i="2"/>
  <c r="AO1856" i="2"/>
  <c r="AN1856" i="2"/>
  <c r="AL1856" i="2"/>
  <c r="AG1856" i="2"/>
  <c r="AB1856" i="2"/>
  <c r="W1856" i="2"/>
  <c r="R1856" i="2"/>
  <c r="M1856" i="2"/>
  <c r="BF1855" i="2"/>
  <c r="BD1855" i="2"/>
  <c r="BB1855" i="2"/>
  <c r="AZ1855" i="2"/>
  <c r="AX1855" i="2"/>
  <c r="AV1855" i="2"/>
  <c r="AS1855" i="2"/>
  <c r="AR1855" i="2"/>
  <c r="AQ1855" i="2"/>
  <c r="AP1855" i="2"/>
  <c r="AO1855" i="2"/>
  <c r="AN1855" i="2"/>
  <c r="AL1855" i="2"/>
  <c r="AG1855" i="2"/>
  <c r="AB1855" i="2"/>
  <c r="W1855" i="2"/>
  <c r="R1855" i="2"/>
  <c r="M1855" i="2"/>
  <c r="BF1854" i="2"/>
  <c r="BD1854" i="2"/>
  <c r="BB1854" i="2"/>
  <c r="AZ1854" i="2"/>
  <c r="AX1854" i="2"/>
  <c r="AV1854" i="2"/>
  <c r="AS1854" i="2"/>
  <c r="AR1854" i="2"/>
  <c r="AQ1854" i="2"/>
  <c r="AP1854" i="2"/>
  <c r="AO1854" i="2"/>
  <c r="AN1854" i="2"/>
  <c r="AL1854" i="2"/>
  <c r="AG1854" i="2"/>
  <c r="AB1854" i="2"/>
  <c r="W1854" i="2"/>
  <c r="R1854" i="2"/>
  <c r="M1854" i="2"/>
  <c r="BF1853" i="2"/>
  <c r="BD1853" i="2"/>
  <c r="BB1853" i="2"/>
  <c r="AZ1853" i="2"/>
  <c r="AX1853" i="2"/>
  <c r="AV1853" i="2"/>
  <c r="AS1853" i="2"/>
  <c r="AR1853" i="2"/>
  <c r="AQ1853" i="2"/>
  <c r="AP1853" i="2"/>
  <c r="AO1853" i="2"/>
  <c r="AN1853" i="2"/>
  <c r="AL1853" i="2"/>
  <c r="AG1853" i="2"/>
  <c r="AB1853" i="2"/>
  <c r="W1853" i="2"/>
  <c r="R1853" i="2"/>
  <c r="M1853" i="2"/>
  <c r="BF1852" i="2"/>
  <c r="BD1852" i="2"/>
  <c r="BB1852" i="2"/>
  <c r="AZ1852" i="2"/>
  <c r="AX1852" i="2"/>
  <c r="AV1852" i="2"/>
  <c r="AS1852" i="2"/>
  <c r="AR1852" i="2"/>
  <c r="AQ1852" i="2"/>
  <c r="AP1852" i="2"/>
  <c r="AO1852" i="2"/>
  <c r="AN1852" i="2"/>
  <c r="AL1852" i="2"/>
  <c r="AG1852" i="2"/>
  <c r="AB1852" i="2"/>
  <c r="W1852" i="2"/>
  <c r="R1852" i="2"/>
  <c r="M1852" i="2"/>
  <c r="BF1851" i="2"/>
  <c r="BD1851" i="2"/>
  <c r="BB1851" i="2"/>
  <c r="AZ1851" i="2"/>
  <c r="AX1851" i="2"/>
  <c r="AV1851" i="2"/>
  <c r="AS1851" i="2"/>
  <c r="AR1851" i="2"/>
  <c r="AQ1851" i="2"/>
  <c r="AP1851" i="2"/>
  <c r="AO1851" i="2"/>
  <c r="AN1851" i="2"/>
  <c r="AL1851" i="2"/>
  <c r="AG1851" i="2"/>
  <c r="AB1851" i="2"/>
  <c r="W1851" i="2"/>
  <c r="R1851" i="2"/>
  <c r="M1851" i="2"/>
  <c r="BF1850" i="2"/>
  <c r="BD1850" i="2"/>
  <c r="BB1850" i="2"/>
  <c r="AZ1850" i="2"/>
  <c r="AX1850" i="2"/>
  <c r="AV1850" i="2"/>
  <c r="AS1850" i="2"/>
  <c r="AR1850" i="2"/>
  <c r="AQ1850" i="2"/>
  <c r="AP1850" i="2"/>
  <c r="AO1850" i="2"/>
  <c r="AN1850" i="2"/>
  <c r="AL1850" i="2"/>
  <c r="AG1850" i="2"/>
  <c r="AB1850" i="2"/>
  <c r="W1850" i="2"/>
  <c r="R1850" i="2"/>
  <c r="M1850" i="2"/>
  <c r="BF1849" i="2"/>
  <c r="BD1849" i="2"/>
  <c r="BB1849" i="2"/>
  <c r="AZ1849" i="2"/>
  <c r="AX1849" i="2"/>
  <c r="AV1849" i="2"/>
  <c r="AS1849" i="2"/>
  <c r="AR1849" i="2"/>
  <c r="AQ1849" i="2"/>
  <c r="AP1849" i="2"/>
  <c r="AO1849" i="2"/>
  <c r="AN1849" i="2"/>
  <c r="AL1849" i="2"/>
  <c r="AG1849" i="2"/>
  <c r="AB1849" i="2"/>
  <c r="W1849" i="2"/>
  <c r="R1849" i="2"/>
  <c r="M1849" i="2"/>
  <c r="BF1848" i="2"/>
  <c r="BD1848" i="2"/>
  <c r="BB1848" i="2"/>
  <c r="AZ1848" i="2"/>
  <c r="AX1848" i="2"/>
  <c r="AV1848" i="2"/>
  <c r="AS1848" i="2"/>
  <c r="AR1848" i="2"/>
  <c r="AQ1848" i="2"/>
  <c r="AP1848" i="2"/>
  <c r="AO1848" i="2"/>
  <c r="AN1848" i="2"/>
  <c r="AL1848" i="2"/>
  <c r="AG1848" i="2"/>
  <c r="AB1848" i="2"/>
  <c r="W1848" i="2"/>
  <c r="R1848" i="2"/>
  <c r="M1848" i="2"/>
  <c r="BF1847" i="2"/>
  <c r="BD1847" i="2"/>
  <c r="BB1847" i="2"/>
  <c r="AZ1847" i="2"/>
  <c r="AX1847" i="2"/>
  <c r="AV1847" i="2"/>
  <c r="AS1847" i="2"/>
  <c r="AR1847" i="2"/>
  <c r="AQ1847" i="2"/>
  <c r="AP1847" i="2"/>
  <c r="AO1847" i="2"/>
  <c r="AN1847" i="2"/>
  <c r="AL1847" i="2"/>
  <c r="AG1847" i="2"/>
  <c r="AB1847" i="2"/>
  <c r="W1847" i="2"/>
  <c r="R1847" i="2"/>
  <c r="M1847" i="2"/>
  <c r="BF1846" i="2"/>
  <c r="BD1846" i="2"/>
  <c r="BB1846" i="2"/>
  <c r="AZ1846" i="2"/>
  <c r="AX1846" i="2"/>
  <c r="AV1846" i="2"/>
  <c r="AS1846" i="2"/>
  <c r="AR1846" i="2"/>
  <c r="AQ1846" i="2"/>
  <c r="AP1846" i="2"/>
  <c r="AO1846" i="2"/>
  <c r="AN1846" i="2"/>
  <c r="AL1846" i="2"/>
  <c r="AG1846" i="2"/>
  <c r="AB1846" i="2"/>
  <c r="W1846" i="2"/>
  <c r="R1846" i="2"/>
  <c r="M1846" i="2"/>
  <c r="BF1845" i="2"/>
  <c r="BD1845" i="2"/>
  <c r="BB1845" i="2"/>
  <c r="AZ1845" i="2"/>
  <c r="AX1845" i="2"/>
  <c r="AV1845" i="2"/>
  <c r="AS1845" i="2"/>
  <c r="AR1845" i="2"/>
  <c r="AQ1845" i="2"/>
  <c r="AP1845" i="2"/>
  <c r="AO1845" i="2"/>
  <c r="AN1845" i="2"/>
  <c r="AL1845" i="2"/>
  <c r="AG1845" i="2"/>
  <c r="AB1845" i="2"/>
  <c r="W1845" i="2"/>
  <c r="R1845" i="2"/>
  <c r="M1845" i="2"/>
  <c r="BF1844" i="2"/>
  <c r="BD1844" i="2"/>
  <c r="BB1844" i="2"/>
  <c r="AZ1844" i="2"/>
  <c r="AX1844" i="2"/>
  <c r="AV1844" i="2"/>
  <c r="AS1844" i="2"/>
  <c r="AR1844" i="2"/>
  <c r="AQ1844" i="2"/>
  <c r="AP1844" i="2"/>
  <c r="AO1844" i="2"/>
  <c r="AN1844" i="2"/>
  <c r="AL1844" i="2"/>
  <c r="AG1844" i="2"/>
  <c r="AB1844" i="2"/>
  <c r="W1844" i="2"/>
  <c r="R1844" i="2"/>
  <c r="M1844" i="2"/>
  <c r="BF1843" i="2"/>
  <c r="BD1843" i="2"/>
  <c r="BB1843" i="2"/>
  <c r="AZ1843" i="2"/>
  <c r="AX1843" i="2"/>
  <c r="AV1843" i="2"/>
  <c r="AS1843" i="2"/>
  <c r="AR1843" i="2"/>
  <c r="AQ1843" i="2"/>
  <c r="AP1843" i="2"/>
  <c r="AO1843" i="2"/>
  <c r="AN1843" i="2"/>
  <c r="AL1843" i="2"/>
  <c r="AG1843" i="2"/>
  <c r="AB1843" i="2"/>
  <c r="W1843" i="2"/>
  <c r="R1843" i="2"/>
  <c r="M1843" i="2"/>
  <c r="BF1842" i="2"/>
  <c r="BD1842" i="2"/>
  <c r="BB1842" i="2"/>
  <c r="AZ1842" i="2"/>
  <c r="AX1842" i="2"/>
  <c r="AV1842" i="2"/>
  <c r="AS1842" i="2"/>
  <c r="AR1842" i="2"/>
  <c r="AQ1842" i="2"/>
  <c r="AP1842" i="2"/>
  <c r="AO1842" i="2"/>
  <c r="AN1842" i="2"/>
  <c r="AL1842" i="2"/>
  <c r="AG1842" i="2"/>
  <c r="AB1842" i="2"/>
  <c r="W1842" i="2"/>
  <c r="R1842" i="2"/>
  <c r="M1842" i="2"/>
  <c r="BF1841" i="2"/>
  <c r="BD1841" i="2"/>
  <c r="BB1841" i="2"/>
  <c r="AZ1841" i="2"/>
  <c r="AX1841" i="2"/>
  <c r="AV1841" i="2"/>
  <c r="AS1841" i="2"/>
  <c r="AR1841" i="2"/>
  <c r="AQ1841" i="2"/>
  <c r="AP1841" i="2"/>
  <c r="AO1841" i="2"/>
  <c r="AN1841" i="2"/>
  <c r="AL1841" i="2"/>
  <c r="AG1841" i="2"/>
  <c r="AB1841" i="2"/>
  <c r="W1841" i="2"/>
  <c r="R1841" i="2"/>
  <c r="M1841" i="2"/>
  <c r="BF1840" i="2"/>
  <c r="BD1840" i="2"/>
  <c r="BB1840" i="2"/>
  <c r="AZ1840" i="2"/>
  <c r="AX1840" i="2"/>
  <c r="AV1840" i="2"/>
  <c r="AS1840" i="2"/>
  <c r="AR1840" i="2"/>
  <c r="AQ1840" i="2"/>
  <c r="AP1840" i="2"/>
  <c r="AO1840" i="2"/>
  <c r="AN1840" i="2"/>
  <c r="AL1840" i="2"/>
  <c r="AG1840" i="2"/>
  <c r="AB1840" i="2"/>
  <c r="W1840" i="2"/>
  <c r="R1840" i="2"/>
  <c r="M1840" i="2"/>
  <c r="BF1839" i="2"/>
  <c r="BD1839" i="2"/>
  <c r="BB1839" i="2"/>
  <c r="AZ1839" i="2"/>
  <c r="AX1839" i="2"/>
  <c r="AV1839" i="2"/>
  <c r="AS1839" i="2"/>
  <c r="AR1839" i="2"/>
  <c r="AQ1839" i="2"/>
  <c r="AP1839" i="2"/>
  <c r="AO1839" i="2"/>
  <c r="AN1839" i="2"/>
  <c r="AL1839" i="2"/>
  <c r="AG1839" i="2"/>
  <c r="AB1839" i="2"/>
  <c r="W1839" i="2"/>
  <c r="R1839" i="2"/>
  <c r="M1839" i="2"/>
  <c r="BF1838" i="2"/>
  <c r="BD1838" i="2"/>
  <c r="BB1838" i="2"/>
  <c r="AZ1838" i="2"/>
  <c r="AX1838" i="2"/>
  <c r="AV1838" i="2"/>
  <c r="AS1838" i="2"/>
  <c r="AR1838" i="2"/>
  <c r="AQ1838" i="2"/>
  <c r="AP1838" i="2"/>
  <c r="AO1838" i="2"/>
  <c r="AN1838" i="2"/>
  <c r="AL1838" i="2"/>
  <c r="AG1838" i="2"/>
  <c r="AB1838" i="2"/>
  <c r="W1838" i="2"/>
  <c r="R1838" i="2"/>
  <c r="M1838" i="2"/>
  <c r="BF1837" i="2"/>
  <c r="BD1837" i="2"/>
  <c r="BB1837" i="2"/>
  <c r="AZ1837" i="2"/>
  <c r="AX1837" i="2"/>
  <c r="AV1837" i="2"/>
  <c r="AS1837" i="2"/>
  <c r="AR1837" i="2"/>
  <c r="AQ1837" i="2"/>
  <c r="AP1837" i="2"/>
  <c r="AO1837" i="2"/>
  <c r="AN1837" i="2"/>
  <c r="AL1837" i="2"/>
  <c r="AG1837" i="2"/>
  <c r="AB1837" i="2"/>
  <c r="W1837" i="2"/>
  <c r="R1837" i="2"/>
  <c r="M1837" i="2"/>
  <c r="BF1836" i="2"/>
  <c r="BD1836" i="2"/>
  <c r="BB1836" i="2"/>
  <c r="AZ1836" i="2"/>
  <c r="AX1836" i="2"/>
  <c r="AV1836" i="2"/>
  <c r="AS1836" i="2"/>
  <c r="AR1836" i="2"/>
  <c r="AQ1836" i="2"/>
  <c r="AP1836" i="2"/>
  <c r="AO1836" i="2"/>
  <c r="AN1836" i="2"/>
  <c r="AL1836" i="2"/>
  <c r="AG1836" i="2"/>
  <c r="AB1836" i="2"/>
  <c r="W1836" i="2"/>
  <c r="R1836" i="2"/>
  <c r="M1836" i="2"/>
  <c r="BF1835" i="2"/>
  <c r="BD1835" i="2"/>
  <c r="BB1835" i="2"/>
  <c r="AZ1835" i="2"/>
  <c r="AX1835" i="2"/>
  <c r="AV1835" i="2"/>
  <c r="AS1835" i="2"/>
  <c r="AR1835" i="2"/>
  <c r="AQ1835" i="2"/>
  <c r="AP1835" i="2"/>
  <c r="AO1835" i="2"/>
  <c r="AN1835" i="2"/>
  <c r="AL1835" i="2"/>
  <c r="AG1835" i="2"/>
  <c r="AB1835" i="2"/>
  <c r="W1835" i="2"/>
  <c r="R1835" i="2"/>
  <c r="M1835" i="2"/>
  <c r="BF1834" i="2"/>
  <c r="BD1834" i="2"/>
  <c r="BB1834" i="2"/>
  <c r="AZ1834" i="2"/>
  <c r="AX1834" i="2"/>
  <c r="AV1834" i="2"/>
  <c r="AS1834" i="2"/>
  <c r="AR1834" i="2"/>
  <c r="AQ1834" i="2"/>
  <c r="AP1834" i="2"/>
  <c r="AO1834" i="2"/>
  <c r="AN1834" i="2"/>
  <c r="AL1834" i="2"/>
  <c r="AG1834" i="2"/>
  <c r="AB1834" i="2"/>
  <c r="W1834" i="2"/>
  <c r="R1834" i="2"/>
  <c r="M1834" i="2"/>
  <c r="BF1833" i="2"/>
  <c r="BD1833" i="2"/>
  <c r="BB1833" i="2"/>
  <c r="AZ1833" i="2"/>
  <c r="AX1833" i="2"/>
  <c r="AV1833" i="2"/>
  <c r="AS1833" i="2"/>
  <c r="AR1833" i="2"/>
  <c r="AQ1833" i="2"/>
  <c r="AP1833" i="2"/>
  <c r="AO1833" i="2"/>
  <c r="AN1833" i="2"/>
  <c r="AL1833" i="2"/>
  <c r="AG1833" i="2"/>
  <c r="AB1833" i="2"/>
  <c r="W1833" i="2"/>
  <c r="R1833" i="2"/>
  <c r="M1833" i="2"/>
  <c r="BF1832" i="2"/>
  <c r="BD1832" i="2"/>
  <c r="BB1832" i="2"/>
  <c r="AZ1832" i="2"/>
  <c r="AX1832" i="2"/>
  <c r="AV1832" i="2"/>
  <c r="AS1832" i="2"/>
  <c r="AR1832" i="2"/>
  <c r="AQ1832" i="2"/>
  <c r="AP1832" i="2"/>
  <c r="AO1832" i="2"/>
  <c r="AN1832" i="2"/>
  <c r="AL1832" i="2"/>
  <c r="AG1832" i="2"/>
  <c r="AB1832" i="2"/>
  <c r="W1832" i="2"/>
  <c r="R1832" i="2"/>
  <c r="M1832" i="2"/>
  <c r="BF1831" i="2"/>
  <c r="BD1831" i="2"/>
  <c r="BB1831" i="2"/>
  <c r="AZ1831" i="2"/>
  <c r="AX1831" i="2"/>
  <c r="AV1831" i="2"/>
  <c r="AS1831" i="2"/>
  <c r="AR1831" i="2"/>
  <c r="AQ1831" i="2"/>
  <c r="AP1831" i="2"/>
  <c r="AO1831" i="2"/>
  <c r="AN1831" i="2"/>
  <c r="AL1831" i="2"/>
  <c r="AG1831" i="2"/>
  <c r="AB1831" i="2"/>
  <c r="W1831" i="2"/>
  <c r="R1831" i="2"/>
  <c r="M1831" i="2"/>
  <c r="BF1830" i="2"/>
  <c r="BD1830" i="2"/>
  <c r="BB1830" i="2"/>
  <c r="AZ1830" i="2"/>
  <c r="AX1830" i="2"/>
  <c r="AV1830" i="2"/>
  <c r="AS1830" i="2"/>
  <c r="AR1830" i="2"/>
  <c r="AQ1830" i="2"/>
  <c r="AP1830" i="2"/>
  <c r="AO1830" i="2"/>
  <c r="AN1830" i="2"/>
  <c r="AL1830" i="2"/>
  <c r="AG1830" i="2"/>
  <c r="AB1830" i="2"/>
  <c r="W1830" i="2"/>
  <c r="R1830" i="2"/>
  <c r="M1830" i="2"/>
  <c r="BF1829" i="2"/>
  <c r="BD1829" i="2"/>
  <c r="BB1829" i="2"/>
  <c r="AZ1829" i="2"/>
  <c r="AX1829" i="2"/>
  <c r="AV1829" i="2"/>
  <c r="AS1829" i="2"/>
  <c r="AR1829" i="2"/>
  <c r="AQ1829" i="2"/>
  <c r="AP1829" i="2"/>
  <c r="AO1829" i="2"/>
  <c r="AN1829" i="2"/>
  <c r="AL1829" i="2"/>
  <c r="AG1829" i="2"/>
  <c r="AB1829" i="2"/>
  <c r="W1829" i="2"/>
  <c r="R1829" i="2"/>
  <c r="M1829" i="2"/>
  <c r="BF1828" i="2"/>
  <c r="BD1828" i="2"/>
  <c r="BB1828" i="2"/>
  <c r="AZ1828" i="2"/>
  <c r="AX1828" i="2"/>
  <c r="AV1828" i="2"/>
  <c r="AS1828" i="2"/>
  <c r="AR1828" i="2"/>
  <c r="AQ1828" i="2"/>
  <c r="AP1828" i="2"/>
  <c r="AO1828" i="2"/>
  <c r="AN1828" i="2"/>
  <c r="AL1828" i="2"/>
  <c r="AG1828" i="2"/>
  <c r="AB1828" i="2"/>
  <c r="W1828" i="2"/>
  <c r="R1828" i="2"/>
  <c r="M1828" i="2"/>
  <c r="BF1827" i="2"/>
  <c r="BD1827" i="2"/>
  <c r="BB1827" i="2"/>
  <c r="AZ1827" i="2"/>
  <c r="AX1827" i="2"/>
  <c r="AV1827" i="2"/>
  <c r="AS1827" i="2"/>
  <c r="AR1827" i="2"/>
  <c r="AQ1827" i="2"/>
  <c r="AP1827" i="2"/>
  <c r="AO1827" i="2"/>
  <c r="AN1827" i="2"/>
  <c r="AL1827" i="2"/>
  <c r="AG1827" i="2"/>
  <c r="AB1827" i="2"/>
  <c r="W1827" i="2"/>
  <c r="R1827" i="2"/>
  <c r="M1827" i="2"/>
  <c r="BF1826" i="2"/>
  <c r="BD1826" i="2"/>
  <c r="BB1826" i="2"/>
  <c r="AZ1826" i="2"/>
  <c r="AX1826" i="2"/>
  <c r="AV1826" i="2"/>
  <c r="AS1826" i="2"/>
  <c r="AR1826" i="2"/>
  <c r="AQ1826" i="2"/>
  <c r="AP1826" i="2"/>
  <c r="AO1826" i="2"/>
  <c r="AN1826" i="2"/>
  <c r="AL1826" i="2"/>
  <c r="AG1826" i="2"/>
  <c r="AB1826" i="2"/>
  <c r="W1826" i="2"/>
  <c r="R1826" i="2"/>
  <c r="M1826" i="2"/>
  <c r="BF1825" i="2"/>
  <c r="BD1825" i="2"/>
  <c r="BB1825" i="2"/>
  <c r="AZ1825" i="2"/>
  <c r="AX1825" i="2"/>
  <c r="AV1825" i="2"/>
  <c r="AS1825" i="2"/>
  <c r="AR1825" i="2"/>
  <c r="AQ1825" i="2"/>
  <c r="AP1825" i="2"/>
  <c r="AO1825" i="2"/>
  <c r="AN1825" i="2"/>
  <c r="AL1825" i="2"/>
  <c r="AG1825" i="2"/>
  <c r="AB1825" i="2"/>
  <c r="W1825" i="2"/>
  <c r="R1825" i="2"/>
  <c r="M1825" i="2"/>
  <c r="BF1824" i="2"/>
  <c r="BD1824" i="2"/>
  <c r="BB1824" i="2"/>
  <c r="AZ1824" i="2"/>
  <c r="AX1824" i="2"/>
  <c r="AV1824" i="2"/>
  <c r="AS1824" i="2"/>
  <c r="AR1824" i="2"/>
  <c r="AQ1824" i="2"/>
  <c r="AP1824" i="2"/>
  <c r="AO1824" i="2"/>
  <c r="AN1824" i="2"/>
  <c r="AL1824" i="2"/>
  <c r="AG1824" i="2"/>
  <c r="AB1824" i="2"/>
  <c r="W1824" i="2"/>
  <c r="R1824" i="2"/>
  <c r="M1824" i="2"/>
  <c r="BF1823" i="2"/>
  <c r="BD1823" i="2"/>
  <c r="BB1823" i="2"/>
  <c r="AZ1823" i="2"/>
  <c r="AX1823" i="2"/>
  <c r="AV1823" i="2"/>
  <c r="AS1823" i="2"/>
  <c r="AR1823" i="2"/>
  <c r="AQ1823" i="2"/>
  <c r="AP1823" i="2"/>
  <c r="AO1823" i="2"/>
  <c r="AN1823" i="2"/>
  <c r="AL1823" i="2"/>
  <c r="AG1823" i="2"/>
  <c r="AB1823" i="2"/>
  <c r="W1823" i="2"/>
  <c r="R1823" i="2"/>
  <c r="M1823" i="2"/>
  <c r="BF1822" i="2"/>
  <c r="BD1822" i="2"/>
  <c r="BB1822" i="2"/>
  <c r="AZ1822" i="2"/>
  <c r="AX1822" i="2"/>
  <c r="AV1822" i="2"/>
  <c r="AS1822" i="2"/>
  <c r="AR1822" i="2"/>
  <c r="AQ1822" i="2"/>
  <c r="AP1822" i="2"/>
  <c r="AO1822" i="2"/>
  <c r="AN1822" i="2"/>
  <c r="AL1822" i="2"/>
  <c r="AG1822" i="2"/>
  <c r="AB1822" i="2"/>
  <c r="W1822" i="2"/>
  <c r="R1822" i="2"/>
  <c r="M1822" i="2"/>
  <c r="BF1821" i="2"/>
  <c r="BD1821" i="2"/>
  <c r="BB1821" i="2"/>
  <c r="AZ1821" i="2"/>
  <c r="AX1821" i="2"/>
  <c r="AV1821" i="2"/>
  <c r="AS1821" i="2"/>
  <c r="AR1821" i="2"/>
  <c r="AQ1821" i="2"/>
  <c r="AP1821" i="2"/>
  <c r="AO1821" i="2"/>
  <c r="AN1821" i="2"/>
  <c r="AL1821" i="2"/>
  <c r="AG1821" i="2"/>
  <c r="AB1821" i="2"/>
  <c r="W1821" i="2"/>
  <c r="R1821" i="2"/>
  <c r="M1821" i="2"/>
  <c r="BF1820" i="2"/>
  <c r="BD1820" i="2"/>
  <c r="BB1820" i="2"/>
  <c r="AZ1820" i="2"/>
  <c r="AX1820" i="2"/>
  <c r="AV1820" i="2"/>
  <c r="AS1820" i="2"/>
  <c r="AR1820" i="2"/>
  <c r="AQ1820" i="2"/>
  <c r="AP1820" i="2"/>
  <c r="AO1820" i="2"/>
  <c r="AN1820" i="2"/>
  <c r="AL1820" i="2"/>
  <c r="AG1820" i="2"/>
  <c r="AB1820" i="2"/>
  <c r="W1820" i="2"/>
  <c r="R1820" i="2"/>
  <c r="M1820" i="2"/>
  <c r="BF1819" i="2"/>
  <c r="BD1819" i="2"/>
  <c r="BB1819" i="2"/>
  <c r="AZ1819" i="2"/>
  <c r="AX1819" i="2"/>
  <c r="AV1819" i="2"/>
  <c r="AS1819" i="2"/>
  <c r="AR1819" i="2"/>
  <c r="AQ1819" i="2"/>
  <c r="AP1819" i="2"/>
  <c r="AO1819" i="2"/>
  <c r="AN1819" i="2"/>
  <c r="AL1819" i="2"/>
  <c r="AG1819" i="2"/>
  <c r="AB1819" i="2"/>
  <c r="W1819" i="2"/>
  <c r="R1819" i="2"/>
  <c r="M1819" i="2"/>
  <c r="BF1818" i="2"/>
  <c r="BD1818" i="2"/>
  <c r="BB1818" i="2"/>
  <c r="AZ1818" i="2"/>
  <c r="AX1818" i="2"/>
  <c r="AV1818" i="2"/>
  <c r="AS1818" i="2"/>
  <c r="AR1818" i="2"/>
  <c r="AQ1818" i="2"/>
  <c r="AP1818" i="2"/>
  <c r="AO1818" i="2"/>
  <c r="AN1818" i="2"/>
  <c r="AL1818" i="2"/>
  <c r="AG1818" i="2"/>
  <c r="AB1818" i="2"/>
  <c r="W1818" i="2"/>
  <c r="R1818" i="2"/>
  <c r="M1818" i="2"/>
  <c r="BF1817" i="2"/>
  <c r="BD1817" i="2"/>
  <c r="BB1817" i="2"/>
  <c r="AZ1817" i="2"/>
  <c r="AX1817" i="2"/>
  <c r="AV1817" i="2"/>
  <c r="AS1817" i="2"/>
  <c r="AR1817" i="2"/>
  <c r="AQ1817" i="2"/>
  <c r="AP1817" i="2"/>
  <c r="AO1817" i="2"/>
  <c r="AN1817" i="2"/>
  <c r="AL1817" i="2"/>
  <c r="AG1817" i="2"/>
  <c r="AB1817" i="2"/>
  <c r="W1817" i="2"/>
  <c r="R1817" i="2"/>
  <c r="M1817" i="2"/>
  <c r="BF1816" i="2"/>
  <c r="BD1816" i="2"/>
  <c r="BB1816" i="2"/>
  <c r="AZ1816" i="2"/>
  <c r="AX1816" i="2"/>
  <c r="AV1816" i="2"/>
  <c r="AS1816" i="2"/>
  <c r="AR1816" i="2"/>
  <c r="AQ1816" i="2"/>
  <c r="AP1816" i="2"/>
  <c r="AO1816" i="2"/>
  <c r="AN1816" i="2"/>
  <c r="AL1816" i="2"/>
  <c r="AG1816" i="2"/>
  <c r="AB1816" i="2"/>
  <c r="W1816" i="2"/>
  <c r="R1816" i="2"/>
  <c r="M1816" i="2"/>
  <c r="BF1815" i="2"/>
  <c r="BD1815" i="2"/>
  <c r="BB1815" i="2"/>
  <c r="AZ1815" i="2"/>
  <c r="AX1815" i="2"/>
  <c r="AV1815" i="2"/>
  <c r="AS1815" i="2"/>
  <c r="AR1815" i="2"/>
  <c r="AQ1815" i="2"/>
  <c r="AP1815" i="2"/>
  <c r="AO1815" i="2"/>
  <c r="AN1815" i="2"/>
  <c r="AL1815" i="2"/>
  <c r="AG1815" i="2"/>
  <c r="AB1815" i="2"/>
  <c r="W1815" i="2"/>
  <c r="R1815" i="2"/>
  <c r="M1815" i="2"/>
  <c r="BF1814" i="2"/>
  <c r="BD1814" i="2"/>
  <c r="BB1814" i="2"/>
  <c r="AZ1814" i="2"/>
  <c r="AX1814" i="2"/>
  <c r="AV1814" i="2"/>
  <c r="AS1814" i="2"/>
  <c r="AR1814" i="2"/>
  <c r="AQ1814" i="2"/>
  <c r="AP1814" i="2"/>
  <c r="AO1814" i="2"/>
  <c r="AN1814" i="2"/>
  <c r="AL1814" i="2"/>
  <c r="AG1814" i="2"/>
  <c r="AB1814" i="2"/>
  <c r="W1814" i="2"/>
  <c r="R1814" i="2"/>
  <c r="M1814" i="2"/>
  <c r="BF1813" i="2"/>
  <c r="BD1813" i="2"/>
  <c r="BB1813" i="2"/>
  <c r="AZ1813" i="2"/>
  <c r="AX1813" i="2"/>
  <c r="AV1813" i="2"/>
  <c r="AS1813" i="2"/>
  <c r="AR1813" i="2"/>
  <c r="AQ1813" i="2"/>
  <c r="AP1813" i="2"/>
  <c r="AO1813" i="2"/>
  <c r="AN1813" i="2"/>
  <c r="AL1813" i="2"/>
  <c r="AG1813" i="2"/>
  <c r="AB1813" i="2"/>
  <c r="W1813" i="2"/>
  <c r="R1813" i="2"/>
  <c r="M1813" i="2"/>
  <c r="BF1812" i="2"/>
  <c r="BD1812" i="2"/>
  <c r="BB1812" i="2"/>
  <c r="AZ1812" i="2"/>
  <c r="AX1812" i="2"/>
  <c r="AV1812" i="2"/>
  <c r="AS1812" i="2"/>
  <c r="AR1812" i="2"/>
  <c r="AQ1812" i="2"/>
  <c r="AP1812" i="2"/>
  <c r="AO1812" i="2"/>
  <c r="AN1812" i="2"/>
  <c r="AL1812" i="2"/>
  <c r="AG1812" i="2"/>
  <c r="AB1812" i="2"/>
  <c r="W1812" i="2"/>
  <c r="R1812" i="2"/>
  <c r="M1812" i="2"/>
  <c r="BF1811" i="2"/>
  <c r="BD1811" i="2"/>
  <c r="BB1811" i="2"/>
  <c r="AZ1811" i="2"/>
  <c r="AX1811" i="2"/>
  <c r="AV1811" i="2"/>
  <c r="AS1811" i="2"/>
  <c r="AR1811" i="2"/>
  <c r="AQ1811" i="2"/>
  <c r="AP1811" i="2"/>
  <c r="AO1811" i="2"/>
  <c r="AN1811" i="2"/>
  <c r="AL1811" i="2"/>
  <c r="AG1811" i="2"/>
  <c r="AB1811" i="2"/>
  <c r="W1811" i="2"/>
  <c r="R1811" i="2"/>
  <c r="M1811" i="2"/>
  <c r="BF1810" i="2"/>
  <c r="BD1810" i="2"/>
  <c r="BB1810" i="2"/>
  <c r="AZ1810" i="2"/>
  <c r="AX1810" i="2"/>
  <c r="AV1810" i="2"/>
  <c r="AS1810" i="2"/>
  <c r="AR1810" i="2"/>
  <c r="AQ1810" i="2"/>
  <c r="AP1810" i="2"/>
  <c r="AO1810" i="2"/>
  <c r="AN1810" i="2"/>
  <c r="AL1810" i="2"/>
  <c r="AG1810" i="2"/>
  <c r="AB1810" i="2"/>
  <c r="W1810" i="2"/>
  <c r="R1810" i="2"/>
  <c r="M1810" i="2"/>
  <c r="BF1809" i="2"/>
  <c r="BD1809" i="2"/>
  <c r="BB1809" i="2"/>
  <c r="AZ1809" i="2"/>
  <c r="AX1809" i="2"/>
  <c r="AV1809" i="2"/>
  <c r="AS1809" i="2"/>
  <c r="AR1809" i="2"/>
  <c r="AQ1809" i="2"/>
  <c r="AP1809" i="2"/>
  <c r="AO1809" i="2"/>
  <c r="AN1809" i="2"/>
  <c r="AL1809" i="2"/>
  <c r="AG1809" i="2"/>
  <c r="AB1809" i="2"/>
  <c r="W1809" i="2"/>
  <c r="R1809" i="2"/>
  <c r="M1809" i="2"/>
  <c r="BF1808" i="2"/>
  <c r="BD1808" i="2"/>
  <c r="BB1808" i="2"/>
  <c r="AZ1808" i="2"/>
  <c r="AX1808" i="2"/>
  <c r="AV1808" i="2"/>
  <c r="AS1808" i="2"/>
  <c r="AR1808" i="2"/>
  <c r="AQ1808" i="2"/>
  <c r="AP1808" i="2"/>
  <c r="AO1808" i="2"/>
  <c r="AN1808" i="2"/>
  <c r="AL1808" i="2"/>
  <c r="AG1808" i="2"/>
  <c r="AB1808" i="2"/>
  <c r="W1808" i="2"/>
  <c r="R1808" i="2"/>
  <c r="M1808" i="2"/>
  <c r="BF1807" i="2"/>
  <c r="BD1807" i="2"/>
  <c r="BB1807" i="2"/>
  <c r="AZ1807" i="2"/>
  <c r="AX1807" i="2"/>
  <c r="AV1807" i="2"/>
  <c r="AS1807" i="2"/>
  <c r="AR1807" i="2"/>
  <c r="AQ1807" i="2"/>
  <c r="AP1807" i="2"/>
  <c r="AO1807" i="2"/>
  <c r="AN1807" i="2"/>
  <c r="AL1807" i="2"/>
  <c r="AG1807" i="2"/>
  <c r="AB1807" i="2"/>
  <c r="W1807" i="2"/>
  <c r="R1807" i="2"/>
  <c r="M1807" i="2"/>
  <c r="BF1806" i="2"/>
  <c r="BD1806" i="2"/>
  <c r="BB1806" i="2"/>
  <c r="AZ1806" i="2"/>
  <c r="AX1806" i="2"/>
  <c r="AV1806" i="2"/>
  <c r="AS1806" i="2"/>
  <c r="AR1806" i="2"/>
  <c r="AQ1806" i="2"/>
  <c r="AP1806" i="2"/>
  <c r="AO1806" i="2"/>
  <c r="AN1806" i="2"/>
  <c r="AL1806" i="2"/>
  <c r="AG1806" i="2"/>
  <c r="AB1806" i="2"/>
  <c r="W1806" i="2"/>
  <c r="R1806" i="2"/>
  <c r="M1806" i="2"/>
  <c r="BF1805" i="2"/>
  <c r="BD1805" i="2"/>
  <c r="BB1805" i="2"/>
  <c r="AZ1805" i="2"/>
  <c r="AX1805" i="2"/>
  <c r="AV1805" i="2"/>
  <c r="AS1805" i="2"/>
  <c r="AR1805" i="2"/>
  <c r="AQ1805" i="2"/>
  <c r="AP1805" i="2"/>
  <c r="AO1805" i="2"/>
  <c r="AN1805" i="2"/>
  <c r="AL1805" i="2"/>
  <c r="AG1805" i="2"/>
  <c r="AB1805" i="2"/>
  <c r="W1805" i="2"/>
  <c r="R1805" i="2"/>
  <c r="M1805" i="2"/>
  <c r="BF1804" i="2"/>
  <c r="BD1804" i="2"/>
  <c r="BB1804" i="2"/>
  <c r="AZ1804" i="2"/>
  <c r="AX1804" i="2"/>
  <c r="AV1804" i="2"/>
  <c r="AS1804" i="2"/>
  <c r="AR1804" i="2"/>
  <c r="AQ1804" i="2"/>
  <c r="AP1804" i="2"/>
  <c r="AO1804" i="2"/>
  <c r="AN1804" i="2"/>
  <c r="AL1804" i="2"/>
  <c r="AG1804" i="2"/>
  <c r="AB1804" i="2"/>
  <c r="W1804" i="2"/>
  <c r="R1804" i="2"/>
  <c r="M1804" i="2"/>
  <c r="BF1803" i="2"/>
  <c r="BD1803" i="2"/>
  <c r="BB1803" i="2"/>
  <c r="AZ1803" i="2"/>
  <c r="AX1803" i="2"/>
  <c r="AV1803" i="2"/>
  <c r="AS1803" i="2"/>
  <c r="AR1803" i="2"/>
  <c r="AQ1803" i="2"/>
  <c r="AP1803" i="2"/>
  <c r="AO1803" i="2"/>
  <c r="AN1803" i="2"/>
  <c r="AL1803" i="2"/>
  <c r="AG1803" i="2"/>
  <c r="AB1803" i="2"/>
  <c r="W1803" i="2"/>
  <c r="R1803" i="2"/>
  <c r="M1803" i="2"/>
  <c r="BF1802" i="2"/>
  <c r="BD1802" i="2"/>
  <c r="BB1802" i="2"/>
  <c r="AZ1802" i="2"/>
  <c r="AX1802" i="2"/>
  <c r="AV1802" i="2"/>
  <c r="AS1802" i="2"/>
  <c r="AR1802" i="2"/>
  <c r="AQ1802" i="2"/>
  <c r="AP1802" i="2"/>
  <c r="AO1802" i="2"/>
  <c r="AN1802" i="2"/>
  <c r="AL1802" i="2"/>
  <c r="AG1802" i="2"/>
  <c r="AB1802" i="2"/>
  <c r="W1802" i="2"/>
  <c r="R1802" i="2"/>
  <c r="M1802" i="2"/>
  <c r="BF1801" i="2"/>
  <c r="BD1801" i="2"/>
  <c r="BB1801" i="2"/>
  <c r="AZ1801" i="2"/>
  <c r="AX1801" i="2"/>
  <c r="AV1801" i="2"/>
  <c r="AS1801" i="2"/>
  <c r="AR1801" i="2"/>
  <c r="AQ1801" i="2"/>
  <c r="AP1801" i="2"/>
  <c r="AO1801" i="2"/>
  <c r="AN1801" i="2"/>
  <c r="AL1801" i="2"/>
  <c r="AG1801" i="2"/>
  <c r="AB1801" i="2"/>
  <c r="W1801" i="2"/>
  <c r="R1801" i="2"/>
  <c r="M1801" i="2"/>
  <c r="BF1800" i="2"/>
  <c r="BD1800" i="2"/>
  <c r="BB1800" i="2"/>
  <c r="AZ1800" i="2"/>
  <c r="AX1800" i="2"/>
  <c r="AV1800" i="2"/>
  <c r="AS1800" i="2"/>
  <c r="AR1800" i="2"/>
  <c r="AQ1800" i="2"/>
  <c r="AP1800" i="2"/>
  <c r="AO1800" i="2"/>
  <c r="AN1800" i="2"/>
  <c r="AL1800" i="2"/>
  <c r="AG1800" i="2"/>
  <c r="AB1800" i="2"/>
  <c r="W1800" i="2"/>
  <c r="R1800" i="2"/>
  <c r="M1800" i="2"/>
  <c r="BF1799" i="2"/>
  <c r="BD1799" i="2"/>
  <c r="BB1799" i="2"/>
  <c r="AZ1799" i="2"/>
  <c r="AX1799" i="2"/>
  <c r="AV1799" i="2"/>
  <c r="AS1799" i="2"/>
  <c r="AR1799" i="2"/>
  <c r="AQ1799" i="2"/>
  <c r="AP1799" i="2"/>
  <c r="AO1799" i="2"/>
  <c r="AN1799" i="2"/>
  <c r="AL1799" i="2"/>
  <c r="AG1799" i="2"/>
  <c r="AB1799" i="2"/>
  <c r="W1799" i="2"/>
  <c r="R1799" i="2"/>
  <c r="M1799" i="2"/>
  <c r="AT1798" i="2"/>
  <c r="AU1846" i="2" s="1"/>
  <c r="AM1798" i="2"/>
  <c r="BF1797" i="2"/>
  <c r="BD1797" i="2"/>
  <c r="BB1797" i="2"/>
  <c r="AZ1797" i="2"/>
  <c r="AX1797" i="2"/>
  <c r="AV1797" i="2"/>
  <c r="AS1797" i="2"/>
  <c r="AR1797" i="2"/>
  <c r="AQ1797" i="2"/>
  <c r="AP1797" i="2"/>
  <c r="AO1797" i="2"/>
  <c r="AN1797" i="2"/>
  <c r="AL1797" i="2"/>
  <c r="AG1797" i="2"/>
  <c r="AB1797" i="2"/>
  <c r="W1797" i="2"/>
  <c r="R1797" i="2"/>
  <c r="M1797" i="2"/>
  <c r="BF1796" i="2"/>
  <c r="BD1796" i="2"/>
  <c r="BB1796" i="2"/>
  <c r="AZ1796" i="2"/>
  <c r="AX1796" i="2"/>
  <c r="AV1796" i="2"/>
  <c r="AS1796" i="2"/>
  <c r="AR1796" i="2"/>
  <c r="AQ1796" i="2"/>
  <c r="AP1796" i="2"/>
  <c r="AO1796" i="2"/>
  <c r="AN1796" i="2"/>
  <c r="AL1796" i="2"/>
  <c r="AG1796" i="2"/>
  <c r="AB1796" i="2"/>
  <c r="W1796" i="2"/>
  <c r="R1796" i="2"/>
  <c r="M1796" i="2"/>
  <c r="BF1795" i="2"/>
  <c r="BD1795" i="2"/>
  <c r="BB1795" i="2"/>
  <c r="AZ1795" i="2"/>
  <c r="AX1795" i="2"/>
  <c r="AV1795" i="2"/>
  <c r="AS1795" i="2"/>
  <c r="AR1795" i="2"/>
  <c r="AQ1795" i="2"/>
  <c r="AP1795" i="2"/>
  <c r="AO1795" i="2"/>
  <c r="AN1795" i="2"/>
  <c r="AL1795" i="2"/>
  <c r="AG1795" i="2"/>
  <c r="AB1795" i="2"/>
  <c r="W1795" i="2"/>
  <c r="R1795" i="2"/>
  <c r="M1795" i="2"/>
  <c r="BF1794" i="2"/>
  <c r="BD1794" i="2"/>
  <c r="BB1794" i="2"/>
  <c r="AZ1794" i="2"/>
  <c r="AX1794" i="2"/>
  <c r="AV1794" i="2"/>
  <c r="AS1794" i="2"/>
  <c r="AR1794" i="2"/>
  <c r="AQ1794" i="2"/>
  <c r="AP1794" i="2"/>
  <c r="AO1794" i="2"/>
  <c r="AN1794" i="2"/>
  <c r="AL1794" i="2"/>
  <c r="AG1794" i="2"/>
  <c r="AB1794" i="2"/>
  <c r="W1794" i="2"/>
  <c r="R1794" i="2"/>
  <c r="M1794" i="2"/>
  <c r="BF1793" i="2"/>
  <c r="BD1793" i="2"/>
  <c r="BB1793" i="2"/>
  <c r="AZ1793" i="2"/>
  <c r="AX1793" i="2"/>
  <c r="AV1793" i="2"/>
  <c r="AS1793" i="2"/>
  <c r="AR1793" i="2"/>
  <c r="AQ1793" i="2"/>
  <c r="AP1793" i="2"/>
  <c r="AO1793" i="2"/>
  <c r="AN1793" i="2"/>
  <c r="AL1793" i="2"/>
  <c r="AG1793" i="2"/>
  <c r="AB1793" i="2"/>
  <c r="W1793" i="2"/>
  <c r="R1793" i="2"/>
  <c r="M1793" i="2"/>
  <c r="BF1792" i="2"/>
  <c r="BD1792" i="2"/>
  <c r="BB1792" i="2"/>
  <c r="AZ1792" i="2"/>
  <c r="AX1792" i="2"/>
  <c r="AV1792" i="2"/>
  <c r="AS1792" i="2"/>
  <c r="AR1792" i="2"/>
  <c r="AQ1792" i="2"/>
  <c r="AP1792" i="2"/>
  <c r="AO1792" i="2"/>
  <c r="AN1792" i="2"/>
  <c r="AL1792" i="2"/>
  <c r="AG1792" i="2"/>
  <c r="AB1792" i="2"/>
  <c r="W1792" i="2"/>
  <c r="R1792" i="2"/>
  <c r="M1792" i="2"/>
  <c r="BF1791" i="2"/>
  <c r="BD1791" i="2"/>
  <c r="BB1791" i="2"/>
  <c r="AZ1791" i="2"/>
  <c r="AX1791" i="2"/>
  <c r="AV1791" i="2"/>
  <c r="AS1791" i="2"/>
  <c r="AR1791" i="2"/>
  <c r="AQ1791" i="2"/>
  <c r="AP1791" i="2"/>
  <c r="AO1791" i="2"/>
  <c r="AN1791" i="2"/>
  <c r="AL1791" i="2"/>
  <c r="AG1791" i="2"/>
  <c r="AB1791" i="2"/>
  <c r="W1791" i="2"/>
  <c r="R1791" i="2"/>
  <c r="M1791" i="2"/>
  <c r="BF1789" i="2"/>
  <c r="BD1789" i="2"/>
  <c r="BB1789" i="2"/>
  <c r="AZ1789" i="2"/>
  <c r="AX1789" i="2"/>
  <c r="AV1789" i="2"/>
  <c r="AS1789" i="2"/>
  <c r="AR1789" i="2"/>
  <c r="AQ1789" i="2"/>
  <c r="AP1789" i="2"/>
  <c r="AO1789" i="2"/>
  <c r="AN1789" i="2"/>
  <c r="AL1789" i="2"/>
  <c r="AG1789" i="2"/>
  <c r="AB1789" i="2"/>
  <c r="W1789" i="2"/>
  <c r="R1789" i="2"/>
  <c r="M1789" i="2"/>
  <c r="BF1788" i="2"/>
  <c r="BD1788" i="2"/>
  <c r="BB1788" i="2"/>
  <c r="AZ1788" i="2"/>
  <c r="AX1788" i="2"/>
  <c r="AV1788" i="2"/>
  <c r="AS1788" i="2"/>
  <c r="AR1788" i="2"/>
  <c r="AQ1788" i="2"/>
  <c r="AP1788" i="2"/>
  <c r="AO1788" i="2"/>
  <c r="AN1788" i="2"/>
  <c r="AL1788" i="2"/>
  <c r="AG1788" i="2"/>
  <c r="AB1788" i="2"/>
  <c r="W1788" i="2"/>
  <c r="R1788" i="2"/>
  <c r="M1788" i="2"/>
  <c r="BF1787" i="2"/>
  <c r="BD1787" i="2"/>
  <c r="BB1787" i="2"/>
  <c r="AZ1787" i="2"/>
  <c r="AX1787" i="2"/>
  <c r="AV1787" i="2"/>
  <c r="AS1787" i="2"/>
  <c r="AR1787" i="2"/>
  <c r="AQ1787" i="2"/>
  <c r="AP1787" i="2"/>
  <c r="AO1787" i="2"/>
  <c r="AN1787" i="2"/>
  <c r="AL1787" i="2"/>
  <c r="AG1787" i="2"/>
  <c r="AB1787" i="2"/>
  <c r="W1787" i="2"/>
  <c r="R1787" i="2"/>
  <c r="M1787" i="2"/>
  <c r="BF1786" i="2"/>
  <c r="BD1786" i="2"/>
  <c r="BB1786" i="2"/>
  <c r="AZ1786" i="2"/>
  <c r="AX1786" i="2"/>
  <c r="AV1786" i="2"/>
  <c r="AS1786" i="2"/>
  <c r="AR1786" i="2"/>
  <c r="AQ1786" i="2"/>
  <c r="AP1786" i="2"/>
  <c r="AO1786" i="2"/>
  <c r="AN1786" i="2"/>
  <c r="AL1786" i="2"/>
  <c r="AG1786" i="2"/>
  <c r="AB1786" i="2"/>
  <c r="W1786" i="2"/>
  <c r="R1786" i="2"/>
  <c r="M1786" i="2"/>
  <c r="BF1785" i="2"/>
  <c r="BD1785" i="2"/>
  <c r="BB1785" i="2"/>
  <c r="AZ1785" i="2"/>
  <c r="AX1785" i="2"/>
  <c r="AV1785" i="2"/>
  <c r="AS1785" i="2"/>
  <c r="AR1785" i="2"/>
  <c r="AQ1785" i="2"/>
  <c r="AP1785" i="2"/>
  <c r="AO1785" i="2"/>
  <c r="AN1785" i="2"/>
  <c r="AL1785" i="2"/>
  <c r="AG1785" i="2"/>
  <c r="AB1785" i="2"/>
  <c r="W1785" i="2"/>
  <c r="R1785" i="2"/>
  <c r="M1785" i="2"/>
  <c r="BF1784" i="2"/>
  <c r="BD1784" i="2"/>
  <c r="BB1784" i="2"/>
  <c r="AZ1784" i="2"/>
  <c r="AX1784" i="2"/>
  <c r="AV1784" i="2"/>
  <c r="AS1784" i="2"/>
  <c r="AR1784" i="2"/>
  <c r="AQ1784" i="2"/>
  <c r="AP1784" i="2"/>
  <c r="AO1784" i="2"/>
  <c r="AN1784" i="2"/>
  <c r="AL1784" i="2"/>
  <c r="AG1784" i="2"/>
  <c r="AB1784" i="2"/>
  <c r="W1784" i="2"/>
  <c r="R1784" i="2"/>
  <c r="M1784" i="2"/>
  <c r="BF1783" i="2"/>
  <c r="BD1783" i="2"/>
  <c r="BB1783" i="2"/>
  <c r="AZ1783" i="2"/>
  <c r="AX1783" i="2"/>
  <c r="AV1783" i="2"/>
  <c r="AS1783" i="2"/>
  <c r="AR1783" i="2"/>
  <c r="AQ1783" i="2"/>
  <c r="AP1783" i="2"/>
  <c r="AO1783" i="2"/>
  <c r="AN1783" i="2"/>
  <c r="AL1783" i="2"/>
  <c r="AG1783" i="2"/>
  <c r="AB1783" i="2"/>
  <c r="W1783" i="2"/>
  <c r="R1783" i="2"/>
  <c r="M1783" i="2"/>
  <c r="BF1782" i="2"/>
  <c r="BD1782" i="2"/>
  <c r="BB1782" i="2"/>
  <c r="AZ1782" i="2"/>
  <c r="AX1782" i="2"/>
  <c r="AV1782" i="2"/>
  <c r="AS1782" i="2"/>
  <c r="AR1782" i="2"/>
  <c r="AQ1782" i="2"/>
  <c r="AP1782" i="2"/>
  <c r="AO1782" i="2"/>
  <c r="AN1782" i="2"/>
  <c r="AL1782" i="2"/>
  <c r="AG1782" i="2"/>
  <c r="AB1782" i="2"/>
  <c r="W1782" i="2"/>
  <c r="R1782" i="2"/>
  <c r="M1782" i="2"/>
  <c r="BF1781" i="2"/>
  <c r="BD1781" i="2"/>
  <c r="BB1781" i="2"/>
  <c r="AZ1781" i="2"/>
  <c r="AX1781" i="2"/>
  <c r="AV1781" i="2"/>
  <c r="AS1781" i="2"/>
  <c r="AR1781" i="2"/>
  <c r="AQ1781" i="2"/>
  <c r="AP1781" i="2"/>
  <c r="AO1781" i="2"/>
  <c r="AN1781" i="2"/>
  <c r="AL1781" i="2"/>
  <c r="AG1781" i="2"/>
  <c r="AB1781" i="2"/>
  <c r="W1781" i="2"/>
  <c r="R1781" i="2"/>
  <c r="M1781" i="2"/>
  <c r="BF1780" i="2"/>
  <c r="BD1780" i="2"/>
  <c r="BB1780" i="2"/>
  <c r="AZ1780" i="2"/>
  <c r="AX1780" i="2"/>
  <c r="AV1780" i="2"/>
  <c r="AS1780" i="2"/>
  <c r="AR1780" i="2"/>
  <c r="AQ1780" i="2"/>
  <c r="AP1780" i="2"/>
  <c r="AO1780" i="2"/>
  <c r="AN1780" i="2"/>
  <c r="AL1780" i="2"/>
  <c r="AG1780" i="2"/>
  <c r="AB1780" i="2"/>
  <c r="W1780" i="2"/>
  <c r="R1780" i="2"/>
  <c r="M1780" i="2"/>
  <c r="BF1779" i="2"/>
  <c r="BD1779" i="2"/>
  <c r="BB1779" i="2"/>
  <c r="AZ1779" i="2"/>
  <c r="AX1779" i="2"/>
  <c r="AV1779" i="2"/>
  <c r="AS1779" i="2"/>
  <c r="AR1779" i="2"/>
  <c r="AQ1779" i="2"/>
  <c r="AP1779" i="2"/>
  <c r="AO1779" i="2"/>
  <c r="AN1779" i="2"/>
  <c r="AL1779" i="2"/>
  <c r="AG1779" i="2"/>
  <c r="AB1779" i="2"/>
  <c r="W1779" i="2"/>
  <c r="R1779" i="2"/>
  <c r="M1779" i="2"/>
  <c r="BF1778" i="2"/>
  <c r="BD1778" i="2"/>
  <c r="BB1778" i="2"/>
  <c r="AZ1778" i="2"/>
  <c r="AX1778" i="2"/>
  <c r="AV1778" i="2"/>
  <c r="AS1778" i="2"/>
  <c r="AR1778" i="2"/>
  <c r="AQ1778" i="2"/>
  <c r="AP1778" i="2"/>
  <c r="AO1778" i="2"/>
  <c r="AN1778" i="2"/>
  <c r="AL1778" i="2"/>
  <c r="AG1778" i="2"/>
  <c r="AB1778" i="2"/>
  <c r="W1778" i="2"/>
  <c r="R1778" i="2"/>
  <c r="M1778" i="2"/>
  <c r="BF1777" i="2"/>
  <c r="BD1777" i="2"/>
  <c r="BB1777" i="2"/>
  <c r="AZ1777" i="2"/>
  <c r="AX1777" i="2"/>
  <c r="AV1777" i="2"/>
  <c r="AS1777" i="2"/>
  <c r="AR1777" i="2"/>
  <c r="AQ1777" i="2"/>
  <c r="AP1777" i="2"/>
  <c r="AO1777" i="2"/>
  <c r="AN1777" i="2"/>
  <c r="AL1777" i="2"/>
  <c r="AG1777" i="2"/>
  <c r="AB1777" i="2"/>
  <c r="W1777" i="2"/>
  <c r="R1777" i="2"/>
  <c r="M1777" i="2"/>
  <c r="AT1776" i="2"/>
  <c r="AU1787" i="2" s="1"/>
  <c r="AM1776" i="2"/>
  <c r="F1764" i="2"/>
  <c r="F1765" i="2" s="1" a="1"/>
  <c r="F1765" i="2" s="1"/>
  <c r="A1754" i="2"/>
  <c r="A1753" i="2"/>
  <c r="A1752" i="2"/>
  <c r="A1751" i="2"/>
  <c r="A1750" i="2"/>
  <c r="A1749" i="2"/>
  <c r="A1748" i="2"/>
  <c r="A1747" i="2"/>
  <c r="A1746" i="2"/>
  <c r="A1745" i="2"/>
  <c r="A1744" i="2"/>
  <c r="A1743" i="2"/>
  <c r="A1742" i="2"/>
  <c r="A1741" i="2"/>
  <c r="A1740" i="2"/>
  <c r="A1739" i="2"/>
  <c r="A1738" i="2"/>
  <c r="A1737" i="2"/>
  <c r="A1736" i="2"/>
  <c r="A1735" i="2"/>
  <c r="A1734" i="2"/>
  <c r="A1733" i="2"/>
  <c r="A1732" i="2"/>
  <c r="A1731" i="2"/>
  <c r="A1730" i="2"/>
  <c r="A1729" i="2"/>
  <c r="A1728" i="2"/>
  <c r="A1727" i="2"/>
  <c r="A1726" i="2"/>
  <c r="A1725" i="2"/>
  <c r="A1724" i="2"/>
  <c r="A1723" i="2"/>
  <c r="A1722" i="2"/>
  <c r="A1721" i="2"/>
  <c r="A1720" i="2"/>
  <c r="A1719" i="2"/>
  <c r="A1718" i="2"/>
  <c r="A1717" i="2"/>
  <c r="A1716" i="2"/>
  <c r="A1715" i="2"/>
  <c r="A1714" i="2"/>
  <c r="A1713" i="2"/>
  <c r="A1712" i="2"/>
  <c r="A1711" i="2"/>
  <c r="A1710" i="2"/>
  <c r="A1709" i="2"/>
  <c r="A1708" i="2"/>
  <c r="A1707" i="2"/>
  <c r="A1706" i="2"/>
  <c r="A1705" i="2"/>
  <c r="A1704" i="2"/>
  <c r="A1703" i="2"/>
  <c r="A1702" i="2"/>
  <c r="A1701" i="2"/>
  <c r="A1700" i="2"/>
  <c r="Q1416" i="2"/>
  <c r="Q1414" i="2"/>
  <c r="Q1413" i="2"/>
  <c r="Q1409" i="2"/>
  <c r="Q1381" i="2"/>
  <c r="Q1380" i="2"/>
  <c r="Q1376" i="2"/>
  <c r="Q1375" i="2"/>
  <c r="Q1372" i="2"/>
  <c r="Q1371" i="2"/>
  <c r="Q1370" i="2"/>
  <c r="Q1369" i="2"/>
  <c r="Q1367" i="2"/>
  <c r="Q1366" i="2"/>
  <c r="Q1349" i="2"/>
  <c r="AQ1977" i="2" s="1"/>
  <c r="Q976" i="2"/>
  <c r="AQ1891" i="2" s="1"/>
  <c r="Q967" i="2"/>
  <c r="AQ1890" i="2" s="1"/>
  <c r="J535" i="2"/>
  <c r="K535" i="2" s="1"/>
  <c r="H535" i="2"/>
  <c r="J534" i="2"/>
  <c r="K534" i="2" s="1"/>
  <c r="H534" i="2"/>
  <c r="J533" i="2"/>
  <c r="K533" i="2" s="1"/>
  <c r="H533" i="2"/>
  <c r="J532" i="2"/>
  <c r="K532" i="2" s="1"/>
  <c r="H532" i="2"/>
  <c r="J531" i="2"/>
  <c r="K531" i="2" s="1"/>
  <c r="H531" i="2"/>
  <c r="J530" i="2"/>
  <c r="K530" i="2" s="1"/>
  <c r="H530" i="2"/>
  <c r="J528" i="2"/>
  <c r="I528" i="2"/>
  <c r="G528" i="2"/>
  <c r="F528" i="2"/>
  <c r="F521" i="2" a="1"/>
  <c r="F521" i="2" s="1"/>
  <c r="U118" i="2" a="1"/>
  <c r="U118" i="2" s="1"/>
  <c r="V118" i="2" s="1" a="1"/>
  <c r="V118" i="2" s="1"/>
  <c r="T118" i="2" a="1"/>
  <c r="T118" i="2" s="1"/>
  <c r="U117" i="2" a="1"/>
  <c r="U117" i="2" s="1"/>
  <c r="V117" i="2" s="1" a="1"/>
  <c r="V117" i="2" s="1"/>
  <c r="U116" i="2" a="1"/>
  <c r="U116" i="2" s="1"/>
  <c r="V116" i="2" s="1" a="1"/>
  <c r="V116" i="2" s="1"/>
  <c r="U115" i="2" a="1"/>
  <c r="U115" i="2" s="1"/>
  <c r="V115" i="2" s="1" a="1"/>
  <c r="V115" i="2" s="1"/>
  <c r="U114" i="2"/>
  <c r="V114" i="2" s="1" a="1"/>
  <c r="V114" i="2" s="1"/>
  <c r="F88" i="2"/>
  <c r="F91" i="2" s="1"/>
  <c r="F84" i="2"/>
  <c r="F83" i="2"/>
  <c r="F59" i="2"/>
  <c r="F73" i="2" s="1"/>
  <c r="BF1790" i="2" l="1"/>
  <c r="BG1797" i="2" s="1"/>
  <c r="BM1797" i="2" s="1"/>
  <c r="BD1883" i="2"/>
  <c r="BE1888" i="2" s="1"/>
  <c r="BL1888" i="2" s="1"/>
  <c r="AP1892" i="2"/>
  <c r="AU1780" i="2"/>
  <c r="AU1786" i="2"/>
  <c r="AU1874" i="2"/>
  <c r="AU1886" i="2"/>
  <c r="AO1866" i="2"/>
  <c r="AU1876" i="2"/>
  <c r="AU1888" i="2"/>
  <c r="AU1941" i="2"/>
  <c r="AU1882" i="2"/>
  <c r="AU1848" i="2"/>
  <c r="AU1785" i="2"/>
  <c r="AY2019" i="1"/>
  <c r="AY2012" i="1"/>
  <c r="AY1884" i="1"/>
  <c r="AY1791" i="1"/>
  <c r="AY1893" i="1"/>
  <c r="AU2021" i="2"/>
  <c r="AY1867" i="1"/>
  <c r="AU1850" i="2"/>
  <c r="AY1984" i="1"/>
  <c r="AU1978" i="2"/>
  <c r="AS1883" i="2"/>
  <c r="AN1790" i="2"/>
  <c r="AO1790" i="2"/>
  <c r="AU2029" i="2"/>
  <c r="AY1928" i="1"/>
  <c r="AU1864" i="2"/>
  <c r="BD2018" i="2"/>
  <c r="BE2018" i="2" s="1"/>
  <c r="AY1911" i="1"/>
  <c r="AN2011" i="2"/>
  <c r="AU1989" i="2"/>
  <c r="AU1804" i="2"/>
  <c r="AU1901" i="2"/>
  <c r="AU1999" i="2"/>
  <c r="AP2018" i="2"/>
  <c r="AY1799" i="1"/>
  <c r="AY1975" i="1"/>
  <c r="AU1821" i="2"/>
  <c r="AY1900" i="1"/>
  <c r="AU1839" i="2"/>
  <c r="AU1987" i="2"/>
  <c r="BB1790" i="2"/>
  <c r="BC1797" i="2" s="1"/>
  <c r="BK1797" i="2" s="1"/>
  <c r="AU1812" i="2"/>
  <c r="AU1905" i="2"/>
  <c r="AU1956" i="2"/>
  <c r="AU2001" i="2"/>
  <c r="AQ2018" i="2"/>
  <c r="BN2019" i="1"/>
  <c r="BO2019" i="1" s="1"/>
  <c r="BN1867" i="1"/>
  <c r="BO1870" i="1" s="1"/>
  <c r="BV1870" i="1" s="1"/>
  <c r="BN1984" i="1"/>
  <c r="BO2008" i="1" s="1"/>
  <c r="BV2008" i="1" s="1"/>
  <c r="BN1791" i="1"/>
  <c r="BO1797" i="1" s="1"/>
  <c r="BV1797" i="1" s="1"/>
  <c r="BN1777" i="1"/>
  <c r="BO1778" i="1" s="1"/>
  <c r="BV1778" i="1" s="1"/>
  <c r="BN1911" i="1"/>
  <c r="BO1923" i="1" s="1"/>
  <c r="BV1923" i="1" s="1"/>
  <c r="BN1884" i="1"/>
  <c r="BO1891" i="1" s="1"/>
  <c r="BV1891" i="1" s="1"/>
  <c r="BN1799" i="1"/>
  <c r="BO1818" i="1" s="1"/>
  <c r="BV1818" i="1" s="1"/>
  <c r="BN1975" i="1"/>
  <c r="BO1983" i="1" s="1"/>
  <c r="BV1983" i="1" s="1"/>
  <c r="BN2012" i="1"/>
  <c r="BO2018" i="1" s="1"/>
  <c r="BV2018" i="1" s="1"/>
  <c r="BN1928" i="1"/>
  <c r="BO1969" i="1" s="1"/>
  <c r="BV1969" i="1" s="1"/>
  <c r="AY1777" i="1"/>
  <c r="BD1790" i="2"/>
  <c r="BE1793" i="2" s="1"/>
  <c r="BL1793" i="2" s="1"/>
  <c r="AU1943" i="2"/>
  <c r="AN1776" i="2"/>
  <c r="AZ1899" i="2"/>
  <c r="BA1906" i="2" s="1"/>
  <c r="BJ1906" i="2" s="1"/>
  <c r="AU1951" i="2"/>
  <c r="AU1909" i="2"/>
  <c r="AU1930" i="2"/>
  <c r="AU1900" i="2"/>
  <c r="AQ1776" i="2"/>
  <c r="AU1801" i="2"/>
  <c r="AU1820" i="2"/>
  <c r="AU1869" i="2"/>
  <c r="AR1883" i="2"/>
  <c r="AQ1892" i="2"/>
  <c r="AU1940" i="2"/>
  <c r="BF1899" i="2"/>
  <c r="BG1904" i="2" s="1"/>
  <c r="BM1904" i="2" s="1"/>
  <c r="AU1788" i="2"/>
  <c r="AU1830" i="2"/>
  <c r="AS1983" i="2"/>
  <c r="AU1972" i="2"/>
  <c r="AU1899" i="2"/>
  <c r="BF2018" i="2"/>
  <c r="BG2026" i="2" s="1"/>
  <c r="BM2026" i="2" s="1"/>
  <c r="AX1866" i="2"/>
  <c r="AU1977" i="2"/>
  <c r="AR2011" i="2"/>
  <c r="AU1803" i="2"/>
  <c r="AU1967" i="2"/>
  <c r="AP1899" i="2"/>
  <c r="AU1906" i="2"/>
  <c r="AU1969" i="2"/>
  <c r="AQ1982" i="2"/>
  <c r="AU1779" i="2"/>
  <c r="AU1809" i="2"/>
  <c r="AU1832" i="2"/>
  <c r="AU1908" i="2"/>
  <c r="AU1929" i="2"/>
  <c r="AX1776" i="2"/>
  <c r="AY2030" i="2" s="1"/>
  <c r="AO1776" i="2"/>
  <c r="AO1892" i="2"/>
  <c r="AO1927" i="2"/>
  <c r="AU1952" i="2"/>
  <c r="AU1973" i="2"/>
  <c r="AU1781" i="2"/>
  <c r="AU1815" i="2"/>
  <c r="AU1844" i="2"/>
  <c r="AU1868" i="2"/>
  <c r="AP1927" i="2"/>
  <c r="AU1931" i="2"/>
  <c r="AU1954" i="2"/>
  <c r="BB1983" i="2"/>
  <c r="BC1989" i="2" s="1"/>
  <c r="BK1989" i="2" s="1"/>
  <c r="BF1974" i="2"/>
  <c r="BG1980" i="2" s="1"/>
  <c r="BM1980" i="2" s="1"/>
  <c r="AU2004" i="2"/>
  <c r="AP1790" i="2"/>
  <c r="AU1810" i="2"/>
  <c r="AU1823" i="2"/>
  <c r="AU1840" i="2"/>
  <c r="AU1851" i="2"/>
  <c r="AU1866" i="2"/>
  <c r="AU1879" i="2"/>
  <c r="AU1898" i="2"/>
  <c r="AU1933" i="2"/>
  <c r="AU1944" i="2"/>
  <c r="BG1979" i="2"/>
  <c r="BM1979" i="2" s="1"/>
  <c r="AU1983" i="2"/>
  <c r="AU1993" i="2"/>
  <c r="AZ1798" i="2"/>
  <c r="BA1802" i="2" s="1"/>
  <c r="BJ1802" i="2" s="1"/>
  <c r="AR1899" i="2"/>
  <c r="AP1776" i="2"/>
  <c r="AU1870" i="2"/>
  <c r="AU2012" i="2"/>
  <c r="AU1783" i="2"/>
  <c r="AQ1790" i="2"/>
  <c r="AU1857" i="2"/>
  <c r="AU1872" i="2"/>
  <c r="AU1935" i="2"/>
  <c r="AU1957" i="2"/>
  <c r="AU2014" i="2"/>
  <c r="AU1778" i="2"/>
  <c r="AU1827" i="2"/>
  <c r="AU1842" i="2"/>
  <c r="AU1867" i="2"/>
  <c r="AU1881" i="2"/>
  <c r="AV1899" i="2"/>
  <c r="AW1899" i="2" s="1"/>
  <c r="AU1997" i="2"/>
  <c r="AU2016" i="2"/>
  <c r="AP1866" i="2"/>
  <c r="AU1878" i="2"/>
  <c r="AN1899" i="2"/>
  <c r="AX1974" i="2"/>
  <c r="AY1975" i="2" s="1"/>
  <c r="BI1975" i="2" s="1"/>
  <c r="AN2018" i="2"/>
  <c r="AU1776" i="2"/>
  <c r="BB1776" i="2"/>
  <c r="BC1780" i="2" s="1"/>
  <c r="BK1780" i="2" s="1"/>
  <c r="AU1871" i="2"/>
  <c r="AU1777" i="2"/>
  <c r="AU1789" i="2"/>
  <c r="AU1800" i="2"/>
  <c r="AU1811" i="2"/>
  <c r="AU1824" i="2"/>
  <c r="AU1841" i="2"/>
  <c r="AU1880" i="2"/>
  <c r="AZ1892" i="2"/>
  <c r="BA1894" i="2" s="1"/>
  <c r="BJ1894" i="2" s="1"/>
  <c r="AU1945" i="2"/>
  <c r="AU1994" i="2"/>
  <c r="AU2007" i="2"/>
  <c r="AS1892" i="2"/>
  <c r="AN1892" i="2"/>
  <c r="AU1992" i="2"/>
  <c r="AU1782" i="2"/>
  <c r="AU2005" i="2"/>
  <c r="AU2013" i="2"/>
  <c r="AQ1979" i="2"/>
  <c r="K528" i="2"/>
  <c r="AU1784" i="2"/>
  <c r="AU1860" i="2"/>
  <c r="AN1866" i="2"/>
  <c r="AU1873" i="2"/>
  <c r="AP1883" i="2"/>
  <c r="AU1903" i="2"/>
  <c r="BD1910" i="2"/>
  <c r="BE1912" i="2" s="1"/>
  <c r="BL1912" i="2" s="1"/>
  <c r="AU1938" i="2"/>
  <c r="AU1947" i="2"/>
  <c r="AU1958" i="2"/>
  <c r="AR1974" i="2"/>
  <c r="AU1985" i="2"/>
  <c r="AQ1866" i="2"/>
  <c r="BB1892" i="2"/>
  <c r="BC1896" i="2" s="1"/>
  <c r="BK1896" i="2" s="1"/>
  <c r="AR1910" i="2"/>
  <c r="AS1790" i="2"/>
  <c r="AV1798" i="2"/>
  <c r="AW1821" i="2" s="1"/>
  <c r="BH1821" i="2" s="1"/>
  <c r="AX1798" i="2"/>
  <c r="AY1865" i="2" s="1"/>
  <c r="BI1865" i="2" s="1"/>
  <c r="AR1798" i="2"/>
  <c r="AN1798" i="2"/>
  <c r="BB1866" i="2"/>
  <c r="BC1869" i="2" s="1"/>
  <c r="BK1869" i="2" s="1"/>
  <c r="AX1790" i="2"/>
  <c r="AY1790" i="2" s="1"/>
  <c r="H528" i="2"/>
  <c r="AR1790" i="2"/>
  <c r="AZ1776" i="2"/>
  <c r="BA1782" i="2" s="1"/>
  <c r="BJ1782" i="2" s="1"/>
  <c r="AR1776" i="2"/>
  <c r="AS1798" i="2"/>
  <c r="AX2011" i="2"/>
  <c r="AY2015" i="2" s="1"/>
  <c r="BI2015" i="2" s="1"/>
  <c r="AQ1927" i="2"/>
  <c r="AS1910" i="2"/>
  <c r="BD1776" i="2"/>
  <c r="BE1777" i="2" s="1"/>
  <c r="BL1777" i="2" s="1"/>
  <c r="BF1798" i="2"/>
  <c r="BG1825" i="2" s="1"/>
  <c r="BM1825" i="2" s="1"/>
  <c r="AV1883" i="2"/>
  <c r="AN1883" i="2"/>
  <c r="AV1892" i="2"/>
  <c r="BD1892" i="2"/>
  <c r="BB1927" i="2"/>
  <c r="BC1961" i="2" s="1"/>
  <c r="BK1961" i="2" s="1"/>
  <c r="AZ1910" i="2"/>
  <c r="BA1913" i="2" s="1"/>
  <c r="BJ1913" i="2" s="1"/>
  <c r="AZ1866" i="2"/>
  <c r="BA1868" i="2" s="1"/>
  <c r="BJ1868" i="2" s="1"/>
  <c r="BE1890" i="2"/>
  <c r="BL1890" i="2" s="1"/>
  <c r="AO1798" i="2"/>
  <c r="BB1883" i="2"/>
  <c r="AU1923" i="2"/>
  <c r="AU1911" i="2"/>
  <c r="AU1925" i="2"/>
  <c r="AU1916" i="2"/>
  <c r="AU1914" i="2"/>
  <c r="AU1912" i="2"/>
  <c r="AU1919" i="2"/>
  <c r="AU1922" i="2"/>
  <c r="AU1915" i="2"/>
  <c r="AU1921" i="2"/>
  <c r="AU1920" i="2"/>
  <c r="AU1926" i="2"/>
  <c r="AU1913" i="2"/>
  <c r="AU1924" i="2"/>
  <c r="AU1918" i="2"/>
  <c r="AU1917" i="2"/>
  <c r="AQ1798" i="2"/>
  <c r="AU1910" i="2"/>
  <c r="AV1790" i="2"/>
  <c r="AW1797" i="2" s="1"/>
  <c r="BH1797" i="2" s="1"/>
  <c r="AV1776" i="2"/>
  <c r="AW1779" i="2" s="1"/>
  <c r="BH1779" i="2" s="1"/>
  <c r="BD1866" i="2"/>
  <c r="AQ1883" i="2"/>
  <c r="AX1883" i="2"/>
  <c r="AX1927" i="2"/>
  <c r="AY1964" i="2" s="1"/>
  <c r="BI1964" i="2" s="1"/>
  <c r="AS1776" i="2"/>
  <c r="AZ1790" i="2"/>
  <c r="BA1796" i="2" s="1"/>
  <c r="BJ1796" i="2" s="1"/>
  <c r="AS1899" i="2"/>
  <c r="AS1866" i="2"/>
  <c r="AZ1883" i="2"/>
  <c r="BA1885" i="2" s="1"/>
  <c r="BJ1885" i="2" s="1"/>
  <c r="BD1974" i="2"/>
  <c r="BE1979" i="2" s="1"/>
  <c r="BL1979" i="2" s="1"/>
  <c r="F85" i="2"/>
  <c r="F86" i="2" s="1"/>
  <c r="F87" i="2" s="1"/>
  <c r="F90" i="2" s="1"/>
  <c r="F92" i="2" s="1"/>
  <c r="F74" i="2"/>
  <c r="AQ2011" i="2"/>
  <c r="F61" i="2"/>
  <c r="BB1798" i="2"/>
  <c r="BC1815" i="2" s="1"/>
  <c r="BK1815" i="2" s="1"/>
  <c r="AX1910" i="2"/>
  <c r="AY1919" i="2" s="1"/>
  <c r="BI1919" i="2" s="1"/>
  <c r="AZ1927" i="2"/>
  <c r="BA1950" i="2" s="1"/>
  <c r="BJ1950" i="2" s="1"/>
  <c r="BF2011" i="2"/>
  <c r="BG2015" i="2" s="1"/>
  <c r="BM2015" i="2" s="1"/>
  <c r="AU1836" i="2"/>
  <c r="AS1927" i="2"/>
  <c r="AP1983" i="2"/>
  <c r="BF1776" i="2"/>
  <c r="BG2030" i="2" s="1"/>
  <c r="BM2030" i="2" s="1"/>
  <c r="AU1798" i="2"/>
  <c r="AU1802" i="2"/>
  <c r="AU1813" i="2"/>
  <c r="AU1825" i="2"/>
  <c r="AU1852" i="2"/>
  <c r="AU1854" i="2"/>
  <c r="AU1862" i="2"/>
  <c r="BB1974" i="2"/>
  <c r="BB2018" i="2"/>
  <c r="BC2028" i="2" s="1"/>
  <c r="BK2028" i="2" s="1"/>
  <c r="AO1883" i="2"/>
  <c r="AN1910" i="2"/>
  <c r="AR1927" i="2"/>
  <c r="AV1927" i="2"/>
  <c r="AW1932" i="2" s="1"/>
  <c r="BH1932" i="2" s="1"/>
  <c r="BD1983" i="2"/>
  <c r="BE1992" i="2" s="1"/>
  <c r="BL1992" i="2" s="1"/>
  <c r="BD1927" i="2"/>
  <c r="AX1983" i="2"/>
  <c r="AY2009" i="2" s="1"/>
  <c r="BI2009" i="2" s="1"/>
  <c r="AV2018" i="2"/>
  <c r="AW2024" i="2" s="1"/>
  <c r="BH2024" i="2" s="1"/>
  <c r="AV1866" i="2"/>
  <c r="AW1872" i="2" s="1"/>
  <c r="BH1872" i="2" s="1"/>
  <c r="BF1883" i="2"/>
  <c r="BG1887" i="2" s="1"/>
  <c r="BM1887" i="2" s="1"/>
  <c r="BB1910" i="2"/>
  <c r="BC1912" i="2" s="1"/>
  <c r="BK1912" i="2" s="1"/>
  <c r="AU1861" i="2"/>
  <c r="AU1849" i="2"/>
  <c r="AU1837" i="2"/>
  <c r="AU1859" i="2"/>
  <c r="AU1847" i="2"/>
  <c r="AU1835" i="2"/>
  <c r="AU1863" i="2"/>
  <c r="AU1853" i="2"/>
  <c r="AU1843" i="2"/>
  <c r="AU1833" i="2"/>
  <c r="AU1831" i="2"/>
  <c r="AU1819" i="2"/>
  <c r="AU1807" i="2"/>
  <c r="AU1865" i="2"/>
  <c r="AU1855" i="2"/>
  <c r="AU1845" i="2"/>
  <c r="AU1829" i="2"/>
  <c r="AU1817" i="2"/>
  <c r="AU1805" i="2"/>
  <c r="AU1858" i="2"/>
  <c r="AU1838" i="2"/>
  <c r="AU1826" i="2"/>
  <c r="AU1816" i="2"/>
  <c r="AU1806" i="2"/>
  <c r="AU1834" i="2"/>
  <c r="AU1828" i="2"/>
  <c r="AU1818" i="2"/>
  <c r="AU1808" i="2"/>
  <c r="AU1799" i="2"/>
  <c r="BD1798" i="2"/>
  <c r="BE1842" i="2" s="1"/>
  <c r="BL1842" i="2" s="1"/>
  <c r="AU1814" i="2"/>
  <c r="AU1822" i="2"/>
  <c r="AU1856" i="2"/>
  <c r="BF1892" i="2"/>
  <c r="BG1894" i="2" s="1"/>
  <c r="BM1894" i="2" s="1"/>
  <c r="AR1892" i="2"/>
  <c r="BF1927" i="2"/>
  <c r="BG1949" i="2" s="1"/>
  <c r="BM1949" i="2" s="1"/>
  <c r="BF1983" i="2"/>
  <c r="AQ1983" i="2"/>
  <c r="AU1891" i="2"/>
  <c r="AU1885" i="2"/>
  <c r="AU1890" i="2"/>
  <c r="AU1887" i="2"/>
  <c r="AV1910" i="2"/>
  <c r="AW1925" i="2" s="1"/>
  <c r="BH1925" i="2" s="1"/>
  <c r="AP1798" i="2"/>
  <c r="AR1866" i="2"/>
  <c r="AU1889" i="2"/>
  <c r="AO1899" i="2"/>
  <c r="AP1974" i="2"/>
  <c r="AS1974" i="2"/>
  <c r="AR1983" i="2"/>
  <c r="AX2018" i="2"/>
  <c r="AY2026" i="2" s="1"/>
  <c r="BI2026" i="2" s="1"/>
  <c r="BD1899" i="2"/>
  <c r="BE1899" i="2" s="1"/>
  <c r="AP1910" i="2"/>
  <c r="BF1910" i="2"/>
  <c r="BG1919" i="2" s="1"/>
  <c r="BM1919" i="2" s="1"/>
  <c r="AV1983" i="2"/>
  <c r="AW2010" i="2" s="1"/>
  <c r="BH2010" i="2" s="1"/>
  <c r="AR2018" i="2"/>
  <c r="AU1884" i="2"/>
  <c r="AU1895" i="2"/>
  <c r="AU1893" i="2"/>
  <c r="AU1894" i="2"/>
  <c r="AU1896" i="2"/>
  <c r="AU1892" i="2"/>
  <c r="AQ1899" i="2"/>
  <c r="BB1899" i="2"/>
  <c r="BC1905" i="2" s="1"/>
  <c r="BK1905" i="2" s="1"/>
  <c r="AQ1910" i="2"/>
  <c r="AZ2018" i="2"/>
  <c r="BF1866" i="2"/>
  <c r="AX1892" i="2"/>
  <c r="AY1895" i="2" s="1"/>
  <c r="BI1895" i="2" s="1"/>
  <c r="AU1904" i="2"/>
  <c r="AU1907" i="2"/>
  <c r="AV1974" i="2"/>
  <c r="AW1981" i="2" s="1"/>
  <c r="BH1981" i="2" s="1"/>
  <c r="AO1983" i="2"/>
  <c r="AS2011" i="2"/>
  <c r="AV2011" i="2"/>
  <c r="AW2014" i="2" s="1"/>
  <c r="BH2014" i="2" s="1"/>
  <c r="AX1899" i="2"/>
  <c r="AO1910" i="2"/>
  <c r="AN1927" i="2"/>
  <c r="AU1875" i="2"/>
  <c r="AU1937" i="2"/>
  <c r="AN1974" i="2"/>
  <c r="AU1971" i="2"/>
  <c r="AU1959" i="2"/>
  <c r="AU1968" i="2"/>
  <c r="AU1961" i="2"/>
  <c r="AU1955" i="2"/>
  <c r="AU1948" i="2"/>
  <c r="AU1936" i="2"/>
  <c r="AU1963" i="2"/>
  <c r="AU1960" i="2"/>
  <c r="AU1946" i="2"/>
  <c r="AU1934" i="2"/>
  <c r="AU1970" i="2"/>
  <c r="AU1966" i="2"/>
  <c r="AU1953" i="2"/>
  <c r="AU1949" i="2"/>
  <c r="AU1939" i="2"/>
  <c r="AU1932" i="2"/>
  <c r="AU1965" i="2"/>
  <c r="AU1928" i="2"/>
  <c r="AU1942" i="2"/>
  <c r="AU1950" i="2"/>
  <c r="AU1980" i="2"/>
  <c r="AU1974" i="2"/>
  <c r="AU1976" i="2"/>
  <c r="AU1982" i="2"/>
  <c r="AU1975" i="2"/>
  <c r="AU1979" i="2"/>
  <c r="AZ1983" i="2"/>
  <c r="BA1993" i="2" s="1"/>
  <c r="BJ1993" i="2" s="1"/>
  <c r="AU1927" i="2"/>
  <c r="AU1964" i="2"/>
  <c r="AO1974" i="2"/>
  <c r="AU2022" i="2"/>
  <c r="AU2026" i="2"/>
  <c r="AU2020" i="2"/>
  <c r="AU2024" i="2"/>
  <c r="AU2018" i="2"/>
  <c r="AU2025" i="2"/>
  <c r="AU2023" i="2"/>
  <c r="AU2027" i="2"/>
  <c r="AU2028" i="2"/>
  <c r="AZ2011" i="2"/>
  <c r="BA2013" i="2" s="1"/>
  <c r="BJ2013" i="2" s="1"/>
  <c r="AZ1974" i="2"/>
  <c r="BA1982" i="2" s="1"/>
  <c r="BJ1982" i="2" s="1"/>
  <c r="AU2000" i="2"/>
  <c r="AU1988" i="2"/>
  <c r="AU2008" i="2"/>
  <c r="AU1996" i="2"/>
  <c r="AU1984" i="2"/>
  <c r="AU1991" i="2"/>
  <c r="AU1995" i="2"/>
  <c r="AU2006" i="2"/>
  <c r="AU2002" i="2"/>
  <c r="AU1998" i="2"/>
  <c r="AU1990" i="2"/>
  <c r="AO2018" i="2"/>
  <c r="AU1986" i="2"/>
  <c r="AU2003" i="2"/>
  <c r="AU2010" i="2"/>
  <c r="BB2011" i="2"/>
  <c r="BC2017" i="2" s="1"/>
  <c r="BK2017" i="2" s="1"/>
  <c r="AO2011" i="2"/>
  <c r="BD2011" i="2"/>
  <c r="BE2013" i="2" s="1"/>
  <c r="BL2013" i="2" s="1"/>
  <c r="AN1983" i="2"/>
  <c r="AU2017" i="2"/>
  <c r="AU2011" i="2"/>
  <c r="AP2011" i="2"/>
  <c r="AS2018" i="2"/>
  <c r="AG2011" i="1"/>
  <c r="AB2011" i="1"/>
  <c r="W2011" i="1"/>
  <c r="R2011" i="1"/>
  <c r="M2011" i="1"/>
  <c r="BO2031" i="1" l="1"/>
  <c r="BV2031" i="1" s="1"/>
  <c r="BG1793" i="2"/>
  <c r="BM1793" i="2" s="1"/>
  <c r="BC1940" i="2"/>
  <c r="BK1940" i="2" s="1"/>
  <c r="BG1791" i="2"/>
  <c r="BM1791" i="2" s="1"/>
  <c r="BG1796" i="2"/>
  <c r="BM1796" i="2" s="1"/>
  <c r="BE1889" i="2"/>
  <c r="BL1889" i="2" s="1"/>
  <c r="BG1790" i="2"/>
  <c r="BG1792" i="2"/>
  <c r="BM1792" i="2" s="1"/>
  <c r="BE1887" i="2"/>
  <c r="BL1887" i="2" s="1"/>
  <c r="AY1788" i="2"/>
  <c r="BI1788" i="2" s="1"/>
  <c r="BG1912" i="2"/>
  <c r="BM1912" i="2" s="1"/>
  <c r="BG1795" i="2"/>
  <c r="BM1795" i="2" s="1"/>
  <c r="BC1791" i="2"/>
  <c r="BK1791" i="2" s="1"/>
  <c r="BA1963" i="2"/>
  <c r="BJ1963" i="2" s="1"/>
  <c r="BC1855" i="2"/>
  <c r="BK1855" i="2" s="1"/>
  <c r="AW1857" i="2"/>
  <c r="BH1857" i="2" s="1"/>
  <c r="BE1883" i="2"/>
  <c r="BG1909" i="2"/>
  <c r="BM1909" i="2" s="1"/>
  <c r="AY1847" i="2"/>
  <c r="BI1847" i="2" s="1"/>
  <c r="AY1813" i="2"/>
  <c r="BI1813" i="2" s="1"/>
  <c r="BE1886" i="2"/>
  <c r="BL1886" i="2" s="1"/>
  <c r="BE1885" i="2"/>
  <c r="BL1885" i="2" s="1"/>
  <c r="BE1884" i="2"/>
  <c r="BL1884" i="2" s="1"/>
  <c r="AY1818" i="2"/>
  <c r="BI1818" i="2" s="1"/>
  <c r="AY1968" i="2"/>
  <c r="BI1968" i="2" s="1"/>
  <c r="AY1977" i="2"/>
  <c r="BI1977" i="2" s="1"/>
  <c r="BG1976" i="2"/>
  <c r="BM1976" i="2" s="1"/>
  <c r="BC2000" i="2"/>
  <c r="BK2000" i="2" s="1"/>
  <c r="BG1974" i="2"/>
  <c r="BC1994" i="2"/>
  <c r="BK1994" i="2" s="1"/>
  <c r="BE1891" i="2"/>
  <c r="BL1891" i="2" s="1"/>
  <c r="BC2006" i="2"/>
  <c r="BK2006" i="2" s="1"/>
  <c r="BG1794" i="2"/>
  <c r="BM1794" i="2" s="1"/>
  <c r="AY2017" i="2"/>
  <c r="BI2017" i="2" s="1"/>
  <c r="BC1996" i="2"/>
  <c r="BK1996" i="2" s="1"/>
  <c r="AY2010" i="2"/>
  <c r="BI2010" i="2" s="1"/>
  <c r="AY1804" i="2"/>
  <c r="BI1804" i="2" s="1"/>
  <c r="BE2023" i="2"/>
  <c r="BL2023" i="2" s="1"/>
  <c r="BC1998" i="2"/>
  <c r="BK1998" i="2" s="1"/>
  <c r="AY1981" i="2"/>
  <c r="BI1981" i="2" s="1"/>
  <c r="AY1979" i="2"/>
  <c r="BI1979" i="2" s="1"/>
  <c r="AY1971" i="2"/>
  <c r="BI1971" i="2" s="1"/>
  <c r="AY1980" i="2"/>
  <c r="BI1980" i="2" s="1"/>
  <c r="AW1962" i="2"/>
  <c r="BH1962" i="2" s="1"/>
  <c r="AY1976" i="2"/>
  <c r="BI1976" i="2" s="1"/>
  <c r="BC1792" i="2"/>
  <c r="BK1792" i="2" s="1"/>
  <c r="AY1953" i="2"/>
  <c r="BI1953" i="2" s="1"/>
  <c r="AW1933" i="2"/>
  <c r="BH1933" i="2" s="1"/>
  <c r="AW1957" i="2"/>
  <c r="BH1957" i="2" s="1"/>
  <c r="BC1988" i="2"/>
  <c r="BK1988" i="2" s="1"/>
  <c r="AW1955" i="2"/>
  <c r="BH1955" i="2" s="1"/>
  <c r="BC2009" i="2"/>
  <c r="BK2009" i="2" s="1"/>
  <c r="AY1985" i="2"/>
  <c r="BI1985" i="2" s="1"/>
  <c r="AY2005" i="2"/>
  <c r="BI2005" i="2" s="1"/>
  <c r="BC1784" i="2"/>
  <c r="BK1784" i="2" s="1"/>
  <c r="BC1786" i="2"/>
  <c r="BK1786" i="2" s="1"/>
  <c r="AW1929" i="2"/>
  <c r="BH1929" i="2" s="1"/>
  <c r="BE1792" i="2"/>
  <c r="BL1792" i="2" s="1"/>
  <c r="AY1982" i="2"/>
  <c r="BI1982" i="2" s="1"/>
  <c r="AW1979" i="2"/>
  <c r="BH1979" i="2" s="1"/>
  <c r="AW1947" i="2"/>
  <c r="BH1947" i="2" s="1"/>
  <c r="BC1790" i="2"/>
  <c r="AW1930" i="2"/>
  <c r="BH1930" i="2" s="1"/>
  <c r="AW1900" i="2"/>
  <c r="BH1900" i="2" s="1"/>
  <c r="AW1959" i="2"/>
  <c r="BH1959" i="2" s="1"/>
  <c r="AY1974" i="2"/>
  <c r="AW1960" i="2"/>
  <c r="BH1960" i="2" s="1"/>
  <c r="BE1795" i="2"/>
  <c r="BL1795" i="2" s="1"/>
  <c r="BC1913" i="2"/>
  <c r="BK1913" i="2" s="1"/>
  <c r="AW2019" i="2"/>
  <c r="BH2019" i="2" s="1"/>
  <c r="BA1896" i="2"/>
  <c r="BJ1896" i="2" s="1"/>
  <c r="BC1983" i="2"/>
  <c r="BE1976" i="2"/>
  <c r="BL1976" i="2" s="1"/>
  <c r="BG1901" i="2"/>
  <c r="BM1901" i="2" s="1"/>
  <c r="BC2004" i="2"/>
  <c r="BK2004" i="2" s="1"/>
  <c r="BA1915" i="2"/>
  <c r="BJ1915" i="2" s="1"/>
  <c r="BC2001" i="2"/>
  <c r="BK2001" i="2" s="1"/>
  <c r="AW1808" i="2"/>
  <c r="BH1808" i="2" s="1"/>
  <c r="BC1796" i="2"/>
  <c r="BK1796" i="2" s="1"/>
  <c r="BG1902" i="2"/>
  <c r="BM1902" i="2" s="1"/>
  <c r="BA1900" i="2"/>
  <c r="BJ1900" i="2" s="1"/>
  <c r="BC1990" i="2"/>
  <c r="BK1990" i="2" s="1"/>
  <c r="BC1793" i="2"/>
  <c r="BK1793" i="2" s="1"/>
  <c r="BC1985" i="2"/>
  <c r="BK1985" i="2" s="1"/>
  <c r="BC2007" i="2"/>
  <c r="BK2007" i="2" s="1"/>
  <c r="BC1794" i="2"/>
  <c r="BK1794" i="2" s="1"/>
  <c r="BE1925" i="2"/>
  <c r="BL1925" i="2" s="1"/>
  <c r="BA1917" i="2"/>
  <c r="BJ1917" i="2" s="1"/>
  <c r="BE1796" i="2"/>
  <c r="BL1796" i="2" s="1"/>
  <c r="BG1906" i="2"/>
  <c r="BM1906" i="2" s="1"/>
  <c r="AW1843" i="2"/>
  <c r="BH1843" i="2" s="1"/>
  <c r="BA1907" i="2"/>
  <c r="BJ1907" i="2" s="1"/>
  <c r="BC1991" i="2"/>
  <c r="BK1991" i="2" s="1"/>
  <c r="AW2015" i="2"/>
  <c r="BH2015" i="2" s="1"/>
  <c r="BC2010" i="2"/>
  <c r="BK2010" i="2" s="1"/>
  <c r="BC1992" i="2"/>
  <c r="BK1992" i="2" s="1"/>
  <c r="AY1933" i="2"/>
  <c r="BI1933" i="2" s="1"/>
  <c r="AW1861" i="2"/>
  <c r="BH1861" i="2" s="1"/>
  <c r="BG1905" i="2"/>
  <c r="BM1905" i="2" s="1"/>
  <c r="BC1995" i="2"/>
  <c r="BK1995" i="2" s="1"/>
  <c r="BG1908" i="2"/>
  <c r="BM1908" i="2" s="1"/>
  <c r="BC1999" i="2"/>
  <c r="BK1999" i="2" s="1"/>
  <c r="AW1835" i="2"/>
  <c r="BH1835" i="2" s="1"/>
  <c r="BA1901" i="2"/>
  <c r="BJ1901" i="2" s="1"/>
  <c r="BC1795" i="2"/>
  <c r="BK1795" i="2" s="1"/>
  <c r="BC2008" i="2"/>
  <c r="BK2008" i="2" s="1"/>
  <c r="BA1880" i="2"/>
  <c r="BJ1880" i="2" s="1"/>
  <c r="BA1872" i="2"/>
  <c r="BJ1872" i="2" s="1"/>
  <c r="BC1997" i="2"/>
  <c r="BK1997" i="2" s="1"/>
  <c r="BC2005" i="2"/>
  <c r="BK2005" i="2" s="1"/>
  <c r="BC1993" i="2"/>
  <c r="BK1993" i="2" s="1"/>
  <c r="AY1911" i="2"/>
  <c r="BI1911" i="2" s="1"/>
  <c r="BC2002" i="2"/>
  <c r="BK2002" i="2" s="1"/>
  <c r="BO1787" i="1"/>
  <c r="BV1787" i="1" s="1"/>
  <c r="BO1994" i="1"/>
  <c r="BV1994" i="1" s="1"/>
  <c r="BO1985" i="1"/>
  <c r="BV1985" i="1" s="1"/>
  <c r="BO1804" i="1"/>
  <c r="BV1804" i="1" s="1"/>
  <c r="BO1829" i="1"/>
  <c r="BV1829" i="1" s="1"/>
  <c r="BO1801" i="1"/>
  <c r="BV1801" i="1" s="1"/>
  <c r="BO2007" i="1"/>
  <c r="BV2007" i="1" s="1"/>
  <c r="BO1796" i="1"/>
  <c r="BV1796" i="1" s="1"/>
  <c r="BO1817" i="1"/>
  <c r="BV1817" i="1" s="1"/>
  <c r="BO2028" i="1"/>
  <c r="BV2028" i="1" s="1"/>
  <c r="BO1865" i="1"/>
  <c r="BV1865" i="1" s="1"/>
  <c r="BO1836" i="1"/>
  <c r="BV1836" i="1" s="1"/>
  <c r="BO1860" i="1"/>
  <c r="BV1860" i="1" s="1"/>
  <c r="BO1873" i="1"/>
  <c r="BV1873" i="1" s="1"/>
  <c r="BO1851" i="1"/>
  <c r="BV1851" i="1" s="1"/>
  <c r="BO1826" i="1"/>
  <c r="BV1826" i="1" s="1"/>
  <c r="AW1917" i="2"/>
  <c r="BH1917" i="2" s="1"/>
  <c r="AY1783" i="2"/>
  <c r="BI1783" i="2" s="1"/>
  <c r="AY1824" i="2"/>
  <c r="BI1824" i="2" s="1"/>
  <c r="AY1779" i="2"/>
  <c r="BI1779" i="2" s="1"/>
  <c r="AY1781" i="2"/>
  <c r="BI1781" i="2" s="1"/>
  <c r="BG1815" i="2"/>
  <c r="BM1815" i="2" s="1"/>
  <c r="AY1777" i="2"/>
  <c r="BI1777" i="2" s="1"/>
  <c r="AY1784" i="2"/>
  <c r="BI1784" i="2" s="1"/>
  <c r="BO1879" i="1"/>
  <c r="BV1879" i="1" s="1"/>
  <c r="AW2029" i="2"/>
  <c r="BH2029" i="2" s="1"/>
  <c r="BG1940" i="2"/>
  <c r="BM1940" i="2" s="1"/>
  <c r="AY1782" i="2"/>
  <c r="BI1782" i="2" s="1"/>
  <c r="AY1776" i="2"/>
  <c r="BG1968" i="2"/>
  <c r="BM1968" i="2" s="1"/>
  <c r="AY1817" i="2"/>
  <c r="BI1817" i="2" s="1"/>
  <c r="AY1819" i="2"/>
  <c r="BI1819" i="2" s="1"/>
  <c r="AY1839" i="2"/>
  <c r="BI1839" i="2" s="1"/>
  <c r="BG1930" i="2"/>
  <c r="BM1930" i="2" s="1"/>
  <c r="AY1778" i="2"/>
  <c r="BI1778" i="2" s="1"/>
  <c r="AY1990" i="2"/>
  <c r="BI1990" i="2" s="1"/>
  <c r="BA1945" i="2"/>
  <c r="BJ1945" i="2" s="1"/>
  <c r="BE2022" i="2"/>
  <c r="BL2022" i="2" s="1"/>
  <c r="AW1845" i="2"/>
  <c r="BH1845" i="2" s="1"/>
  <c r="BE1794" i="2"/>
  <c r="BL1794" i="2" s="1"/>
  <c r="AW1862" i="2"/>
  <c r="BH1862" i="2" s="1"/>
  <c r="AY1812" i="2"/>
  <c r="BI1812" i="2" s="1"/>
  <c r="AY1859" i="2"/>
  <c r="BI1859" i="2" s="1"/>
  <c r="AY1787" i="2"/>
  <c r="BI1787" i="2" s="1"/>
  <c r="AW1803" i="2"/>
  <c r="BH1803" i="2" s="1"/>
  <c r="AW1802" i="2"/>
  <c r="BH1802" i="2" s="1"/>
  <c r="BO1876" i="1"/>
  <c r="BV1876" i="1" s="1"/>
  <c r="BO1872" i="1"/>
  <c r="BV1872" i="1" s="1"/>
  <c r="BE2020" i="2"/>
  <c r="BL2020" i="2" s="1"/>
  <c r="AW1963" i="2"/>
  <c r="BH1963" i="2" s="1"/>
  <c r="BG1896" i="2"/>
  <c r="BM1896" i="2" s="1"/>
  <c r="BE2027" i="2"/>
  <c r="BL2027" i="2" s="1"/>
  <c r="BG1885" i="2"/>
  <c r="BM1885" i="2" s="1"/>
  <c r="AY1835" i="2"/>
  <c r="BI1835" i="2" s="1"/>
  <c r="AY1797" i="2"/>
  <c r="BI1797" i="2" s="1"/>
  <c r="BA1920" i="2"/>
  <c r="BJ1920" i="2" s="1"/>
  <c r="AY1848" i="2"/>
  <c r="BI1848" i="2" s="1"/>
  <c r="AY1855" i="2"/>
  <c r="BI1855" i="2" s="1"/>
  <c r="BC1783" i="2"/>
  <c r="BK1783" i="2" s="1"/>
  <c r="BE1790" i="2"/>
  <c r="AW1908" i="2"/>
  <c r="BH1908" i="2" s="1"/>
  <c r="AY1995" i="2"/>
  <c r="BI1995" i="2" s="1"/>
  <c r="AY1785" i="2"/>
  <c r="BI1785" i="2" s="1"/>
  <c r="BC1987" i="2"/>
  <c r="BK1987" i="2" s="1"/>
  <c r="BA1892" i="2"/>
  <c r="BC1787" i="2"/>
  <c r="BK1787" i="2" s="1"/>
  <c r="BC1781" i="2"/>
  <c r="BK1781" i="2" s="1"/>
  <c r="AY1786" i="2"/>
  <c r="BI1786" i="2" s="1"/>
  <c r="BO2027" i="1"/>
  <c r="BV2027" i="1" s="1"/>
  <c r="BO2020" i="1"/>
  <c r="BV2020" i="1" s="1"/>
  <c r="BO1883" i="1"/>
  <c r="BV1883" i="1" s="1"/>
  <c r="AY1984" i="2"/>
  <c r="BI1984" i="2" s="1"/>
  <c r="BE2019" i="2"/>
  <c r="BL2019" i="2" s="1"/>
  <c r="AY1843" i="2"/>
  <c r="BI1843" i="2" s="1"/>
  <c r="AY1816" i="2"/>
  <c r="BI1816" i="2" s="1"/>
  <c r="AW1943" i="2"/>
  <c r="BH1943" i="2" s="1"/>
  <c r="AY1780" i="2"/>
  <c r="BI1780" i="2" s="1"/>
  <c r="BA1908" i="2"/>
  <c r="BJ1908" i="2" s="1"/>
  <c r="AY1789" i="2"/>
  <c r="BI1789" i="2" s="1"/>
  <c r="BC1779" i="2"/>
  <c r="BK1779" i="2" s="1"/>
  <c r="BC1986" i="2"/>
  <c r="BK1986" i="2" s="1"/>
  <c r="BA1893" i="2"/>
  <c r="BJ1893" i="2" s="1"/>
  <c r="BC1778" i="2"/>
  <c r="BK1778" i="2" s="1"/>
  <c r="AY1811" i="2"/>
  <c r="BI1811" i="2" s="1"/>
  <c r="BO2021" i="1"/>
  <c r="BV2021" i="1" s="1"/>
  <c r="BO1840" i="1"/>
  <c r="BV1840" i="1" s="1"/>
  <c r="BO1867" i="1"/>
  <c r="BE2024" i="2"/>
  <c r="BL2024" i="2" s="1"/>
  <c r="BE1791" i="2"/>
  <c r="BL1791" i="2" s="1"/>
  <c r="BG1970" i="2"/>
  <c r="BM1970" i="2" s="1"/>
  <c r="BO2030" i="1"/>
  <c r="BV2030" i="1" s="1"/>
  <c r="BO1881" i="1"/>
  <c r="BV1881" i="1" s="1"/>
  <c r="BE2026" i="2"/>
  <c r="BL2026" i="2" s="1"/>
  <c r="BO1880" i="1"/>
  <c r="BV1880" i="1" s="1"/>
  <c r="BO2024" i="1"/>
  <c r="BV2024" i="1" s="1"/>
  <c r="AY1857" i="2"/>
  <c r="BI1857" i="2" s="1"/>
  <c r="BE2025" i="2"/>
  <c r="BL2025" i="2" s="1"/>
  <c r="BE2021" i="2"/>
  <c r="BL2021" i="2" s="1"/>
  <c r="BA1898" i="2"/>
  <c r="BJ1898" i="2" s="1"/>
  <c r="AW1829" i="2"/>
  <c r="BH1829" i="2" s="1"/>
  <c r="BA1911" i="2"/>
  <c r="BJ1911" i="2" s="1"/>
  <c r="BC1777" i="2"/>
  <c r="BK1777" i="2" s="1"/>
  <c r="BA1919" i="2"/>
  <c r="BJ1919" i="2" s="1"/>
  <c r="AY1841" i="2"/>
  <c r="BI1841" i="2" s="1"/>
  <c r="BC1788" i="2"/>
  <c r="BK1788" i="2" s="1"/>
  <c r="AW1837" i="2"/>
  <c r="BH1837" i="2" s="1"/>
  <c r="BE1797" i="2"/>
  <c r="BL1797" i="2" s="1"/>
  <c r="BC2003" i="2"/>
  <c r="BK2003" i="2" s="1"/>
  <c r="BA1895" i="2"/>
  <c r="BJ1895" i="2" s="1"/>
  <c r="BA1905" i="2"/>
  <c r="BJ1905" i="2" s="1"/>
  <c r="AW1856" i="2"/>
  <c r="BH1856" i="2" s="1"/>
  <c r="AW1904" i="2"/>
  <c r="BH1904" i="2" s="1"/>
  <c r="BO1798" i="1"/>
  <c r="BV1798" i="1" s="1"/>
  <c r="BO1997" i="1"/>
  <c r="BV1997" i="1" s="1"/>
  <c r="BO1864" i="1"/>
  <c r="BV1864" i="1" s="1"/>
  <c r="BO2025" i="1"/>
  <c r="BV2025" i="1" s="1"/>
  <c r="BE2029" i="2"/>
  <c r="BL2029" i="2" s="1"/>
  <c r="BE2028" i="2"/>
  <c r="BL2028" i="2" s="1"/>
  <c r="BE1807" i="2"/>
  <c r="BL1807" i="2" s="1"/>
  <c r="AY1842" i="2"/>
  <c r="BI1842" i="2" s="1"/>
  <c r="BG1823" i="2"/>
  <c r="BM1823" i="2" s="1"/>
  <c r="AY1834" i="2"/>
  <c r="BI1834" i="2" s="1"/>
  <c r="BC1789" i="2"/>
  <c r="BK1789" i="2" s="1"/>
  <c r="BC1785" i="2"/>
  <c r="BK1785" i="2" s="1"/>
  <c r="BA1897" i="2"/>
  <c r="BJ1897" i="2" s="1"/>
  <c r="BO2029" i="1"/>
  <c r="BV2029" i="1" s="1"/>
  <c r="BO2022" i="1"/>
  <c r="BV2022" i="1" s="1"/>
  <c r="AY1833" i="2"/>
  <c r="BI1833" i="2" s="1"/>
  <c r="AY1821" i="2"/>
  <c r="BI1821" i="2" s="1"/>
  <c r="AY1844" i="2"/>
  <c r="BI1844" i="2" s="1"/>
  <c r="BC1776" i="2"/>
  <c r="BO2023" i="1"/>
  <c r="BV2023" i="1" s="1"/>
  <c r="BO1841" i="1"/>
  <c r="BV1841" i="1" s="1"/>
  <c r="BO1875" i="1"/>
  <c r="BV1875" i="1" s="1"/>
  <c r="BO1838" i="1"/>
  <c r="BV1838" i="1" s="1"/>
  <c r="BO1816" i="1"/>
  <c r="BV1816" i="1" s="1"/>
  <c r="BO1813" i="1"/>
  <c r="BV1813" i="1" s="1"/>
  <c r="BO1874" i="1"/>
  <c r="BV1874" i="1" s="1"/>
  <c r="BO1868" i="1"/>
  <c r="BV1868" i="1" s="1"/>
  <c r="BO1877" i="1"/>
  <c r="BV1877" i="1" s="1"/>
  <c r="BO1825" i="1"/>
  <c r="BV1825" i="1" s="1"/>
  <c r="BO1869" i="1"/>
  <c r="BV1869" i="1" s="1"/>
  <c r="BO1878" i="1"/>
  <c r="BV1878" i="1" s="1"/>
  <c r="BO2026" i="1"/>
  <c r="BV2026" i="1" s="1"/>
  <c r="BO1827" i="1"/>
  <c r="BV1827" i="1" s="1"/>
  <c r="BO1837" i="1"/>
  <c r="BV1837" i="1" s="1"/>
  <c r="BO1805" i="1"/>
  <c r="BV1805" i="1" s="1"/>
  <c r="BO1842" i="1"/>
  <c r="BV1842" i="1" s="1"/>
  <c r="BO1802" i="1"/>
  <c r="BV1802" i="1" s="1"/>
  <c r="BO1982" i="1"/>
  <c r="BV1982" i="1" s="1"/>
  <c r="BO1814" i="1"/>
  <c r="BV1814" i="1" s="1"/>
  <c r="BO1892" i="1"/>
  <c r="BV1892" i="1" s="1"/>
  <c r="BO1888" i="1"/>
  <c r="BV1888" i="1" s="1"/>
  <c r="BO1981" i="1"/>
  <c r="BV1981" i="1" s="1"/>
  <c r="BO2006" i="1"/>
  <c r="BV2006" i="1" s="1"/>
  <c r="BO2017" i="1"/>
  <c r="BV2017" i="1" s="1"/>
  <c r="BO1922" i="1"/>
  <c r="BV1922" i="1" s="1"/>
  <c r="BO1920" i="1"/>
  <c r="BV1920" i="1" s="1"/>
  <c r="BO1995" i="1"/>
  <c r="BV1995" i="1" s="1"/>
  <c r="BO1998" i="1"/>
  <c r="BV1998" i="1" s="1"/>
  <c r="BO1992" i="1"/>
  <c r="BV1992" i="1" s="1"/>
  <c r="BO1996" i="1"/>
  <c r="BV1996" i="1" s="1"/>
  <c r="BO1850" i="1"/>
  <c r="BV1850" i="1" s="1"/>
  <c r="BO1882" i="1"/>
  <c r="BV1882" i="1" s="1"/>
  <c r="BO1871" i="1"/>
  <c r="BV1871" i="1" s="1"/>
  <c r="BO1940" i="1"/>
  <c r="BV1940" i="1" s="1"/>
  <c r="BO1929" i="1"/>
  <c r="BV1929" i="1" s="1"/>
  <c r="BO1782" i="1"/>
  <c r="BV1782" i="1" s="1"/>
  <c r="BO1781" i="1"/>
  <c r="BV1781" i="1" s="1"/>
  <c r="BO1777" i="1"/>
  <c r="BO1790" i="1"/>
  <c r="BV1790" i="1" s="1"/>
  <c r="BO1953" i="1"/>
  <c r="BV1953" i="1" s="1"/>
  <c r="BO1965" i="1"/>
  <c r="BV1965" i="1" s="1"/>
  <c r="BO1971" i="1"/>
  <c r="BV1971" i="1" s="1"/>
  <c r="BO1947" i="1"/>
  <c r="BV1947" i="1" s="1"/>
  <c r="BO1884" i="1"/>
  <c r="BO1885" i="1"/>
  <c r="BV1885" i="1" s="1"/>
  <c r="BO1957" i="1"/>
  <c r="BV1957" i="1" s="1"/>
  <c r="BO1849" i="1"/>
  <c r="BV1849" i="1" s="1"/>
  <c r="BO1921" i="1"/>
  <c r="BV1921" i="1" s="1"/>
  <c r="BO1862" i="1"/>
  <c r="BV1862" i="1" s="1"/>
  <c r="BO1853" i="1"/>
  <c r="BV1853" i="1" s="1"/>
  <c r="BO1784" i="1"/>
  <c r="BV1784" i="1" s="1"/>
  <c r="BO1800" i="1"/>
  <c r="BV1800" i="1" s="1"/>
  <c r="BO1886" i="1"/>
  <c r="BV1886" i="1" s="1"/>
  <c r="BO1861" i="1"/>
  <c r="BV1861" i="1" s="1"/>
  <c r="BO1815" i="1"/>
  <c r="BV1815" i="1" s="1"/>
  <c r="BO1946" i="1"/>
  <c r="BV1946" i="1" s="1"/>
  <c r="BO1987" i="1"/>
  <c r="BV1987" i="1" s="1"/>
  <c r="BO1999" i="1"/>
  <c r="BV1999" i="1" s="1"/>
  <c r="BO2011" i="1"/>
  <c r="BV2011" i="1" s="1"/>
  <c r="BO1988" i="1"/>
  <c r="BV1988" i="1" s="1"/>
  <c r="BO2000" i="1"/>
  <c r="BV2000" i="1" s="1"/>
  <c r="BO2003" i="1"/>
  <c r="BV2003" i="1" s="1"/>
  <c r="BO1989" i="1"/>
  <c r="BV1989" i="1" s="1"/>
  <c r="BO1984" i="1"/>
  <c r="BO1990" i="1"/>
  <c r="BV1990" i="1" s="1"/>
  <c r="BO1991" i="1"/>
  <c r="BV1991" i="1" s="1"/>
  <c r="BO2002" i="1"/>
  <c r="BV2002" i="1" s="1"/>
  <c r="BO2001" i="1"/>
  <c r="BV2001" i="1" s="1"/>
  <c r="BO1986" i="1"/>
  <c r="BV1986" i="1" s="1"/>
  <c r="BO1959" i="1"/>
  <c r="BV1959" i="1" s="1"/>
  <c r="BO1786" i="1"/>
  <c r="BV1786" i="1" s="1"/>
  <c r="BO1930" i="1"/>
  <c r="BV1930" i="1" s="1"/>
  <c r="BO1866" i="1"/>
  <c r="BV1866" i="1" s="1"/>
  <c r="BO1887" i="1"/>
  <c r="BV1887" i="1" s="1"/>
  <c r="BO1839" i="1"/>
  <c r="BV1839" i="1" s="1"/>
  <c r="BO2009" i="1"/>
  <c r="BV2009" i="1" s="1"/>
  <c r="BO1932" i="1"/>
  <c r="BV1932" i="1" s="1"/>
  <c r="BO2012" i="1"/>
  <c r="BO2014" i="1"/>
  <c r="BV2014" i="1" s="1"/>
  <c r="BO2015" i="1"/>
  <c r="BV2015" i="1" s="1"/>
  <c r="BO2016" i="1"/>
  <c r="BV2016" i="1" s="1"/>
  <c r="BO2013" i="1"/>
  <c r="BV2013" i="1" s="1"/>
  <c r="BO1941" i="1"/>
  <c r="BV1941" i="1" s="1"/>
  <c r="BO1958" i="1"/>
  <c r="BV1958" i="1" s="1"/>
  <c r="BO1783" i="1"/>
  <c r="BV1783" i="1" s="1"/>
  <c r="BO1935" i="1"/>
  <c r="BV1935" i="1" s="1"/>
  <c r="BO1911" i="1"/>
  <c r="BO1912" i="1"/>
  <c r="BV1912" i="1" s="1"/>
  <c r="BO1924" i="1"/>
  <c r="BV1924" i="1" s="1"/>
  <c r="BO1913" i="1"/>
  <c r="BV1913" i="1" s="1"/>
  <c r="BO1925" i="1"/>
  <c r="BV1925" i="1" s="1"/>
  <c r="BO1915" i="1"/>
  <c r="BV1915" i="1" s="1"/>
  <c r="BO1916" i="1"/>
  <c r="BV1916" i="1" s="1"/>
  <c r="BO1914" i="1"/>
  <c r="BV1914" i="1" s="1"/>
  <c r="BO1926" i="1"/>
  <c r="BV1926" i="1" s="1"/>
  <c r="BO1917" i="1"/>
  <c r="BV1917" i="1" s="1"/>
  <c r="BO1918" i="1"/>
  <c r="BV1918" i="1" s="1"/>
  <c r="BO1927" i="1"/>
  <c r="BV1927" i="1" s="1"/>
  <c r="BO1819" i="1"/>
  <c r="BV1819" i="1" s="1"/>
  <c r="BO1858" i="1"/>
  <c r="BV1858" i="1" s="1"/>
  <c r="BO1820" i="1"/>
  <c r="BV1820" i="1" s="1"/>
  <c r="BO1859" i="1"/>
  <c r="BV1859" i="1" s="1"/>
  <c r="BO1821" i="1"/>
  <c r="BV1821" i="1" s="1"/>
  <c r="BO1843" i="1"/>
  <c r="BV1843" i="1" s="1"/>
  <c r="BO1822" i="1"/>
  <c r="BV1822" i="1" s="1"/>
  <c r="BO1844" i="1"/>
  <c r="BV1844" i="1" s="1"/>
  <c r="BO1823" i="1"/>
  <c r="BV1823" i="1" s="1"/>
  <c r="BO1845" i="1"/>
  <c r="BV1845" i="1" s="1"/>
  <c r="BO1810" i="1"/>
  <c r="BV1810" i="1" s="1"/>
  <c r="BO1847" i="1"/>
  <c r="BV1847" i="1" s="1"/>
  <c r="BO1811" i="1"/>
  <c r="BV1811" i="1" s="1"/>
  <c r="BO1855" i="1"/>
  <c r="BV1855" i="1" s="1"/>
  <c r="BO1856" i="1"/>
  <c r="BV1856" i="1" s="1"/>
  <c r="BO1857" i="1"/>
  <c r="BV1857" i="1" s="1"/>
  <c r="BO1831" i="1"/>
  <c r="BV1831" i="1" s="1"/>
  <c r="BO1799" i="1"/>
  <c r="BO1832" i="1"/>
  <c r="BV1832" i="1" s="1"/>
  <c r="BO1833" i="1"/>
  <c r="BV1833" i="1" s="1"/>
  <c r="BO1807" i="1"/>
  <c r="BV1807" i="1" s="1"/>
  <c r="BO1834" i="1"/>
  <c r="BV1834" i="1" s="1"/>
  <c r="BO1835" i="1"/>
  <c r="BV1835" i="1" s="1"/>
  <c r="BO1809" i="1"/>
  <c r="BV1809" i="1" s="1"/>
  <c r="BO1846" i="1"/>
  <c r="BV1846" i="1" s="1"/>
  <c r="BO1808" i="1"/>
  <c r="BV1808" i="1" s="1"/>
  <c r="BO1942" i="1"/>
  <c r="BV1942" i="1" s="1"/>
  <c r="BO1828" i="1"/>
  <c r="BV1828" i="1" s="1"/>
  <c r="BO1931" i="1"/>
  <c r="BV1931" i="1" s="1"/>
  <c r="BO1863" i="1"/>
  <c r="BV1863" i="1" s="1"/>
  <c r="BO1968" i="1"/>
  <c r="BV1968" i="1" s="1"/>
  <c r="BO1964" i="1"/>
  <c r="BV1964" i="1" s="1"/>
  <c r="BO1812" i="1"/>
  <c r="BV1812" i="1" s="1"/>
  <c r="BO1954" i="1"/>
  <c r="BV1954" i="1" s="1"/>
  <c r="BO1852" i="1"/>
  <c r="BV1852" i="1" s="1"/>
  <c r="BO1948" i="1"/>
  <c r="BV1948" i="1" s="1"/>
  <c r="BO1967" i="1"/>
  <c r="BV1967" i="1" s="1"/>
  <c r="BO1889" i="1"/>
  <c r="BV1889" i="1" s="1"/>
  <c r="BO1780" i="1"/>
  <c r="BV1780" i="1" s="1"/>
  <c r="BO1854" i="1"/>
  <c r="BV1854" i="1" s="1"/>
  <c r="BO1975" i="1"/>
  <c r="BO1976" i="1"/>
  <c r="BV1976" i="1" s="1"/>
  <c r="BO1977" i="1"/>
  <c r="BV1977" i="1" s="1"/>
  <c r="BO1978" i="1"/>
  <c r="BV1978" i="1" s="1"/>
  <c r="BO1979" i="1"/>
  <c r="BV1979" i="1" s="1"/>
  <c r="BO1824" i="1"/>
  <c r="BV1824" i="1" s="1"/>
  <c r="BO1966" i="1"/>
  <c r="BV1966" i="1" s="1"/>
  <c r="BO1890" i="1"/>
  <c r="BV1890" i="1" s="1"/>
  <c r="BO2010" i="1"/>
  <c r="BV2010" i="1" s="1"/>
  <c r="BO1980" i="1"/>
  <c r="BV1980" i="1" s="1"/>
  <c r="BO1779" i="1"/>
  <c r="BV1779" i="1" s="1"/>
  <c r="BO1806" i="1"/>
  <c r="BV1806" i="1" s="1"/>
  <c r="BO1803" i="1"/>
  <c r="BV1803" i="1" s="1"/>
  <c r="BO1993" i="1"/>
  <c r="BV1993" i="1" s="1"/>
  <c r="BO1919" i="1"/>
  <c r="BV1919" i="1" s="1"/>
  <c r="BO1928" i="1"/>
  <c r="BO1963" i="1"/>
  <c r="BV1963" i="1" s="1"/>
  <c r="BO1951" i="1"/>
  <c r="BV1951" i="1" s="1"/>
  <c r="BO1939" i="1"/>
  <c r="BV1939" i="1" s="1"/>
  <c r="BO1974" i="1"/>
  <c r="BV1974" i="1" s="1"/>
  <c r="BO1962" i="1"/>
  <c r="BV1962" i="1" s="1"/>
  <c r="BO1950" i="1"/>
  <c r="BV1950" i="1" s="1"/>
  <c r="BO1938" i="1"/>
  <c r="BV1938" i="1" s="1"/>
  <c r="BO1949" i="1"/>
  <c r="BV1949" i="1" s="1"/>
  <c r="BO1955" i="1"/>
  <c r="BV1955" i="1" s="1"/>
  <c r="BO1944" i="1"/>
  <c r="BV1944" i="1" s="1"/>
  <c r="BO1943" i="1"/>
  <c r="BV1943" i="1" s="1"/>
  <c r="BO1937" i="1"/>
  <c r="BV1937" i="1" s="1"/>
  <c r="BO1936" i="1"/>
  <c r="BV1936" i="1" s="1"/>
  <c r="BO1934" i="1"/>
  <c r="BV1934" i="1" s="1"/>
  <c r="BO1933" i="1"/>
  <c r="BV1933" i="1" s="1"/>
  <c r="BO1961" i="1"/>
  <c r="BV1961" i="1" s="1"/>
  <c r="BO1960" i="1"/>
  <c r="BV1960" i="1" s="1"/>
  <c r="BO1973" i="1"/>
  <c r="BV1973" i="1" s="1"/>
  <c r="BO1972" i="1"/>
  <c r="BV1972" i="1" s="1"/>
  <c r="BO1952" i="1"/>
  <c r="BV1952" i="1" s="1"/>
  <c r="BO1830" i="1"/>
  <c r="BV1830" i="1" s="1"/>
  <c r="BO1785" i="1"/>
  <c r="BV1785" i="1" s="1"/>
  <c r="BO1848" i="1"/>
  <c r="BV1848" i="1" s="1"/>
  <c r="BO2004" i="1"/>
  <c r="BV2004" i="1" s="1"/>
  <c r="BO1970" i="1"/>
  <c r="BV1970" i="1" s="1"/>
  <c r="BO2005" i="1"/>
  <c r="BV2005" i="1" s="1"/>
  <c r="BO1793" i="1"/>
  <c r="BV1793" i="1" s="1"/>
  <c r="BO1794" i="1"/>
  <c r="BV1794" i="1" s="1"/>
  <c r="BO1795" i="1"/>
  <c r="BV1795" i="1" s="1"/>
  <c r="BO1791" i="1"/>
  <c r="BO1792" i="1"/>
  <c r="BV1792" i="1" s="1"/>
  <c r="BO1788" i="1"/>
  <c r="BV1788" i="1" s="1"/>
  <c r="BO1945" i="1"/>
  <c r="BV1945" i="1" s="1"/>
  <c r="BO1789" i="1"/>
  <c r="BV1789" i="1" s="1"/>
  <c r="BO1956" i="1"/>
  <c r="BV1956" i="1" s="1"/>
  <c r="BC1967" i="2"/>
  <c r="BK1967" i="2" s="1"/>
  <c r="AY1872" i="2"/>
  <c r="BI1872" i="2" s="1"/>
  <c r="AY1870" i="2"/>
  <c r="BI1870" i="2" s="1"/>
  <c r="AY1871" i="2"/>
  <c r="BI1871" i="2" s="1"/>
  <c r="AY1878" i="2"/>
  <c r="BI1878" i="2" s="1"/>
  <c r="AY1868" i="2"/>
  <c r="BI1868" i="2" s="1"/>
  <c r="AY1880" i="2"/>
  <c r="BI1880" i="2" s="1"/>
  <c r="AY1877" i="2"/>
  <c r="BI1877" i="2" s="1"/>
  <c r="AY1881" i="2"/>
  <c r="BI1881" i="2" s="1"/>
  <c r="BG1993" i="2"/>
  <c r="BM1993" i="2" s="1"/>
  <c r="BG1986" i="2"/>
  <c r="BM1986" i="2" s="1"/>
  <c r="BA1952" i="2"/>
  <c r="BJ1952" i="2" s="1"/>
  <c r="BA1946" i="2"/>
  <c r="BJ1946" i="2" s="1"/>
  <c r="BA1940" i="2"/>
  <c r="BJ1940" i="2" s="1"/>
  <c r="BA1933" i="2"/>
  <c r="BJ1933" i="2" s="1"/>
  <c r="BA1954" i="2"/>
  <c r="BJ1954" i="2" s="1"/>
  <c r="BA1944" i="2"/>
  <c r="BJ1944" i="2" s="1"/>
  <c r="AQ1974" i="2"/>
  <c r="BA1848" i="2"/>
  <c r="BJ1848" i="2" s="1"/>
  <c r="BA1845" i="2"/>
  <c r="BJ1845" i="2" s="1"/>
  <c r="BA1815" i="2"/>
  <c r="BJ1815" i="2" s="1"/>
  <c r="BA1798" i="2"/>
  <c r="BA1824" i="2"/>
  <c r="BJ1824" i="2" s="1"/>
  <c r="BA1973" i="2"/>
  <c r="BJ1973" i="2" s="1"/>
  <c r="BA1843" i="2"/>
  <c r="BJ1843" i="2" s="1"/>
  <c r="AY1869" i="2"/>
  <c r="BI1869" i="2" s="1"/>
  <c r="BE1907" i="2"/>
  <c r="BL1907" i="2" s="1"/>
  <c r="BE1903" i="2"/>
  <c r="BL1903" i="2" s="1"/>
  <c r="BE1895" i="2"/>
  <c r="BL1895" i="2" s="1"/>
  <c r="AY1866" i="2"/>
  <c r="BC1963" i="2"/>
  <c r="BK1963" i="2" s="1"/>
  <c r="AY1909" i="2"/>
  <c r="BI1909" i="2" s="1"/>
  <c r="AY1908" i="2"/>
  <c r="BI1908" i="2" s="1"/>
  <c r="AY1900" i="2"/>
  <c r="BI1900" i="2" s="1"/>
  <c r="BA1841" i="2"/>
  <c r="BJ1841" i="2" s="1"/>
  <c r="AY1873" i="2"/>
  <c r="BI1873" i="2" s="1"/>
  <c r="BE1919" i="2"/>
  <c r="BL1919" i="2" s="1"/>
  <c r="BE1918" i="2"/>
  <c r="BL1918" i="2" s="1"/>
  <c r="BE1913" i="2"/>
  <c r="BL1913" i="2" s="1"/>
  <c r="AW1890" i="2"/>
  <c r="BH1890" i="2" s="1"/>
  <c r="AW1888" i="2"/>
  <c r="BH1888" i="2" s="1"/>
  <c r="AW1891" i="2"/>
  <c r="BH1891" i="2" s="1"/>
  <c r="AY1874" i="2"/>
  <c r="BI1874" i="2" s="1"/>
  <c r="BG2018" i="2"/>
  <c r="BC1867" i="2"/>
  <c r="BK1867" i="2" s="1"/>
  <c r="BE1910" i="2"/>
  <c r="AW1816" i="2"/>
  <c r="BH1816" i="2" s="1"/>
  <c r="AW1855" i="2"/>
  <c r="BH1855" i="2" s="1"/>
  <c r="AW1830" i="2"/>
  <c r="BH1830" i="2" s="1"/>
  <c r="AW1865" i="2"/>
  <c r="BH1865" i="2" s="1"/>
  <c r="AW1834" i="2"/>
  <c r="BH1834" i="2" s="1"/>
  <c r="AW1833" i="2"/>
  <c r="BH1833" i="2" s="1"/>
  <c r="AW1832" i="2"/>
  <c r="BH1832" i="2" s="1"/>
  <c r="AW1819" i="2"/>
  <c r="BH1819" i="2" s="1"/>
  <c r="AW1818" i="2"/>
  <c r="BH1818" i="2" s="1"/>
  <c r="AW1809" i="2"/>
  <c r="BH1809" i="2" s="1"/>
  <c r="AW1804" i="2"/>
  <c r="BH1804" i="2" s="1"/>
  <c r="AW1831" i="2"/>
  <c r="BH1831" i="2" s="1"/>
  <c r="AW1817" i="2"/>
  <c r="BH1817" i="2" s="1"/>
  <c r="AW1800" i="2"/>
  <c r="BH1800" i="2" s="1"/>
  <c r="AY1875" i="2"/>
  <c r="BI1875" i="2" s="1"/>
  <c r="AW2017" i="2"/>
  <c r="BH2017" i="2" s="1"/>
  <c r="BE1932" i="2"/>
  <c r="BL1932" i="2" s="1"/>
  <c r="BE1954" i="2"/>
  <c r="BL1954" i="2" s="1"/>
  <c r="AW1820" i="2"/>
  <c r="BH1820" i="2" s="1"/>
  <c r="AW1849" i="2"/>
  <c r="BH1849" i="2" s="1"/>
  <c r="AW1851" i="2"/>
  <c r="BH1851" i="2" s="1"/>
  <c r="BA1835" i="2"/>
  <c r="BJ1835" i="2" s="1"/>
  <c r="AW1847" i="2"/>
  <c r="BH1847" i="2" s="1"/>
  <c r="BE1916" i="2"/>
  <c r="BL1916" i="2" s="1"/>
  <c r="AY1879" i="2"/>
  <c r="BI1879" i="2" s="1"/>
  <c r="BC1952" i="2"/>
  <c r="BK1952" i="2" s="1"/>
  <c r="BC1960" i="2"/>
  <c r="BK1960" i="2" s="1"/>
  <c r="BC1938" i="2"/>
  <c r="BK1938" i="2" s="1"/>
  <c r="BC1951" i="2"/>
  <c r="BK1951" i="2" s="1"/>
  <c r="BC1932" i="2"/>
  <c r="BK1932" i="2" s="1"/>
  <c r="BC1943" i="2"/>
  <c r="BK1943" i="2" s="1"/>
  <c r="BC1939" i="2"/>
  <c r="BK1939" i="2" s="1"/>
  <c r="BC1880" i="2"/>
  <c r="BK1880" i="2" s="1"/>
  <c r="BC1872" i="2"/>
  <c r="BK1872" i="2" s="1"/>
  <c r="BC1877" i="2"/>
  <c r="BK1877" i="2" s="1"/>
  <c r="BG2027" i="2"/>
  <c r="BM2027" i="2" s="1"/>
  <c r="BG2019" i="2"/>
  <c r="BM2019" i="2" s="1"/>
  <c r="BG2025" i="2"/>
  <c r="BM2025" i="2" s="1"/>
  <c r="BG2021" i="2"/>
  <c r="BM2021" i="2" s="1"/>
  <c r="BG2023" i="2"/>
  <c r="BM2023" i="2" s="1"/>
  <c r="BG2020" i="2"/>
  <c r="BM2020" i="2" s="1"/>
  <c r="BG2024" i="2"/>
  <c r="BM2024" i="2" s="1"/>
  <c r="BC1973" i="2"/>
  <c r="BK1973" i="2" s="1"/>
  <c r="BG1869" i="2"/>
  <c r="BM1869" i="2" s="1"/>
  <c r="BG1871" i="2"/>
  <c r="BM1871" i="2" s="1"/>
  <c r="BG1873" i="2"/>
  <c r="BM1873" i="2" s="1"/>
  <c r="BG1878" i="2"/>
  <c r="BM1878" i="2" s="1"/>
  <c r="BG2022" i="2"/>
  <c r="BM2022" i="2" s="1"/>
  <c r="AY1885" i="2"/>
  <c r="BI1885" i="2" s="1"/>
  <c r="AY1887" i="2"/>
  <c r="BI1887" i="2" s="1"/>
  <c r="AY1867" i="2"/>
  <c r="BI1867" i="2" s="1"/>
  <c r="AW2028" i="2"/>
  <c r="BH2028" i="2" s="1"/>
  <c r="AW2020" i="2"/>
  <c r="BH2020" i="2" s="1"/>
  <c r="AY1882" i="2"/>
  <c r="BI1882" i="2" s="1"/>
  <c r="BA1965" i="2"/>
  <c r="BJ1965" i="2" s="1"/>
  <c r="BA1957" i="2"/>
  <c r="BJ1957" i="2" s="1"/>
  <c r="BG2028" i="2"/>
  <c r="BM2028" i="2" s="1"/>
  <c r="AY2002" i="2"/>
  <c r="BI2002" i="2" s="1"/>
  <c r="AY2001" i="2"/>
  <c r="BI2001" i="2" s="1"/>
  <c r="AY2007" i="2"/>
  <c r="BI2007" i="2" s="1"/>
  <c r="AY2000" i="2"/>
  <c r="BI2000" i="2" s="1"/>
  <c r="BE1779" i="2"/>
  <c r="BL1779" i="2" s="1"/>
  <c r="BE1780" i="2"/>
  <c r="BL1780" i="2" s="1"/>
  <c r="BE1915" i="2"/>
  <c r="BL1915" i="2" s="1"/>
  <c r="BG1975" i="2"/>
  <c r="BM1975" i="2" s="1"/>
  <c r="BG1982" i="2"/>
  <c r="BM1982" i="2" s="1"/>
  <c r="BG1978" i="2"/>
  <c r="BM1978" i="2" s="1"/>
  <c r="BC2015" i="2"/>
  <c r="BK2015" i="2" s="1"/>
  <c r="AY1996" i="2"/>
  <c r="BI1996" i="2" s="1"/>
  <c r="AY1998" i="2"/>
  <c r="BI1998" i="2" s="1"/>
  <c r="BG1981" i="2"/>
  <c r="BM1981" i="2" s="1"/>
  <c r="BE1991" i="2"/>
  <c r="BL1991" i="2" s="1"/>
  <c r="BE2004" i="2"/>
  <c r="BL2004" i="2" s="1"/>
  <c r="BG1999" i="2"/>
  <c r="BM1999" i="2" s="1"/>
  <c r="AW1801" i="2"/>
  <c r="BH1801" i="2" s="1"/>
  <c r="AW1844" i="2"/>
  <c r="BH1844" i="2" s="1"/>
  <c r="BE1924" i="2"/>
  <c r="BL1924" i="2" s="1"/>
  <c r="AW1839" i="2"/>
  <c r="BH1839" i="2" s="1"/>
  <c r="BA1958" i="2"/>
  <c r="BJ1958" i="2" s="1"/>
  <c r="BA1967" i="2"/>
  <c r="BJ1967" i="2" s="1"/>
  <c r="BG2029" i="2"/>
  <c r="BM2029" i="2" s="1"/>
  <c r="AY1876" i="2"/>
  <c r="BI1876" i="2" s="1"/>
  <c r="BC1965" i="2"/>
  <c r="BK1965" i="2" s="1"/>
  <c r="AY1993" i="2"/>
  <c r="BI1993" i="2" s="1"/>
  <c r="BA1792" i="2"/>
  <c r="BJ1792" i="2" s="1"/>
  <c r="BA1793" i="2"/>
  <c r="BJ1793" i="2" s="1"/>
  <c r="BA1869" i="2"/>
  <c r="BJ1869" i="2" s="1"/>
  <c r="BA1881" i="2"/>
  <c r="BJ1881" i="2" s="1"/>
  <c r="BA1877" i="2"/>
  <c r="BJ1877" i="2" s="1"/>
  <c r="BA1875" i="2"/>
  <c r="BJ1875" i="2" s="1"/>
  <c r="BA1882" i="2"/>
  <c r="BJ1882" i="2" s="1"/>
  <c r="BA1870" i="2"/>
  <c r="BJ1870" i="2" s="1"/>
  <c r="AW1827" i="2"/>
  <c r="BH1827" i="2" s="1"/>
  <c r="AW1936" i="2"/>
  <c r="BH1936" i="2" s="1"/>
  <c r="BA1916" i="2"/>
  <c r="BJ1916" i="2" s="1"/>
  <c r="AW1903" i="2"/>
  <c r="BH1903" i="2" s="1"/>
  <c r="AW1971" i="2"/>
  <c r="BH1971" i="2" s="1"/>
  <c r="AW1901" i="2"/>
  <c r="BH1901" i="2" s="1"/>
  <c r="BA1909" i="2"/>
  <c r="BJ1909" i="2" s="1"/>
  <c r="AW1935" i="2"/>
  <c r="BH1935" i="2" s="1"/>
  <c r="AY1832" i="2"/>
  <c r="BI1832" i="2" s="1"/>
  <c r="BA1902" i="2"/>
  <c r="BJ1902" i="2" s="1"/>
  <c r="BC1782" i="2"/>
  <c r="BK1782" i="2" s="1"/>
  <c r="AY1827" i="2"/>
  <c r="BI1827" i="2" s="1"/>
  <c r="AW1905" i="2"/>
  <c r="BH1905" i="2" s="1"/>
  <c r="AW1906" i="2"/>
  <c r="BH1906" i="2" s="1"/>
  <c r="BA1923" i="2"/>
  <c r="BJ1923" i="2" s="1"/>
  <c r="BG1899" i="2"/>
  <c r="BA1899" i="2"/>
  <c r="BC1984" i="2"/>
  <c r="BK1984" i="2" s="1"/>
  <c r="AY1845" i="2"/>
  <c r="BI1845" i="2" s="1"/>
  <c r="BG2016" i="2"/>
  <c r="BM2016" i="2" s="1"/>
  <c r="AY1794" i="2"/>
  <c r="BI1794" i="2" s="1"/>
  <c r="AW1867" i="2"/>
  <c r="BH1867" i="2" s="1"/>
  <c r="BG1907" i="2"/>
  <c r="BM1907" i="2" s="1"/>
  <c r="AW1902" i="2"/>
  <c r="BH1902" i="2" s="1"/>
  <c r="AW1907" i="2"/>
  <c r="BH1907" i="2" s="1"/>
  <c r="AW1937" i="2"/>
  <c r="BH1937" i="2" s="1"/>
  <c r="BG1903" i="2"/>
  <c r="BM1903" i="2" s="1"/>
  <c r="BA1903" i="2"/>
  <c r="BJ1903" i="2" s="1"/>
  <c r="AW1946" i="2"/>
  <c r="BH1946" i="2" s="1"/>
  <c r="AW1961" i="2"/>
  <c r="BH1961" i="2" s="1"/>
  <c r="AW1909" i="2"/>
  <c r="BH1909" i="2" s="1"/>
  <c r="AW1787" i="2"/>
  <c r="BH1787" i="2" s="1"/>
  <c r="BG1900" i="2"/>
  <c r="BM1900" i="2" s="1"/>
  <c r="BA1904" i="2"/>
  <c r="BJ1904" i="2" s="1"/>
  <c r="AY1826" i="2"/>
  <c r="BI1826" i="2" s="1"/>
  <c r="BE1996" i="2"/>
  <c r="BL1996" i="2" s="1"/>
  <c r="BC1800" i="2"/>
  <c r="BK1800" i="2" s="1"/>
  <c r="BA1819" i="2"/>
  <c r="BJ1819" i="2" s="1"/>
  <c r="BA1854" i="2"/>
  <c r="BJ1854" i="2" s="1"/>
  <c r="BA1856" i="2"/>
  <c r="BJ1856" i="2" s="1"/>
  <c r="BA1864" i="2"/>
  <c r="BJ1864" i="2" s="1"/>
  <c r="BA1850" i="2"/>
  <c r="BJ1850" i="2" s="1"/>
  <c r="AY1902" i="2"/>
  <c r="BI1902" i="2" s="1"/>
  <c r="AW2007" i="2"/>
  <c r="BH2007" i="2" s="1"/>
  <c r="BE1813" i="2"/>
  <c r="BL1813" i="2" s="1"/>
  <c r="BA1801" i="2"/>
  <c r="BJ1801" i="2" s="1"/>
  <c r="BG1989" i="2"/>
  <c r="BM1989" i="2" s="1"/>
  <c r="BG1889" i="2"/>
  <c r="BM1889" i="2" s="1"/>
  <c r="BG1828" i="2"/>
  <c r="BM1828" i="2" s="1"/>
  <c r="BC1825" i="2"/>
  <c r="BK1825" i="2" s="1"/>
  <c r="BG1834" i="2"/>
  <c r="BM1834" i="2" s="1"/>
  <c r="BA1817" i="2"/>
  <c r="BJ1817" i="2" s="1"/>
  <c r="BA1827" i="2"/>
  <c r="BJ1827" i="2" s="1"/>
  <c r="BA1814" i="2"/>
  <c r="BJ1814" i="2" s="1"/>
  <c r="AW1997" i="2"/>
  <c r="BH1997" i="2" s="1"/>
  <c r="BC2012" i="2"/>
  <c r="BK2012" i="2" s="1"/>
  <c r="BE1972" i="2"/>
  <c r="BL1972" i="2" s="1"/>
  <c r="BE1939" i="2"/>
  <c r="BL1939" i="2" s="1"/>
  <c r="BG1877" i="2"/>
  <c r="BM1877" i="2" s="1"/>
  <c r="AY1944" i="2"/>
  <c r="BI1944" i="2" s="1"/>
  <c r="BC1809" i="2"/>
  <c r="BK1809" i="2" s="1"/>
  <c r="BA1851" i="2"/>
  <c r="BJ1851" i="2" s="1"/>
  <c r="BG1893" i="2"/>
  <c r="BM1893" i="2" s="1"/>
  <c r="AY1972" i="2"/>
  <c r="BI1972" i="2" s="1"/>
  <c r="BA1799" i="2"/>
  <c r="BJ1799" i="2" s="1"/>
  <c r="BC1879" i="2"/>
  <c r="BK1879" i="2" s="1"/>
  <c r="BA1855" i="2"/>
  <c r="BJ1855" i="2" s="1"/>
  <c r="BC1966" i="2"/>
  <c r="BK1966" i="2" s="1"/>
  <c r="BA1823" i="2"/>
  <c r="BJ1823" i="2" s="1"/>
  <c r="AW1793" i="2"/>
  <c r="BH1793" i="2" s="1"/>
  <c r="BA1777" i="2"/>
  <c r="BJ1777" i="2" s="1"/>
  <c r="BE1917" i="2"/>
  <c r="BL1917" i="2" s="1"/>
  <c r="BA1784" i="2"/>
  <c r="BJ1784" i="2" s="1"/>
  <c r="BA1806" i="2"/>
  <c r="BJ1806" i="2" s="1"/>
  <c r="BA1804" i="2"/>
  <c r="BJ1804" i="2" s="1"/>
  <c r="BA1780" i="2"/>
  <c r="BJ1780" i="2" s="1"/>
  <c r="BC1882" i="2"/>
  <c r="BK1882" i="2" s="1"/>
  <c r="AY1960" i="2"/>
  <c r="BI1960" i="2" s="1"/>
  <c r="BA1951" i="2"/>
  <c r="BJ1951" i="2" s="1"/>
  <c r="BG1934" i="2"/>
  <c r="BM1934" i="2" s="1"/>
  <c r="BC1929" i="2"/>
  <c r="BK1929" i="2" s="1"/>
  <c r="BG1861" i="2"/>
  <c r="BM1861" i="2" s="1"/>
  <c r="BA1932" i="2"/>
  <c r="BJ1932" i="2" s="1"/>
  <c r="AW1972" i="2"/>
  <c r="BH1972" i="2" s="1"/>
  <c r="AW1912" i="2"/>
  <c r="BH1912" i="2" s="1"/>
  <c r="BG1948" i="2"/>
  <c r="BM1948" i="2" s="1"/>
  <c r="BA1941" i="2"/>
  <c r="BJ1941" i="2" s="1"/>
  <c r="BC2027" i="2"/>
  <c r="BK2027" i="2" s="1"/>
  <c r="BC1949" i="2"/>
  <c r="BK1949" i="2" s="1"/>
  <c r="BA1840" i="2"/>
  <c r="BJ1840" i="2" s="1"/>
  <c r="BA1783" i="2"/>
  <c r="BJ1783" i="2" s="1"/>
  <c r="BC1944" i="2"/>
  <c r="BK1944" i="2" s="1"/>
  <c r="AY1803" i="2"/>
  <c r="BI1803" i="2" s="1"/>
  <c r="AW1789" i="2"/>
  <c r="BH1789" i="2" s="1"/>
  <c r="AY1793" i="2"/>
  <c r="BI1793" i="2" s="1"/>
  <c r="AY1837" i="2"/>
  <c r="BI1837" i="2" s="1"/>
  <c r="AW1951" i="2"/>
  <c r="BH1951" i="2" s="1"/>
  <c r="AY1829" i="2"/>
  <c r="BI1829" i="2" s="1"/>
  <c r="BE1920" i="2"/>
  <c r="BL1920" i="2" s="1"/>
  <c r="BG1931" i="2"/>
  <c r="BM1931" i="2" s="1"/>
  <c r="BA1852" i="2"/>
  <c r="BJ1852" i="2" s="1"/>
  <c r="BA1808" i="2"/>
  <c r="BJ1808" i="2" s="1"/>
  <c r="AY1897" i="2"/>
  <c r="BI1897" i="2" s="1"/>
  <c r="BA1786" i="2"/>
  <c r="BJ1786" i="2" s="1"/>
  <c r="BA1810" i="2"/>
  <c r="BJ1810" i="2" s="1"/>
  <c r="BG1891" i="2"/>
  <c r="BM1891" i="2" s="1"/>
  <c r="BG1890" i="2"/>
  <c r="BM1890" i="2" s="1"/>
  <c r="BA1779" i="2"/>
  <c r="BJ1779" i="2" s="1"/>
  <c r="BA1812" i="2"/>
  <c r="BJ1812" i="2" s="1"/>
  <c r="BG1988" i="2"/>
  <c r="BM1988" i="2" s="1"/>
  <c r="BC2016" i="2"/>
  <c r="BK2016" i="2" s="1"/>
  <c r="BE2002" i="2"/>
  <c r="BL2002" i="2" s="1"/>
  <c r="AW1944" i="2"/>
  <c r="BH1944" i="2" s="1"/>
  <c r="BC1847" i="2"/>
  <c r="BK1847" i="2" s="1"/>
  <c r="BE1911" i="2"/>
  <c r="BL1911" i="2" s="1"/>
  <c r="BE1926" i="2"/>
  <c r="BL1926" i="2" s="1"/>
  <c r="BG1895" i="2"/>
  <c r="BM1895" i="2" s="1"/>
  <c r="BA1928" i="2"/>
  <c r="BJ1928" i="2" s="1"/>
  <c r="BG1835" i="2"/>
  <c r="BM1835" i="2" s="1"/>
  <c r="BC2023" i="2"/>
  <c r="BK2023" i="2" s="1"/>
  <c r="BG1853" i="2"/>
  <c r="BM1853" i="2" s="1"/>
  <c r="BA1821" i="2"/>
  <c r="BJ1821" i="2" s="1"/>
  <c r="BA1939" i="2"/>
  <c r="BJ1939" i="2" s="1"/>
  <c r="BA1857" i="2"/>
  <c r="BJ1857" i="2" s="1"/>
  <c r="BG1868" i="2"/>
  <c r="BM1868" i="2" s="1"/>
  <c r="BC1840" i="2"/>
  <c r="BK1840" i="2" s="1"/>
  <c r="BG1917" i="2"/>
  <c r="BM1917" i="2" s="1"/>
  <c r="BA1838" i="2"/>
  <c r="BJ1838" i="2" s="1"/>
  <c r="BA1803" i="2"/>
  <c r="BJ1803" i="2" s="1"/>
  <c r="BA1820" i="2"/>
  <c r="BJ1820" i="2" s="1"/>
  <c r="AY1807" i="2"/>
  <c r="BI1807" i="2" s="1"/>
  <c r="AY1796" i="2"/>
  <c r="BI1796" i="2" s="1"/>
  <c r="AW1991" i="2"/>
  <c r="BH1991" i="2" s="1"/>
  <c r="AW1998" i="2"/>
  <c r="BH1998" i="2" s="1"/>
  <c r="BA1837" i="2"/>
  <c r="BJ1837" i="2" s="1"/>
  <c r="BA1825" i="2"/>
  <c r="BJ1825" i="2" s="1"/>
  <c r="BA1863" i="2"/>
  <c r="BJ1863" i="2" s="1"/>
  <c r="BE1973" i="2"/>
  <c r="BL1973" i="2" s="1"/>
  <c r="BG2010" i="2"/>
  <c r="BM2010" i="2" s="1"/>
  <c r="BG1997" i="2"/>
  <c r="BM1997" i="2" s="1"/>
  <c r="AW1988" i="2"/>
  <c r="BH1988" i="2" s="1"/>
  <c r="BC1863" i="2"/>
  <c r="BK1863" i="2" s="1"/>
  <c r="AW1931" i="2"/>
  <c r="BH1931" i="2" s="1"/>
  <c r="BG1998" i="2"/>
  <c r="BM1998" i="2" s="1"/>
  <c r="BC1918" i="2"/>
  <c r="BK1918" i="2" s="1"/>
  <c r="BG1831" i="2"/>
  <c r="BM1831" i="2" s="1"/>
  <c r="BG1837" i="2"/>
  <c r="BM1837" i="2" s="1"/>
  <c r="BG1914" i="2"/>
  <c r="BM1914" i="2" s="1"/>
  <c r="BE1922" i="2"/>
  <c r="BL1922" i="2" s="1"/>
  <c r="BA1842" i="2"/>
  <c r="BJ1842" i="2" s="1"/>
  <c r="BA1849" i="2"/>
  <c r="BJ1849" i="2" s="1"/>
  <c r="BA1831" i="2"/>
  <c r="BJ1831" i="2" s="1"/>
  <c r="BA1800" i="2"/>
  <c r="BJ1800" i="2" s="1"/>
  <c r="BG1845" i="2"/>
  <c r="BM1845" i="2" s="1"/>
  <c r="BC1941" i="2"/>
  <c r="BK1941" i="2" s="1"/>
  <c r="BA1822" i="2"/>
  <c r="BJ1822" i="2" s="1"/>
  <c r="BA1781" i="2"/>
  <c r="BJ1781" i="2" s="1"/>
  <c r="BG1859" i="2"/>
  <c r="BM1859" i="2" s="1"/>
  <c r="BC1953" i="2"/>
  <c r="BK1953" i="2" s="1"/>
  <c r="AW1956" i="2"/>
  <c r="BH1956" i="2" s="1"/>
  <c r="BC1930" i="2"/>
  <c r="BK1930" i="2" s="1"/>
  <c r="BC1852" i="2"/>
  <c r="BK1852" i="2" s="1"/>
  <c r="BG1875" i="2"/>
  <c r="BM1875" i="2" s="1"/>
  <c r="BG1833" i="2"/>
  <c r="BM1833" i="2" s="1"/>
  <c r="AW1982" i="2"/>
  <c r="BH1982" i="2" s="1"/>
  <c r="BA1860" i="2"/>
  <c r="BJ1860" i="2" s="1"/>
  <c r="BA1805" i="2"/>
  <c r="BJ1805" i="2" s="1"/>
  <c r="BA1828" i="2"/>
  <c r="BJ1828" i="2" s="1"/>
  <c r="BE1994" i="2"/>
  <c r="BL1994" i="2" s="1"/>
  <c r="BG1806" i="2"/>
  <c r="BM1806" i="2" s="1"/>
  <c r="AW1926" i="2"/>
  <c r="BH1926" i="2" s="1"/>
  <c r="AW1994" i="2"/>
  <c r="BH1994" i="2" s="1"/>
  <c r="BA1818" i="2"/>
  <c r="BJ1818" i="2" s="1"/>
  <c r="AW2009" i="2"/>
  <c r="BH2009" i="2" s="1"/>
  <c r="BC1916" i="2"/>
  <c r="BK1916" i="2" s="1"/>
  <c r="BA1829" i="2"/>
  <c r="BJ1829" i="2" s="1"/>
  <c r="AW1915" i="2"/>
  <c r="BH1915" i="2" s="1"/>
  <c r="BA1846" i="2"/>
  <c r="BJ1846" i="2" s="1"/>
  <c r="BA1834" i="2"/>
  <c r="BJ1834" i="2" s="1"/>
  <c r="BC1924" i="2"/>
  <c r="BK1924" i="2" s="1"/>
  <c r="BC1971" i="2"/>
  <c r="BK1971" i="2" s="1"/>
  <c r="BC2024" i="2"/>
  <c r="BK2024" i="2" s="1"/>
  <c r="BA1826" i="2"/>
  <c r="BJ1826" i="2" s="1"/>
  <c r="BA1816" i="2"/>
  <c r="BJ1816" i="2" s="1"/>
  <c r="BA1859" i="2"/>
  <c r="BJ1859" i="2" s="1"/>
  <c r="BC1841" i="2"/>
  <c r="BK1841" i="2" s="1"/>
  <c r="BG1863" i="2"/>
  <c r="BM1863" i="2" s="1"/>
  <c r="BG1847" i="2"/>
  <c r="BM1847" i="2" s="1"/>
  <c r="BA1839" i="2"/>
  <c r="BJ1839" i="2" s="1"/>
  <c r="AY1904" i="2"/>
  <c r="BI1904" i="2" s="1"/>
  <c r="BA1853" i="2"/>
  <c r="BJ1853" i="2" s="1"/>
  <c r="BA1811" i="2"/>
  <c r="BJ1811" i="2" s="1"/>
  <c r="BE1998" i="2"/>
  <c r="BL1998" i="2" s="1"/>
  <c r="AW1999" i="2"/>
  <c r="BH1999" i="2" s="1"/>
  <c r="AW1984" i="2"/>
  <c r="BH1984" i="2" s="1"/>
  <c r="BC1920" i="2"/>
  <c r="BK1920" i="2" s="1"/>
  <c r="BG1994" i="2"/>
  <c r="BM1994" i="2" s="1"/>
  <c r="BA1847" i="2"/>
  <c r="BJ1847" i="2" s="1"/>
  <c r="BG1816" i="2"/>
  <c r="BM1816" i="2" s="1"/>
  <c r="AY1792" i="2"/>
  <c r="BI1792" i="2" s="1"/>
  <c r="BA1813" i="2"/>
  <c r="BJ1813" i="2" s="1"/>
  <c r="BG1799" i="2"/>
  <c r="BM1799" i="2" s="1"/>
  <c r="AY1938" i="2"/>
  <c r="BI1938" i="2" s="1"/>
  <c r="BA1830" i="2"/>
  <c r="BJ1830" i="2" s="1"/>
  <c r="BA1833" i="2"/>
  <c r="BJ1833" i="2" s="1"/>
  <c r="BC2026" i="2"/>
  <c r="BK2026" i="2" s="1"/>
  <c r="AW2003" i="2"/>
  <c r="BH2003" i="2" s="1"/>
  <c r="BA1942" i="2"/>
  <c r="BJ1942" i="2" s="1"/>
  <c r="AW1990" i="2"/>
  <c r="BH1990" i="2" s="1"/>
  <c r="BG1843" i="2"/>
  <c r="BM1843" i="2" s="1"/>
  <c r="AY1791" i="2"/>
  <c r="BI1791" i="2" s="1"/>
  <c r="BC1911" i="2"/>
  <c r="BK1911" i="2" s="1"/>
  <c r="AW1940" i="2"/>
  <c r="BH1940" i="2" s="1"/>
  <c r="BA1949" i="2"/>
  <c r="BJ1949" i="2" s="1"/>
  <c r="BA1971" i="2"/>
  <c r="BJ1971" i="2" s="1"/>
  <c r="BA1844" i="2"/>
  <c r="BJ1844" i="2" s="1"/>
  <c r="BC1881" i="2"/>
  <c r="BK1881" i="2" s="1"/>
  <c r="AY1795" i="2"/>
  <c r="BI1795" i="2" s="1"/>
  <c r="BE1921" i="2"/>
  <c r="BL1921" i="2" s="1"/>
  <c r="BA1809" i="2"/>
  <c r="BJ1809" i="2" s="1"/>
  <c r="BA1836" i="2"/>
  <c r="BJ1836" i="2" s="1"/>
  <c r="BA1862" i="2"/>
  <c r="BJ1862" i="2" s="1"/>
  <c r="BA1832" i="2"/>
  <c r="BJ1832" i="2" s="1"/>
  <c r="BC2022" i="2"/>
  <c r="BK2022" i="2" s="1"/>
  <c r="AW1969" i="2"/>
  <c r="BH1969" i="2" s="1"/>
  <c r="AY1978" i="2"/>
  <c r="BI1978" i="2" s="1"/>
  <c r="BC1937" i="2"/>
  <c r="BK1937" i="2" s="1"/>
  <c r="AW1986" i="2"/>
  <c r="BH1986" i="2" s="1"/>
  <c r="BE1980" i="2"/>
  <c r="BL1980" i="2" s="1"/>
  <c r="AY1825" i="2"/>
  <c r="BI1825" i="2" s="1"/>
  <c r="BC1972" i="2"/>
  <c r="BK1972" i="2" s="1"/>
  <c r="AY1890" i="2"/>
  <c r="BI1890" i="2" s="1"/>
  <c r="BC2019" i="2"/>
  <c r="BK2019" i="2" s="1"/>
  <c r="BG1818" i="2"/>
  <c r="BM1818" i="2" s="1"/>
  <c r="BE1923" i="2"/>
  <c r="BL1923" i="2" s="1"/>
  <c r="BA1931" i="2"/>
  <c r="BJ1931" i="2" s="1"/>
  <c r="BG1874" i="2"/>
  <c r="BM1874" i="2" s="1"/>
  <c r="AY1802" i="2"/>
  <c r="BI1802" i="2" s="1"/>
  <c r="BA1871" i="2"/>
  <c r="BJ1871" i="2" s="1"/>
  <c r="BA1858" i="2"/>
  <c r="BJ1858" i="2" s="1"/>
  <c r="BA1865" i="2"/>
  <c r="BJ1865" i="2" s="1"/>
  <c r="BE1914" i="2"/>
  <c r="BL1914" i="2" s="1"/>
  <c r="BC1923" i="2"/>
  <c r="BK1923" i="2" s="1"/>
  <c r="BA1861" i="2"/>
  <c r="BJ1861" i="2" s="1"/>
  <c r="BA1807" i="2"/>
  <c r="BJ1807" i="2" s="1"/>
  <c r="AY1814" i="2"/>
  <c r="BI1814" i="2" s="1"/>
  <c r="BG1977" i="2"/>
  <c r="BM1977" i="2" s="1"/>
  <c r="BA2011" i="2"/>
  <c r="BA2012" i="2"/>
  <c r="BJ2012" i="2" s="1"/>
  <c r="BG1782" i="2"/>
  <c r="BM1782" i="2" s="1"/>
  <c r="BG1776" i="2"/>
  <c r="BG1788" i="2"/>
  <c r="BM1788" i="2" s="1"/>
  <c r="BG1786" i="2"/>
  <c r="BM1786" i="2" s="1"/>
  <c r="BG1778" i="2"/>
  <c r="BM1778" i="2" s="1"/>
  <c r="BG1784" i="2"/>
  <c r="BM1784" i="2" s="1"/>
  <c r="BG1789" i="2"/>
  <c r="BM1789" i="2" s="1"/>
  <c r="BE1882" i="2"/>
  <c r="BL1882" i="2" s="1"/>
  <c r="BE1872" i="2"/>
  <c r="BL1872" i="2" s="1"/>
  <c r="BE1873" i="2"/>
  <c r="BL1873" i="2" s="1"/>
  <c r="BE1878" i="2"/>
  <c r="BL1878" i="2" s="1"/>
  <c r="BE1880" i="2"/>
  <c r="BL1880" i="2" s="1"/>
  <c r="BE1866" i="2"/>
  <c r="BE1874" i="2"/>
  <c r="BL1874" i="2" s="1"/>
  <c r="BE1875" i="2"/>
  <c r="BL1875" i="2" s="1"/>
  <c r="BE1870" i="2"/>
  <c r="BL1870" i="2" s="1"/>
  <c r="BE1869" i="2"/>
  <c r="BL1869" i="2" s="1"/>
  <c r="BC1891" i="2"/>
  <c r="BK1891" i="2" s="1"/>
  <c r="BC1883" i="2"/>
  <c r="BC1890" i="2"/>
  <c r="BK1890" i="2" s="1"/>
  <c r="BA2016" i="2"/>
  <c r="BJ2016" i="2" s="1"/>
  <c r="BA2018" i="2"/>
  <c r="BA2019" i="2"/>
  <c r="BJ2019" i="2" s="1"/>
  <c r="BA2021" i="2"/>
  <c r="BJ2021" i="2" s="1"/>
  <c r="BA2027" i="2"/>
  <c r="BJ2027" i="2" s="1"/>
  <c r="BA2023" i="2"/>
  <c r="BJ2023" i="2" s="1"/>
  <c r="BE1814" i="2"/>
  <c r="BL1814" i="2" s="1"/>
  <c r="BE1804" i="2"/>
  <c r="BL1804" i="2" s="1"/>
  <c r="BE1858" i="2"/>
  <c r="BL1858" i="2" s="1"/>
  <c r="BE1826" i="2"/>
  <c r="BL1826" i="2" s="1"/>
  <c r="BE1816" i="2"/>
  <c r="BL1816" i="2" s="1"/>
  <c r="BE1832" i="2"/>
  <c r="BL1832" i="2" s="1"/>
  <c r="BE1803" i="2"/>
  <c r="BL1803" i="2" s="1"/>
  <c r="BE1857" i="2"/>
  <c r="BL1857" i="2" s="1"/>
  <c r="BE1848" i="2"/>
  <c r="BL1848" i="2" s="1"/>
  <c r="BE1846" i="2"/>
  <c r="BL1846" i="2" s="1"/>
  <c r="BE1856" i="2"/>
  <c r="BL1856" i="2" s="1"/>
  <c r="BE1812" i="2"/>
  <c r="BL1812" i="2" s="1"/>
  <c r="BE1843" i="2"/>
  <c r="BL1843" i="2" s="1"/>
  <c r="BE1836" i="2"/>
  <c r="BL1836" i="2" s="1"/>
  <c r="BE1844" i="2"/>
  <c r="BL1844" i="2" s="1"/>
  <c r="BE1825" i="2"/>
  <c r="BL1825" i="2" s="1"/>
  <c r="BE1824" i="2"/>
  <c r="BL1824" i="2" s="1"/>
  <c r="BE1802" i="2"/>
  <c r="BL1802" i="2" s="1"/>
  <c r="BE1834" i="2"/>
  <c r="BL1834" i="2" s="1"/>
  <c r="BE1828" i="2"/>
  <c r="BL1828" i="2" s="1"/>
  <c r="BE1850" i="2"/>
  <c r="BL1850" i="2" s="1"/>
  <c r="BE1852" i="2"/>
  <c r="BL1852" i="2" s="1"/>
  <c r="BE1798" i="2"/>
  <c r="BE1829" i="2"/>
  <c r="BL1829" i="2" s="1"/>
  <c r="BE1799" i="2"/>
  <c r="BL1799" i="2" s="1"/>
  <c r="BE1855" i="2"/>
  <c r="BL1855" i="2" s="1"/>
  <c r="BC1886" i="2"/>
  <c r="BK1886" i="2" s="1"/>
  <c r="BE1841" i="2"/>
  <c r="BL1841" i="2" s="1"/>
  <c r="BA1888" i="2"/>
  <c r="BJ1888" i="2" s="1"/>
  <c r="BG1780" i="2"/>
  <c r="BM1780" i="2" s="1"/>
  <c r="BE1853" i="2"/>
  <c r="BL1853" i="2" s="1"/>
  <c r="BA2020" i="2"/>
  <c r="BJ2020" i="2" s="1"/>
  <c r="BC1885" i="2"/>
  <c r="BK1885" i="2" s="1"/>
  <c r="AY1918" i="2"/>
  <c r="BI1918" i="2" s="1"/>
  <c r="AY1914" i="2"/>
  <c r="BI1914" i="2" s="1"/>
  <c r="AY1926" i="2"/>
  <c r="BI1926" i="2" s="1"/>
  <c r="AY1910" i="2"/>
  <c r="AY1920" i="2"/>
  <c r="BI1920" i="2" s="1"/>
  <c r="AY1916" i="2"/>
  <c r="BI1916" i="2" s="1"/>
  <c r="AY1925" i="2"/>
  <c r="BI1925" i="2" s="1"/>
  <c r="AY1923" i="2"/>
  <c r="BI1923" i="2" s="1"/>
  <c r="AY1915" i="2"/>
  <c r="BI1915" i="2" s="1"/>
  <c r="AY1922" i="2"/>
  <c r="BI1922" i="2" s="1"/>
  <c r="BE1809" i="2"/>
  <c r="BL1809" i="2" s="1"/>
  <c r="BE1861" i="2"/>
  <c r="BL1861" i="2" s="1"/>
  <c r="BE1827" i="2"/>
  <c r="BL1827" i="2" s="1"/>
  <c r="BA1990" i="2"/>
  <c r="BJ1990" i="2" s="1"/>
  <c r="BC1904" i="2"/>
  <c r="BK1904" i="2" s="1"/>
  <c r="BC1902" i="2"/>
  <c r="BK1902" i="2" s="1"/>
  <c r="BC1900" i="2"/>
  <c r="BK1900" i="2" s="1"/>
  <c r="BC1901" i="2"/>
  <c r="BK1901" i="2" s="1"/>
  <c r="BC1903" i="2"/>
  <c r="BK1903" i="2" s="1"/>
  <c r="BC1899" i="2"/>
  <c r="BE2003" i="2"/>
  <c r="BL2003" i="2" s="1"/>
  <c r="BE1999" i="2"/>
  <c r="BL1999" i="2" s="1"/>
  <c r="BE1993" i="2"/>
  <c r="BL1993" i="2" s="1"/>
  <c r="BE1987" i="2"/>
  <c r="BL1987" i="2" s="1"/>
  <c r="BE1985" i="2"/>
  <c r="BL1985" i="2" s="1"/>
  <c r="BE1983" i="2"/>
  <c r="BE2006" i="2"/>
  <c r="BL2006" i="2" s="1"/>
  <c r="BE1995" i="2"/>
  <c r="BL1995" i="2" s="1"/>
  <c r="BE2000" i="2"/>
  <c r="BL2000" i="2" s="1"/>
  <c r="BE2005" i="2"/>
  <c r="BL2005" i="2" s="1"/>
  <c r="BE1989" i="2"/>
  <c r="BL1989" i="2" s="1"/>
  <c r="BE2009" i="2"/>
  <c r="BL2009" i="2" s="1"/>
  <c r="BE1997" i="2"/>
  <c r="BL1997" i="2" s="1"/>
  <c r="BE2008" i="2"/>
  <c r="BL2008" i="2" s="1"/>
  <c r="BE2001" i="2"/>
  <c r="BL2001" i="2" s="1"/>
  <c r="AY1962" i="2"/>
  <c r="BI1962" i="2" s="1"/>
  <c r="AY1951" i="2"/>
  <c r="BI1951" i="2" s="1"/>
  <c r="AY1969" i="2"/>
  <c r="BI1969" i="2" s="1"/>
  <c r="AY1952" i="2"/>
  <c r="BI1952" i="2" s="1"/>
  <c r="AY1927" i="2"/>
  <c r="AY1941" i="2"/>
  <c r="BI1941" i="2" s="1"/>
  <c r="AY1959" i="2"/>
  <c r="BI1959" i="2" s="1"/>
  <c r="AY1936" i="2"/>
  <c r="BI1936" i="2" s="1"/>
  <c r="AY1946" i="2"/>
  <c r="BI1946" i="2" s="1"/>
  <c r="AY1961" i="2"/>
  <c r="BI1961" i="2" s="1"/>
  <c r="AY1963" i="2"/>
  <c r="BI1963" i="2" s="1"/>
  <c r="AY1939" i="2"/>
  <c r="BI1939" i="2" s="1"/>
  <c r="AY1950" i="2"/>
  <c r="BI1950" i="2" s="1"/>
  <c r="AY1940" i="2"/>
  <c r="BI1940" i="2" s="1"/>
  <c r="AY1954" i="2"/>
  <c r="BI1954" i="2" s="1"/>
  <c r="AY1937" i="2"/>
  <c r="BI1937" i="2" s="1"/>
  <c r="AY1929" i="2"/>
  <c r="BI1929" i="2" s="1"/>
  <c r="AY1966" i="2"/>
  <c r="BI1966" i="2" s="1"/>
  <c r="BE1837" i="2"/>
  <c r="BL1837" i="2" s="1"/>
  <c r="BG1936" i="2"/>
  <c r="BM1936" i="2" s="1"/>
  <c r="BA2006" i="2"/>
  <c r="BJ2006" i="2" s="1"/>
  <c r="BA2025" i="2"/>
  <c r="BJ2025" i="2" s="1"/>
  <c r="AY1917" i="2"/>
  <c r="BI1917" i="2" s="1"/>
  <c r="BE1960" i="2"/>
  <c r="BL1960" i="2" s="1"/>
  <c r="AY1947" i="2"/>
  <c r="BI1947" i="2" s="1"/>
  <c r="BC1884" i="2"/>
  <c r="BK1884" i="2" s="1"/>
  <c r="BA2004" i="2"/>
  <c r="BJ2004" i="2" s="1"/>
  <c r="BC1844" i="2"/>
  <c r="BK1844" i="2" s="1"/>
  <c r="BC1832" i="2"/>
  <c r="BK1832" i="2" s="1"/>
  <c r="BC1804" i="2"/>
  <c r="BK1804" i="2" s="1"/>
  <c r="BC1824" i="2"/>
  <c r="BK1824" i="2" s="1"/>
  <c r="BC1848" i="2"/>
  <c r="BK1848" i="2" s="1"/>
  <c r="BC1858" i="2"/>
  <c r="BK1858" i="2" s="1"/>
  <c r="BC1827" i="2"/>
  <c r="BK1827" i="2" s="1"/>
  <c r="BC1819" i="2"/>
  <c r="BK1819" i="2" s="1"/>
  <c r="BC1807" i="2"/>
  <c r="BK1807" i="2" s="1"/>
  <c r="BC1864" i="2"/>
  <c r="BK1864" i="2" s="1"/>
  <c r="BC1834" i="2"/>
  <c r="BK1834" i="2" s="1"/>
  <c r="BC1801" i="2"/>
  <c r="BK1801" i="2" s="1"/>
  <c r="BC1806" i="2"/>
  <c r="BK1806" i="2" s="1"/>
  <c r="BC1808" i="2"/>
  <c r="BK1808" i="2" s="1"/>
  <c r="BC1843" i="2"/>
  <c r="BK1843" i="2" s="1"/>
  <c r="BC1836" i="2"/>
  <c r="BK1836" i="2" s="1"/>
  <c r="BC1812" i="2"/>
  <c r="BK1812" i="2" s="1"/>
  <c r="BC1830" i="2"/>
  <c r="BK1830" i="2" s="1"/>
  <c r="BC1816" i="2"/>
  <c r="BK1816" i="2" s="1"/>
  <c r="BC1833" i="2"/>
  <c r="BK1833" i="2" s="1"/>
  <c r="BC1860" i="2"/>
  <c r="BK1860" i="2" s="1"/>
  <c r="BC1798" i="2"/>
  <c r="BC1828" i="2"/>
  <c r="BK1828" i="2" s="1"/>
  <c r="BC1845" i="2"/>
  <c r="BK1845" i="2" s="1"/>
  <c r="BC1829" i="2"/>
  <c r="BK1829" i="2" s="1"/>
  <c r="BC1817" i="2"/>
  <c r="BK1817" i="2" s="1"/>
  <c r="BC1846" i="2"/>
  <c r="BK1846" i="2" s="1"/>
  <c r="BC1818" i="2"/>
  <c r="BK1818" i="2" s="1"/>
  <c r="BC1820" i="2"/>
  <c r="BK1820" i="2" s="1"/>
  <c r="BC1835" i="2"/>
  <c r="BK1835" i="2" s="1"/>
  <c r="BC1892" i="2"/>
  <c r="BC1895" i="2"/>
  <c r="BK1895" i="2" s="1"/>
  <c r="BC1894" i="2"/>
  <c r="BK1894" i="2" s="1"/>
  <c r="BA2015" i="2"/>
  <c r="BJ2015" i="2" s="1"/>
  <c r="BE2014" i="2"/>
  <c r="BL2014" i="2" s="1"/>
  <c r="BE2016" i="2"/>
  <c r="BL2016" i="2" s="1"/>
  <c r="BE2012" i="2"/>
  <c r="BL2012" i="2" s="1"/>
  <c r="BE2017" i="2"/>
  <c r="BL2017" i="2" s="1"/>
  <c r="BE2011" i="2"/>
  <c r="BG1972" i="2"/>
  <c r="BM1972" i="2" s="1"/>
  <c r="BG1944" i="2"/>
  <c r="BM1944" i="2" s="1"/>
  <c r="BC1897" i="2"/>
  <c r="BK1897" i="2" s="1"/>
  <c r="BG1925" i="2"/>
  <c r="BM1925" i="2" s="1"/>
  <c r="BG1910" i="2"/>
  <c r="BG1913" i="2"/>
  <c r="BM1913" i="2" s="1"/>
  <c r="BG1924" i="2"/>
  <c r="BM1924" i="2" s="1"/>
  <c r="BG1920" i="2"/>
  <c r="BM1920" i="2" s="1"/>
  <c r="BG1915" i="2"/>
  <c r="BM1915" i="2" s="1"/>
  <c r="BG1918" i="2"/>
  <c r="BM1918" i="2" s="1"/>
  <c r="BA2017" i="2"/>
  <c r="BJ2017" i="2" s="1"/>
  <c r="BE1838" i="2"/>
  <c r="BL1838" i="2" s="1"/>
  <c r="AY1957" i="2"/>
  <c r="BI1957" i="2" s="1"/>
  <c r="BG1787" i="2"/>
  <c r="BM1787" i="2" s="1"/>
  <c r="BE1863" i="2"/>
  <c r="BL1863" i="2" s="1"/>
  <c r="BG1858" i="2"/>
  <c r="BM1858" i="2" s="1"/>
  <c r="BG1838" i="2"/>
  <c r="BM1838" i="2" s="1"/>
  <c r="BG1826" i="2"/>
  <c r="BM1826" i="2" s="1"/>
  <c r="BG1811" i="2"/>
  <c r="BM1811" i="2" s="1"/>
  <c r="BG1839" i="2"/>
  <c r="BM1839" i="2" s="1"/>
  <c r="BG1830" i="2"/>
  <c r="BM1830" i="2" s="1"/>
  <c r="BG1798" i="2"/>
  <c r="BG1865" i="2"/>
  <c r="BM1865" i="2" s="1"/>
  <c r="BG1846" i="2"/>
  <c r="BM1846" i="2" s="1"/>
  <c r="BG1810" i="2"/>
  <c r="BM1810" i="2" s="1"/>
  <c r="BG1856" i="2"/>
  <c r="BM1856" i="2" s="1"/>
  <c r="BG1855" i="2"/>
  <c r="BM1855" i="2" s="1"/>
  <c r="BG1836" i="2"/>
  <c r="BM1836" i="2" s="1"/>
  <c r="BG1814" i="2"/>
  <c r="BM1814" i="2" s="1"/>
  <c r="BG1802" i="2"/>
  <c r="BM1802" i="2" s="1"/>
  <c r="BG1854" i="2"/>
  <c r="BM1854" i="2" s="1"/>
  <c r="BG1844" i="2"/>
  <c r="BM1844" i="2" s="1"/>
  <c r="BG1824" i="2"/>
  <c r="BM1824" i="2" s="1"/>
  <c r="BG1812" i="2"/>
  <c r="BM1812" i="2" s="1"/>
  <c r="BG1860" i="2"/>
  <c r="BM1860" i="2" s="1"/>
  <c r="BG1857" i="2"/>
  <c r="BM1857" i="2" s="1"/>
  <c r="BG1848" i="2"/>
  <c r="BM1848" i="2" s="1"/>
  <c r="BG1850" i="2"/>
  <c r="BM1850" i="2" s="1"/>
  <c r="BG1842" i="2"/>
  <c r="BM1842" i="2" s="1"/>
  <c r="BG1801" i="2"/>
  <c r="BM1801" i="2" s="1"/>
  <c r="BG1809" i="2"/>
  <c r="BM1809" i="2" s="1"/>
  <c r="BG1803" i="2"/>
  <c r="BM1803" i="2" s="1"/>
  <c r="BG1804" i="2"/>
  <c r="BM1804" i="2" s="1"/>
  <c r="BG1832" i="2"/>
  <c r="BM1832" i="2" s="1"/>
  <c r="BG1821" i="2"/>
  <c r="BM1821" i="2" s="1"/>
  <c r="BG1800" i="2"/>
  <c r="BM1800" i="2" s="1"/>
  <c r="BG1840" i="2"/>
  <c r="BM1840" i="2" s="1"/>
  <c r="BE1788" i="2"/>
  <c r="BL1788" i="2" s="1"/>
  <c r="BE1784" i="2"/>
  <c r="BL1784" i="2" s="1"/>
  <c r="BE1786" i="2"/>
  <c r="BL1786" i="2" s="1"/>
  <c r="BE1776" i="2"/>
  <c r="BE1787" i="2"/>
  <c r="BL1787" i="2" s="1"/>
  <c r="BE1785" i="2"/>
  <c r="BL1785" i="2" s="1"/>
  <c r="BC1802" i="2"/>
  <c r="BK1802" i="2" s="1"/>
  <c r="BC1821" i="2"/>
  <c r="BK1821" i="2" s="1"/>
  <c r="BG1805" i="2"/>
  <c r="BM1805" i="2" s="1"/>
  <c r="BC1813" i="2"/>
  <c r="BK1813" i="2" s="1"/>
  <c r="BA1974" i="2"/>
  <c r="BA1978" i="2"/>
  <c r="BJ1978" i="2" s="1"/>
  <c r="BA1981" i="2"/>
  <c r="BJ1981" i="2" s="1"/>
  <c r="BA1980" i="2"/>
  <c r="BJ1980" i="2" s="1"/>
  <c r="BA1979" i="2"/>
  <c r="BJ1979" i="2" s="1"/>
  <c r="BA1977" i="2"/>
  <c r="BJ1977" i="2" s="1"/>
  <c r="BA1976" i="2"/>
  <c r="BJ1976" i="2" s="1"/>
  <c r="BG1938" i="2"/>
  <c r="BM1938" i="2" s="1"/>
  <c r="BE2010" i="2"/>
  <c r="BL2010" i="2" s="1"/>
  <c r="AY1898" i="2"/>
  <c r="BI1898" i="2" s="1"/>
  <c r="AY1892" i="2"/>
  <c r="AY1893" i="2"/>
  <c r="BI1893" i="2" s="1"/>
  <c r="AY1896" i="2"/>
  <c r="BI1896" i="2" s="1"/>
  <c r="BG1911" i="2"/>
  <c r="BM1911" i="2" s="1"/>
  <c r="BG1959" i="2"/>
  <c r="BM1959" i="2" s="1"/>
  <c r="BE1966" i="2"/>
  <c r="BL1966" i="2" s="1"/>
  <c r="AY1931" i="2"/>
  <c r="BI1931" i="2" s="1"/>
  <c r="BA1791" i="2"/>
  <c r="BJ1791" i="2" s="1"/>
  <c r="AY1934" i="2"/>
  <c r="BI1934" i="2" s="1"/>
  <c r="AW1892" i="2"/>
  <c r="AW1898" i="2"/>
  <c r="BH1898" i="2" s="1"/>
  <c r="AW1895" i="2"/>
  <c r="BH1895" i="2" s="1"/>
  <c r="BC1898" i="2"/>
  <c r="BK1898" i="2" s="1"/>
  <c r="BG1820" i="2"/>
  <c r="BM1820" i="2" s="1"/>
  <c r="BE1805" i="2"/>
  <c r="BL1805" i="2" s="1"/>
  <c r="BC1907" i="2"/>
  <c r="BK1907" i="2" s="1"/>
  <c r="BC2014" i="2"/>
  <c r="BK2014" i="2" s="1"/>
  <c r="BC2013" i="2"/>
  <c r="BK2013" i="2" s="1"/>
  <c r="BC2011" i="2"/>
  <c r="BA1975" i="2"/>
  <c r="BJ1975" i="2" s="1"/>
  <c r="BE1904" i="2"/>
  <c r="BL1904" i="2" s="1"/>
  <c r="BE1936" i="2"/>
  <c r="BL1936" i="2" s="1"/>
  <c r="BG1996" i="2"/>
  <c r="BM1996" i="2" s="1"/>
  <c r="AY1903" i="2"/>
  <c r="BI1903" i="2" s="1"/>
  <c r="AY1905" i="2"/>
  <c r="BI1905" i="2" s="1"/>
  <c r="AY1901" i="2"/>
  <c r="BI1901" i="2" s="1"/>
  <c r="AY1907" i="2"/>
  <c r="BI1907" i="2" s="1"/>
  <c r="AY1899" i="2"/>
  <c r="AY1889" i="2"/>
  <c r="BI1889" i="2" s="1"/>
  <c r="BE1957" i="2"/>
  <c r="BL1957" i="2" s="1"/>
  <c r="BE1819" i="2"/>
  <c r="BL1819" i="2" s="1"/>
  <c r="BE2007" i="2"/>
  <c r="BL2007" i="2" s="1"/>
  <c r="BE1970" i="2"/>
  <c r="BL1970" i="2" s="1"/>
  <c r="BC1859" i="2"/>
  <c r="BK1859" i="2" s="1"/>
  <c r="AW1916" i="2"/>
  <c r="BH1916" i="2" s="1"/>
  <c r="AW1922" i="2"/>
  <c r="BH1922" i="2" s="1"/>
  <c r="AW1920" i="2"/>
  <c r="BH1920" i="2" s="1"/>
  <c r="AW1918" i="2"/>
  <c r="BH1918" i="2" s="1"/>
  <c r="AW1919" i="2"/>
  <c r="BH1919" i="2" s="1"/>
  <c r="AW1910" i="2"/>
  <c r="AW1911" i="2"/>
  <c r="BH1911" i="2" s="1"/>
  <c r="AW1923" i="2"/>
  <c r="BH1923" i="2" s="1"/>
  <c r="AW1913" i="2"/>
  <c r="BH1913" i="2" s="1"/>
  <c r="BG2017" i="2"/>
  <c r="BM2017" i="2" s="1"/>
  <c r="BG1819" i="2"/>
  <c r="BM1819" i="2" s="1"/>
  <c r="BG1923" i="2"/>
  <c r="BM1923" i="2" s="1"/>
  <c r="BG1933" i="2"/>
  <c r="BM1933" i="2" s="1"/>
  <c r="BG1849" i="2"/>
  <c r="BM1849" i="2" s="1"/>
  <c r="BC1811" i="2"/>
  <c r="BK1811" i="2" s="1"/>
  <c r="AY1965" i="2"/>
  <c r="BI1965" i="2" s="1"/>
  <c r="BE1946" i="2"/>
  <c r="BL1946" i="2" s="1"/>
  <c r="AW1876" i="2"/>
  <c r="BH1876" i="2" s="1"/>
  <c r="BE1810" i="2"/>
  <c r="BL1810" i="2" s="1"/>
  <c r="BG1929" i="2"/>
  <c r="BM1929" i="2" s="1"/>
  <c r="BE1835" i="2"/>
  <c r="BL1835" i="2" s="1"/>
  <c r="BG1935" i="2"/>
  <c r="BM1935" i="2" s="1"/>
  <c r="BG1827" i="2"/>
  <c r="BM1827" i="2" s="1"/>
  <c r="BG1953" i="2"/>
  <c r="BM1953" i="2" s="1"/>
  <c r="BA2028" i="2"/>
  <c r="BJ2028" i="2" s="1"/>
  <c r="BC1862" i="2"/>
  <c r="BK1862" i="2" s="1"/>
  <c r="BC1854" i="2"/>
  <c r="BK1854" i="2" s="1"/>
  <c r="BA1926" i="2"/>
  <c r="BJ1926" i="2" s="1"/>
  <c r="BA1910" i="2"/>
  <c r="BA1921" i="2"/>
  <c r="BJ1921" i="2" s="1"/>
  <c r="BA1925" i="2"/>
  <c r="BJ1925" i="2" s="1"/>
  <c r="BA1918" i="2"/>
  <c r="BJ1918" i="2" s="1"/>
  <c r="BA1912" i="2"/>
  <c r="BJ1912" i="2" s="1"/>
  <c r="BA1914" i="2"/>
  <c r="BJ1914" i="2" s="1"/>
  <c r="BA1924" i="2"/>
  <c r="BJ1924" i="2" s="1"/>
  <c r="BE1781" i="2"/>
  <c r="BL1781" i="2" s="1"/>
  <c r="AW1893" i="2"/>
  <c r="BH1893" i="2" s="1"/>
  <c r="AW1897" i="2"/>
  <c r="BH1897" i="2" s="1"/>
  <c r="AW1794" i="2"/>
  <c r="BH1794" i="2" s="1"/>
  <c r="AW1784" i="2"/>
  <c r="BH1784" i="2" s="1"/>
  <c r="AY1828" i="2"/>
  <c r="BI1828" i="2" s="1"/>
  <c r="BC1810" i="2"/>
  <c r="BK1810" i="2" s="1"/>
  <c r="AY1831" i="2"/>
  <c r="BI1831" i="2" s="1"/>
  <c r="BG1808" i="2"/>
  <c r="BM1808" i="2" s="1"/>
  <c r="AY1856" i="2"/>
  <c r="BI1856" i="2" s="1"/>
  <c r="AW1788" i="2"/>
  <c r="BH1788" i="2" s="1"/>
  <c r="AW2006" i="2"/>
  <c r="BH2006" i="2" s="1"/>
  <c r="AY1930" i="2"/>
  <c r="BI1930" i="2" s="1"/>
  <c r="AY1994" i="2"/>
  <c r="BI1994" i="2" s="1"/>
  <c r="BE1897" i="2"/>
  <c r="BL1897" i="2" s="1"/>
  <c r="AW1978" i="2"/>
  <c r="BH1978" i="2" s="1"/>
  <c r="BE1877" i="2"/>
  <c r="BL1877" i="2" s="1"/>
  <c r="BE1948" i="2"/>
  <c r="BL1948" i="2" s="1"/>
  <c r="BG2000" i="2"/>
  <c r="BM2000" i="2" s="1"/>
  <c r="BE1901" i="2"/>
  <c r="BL1901" i="2" s="1"/>
  <c r="BC1839" i="2"/>
  <c r="BK1839" i="2" s="1"/>
  <c r="BE1906" i="2"/>
  <c r="BL1906" i="2" s="1"/>
  <c r="BG1897" i="2"/>
  <c r="BM1897" i="2" s="1"/>
  <c r="BG1892" i="2"/>
  <c r="BG1898" i="2"/>
  <c r="BM1898" i="2" s="1"/>
  <c r="BG1807" i="2"/>
  <c r="BM1807" i="2" s="1"/>
  <c r="BE1847" i="2"/>
  <c r="BL1847" i="2" s="1"/>
  <c r="AW2027" i="2"/>
  <c r="BH2027" i="2" s="1"/>
  <c r="AW2023" i="2"/>
  <c r="BH2023" i="2" s="1"/>
  <c r="AW2018" i="2"/>
  <c r="AW2021" i="2"/>
  <c r="BH2021" i="2" s="1"/>
  <c r="AW2025" i="2"/>
  <c r="BH2025" i="2" s="1"/>
  <c r="AW2026" i="2"/>
  <c r="BH2026" i="2" s="1"/>
  <c r="AW2022" i="2"/>
  <c r="BH2022" i="2" s="1"/>
  <c r="AW1965" i="2"/>
  <c r="BH1965" i="2" s="1"/>
  <c r="AW1941" i="2"/>
  <c r="BH1941" i="2" s="1"/>
  <c r="AW1952" i="2"/>
  <c r="BH1952" i="2" s="1"/>
  <c r="AW1967" i="2"/>
  <c r="BH1967" i="2" s="1"/>
  <c r="AW1966" i="2"/>
  <c r="BH1966" i="2" s="1"/>
  <c r="AW1954" i="2"/>
  <c r="BH1954" i="2" s="1"/>
  <c r="AW1958" i="2"/>
  <c r="BH1958" i="2" s="1"/>
  <c r="AW1950" i="2"/>
  <c r="BH1950" i="2" s="1"/>
  <c r="AW1939" i="2"/>
  <c r="BH1939" i="2" s="1"/>
  <c r="AW1934" i="2"/>
  <c r="BH1934" i="2" s="1"/>
  <c r="AW1927" i="2"/>
  <c r="AW1968" i="2"/>
  <c r="BH1968" i="2" s="1"/>
  <c r="AW1953" i="2"/>
  <c r="BH1953" i="2" s="1"/>
  <c r="AW1948" i="2"/>
  <c r="BH1948" i="2" s="1"/>
  <c r="AW1970" i="2"/>
  <c r="BH1970" i="2" s="1"/>
  <c r="AW1973" i="2"/>
  <c r="BH1973" i="2" s="1"/>
  <c r="AW1928" i="2"/>
  <c r="BH1928" i="2" s="1"/>
  <c r="AW1949" i="2"/>
  <c r="BH1949" i="2" s="1"/>
  <c r="AW1964" i="2"/>
  <c r="BH1964" i="2" s="1"/>
  <c r="AW1942" i="2"/>
  <c r="BH1942" i="2" s="1"/>
  <c r="AW1938" i="2"/>
  <c r="BH1938" i="2" s="1"/>
  <c r="BG2008" i="2"/>
  <c r="BM2008" i="2" s="1"/>
  <c r="BE1933" i="2"/>
  <c r="BL1933" i="2" s="1"/>
  <c r="AW1805" i="2"/>
  <c r="BH1805" i="2" s="1"/>
  <c r="BG1960" i="2"/>
  <c r="BM1960" i="2" s="1"/>
  <c r="AW1785" i="2"/>
  <c r="BH1785" i="2" s="1"/>
  <c r="AY1973" i="2"/>
  <c r="BI1973" i="2" s="1"/>
  <c r="AW1945" i="2"/>
  <c r="BH1945" i="2" s="1"/>
  <c r="BC1799" i="2"/>
  <c r="BK1799" i="2" s="1"/>
  <c r="AY1928" i="2"/>
  <c r="BI1928" i="2" s="1"/>
  <c r="AY1830" i="2"/>
  <c r="BI1830" i="2" s="1"/>
  <c r="BE1823" i="2"/>
  <c r="BL1823" i="2" s="1"/>
  <c r="BG1921" i="2"/>
  <c r="BM1921" i="2" s="1"/>
  <c r="BG1864" i="2"/>
  <c r="BM1864" i="2" s="1"/>
  <c r="BC1856" i="2"/>
  <c r="BK1856" i="2" s="1"/>
  <c r="AW1783" i="2"/>
  <c r="BH1783" i="2" s="1"/>
  <c r="BC1822" i="2"/>
  <c r="BK1822" i="2" s="1"/>
  <c r="BG1946" i="2"/>
  <c r="BM1946" i="2" s="1"/>
  <c r="BE1908" i="2"/>
  <c r="BL1908" i="2" s="1"/>
  <c r="AY1849" i="2"/>
  <c r="BI1849" i="2" s="1"/>
  <c r="BA1922" i="2"/>
  <c r="BJ1922" i="2" s="1"/>
  <c r="BC1970" i="2"/>
  <c r="BK1970" i="2" s="1"/>
  <c r="BC1945" i="2"/>
  <c r="BK1945" i="2" s="1"/>
  <c r="BC1947" i="2"/>
  <c r="BK1947" i="2" s="1"/>
  <c r="BC1958" i="2"/>
  <c r="BK1958" i="2" s="1"/>
  <c r="BC1969" i="2"/>
  <c r="BK1969" i="2" s="1"/>
  <c r="BC1955" i="2"/>
  <c r="BK1955" i="2" s="1"/>
  <c r="BC1935" i="2"/>
  <c r="BK1935" i="2" s="1"/>
  <c r="BC1936" i="2"/>
  <c r="BK1936" i="2" s="1"/>
  <c r="BC1928" i="2"/>
  <c r="BK1928" i="2" s="1"/>
  <c r="BC1968" i="2"/>
  <c r="BK1968" i="2" s="1"/>
  <c r="BC1964" i="2"/>
  <c r="BK1964" i="2" s="1"/>
  <c r="BC1957" i="2"/>
  <c r="BK1957" i="2" s="1"/>
  <c r="BC1948" i="2"/>
  <c r="BK1948" i="2" s="1"/>
  <c r="BC1933" i="2"/>
  <c r="BK1933" i="2" s="1"/>
  <c r="BC1931" i="2"/>
  <c r="BK1931" i="2" s="1"/>
  <c r="BC1954" i="2"/>
  <c r="BK1954" i="2" s="1"/>
  <c r="BC1956" i="2"/>
  <c r="BK1956" i="2" s="1"/>
  <c r="BC1962" i="2"/>
  <c r="BK1962" i="2" s="1"/>
  <c r="BC1927" i="2"/>
  <c r="BC1959" i="2"/>
  <c r="BK1959" i="2" s="1"/>
  <c r="BC1942" i="2"/>
  <c r="BK1942" i="2" s="1"/>
  <c r="BC1946" i="2"/>
  <c r="BK1946" i="2" s="1"/>
  <c r="BC1887" i="2"/>
  <c r="BK1887" i="2" s="1"/>
  <c r="BA1789" i="2"/>
  <c r="BJ1789" i="2" s="1"/>
  <c r="BA1787" i="2"/>
  <c r="BJ1787" i="2" s="1"/>
  <c r="BA1776" i="2"/>
  <c r="BA1778" i="2"/>
  <c r="BJ1778" i="2" s="1"/>
  <c r="BA1788" i="2"/>
  <c r="BJ1788" i="2" s="1"/>
  <c r="BA1785" i="2"/>
  <c r="BJ1785" i="2" s="1"/>
  <c r="BC1875" i="2"/>
  <c r="BK1875" i="2" s="1"/>
  <c r="BC1866" i="2"/>
  <c r="BC1870" i="2"/>
  <c r="BK1870" i="2" s="1"/>
  <c r="BC1874" i="2"/>
  <c r="BK1874" i="2" s="1"/>
  <c r="BC1878" i="2"/>
  <c r="BK1878" i="2" s="1"/>
  <c r="BC1876" i="2"/>
  <c r="BK1876" i="2" s="1"/>
  <c r="BC1873" i="2"/>
  <c r="BK1873" i="2" s="1"/>
  <c r="BC1871" i="2"/>
  <c r="BK1871" i="2" s="1"/>
  <c r="BC1868" i="2"/>
  <c r="BK1868" i="2" s="1"/>
  <c r="AY1809" i="2"/>
  <c r="BI1809" i="2" s="1"/>
  <c r="BC1805" i="2"/>
  <c r="BK1805" i="2" s="1"/>
  <c r="BE1871" i="2"/>
  <c r="BL1871" i="2" s="1"/>
  <c r="BC1934" i="2"/>
  <c r="BK1934" i="2" s="1"/>
  <c r="BC1837" i="2"/>
  <c r="BK1837" i="2" s="1"/>
  <c r="BE1868" i="2"/>
  <c r="BL1868" i="2" s="1"/>
  <c r="AY1913" i="2"/>
  <c r="BI1913" i="2" s="1"/>
  <c r="BA2001" i="2"/>
  <c r="BJ2001" i="2" s="1"/>
  <c r="BA1983" i="2"/>
  <c r="BA2007" i="2"/>
  <c r="BJ2007" i="2" s="1"/>
  <c r="BA2000" i="2"/>
  <c r="BJ2000" i="2" s="1"/>
  <c r="BA1995" i="2"/>
  <c r="BJ1995" i="2" s="1"/>
  <c r="BA1989" i="2"/>
  <c r="BJ1989" i="2" s="1"/>
  <c r="BA2010" i="2"/>
  <c r="BJ2010" i="2" s="1"/>
  <c r="BA1996" i="2"/>
  <c r="BJ1996" i="2" s="1"/>
  <c r="BA1985" i="2"/>
  <c r="BJ1985" i="2" s="1"/>
  <c r="BA2009" i="2"/>
  <c r="BJ2009" i="2" s="1"/>
  <c r="BA1987" i="2"/>
  <c r="BJ1987" i="2" s="1"/>
  <c r="BA2005" i="2"/>
  <c r="BJ2005" i="2" s="1"/>
  <c r="BA1998" i="2"/>
  <c r="BJ1998" i="2" s="1"/>
  <c r="BA1999" i="2"/>
  <c r="BJ1999" i="2" s="1"/>
  <c r="BA1997" i="2"/>
  <c r="BJ1997" i="2" s="1"/>
  <c r="BA1986" i="2"/>
  <c r="BJ1986" i="2" s="1"/>
  <c r="AY2019" i="2"/>
  <c r="BI2019" i="2" s="1"/>
  <c r="AY2022" i="2"/>
  <c r="BI2022" i="2" s="1"/>
  <c r="AY2018" i="2"/>
  <c r="AY2028" i="2"/>
  <c r="BI2028" i="2" s="1"/>
  <c r="AY2029" i="2"/>
  <c r="BI2029" i="2" s="1"/>
  <c r="AY2024" i="2"/>
  <c r="BI2024" i="2" s="1"/>
  <c r="AY2025" i="2"/>
  <c r="BI2025" i="2" s="1"/>
  <c r="AY2023" i="2"/>
  <c r="BI2023" i="2" s="1"/>
  <c r="AY2020" i="2"/>
  <c r="BI2020" i="2" s="1"/>
  <c r="AY2021" i="2"/>
  <c r="BI2021" i="2" s="1"/>
  <c r="AY2027" i="2"/>
  <c r="BI2027" i="2" s="1"/>
  <c r="BA1883" i="2"/>
  <c r="BA1884" i="2"/>
  <c r="BJ1884" i="2" s="1"/>
  <c r="BA1891" i="2"/>
  <c r="BJ1891" i="2" s="1"/>
  <c r="BA1890" i="2"/>
  <c r="BJ1890" i="2" s="1"/>
  <c r="BG1783" i="2"/>
  <c r="BM1783" i="2" s="1"/>
  <c r="BE1867" i="2"/>
  <c r="BL1867" i="2" s="1"/>
  <c r="BE1860" i="2"/>
  <c r="BL1860" i="2" s="1"/>
  <c r="BE1876" i="2"/>
  <c r="BL1876" i="2" s="1"/>
  <c r="BA1988" i="2"/>
  <c r="BJ1988" i="2" s="1"/>
  <c r="BE1833" i="2"/>
  <c r="BL1833" i="2" s="1"/>
  <c r="BA1991" i="2"/>
  <c r="BJ1991" i="2" s="1"/>
  <c r="BA1992" i="2"/>
  <c r="BJ1992" i="2" s="1"/>
  <c r="BE1879" i="2"/>
  <c r="BL1879" i="2" s="1"/>
  <c r="BE1984" i="2"/>
  <c r="BL1984" i="2" s="1"/>
  <c r="BE1942" i="2"/>
  <c r="BL1942" i="2" s="1"/>
  <c r="BC1888" i="2"/>
  <c r="BK1888" i="2" s="1"/>
  <c r="BC1909" i="2"/>
  <c r="BK1909" i="2" s="1"/>
  <c r="BE1783" i="2"/>
  <c r="BL1783" i="2" s="1"/>
  <c r="BG2011" i="2"/>
  <c r="BG2013" i="2"/>
  <c r="BM2013" i="2" s="1"/>
  <c r="BG2014" i="2"/>
  <c r="BM2014" i="2" s="1"/>
  <c r="BG2012" i="2"/>
  <c r="BM2012" i="2" s="1"/>
  <c r="BG1872" i="2"/>
  <c r="BM1872" i="2" s="1"/>
  <c r="BG1866" i="2"/>
  <c r="BG1882" i="2"/>
  <c r="BM1882" i="2" s="1"/>
  <c r="BG1881" i="2"/>
  <c r="BM1881" i="2" s="1"/>
  <c r="BG1876" i="2"/>
  <c r="BM1876" i="2" s="1"/>
  <c r="BG1867" i="2"/>
  <c r="BM1867" i="2" s="1"/>
  <c r="BG1880" i="2"/>
  <c r="BM1880" i="2" s="1"/>
  <c r="BG1879" i="2"/>
  <c r="BM1879" i="2" s="1"/>
  <c r="BG1870" i="2"/>
  <c r="BM1870" i="2" s="1"/>
  <c r="AY1945" i="2"/>
  <c r="BI1945" i="2" s="1"/>
  <c r="BE1800" i="2"/>
  <c r="BL1800" i="2" s="1"/>
  <c r="AY1999" i="2"/>
  <c r="BI1999" i="2" s="1"/>
  <c r="AY1991" i="2"/>
  <c r="BI1991" i="2" s="1"/>
  <c r="AY2006" i="2"/>
  <c r="BI2006" i="2" s="1"/>
  <c r="AY2003" i="2"/>
  <c r="BI2003" i="2" s="1"/>
  <c r="AY1986" i="2"/>
  <c r="BI1986" i="2" s="1"/>
  <c r="AY1983" i="2"/>
  <c r="AY1988" i="2"/>
  <c r="BI1988" i="2" s="1"/>
  <c r="AY1987" i="2"/>
  <c r="BI1987" i="2" s="1"/>
  <c r="AY1932" i="2"/>
  <c r="BI1932" i="2" s="1"/>
  <c r="AY1955" i="2"/>
  <c r="BI1955" i="2" s="1"/>
  <c r="BE1789" i="2"/>
  <c r="BL1789" i="2" s="1"/>
  <c r="AY1883" i="2"/>
  <c r="AY1884" i="2"/>
  <c r="BI1884" i="2" s="1"/>
  <c r="AY1888" i="2"/>
  <c r="BI1888" i="2" s="1"/>
  <c r="AY1886" i="2"/>
  <c r="BI1886" i="2" s="1"/>
  <c r="AW1780" i="2"/>
  <c r="BH1780" i="2" s="1"/>
  <c r="AW1776" i="2"/>
  <c r="AW1781" i="2"/>
  <c r="BH1781" i="2" s="1"/>
  <c r="AW1777" i="2"/>
  <c r="BH1777" i="2" s="1"/>
  <c r="AW1782" i="2"/>
  <c r="BH1782" i="2" s="1"/>
  <c r="BC1814" i="2"/>
  <c r="BK1814" i="2" s="1"/>
  <c r="BE1821" i="2"/>
  <c r="BL1821" i="2" s="1"/>
  <c r="BA1886" i="2"/>
  <c r="BJ1886" i="2" s="1"/>
  <c r="BC1893" i="2"/>
  <c r="BK1893" i="2" s="1"/>
  <c r="BG1862" i="2"/>
  <c r="BM1862" i="2" s="1"/>
  <c r="AY1864" i="2"/>
  <c r="BI1864" i="2" s="1"/>
  <c r="AY1852" i="2"/>
  <c r="BI1852" i="2" s="1"/>
  <c r="AY1840" i="2"/>
  <c r="BI1840" i="2" s="1"/>
  <c r="AY1820" i="2"/>
  <c r="BI1820" i="2" s="1"/>
  <c r="AY1810" i="2"/>
  <c r="BI1810" i="2" s="1"/>
  <c r="AY1822" i="2"/>
  <c r="BI1822" i="2" s="1"/>
  <c r="AY1805" i="2"/>
  <c r="BI1805" i="2" s="1"/>
  <c r="AY1860" i="2"/>
  <c r="BI1860" i="2" s="1"/>
  <c r="AY1851" i="2"/>
  <c r="BI1851" i="2" s="1"/>
  <c r="AY1808" i="2"/>
  <c r="BI1808" i="2" s="1"/>
  <c r="AY1850" i="2"/>
  <c r="BI1850" i="2" s="1"/>
  <c r="AY1838" i="2"/>
  <c r="BI1838" i="2" s="1"/>
  <c r="AY1862" i="2"/>
  <c r="BI1862" i="2" s="1"/>
  <c r="AY1800" i="2"/>
  <c r="BI1800" i="2" s="1"/>
  <c r="AY1799" i="2"/>
  <c r="BI1799" i="2" s="1"/>
  <c r="AY1798" i="2"/>
  <c r="AY1806" i="2"/>
  <c r="BI1806" i="2" s="1"/>
  <c r="AY1858" i="2"/>
  <c r="BI1858" i="2" s="1"/>
  <c r="AY1863" i="2"/>
  <c r="BI1863" i="2" s="1"/>
  <c r="AY1836" i="2"/>
  <c r="BI1836" i="2" s="1"/>
  <c r="AY1854" i="2"/>
  <c r="BI1854" i="2" s="1"/>
  <c r="AY1846" i="2"/>
  <c r="BI1846" i="2" s="1"/>
  <c r="AY1853" i="2"/>
  <c r="BI1853" i="2" s="1"/>
  <c r="BE1854" i="2"/>
  <c r="BL1854" i="2" s="1"/>
  <c r="BE1967" i="2"/>
  <c r="BL1967" i="2" s="1"/>
  <c r="BE1963" i="2"/>
  <c r="BL1963" i="2" s="1"/>
  <c r="BE1947" i="2"/>
  <c r="BL1947" i="2" s="1"/>
  <c r="BE1937" i="2"/>
  <c r="BL1937" i="2" s="1"/>
  <c r="BE1958" i="2"/>
  <c r="BL1958" i="2" s="1"/>
  <c r="BE1945" i="2"/>
  <c r="BL1945" i="2" s="1"/>
  <c r="BE1929" i="2"/>
  <c r="BL1929" i="2" s="1"/>
  <c r="BE1968" i="2"/>
  <c r="BL1968" i="2" s="1"/>
  <c r="BE1952" i="2"/>
  <c r="BL1952" i="2" s="1"/>
  <c r="BE1944" i="2"/>
  <c r="BL1944" i="2" s="1"/>
  <c r="BE1940" i="2"/>
  <c r="BL1940" i="2" s="1"/>
  <c r="BE1964" i="2"/>
  <c r="BL1964" i="2" s="1"/>
  <c r="BE1935" i="2"/>
  <c r="BL1935" i="2" s="1"/>
  <c r="BE1951" i="2"/>
  <c r="BL1951" i="2" s="1"/>
  <c r="BE1927" i="2"/>
  <c r="BE1943" i="2"/>
  <c r="BL1943" i="2" s="1"/>
  <c r="BE1928" i="2"/>
  <c r="BL1928" i="2" s="1"/>
  <c r="BE1969" i="2"/>
  <c r="BL1969" i="2" s="1"/>
  <c r="BE1965" i="2"/>
  <c r="BL1965" i="2" s="1"/>
  <c r="BA2008" i="2"/>
  <c r="BJ2008" i="2" s="1"/>
  <c r="BA2022" i="2"/>
  <c r="BJ2022" i="2" s="1"/>
  <c r="BG1961" i="2"/>
  <c r="BM1961" i="2" s="1"/>
  <c r="BG1955" i="2"/>
  <c r="BM1955" i="2" s="1"/>
  <c r="BG1969" i="2"/>
  <c r="BM1969" i="2" s="1"/>
  <c r="BG1950" i="2"/>
  <c r="BM1950" i="2" s="1"/>
  <c r="BG1966" i="2"/>
  <c r="BM1966" i="2" s="1"/>
  <c r="BG1962" i="2"/>
  <c r="BM1962" i="2" s="1"/>
  <c r="BG1939" i="2"/>
  <c r="BM1939" i="2" s="1"/>
  <c r="BG1954" i="2"/>
  <c r="BM1954" i="2" s="1"/>
  <c r="BG1951" i="2"/>
  <c r="BM1951" i="2" s="1"/>
  <c r="BG1943" i="2"/>
  <c r="BM1943" i="2" s="1"/>
  <c r="BG1967" i="2"/>
  <c r="BM1967" i="2" s="1"/>
  <c r="BG1965" i="2"/>
  <c r="BM1965" i="2" s="1"/>
  <c r="BG1964" i="2"/>
  <c r="BM1964" i="2" s="1"/>
  <c r="BG1927" i="2"/>
  <c r="BG1952" i="2"/>
  <c r="BM1952" i="2" s="1"/>
  <c r="BG1958" i="2"/>
  <c r="BM1958" i="2" s="1"/>
  <c r="BG1941" i="2"/>
  <c r="BM1941" i="2" s="1"/>
  <c r="BG1942" i="2"/>
  <c r="BM1942" i="2" s="1"/>
  <c r="BG1956" i="2"/>
  <c r="BM1956" i="2" s="1"/>
  <c r="BG1963" i="2"/>
  <c r="BM1963" i="2" s="1"/>
  <c r="BG1947" i="2"/>
  <c r="BM1947" i="2" s="1"/>
  <c r="AY1967" i="2"/>
  <c r="BI1967" i="2" s="1"/>
  <c r="BC1831" i="2"/>
  <c r="BK1831" i="2" s="1"/>
  <c r="BC1908" i="2"/>
  <c r="BK1908" i="2" s="1"/>
  <c r="BE1902" i="2"/>
  <c r="BL1902" i="2" s="1"/>
  <c r="BE1909" i="2"/>
  <c r="BL1909" i="2" s="1"/>
  <c r="BE1900" i="2"/>
  <c r="BL1900" i="2" s="1"/>
  <c r="BE1898" i="2"/>
  <c r="BL1898" i="2" s="1"/>
  <c r="BE1892" i="2"/>
  <c r="BE1893" i="2"/>
  <c r="BL1893" i="2" s="1"/>
  <c r="BE1896" i="2"/>
  <c r="BL1896" i="2" s="1"/>
  <c r="BG1957" i="2"/>
  <c r="BM1957" i="2" s="1"/>
  <c r="BE1820" i="2"/>
  <c r="BL1820" i="2" s="1"/>
  <c r="BC1823" i="2"/>
  <c r="BK1823" i="2" s="1"/>
  <c r="BG1937" i="2"/>
  <c r="BM1937" i="2" s="1"/>
  <c r="AY1958" i="2"/>
  <c r="BI1958" i="2" s="1"/>
  <c r="AW1894" i="2"/>
  <c r="BH1894" i="2" s="1"/>
  <c r="BG1817" i="2"/>
  <c r="BM1817" i="2" s="1"/>
  <c r="BC1861" i="2"/>
  <c r="BK1861" i="2" s="1"/>
  <c r="BC1889" i="2"/>
  <c r="BK1889" i="2" s="1"/>
  <c r="BE1931" i="2"/>
  <c r="BL1931" i="2" s="1"/>
  <c r="BA1878" i="2"/>
  <c r="BJ1878" i="2" s="1"/>
  <c r="BA1874" i="2"/>
  <c r="BJ1874" i="2" s="1"/>
  <c r="BA1867" i="2"/>
  <c r="BJ1867" i="2" s="1"/>
  <c r="BA1876" i="2"/>
  <c r="BJ1876" i="2" s="1"/>
  <c r="BA1873" i="2"/>
  <c r="BJ1873" i="2" s="1"/>
  <c r="BA1879" i="2"/>
  <c r="BJ1879" i="2" s="1"/>
  <c r="BA1866" i="2"/>
  <c r="BC1838" i="2"/>
  <c r="BK1838" i="2" s="1"/>
  <c r="AW1883" i="2"/>
  <c r="AW1884" i="2"/>
  <c r="BH1884" i="2" s="1"/>
  <c r="AW1886" i="2"/>
  <c r="BH1886" i="2" s="1"/>
  <c r="AW1887" i="2"/>
  <c r="BH1887" i="2" s="1"/>
  <c r="AY1906" i="2"/>
  <c r="BI1906" i="2" s="1"/>
  <c r="AY1935" i="2"/>
  <c r="BI1935" i="2" s="1"/>
  <c r="BA2003" i="2"/>
  <c r="BJ2003" i="2" s="1"/>
  <c r="BC1853" i="2"/>
  <c r="BK1853" i="2" s="1"/>
  <c r="AW1864" i="2"/>
  <c r="BH1864" i="2" s="1"/>
  <c r="AW1852" i="2"/>
  <c r="BH1852" i="2" s="1"/>
  <c r="AW1840" i="2"/>
  <c r="BH1840" i="2" s="1"/>
  <c r="AW1810" i="2"/>
  <c r="BH1810" i="2" s="1"/>
  <c r="AW1854" i="2"/>
  <c r="BH1854" i="2" s="1"/>
  <c r="AW1853" i="2"/>
  <c r="BH1853" i="2" s="1"/>
  <c r="AW1825" i="2"/>
  <c r="BH1825" i="2" s="1"/>
  <c r="AW1813" i="2"/>
  <c r="BH1813" i="2" s="1"/>
  <c r="AW1798" i="2"/>
  <c r="AW1836" i="2"/>
  <c r="BH1836" i="2" s="1"/>
  <c r="AW1799" i="2"/>
  <c r="BH1799" i="2" s="1"/>
  <c r="AW1842" i="2"/>
  <c r="BH1842" i="2" s="1"/>
  <c r="AW1841" i="2"/>
  <c r="BH1841" i="2" s="1"/>
  <c r="AW1860" i="2"/>
  <c r="BH1860" i="2" s="1"/>
  <c r="AW1846" i="2"/>
  <c r="BH1846" i="2" s="1"/>
  <c r="AW1814" i="2"/>
  <c r="BH1814" i="2" s="1"/>
  <c r="AW1848" i="2"/>
  <c r="BH1848" i="2" s="1"/>
  <c r="AW1838" i="2"/>
  <c r="BH1838" i="2" s="1"/>
  <c r="AW1850" i="2"/>
  <c r="BH1850" i="2" s="1"/>
  <c r="AW1812" i="2"/>
  <c r="BH1812" i="2" s="1"/>
  <c r="AW1806" i="2"/>
  <c r="BH1806" i="2" s="1"/>
  <c r="AW1811" i="2"/>
  <c r="BH1811" i="2" s="1"/>
  <c r="AW1863" i="2"/>
  <c r="BH1863" i="2" s="1"/>
  <c r="AW1858" i="2"/>
  <c r="BH1858" i="2" s="1"/>
  <c r="AW1826" i="2"/>
  <c r="BH1826" i="2" s="1"/>
  <c r="AW1822" i="2"/>
  <c r="BH1822" i="2" s="1"/>
  <c r="AW1823" i="2"/>
  <c r="BH1823" i="2" s="1"/>
  <c r="AW1824" i="2"/>
  <c r="BH1824" i="2" s="1"/>
  <c r="BG1852" i="2"/>
  <c r="BM1852" i="2" s="1"/>
  <c r="BE1830" i="2"/>
  <c r="BL1830" i="2" s="1"/>
  <c r="BE1801" i="2"/>
  <c r="BL1801" i="2" s="1"/>
  <c r="BE1840" i="2"/>
  <c r="BL1840" i="2" s="1"/>
  <c r="AY1823" i="2"/>
  <c r="BI1823" i="2" s="1"/>
  <c r="BC1826" i="2"/>
  <c r="BK1826" i="2" s="1"/>
  <c r="AW1881" i="2"/>
  <c r="BH1881" i="2" s="1"/>
  <c r="AW1871" i="2"/>
  <c r="BH1871" i="2" s="1"/>
  <c r="AW1866" i="2"/>
  <c r="AW1879" i="2"/>
  <c r="BH1879" i="2" s="1"/>
  <c r="AW1882" i="2"/>
  <c r="BH1882" i="2" s="1"/>
  <c r="AW1880" i="2"/>
  <c r="BH1880" i="2" s="1"/>
  <c r="AW1870" i="2"/>
  <c r="BH1870" i="2" s="1"/>
  <c r="AW1869" i="2"/>
  <c r="BH1869" i="2" s="1"/>
  <c r="AW1868" i="2"/>
  <c r="BH1868" i="2" s="1"/>
  <c r="BC1981" i="2"/>
  <c r="BK1981" i="2" s="1"/>
  <c r="BC1978" i="2"/>
  <c r="BK1978" i="2" s="1"/>
  <c r="BC1980" i="2"/>
  <c r="BK1980" i="2" s="1"/>
  <c r="BC1982" i="2"/>
  <c r="BK1982" i="2" s="1"/>
  <c r="BC1974" i="2"/>
  <c r="BC1979" i="2"/>
  <c r="BK1979" i="2" s="1"/>
  <c r="BE1845" i="2"/>
  <c r="BL1845" i="2" s="1"/>
  <c r="BE1808" i="2"/>
  <c r="BL1808" i="2" s="1"/>
  <c r="BA1889" i="2"/>
  <c r="BJ1889" i="2" s="1"/>
  <c r="BG1781" i="2"/>
  <c r="BM1781" i="2" s="1"/>
  <c r="BE1959" i="2"/>
  <c r="BL1959" i="2" s="1"/>
  <c r="BE1953" i="2"/>
  <c r="BL1953" i="2" s="1"/>
  <c r="BE1938" i="2"/>
  <c r="BL1938" i="2" s="1"/>
  <c r="BC1975" i="2"/>
  <c r="BK1975" i="2" s="1"/>
  <c r="AW1877" i="2"/>
  <c r="BH1877" i="2" s="1"/>
  <c r="BE1811" i="2"/>
  <c r="BL1811" i="2" s="1"/>
  <c r="BE1881" i="2"/>
  <c r="BL1881" i="2" s="1"/>
  <c r="AY1921" i="2"/>
  <c r="BI1921" i="2" s="1"/>
  <c r="BG1973" i="2"/>
  <c r="BM1973" i="2" s="1"/>
  <c r="BE1950" i="2"/>
  <c r="BL1950" i="2" s="1"/>
  <c r="BE1955" i="2"/>
  <c r="BL1955" i="2" s="1"/>
  <c r="BE1839" i="2"/>
  <c r="BL1839" i="2" s="1"/>
  <c r="AW1791" i="2"/>
  <c r="BH1791" i="2" s="1"/>
  <c r="AW1790" i="2"/>
  <c r="AW1795" i="2"/>
  <c r="BH1795" i="2" s="1"/>
  <c r="AW1792" i="2"/>
  <c r="BH1792" i="2" s="1"/>
  <c r="BE1818" i="2"/>
  <c r="BL1818" i="2" s="1"/>
  <c r="BE1815" i="2"/>
  <c r="BL1815" i="2" s="1"/>
  <c r="BC1865" i="2"/>
  <c r="BK1865" i="2" s="1"/>
  <c r="BE1865" i="2"/>
  <c r="BL1865" i="2" s="1"/>
  <c r="BG1932" i="2"/>
  <c r="BM1932" i="2" s="1"/>
  <c r="BE1806" i="2"/>
  <c r="BL1806" i="2" s="1"/>
  <c r="AY1943" i="2"/>
  <c r="BI1943" i="2" s="1"/>
  <c r="BE1981" i="2"/>
  <c r="BL1981" i="2" s="1"/>
  <c r="BE1974" i="2"/>
  <c r="BE1977" i="2"/>
  <c r="BL1977" i="2" s="1"/>
  <c r="BE1975" i="2"/>
  <c r="BL1975" i="2" s="1"/>
  <c r="BE1978" i="2"/>
  <c r="BL1978" i="2" s="1"/>
  <c r="BA1797" i="2"/>
  <c r="BJ1797" i="2" s="1"/>
  <c r="BA1794" i="2"/>
  <c r="BJ1794" i="2" s="1"/>
  <c r="BA1790" i="2"/>
  <c r="BA1795" i="2"/>
  <c r="BJ1795" i="2" s="1"/>
  <c r="BE1894" i="2"/>
  <c r="BL1894" i="2" s="1"/>
  <c r="AY2014" i="2"/>
  <c r="BI2014" i="2" s="1"/>
  <c r="AY2013" i="2"/>
  <c r="BI2013" i="2" s="1"/>
  <c r="AY2011" i="2"/>
  <c r="AY2016" i="2"/>
  <c r="BI2016" i="2" s="1"/>
  <c r="AY2012" i="2"/>
  <c r="BI2012" i="2" s="1"/>
  <c r="BE1862" i="2"/>
  <c r="BL1862" i="2" s="1"/>
  <c r="AY1912" i="2"/>
  <c r="BI1912" i="2" s="1"/>
  <c r="AW1874" i="2"/>
  <c r="BH1874" i="2" s="1"/>
  <c r="BG1779" i="2"/>
  <c r="BM1779" i="2" s="1"/>
  <c r="AY1956" i="2"/>
  <c r="BI1956" i="2" s="1"/>
  <c r="BC1906" i="2"/>
  <c r="BK1906" i="2" s="1"/>
  <c r="BE1930" i="2"/>
  <c r="BL1930" i="2" s="1"/>
  <c r="BE1822" i="2"/>
  <c r="BL1822" i="2" s="1"/>
  <c r="BC1851" i="2"/>
  <c r="BK1851" i="2" s="1"/>
  <c r="BE1864" i="2"/>
  <c r="BL1864" i="2" s="1"/>
  <c r="BC1857" i="2"/>
  <c r="BK1857" i="2" s="1"/>
  <c r="BG1785" i="2"/>
  <c r="BM1785" i="2" s="1"/>
  <c r="BG1971" i="2"/>
  <c r="BM1971" i="2" s="1"/>
  <c r="BE1961" i="2"/>
  <c r="BL1961" i="2" s="1"/>
  <c r="BA2002" i="2"/>
  <c r="BJ2002" i="2" s="1"/>
  <c r="AY1924" i="2"/>
  <c r="BI1924" i="2" s="1"/>
  <c r="BE1982" i="2"/>
  <c r="BL1982" i="2" s="1"/>
  <c r="AW1974" i="2"/>
  <c r="AW1975" i="2"/>
  <c r="BH1975" i="2" s="1"/>
  <c r="AW1976" i="2"/>
  <c r="BH1976" i="2" s="1"/>
  <c r="AW1977" i="2"/>
  <c r="BH1977" i="2" s="1"/>
  <c r="AW1980" i="2"/>
  <c r="BH1980" i="2" s="1"/>
  <c r="BE1905" i="2"/>
  <c r="BL1905" i="2" s="1"/>
  <c r="BG1991" i="2"/>
  <c r="BM1991" i="2" s="1"/>
  <c r="BG1995" i="2"/>
  <c r="BM1995" i="2" s="1"/>
  <c r="BG2004" i="2"/>
  <c r="BM2004" i="2" s="1"/>
  <c r="BG1992" i="2"/>
  <c r="BM1992" i="2" s="1"/>
  <c r="BG2003" i="2"/>
  <c r="BM2003" i="2" s="1"/>
  <c r="BG1985" i="2"/>
  <c r="BM1985" i="2" s="1"/>
  <c r="BG1983" i="2"/>
  <c r="BG2005" i="2"/>
  <c r="BM2005" i="2" s="1"/>
  <c r="BG2002" i="2"/>
  <c r="BM2002" i="2" s="1"/>
  <c r="BG2001" i="2"/>
  <c r="BM2001" i="2" s="1"/>
  <c r="BG1987" i="2"/>
  <c r="BM1987" i="2" s="1"/>
  <c r="BG2007" i="2"/>
  <c r="BM2007" i="2" s="1"/>
  <c r="BG1990" i="2"/>
  <c r="BM1990" i="2" s="1"/>
  <c r="BC1910" i="2"/>
  <c r="BC1921" i="2"/>
  <c r="BK1921" i="2" s="1"/>
  <c r="BC1919" i="2"/>
  <c r="BK1919" i="2" s="1"/>
  <c r="BC1917" i="2"/>
  <c r="BK1917" i="2" s="1"/>
  <c r="BC1925" i="2"/>
  <c r="BK1925" i="2" s="1"/>
  <c r="BC1914" i="2"/>
  <c r="BK1914" i="2" s="1"/>
  <c r="BC1926" i="2"/>
  <c r="BK1926" i="2" s="1"/>
  <c r="BC1922" i="2"/>
  <c r="BK1922" i="2" s="1"/>
  <c r="BE1956" i="2"/>
  <c r="BL1956" i="2" s="1"/>
  <c r="AY1948" i="2"/>
  <c r="BI1948" i="2" s="1"/>
  <c r="AY1894" i="2"/>
  <c r="BI1894" i="2" s="1"/>
  <c r="BG1777" i="2"/>
  <c r="BM1777" i="2" s="1"/>
  <c r="BA2024" i="2"/>
  <c r="BJ2024" i="2" s="1"/>
  <c r="AY2008" i="2"/>
  <c r="BI2008" i="2" s="1"/>
  <c r="AY1949" i="2"/>
  <c r="BI1949" i="2" s="1"/>
  <c r="BA2014" i="2"/>
  <c r="BJ2014" i="2" s="1"/>
  <c r="BA1994" i="2"/>
  <c r="BJ1994" i="2" s="1"/>
  <c r="BE1990" i="2"/>
  <c r="BL1990" i="2" s="1"/>
  <c r="BC1915" i="2"/>
  <c r="BK1915" i="2" s="1"/>
  <c r="BG2006" i="2"/>
  <c r="BM2006" i="2" s="1"/>
  <c r="BG1916" i="2"/>
  <c r="BM1916" i="2" s="1"/>
  <c r="AW2011" i="2"/>
  <c r="AW2016" i="2"/>
  <c r="BH2016" i="2" s="1"/>
  <c r="AW2012" i="2"/>
  <c r="BH2012" i="2" s="1"/>
  <c r="AW2013" i="2"/>
  <c r="BH2013" i="2" s="1"/>
  <c r="BE1971" i="2"/>
  <c r="BL1971" i="2" s="1"/>
  <c r="BE2015" i="2"/>
  <c r="BL2015" i="2" s="1"/>
  <c r="AW1993" i="2"/>
  <c r="BH1993" i="2" s="1"/>
  <c r="AW2002" i="2"/>
  <c r="BH2002" i="2" s="1"/>
  <c r="AW1983" i="2"/>
  <c r="AW2008" i="2"/>
  <c r="BH2008" i="2" s="1"/>
  <c r="AW1996" i="2"/>
  <c r="BH1996" i="2" s="1"/>
  <c r="AW2001" i="2"/>
  <c r="BH2001" i="2" s="1"/>
  <c r="AW2000" i="2"/>
  <c r="BH2000" i="2" s="1"/>
  <c r="AW2005" i="2"/>
  <c r="BH2005" i="2" s="1"/>
  <c r="AW1989" i="2"/>
  <c r="BH1989" i="2" s="1"/>
  <c r="AW1995" i="2"/>
  <c r="BH1995" i="2" s="1"/>
  <c r="AW1985" i="2"/>
  <c r="BH1985" i="2" s="1"/>
  <c r="AW1992" i="2"/>
  <c r="BH1992" i="2" s="1"/>
  <c r="BA2026" i="2"/>
  <c r="BJ2026" i="2" s="1"/>
  <c r="BE1831" i="2"/>
  <c r="BL1831" i="2" s="1"/>
  <c r="BC1976" i="2"/>
  <c r="BK1976" i="2" s="1"/>
  <c r="AW1896" i="2"/>
  <c r="BH1896" i="2" s="1"/>
  <c r="BG1984" i="2"/>
  <c r="BM1984" i="2" s="1"/>
  <c r="AY1992" i="2"/>
  <c r="BI1992" i="2" s="1"/>
  <c r="BG1926" i="2"/>
  <c r="BM1926" i="2" s="1"/>
  <c r="BC2021" i="2"/>
  <c r="BK2021" i="2" s="1"/>
  <c r="BC2029" i="2"/>
  <c r="BK2029" i="2" s="1"/>
  <c r="BC2020" i="2"/>
  <c r="BK2020" i="2" s="1"/>
  <c r="BC2018" i="2"/>
  <c r="BC2025" i="2"/>
  <c r="BK2025" i="2" s="1"/>
  <c r="AY1801" i="2"/>
  <c r="BI1801" i="2" s="1"/>
  <c r="BE1949" i="2"/>
  <c r="BL1949" i="2" s="1"/>
  <c r="AY1861" i="2"/>
  <c r="BI1861" i="2" s="1"/>
  <c r="BE1782" i="2"/>
  <c r="BL1782" i="2" s="1"/>
  <c r="AW1778" i="2"/>
  <c r="BH1778" i="2" s="1"/>
  <c r="AW1914" i="2"/>
  <c r="BH1914" i="2" s="1"/>
  <c r="BC1803" i="2"/>
  <c r="BK1803" i="2" s="1"/>
  <c r="BG2009" i="2"/>
  <c r="BM2009" i="2" s="1"/>
  <c r="AY2004" i="2"/>
  <c r="BI2004" i="2" s="1"/>
  <c r="AY1989" i="2"/>
  <c r="BI1989" i="2" s="1"/>
  <c r="BA2029" i="2"/>
  <c r="BJ2029" i="2" s="1"/>
  <c r="BE1988" i="2"/>
  <c r="BL1988" i="2" s="1"/>
  <c r="BE1986" i="2"/>
  <c r="BL1986" i="2" s="1"/>
  <c r="BA1984" i="2"/>
  <c r="BJ1984" i="2" s="1"/>
  <c r="BC1977" i="2"/>
  <c r="BK1977" i="2" s="1"/>
  <c r="AW2004" i="2"/>
  <c r="BH2004" i="2" s="1"/>
  <c r="AY1942" i="2"/>
  <c r="BI1942" i="2" s="1"/>
  <c r="BE1851" i="2"/>
  <c r="BL1851" i="2" s="1"/>
  <c r="AY1997" i="2"/>
  <c r="BI1997" i="2" s="1"/>
  <c r="AW1921" i="2"/>
  <c r="BH1921" i="2" s="1"/>
  <c r="BE1934" i="2"/>
  <c r="BL1934" i="2" s="1"/>
  <c r="AW1815" i="2"/>
  <c r="BH1815" i="2" s="1"/>
  <c r="BE1962" i="2"/>
  <c r="BL1962" i="2" s="1"/>
  <c r="BE1859" i="2"/>
  <c r="BL1859" i="2" s="1"/>
  <c r="BG1886" i="2"/>
  <c r="BM1886" i="2" s="1"/>
  <c r="BG1888" i="2"/>
  <c r="BM1888" i="2" s="1"/>
  <c r="BG1883" i="2"/>
  <c r="BG1884" i="2"/>
  <c r="BM1884" i="2" s="1"/>
  <c r="AY1970" i="2"/>
  <c r="BI1970" i="2" s="1"/>
  <c r="BG1922" i="2"/>
  <c r="BM1922" i="2" s="1"/>
  <c r="BC1849" i="2"/>
  <c r="BK1849" i="2" s="1"/>
  <c r="AW1924" i="2"/>
  <c r="BH1924" i="2" s="1"/>
  <c r="BE1849" i="2"/>
  <c r="BL1849" i="2" s="1"/>
  <c r="BG1928" i="2"/>
  <c r="BM1928" i="2" s="1"/>
  <c r="BA1968" i="2"/>
  <c r="BJ1968" i="2" s="1"/>
  <c r="BA1970" i="2"/>
  <c r="BJ1970" i="2" s="1"/>
  <c r="BA1943" i="2"/>
  <c r="BJ1943" i="2" s="1"/>
  <c r="BA1959" i="2"/>
  <c r="BJ1959" i="2" s="1"/>
  <c r="BA1955" i="2"/>
  <c r="BJ1955" i="2" s="1"/>
  <c r="BA1935" i="2"/>
  <c r="BJ1935" i="2" s="1"/>
  <c r="BA1956" i="2"/>
  <c r="BJ1956" i="2" s="1"/>
  <c r="BA1969" i="2"/>
  <c r="BJ1969" i="2" s="1"/>
  <c r="BA1962" i="2"/>
  <c r="BJ1962" i="2" s="1"/>
  <c r="BA1948" i="2"/>
  <c r="BJ1948" i="2" s="1"/>
  <c r="BA1947" i="2"/>
  <c r="BJ1947" i="2" s="1"/>
  <c r="BA1929" i="2"/>
  <c r="BJ1929" i="2" s="1"/>
  <c r="BA1927" i="2"/>
  <c r="BA1937" i="2"/>
  <c r="BJ1937" i="2" s="1"/>
  <c r="BA1966" i="2"/>
  <c r="BJ1966" i="2" s="1"/>
  <c r="BA1972" i="2"/>
  <c r="BJ1972" i="2" s="1"/>
  <c r="BA1936" i="2"/>
  <c r="BJ1936" i="2" s="1"/>
  <c r="BA1960" i="2"/>
  <c r="BJ1960" i="2" s="1"/>
  <c r="BA1934" i="2"/>
  <c r="BJ1934" i="2" s="1"/>
  <c r="BA1953" i="2"/>
  <c r="BJ1953" i="2" s="1"/>
  <c r="BA1961" i="2"/>
  <c r="BJ1961" i="2" s="1"/>
  <c r="BA1930" i="2"/>
  <c r="BJ1930" i="2" s="1"/>
  <c r="BA1938" i="2"/>
  <c r="BJ1938" i="2" s="1"/>
  <c r="BC1850" i="2"/>
  <c r="BK1850" i="2" s="1"/>
  <c r="BG1813" i="2"/>
  <c r="BM1813" i="2" s="1"/>
  <c r="AY1891" i="2"/>
  <c r="BI1891" i="2" s="1"/>
  <c r="BC1842" i="2"/>
  <c r="BK1842" i="2" s="1"/>
  <c r="BG1829" i="2"/>
  <c r="BM1829" i="2" s="1"/>
  <c r="AW1987" i="2"/>
  <c r="BH1987" i="2" s="1"/>
  <c r="AY1815" i="2"/>
  <c r="BI1815" i="2" s="1"/>
  <c r="BG1851" i="2"/>
  <c r="BM1851" i="2" s="1"/>
  <c r="AW1786" i="2"/>
  <c r="BH1786" i="2" s="1"/>
  <c r="BG1822" i="2"/>
  <c r="BM1822" i="2" s="1"/>
  <c r="BA1964" i="2"/>
  <c r="BJ1964" i="2" s="1"/>
  <c r="AW1885" i="2"/>
  <c r="BH1885" i="2" s="1"/>
  <c r="BE1778" i="2"/>
  <c r="BL1778" i="2" s="1"/>
  <c r="AW1889" i="2"/>
  <c r="BH1889" i="2" s="1"/>
  <c r="BG1945" i="2"/>
  <c r="BM1945" i="2" s="1"/>
  <c r="AW1878" i="2"/>
  <c r="BH1878" i="2" s="1"/>
  <c r="AW1875" i="2"/>
  <c r="BH1875" i="2" s="1"/>
  <c r="AW1873" i="2"/>
  <c r="BH1873" i="2" s="1"/>
  <c r="BC1950" i="2"/>
  <c r="BK1950" i="2" s="1"/>
  <c r="BG1841" i="2"/>
  <c r="BM1841" i="2" s="1"/>
  <c r="BE1941" i="2"/>
  <c r="BL1941" i="2" s="1"/>
  <c r="BA1887" i="2"/>
  <c r="BJ1887" i="2" s="1"/>
  <c r="AW1859" i="2"/>
  <c r="BH1859" i="2" s="1"/>
  <c r="AW1828" i="2"/>
  <c r="BH1828" i="2" s="1"/>
  <c r="AW1807" i="2"/>
  <c r="BH1807" i="2" s="1"/>
  <c r="BE1817" i="2"/>
  <c r="BL1817" i="2" s="1"/>
  <c r="AW1796" i="2"/>
  <c r="BH1796" i="2" s="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5" i="1"/>
  <c r="A1700" i="1"/>
  <c r="BL2030" i="1"/>
  <c r="BL2029" i="1"/>
  <c r="BL2028" i="1"/>
  <c r="BL2027" i="1"/>
  <c r="BL2026" i="1"/>
  <c r="BL2025" i="1"/>
  <c r="BL2024" i="1"/>
  <c r="BL2023" i="1"/>
  <c r="BL2022" i="1"/>
  <c r="BL2021" i="1"/>
  <c r="BL2020" i="1"/>
  <c r="BL2018" i="1"/>
  <c r="BL2017" i="1"/>
  <c r="BL2016" i="1"/>
  <c r="BL2015" i="1"/>
  <c r="BL2014" i="1"/>
  <c r="BL2013" i="1"/>
  <c r="BL2011" i="1"/>
  <c r="BL2010" i="1"/>
  <c r="BL2009" i="1"/>
  <c r="BL2008" i="1"/>
  <c r="BL2007" i="1"/>
  <c r="BL2006" i="1"/>
  <c r="BL2005" i="1"/>
  <c r="BL2004" i="1"/>
  <c r="BL2003" i="1"/>
  <c r="BL2002" i="1"/>
  <c r="BL2001" i="1"/>
  <c r="BL2000" i="1"/>
  <c r="BL1999" i="1"/>
  <c r="BL1998" i="1"/>
  <c r="BL1997" i="1"/>
  <c r="BL1996" i="1"/>
  <c r="BL1995" i="1"/>
  <c r="BL1994" i="1"/>
  <c r="BL1993" i="1"/>
  <c r="BL1992" i="1"/>
  <c r="BL1991" i="1"/>
  <c r="BL1990" i="1"/>
  <c r="BL1989" i="1"/>
  <c r="BL1988" i="1"/>
  <c r="BL1987" i="1"/>
  <c r="BL1986" i="1"/>
  <c r="BL1985" i="1"/>
  <c r="BL1983" i="1"/>
  <c r="BL1982" i="1"/>
  <c r="BL1981" i="1"/>
  <c r="BL1980" i="1"/>
  <c r="BL1979" i="1"/>
  <c r="BL1978" i="1"/>
  <c r="BL1977" i="1"/>
  <c r="BL1976" i="1"/>
  <c r="BL1974" i="1"/>
  <c r="BL1973" i="1"/>
  <c r="BL1972" i="1"/>
  <c r="BL1971" i="1"/>
  <c r="BL1970" i="1"/>
  <c r="BL1969" i="1"/>
  <c r="BL1968" i="1"/>
  <c r="BL1967" i="1"/>
  <c r="BL1966" i="1"/>
  <c r="BL1965" i="1"/>
  <c r="BL1964" i="1"/>
  <c r="BL1963" i="1"/>
  <c r="BL1962" i="1"/>
  <c r="BL1961" i="1"/>
  <c r="BL1960" i="1"/>
  <c r="BL1959" i="1"/>
  <c r="BL1958" i="1"/>
  <c r="BL1957" i="1"/>
  <c r="BL1956" i="1"/>
  <c r="BL1955" i="1"/>
  <c r="BL1954" i="1"/>
  <c r="BL1953" i="1"/>
  <c r="BL1952" i="1"/>
  <c r="BL1951" i="1"/>
  <c r="BL1950" i="1"/>
  <c r="BL1949" i="1"/>
  <c r="BL1948" i="1"/>
  <c r="BL1947" i="1"/>
  <c r="BL1946" i="1"/>
  <c r="BL1945" i="1"/>
  <c r="BL1944" i="1"/>
  <c r="BL1943" i="1"/>
  <c r="BL1942" i="1"/>
  <c r="BL1941" i="1"/>
  <c r="BL1940" i="1"/>
  <c r="BL1939" i="1"/>
  <c r="BL1938" i="1"/>
  <c r="BL1937" i="1"/>
  <c r="BL1936" i="1"/>
  <c r="BL1935" i="1"/>
  <c r="BL1934" i="1"/>
  <c r="BL1933" i="1"/>
  <c r="BL1932" i="1"/>
  <c r="BL1931" i="1"/>
  <c r="BL1930" i="1"/>
  <c r="BL1929" i="1"/>
  <c r="BL1927" i="1"/>
  <c r="BL1926" i="1"/>
  <c r="BL1925" i="1"/>
  <c r="BL1924" i="1"/>
  <c r="BL1923" i="1"/>
  <c r="BL1922" i="1"/>
  <c r="BL1921" i="1"/>
  <c r="BL1920" i="1"/>
  <c r="BL1919" i="1"/>
  <c r="BL1918" i="1"/>
  <c r="BL1917" i="1"/>
  <c r="BL1916" i="1"/>
  <c r="BL1915" i="1"/>
  <c r="BL1914" i="1"/>
  <c r="BL1913" i="1"/>
  <c r="BL1912" i="1"/>
  <c r="BL1910" i="1"/>
  <c r="BL1909" i="1"/>
  <c r="BL1908" i="1"/>
  <c r="BL1907" i="1"/>
  <c r="BL1906" i="1"/>
  <c r="BL1905" i="1"/>
  <c r="BL1904" i="1"/>
  <c r="BL1903" i="1"/>
  <c r="BL1902" i="1"/>
  <c r="BL1901" i="1"/>
  <c r="BL1899" i="1"/>
  <c r="BL1898" i="1"/>
  <c r="BL1897" i="1"/>
  <c r="BL1896" i="1"/>
  <c r="BL1895" i="1"/>
  <c r="BL1894" i="1"/>
  <c r="BL1892" i="1"/>
  <c r="BL1891" i="1"/>
  <c r="BL1890" i="1"/>
  <c r="BL1889" i="1"/>
  <c r="BL1888" i="1"/>
  <c r="BL1887" i="1"/>
  <c r="BL1886" i="1"/>
  <c r="BL1885" i="1"/>
  <c r="BL1883" i="1"/>
  <c r="BL1882" i="1"/>
  <c r="BL1881" i="1"/>
  <c r="BL1880" i="1"/>
  <c r="BL1879" i="1"/>
  <c r="BL1878" i="1"/>
  <c r="BL1877" i="1"/>
  <c r="BL1876" i="1"/>
  <c r="BL1875" i="1"/>
  <c r="BL1874" i="1"/>
  <c r="BL1873" i="1"/>
  <c r="BL1872" i="1"/>
  <c r="BL1871" i="1"/>
  <c r="BL1870" i="1"/>
  <c r="BL1869" i="1"/>
  <c r="BL1868" i="1"/>
  <c r="BL1866" i="1"/>
  <c r="BL1865" i="1"/>
  <c r="BL1864" i="1"/>
  <c r="BL1863" i="1"/>
  <c r="BL1862" i="1"/>
  <c r="BL1861" i="1"/>
  <c r="BL1860" i="1"/>
  <c r="BL1859" i="1"/>
  <c r="BL1858" i="1"/>
  <c r="BL1857" i="1"/>
  <c r="BL1856" i="1"/>
  <c r="BL1855" i="1"/>
  <c r="BL1854" i="1"/>
  <c r="BL1853" i="1"/>
  <c r="BL1852" i="1"/>
  <c r="BL1851" i="1"/>
  <c r="BL1850" i="1"/>
  <c r="BL1849" i="1"/>
  <c r="BL1848" i="1"/>
  <c r="BL1847" i="1"/>
  <c r="BL1846" i="1"/>
  <c r="BL1845" i="1"/>
  <c r="BL1844" i="1"/>
  <c r="BL1843" i="1"/>
  <c r="BL1842" i="1"/>
  <c r="BL1841" i="1"/>
  <c r="BL1840" i="1"/>
  <c r="BL1839" i="1"/>
  <c r="BL1838" i="1"/>
  <c r="BL1837" i="1"/>
  <c r="BL1836" i="1"/>
  <c r="BL1835" i="1"/>
  <c r="BL1834" i="1"/>
  <c r="BL1833" i="1"/>
  <c r="BL1832" i="1"/>
  <c r="BL1831" i="1"/>
  <c r="BL1830" i="1"/>
  <c r="BL1829" i="1"/>
  <c r="BL1828" i="1"/>
  <c r="BL1827" i="1"/>
  <c r="BL1826" i="1"/>
  <c r="BL1825" i="1"/>
  <c r="BL1824" i="1"/>
  <c r="BL1823" i="1"/>
  <c r="BL1822" i="1"/>
  <c r="BL1821" i="1"/>
  <c r="BL1820" i="1"/>
  <c r="BL1819" i="1"/>
  <c r="BL1818" i="1"/>
  <c r="BL1817" i="1"/>
  <c r="BL1816" i="1"/>
  <c r="BL1815" i="1"/>
  <c r="BL1814" i="1"/>
  <c r="BL1813" i="1"/>
  <c r="BL1812" i="1"/>
  <c r="BL1811" i="1"/>
  <c r="BL1810" i="1"/>
  <c r="BL1809" i="1"/>
  <c r="BL1808" i="1"/>
  <c r="BL1807" i="1"/>
  <c r="BL1806" i="1"/>
  <c r="BL1805" i="1"/>
  <c r="BL1804" i="1"/>
  <c r="BL1803" i="1"/>
  <c r="BL1802" i="1"/>
  <c r="BL1801" i="1"/>
  <c r="BL1800" i="1"/>
  <c r="BL1798" i="1"/>
  <c r="BL1797" i="1"/>
  <c r="BL1796" i="1"/>
  <c r="BL1795" i="1"/>
  <c r="BL1794" i="1"/>
  <c r="BL1793" i="1"/>
  <c r="BL1792" i="1"/>
  <c r="BL1779" i="1"/>
  <c r="BL1780" i="1"/>
  <c r="BL1781" i="1"/>
  <c r="BL1782" i="1"/>
  <c r="BL1783" i="1"/>
  <c r="BL1784" i="1"/>
  <c r="BL1785" i="1"/>
  <c r="BL1786" i="1"/>
  <c r="BL1787" i="1"/>
  <c r="BL1788" i="1"/>
  <c r="BL1789" i="1"/>
  <c r="BL1790" i="1"/>
  <c r="BJ1778" i="1"/>
  <c r="AX2021" i="1"/>
  <c r="AX2022" i="1"/>
  <c r="AX2023" i="1"/>
  <c r="AX2024" i="1"/>
  <c r="AX2025" i="1"/>
  <c r="AX2026" i="1"/>
  <c r="AX2027" i="1"/>
  <c r="AX2028" i="1"/>
  <c r="AX2029" i="1"/>
  <c r="AX2030" i="1"/>
  <c r="AX2014" i="1"/>
  <c r="AX2015" i="1"/>
  <c r="AX2016" i="1"/>
  <c r="AX2017" i="1"/>
  <c r="AX2018" i="1"/>
  <c r="AX2020" i="1"/>
  <c r="AX1986" i="1"/>
  <c r="AX1987" i="1"/>
  <c r="AX1988" i="1"/>
  <c r="AX1989" i="1"/>
  <c r="AX1990" i="1"/>
  <c r="AX1991" i="1"/>
  <c r="AX1992" i="1"/>
  <c r="AX1993" i="1"/>
  <c r="AX1994" i="1"/>
  <c r="AX1995" i="1"/>
  <c r="AX1996" i="1"/>
  <c r="AX1997" i="1"/>
  <c r="AX1998" i="1"/>
  <c r="AX1999" i="1"/>
  <c r="AX2000" i="1"/>
  <c r="AX2001" i="1"/>
  <c r="AX2002" i="1"/>
  <c r="AX2003" i="1"/>
  <c r="AX2004" i="1"/>
  <c r="AX2005" i="1"/>
  <c r="AX2006" i="1"/>
  <c r="AX2007" i="1"/>
  <c r="AX2008" i="1"/>
  <c r="AX2009" i="1"/>
  <c r="AX2010" i="1"/>
  <c r="AX2011" i="1"/>
  <c r="AX2013" i="1"/>
  <c r="AX1977" i="1"/>
  <c r="AX1978" i="1"/>
  <c r="AX1979" i="1"/>
  <c r="AX1980" i="1"/>
  <c r="AX1981" i="1"/>
  <c r="AX1982" i="1"/>
  <c r="AX1983" i="1"/>
  <c r="AX1985" i="1"/>
  <c r="AX1930" i="1"/>
  <c r="AX1931" i="1"/>
  <c r="AX1932" i="1"/>
  <c r="AX1933" i="1"/>
  <c r="AX1934" i="1"/>
  <c r="AX1935" i="1"/>
  <c r="AX1936" i="1"/>
  <c r="AX1937" i="1"/>
  <c r="AX1938" i="1"/>
  <c r="AX1939" i="1"/>
  <c r="AX1940" i="1"/>
  <c r="AX1941" i="1"/>
  <c r="AX1942" i="1"/>
  <c r="AX1943" i="1"/>
  <c r="AX1944" i="1"/>
  <c r="AX1945" i="1"/>
  <c r="AX1946" i="1"/>
  <c r="AX1947" i="1"/>
  <c r="AX1948" i="1"/>
  <c r="AX1949" i="1"/>
  <c r="AX1950" i="1"/>
  <c r="AX1951" i="1"/>
  <c r="AX1952" i="1"/>
  <c r="AX1953" i="1"/>
  <c r="AX1954" i="1"/>
  <c r="AX1955" i="1"/>
  <c r="AX1956" i="1"/>
  <c r="AX1957" i="1"/>
  <c r="AX1958" i="1"/>
  <c r="AX1959" i="1"/>
  <c r="AX1960" i="1"/>
  <c r="AX1961" i="1"/>
  <c r="AX1962" i="1"/>
  <c r="AX1963" i="1"/>
  <c r="AX1964" i="1"/>
  <c r="AX1965" i="1"/>
  <c r="AX1966" i="1"/>
  <c r="AX1967" i="1"/>
  <c r="AX1968" i="1"/>
  <c r="AX1969" i="1"/>
  <c r="AX1970" i="1"/>
  <c r="AX1971" i="1"/>
  <c r="AX1972" i="1"/>
  <c r="AX1973" i="1"/>
  <c r="AX1974" i="1"/>
  <c r="AX1976" i="1"/>
  <c r="AX1913" i="1"/>
  <c r="AX1914" i="1"/>
  <c r="AX1915" i="1"/>
  <c r="AX1916" i="1"/>
  <c r="AX1917" i="1"/>
  <c r="AX1918" i="1"/>
  <c r="AX1919" i="1"/>
  <c r="AX1920" i="1"/>
  <c r="AX1921" i="1"/>
  <c r="AX1922" i="1"/>
  <c r="AX1923" i="1"/>
  <c r="AX1924" i="1"/>
  <c r="AX1925" i="1"/>
  <c r="AX1926" i="1"/>
  <c r="AX1927" i="1"/>
  <c r="AX1929" i="1"/>
  <c r="AX1902" i="1"/>
  <c r="AX1903" i="1"/>
  <c r="AX1904" i="1"/>
  <c r="AX1905" i="1"/>
  <c r="AX1906" i="1"/>
  <c r="AX1907" i="1"/>
  <c r="AX1908" i="1"/>
  <c r="AX1909" i="1"/>
  <c r="AX1910" i="1"/>
  <c r="AX1912" i="1"/>
  <c r="AX1895" i="1"/>
  <c r="AX1896" i="1"/>
  <c r="AX1897" i="1"/>
  <c r="AX1898" i="1"/>
  <c r="AX1899" i="1"/>
  <c r="AX1901" i="1"/>
  <c r="AX1886" i="1"/>
  <c r="AX1887" i="1"/>
  <c r="AX1888" i="1"/>
  <c r="AX1889" i="1"/>
  <c r="AX1890" i="1"/>
  <c r="AX1891" i="1"/>
  <c r="AX1892" i="1"/>
  <c r="AX1894" i="1"/>
  <c r="AX1869" i="1"/>
  <c r="AX1870" i="1"/>
  <c r="AX1871" i="1"/>
  <c r="AX1872" i="1"/>
  <c r="AX1873" i="1"/>
  <c r="AX1874" i="1"/>
  <c r="AX1875" i="1"/>
  <c r="AX1876" i="1"/>
  <c r="AX1877" i="1"/>
  <c r="AX1878" i="1"/>
  <c r="AX1879" i="1"/>
  <c r="AX1880" i="1"/>
  <c r="AX1881" i="1"/>
  <c r="AX1882" i="1"/>
  <c r="AX1883" i="1"/>
  <c r="AX1885" i="1"/>
  <c r="AX1801" i="1"/>
  <c r="AX1802" i="1"/>
  <c r="AX1803" i="1"/>
  <c r="AX1804" i="1"/>
  <c r="AX1805" i="1"/>
  <c r="AX1806" i="1"/>
  <c r="AX1807" i="1"/>
  <c r="AX1808" i="1"/>
  <c r="AX1809" i="1"/>
  <c r="AX1810" i="1"/>
  <c r="AX1811" i="1"/>
  <c r="AX1812" i="1"/>
  <c r="AX1813" i="1"/>
  <c r="AX1814" i="1"/>
  <c r="AX1815" i="1"/>
  <c r="AX1816" i="1"/>
  <c r="AX1817" i="1"/>
  <c r="AX1818" i="1"/>
  <c r="AX1819" i="1"/>
  <c r="AX1820" i="1"/>
  <c r="AX1821" i="1"/>
  <c r="AX1822" i="1"/>
  <c r="AX1823" i="1"/>
  <c r="AX1824" i="1"/>
  <c r="AX1825" i="1"/>
  <c r="AX1826" i="1"/>
  <c r="AX1827" i="1"/>
  <c r="AX1828" i="1"/>
  <c r="AX1829" i="1"/>
  <c r="AX1830" i="1"/>
  <c r="AX1831" i="1"/>
  <c r="AX1832" i="1"/>
  <c r="AX1833" i="1"/>
  <c r="AX1834" i="1"/>
  <c r="AX1835" i="1"/>
  <c r="AX1836" i="1"/>
  <c r="AX1837" i="1"/>
  <c r="AX1838" i="1"/>
  <c r="AX1839" i="1"/>
  <c r="AX1840" i="1"/>
  <c r="AX1841" i="1"/>
  <c r="AX1842" i="1"/>
  <c r="AX1843" i="1"/>
  <c r="AX1844" i="1"/>
  <c r="AX1845" i="1"/>
  <c r="AX1846" i="1"/>
  <c r="AX1847" i="1"/>
  <c r="AX1848" i="1"/>
  <c r="AX1849" i="1"/>
  <c r="AX1850" i="1"/>
  <c r="AX1851" i="1"/>
  <c r="AX1852" i="1"/>
  <c r="AX1853" i="1"/>
  <c r="AX1854" i="1"/>
  <c r="AX1855" i="1"/>
  <c r="AX1856" i="1"/>
  <c r="AX1857" i="1"/>
  <c r="AX1858" i="1"/>
  <c r="AX1859" i="1"/>
  <c r="AX1860" i="1"/>
  <c r="AX1861" i="1"/>
  <c r="AX1862" i="1"/>
  <c r="AX1863" i="1"/>
  <c r="AX1864" i="1"/>
  <c r="AX1865" i="1"/>
  <c r="AX1866" i="1"/>
  <c r="AX1868" i="1"/>
  <c r="AX1800" i="1"/>
  <c r="AX1793" i="1"/>
  <c r="AX1794" i="1"/>
  <c r="AX1795" i="1"/>
  <c r="AX1796" i="1"/>
  <c r="AX1797" i="1"/>
  <c r="AX1798" i="1"/>
  <c r="AX1792" i="1"/>
  <c r="AX1779" i="1"/>
  <c r="AX1780" i="1"/>
  <c r="AX1781" i="1"/>
  <c r="AX1782" i="1"/>
  <c r="AX1783" i="1"/>
  <c r="AX1784" i="1"/>
  <c r="AX1785" i="1"/>
  <c r="AX1786" i="1"/>
  <c r="AX1787" i="1"/>
  <c r="AX1788" i="1"/>
  <c r="AX1789" i="1"/>
  <c r="AX1790" i="1"/>
  <c r="AW1778" i="1"/>
  <c r="BJ2011" i="1"/>
  <c r="BH2011" i="1"/>
  <c r="BF2011" i="1"/>
  <c r="BD2011" i="1"/>
  <c r="BB2009" i="1"/>
  <c r="BB2011" i="1"/>
  <c r="AS2011" i="1"/>
  <c r="AW2011" i="1"/>
  <c r="AV2011" i="1"/>
  <c r="AU2011" i="1"/>
  <c r="AT2011" i="1"/>
  <c r="AL2011" i="1"/>
  <c r="AJ1790" i="2" l="1"/>
  <c r="AE1883" i="2"/>
  <c r="Z1790" i="2"/>
  <c r="P1974" i="2"/>
  <c r="Z1983" i="2"/>
  <c r="AE1790" i="2"/>
  <c r="U1892" i="2"/>
  <c r="AE2018" i="2"/>
  <c r="Z1776" i="2"/>
  <c r="P1776" i="2"/>
  <c r="AO2019" i="1"/>
  <c r="P1866" i="2"/>
  <c r="K1899" i="2"/>
  <c r="U1899" i="2"/>
  <c r="AJ2018" i="2"/>
  <c r="AE1910" i="2"/>
  <c r="P1790" i="2"/>
  <c r="AJ1892" i="2"/>
  <c r="AJ1899" i="2"/>
  <c r="AO1867" i="1"/>
  <c r="AO1791" i="1"/>
  <c r="AO1777" i="1"/>
  <c r="AO1984" i="1"/>
  <c r="AO1911" i="1"/>
  <c r="AO1928" i="1"/>
  <c r="AO2012" i="1"/>
  <c r="AO1884" i="1"/>
  <c r="AO1799" i="1"/>
  <c r="AO1975" i="1"/>
  <c r="P1983" i="2"/>
  <c r="Z2011" i="2"/>
  <c r="U1798" i="2"/>
  <c r="AJ1974" i="2"/>
  <c r="K1866" i="2"/>
  <c r="U1776" i="2"/>
  <c r="U1910" i="2"/>
  <c r="K1974" i="2"/>
  <c r="Z1910" i="2"/>
  <c r="AB1910" i="2" s="1"/>
  <c r="AE1776" i="2"/>
  <c r="AJ1798" i="2"/>
  <c r="Z2018" i="2"/>
  <c r="K1983" i="2"/>
  <c r="P1910" i="2"/>
  <c r="K2018" i="2"/>
  <c r="P1899" i="2"/>
  <c r="AJ1910" i="2"/>
  <c r="P2011" i="2"/>
  <c r="U1927" i="2"/>
  <c r="Z1866" i="2"/>
  <c r="AE2011" i="2"/>
  <c r="Z1899" i="2"/>
  <c r="K1883" i="2"/>
  <c r="Z1927" i="2"/>
  <c r="K1892" i="2"/>
  <c r="AJ1927" i="2"/>
  <c r="Z1883" i="2"/>
  <c r="AE1798" i="2"/>
  <c r="AE1899" i="2"/>
  <c r="AJ1776" i="2"/>
  <c r="U1974" i="2"/>
  <c r="P1883" i="2"/>
  <c r="AJ2011" i="2"/>
  <c r="U1790" i="2"/>
  <c r="U2018" i="2"/>
  <c r="AJ1883" i="2"/>
  <c r="K1790" i="2"/>
  <c r="M1790" i="2" s="1"/>
  <c r="K1798" i="2"/>
  <c r="U1866" i="2"/>
  <c r="Z1892" i="2"/>
  <c r="AB1892" i="2" s="1"/>
  <c r="U1883" i="2"/>
  <c r="P2018" i="2"/>
  <c r="K1927" i="2"/>
  <c r="M1927" i="2" s="1"/>
  <c r="K1776" i="2"/>
  <c r="P1892" i="2"/>
  <c r="R1892" i="2" s="1"/>
  <c r="AE1866" i="2"/>
  <c r="K2011" i="2"/>
  <c r="AE1974" i="2"/>
  <c r="K1910" i="2"/>
  <c r="U2011" i="2"/>
  <c r="Z1798" i="2"/>
  <c r="AE1892" i="2"/>
  <c r="AE1927" i="2"/>
  <c r="AJ1866" i="2"/>
  <c r="P1798" i="2"/>
  <c r="AE1983" i="2"/>
  <c r="Z1974" i="2"/>
  <c r="AB1974" i="2" s="1"/>
  <c r="AJ1983" i="2"/>
  <c r="U1983" i="2"/>
  <c r="P1927" i="2"/>
  <c r="BL1984" i="1"/>
  <c r="BM1987" i="1" s="1"/>
  <c r="BU1987" i="1" s="1"/>
  <c r="AX1911" i="1"/>
  <c r="BL2012" i="1"/>
  <c r="BM2014" i="1" s="1"/>
  <c r="BU2014" i="1" s="1"/>
  <c r="BL1884" i="1"/>
  <c r="BM1884" i="1" s="1"/>
  <c r="BL1911" i="1"/>
  <c r="BM1921" i="1" s="1"/>
  <c r="BU1921" i="1" s="1"/>
  <c r="AX1893" i="1"/>
  <c r="BL1799" i="1"/>
  <c r="BM1860" i="1" s="1"/>
  <c r="BU1860" i="1" s="1"/>
  <c r="BL1975" i="1"/>
  <c r="BM1979" i="1" s="1"/>
  <c r="BU1979" i="1" s="1"/>
  <c r="AX2019" i="1"/>
  <c r="AX1799" i="1"/>
  <c r="BL1900" i="1"/>
  <c r="BM1905" i="1" s="1"/>
  <c r="BU1905" i="1" s="1"/>
  <c r="AX1867" i="1"/>
  <c r="AX1884" i="1"/>
  <c r="AX2012" i="1"/>
  <c r="AX1928" i="1"/>
  <c r="BL1791" i="1"/>
  <c r="BM1796" i="1" s="1"/>
  <c r="BU1796" i="1" s="1"/>
  <c r="BL1928" i="1"/>
  <c r="BM1949" i="1" s="1"/>
  <c r="BU1949" i="1" s="1"/>
  <c r="BL2019" i="1"/>
  <c r="AX1900" i="1"/>
  <c r="AX1975" i="1"/>
  <c r="AX1984" i="1"/>
  <c r="BL1867" i="1"/>
  <c r="BM1878" i="1" s="1"/>
  <c r="BU1878" i="1" s="1"/>
  <c r="BL1893" i="1"/>
  <c r="BM1895" i="1" s="1"/>
  <c r="BU1895" i="1" s="1"/>
  <c r="BL1777" i="1"/>
  <c r="AX1791" i="1"/>
  <c r="AX1777" i="1"/>
  <c r="AL1778" i="1"/>
  <c r="AL1779" i="1"/>
  <c r="AL1780" i="1"/>
  <c r="AL1781" i="1"/>
  <c r="AL1782" i="1"/>
  <c r="AL1783" i="1"/>
  <c r="AL1784" i="1"/>
  <c r="AL1785" i="1"/>
  <c r="AL1786" i="1"/>
  <c r="AL1787" i="1"/>
  <c r="AL1788" i="1"/>
  <c r="AL1789" i="1"/>
  <c r="AL1790" i="1"/>
  <c r="AL1792" i="1"/>
  <c r="AL1793" i="1"/>
  <c r="AL1794" i="1"/>
  <c r="AL1795" i="1"/>
  <c r="AL1796" i="1"/>
  <c r="AL1797" i="1"/>
  <c r="AL1798"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8" i="1"/>
  <c r="AL1869" i="1"/>
  <c r="AL1870" i="1"/>
  <c r="AL1871" i="1"/>
  <c r="AL1872" i="1"/>
  <c r="AL1873" i="1"/>
  <c r="AL1874" i="1"/>
  <c r="AL1875" i="1"/>
  <c r="AL1876" i="1"/>
  <c r="AL1877" i="1"/>
  <c r="AL1878" i="1"/>
  <c r="AL1879" i="1"/>
  <c r="AL1880" i="1"/>
  <c r="AL1881" i="1"/>
  <c r="AL1882" i="1"/>
  <c r="AL1883" i="1"/>
  <c r="AL1885" i="1"/>
  <c r="AL1886" i="1"/>
  <c r="AL1887" i="1"/>
  <c r="AL1888" i="1"/>
  <c r="AL1889" i="1"/>
  <c r="AL1890" i="1"/>
  <c r="AL1891" i="1"/>
  <c r="AL1892" i="1"/>
  <c r="AL1894" i="1"/>
  <c r="AL1895" i="1"/>
  <c r="AL1896" i="1"/>
  <c r="AL1897" i="1"/>
  <c r="AL1898" i="1"/>
  <c r="AL1899" i="1"/>
  <c r="AL1901" i="1"/>
  <c r="AL1902" i="1"/>
  <c r="AL1903" i="1"/>
  <c r="AL1904" i="1"/>
  <c r="AL1905" i="1"/>
  <c r="AL1906" i="1"/>
  <c r="AL1907" i="1"/>
  <c r="AL1908" i="1"/>
  <c r="AL1909" i="1"/>
  <c r="AL1910" i="1"/>
  <c r="AL1912" i="1"/>
  <c r="AL1913" i="1"/>
  <c r="AL1914" i="1"/>
  <c r="AL1915" i="1"/>
  <c r="AL1916" i="1"/>
  <c r="AL1917" i="1"/>
  <c r="AL1918" i="1"/>
  <c r="AL1919" i="1"/>
  <c r="AL1920" i="1"/>
  <c r="AL1921" i="1"/>
  <c r="AL1922" i="1"/>
  <c r="AL1923" i="1"/>
  <c r="AL1924" i="1"/>
  <c r="AL1925" i="1"/>
  <c r="AL1926" i="1"/>
  <c r="AL1927"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6" i="1"/>
  <c r="AL1977" i="1"/>
  <c r="AL1978" i="1"/>
  <c r="AL1979" i="1"/>
  <c r="AL1980" i="1"/>
  <c r="AL1981" i="1"/>
  <c r="AL1982" i="1"/>
  <c r="AL1983"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3" i="1"/>
  <c r="AL2014" i="1"/>
  <c r="AL2015" i="1"/>
  <c r="AL2016" i="1"/>
  <c r="AL2017" i="1"/>
  <c r="AL2018" i="1"/>
  <c r="AL2020" i="1"/>
  <c r="AL2021" i="1"/>
  <c r="AL2022" i="1"/>
  <c r="AL2023" i="1"/>
  <c r="AL2024" i="1"/>
  <c r="AL2025" i="1"/>
  <c r="AL2026" i="1"/>
  <c r="AL2027" i="1"/>
  <c r="AL2028" i="1"/>
  <c r="AL2029" i="1"/>
  <c r="AL2030" i="1"/>
  <c r="BB2020" i="1"/>
  <c r="AW2020" i="1"/>
  <c r="AV2020" i="1"/>
  <c r="AU2020" i="1"/>
  <c r="U118" i="1" a="1"/>
  <c r="U118" i="1" s="1"/>
  <c r="V118" i="1" s="1" a="1"/>
  <c r="V118" i="1" s="1"/>
  <c r="T118" i="1" a="1"/>
  <c r="T118" i="1" s="1"/>
  <c r="H2118" i="1"/>
  <c r="P2117" i="1"/>
  <c r="H2117" i="1"/>
  <c r="P2116" i="1"/>
  <c r="H2116" i="1"/>
  <c r="P2115" i="1"/>
  <c r="H2115" i="1"/>
  <c r="P2114" i="1"/>
  <c r="H2114" i="1"/>
  <c r="P2113" i="1"/>
  <c r="H2113" i="1"/>
  <c r="P2112" i="1"/>
  <c r="H2112" i="1"/>
  <c r="H2111" i="1"/>
  <c r="F2107" i="1"/>
  <c r="F2069" i="1" a="1"/>
  <c r="F2069" i="1" s="1"/>
  <c r="BJ2030" i="1"/>
  <c r="BH2030" i="1"/>
  <c r="BF2030" i="1"/>
  <c r="BD2030" i="1"/>
  <c r="BB2030" i="1"/>
  <c r="AW2030" i="1"/>
  <c r="AV2030" i="1"/>
  <c r="AU2030" i="1"/>
  <c r="AT2030" i="1"/>
  <c r="AS2030" i="1"/>
  <c r="AG2030" i="1"/>
  <c r="AB2030" i="1"/>
  <c r="W2030" i="1"/>
  <c r="R2030" i="1"/>
  <c r="M2030" i="1"/>
  <c r="BJ2029" i="1"/>
  <c r="BH2029" i="1"/>
  <c r="BF2029" i="1"/>
  <c r="BD2029" i="1"/>
  <c r="BB2029" i="1"/>
  <c r="AW2029" i="1"/>
  <c r="AV2029" i="1"/>
  <c r="AU2029" i="1"/>
  <c r="AT2029" i="1"/>
  <c r="AS2029" i="1"/>
  <c r="AG2029" i="1"/>
  <c r="AB2029" i="1"/>
  <c r="W2029" i="1"/>
  <c r="R2029" i="1"/>
  <c r="M2029" i="1"/>
  <c r="BJ2028" i="1"/>
  <c r="BH2028" i="1"/>
  <c r="BF2028" i="1"/>
  <c r="BD2028" i="1"/>
  <c r="BB2028" i="1"/>
  <c r="AW2028" i="1"/>
  <c r="AV2028" i="1"/>
  <c r="AU2028" i="1"/>
  <c r="AT2028" i="1"/>
  <c r="AS2028" i="1"/>
  <c r="AG2028" i="1"/>
  <c r="AB2028" i="1"/>
  <c r="W2028" i="1"/>
  <c r="R2028" i="1"/>
  <c r="M2028" i="1"/>
  <c r="BJ2027" i="1"/>
  <c r="BH2027" i="1"/>
  <c r="BF2027" i="1"/>
  <c r="BD2027" i="1"/>
  <c r="BB2027" i="1"/>
  <c r="AW2027" i="1"/>
  <c r="AV2027" i="1"/>
  <c r="AU2027" i="1"/>
  <c r="AT2027" i="1"/>
  <c r="AS2027" i="1"/>
  <c r="AG2027" i="1"/>
  <c r="AB2027" i="1"/>
  <c r="W2027" i="1"/>
  <c r="R2027" i="1"/>
  <c r="M2027" i="1"/>
  <c r="BJ2026" i="1"/>
  <c r="BH2026" i="1"/>
  <c r="BF2026" i="1"/>
  <c r="BD2026" i="1"/>
  <c r="BB2026" i="1"/>
  <c r="AW2026" i="1"/>
  <c r="AV2026" i="1"/>
  <c r="AU2026" i="1"/>
  <c r="AT2026" i="1"/>
  <c r="AS2026" i="1"/>
  <c r="AG2026" i="1"/>
  <c r="AB2026" i="1"/>
  <c r="W2026" i="1"/>
  <c r="R2026" i="1"/>
  <c r="M2026" i="1"/>
  <c r="BJ2025" i="1"/>
  <c r="BH2025" i="1"/>
  <c r="BF2025" i="1"/>
  <c r="BD2025" i="1"/>
  <c r="BB2025" i="1"/>
  <c r="AW2025" i="1"/>
  <c r="AV2025" i="1"/>
  <c r="AU2025" i="1"/>
  <c r="AT2025" i="1"/>
  <c r="AS2025" i="1"/>
  <c r="AG2025" i="1"/>
  <c r="AB2025" i="1"/>
  <c r="W2025" i="1"/>
  <c r="R2025" i="1"/>
  <c r="M2025" i="1"/>
  <c r="BJ2024" i="1"/>
  <c r="BH2024" i="1"/>
  <c r="BF2024" i="1"/>
  <c r="BD2024" i="1"/>
  <c r="BB2024" i="1"/>
  <c r="AW2024" i="1"/>
  <c r="AV2024" i="1"/>
  <c r="AU2024" i="1"/>
  <c r="AT2024" i="1"/>
  <c r="AS2024" i="1"/>
  <c r="AG2024" i="1"/>
  <c r="AB2024" i="1"/>
  <c r="W2024" i="1"/>
  <c r="R2024" i="1"/>
  <c r="M2024" i="1"/>
  <c r="BJ2023" i="1"/>
  <c r="BH2023" i="1"/>
  <c r="BF2023" i="1"/>
  <c r="BD2023" i="1"/>
  <c r="BB2023" i="1"/>
  <c r="AW2023" i="1"/>
  <c r="AV2023" i="1"/>
  <c r="AU2023" i="1"/>
  <c r="AT2023" i="1"/>
  <c r="AS2023" i="1"/>
  <c r="AG2023" i="1"/>
  <c r="AB2023" i="1"/>
  <c r="W2023" i="1"/>
  <c r="R2023" i="1"/>
  <c r="M2023" i="1"/>
  <c r="BJ2022" i="1"/>
  <c r="BH2022" i="1"/>
  <c r="BF2022" i="1"/>
  <c r="BD2022" i="1"/>
  <c r="BB2022" i="1"/>
  <c r="AW2022" i="1"/>
  <c r="AV2022" i="1"/>
  <c r="AU2022" i="1"/>
  <c r="AT2022" i="1"/>
  <c r="AS2022" i="1"/>
  <c r="AG2022" i="1"/>
  <c r="AB2022" i="1"/>
  <c r="W2022" i="1"/>
  <c r="R2022" i="1"/>
  <c r="M2022" i="1"/>
  <c r="BJ2021" i="1"/>
  <c r="BH2021" i="1"/>
  <c r="BF2021" i="1"/>
  <c r="BD2021" i="1"/>
  <c r="BB2021" i="1"/>
  <c r="AW2021" i="1"/>
  <c r="AV2021" i="1"/>
  <c r="AU2021" i="1"/>
  <c r="AT2021" i="1"/>
  <c r="AS2021" i="1"/>
  <c r="AG2021" i="1"/>
  <c r="AB2021" i="1"/>
  <c r="W2021" i="1"/>
  <c r="R2021" i="1"/>
  <c r="M2021" i="1"/>
  <c r="BJ2020" i="1"/>
  <c r="BH2020" i="1"/>
  <c r="BF2020" i="1"/>
  <c r="BD2020" i="1"/>
  <c r="AT2020" i="1"/>
  <c r="AS2020" i="1"/>
  <c r="AG2020" i="1"/>
  <c r="AB2020" i="1"/>
  <c r="W2020" i="1"/>
  <c r="R2020" i="1"/>
  <c r="M2020" i="1"/>
  <c r="AZ2019" i="1"/>
  <c r="BA2030" i="1" s="1"/>
  <c r="BJ2018" i="1"/>
  <c r="BH2018" i="1"/>
  <c r="BF2018" i="1"/>
  <c r="BD2018" i="1"/>
  <c r="BB2018" i="1"/>
  <c r="AW2018" i="1"/>
  <c r="AV2018" i="1"/>
  <c r="AU2018" i="1"/>
  <c r="AT2018" i="1"/>
  <c r="AS2018" i="1"/>
  <c r="AG2018" i="1"/>
  <c r="AB2018" i="1"/>
  <c r="W2018" i="1"/>
  <c r="R2018" i="1"/>
  <c r="M2018" i="1"/>
  <c r="BJ2017" i="1"/>
  <c r="BH2017" i="1"/>
  <c r="BF2017" i="1"/>
  <c r="BD2017" i="1"/>
  <c r="BB2017" i="1"/>
  <c r="AW2017" i="1"/>
  <c r="AV2017" i="1"/>
  <c r="AU2017" i="1"/>
  <c r="AT2017" i="1"/>
  <c r="AS2017" i="1"/>
  <c r="AG2017" i="1"/>
  <c r="AB2017" i="1"/>
  <c r="W2017" i="1"/>
  <c r="R2017" i="1"/>
  <c r="M2017" i="1"/>
  <c r="BJ2016" i="1"/>
  <c r="BH2016" i="1"/>
  <c r="BF2016" i="1"/>
  <c r="BD2016" i="1"/>
  <c r="BB2016" i="1"/>
  <c r="AW2016" i="1"/>
  <c r="AV2016" i="1"/>
  <c r="AU2016" i="1"/>
  <c r="AT2016" i="1"/>
  <c r="AS2016" i="1"/>
  <c r="AG2016" i="1"/>
  <c r="AB2016" i="1"/>
  <c r="W2016" i="1"/>
  <c r="R2016" i="1"/>
  <c r="M2016" i="1"/>
  <c r="BJ2015" i="1"/>
  <c r="BH2015" i="1"/>
  <c r="BF2015" i="1"/>
  <c r="BD2015" i="1"/>
  <c r="BB2015" i="1"/>
  <c r="AW2015" i="1"/>
  <c r="AV2015" i="1"/>
  <c r="AU2015" i="1"/>
  <c r="AT2015" i="1"/>
  <c r="AS2015" i="1"/>
  <c r="AG2015" i="1"/>
  <c r="AB2015" i="1"/>
  <c r="W2015" i="1"/>
  <c r="R2015" i="1"/>
  <c r="M2015" i="1"/>
  <c r="BJ2014" i="1"/>
  <c r="BH2014" i="1"/>
  <c r="BF2014" i="1"/>
  <c r="BD2014" i="1"/>
  <c r="BB2014" i="1"/>
  <c r="AW2014" i="1"/>
  <c r="AV2014" i="1"/>
  <c r="AU2014" i="1"/>
  <c r="AT2014" i="1"/>
  <c r="AS2014" i="1"/>
  <c r="AG2014" i="1"/>
  <c r="AB2014" i="1"/>
  <c r="W2014" i="1"/>
  <c r="R2014" i="1"/>
  <c r="M2014" i="1"/>
  <c r="BJ2013" i="1"/>
  <c r="BH2013" i="1"/>
  <c r="BF2013" i="1"/>
  <c r="BD2013" i="1"/>
  <c r="BB2013" i="1"/>
  <c r="AW2013" i="1"/>
  <c r="AV2013" i="1"/>
  <c r="AU2013" i="1"/>
  <c r="AT2013" i="1"/>
  <c r="AS2013" i="1"/>
  <c r="AG2013" i="1"/>
  <c r="AB2013" i="1"/>
  <c r="W2013" i="1"/>
  <c r="R2013" i="1"/>
  <c r="M2013" i="1"/>
  <c r="AZ2012" i="1"/>
  <c r="BJ2010" i="1"/>
  <c r="BH2010" i="1"/>
  <c r="BF2010" i="1"/>
  <c r="BD2010" i="1"/>
  <c r="BB2010" i="1"/>
  <c r="AW2010" i="1"/>
  <c r="AV2010" i="1"/>
  <c r="AU2010" i="1"/>
  <c r="AT2010" i="1"/>
  <c r="AS2010" i="1"/>
  <c r="AG2010" i="1"/>
  <c r="AB2010" i="1"/>
  <c r="W2010" i="1"/>
  <c r="R2010" i="1"/>
  <c r="M2010" i="1"/>
  <c r="BJ2009" i="1"/>
  <c r="BH2009" i="1"/>
  <c r="BF2009" i="1"/>
  <c r="BD2009" i="1"/>
  <c r="AW2009" i="1"/>
  <c r="AV2009" i="1"/>
  <c r="AU2009" i="1"/>
  <c r="AT2009" i="1"/>
  <c r="AS2009" i="1"/>
  <c r="AG2009" i="1"/>
  <c r="AB2009" i="1"/>
  <c r="W2009" i="1"/>
  <c r="R2009" i="1"/>
  <c r="M2009" i="1"/>
  <c r="BJ2008" i="1"/>
  <c r="BH2008" i="1"/>
  <c r="BF2008" i="1"/>
  <c r="BD2008" i="1"/>
  <c r="BB2008" i="1"/>
  <c r="AW2008" i="1"/>
  <c r="AV2008" i="1"/>
  <c r="AU2008" i="1"/>
  <c r="AT2008" i="1"/>
  <c r="AS2008" i="1"/>
  <c r="AG2008" i="1"/>
  <c r="AB2008" i="1"/>
  <c r="W2008" i="1"/>
  <c r="R2008" i="1"/>
  <c r="M2008" i="1"/>
  <c r="BJ2007" i="1"/>
  <c r="BH2007" i="1"/>
  <c r="BF2007" i="1"/>
  <c r="BD2007" i="1"/>
  <c r="BB2007" i="1"/>
  <c r="AW2007" i="1"/>
  <c r="AV2007" i="1"/>
  <c r="AU2007" i="1"/>
  <c r="AT2007" i="1"/>
  <c r="AS2007" i="1"/>
  <c r="AG2007" i="1"/>
  <c r="AB2007" i="1"/>
  <c r="W2007" i="1"/>
  <c r="R2007" i="1"/>
  <c r="M2007" i="1"/>
  <c r="BJ2006" i="1"/>
  <c r="BH2006" i="1"/>
  <c r="BF2006" i="1"/>
  <c r="BD2006" i="1"/>
  <c r="BB2006" i="1"/>
  <c r="AW2006" i="1"/>
  <c r="AV2006" i="1"/>
  <c r="AU2006" i="1"/>
  <c r="AT2006" i="1"/>
  <c r="AS2006" i="1"/>
  <c r="AG2006" i="1"/>
  <c r="AB2006" i="1"/>
  <c r="W2006" i="1"/>
  <c r="R2006" i="1"/>
  <c r="M2006" i="1"/>
  <c r="BJ2005" i="1"/>
  <c r="BH2005" i="1"/>
  <c r="BF2005" i="1"/>
  <c r="BD2005" i="1"/>
  <c r="BB2005" i="1"/>
  <c r="AW2005" i="1"/>
  <c r="AV2005" i="1"/>
  <c r="AU2005" i="1"/>
  <c r="AT2005" i="1"/>
  <c r="AS2005" i="1"/>
  <c r="AG2005" i="1"/>
  <c r="AB2005" i="1"/>
  <c r="W2005" i="1"/>
  <c r="R2005" i="1"/>
  <c r="M2005" i="1"/>
  <c r="BJ2004" i="1"/>
  <c r="BH2004" i="1"/>
  <c r="BF2004" i="1"/>
  <c r="BD2004" i="1"/>
  <c r="BB2004" i="1"/>
  <c r="AW2004" i="1"/>
  <c r="AV2004" i="1"/>
  <c r="AU2004" i="1"/>
  <c r="AT2004" i="1"/>
  <c r="AS2004" i="1"/>
  <c r="AG2004" i="1"/>
  <c r="AB2004" i="1"/>
  <c r="W2004" i="1"/>
  <c r="R2004" i="1"/>
  <c r="M2004" i="1"/>
  <c r="BJ2003" i="1"/>
  <c r="BH2003" i="1"/>
  <c r="BF2003" i="1"/>
  <c r="BD2003" i="1"/>
  <c r="BB2003" i="1"/>
  <c r="AW2003" i="1"/>
  <c r="AV2003" i="1"/>
  <c r="AU2003" i="1"/>
  <c r="AT2003" i="1"/>
  <c r="AS2003" i="1"/>
  <c r="AG2003" i="1"/>
  <c r="AB2003" i="1"/>
  <c r="W2003" i="1"/>
  <c r="R2003" i="1"/>
  <c r="M2003" i="1"/>
  <c r="BJ2002" i="1"/>
  <c r="BH2002" i="1"/>
  <c r="BF2002" i="1"/>
  <c r="BD2002" i="1"/>
  <c r="BB2002" i="1"/>
  <c r="AW2002" i="1"/>
  <c r="AV2002" i="1"/>
  <c r="AU2002" i="1"/>
  <c r="AT2002" i="1"/>
  <c r="AS2002" i="1"/>
  <c r="AG2002" i="1"/>
  <c r="AB2002" i="1"/>
  <c r="W2002" i="1"/>
  <c r="R2002" i="1"/>
  <c r="M2002" i="1"/>
  <c r="BJ2001" i="1"/>
  <c r="BH2001" i="1"/>
  <c r="BF2001" i="1"/>
  <c r="BD2001" i="1"/>
  <c r="BB2001" i="1"/>
  <c r="AW2001" i="1"/>
  <c r="AV2001" i="1"/>
  <c r="AU2001" i="1"/>
  <c r="AT2001" i="1"/>
  <c r="AS2001" i="1"/>
  <c r="AG2001" i="1"/>
  <c r="AB2001" i="1"/>
  <c r="W2001" i="1"/>
  <c r="R2001" i="1"/>
  <c r="M2001" i="1"/>
  <c r="BJ2000" i="1"/>
  <c r="BH2000" i="1"/>
  <c r="BF2000" i="1"/>
  <c r="BD2000" i="1"/>
  <c r="BB2000" i="1"/>
  <c r="AW2000" i="1"/>
  <c r="AV2000" i="1"/>
  <c r="AU2000" i="1"/>
  <c r="AT2000" i="1"/>
  <c r="AS2000" i="1"/>
  <c r="AG2000" i="1"/>
  <c r="AB2000" i="1"/>
  <c r="W2000" i="1"/>
  <c r="R2000" i="1"/>
  <c r="M2000" i="1"/>
  <c r="BJ1999" i="1"/>
  <c r="BH1999" i="1"/>
  <c r="BF1999" i="1"/>
  <c r="BD1999" i="1"/>
  <c r="BB1999" i="1"/>
  <c r="AW1999" i="1"/>
  <c r="AV1999" i="1"/>
  <c r="AU1999" i="1"/>
  <c r="AT1999" i="1"/>
  <c r="AS1999" i="1"/>
  <c r="AG1999" i="1"/>
  <c r="AB1999" i="1"/>
  <c r="W1999" i="1"/>
  <c r="R1999" i="1"/>
  <c r="M1999" i="1"/>
  <c r="BJ1998" i="1"/>
  <c r="BH1998" i="1"/>
  <c r="BF1998" i="1"/>
  <c r="BD1998" i="1"/>
  <c r="BB1998" i="1"/>
  <c r="AW1998" i="1"/>
  <c r="AV1998" i="1"/>
  <c r="AU1998" i="1"/>
  <c r="AT1998" i="1"/>
  <c r="AS1998" i="1"/>
  <c r="AG1998" i="1"/>
  <c r="AB1998" i="1"/>
  <c r="W1998" i="1"/>
  <c r="R1998" i="1"/>
  <c r="M1998" i="1"/>
  <c r="BJ1997" i="1"/>
  <c r="BH1997" i="1"/>
  <c r="BF1997" i="1"/>
  <c r="BD1997" i="1"/>
  <c r="BB1997" i="1"/>
  <c r="AW1997" i="1"/>
  <c r="AV1997" i="1"/>
  <c r="AU1997" i="1"/>
  <c r="AT1997" i="1"/>
  <c r="AS1997" i="1"/>
  <c r="AG1997" i="1"/>
  <c r="AB1997" i="1"/>
  <c r="W1997" i="1"/>
  <c r="R1997" i="1"/>
  <c r="M1997" i="1"/>
  <c r="BJ1996" i="1"/>
  <c r="BH1996" i="1"/>
  <c r="BF1996" i="1"/>
  <c r="BD1996" i="1"/>
  <c r="BB1996" i="1"/>
  <c r="AW1996" i="1"/>
  <c r="AV1996" i="1"/>
  <c r="AU1996" i="1"/>
  <c r="AT1996" i="1"/>
  <c r="AS1996" i="1"/>
  <c r="AG1996" i="1"/>
  <c r="AB1996" i="1"/>
  <c r="W1996" i="1"/>
  <c r="R1996" i="1"/>
  <c r="M1996" i="1"/>
  <c r="BJ1995" i="1"/>
  <c r="BH1995" i="1"/>
  <c r="BF1995" i="1"/>
  <c r="BD1995" i="1"/>
  <c r="BB1995" i="1"/>
  <c r="AW1995" i="1"/>
  <c r="AV1995" i="1"/>
  <c r="AU1995" i="1"/>
  <c r="AT1995" i="1"/>
  <c r="AS1995" i="1"/>
  <c r="AG1995" i="1"/>
  <c r="AB1995" i="1"/>
  <c r="W1995" i="1"/>
  <c r="R1995" i="1"/>
  <c r="M1995" i="1"/>
  <c r="BJ1994" i="1"/>
  <c r="BH1994" i="1"/>
  <c r="BF1994" i="1"/>
  <c r="BD1994" i="1"/>
  <c r="BB1994" i="1"/>
  <c r="AW1994" i="1"/>
  <c r="AV1994" i="1"/>
  <c r="AU1994" i="1"/>
  <c r="AT1994" i="1"/>
  <c r="AS1994" i="1"/>
  <c r="AG1994" i="1"/>
  <c r="AB1994" i="1"/>
  <c r="W1994" i="1"/>
  <c r="R1994" i="1"/>
  <c r="M1994" i="1"/>
  <c r="BJ1993" i="1"/>
  <c r="BH1993" i="1"/>
  <c r="BF1993" i="1"/>
  <c r="BD1993" i="1"/>
  <c r="BB1993" i="1"/>
  <c r="AW1993" i="1"/>
  <c r="AV1993" i="1"/>
  <c r="AU1993" i="1"/>
  <c r="AT1993" i="1"/>
  <c r="AS1993" i="1"/>
  <c r="AG1993" i="1"/>
  <c r="AB1993" i="1"/>
  <c r="W1993" i="1"/>
  <c r="R1993" i="1"/>
  <c r="M1993" i="1"/>
  <c r="BJ1992" i="1"/>
  <c r="BH1992" i="1"/>
  <c r="BF1992" i="1"/>
  <c r="BD1992" i="1"/>
  <c r="BB1992" i="1"/>
  <c r="AW1992" i="1"/>
  <c r="AV1992" i="1"/>
  <c r="AU1992" i="1"/>
  <c r="AT1992" i="1"/>
  <c r="AS1992" i="1"/>
  <c r="AG1992" i="1"/>
  <c r="AB1992" i="1"/>
  <c r="W1992" i="1"/>
  <c r="R1992" i="1"/>
  <c r="M1992" i="1"/>
  <c r="BJ1991" i="1"/>
  <c r="BH1991" i="1"/>
  <c r="BF1991" i="1"/>
  <c r="BD1991" i="1"/>
  <c r="BB1991" i="1"/>
  <c r="AW1991" i="1"/>
  <c r="AV1991" i="1"/>
  <c r="AU1991" i="1"/>
  <c r="AT1991" i="1"/>
  <c r="AS1991" i="1"/>
  <c r="AG1991" i="1"/>
  <c r="AB1991" i="1"/>
  <c r="W1991" i="1"/>
  <c r="R1991" i="1"/>
  <c r="M1991" i="1"/>
  <c r="BJ1990" i="1"/>
  <c r="BH1990" i="1"/>
  <c r="BF1990" i="1"/>
  <c r="BD1990" i="1"/>
  <c r="BB1990" i="1"/>
  <c r="AW1990" i="1"/>
  <c r="AV1990" i="1"/>
  <c r="AU1990" i="1"/>
  <c r="AT1990" i="1"/>
  <c r="AS1990" i="1"/>
  <c r="AG1990" i="1"/>
  <c r="AB1990" i="1"/>
  <c r="W1990" i="1"/>
  <c r="R1990" i="1"/>
  <c r="M1990" i="1"/>
  <c r="BJ1989" i="1"/>
  <c r="BH1989" i="1"/>
  <c r="BF1989" i="1"/>
  <c r="BD1989" i="1"/>
  <c r="BB1989" i="1"/>
  <c r="AW1989" i="1"/>
  <c r="AV1989" i="1"/>
  <c r="AU1989" i="1"/>
  <c r="AT1989" i="1"/>
  <c r="AS1989" i="1"/>
  <c r="AG1989" i="1"/>
  <c r="AB1989" i="1"/>
  <c r="W1989" i="1"/>
  <c r="R1989" i="1"/>
  <c r="M1989" i="1"/>
  <c r="BJ1988" i="1"/>
  <c r="BH1988" i="1"/>
  <c r="BF1988" i="1"/>
  <c r="BD1988" i="1"/>
  <c r="BB1988" i="1"/>
  <c r="AW1988" i="1"/>
  <c r="AV1988" i="1"/>
  <c r="AU1988" i="1"/>
  <c r="AT1988" i="1"/>
  <c r="AS1988" i="1"/>
  <c r="AG1988" i="1"/>
  <c r="AB1988" i="1"/>
  <c r="W1988" i="1"/>
  <c r="R1988" i="1"/>
  <c r="M1988" i="1"/>
  <c r="BJ1987" i="1"/>
  <c r="BH1987" i="1"/>
  <c r="BF1987" i="1"/>
  <c r="BD1987" i="1"/>
  <c r="BB1987" i="1"/>
  <c r="AW1987" i="1"/>
  <c r="AV1987" i="1"/>
  <c r="AU1987" i="1"/>
  <c r="AT1987" i="1"/>
  <c r="AS1987" i="1"/>
  <c r="AG1987" i="1"/>
  <c r="AB1987" i="1"/>
  <c r="W1987" i="1"/>
  <c r="R1987" i="1"/>
  <c r="M1987" i="1"/>
  <c r="BJ1986" i="1"/>
  <c r="BH1986" i="1"/>
  <c r="BF1986" i="1"/>
  <c r="BD1986" i="1"/>
  <c r="BB1986" i="1"/>
  <c r="AW1986" i="1"/>
  <c r="AV1986" i="1"/>
  <c r="AU1986" i="1"/>
  <c r="AT1986" i="1"/>
  <c r="AS1986" i="1"/>
  <c r="AG1986" i="1"/>
  <c r="AB1986" i="1"/>
  <c r="W1986" i="1"/>
  <c r="R1986" i="1"/>
  <c r="M1986" i="1"/>
  <c r="BJ1985" i="1"/>
  <c r="BH1985" i="1"/>
  <c r="BF1985" i="1"/>
  <c r="BD1985" i="1"/>
  <c r="BB1985" i="1"/>
  <c r="AW1985" i="1"/>
  <c r="AV1985" i="1"/>
  <c r="AU1985" i="1"/>
  <c r="AT1985" i="1"/>
  <c r="AS1985" i="1"/>
  <c r="AG1985" i="1"/>
  <c r="AB1985" i="1"/>
  <c r="W1985" i="1"/>
  <c r="R1985" i="1"/>
  <c r="M1985" i="1"/>
  <c r="AZ1984" i="1"/>
  <c r="AR1984" i="1"/>
  <c r="BJ1983" i="1"/>
  <c r="BH1983" i="1"/>
  <c r="BF1983" i="1"/>
  <c r="BD1983" i="1"/>
  <c r="BB1983" i="1"/>
  <c r="AW1983" i="1"/>
  <c r="AU1983" i="1"/>
  <c r="AT1983" i="1"/>
  <c r="AS1983" i="1"/>
  <c r="AG1983" i="1"/>
  <c r="AB1983" i="1"/>
  <c r="W1983" i="1"/>
  <c r="R1983" i="1"/>
  <c r="M1983" i="1"/>
  <c r="BJ1982" i="1"/>
  <c r="BH1982" i="1"/>
  <c r="BF1982" i="1"/>
  <c r="BD1982" i="1"/>
  <c r="BB1982" i="1"/>
  <c r="AW1982" i="1"/>
  <c r="AV1982" i="1"/>
  <c r="AU1982" i="1"/>
  <c r="AT1982" i="1"/>
  <c r="AS1982" i="1"/>
  <c r="AG1982" i="1"/>
  <c r="AB1982" i="1"/>
  <c r="W1982" i="1"/>
  <c r="R1982" i="1"/>
  <c r="M1982" i="1"/>
  <c r="BJ1981" i="1"/>
  <c r="BH1981" i="1"/>
  <c r="BF1981" i="1"/>
  <c r="BD1981" i="1"/>
  <c r="BB1981" i="1"/>
  <c r="AW1981" i="1"/>
  <c r="AV1981" i="1"/>
  <c r="AU1981" i="1"/>
  <c r="AT1981" i="1"/>
  <c r="AS1981" i="1"/>
  <c r="AG1981" i="1"/>
  <c r="AB1981" i="1"/>
  <c r="W1981" i="1"/>
  <c r="R1981" i="1"/>
  <c r="M1981" i="1"/>
  <c r="BJ1980" i="1"/>
  <c r="BH1980" i="1"/>
  <c r="BF1980" i="1"/>
  <c r="BD1980" i="1"/>
  <c r="BB1980" i="1"/>
  <c r="AW1980" i="1"/>
  <c r="AU1980" i="1"/>
  <c r="AT1980" i="1"/>
  <c r="AS1980" i="1"/>
  <c r="AG1980" i="1"/>
  <c r="AB1980" i="1"/>
  <c r="W1980" i="1"/>
  <c r="R1980" i="1"/>
  <c r="M1980" i="1"/>
  <c r="BJ1979" i="1"/>
  <c r="BH1979" i="1"/>
  <c r="BF1979" i="1"/>
  <c r="BD1979" i="1"/>
  <c r="BB1979" i="1"/>
  <c r="AW1979" i="1"/>
  <c r="AV1979" i="1"/>
  <c r="AU1979" i="1"/>
  <c r="AT1979" i="1"/>
  <c r="AS1979" i="1"/>
  <c r="AG1979" i="1"/>
  <c r="AB1979" i="1"/>
  <c r="W1979" i="1"/>
  <c r="R1979" i="1"/>
  <c r="M1979" i="1"/>
  <c r="BJ1978" i="1"/>
  <c r="BH1978" i="1"/>
  <c r="BF1978" i="1"/>
  <c r="BD1978" i="1"/>
  <c r="BB1978" i="1"/>
  <c r="AW1978" i="1"/>
  <c r="AU1978" i="1"/>
  <c r="AT1978" i="1"/>
  <c r="AS1978" i="1"/>
  <c r="AG1978" i="1"/>
  <c r="AB1978" i="1"/>
  <c r="W1978" i="1"/>
  <c r="R1978" i="1"/>
  <c r="M1978" i="1"/>
  <c r="BJ1977" i="1"/>
  <c r="BH1977" i="1"/>
  <c r="BF1977" i="1"/>
  <c r="BD1977" i="1"/>
  <c r="BB1977" i="1"/>
  <c r="AW1977" i="1"/>
  <c r="AV1977" i="1"/>
  <c r="AU1977" i="1"/>
  <c r="AT1977" i="1"/>
  <c r="AS1977" i="1"/>
  <c r="AG1977" i="1"/>
  <c r="AB1977" i="1"/>
  <c r="W1977" i="1"/>
  <c r="R1977" i="1"/>
  <c r="M1977" i="1"/>
  <c r="BJ1976" i="1"/>
  <c r="BH1976" i="1"/>
  <c r="BF1976" i="1"/>
  <c r="BD1976" i="1"/>
  <c r="BB1976" i="1"/>
  <c r="AW1976" i="1"/>
  <c r="AV1976" i="1"/>
  <c r="AU1976" i="1"/>
  <c r="AT1976" i="1"/>
  <c r="AS1976" i="1"/>
  <c r="AG1976" i="1"/>
  <c r="AB1976" i="1"/>
  <c r="W1976" i="1"/>
  <c r="R1976" i="1"/>
  <c r="M1976" i="1"/>
  <c r="AZ1975" i="1"/>
  <c r="AR1975" i="1"/>
  <c r="BJ1974" i="1"/>
  <c r="BH1974" i="1"/>
  <c r="BF1974" i="1"/>
  <c r="BD1974" i="1"/>
  <c r="BB1974" i="1"/>
  <c r="AW1974" i="1"/>
  <c r="AV1974" i="1"/>
  <c r="AU1974" i="1"/>
  <c r="AT1974" i="1"/>
  <c r="AS1974" i="1"/>
  <c r="AG1974" i="1"/>
  <c r="AB1974" i="1"/>
  <c r="W1974" i="1"/>
  <c r="R1974" i="1"/>
  <c r="M1974" i="1"/>
  <c r="BJ1973" i="1"/>
  <c r="BH1973" i="1"/>
  <c r="BF1973" i="1"/>
  <c r="BD1973" i="1"/>
  <c r="BB1973" i="1"/>
  <c r="AW1973" i="1"/>
  <c r="AV1973" i="1"/>
  <c r="AU1973" i="1"/>
  <c r="AT1973" i="1"/>
  <c r="AS1973" i="1"/>
  <c r="AG1973" i="1"/>
  <c r="AB1973" i="1"/>
  <c r="W1973" i="1"/>
  <c r="R1973" i="1"/>
  <c r="M1973" i="1"/>
  <c r="BJ1972" i="1"/>
  <c r="BH1972" i="1"/>
  <c r="BF1972" i="1"/>
  <c r="BD1972" i="1"/>
  <c r="BB1972" i="1"/>
  <c r="AW1972" i="1"/>
  <c r="AV1972" i="1"/>
  <c r="AU1972" i="1"/>
  <c r="AT1972" i="1"/>
  <c r="AS1972" i="1"/>
  <c r="AG1972" i="1"/>
  <c r="AB1972" i="1"/>
  <c r="W1972" i="1"/>
  <c r="R1972" i="1"/>
  <c r="M1972" i="1"/>
  <c r="BJ1971" i="1"/>
  <c r="BH1971" i="1"/>
  <c r="BF1971" i="1"/>
  <c r="BD1971" i="1"/>
  <c r="BB1971" i="1"/>
  <c r="AW1971" i="1"/>
  <c r="AV1971" i="1"/>
  <c r="AU1971" i="1"/>
  <c r="AT1971" i="1"/>
  <c r="AS1971" i="1"/>
  <c r="AG1971" i="1"/>
  <c r="AB1971" i="1"/>
  <c r="W1971" i="1"/>
  <c r="R1971" i="1"/>
  <c r="M1971" i="1"/>
  <c r="BJ1970" i="1"/>
  <c r="BH1970" i="1"/>
  <c r="BF1970" i="1"/>
  <c r="BD1970" i="1"/>
  <c r="BB1970" i="1"/>
  <c r="AW1970" i="1"/>
  <c r="AV1970" i="1"/>
  <c r="AU1970" i="1"/>
  <c r="AT1970" i="1"/>
  <c r="AS1970" i="1"/>
  <c r="AG1970" i="1"/>
  <c r="AB1970" i="1"/>
  <c r="W1970" i="1"/>
  <c r="R1970" i="1"/>
  <c r="M1970" i="1"/>
  <c r="BJ1969" i="1"/>
  <c r="BH1969" i="1"/>
  <c r="BF1969" i="1"/>
  <c r="BD1969" i="1"/>
  <c r="BB1969" i="1"/>
  <c r="AW1969" i="1"/>
  <c r="AV1969" i="1"/>
  <c r="AU1969" i="1"/>
  <c r="AT1969" i="1"/>
  <c r="AS1969" i="1"/>
  <c r="AG1969" i="1"/>
  <c r="AB1969" i="1"/>
  <c r="W1969" i="1"/>
  <c r="R1969" i="1"/>
  <c r="M1969" i="1"/>
  <c r="BJ1968" i="1"/>
  <c r="BH1968" i="1"/>
  <c r="BF1968" i="1"/>
  <c r="BD1968" i="1"/>
  <c r="BB1968" i="1"/>
  <c r="AW1968" i="1"/>
  <c r="AV1968" i="1"/>
  <c r="AU1968" i="1"/>
  <c r="AT1968" i="1"/>
  <c r="AS1968" i="1"/>
  <c r="AG1968" i="1"/>
  <c r="AB1968" i="1"/>
  <c r="W1968" i="1"/>
  <c r="R1968" i="1"/>
  <c r="M1968" i="1"/>
  <c r="BJ1967" i="1"/>
  <c r="BH1967" i="1"/>
  <c r="BF1967" i="1"/>
  <c r="BD1967" i="1"/>
  <c r="BB1967" i="1"/>
  <c r="AW1967" i="1"/>
  <c r="AV1967" i="1"/>
  <c r="AU1967" i="1"/>
  <c r="AT1967" i="1"/>
  <c r="AS1967" i="1"/>
  <c r="AG1967" i="1"/>
  <c r="AB1967" i="1"/>
  <c r="W1967" i="1"/>
  <c r="R1967" i="1"/>
  <c r="M1967" i="1"/>
  <c r="BJ1966" i="1"/>
  <c r="BH1966" i="1"/>
  <c r="BF1966" i="1"/>
  <c r="BD1966" i="1"/>
  <c r="BB1966" i="1"/>
  <c r="AW1966" i="1"/>
  <c r="AV1966" i="1"/>
  <c r="AU1966" i="1"/>
  <c r="AT1966" i="1"/>
  <c r="AS1966" i="1"/>
  <c r="AG1966" i="1"/>
  <c r="AB1966" i="1"/>
  <c r="W1966" i="1"/>
  <c r="R1966" i="1"/>
  <c r="M1966" i="1"/>
  <c r="BJ1965" i="1"/>
  <c r="BH1965" i="1"/>
  <c r="BF1965" i="1"/>
  <c r="BD1965" i="1"/>
  <c r="BB1965" i="1"/>
  <c r="AW1965" i="1"/>
  <c r="AV1965" i="1"/>
  <c r="AU1965" i="1"/>
  <c r="AT1965" i="1"/>
  <c r="AS1965" i="1"/>
  <c r="AG1965" i="1"/>
  <c r="AB1965" i="1"/>
  <c r="W1965" i="1"/>
  <c r="R1965" i="1"/>
  <c r="M1965" i="1"/>
  <c r="BJ1964" i="1"/>
  <c r="BH1964" i="1"/>
  <c r="BF1964" i="1"/>
  <c r="BD1964" i="1"/>
  <c r="BB1964" i="1"/>
  <c r="AW1964" i="1"/>
  <c r="AV1964" i="1"/>
  <c r="AU1964" i="1"/>
  <c r="AT1964" i="1"/>
  <c r="AS1964" i="1"/>
  <c r="AG1964" i="1"/>
  <c r="AB1964" i="1"/>
  <c r="W1964" i="1"/>
  <c r="R1964" i="1"/>
  <c r="M1964" i="1"/>
  <c r="BJ1963" i="1"/>
  <c r="BH1963" i="1"/>
  <c r="BF1963" i="1"/>
  <c r="BD1963" i="1"/>
  <c r="BB1963" i="1"/>
  <c r="AW1963" i="1"/>
  <c r="AV1963" i="1"/>
  <c r="AU1963" i="1"/>
  <c r="AT1963" i="1"/>
  <c r="AS1963" i="1"/>
  <c r="AG1963" i="1"/>
  <c r="AB1963" i="1"/>
  <c r="W1963" i="1"/>
  <c r="R1963" i="1"/>
  <c r="M1963" i="1"/>
  <c r="BJ1962" i="1"/>
  <c r="BH1962" i="1"/>
  <c r="BF1962" i="1"/>
  <c r="BD1962" i="1"/>
  <c r="BB1962" i="1"/>
  <c r="AW1962" i="1"/>
  <c r="AV1962" i="1"/>
  <c r="AU1962" i="1"/>
  <c r="AT1962" i="1"/>
  <c r="AS1962" i="1"/>
  <c r="AG1962" i="1"/>
  <c r="AB1962" i="1"/>
  <c r="W1962" i="1"/>
  <c r="R1962" i="1"/>
  <c r="M1962" i="1"/>
  <c r="BJ1961" i="1"/>
  <c r="BH1961" i="1"/>
  <c r="BF1961" i="1"/>
  <c r="BD1961" i="1"/>
  <c r="BB1961" i="1"/>
  <c r="AW1961" i="1"/>
  <c r="AV1961" i="1"/>
  <c r="AU1961" i="1"/>
  <c r="AT1961" i="1"/>
  <c r="AS1961" i="1"/>
  <c r="AG1961" i="1"/>
  <c r="AB1961" i="1"/>
  <c r="W1961" i="1"/>
  <c r="R1961" i="1"/>
  <c r="M1961" i="1"/>
  <c r="BJ1960" i="1"/>
  <c r="BH1960" i="1"/>
  <c r="BF1960" i="1"/>
  <c r="BD1960" i="1"/>
  <c r="BB1960" i="1"/>
  <c r="AW1960" i="1"/>
  <c r="AV1960" i="1"/>
  <c r="AU1960" i="1"/>
  <c r="AT1960" i="1"/>
  <c r="AS1960" i="1"/>
  <c r="AG1960" i="1"/>
  <c r="AB1960" i="1"/>
  <c r="W1960" i="1"/>
  <c r="R1960" i="1"/>
  <c r="M1960" i="1"/>
  <c r="BJ1959" i="1"/>
  <c r="BH1959" i="1"/>
  <c r="BF1959" i="1"/>
  <c r="BD1959" i="1"/>
  <c r="BB1959" i="1"/>
  <c r="AW1959" i="1"/>
  <c r="AV1959" i="1"/>
  <c r="AU1959" i="1"/>
  <c r="AT1959" i="1"/>
  <c r="AS1959" i="1"/>
  <c r="AG1959" i="1"/>
  <c r="AB1959" i="1"/>
  <c r="W1959" i="1"/>
  <c r="R1959" i="1"/>
  <c r="M1959" i="1"/>
  <c r="BJ1958" i="1"/>
  <c r="BH1958" i="1"/>
  <c r="BF1958" i="1"/>
  <c r="BD1958" i="1"/>
  <c r="BB1958" i="1"/>
  <c r="AW1958" i="1"/>
  <c r="AV1958" i="1"/>
  <c r="AU1958" i="1"/>
  <c r="AT1958" i="1"/>
  <c r="AS1958" i="1"/>
  <c r="AG1958" i="1"/>
  <c r="AB1958" i="1"/>
  <c r="W1958" i="1"/>
  <c r="R1958" i="1"/>
  <c r="M1958" i="1"/>
  <c r="BJ1957" i="1"/>
  <c r="BH1957" i="1"/>
  <c r="BF1957" i="1"/>
  <c r="BD1957" i="1"/>
  <c r="BB1957" i="1"/>
  <c r="AW1957" i="1"/>
  <c r="AV1957" i="1"/>
  <c r="AU1957" i="1"/>
  <c r="AT1957" i="1"/>
  <c r="AS1957" i="1"/>
  <c r="AG1957" i="1"/>
  <c r="AB1957" i="1"/>
  <c r="W1957" i="1"/>
  <c r="R1957" i="1"/>
  <c r="M1957" i="1"/>
  <c r="BJ1956" i="1"/>
  <c r="BH1956" i="1"/>
  <c r="BF1956" i="1"/>
  <c r="BD1956" i="1"/>
  <c r="BB1956" i="1"/>
  <c r="AW1956" i="1"/>
  <c r="AV1956" i="1"/>
  <c r="AU1956" i="1"/>
  <c r="AT1956" i="1"/>
  <c r="AS1956" i="1"/>
  <c r="AG1956" i="1"/>
  <c r="AB1956" i="1"/>
  <c r="W1956" i="1"/>
  <c r="R1956" i="1"/>
  <c r="M1956" i="1"/>
  <c r="BJ1955" i="1"/>
  <c r="BH1955" i="1"/>
  <c r="BF1955" i="1"/>
  <c r="BD1955" i="1"/>
  <c r="BB1955" i="1"/>
  <c r="AW1955" i="1"/>
  <c r="AV1955" i="1"/>
  <c r="AU1955" i="1"/>
  <c r="AT1955" i="1"/>
  <c r="AS1955" i="1"/>
  <c r="AG1955" i="1"/>
  <c r="AB1955" i="1"/>
  <c r="W1955" i="1"/>
  <c r="R1955" i="1"/>
  <c r="M1955" i="1"/>
  <c r="BJ1954" i="1"/>
  <c r="BH1954" i="1"/>
  <c r="BF1954" i="1"/>
  <c r="BD1954" i="1"/>
  <c r="BB1954" i="1"/>
  <c r="AW1954" i="1"/>
  <c r="AV1954" i="1"/>
  <c r="AU1954" i="1"/>
  <c r="AT1954" i="1"/>
  <c r="AS1954" i="1"/>
  <c r="AG1954" i="1"/>
  <c r="AB1954" i="1"/>
  <c r="W1954" i="1"/>
  <c r="R1954" i="1"/>
  <c r="M1954" i="1"/>
  <c r="BJ1953" i="1"/>
  <c r="BH1953" i="1"/>
  <c r="BF1953" i="1"/>
  <c r="BD1953" i="1"/>
  <c r="BB1953" i="1"/>
  <c r="AW1953" i="1"/>
  <c r="AV1953" i="1"/>
  <c r="AU1953" i="1"/>
  <c r="AT1953" i="1"/>
  <c r="AS1953" i="1"/>
  <c r="AG1953" i="1"/>
  <c r="AB1953" i="1"/>
  <c r="W1953" i="1"/>
  <c r="R1953" i="1"/>
  <c r="M1953" i="1"/>
  <c r="BJ1952" i="1"/>
  <c r="BH1952" i="1"/>
  <c r="BF1952" i="1"/>
  <c r="BD1952" i="1"/>
  <c r="BB1952" i="1"/>
  <c r="AW1952" i="1"/>
  <c r="AV1952" i="1"/>
  <c r="AU1952" i="1"/>
  <c r="AT1952" i="1"/>
  <c r="AS1952" i="1"/>
  <c r="AG1952" i="1"/>
  <c r="AB1952" i="1"/>
  <c r="W1952" i="1"/>
  <c r="R1952" i="1"/>
  <c r="M1952" i="1"/>
  <c r="BJ1951" i="1"/>
  <c r="BH1951" i="1"/>
  <c r="BF1951" i="1"/>
  <c r="BD1951" i="1"/>
  <c r="BB1951" i="1"/>
  <c r="AW1951" i="1"/>
  <c r="AV1951" i="1"/>
  <c r="AU1951" i="1"/>
  <c r="AT1951" i="1"/>
  <c r="AS1951" i="1"/>
  <c r="AG1951" i="1"/>
  <c r="AB1951" i="1"/>
  <c r="W1951" i="1"/>
  <c r="R1951" i="1"/>
  <c r="M1951" i="1"/>
  <c r="BJ1950" i="1"/>
  <c r="BH1950" i="1"/>
  <c r="BF1950" i="1"/>
  <c r="BD1950" i="1"/>
  <c r="BB1950" i="1"/>
  <c r="AW1950" i="1"/>
  <c r="AV1950" i="1"/>
  <c r="AU1950" i="1"/>
  <c r="AT1950" i="1"/>
  <c r="AS1950" i="1"/>
  <c r="AG1950" i="1"/>
  <c r="AB1950" i="1"/>
  <c r="W1950" i="1"/>
  <c r="R1950" i="1"/>
  <c r="M1950" i="1"/>
  <c r="BJ1949" i="1"/>
  <c r="BH1949" i="1"/>
  <c r="BF1949" i="1"/>
  <c r="BD1949" i="1"/>
  <c r="BB1949" i="1"/>
  <c r="AW1949" i="1"/>
  <c r="AV1949" i="1"/>
  <c r="AU1949" i="1"/>
  <c r="AT1949" i="1"/>
  <c r="AS1949" i="1"/>
  <c r="AG1949" i="1"/>
  <c r="AB1949" i="1"/>
  <c r="W1949" i="1"/>
  <c r="R1949" i="1"/>
  <c r="M1949" i="1"/>
  <c r="BJ1948" i="1"/>
  <c r="BH1948" i="1"/>
  <c r="BF1948" i="1"/>
  <c r="BD1948" i="1"/>
  <c r="BB1948" i="1"/>
  <c r="AW1948" i="1"/>
  <c r="AV1948" i="1"/>
  <c r="AU1948" i="1"/>
  <c r="AT1948" i="1"/>
  <c r="AS1948" i="1"/>
  <c r="AG1948" i="1"/>
  <c r="AB1948" i="1"/>
  <c r="W1948" i="1"/>
  <c r="R1948" i="1"/>
  <c r="M1948" i="1"/>
  <c r="BJ1947" i="1"/>
  <c r="BH1947" i="1"/>
  <c r="BF1947" i="1"/>
  <c r="BD1947" i="1"/>
  <c r="BB1947" i="1"/>
  <c r="AW1947" i="1"/>
  <c r="AV1947" i="1"/>
  <c r="AU1947" i="1"/>
  <c r="AT1947" i="1"/>
  <c r="AS1947" i="1"/>
  <c r="AG1947" i="1"/>
  <c r="AB1947" i="1"/>
  <c r="W1947" i="1"/>
  <c r="R1947" i="1"/>
  <c r="M1947" i="1"/>
  <c r="BJ1946" i="1"/>
  <c r="BH1946" i="1"/>
  <c r="BF1946" i="1"/>
  <c r="BD1946" i="1"/>
  <c r="BB1946" i="1"/>
  <c r="AW1946" i="1"/>
  <c r="AV1946" i="1"/>
  <c r="AU1946" i="1"/>
  <c r="AT1946" i="1"/>
  <c r="AS1946" i="1"/>
  <c r="AG1946" i="1"/>
  <c r="AB1946" i="1"/>
  <c r="W1946" i="1"/>
  <c r="R1946" i="1"/>
  <c r="M1946" i="1"/>
  <c r="BJ1945" i="1"/>
  <c r="BH1945" i="1"/>
  <c r="BF1945" i="1"/>
  <c r="BD1945" i="1"/>
  <c r="BB1945" i="1"/>
  <c r="AW1945" i="1"/>
  <c r="AV1945" i="1"/>
  <c r="AU1945" i="1"/>
  <c r="AT1945" i="1"/>
  <c r="AS1945" i="1"/>
  <c r="AG1945" i="1"/>
  <c r="AB1945" i="1"/>
  <c r="W1945" i="1"/>
  <c r="R1945" i="1"/>
  <c r="M1945" i="1"/>
  <c r="BJ1944" i="1"/>
  <c r="BH1944" i="1"/>
  <c r="BF1944" i="1"/>
  <c r="BD1944" i="1"/>
  <c r="BB1944" i="1"/>
  <c r="AW1944" i="1"/>
  <c r="AV1944" i="1"/>
  <c r="AU1944" i="1"/>
  <c r="AT1944" i="1"/>
  <c r="AS1944" i="1"/>
  <c r="AG1944" i="1"/>
  <c r="AB1944" i="1"/>
  <c r="W1944" i="1"/>
  <c r="R1944" i="1"/>
  <c r="M1944" i="1"/>
  <c r="BJ1943" i="1"/>
  <c r="BH1943" i="1"/>
  <c r="BF1943" i="1"/>
  <c r="BD1943" i="1"/>
  <c r="BB1943" i="1"/>
  <c r="AW1943" i="1"/>
  <c r="AV1943" i="1"/>
  <c r="AU1943" i="1"/>
  <c r="AT1943" i="1"/>
  <c r="AS1943" i="1"/>
  <c r="AG1943" i="1"/>
  <c r="AB1943" i="1"/>
  <c r="W1943" i="1"/>
  <c r="R1943" i="1"/>
  <c r="M1943" i="1"/>
  <c r="BJ1942" i="1"/>
  <c r="BH1942" i="1"/>
  <c r="BF1942" i="1"/>
  <c r="BD1942" i="1"/>
  <c r="BB1942" i="1"/>
  <c r="AW1942" i="1"/>
  <c r="AV1942" i="1"/>
  <c r="AU1942" i="1"/>
  <c r="AT1942" i="1"/>
  <c r="AS1942" i="1"/>
  <c r="AG1942" i="1"/>
  <c r="AB1942" i="1"/>
  <c r="W1942" i="1"/>
  <c r="R1942" i="1"/>
  <c r="M1942" i="1"/>
  <c r="BJ1941" i="1"/>
  <c r="BH1941" i="1"/>
  <c r="BF1941" i="1"/>
  <c r="BD1941" i="1"/>
  <c r="BB1941" i="1"/>
  <c r="AW1941" i="1"/>
  <c r="AV1941" i="1"/>
  <c r="AU1941" i="1"/>
  <c r="AT1941" i="1"/>
  <c r="AS1941" i="1"/>
  <c r="AG1941" i="1"/>
  <c r="AB1941" i="1"/>
  <c r="W1941" i="1"/>
  <c r="R1941" i="1"/>
  <c r="M1941" i="1"/>
  <c r="BJ1940" i="1"/>
  <c r="BH1940" i="1"/>
  <c r="BF1940" i="1"/>
  <c r="BD1940" i="1"/>
  <c r="BB1940" i="1"/>
  <c r="AW1940" i="1"/>
  <c r="AV1940" i="1"/>
  <c r="AU1940" i="1"/>
  <c r="AT1940" i="1"/>
  <c r="AS1940" i="1"/>
  <c r="AG1940" i="1"/>
  <c r="AB1940" i="1"/>
  <c r="W1940" i="1"/>
  <c r="R1940" i="1"/>
  <c r="M1940" i="1"/>
  <c r="BJ1939" i="1"/>
  <c r="BH1939" i="1"/>
  <c r="BF1939" i="1"/>
  <c r="BD1939" i="1"/>
  <c r="BB1939" i="1"/>
  <c r="AW1939" i="1"/>
  <c r="AV1939" i="1"/>
  <c r="AU1939" i="1"/>
  <c r="AT1939" i="1"/>
  <c r="AS1939" i="1"/>
  <c r="AG1939" i="1"/>
  <c r="AB1939" i="1"/>
  <c r="W1939" i="1"/>
  <c r="R1939" i="1"/>
  <c r="M1939" i="1"/>
  <c r="BJ1938" i="1"/>
  <c r="BH1938" i="1"/>
  <c r="BF1938" i="1"/>
  <c r="BD1938" i="1"/>
  <c r="BB1938" i="1"/>
  <c r="AW1938" i="1"/>
  <c r="AV1938" i="1"/>
  <c r="AU1938" i="1"/>
  <c r="AT1938" i="1"/>
  <c r="AS1938" i="1"/>
  <c r="AG1938" i="1"/>
  <c r="AB1938" i="1"/>
  <c r="W1938" i="1"/>
  <c r="R1938" i="1"/>
  <c r="M1938" i="1"/>
  <c r="BJ1937" i="1"/>
  <c r="BH1937" i="1"/>
  <c r="BF1937" i="1"/>
  <c r="BD1937" i="1"/>
  <c r="BB1937" i="1"/>
  <c r="AW1937" i="1"/>
  <c r="AV1937" i="1"/>
  <c r="AU1937" i="1"/>
  <c r="AT1937" i="1"/>
  <c r="AS1937" i="1"/>
  <c r="AG1937" i="1"/>
  <c r="AB1937" i="1"/>
  <c r="W1937" i="1"/>
  <c r="R1937" i="1"/>
  <c r="M1937" i="1"/>
  <c r="BJ1936" i="1"/>
  <c r="BH1936" i="1"/>
  <c r="BF1936" i="1"/>
  <c r="BD1936" i="1"/>
  <c r="BB1936" i="1"/>
  <c r="AW1936" i="1"/>
  <c r="AV1936" i="1"/>
  <c r="AU1936" i="1"/>
  <c r="AT1936" i="1"/>
  <c r="AS1936" i="1"/>
  <c r="AG1936" i="1"/>
  <c r="AB1936" i="1"/>
  <c r="W1936" i="1"/>
  <c r="R1936" i="1"/>
  <c r="M1936" i="1"/>
  <c r="BJ1935" i="1"/>
  <c r="BH1935" i="1"/>
  <c r="BF1935" i="1"/>
  <c r="BD1935" i="1"/>
  <c r="BB1935" i="1"/>
  <c r="AW1935" i="1"/>
  <c r="AV1935" i="1"/>
  <c r="AU1935" i="1"/>
  <c r="AT1935" i="1"/>
  <c r="AS1935" i="1"/>
  <c r="AG1935" i="1"/>
  <c r="AB1935" i="1"/>
  <c r="W1935" i="1"/>
  <c r="R1935" i="1"/>
  <c r="M1935" i="1"/>
  <c r="BJ1934" i="1"/>
  <c r="BH1934" i="1"/>
  <c r="BF1934" i="1"/>
  <c r="BD1934" i="1"/>
  <c r="BB1934" i="1"/>
  <c r="AW1934" i="1"/>
  <c r="AV1934" i="1"/>
  <c r="AU1934" i="1"/>
  <c r="AT1934" i="1"/>
  <c r="AS1934" i="1"/>
  <c r="AG1934" i="1"/>
  <c r="AB1934" i="1"/>
  <c r="W1934" i="1"/>
  <c r="R1934" i="1"/>
  <c r="M1934" i="1"/>
  <c r="BJ1933" i="1"/>
  <c r="BH1933" i="1"/>
  <c r="BF1933" i="1"/>
  <c r="BD1933" i="1"/>
  <c r="BB1933" i="1"/>
  <c r="AW1933" i="1"/>
  <c r="AV1933" i="1"/>
  <c r="AU1933" i="1"/>
  <c r="AT1933" i="1"/>
  <c r="AS1933" i="1"/>
  <c r="AG1933" i="1"/>
  <c r="AB1933" i="1"/>
  <c r="W1933" i="1"/>
  <c r="R1933" i="1"/>
  <c r="M1933" i="1"/>
  <c r="BJ1932" i="1"/>
  <c r="BH1932" i="1"/>
  <c r="BF1932" i="1"/>
  <c r="BD1932" i="1"/>
  <c r="BB1932" i="1"/>
  <c r="AW1932" i="1"/>
  <c r="AV1932" i="1"/>
  <c r="AU1932" i="1"/>
  <c r="AT1932" i="1"/>
  <c r="AS1932" i="1"/>
  <c r="AG1932" i="1"/>
  <c r="AB1932" i="1"/>
  <c r="W1932" i="1"/>
  <c r="R1932" i="1"/>
  <c r="M1932" i="1"/>
  <c r="BJ1931" i="1"/>
  <c r="BH1931" i="1"/>
  <c r="BF1931" i="1"/>
  <c r="BD1931" i="1"/>
  <c r="BB1931" i="1"/>
  <c r="AW1931" i="1"/>
  <c r="AV1931" i="1"/>
  <c r="AU1931" i="1"/>
  <c r="AT1931" i="1"/>
  <c r="AS1931" i="1"/>
  <c r="AG1931" i="1"/>
  <c r="AB1931" i="1"/>
  <c r="W1931" i="1"/>
  <c r="R1931" i="1"/>
  <c r="M1931" i="1"/>
  <c r="BJ1930" i="1"/>
  <c r="BH1930" i="1"/>
  <c r="BF1930" i="1"/>
  <c r="BD1930" i="1"/>
  <c r="BB1930" i="1"/>
  <c r="AW1930" i="1"/>
  <c r="AV1930" i="1"/>
  <c r="AU1930" i="1"/>
  <c r="AT1930" i="1"/>
  <c r="AS1930" i="1"/>
  <c r="AG1930" i="1"/>
  <c r="AB1930" i="1"/>
  <c r="W1930" i="1"/>
  <c r="R1930" i="1"/>
  <c r="M1930" i="1"/>
  <c r="BJ1929" i="1"/>
  <c r="BH1929" i="1"/>
  <c r="BF1929" i="1"/>
  <c r="BD1929" i="1"/>
  <c r="BB1929" i="1"/>
  <c r="AW1929" i="1"/>
  <c r="AV1929" i="1"/>
  <c r="AU1929" i="1"/>
  <c r="AT1929" i="1"/>
  <c r="AS1929" i="1"/>
  <c r="AG1929" i="1"/>
  <c r="AB1929" i="1"/>
  <c r="W1929" i="1"/>
  <c r="R1929" i="1"/>
  <c r="M1929" i="1"/>
  <c r="AZ1928" i="1"/>
  <c r="BA1930" i="1" s="1"/>
  <c r="AR1928" i="1"/>
  <c r="BJ1927" i="1"/>
  <c r="BH1927" i="1"/>
  <c r="BF1927" i="1"/>
  <c r="BD1927" i="1"/>
  <c r="BB1927" i="1"/>
  <c r="AW1927" i="1"/>
  <c r="AV1927" i="1"/>
  <c r="AU1927" i="1"/>
  <c r="AT1927" i="1"/>
  <c r="AS1927" i="1"/>
  <c r="AG1927" i="1"/>
  <c r="AB1927" i="1"/>
  <c r="W1927" i="1"/>
  <c r="R1927" i="1"/>
  <c r="M1927" i="1"/>
  <c r="BJ1926" i="1"/>
  <c r="BH1926" i="1"/>
  <c r="BF1926" i="1"/>
  <c r="BD1926" i="1"/>
  <c r="BB1926" i="1"/>
  <c r="AW1926" i="1"/>
  <c r="AV1926" i="1"/>
  <c r="AU1926" i="1"/>
  <c r="AT1926" i="1"/>
  <c r="AS1926" i="1"/>
  <c r="AG1926" i="1"/>
  <c r="AB1926" i="1"/>
  <c r="W1926" i="1"/>
  <c r="R1926" i="1"/>
  <c r="M1926" i="1"/>
  <c r="BJ1925" i="1"/>
  <c r="BH1925" i="1"/>
  <c r="BF1925" i="1"/>
  <c r="BD1925" i="1"/>
  <c r="BB1925" i="1"/>
  <c r="AW1925" i="1"/>
  <c r="AV1925" i="1"/>
  <c r="AU1925" i="1"/>
  <c r="AT1925" i="1"/>
  <c r="AS1925" i="1"/>
  <c r="AG1925" i="1"/>
  <c r="AB1925" i="1"/>
  <c r="W1925" i="1"/>
  <c r="R1925" i="1"/>
  <c r="M1925" i="1"/>
  <c r="BJ1924" i="1"/>
  <c r="BH1924" i="1"/>
  <c r="BF1924" i="1"/>
  <c r="BD1924" i="1"/>
  <c r="BB1924" i="1"/>
  <c r="AW1924" i="1"/>
  <c r="AV1924" i="1"/>
  <c r="AU1924" i="1"/>
  <c r="AT1924" i="1"/>
  <c r="AS1924" i="1"/>
  <c r="AG1924" i="1"/>
  <c r="AB1924" i="1"/>
  <c r="W1924" i="1"/>
  <c r="R1924" i="1"/>
  <c r="M1924" i="1"/>
  <c r="BJ1923" i="1"/>
  <c r="BH1923" i="1"/>
  <c r="BF1923" i="1"/>
  <c r="BD1923" i="1"/>
  <c r="BB1923" i="1"/>
  <c r="AW1923" i="1"/>
  <c r="AV1923" i="1"/>
  <c r="AU1923" i="1"/>
  <c r="AT1923" i="1"/>
  <c r="AS1923" i="1"/>
  <c r="AG1923" i="1"/>
  <c r="AB1923" i="1"/>
  <c r="W1923" i="1"/>
  <c r="R1923" i="1"/>
  <c r="M1923" i="1"/>
  <c r="BJ1922" i="1"/>
  <c r="BH1922" i="1"/>
  <c r="BF1922" i="1"/>
  <c r="BD1922" i="1"/>
  <c r="BB1922" i="1"/>
  <c r="AW1922" i="1"/>
  <c r="AV1922" i="1"/>
  <c r="AU1922" i="1"/>
  <c r="AT1922" i="1"/>
  <c r="AS1922" i="1"/>
  <c r="AG1922" i="1"/>
  <c r="AB1922" i="1"/>
  <c r="W1922" i="1"/>
  <c r="R1922" i="1"/>
  <c r="M1922" i="1"/>
  <c r="BJ1921" i="1"/>
  <c r="BH1921" i="1"/>
  <c r="BF1921" i="1"/>
  <c r="BD1921" i="1"/>
  <c r="BB1921" i="1"/>
  <c r="AW1921" i="1"/>
  <c r="AV1921" i="1"/>
  <c r="AU1921" i="1"/>
  <c r="AT1921" i="1"/>
  <c r="AS1921" i="1"/>
  <c r="AG1921" i="1"/>
  <c r="AB1921" i="1"/>
  <c r="W1921" i="1"/>
  <c r="R1921" i="1"/>
  <c r="M1921" i="1"/>
  <c r="BJ1920" i="1"/>
  <c r="BH1920" i="1"/>
  <c r="BF1920" i="1"/>
  <c r="BD1920" i="1"/>
  <c r="BB1920" i="1"/>
  <c r="AW1920" i="1"/>
  <c r="AV1920" i="1"/>
  <c r="AU1920" i="1"/>
  <c r="AT1920" i="1"/>
  <c r="AS1920" i="1"/>
  <c r="AG1920" i="1"/>
  <c r="AB1920" i="1"/>
  <c r="W1920" i="1"/>
  <c r="R1920" i="1"/>
  <c r="M1920" i="1"/>
  <c r="BJ1919" i="1"/>
  <c r="BH1919" i="1"/>
  <c r="BF1919" i="1"/>
  <c r="BD1919" i="1"/>
  <c r="BB1919" i="1"/>
  <c r="AW1919" i="1"/>
  <c r="AV1919" i="1"/>
  <c r="AU1919" i="1"/>
  <c r="AT1919" i="1"/>
  <c r="AS1919" i="1"/>
  <c r="AG1919" i="1"/>
  <c r="AB1919" i="1"/>
  <c r="W1919" i="1"/>
  <c r="R1919" i="1"/>
  <c r="M1919" i="1"/>
  <c r="BJ1918" i="1"/>
  <c r="BH1918" i="1"/>
  <c r="BF1918" i="1"/>
  <c r="BD1918" i="1"/>
  <c r="BB1918" i="1"/>
  <c r="AW1918" i="1"/>
  <c r="AV1918" i="1"/>
  <c r="AU1918" i="1"/>
  <c r="AT1918" i="1"/>
  <c r="AS1918" i="1"/>
  <c r="AG1918" i="1"/>
  <c r="AB1918" i="1"/>
  <c r="W1918" i="1"/>
  <c r="R1918" i="1"/>
  <c r="M1918" i="1"/>
  <c r="BJ1917" i="1"/>
  <c r="BH1917" i="1"/>
  <c r="BF1917" i="1"/>
  <c r="BD1917" i="1"/>
  <c r="BB1917" i="1"/>
  <c r="AW1917" i="1"/>
  <c r="AV1917" i="1"/>
  <c r="AU1917" i="1"/>
  <c r="AT1917" i="1"/>
  <c r="AS1917" i="1"/>
  <c r="AG1917" i="1"/>
  <c r="AB1917" i="1"/>
  <c r="W1917" i="1"/>
  <c r="R1917" i="1"/>
  <c r="M1917" i="1"/>
  <c r="BJ1916" i="1"/>
  <c r="BH1916" i="1"/>
  <c r="BF1916" i="1"/>
  <c r="BD1916" i="1"/>
  <c r="BB1916" i="1"/>
  <c r="AW1916" i="1"/>
  <c r="AV1916" i="1"/>
  <c r="AU1916" i="1"/>
  <c r="AT1916" i="1"/>
  <c r="AS1916" i="1"/>
  <c r="AG1916" i="1"/>
  <c r="AB1916" i="1"/>
  <c r="W1916" i="1"/>
  <c r="R1916" i="1"/>
  <c r="M1916" i="1"/>
  <c r="BJ1915" i="1"/>
  <c r="BH1915" i="1"/>
  <c r="BF1915" i="1"/>
  <c r="BD1915" i="1"/>
  <c r="BB1915" i="1"/>
  <c r="AW1915" i="1"/>
  <c r="AV1915" i="1"/>
  <c r="AU1915" i="1"/>
  <c r="AT1915" i="1"/>
  <c r="AS1915" i="1"/>
  <c r="AG1915" i="1"/>
  <c r="AB1915" i="1"/>
  <c r="W1915" i="1"/>
  <c r="R1915" i="1"/>
  <c r="M1915" i="1"/>
  <c r="BJ1914" i="1"/>
  <c r="BH1914" i="1"/>
  <c r="BF1914" i="1"/>
  <c r="BD1914" i="1"/>
  <c r="BB1914" i="1"/>
  <c r="AW1914" i="1"/>
  <c r="AV1914" i="1"/>
  <c r="AU1914" i="1"/>
  <c r="AT1914" i="1"/>
  <c r="AS1914" i="1"/>
  <c r="AG1914" i="1"/>
  <c r="AB1914" i="1"/>
  <c r="W1914" i="1"/>
  <c r="R1914" i="1"/>
  <c r="M1914" i="1"/>
  <c r="BJ1913" i="1"/>
  <c r="BH1913" i="1"/>
  <c r="BF1913" i="1"/>
  <c r="BD1913" i="1"/>
  <c r="BB1913" i="1"/>
  <c r="AW1913" i="1"/>
  <c r="AV1913" i="1"/>
  <c r="AU1913" i="1"/>
  <c r="AT1913" i="1"/>
  <c r="AS1913" i="1"/>
  <c r="AG1913" i="1"/>
  <c r="AB1913" i="1"/>
  <c r="W1913" i="1"/>
  <c r="R1913" i="1"/>
  <c r="M1913" i="1"/>
  <c r="BJ1912" i="1"/>
  <c r="BH1912" i="1"/>
  <c r="BF1912" i="1"/>
  <c r="BD1912" i="1"/>
  <c r="BB1912" i="1"/>
  <c r="AW1912" i="1"/>
  <c r="AV1912" i="1"/>
  <c r="AU1912" i="1"/>
  <c r="AT1912" i="1"/>
  <c r="AS1912" i="1"/>
  <c r="AG1912" i="1"/>
  <c r="AB1912" i="1"/>
  <c r="W1912" i="1"/>
  <c r="R1912" i="1"/>
  <c r="M1912" i="1"/>
  <c r="AZ1911" i="1"/>
  <c r="BA1913" i="1" s="1"/>
  <c r="AR1911" i="1"/>
  <c r="BJ1910" i="1"/>
  <c r="BH1910" i="1"/>
  <c r="BF1910" i="1"/>
  <c r="BD1910" i="1"/>
  <c r="BB1910" i="1"/>
  <c r="AW1910" i="1"/>
  <c r="AV1910" i="1"/>
  <c r="AU1910" i="1"/>
  <c r="AT1910" i="1"/>
  <c r="AS1910" i="1"/>
  <c r="AG1910" i="1"/>
  <c r="AB1910" i="1"/>
  <c r="W1910" i="1"/>
  <c r="R1910" i="1"/>
  <c r="M1910" i="1"/>
  <c r="BJ1909" i="1"/>
  <c r="BH1909" i="1"/>
  <c r="BF1909" i="1"/>
  <c r="BD1909" i="1"/>
  <c r="BB1909" i="1"/>
  <c r="AW1909" i="1"/>
  <c r="AV1909" i="1"/>
  <c r="AU1909" i="1"/>
  <c r="AT1909" i="1"/>
  <c r="AS1909" i="1"/>
  <c r="AG1909" i="1"/>
  <c r="AB1909" i="1"/>
  <c r="W1909" i="1"/>
  <c r="R1909" i="1"/>
  <c r="M1909" i="1"/>
  <c r="BJ1908" i="1"/>
  <c r="BH1908" i="1"/>
  <c r="BF1908" i="1"/>
  <c r="BD1908" i="1"/>
  <c r="BB1908" i="1"/>
  <c r="AW1908" i="1"/>
  <c r="AV1908" i="1"/>
  <c r="AU1908" i="1"/>
  <c r="AT1908" i="1"/>
  <c r="AS1908" i="1"/>
  <c r="AG1908" i="1"/>
  <c r="AB1908" i="1"/>
  <c r="W1908" i="1"/>
  <c r="R1908" i="1"/>
  <c r="M1908" i="1"/>
  <c r="BJ1907" i="1"/>
  <c r="BH1907" i="1"/>
  <c r="BF1907" i="1"/>
  <c r="BD1907" i="1"/>
  <c r="BB1907" i="1"/>
  <c r="AW1907" i="1"/>
  <c r="AV1907" i="1"/>
  <c r="AU1907" i="1"/>
  <c r="AT1907" i="1"/>
  <c r="AS1907" i="1"/>
  <c r="AG1907" i="1"/>
  <c r="AB1907" i="1"/>
  <c r="W1907" i="1"/>
  <c r="R1907" i="1"/>
  <c r="M1907" i="1"/>
  <c r="BJ1906" i="1"/>
  <c r="BH1906" i="1"/>
  <c r="BF1906" i="1"/>
  <c r="BD1906" i="1"/>
  <c r="BB1906" i="1"/>
  <c r="AW1906" i="1"/>
  <c r="AV1906" i="1"/>
  <c r="AU1906" i="1"/>
  <c r="AT1906" i="1"/>
  <c r="AS1906" i="1"/>
  <c r="AG1906" i="1"/>
  <c r="AB1906" i="1"/>
  <c r="W1906" i="1"/>
  <c r="R1906" i="1"/>
  <c r="M1906" i="1"/>
  <c r="BJ1905" i="1"/>
  <c r="BH1905" i="1"/>
  <c r="BF1905" i="1"/>
  <c r="BD1905" i="1"/>
  <c r="BB1905" i="1"/>
  <c r="AW1905" i="1"/>
  <c r="AV1905" i="1"/>
  <c r="AU1905" i="1"/>
  <c r="AT1905" i="1"/>
  <c r="AS1905" i="1"/>
  <c r="AG1905" i="1"/>
  <c r="AB1905" i="1"/>
  <c r="W1905" i="1"/>
  <c r="R1905" i="1"/>
  <c r="M1905" i="1"/>
  <c r="BJ1904" i="1"/>
  <c r="BH1904" i="1"/>
  <c r="BF1904" i="1"/>
  <c r="BD1904" i="1"/>
  <c r="BB1904" i="1"/>
  <c r="AW1904" i="1"/>
  <c r="AV1904" i="1"/>
  <c r="AU1904" i="1"/>
  <c r="AT1904" i="1"/>
  <c r="AS1904" i="1"/>
  <c r="AG1904" i="1"/>
  <c r="AB1904" i="1"/>
  <c r="W1904" i="1"/>
  <c r="R1904" i="1"/>
  <c r="M1904" i="1"/>
  <c r="BJ1903" i="1"/>
  <c r="BH1903" i="1"/>
  <c r="BF1903" i="1"/>
  <c r="BD1903" i="1"/>
  <c r="BB1903" i="1"/>
  <c r="AW1903" i="1"/>
  <c r="AV1903" i="1"/>
  <c r="AU1903" i="1"/>
  <c r="AT1903" i="1"/>
  <c r="AS1903" i="1"/>
  <c r="AG1903" i="1"/>
  <c r="AB1903" i="1"/>
  <c r="W1903" i="1"/>
  <c r="R1903" i="1"/>
  <c r="M1903" i="1"/>
  <c r="BJ1902" i="1"/>
  <c r="BH1902" i="1"/>
  <c r="BF1902" i="1"/>
  <c r="BD1902" i="1"/>
  <c r="BB1902" i="1"/>
  <c r="AW1902" i="1"/>
  <c r="AV1902" i="1"/>
  <c r="AU1902" i="1"/>
  <c r="AT1902" i="1"/>
  <c r="AS1902" i="1"/>
  <c r="AG1902" i="1"/>
  <c r="AB1902" i="1"/>
  <c r="W1902" i="1"/>
  <c r="R1902" i="1"/>
  <c r="M1902" i="1"/>
  <c r="BJ1901" i="1"/>
  <c r="BH1901" i="1"/>
  <c r="BF1901" i="1"/>
  <c r="BD1901" i="1"/>
  <c r="BB1901" i="1"/>
  <c r="AW1901" i="1"/>
  <c r="AV1901" i="1"/>
  <c r="AU1901" i="1"/>
  <c r="AT1901" i="1"/>
  <c r="AS1901" i="1"/>
  <c r="AG1901" i="1"/>
  <c r="AB1901" i="1"/>
  <c r="W1901" i="1"/>
  <c r="R1901" i="1"/>
  <c r="M1901" i="1"/>
  <c r="AZ1900" i="1"/>
  <c r="BA1908" i="1" s="1"/>
  <c r="BJ1899" i="1"/>
  <c r="BH1899" i="1"/>
  <c r="BF1899" i="1"/>
  <c r="BD1899" i="1"/>
  <c r="BB1899" i="1"/>
  <c r="AW1899" i="1"/>
  <c r="AV1899" i="1"/>
  <c r="AU1899" i="1"/>
  <c r="AT1899" i="1"/>
  <c r="AS1899" i="1"/>
  <c r="AG1899" i="1"/>
  <c r="AB1899" i="1"/>
  <c r="W1899" i="1"/>
  <c r="R1899" i="1"/>
  <c r="M1899" i="1"/>
  <c r="BJ1898" i="1"/>
  <c r="BH1898" i="1"/>
  <c r="BF1898" i="1"/>
  <c r="BD1898" i="1"/>
  <c r="BB1898" i="1"/>
  <c r="AW1898" i="1"/>
  <c r="AV1898" i="1"/>
  <c r="AU1898" i="1"/>
  <c r="AT1898" i="1"/>
  <c r="AS1898" i="1"/>
  <c r="AG1898" i="1"/>
  <c r="AB1898" i="1"/>
  <c r="W1898" i="1"/>
  <c r="R1898" i="1"/>
  <c r="M1898" i="1"/>
  <c r="BJ1897" i="1"/>
  <c r="BH1897" i="1"/>
  <c r="BF1897" i="1"/>
  <c r="BD1897" i="1"/>
  <c r="BB1897" i="1"/>
  <c r="AW1897" i="1"/>
  <c r="AV1897" i="1"/>
  <c r="AU1897" i="1"/>
  <c r="AT1897" i="1"/>
  <c r="AS1897" i="1"/>
  <c r="AG1897" i="1"/>
  <c r="AB1897" i="1"/>
  <c r="W1897" i="1"/>
  <c r="R1897" i="1"/>
  <c r="M1897" i="1"/>
  <c r="BJ1896" i="1"/>
  <c r="BH1896" i="1"/>
  <c r="BF1896" i="1"/>
  <c r="BD1896" i="1"/>
  <c r="BB1896" i="1"/>
  <c r="AW1896" i="1"/>
  <c r="AV1896" i="1"/>
  <c r="AU1896" i="1"/>
  <c r="AT1896" i="1"/>
  <c r="AS1896" i="1"/>
  <c r="AG1896" i="1"/>
  <c r="AB1896" i="1"/>
  <c r="W1896" i="1"/>
  <c r="R1896" i="1"/>
  <c r="M1896" i="1"/>
  <c r="BJ1895" i="1"/>
  <c r="BH1895" i="1"/>
  <c r="BF1895" i="1"/>
  <c r="BD1895" i="1"/>
  <c r="BB1895" i="1"/>
  <c r="AW1895" i="1"/>
  <c r="AV1895" i="1"/>
  <c r="AU1895" i="1"/>
  <c r="AT1895" i="1"/>
  <c r="AS1895" i="1"/>
  <c r="AG1895" i="1"/>
  <c r="AB1895" i="1"/>
  <c r="W1895" i="1"/>
  <c r="R1895" i="1"/>
  <c r="M1895" i="1"/>
  <c r="BJ1894" i="1"/>
  <c r="BH1894" i="1"/>
  <c r="BF1894" i="1"/>
  <c r="BD1894" i="1"/>
  <c r="BB1894" i="1"/>
  <c r="AW1894" i="1"/>
  <c r="AV1894" i="1"/>
  <c r="AU1894" i="1"/>
  <c r="AT1894" i="1"/>
  <c r="AS1894" i="1"/>
  <c r="AG1894" i="1"/>
  <c r="AB1894" i="1"/>
  <c r="W1894" i="1"/>
  <c r="R1894" i="1"/>
  <c r="M1894" i="1"/>
  <c r="AZ1893" i="1"/>
  <c r="BA1897" i="1" s="1"/>
  <c r="AR1893" i="1"/>
  <c r="BJ1892" i="1"/>
  <c r="BH1892" i="1"/>
  <c r="BF1892" i="1"/>
  <c r="BD1892" i="1"/>
  <c r="BB1892" i="1"/>
  <c r="AW1892" i="1"/>
  <c r="AU1892" i="1"/>
  <c r="AT1892" i="1"/>
  <c r="AS1892" i="1"/>
  <c r="AG1892" i="1"/>
  <c r="AB1892" i="1"/>
  <c r="W1892" i="1"/>
  <c r="R1892" i="1"/>
  <c r="M1892" i="1"/>
  <c r="BJ1891" i="1"/>
  <c r="BH1891" i="1"/>
  <c r="BF1891" i="1"/>
  <c r="BD1891" i="1"/>
  <c r="BB1891" i="1"/>
  <c r="AW1891" i="1"/>
  <c r="AU1891" i="1"/>
  <c r="AT1891" i="1"/>
  <c r="AS1891" i="1"/>
  <c r="AG1891" i="1"/>
  <c r="AB1891" i="1"/>
  <c r="W1891" i="1"/>
  <c r="R1891" i="1"/>
  <c r="M1891" i="1"/>
  <c r="BJ1890" i="1"/>
  <c r="BH1890" i="1"/>
  <c r="BF1890" i="1"/>
  <c r="BD1890" i="1"/>
  <c r="BB1890" i="1"/>
  <c r="AW1890" i="1"/>
  <c r="AV1890" i="1"/>
  <c r="AU1890" i="1"/>
  <c r="AT1890" i="1"/>
  <c r="AS1890" i="1"/>
  <c r="AG1890" i="1"/>
  <c r="AB1890" i="1"/>
  <c r="W1890" i="1"/>
  <c r="R1890" i="1"/>
  <c r="M1890" i="1"/>
  <c r="BJ1889" i="1"/>
  <c r="BH1889" i="1"/>
  <c r="BF1889" i="1"/>
  <c r="BD1889" i="1"/>
  <c r="BB1889" i="1"/>
  <c r="AW1889" i="1"/>
  <c r="AV1889" i="1"/>
  <c r="AU1889" i="1"/>
  <c r="AT1889" i="1"/>
  <c r="AS1889" i="1"/>
  <c r="AG1889" i="1"/>
  <c r="AB1889" i="1"/>
  <c r="W1889" i="1"/>
  <c r="R1889" i="1"/>
  <c r="M1889" i="1"/>
  <c r="BJ1888" i="1"/>
  <c r="BH1888" i="1"/>
  <c r="BF1888" i="1"/>
  <c r="BD1888" i="1"/>
  <c r="BB1888" i="1"/>
  <c r="AW1888" i="1"/>
  <c r="AV1888" i="1"/>
  <c r="AU1888" i="1"/>
  <c r="AT1888" i="1"/>
  <c r="AS1888" i="1"/>
  <c r="AG1888" i="1"/>
  <c r="AB1888" i="1"/>
  <c r="W1888" i="1"/>
  <c r="R1888" i="1"/>
  <c r="M1888" i="1"/>
  <c r="BJ1887" i="1"/>
  <c r="BH1887" i="1"/>
  <c r="BF1887" i="1"/>
  <c r="BD1887" i="1"/>
  <c r="BB1887" i="1"/>
  <c r="AW1887" i="1"/>
  <c r="AV1887" i="1"/>
  <c r="AU1887" i="1"/>
  <c r="AT1887" i="1"/>
  <c r="AS1887" i="1"/>
  <c r="AG1887" i="1"/>
  <c r="AB1887" i="1"/>
  <c r="W1887" i="1"/>
  <c r="R1887" i="1"/>
  <c r="M1887" i="1"/>
  <c r="BJ1886" i="1"/>
  <c r="BH1886" i="1"/>
  <c r="BF1886" i="1"/>
  <c r="BD1886" i="1"/>
  <c r="BB1886" i="1"/>
  <c r="AW1886" i="1"/>
  <c r="AV1886" i="1"/>
  <c r="AU1886" i="1"/>
  <c r="AT1886" i="1"/>
  <c r="AS1886" i="1"/>
  <c r="AG1886" i="1"/>
  <c r="AB1886" i="1"/>
  <c r="W1886" i="1"/>
  <c r="R1886" i="1"/>
  <c r="M1886" i="1"/>
  <c r="BJ1885" i="1"/>
  <c r="BH1885" i="1"/>
  <c r="BF1885" i="1"/>
  <c r="BD1885" i="1"/>
  <c r="BB1885" i="1"/>
  <c r="AW1885" i="1"/>
  <c r="AV1885" i="1"/>
  <c r="AU1885" i="1"/>
  <c r="AT1885" i="1"/>
  <c r="AS1885" i="1"/>
  <c r="AG1885" i="1"/>
  <c r="AB1885" i="1"/>
  <c r="W1885" i="1"/>
  <c r="R1885" i="1"/>
  <c r="M1885" i="1"/>
  <c r="AZ1884" i="1"/>
  <c r="BA1892" i="1" s="1"/>
  <c r="AR1884" i="1"/>
  <c r="BJ1883" i="1"/>
  <c r="BH1883" i="1"/>
  <c r="BF1883" i="1"/>
  <c r="BD1883" i="1"/>
  <c r="BB1883" i="1"/>
  <c r="AW1883" i="1"/>
  <c r="AV1883" i="1"/>
  <c r="AU1883" i="1"/>
  <c r="AT1883" i="1"/>
  <c r="AS1883" i="1"/>
  <c r="AG1883" i="1"/>
  <c r="AB1883" i="1"/>
  <c r="W1883" i="1"/>
  <c r="R1883" i="1"/>
  <c r="M1883" i="1"/>
  <c r="BJ1882" i="1"/>
  <c r="BH1882" i="1"/>
  <c r="BF1882" i="1"/>
  <c r="BD1882" i="1"/>
  <c r="BB1882" i="1"/>
  <c r="AW1882" i="1"/>
  <c r="AV1882" i="1"/>
  <c r="AU1882" i="1"/>
  <c r="AT1882" i="1"/>
  <c r="AS1882" i="1"/>
  <c r="AG1882" i="1"/>
  <c r="AB1882" i="1"/>
  <c r="W1882" i="1"/>
  <c r="R1882" i="1"/>
  <c r="M1882" i="1"/>
  <c r="BJ1881" i="1"/>
  <c r="BH1881" i="1"/>
  <c r="BF1881" i="1"/>
  <c r="BD1881" i="1"/>
  <c r="BB1881" i="1"/>
  <c r="AW1881" i="1"/>
  <c r="AV1881" i="1"/>
  <c r="AU1881" i="1"/>
  <c r="AT1881" i="1"/>
  <c r="AS1881" i="1"/>
  <c r="AG1881" i="1"/>
  <c r="AB1881" i="1"/>
  <c r="W1881" i="1"/>
  <c r="R1881" i="1"/>
  <c r="M1881" i="1"/>
  <c r="BJ1880" i="1"/>
  <c r="BH1880" i="1"/>
  <c r="BF1880" i="1"/>
  <c r="BD1880" i="1"/>
  <c r="BB1880" i="1"/>
  <c r="AW1880" i="1"/>
  <c r="AV1880" i="1"/>
  <c r="AU1880" i="1"/>
  <c r="AT1880" i="1"/>
  <c r="AS1880" i="1"/>
  <c r="AG1880" i="1"/>
  <c r="AB1880" i="1"/>
  <c r="W1880" i="1"/>
  <c r="R1880" i="1"/>
  <c r="M1880" i="1"/>
  <c r="BJ1879" i="1"/>
  <c r="BH1879" i="1"/>
  <c r="BF1879" i="1"/>
  <c r="BD1879" i="1"/>
  <c r="BB1879" i="1"/>
  <c r="AW1879" i="1"/>
  <c r="AV1879" i="1"/>
  <c r="AU1879" i="1"/>
  <c r="AT1879" i="1"/>
  <c r="AS1879" i="1"/>
  <c r="AG1879" i="1"/>
  <c r="AB1879" i="1"/>
  <c r="W1879" i="1"/>
  <c r="R1879" i="1"/>
  <c r="M1879" i="1"/>
  <c r="BJ1878" i="1"/>
  <c r="BH1878" i="1"/>
  <c r="BF1878" i="1"/>
  <c r="BD1878" i="1"/>
  <c r="BB1878" i="1"/>
  <c r="AW1878" i="1"/>
  <c r="AV1878" i="1"/>
  <c r="AU1878" i="1"/>
  <c r="AT1878" i="1"/>
  <c r="AS1878" i="1"/>
  <c r="AG1878" i="1"/>
  <c r="AB1878" i="1"/>
  <c r="W1878" i="1"/>
  <c r="R1878" i="1"/>
  <c r="M1878" i="1"/>
  <c r="BJ1877" i="1"/>
  <c r="BH1877" i="1"/>
  <c r="BF1877" i="1"/>
  <c r="BD1877" i="1"/>
  <c r="BB1877" i="1"/>
  <c r="AW1877" i="1"/>
  <c r="AV1877" i="1"/>
  <c r="AU1877" i="1"/>
  <c r="AT1877" i="1"/>
  <c r="AS1877" i="1"/>
  <c r="AG1877" i="1"/>
  <c r="AB1877" i="1"/>
  <c r="W1877" i="1"/>
  <c r="R1877" i="1"/>
  <c r="M1877" i="1"/>
  <c r="BJ1876" i="1"/>
  <c r="BH1876" i="1"/>
  <c r="BF1876" i="1"/>
  <c r="BD1876" i="1"/>
  <c r="BB1876" i="1"/>
  <c r="AW1876" i="1"/>
  <c r="AV1876" i="1"/>
  <c r="AU1876" i="1"/>
  <c r="AT1876" i="1"/>
  <c r="AS1876" i="1"/>
  <c r="AG1876" i="1"/>
  <c r="AB1876" i="1"/>
  <c r="W1876" i="1"/>
  <c r="R1876" i="1"/>
  <c r="M1876" i="1"/>
  <c r="BJ1875" i="1"/>
  <c r="BH1875" i="1"/>
  <c r="BF1875" i="1"/>
  <c r="BD1875" i="1"/>
  <c r="BB1875" i="1"/>
  <c r="AW1875" i="1"/>
  <c r="AV1875" i="1"/>
  <c r="AU1875" i="1"/>
  <c r="AT1875" i="1"/>
  <c r="AS1875" i="1"/>
  <c r="AG1875" i="1"/>
  <c r="AB1875" i="1"/>
  <c r="W1875" i="1"/>
  <c r="R1875" i="1"/>
  <c r="M1875" i="1"/>
  <c r="BJ1874" i="1"/>
  <c r="BH1874" i="1"/>
  <c r="BF1874" i="1"/>
  <c r="BD1874" i="1"/>
  <c r="BB1874" i="1"/>
  <c r="AW1874" i="1"/>
  <c r="AV1874" i="1"/>
  <c r="AU1874" i="1"/>
  <c r="AT1874" i="1"/>
  <c r="AS1874" i="1"/>
  <c r="AG1874" i="1"/>
  <c r="AB1874" i="1"/>
  <c r="W1874" i="1"/>
  <c r="R1874" i="1"/>
  <c r="M1874" i="1"/>
  <c r="BJ1873" i="1"/>
  <c r="BH1873" i="1"/>
  <c r="BF1873" i="1"/>
  <c r="BD1873" i="1"/>
  <c r="BB1873" i="1"/>
  <c r="AW1873" i="1"/>
  <c r="AV1873" i="1"/>
  <c r="AU1873" i="1"/>
  <c r="AT1873" i="1"/>
  <c r="AS1873" i="1"/>
  <c r="AG1873" i="1"/>
  <c r="AB1873" i="1"/>
  <c r="W1873" i="1"/>
  <c r="R1873" i="1"/>
  <c r="M1873" i="1"/>
  <c r="BJ1872" i="1"/>
  <c r="BH1872" i="1"/>
  <c r="BF1872" i="1"/>
  <c r="BD1872" i="1"/>
  <c r="BB1872" i="1"/>
  <c r="AW1872" i="1"/>
  <c r="AV1872" i="1"/>
  <c r="AU1872" i="1"/>
  <c r="AT1872" i="1"/>
  <c r="AS1872" i="1"/>
  <c r="AG1872" i="1"/>
  <c r="AB1872" i="1"/>
  <c r="W1872" i="1"/>
  <c r="R1872" i="1"/>
  <c r="M1872" i="1"/>
  <c r="BJ1871" i="1"/>
  <c r="BH1871" i="1"/>
  <c r="BF1871" i="1"/>
  <c r="BD1871" i="1"/>
  <c r="BB1871" i="1"/>
  <c r="AW1871" i="1"/>
  <c r="AV1871" i="1"/>
  <c r="AU1871" i="1"/>
  <c r="AT1871" i="1"/>
  <c r="AS1871" i="1"/>
  <c r="AG1871" i="1"/>
  <c r="AB1871" i="1"/>
  <c r="W1871" i="1"/>
  <c r="R1871" i="1"/>
  <c r="M1871" i="1"/>
  <c r="BJ1870" i="1"/>
  <c r="BH1870" i="1"/>
  <c r="BF1870" i="1"/>
  <c r="BD1870" i="1"/>
  <c r="BB1870" i="1"/>
  <c r="AW1870" i="1"/>
  <c r="AV1870" i="1"/>
  <c r="AU1870" i="1"/>
  <c r="AT1870" i="1"/>
  <c r="AS1870" i="1"/>
  <c r="AG1870" i="1"/>
  <c r="AB1870" i="1"/>
  <c r="W1870" i="1"/>
  <c r="R1870" i="1"/>
  <c r="M1870" i="1"/>
  <c r="BJ1869" i="1"/>
  <c r="BH1869" i="1"/>
  <c r="BF1869" i="1"/>
  <c r="BD1869" i="1"/>
  <c r="BB1869" i="1"/>
  <c r="AW1869" i="1"/>
  <c r="AV1869" i="1"/>
  <c r="AU1869" i="1"/>
  <c r="AT1869" i="1"/>
  <c r="AS1869" i="1"/>
  <c r="AG1869" i="1"/>
  <c r="AB1869" i="1"/>
  <c r="W1869" i="1"/>
  <c r="R1869" i="1"/>
  <c r="M1869" i="1"/>
  <c r="BJ1868" i="1"/>
  <c r="BH1868" i="1"/>
  <c r="BF1868" i="1"/>
  <c r="BD1868" i="1"/>
  <c r="BB1868" i="1"/>
  <c r="AW1868" i="1"/>
  <c r="AV1868" i="1"/>
  <c r="AU1868" i="1"/>
  <c r="AT1868" i="1"/>
  <c r="AS1868" i="1"/>
  <c r="AG1868" i="1"/>
  <c r="AB1868" i="1"/>
  <c r="W1868" i="1"/>
  <c r="R1868" i="1"/>
  <c r="M1868" i="1"/>
  <c r="AZ1867" i="1"/>
  <c r="AR1867" i="1"/>
  <c r="BJ1866" i="1"/>
  <c r="BH1866" i="1"/>
  <c r="BF1866" i="1"/>
  <c r="BD1866" i="1"/>
  <c r="BB1866" i="1"/>
  <c r="AW1866" i="1"/>
  <c r="AV1866" i="1"/>
  <c r="AU1866" i="1"/>
  <c r="AT1866" i="1"/>
  <c r="AS1866" i="1"/>
  <c r="AG1866" i="1"/>
  <c r="AB1866" i="1"/>
  <c r="W1866" i="1"/>
  <c r="R1866" i="1"/>
  <c r="M1866" i="1"/>
  <c r="BJ1865" i="1"/>
  <c r="BH1865" i="1"/>
  <c r="BF1865" i="1"/>
  <c r="BD1865" i="1"/>
  <c r="BB1865" i="1"/>
  <c r="AW1865" i="1"/>
  <c r="AV1865" i="1"/>
  <c r="AU1865" i="1"/>
  <c r="AT1865" i="1"/>
  <c r="AS1865" i="1"/>
  <c r="AG1865" i="1"/>
  <c r="AB1865" i="1"/>
  <c r="W1865" i="1"/>
  <c r="R1865" i="1"/>
  <c r="M1865" i="1"/>
  <c r="BJ1864" i="1"/>
  <c r="BH1864" i="1"/>
  <c r="BF1864" i="1"/>
  <c r="BD1864" i="1"/>
  <c r="BB1864" i="1"/>
  <c r="AW1864" i="1"/>
  <c r="AV1864" i="1"/>
  <c r="AU1864" i="1"/>
  <c r="AT1864" i="1"/>
  <c r="AS1864" i="1"/>
  <c r="AG1864" i="1"/>
  <c r="AB1864" i="1"/>
  <c r="W1864" i="1"/>
  <c r="R1864" i="1"/>
  <c r="M1864" i="1"/>
  <c r="BJ1863" i="1"/>
  <c r="BH1863" i="1"/>
  <c r="BF1863" i="1"/>
  <c r="BD1863" i="1"/>
  <c r="BB1863" i="1"/>
  <c r="AW1863" i="1"/>
  <c r="AV1863" i="1"/>
  <c r="AU1863" i="1"/>
  <c r="AT1863" i="1"/>
  <c r="AS1863" i="1"/>
  <c r="AG1863" i="1"/>
  <c r="AB1863" i="1"/>
  <c r="W1863" i="1"/>
  <c r="R1863" i="1"/>
  <c r="M1863" i="1"/>
  <c r="BJ1862" i="1"/>
  <c r="BH1862" i="1"/>
  <c r="BF1862" i="1"/>
  <c r="BD1862" i="1"/>
  <c r="BB1862" i="1"/>
  <c r="AW1862" i="1"/>
  <c r="AV1862" i="1"/>
  <c r="AU1862" i="1"/>
  <c r="AT1862" i="1"/>
  <c r="AS1862" i="1"/>
  <c r="AG1862" i="1"/>
  <c r="AB1862" i="1"/>
  <c r="W1862" i="1"/>
  <c r="R1862" i="1"/>
  <c r="M1862" i="1"/>
  <c r="BJ1861" i="1"/>
  <c r="BH1861" i="1"/>
  <c r="BF1861" i="1"/>
  <c r="BD1861" i="1"/>
  <c r="BB1861" i="1"/>
  <c r="AW1861" i="1"/>
  <c r="AV1861" i="1"/>
  <c r="AU1861" i="1"/>
  <c r="AT1861" i="1"/>
  <c r="AS1861" i="1"/>
  <c r="AG1861" i="1"/>
  <c r="AB1861" i="1"/>
  <c r="W1861" i="1"/>
  <c r="R1861" i="1"/>
  <c r="M1861" i="1"/>
  <c r="BJ1860" i="1"/>
  <c r="BH1860" i="1"/>
  <c r="BF1860" i="1"/>
  <c r="BD1860" i="1"/>
  <c r="BB1860" i="1"/>
  <c r="AW1860" i="1"/>
  <c r="AV1860" i="1"/>
  <c r="AU1860" i="1"/>
  <c r="AT1860" i="1"/>
  <c r="AS1860" i="1"/>
  <c r="AG1860" i="1"/>
  <c r="AB1860" i="1"/>
  <c r="W1860" i="1"/>
  <c r="R1860" i="1"/>
  <c r="M1860" i="1"/>
  <c r="BJ1859" i="1"/>
  <c r="BH1859" i="1"/>
  <c r="BF1859" i="1"/>
  <c r="BD1859" i="1"/>
  <c r="BB1859" i="1"/>
  <c r="AW1859" i="1"/>
  <c r="AV1859" i="1"/>
  <c r="AU1859" i="1"/>
  <c r="AT1859" i="1"/>
  <c r="AS1859" i="1"/>
  <c r="AG1859" i="1"/>
  <c r="AB1859" i="1"/>
  <c r="W1859" i="1"/>
  <c r="R1859" i="1"/>
  <c r="M1859" i="1"/>
  <c r="BJ1858" i="1"/>
  <c r="BH1858" i="1"/>
  <c r="BF1858" i="1"/>
  <c r="BD1858" i="1"/>
  <c r="BB1858" i="1"/>
  <c r="AW1858" i="1"/>
  <c r="AV1858" i="1"/>
  <c r="AU1858" i="1"/>
  <c r="AT1858" i="1"/>
  <c r="AS1858" i="1"/>
  <c r="AG1858" i="1"/>
  <c r="AB1858" i="1"/>
  <c r="W1858" i="1"/>
  <c r="R1858" i="1"/>
  <c r="M1858" i="1"/>
  <c r="BJ1857" i="1"/>
  <c r="BH1857" i="1"/>
  <c r="BF1857" i="1"/>
  <c r="BD1857" i="1"/>
  <c r="BB1857" i="1"/>
  <c r="AW1857" i="1"/>
  <c r="AV1857" i="1"/>
  <c r="AU1857" i="1"/>
  <c r="AT1857" i="1"/>
  <c r="AS1857" i="1"/>
  <c r="AG1857" i="1"/>
  <c r="AB1857" i="1"/>
  <c r="W1857" i="1"/>
  <c r="R1857" i="1"/>
  <c r="M1857" i="1"/>
  <c r="BJ1856" i="1"/>
  <c r="BH1856" i="1"/>
  <c r="BF1856" i="1"/>
  <c r="BD1856" i="1"/>
  <c r="BB1856" i="1"/>
  <c r="AW1856" i="1"/>
  <c r="AV1856" i="1"/>
  <c r="AU1856" i="1"/>
  <c r="AT1856" i="1"/>
  <c r="AS1856" i="1"/>
  <c r="AG1856" i="1"/>
  <c r="AB1856" i="1"/>
  <c r="W1856" i="1"/>
  <c r="R1856" i="1"/>
  <c r="M1856" i="1"/>
  <c r="BJ1855" i="1"/>
  <c r="BH1855" i="1"/>
  <c r="BF1855" i="1"/>
  <c r="BD1855" i="1"/>
  <c r="BB1855" i="1"/>
  <c r="AW1855" i="1"/>
  <c r="AV1855" i="1"/>
  <c r="AU1855" i="1"/>
  <c r="AT1855" i="1"/>
  <c r="AS1855" i="1"/>
  <c r="AG1855" i="1"/>
  <c r="AB1855" i="1"/>
  <c r="W1855" i="1"/>
  <c r="R1855" i="1"/>
  <c r="M1855" i="1"/>
  <c r="BJ1854" i="1"/>
  <c r="BH1854" i="1"/>
  <c r="BF1854" i="1"/>
  <c r="BD1854" i="1"/>
  <c r="BB1854" i="1"/>
  <c r="AW1854" i="1"/>
  <c r="AV1854" i="1"/>
  <c r="AU1854" i="1"/>
  <c r="AT1854" i="1"/>
  <c r="AS1854" i="1"/>
  <c r="AG1854" i="1"/>
  <c r="AB1854" i="1"/>
  <c r="W1854" i="1"/>
  <c r="R1854" i="1"/>
  <c r="M1854" i="1"/>
  <c r="BJ1853" i="1"/>
  <c r="BH1853" i="1"/>
  <c r="BF1853" i="1"/>
  <c r="BD1853" i="1"/>
  <c r="BB1853" i="1"/>
  <c r="AW1853" i="1"/>
  <c r="AV1853" i="1"/>
  <c r="AU1853" i="1"/>
  <c r="AT1853" i="1"/>
  <c r="AS1853" i="1"/>
  <c r="AG1853" i="1"/>
  <c r="AB1853" i="1"/>
  <c r="W1853" i="1"/>
  <c r="R1853" i="1"/>
  <c r="M1853" i="1"/>
  <c r="BJ1852" i="1"/>
  <c r="BH1852" i="1"/>
  <c r="BF1852" i="1"/>
  <c r="BD1852" i="1"/>
  <c r="BB1852" i="1"/>
  <c r="AW1852" i="1"/>
  <c r="AV1852" i="1"/>
  <c r="AU1852" i="1"/>
  <c r="AT1852" i="1"/>
  <c r="AS1852" i="1"/>
  <c r="AG1852" i="1"/>
  <c r="AB1852" i="1"/>
  <c r="W1852" i="1"/>
  <c r="R1852" i="1"/>
  <c r="M1852" i="1"/>
  <c r="BJ1851" i="1"/>
  <c r="BH1851" i="1"/>
  <c r="BF1851" i="1"/>
  <c r="BD1851" i="1"/>
  <c r="BB1851" i="1"/>
  <c r="AW1851" i="1"/>
  <c r="AV1851" i="1"/>
  <c r="AU1851" i="1"/>
  <c r="AT1851" i="1"/>
  <c r="AS1851" i="1"/>
  <c r="AG1851" i="1"/>
  <c r="AB1851" i="1"/>
  <c r="W1851" i="1"/>
  <c r="R1851" i="1"/>
  <c r="M1851" i="1"/>
  <c r="BJ1850" i="1"/>
  <c r="BH1850" i="1"/>
  <c r="BF1850" i="1"/>
  <c r="BD1850" i="1"/>
  <c r="BB1850" i="1"/>
  <c r="AW1850" i="1"/>
  <c r="AV1850" i="1"/>
  <c r="AU1850" i="1"/>
  <c r="AT1850" i="1"/>
  <c r="AS1850" i="1"/>
  <c r="AG1850" i="1"/>
  <c r="AB1850" i="1"/>
  <c r="W1850" i="1"/>
  <c r="R1850" i="1"/>
  <c r="M1850" i="1"/>
  <c r="BJ1849" i="1"/>
  <c r="BH1849" i="1"/>
  <c r="BF1849" i="1"/>
  <c r="BD1849" i="1"/>
  <c r="BB1849" i="1"/>
  <c r="AW1849" i="1"/>
  <c r="AV1849" i="1"/>
  <c r="AU1849" i="1"/>
  <c r="AT1849" i="1"/>
  <c r="AS1849" i="1"/>
  <c r="AG1849" i="1"/>
  <c r="AB1849" i="1"/>
  <c r="W1849" i="1"/>
  <c r="R1849" i="1"/>
  <c r="M1849" i="1"/>
  <c r="BJ1848" i="1"/>
  <c r="BH1848" i="1"/>
  <c r="BF1848" i="1"/>
  <c r="BD1848" i="1"/>
  <c r="BB1848" i="1"/>
  <c r="AW1848" i="1"/>
  <c r="AV1848" i="1"/>
  <c r="AU1848" i="1"/>
  <c r="AT1848" i="1"/>
  <c r="AS1848" i="1"/>
  <c r="AG1848" i="1"/>
  <c r="AB1848" i="1"/>
  <c r="W1848" i="1"/>
  <c r="R1848" i="1"/>
  <c r="M1848" i="1"/>
  <c r="BJ1847" i="1"/>
  <c r="BH1847" i="1"/>
  <c r="BF1847" i="1"/>
  <c r="BD1847" i="1"/>
  <c r="BB1847" i="1"/>
  <c r="AW1847" i="1"/>
  <c r="AV1847" i="1"/>
  <c r="AU1847" i="1"/>
  <c r="AT1847" i="1"/>
  <c r="AS1847" i="1"/>
  <c r="AG1847" i="1"/>
  <c r="AB1847" i="1"/>
  <c r="W1847" i="1"/>
  <c r="R1847" i="1"/>
  <c r="M1847" i="1"/>
  <c r="BJ1846" i="1"/>
  <c r="BH1846" i="1"/>
  <c r="BF1846" i="1"/>
  <c r="BD1846" i="1"/>
  <c r="BB1846" i="1"/>
  <c r="AW1846" i="1"/>
  <c r="AV1846" i="1"/>
  <c r="AU1846" i="1"/>
  <c r="AT1846" i="1"/>
  <c r="AS1846" i="1"/>
  <c r="AG1846" i="1"/>
  <c r="AB1846" i="1"/>
  <c r="W1846" i="1"/>
  <c r="R1846" i="1"/>
  <c r="M1846" i="1"/>
  <c r="BJ1845" i="1"/>
  <c r="BH1845" i="1"/>
  <c r="BF1845" i="1"/>
  <c r="BD1845" i="1"/>
  <c r="BB1845" i="1"/>
  <c r="AW1845" i="1"/>
  <c r="AV1845" i="1"/>
  <c r="AU1845" i="1"/>
  <c r="AT1845" i="1"/>
  <c r="AS1845" i="1"/>
  <c r="AG1845" i="1"/>
  <c r="AB1845" i="1"/>
  <c r="W1845" i="1"/>
  <c r="R1845" i="1"/>
  <c r="M1845" i="1"/>
  <c r="BJ1844" i="1"/>
  <c r="BH1844" i="1"/>
  <c r="BF1844" i="1"/>
  <c r="BD1844" i="1"/>
  <c r="BB1844" i="1"/>
  <c r="AW1844" i="1"/>
  <c r="AV1844" i="1"/>
  <c r="AU1844" i="1"/>
  <c r="AT1844" i="1"/>
  <c r="AS1844" i="1"/>
  <c r="AG1844" i="1"/>
  <c r="AB1844" i="1"/>
  <c r="W1844" i="1"/>
  <c r="R1844" i="1"/>
  <c r="M1844" i="1"/>
  <c r="BJ1843" i="1"/>
  <c r="BH1843" i="1"/>
  <c r="BF1843" i="1"/>
  <c r="BD1843" i="1"/>
  <c r="BB1843" i="1"/>
  <c r="AW1843" i="1"/>
  <c r="AV1843" i="1"/>
  <c r="AU1843" i="1"/>
  <c r="AT1843" i="1"/>
  <c r="AS1843" i="1"/>
  <c r="AG1843" i="1"/>
  <c r="AB1843" i="1"/>
  <c r="W1843" i="1"/>
  <c r="R1843" i="1"/>
  <c r="M1843" i="1"/>
  <c r="BJ1842" i="1"/>
  <c r="BH1842" i="1"/>
  <c r="BF1842" i="1"/>
  <c r="BD1842" i="1"/>
  <c r="BB1842" i="1"/>
  <c r="AW1842" i="1"/>
  <c r="AV1842" i="1"/>
  <c r="AU1842" i="1"/>
  <c r="AT1842" i="1"/>
  <c r="AS1842" i="1"/>
  <c r="AG1842" i="1"/>
  <c r="AB1842" i="1"/>
  <c r="W1842" i="1"/>
  <c r="R1842" i="1"/>
  <c r="M1842" i="1"/>
  <c r="BJ1841" i="1"/>
  <c r="BH1841" i="1"/>
  <c r="BF1841" i="1"/>
  <c r="BD1841" i="1"/>
  <c r="BB1841" i="1"/>
  <c r="AW1841" i="1"/>
  <c r="AV1841" i="1"/>
  <c r="AU1841" i="1"/>
  <c r="AT1841" i="1"/>
  <c r="AS1841" i="1"/>
  <c r="AG1841" i="1"/>
  <c r="AB1841" i="1"/>
  <c r="W1841" i="1"/>
  <c r="R1841" i="1"/>
  <c r="M1841" i="1"/>
  <c r="BJ1840" i="1"/>
  <c r="BH1840" i="1"/>
  <c r="BF1840" i="1"/>
  <c r="BD1840" i="1"/>
  <c r="BB1840" i="1"/>
  <c r="AW1840" i="1"/>
  <c r="AV1840" i="1"/>
  <c r="AU1840" i="1"/>
  <c r="AT1840" i="1"/>
  <c r="AS1840" i="1"/>
  <c r="AG1840" i="1"/>
  <c r="AB1840" i="1"/>
  <c r="W1840" i="1"/>
  <c r="R1840" i="1"/>
  <c r="M1840" i="1"/>
  <c r="BJ1839" i="1"/>
  <c r="BH1839" i="1"/>
  <c r="BF1839" i="1"/>
  <c r="BD1839" i="1"/>
  <c r="BB1839" i="1"/>
  <c r="AW1839" i="1"/>
  <c r="AV1839" i="1"/>
  <c r="AU1839" i="1"/>
  <c r="AT1839" i="1"/>
  <c r="AS1839" i="1"/>
  <c r="AG1839" i="1"/>
  <c r="AB1839" i="1"/>
  <c r="W1839" i="1"/>
  <c r="R1839" i="1"/>
  <c r="M1839" i="1"/>
  <c r="BJ1838" i="1"/>
  <c r="BH1838" i="1"/>
  <c r="BF1838" i="1"/>
  <c r="BD1838" i="1"/>
  <c r="BB1838" i="1"/>
  <c r="AW1838" i="1"/>
  <c r="AV1838" i="1"/>
  <c r="AU1838" i="1"/>
  <c r="AT1838" i="1"/>
  <c r="AS1838" i="1"/>
  <c r="AG1838" i="1"/>
  <c r="AB1838" i="1"/>
  <c r="W1838" i="1"/>
  <c r="R1838" i="1"/>
  <c r="M1838" i="1"/>
  <c r="BJ1837" i="1"/>
  <c r="BH1837" i="1"/>
  <c r="BF1837" i="1"/>
  <c r="BD1837" i="1"/>
  <c r="BB1837" i="1"/>
  <c r="AW1837" i="1"/>
  <c r="AV1837" i="1"/>
  <c r="AU1837" i="1"/>
  <c r="AT1837" i="1"/>
  <c r="AS1837" i="1"/>
  <c r="AG1837" i="1"/>
  <c r="AB1837" i="1"/>
  <c r="W1837" i="1"/>
  <c r="R1837" i="1"/>
  <c r="M1837" i="1"/>
  <c r="BJ1836" i="1"/>
  <c r="BH1836" i="1"/>
  <c r="BF1836" i="1"/>
  <c r="BD1836" i="1"/>
  <c r="BB1836" i="1"/>
  <c r="AW1836" i="1"/>
  <c r="AV1836" i="1"/>
  <c r="AU1836" i="1"/>
  <c r="AT1836" i="1"/>
  <c r="AS1836" i="1"/>
  <c r="AG1836" i="1"/>
  <c r="AB1836" i="1"/>
  <c r="W1836" i="1"/>
  <c r="R1836" i="1"/>
  <c r="M1836" i="1"/>
  <c r="BJ1835" i="1"/>
  <c r="BH1835" i="1"/>
  <c r="BF1835" i="1"/>
  <c r="BD1835" i="1"/>
  <c r="BB1835" i="1"/>
  <c r="AW1835" i="1"/>
  <c r="AV1835" i="1"/>
  <c r="AU1835" i="1"/>
  <c r="AT1835" i="1"/>
  <c r="AS1835" i="1"/>
  <c r="AG1835" i="1"/>
  <c r="AB1835" i="1"/>
  <c r="W1835" i="1"/>
  <c r="R1835" i="1"/>
  <c r="M1835" i="1"/>
  <c r="BJ1834" i="1"/>
  <c r="BH1834" i="1"/>
  <c r="BF1834" i="1"/>
  <c r="BD1834" i="1"/>
  <c r="BB1834" i="1"/>
  <c r="AW1834" i="1"/>
  <c r="AV1834" i="1"/>
  <c r="AU1834" i="1"/>
  <c r="AT1834" i="1"/>
  <c r="AS1834" i="1"/>
  <c r="AG1834" i="1"/>
  <c r="AB1834" i="1"/>
  <c r="W1834" i="1"/>
  <c r="R1834" i="1"/>
  <c r="M1834" i="1"/>
  <c r="BJ1833" i="1"/>
  <c r="BH1833" i="1"/>
  <c r="BF1833" i="1"/>
  <c r="BD1833" i="1"/>
  <c r="BB1833" i="1"/>
  <c r="AW1833" i="1"/>
  <c r="AV1833" i="1"/>
  <c r="AU1833" i="1"/>
  <c r="AT1833" i="1"/>
  <c r="AS1833" i="1"/>
  <c r="AG1833" i="1"/>
  <c r="AB1833" i="1"/>
  <c r="W1833" i="1"/>
  <c r="R1833" i="1"/>
  <c r="M1833" i="1"/>
  <c r="BJ1832" i="1"/>
  <c r="BH1832" i="1"/>
  <c r="BF1832" i="1"/>
  <c r="BD1832" i="1"/>
  <c r="BB1832" i="1"/>
  <c r="AW1832" i="1"/>
  <c r="AV1832" i="1"/>
  <c r="AU1832" i="1"/>
  <c r="AT1832" i="1"/>
  <c r="AS1832" i="1"/>
  <c r="AG1832" i="1"/>
  <c r="AB1832" i="1"/>
  <c r="W1832" i="1"/>
  <c r="R1832" i="1"/>
  <c r="M1832" i="1"/>
  <c r="BJ1831" i="1"/>
  <c r="BH1831" i="1"/>
  <c r="BF1831" i="1"/>
  <c r="BD1831" i="1"/>
  <c r="BB1831" i="1"/>
  <c r="AW1831" i="1"/>
  <c r="AV1831" i="1"/>
  <c r="AU1831" i="1"/>
  <c r="AT1831" i="1"/>
  <c r="AS1831" i="1"/>
  <c r="AG1831" i="1"/>
  <c r="AB1831" i="1"/>
  <c r="W1831" i="1"/>
  <c r="R1831" i="1"/>
  <c r="M1831" i="1"/>
  <c r="BJ1830" i="1"/>
  <c r="BH1830" i="1"/>
  <c r="BF1830" i="1"/>
  <c r="BD1830" i="1"/>
  <c r="BB1830" i="1"/>
  <c r="AW1830" i="1"/>
  <c r="AV1830" i="1"/>
  <c r="AU1830" i="1"/>
  <c r="AT1830" i="1"/>
  <c r="AS1830" i="1"/>
  <c r="AG1830" i="1"/>
  <c r="AB1830" i="1"/>
  <c r="W1830" i="1"/>
  <c r="R1830" i="1"/>
  <c r="M1830" i="1"/>
  <c r="BJ1829" i="1"/>
  <c r="BH1829" i="1"/>
  <c r="BF1829" i="1"/>
  <c r="BD1829" i="1"/>
  <c r="BB1829" i="1"/>
  <c r="AW1829" i="1"/>
  <c r="AV1829" i="1"/>
  <c r="AU1829" i="1"/>
  <c r="AT1829" i="1"/>
  <c r="AS1829" i="1"/>
  <c r="AG1829" i="1"/>
  <c r="AB1829" i="1"/>
  <c r="W1829" i="1"/>
  <c r="R1829" i="1"/>
  <c r="M1829" i="1"/>
  <c r="BJ1828" i="1"/>
  <c r="BH1828" i="1"/>
  <c r="BF1828" i="1"/>
  <c r="BD1828" i="1"/>
  <c r="BB1828" i="1"/>
  <c r="AW1828" i="1"/>
  <c r="AV1828" i="1"/>
  <c r="AU1828" i="1"/>
  <c r="AT1828" i="1"/>
  <c r="AS1828" i="1"/>
  <c r="AG1828" i="1"/>
  <c r="AB1828" i="1"/>
  <c r="W1828" i="1"/>
  <c r="R1828" i="1"/>
  <c r="M1828" i="1"/>
  <c r="BJ1827" i="1"/>
  <c r="BH1827" i="1"/>
  <c r="BF1827" i="1"/>
  <c r="BD1827" i="1"/>
  <c r="BB1827" i="1"/>
  <c r="AW1827" i="1"/>
  <c r="AV1827" i="1"/>
  <c r="AU1827" i="1"/>
  <c r="AT1827" i="1"/>
  <c r="AS1827" i="1"/>
  <c r="AG1827" i="1"/>
  <c r="AB1827" i="1"/>
  <c r="W1827" i="1"/>
  <c r="R1827" i="1"/>
  <c r="M1827" i="1"/>
  <c r="BJ1826" i="1"/>
  <c r="BH1826" i="1"/>
  <c r="BF1826" i="1"/>
  <c r="BD1826" i="1"/>
  <c r="BB1826" i="1"/>
  <c r="AW1826" i="1"/>
  <c r="AV1826" i="1"/>
  <c r="AU1826" i="1"/>
  <c r="AT1826" i="1"/>
  <c r="AS1826" i="1"/>
  <c r="AG1826" i="1"/>
  <c r="AB1826" i="1"/>
  <c r="W1826" i="1"/>
  <c r="R1826" i="1"/>
  <c r="M1826" i="1"/>
  <c r="BJ1825" i="1"/>
  <c r="BH1825" i="1"/>
  <c r="BF1825" i="1"/>
  <c r="BD1825" i="1"/>
  <c r="BB1825" i="1"/>
  <c r="AW1825" i="1"/>
  <c r="AV1825" i="1"/>
  <c r="AU1825" i="1"/>
  <c r="AT1825" i="1"/>
  <c r="AS1825" i="1"/>
  <c r="AG1825" i="1"/>
  <c r="AB1825" i="1"/>
  <c r="W1825" i="1"/>
  <c r="R1825" i="1"/>
  <c r="M1825" i="1"/>
  <c r="BJ1824" i="1"/>
  <c r="BH1824" i="1"/>
  <c r="BF1824" i="1"/>
  <c r="BD1824" i="1"/>
  <c r="BB1824" i="1"/>
  <c r="AW1824" i="1"/>
  <c r="AV1824" i="1"/>
  <c r="AU1824" i="1"/>
  <c r="AT1824" i="1"/>
  <c r="AS1824" i="1"/>
  <c r="AG1824" i="1"/>
  <c r="AB1824" i="1"/>
  <c r="W1824" i="1"/>
  <c r="R1824" i="1"/>
  <c r="M1824" i="1"/>
  <c r="BJ1823" i="1"/>
  <c r="BH1823" i="1"/>
  <c r="BF1823" i="1"/>
  <c r="BD1823" i="1"/>
  <c r="BB1823" i="1"/>
  <c r="AW1823" i="1"/>
  <c r="AV1823" i="1"/>
  <c r="AU1823" i="1"/>
  <c r="AT1823" i="1"/>
  <c r="AS1823" i="1"/>
  <c r="AG1823" i="1"/>
  <c r="AB1823" i="1"/>
  <c r="W1823" i="1"/>
  <c r="R1823" i="1"/>
  <c r="M1823" i="1"/>
  <c r="BJ1822" i="1"/>
  <c r="BH1822" i="1"/>
  <c r="BF1822" i="1"/>
  <c r="BD1822" i="1"/>
  <c r="BB1822" i="1"/>
  <c r="AW1822" i="1"/>
  <c r="AV1822" i="1"/>
  <c r="AU1822" i="1"/>
  <c r="AT1822" i="1"/>
  <c r="AS1822" i="1"/>
  <c r="AG1822" i="1"/>
  <c r="AB1822" i="1"/>
  <c r="W1822" i="1"/>
  <c r="R1822" i="1"/>
  <c r="M1822" i="1"/>
  <c r="BJ1821" i="1"/>
  <c r="BH1821" i="1"/>
  <c r="BF1821" i="1"/>
  <c r="BD1821" i="1"/>
  <c r="BB1821" i="1"/>
  <c r="AW1821" i="1"/>
  <c r="AV1821" i="1"/>
  <c r="AU1821" i="1"/>
  <c r="AT1821" i="1"/>
  <c r="AS1821" i="1"/>
  <c r="AG1821" i="1"/>
  <c r="AB1821" i="1"/>
  <c r="W1821" i="1"/>
  <c r="R1821" i="1"/>
  <c r="M1821" i="1"/>
  <c r="BJ1820" i="1"/>
  <c r="BH1820" i="1"/>
  <c r="BF1820" i="1"/>
  <c r="BD1820" i="1"/>
  <c r="BB1820" i="1"/>
  <c r="AW1820" i="1"/>
  <c r="AV1820" i="1"/>
  <c r="AU1820" i="1"/>
  <c r="AT1820" i="1"/>
  <c r="AS1820" i="1"/>
  <c r="AG1820" i="1"/>
  <c r="AB1820" i="1"/>
  <c r="W1820" i="1"/>
  <c r="R1820" i="1"/>
  <c r="M1820" i="1"/>
  <c r="BJ1819" i="1"/>
  <c r="BH1819" i="1"/>
  <c r="BF1819" i="1"/>
  <c r="BD1819" i="1"/>
  <c r="BB1819" i="1"/>
  <c r="AW1819" i="1"/>
  <c r="AV1819" i="1"/>
  <c r="AU1819" i="1"/>
  <c r="AT1819" i="1"/>
  <c r="AS1819" i="1"/>
  <c r="AG1819" i="1"/>
  <c r="AB1819" i="1"/>
  <c r="W1819" i="1"/>
  <c r="R1819" i="1"/>
  <c r="M1819" i="1"/>
  <c r="BJ1818" i="1"/>
  <c r="BH1818" i="1"/>
  <c r="BF1818" i="1"/>
  <c r="BD1818" i="1"/>
  <c r="BB1818" i="1"/>
  <c r="AW1818" i="1"/>
  <c r="AV1818" i="1"/>
  <c r="AU1818" i="1"/>
  <c r="AT1818" i="1"/>
  <c r="AS1818" i="1"/>
  <c r="AG1818" i="1"/>
  <c r="AB1818" i="1"/>
  <c r="W1818" i="1"/>
  <c r="R1818" i="1"/>
  <c r="M1818" i="1"/>
  <c r="BJ1817" i="1"/>
  <c r="BH1817" i="1"/>
  <c r="BF1817" i="1"/>
  <c r="BD1817" i="1"/>
  <c r="BB1817" i="1"/>
  <c r="AW1817" i="1"/>
  <c r="AV1817" i="1"/>
  <c r="AU1817" i="1"/>
  <c r="AT1817" i="1"/>
  <c r="AS1817" i="1"/>
  <c r="AG1817" i="1"/>
  <c r="AB1817" i="1"/>
  <c r="W1817" i="1"/>
  <c r="R1817" i="1"/>
  <c r="M1817" i="1"/>
  <c r="BJ1816" i="1"/>
  <c r="BH1816" i="1"/>
  <c r="BF1816" i="1"/>
  <c r="BD1816" i="1"/>
  <c r="BB1816" i="1"/>
  <c r="AW1816" i="1"/>
  <c r="AV1816" i="1"/>
  <c r="AU1816" i="1"/>
  <c r="AT1816" i="1"/>
  <c r="AS1816" i="1"/>
  <c r="AG1816" i="1"/>
  <c r="AB1816" i="1"/>
  <c r="W1816" i="1"/>
  <c r="R1816" i="1"/>
  <c r="M1816" i="1"/>
  <c r="BJ1815" i="1"/>
  <c r="BH1815" i="1"/>
  <c r="BF1815" i="1"/>
  <c r="BD1815" i="1"/>
  <c r="BB1815" i="1"/>
  <c r="AW1815" i="1"/>
  <c r="AV1815" i="1"/>
  <c r="AU1815" i="1"/>
  <c r="AT1815" i="1"/>
  <c r="AS1815" i="1"/>
  <c r="AG1815" i="1"/>
  <c r="AB1815" i="1"/>
  <c r="W1815" i="1"/>
  <c r="R1815" i="1"/>
  <c r="M1815" i="1"/>
  <c r="BJ1814" i="1"/>
  <c r="BH1814" i="1"/>
  <c r="BF1814" i="1"/>
  <c r="BD1814" i="1"/>
  <c r="BB1814" i="1"/>
  <c r="AW1814" i="1"/>
  <c r="AV1814" i="1"/>
  <c r="AU1814" i="1"/>
  <c r="AT1814" i="1"/>
  <c r="AS1814" i="1"/>
  <c r="AG1814" i="1"/>
  <c r="AB1814" i="1"/>
  <c r="W1814" i="1"/>
  <c r="R1814" i="1"/>
  <c r="M1814" i="1"/>
  <c r="BJ1813" i="1"/>
  <c r="BH1813" i="1"/>
  <c r="BF1813" i="1"/>
  <c r="BD1813" i="1"/>
  <c r="BB1813" i="1"/>
  <c r="AW1813" i="1"/>
  <c r="AV1813" i="1"/>
  <c r="AU1813" i="1"/>
  <c r="AT1813" i="1"/>
  <c r="AS1813" i="1"/>
  <c r="AG1813" i="1"/>
  <c r="AB1813" i="1"/>
  <c r="W1813" i="1"/>
  <c r="R1813" i="1"/>
  <c r="M1813" i="1"/>
  <c r="BJ1812" i="1"/>
  <c r="BH1812" i="1"/>
  <c r="BF1812" i="1"/>
  <c r="BD1812" i="1"/>
  <c r="BB1812" i="1"/>
  <c r="AW1812" i="1"/>
  <c r="AV1812" i="1"/>
  <c r="AU1812" i="1"/>
  <c r="AT1812" i="1"/>
  <c r="AS1812" i="1"/>
  <c r="AG1812" i="1"/>
  <c r="AB1812" i="1"/>
  <c r="W1812" i="1"/>
  <c r="R1812" i="1"/>
  <c r="M1812" i="1"/>
  <c r="BJ1811" i="1"/>
  <c r="BH1811" i="1"/>
  <c r="BF1811" i="1"/>
  <c r="BD1811" i="1"/>
  <c r="BB1811" i="1"/>
  <c r="AW1811" i="1"/>
  <c r="AV1811" i="1"/>
  <c r="AU1811" i="1"/>
  <c r="AT1811" i="1"/>
  <c r="AS1811" i="1"/>
  <c r="AG1811" i="1"/>
  <c r="AB1811" i="1"/>
  <c r="W1811" i="1"/>
  <c r="R1811" i="1"/>
  <c r="M1811" i="1"/>
  <c r="BJ1810" i="1"/>
  <c r="BH1810" i="1"/>
  <c r="BF1810" i="1"/>
  <c r="BD1810" i="1"/>
  <c r="BB1810" i="1"/>
  <c r="AW1810" i="1"/>
  <c r="AV1810" i="1"/>
  <c r="AU1810" i="1"/>
  <c r="AT1810" i="1"/>
  <c r="AS1810" i="1"/>
  <c r="AG1810" i="1"/>
  <c r="AB1810" i="1"/>
  <c r="W1810" i="1"/>
  <c r="R1810" i="1"/>
  <c r="M1810" i="1"/>
  <c r="BJ1809" i="1"/>
  <c r="BH1809" i="1"/>
  <c r="BF1809" i="1"/>
  <c r="BD1809" i="1"/>
  <c r="BB1809" i="1"/>
  <c r="AW1809" i="1"/>
  <c r="AV1809" i="1"/>
  <c r="AU1809" i="1"/>
  <c r="AT1809" i="1"/>
  <c r="AS1809" i="1"/>
  <c r="AG1809" i="1"/>
  <c r="AB1809" i="1"/>
  <c r="W1809" i="1"/>
  <c r="R1809" i="1"/>
  <c r="M1809" i="1"/>
  <c r="BJ1808" i="1"/>
  <c r="BH1808" i="1"/>
  <c r="BF1808" i="1"/>
  <c r="BD1808" i="1"/>
  <c r="BB1808" i="1"/>
  <c r="AW1808" i="1"/>
  <c r="AV1808" i="1"/>
  <c r="AU1808" i="1"/>
  <c r="AT1808" i="1"/>
  <c r="AS1808" i="1"/>
  <c r="AG1808" i="1"/>
  <c r="AB1808" i="1"/>
  <c r="W1808" i="1"/>
  <c r="R1808" i="1"/>
  <c r="M1808" i="1"/>
  <c r="BJ1807" i="1"/>
  <c r="BH1807" i="1"/>
  <c r="BF1807" i="1"/>
  <c r="BD1807" i="1"/>
  <c r="BB1807" i="1"/>
  <c r="AW1807" i="1"/>
  <c r="AV1807" i="1"/>
  <c r="AU1807" i="1"/>
  <c r="AT1807" i="1"/>
  <c r="AS1807" i="1"/>
  <c r="AG1807" i="1"/>
  <c r="AB1807" i="1"/>
  <c r="W1807" i="1"/>
  <c r="R1807" i="1"/>
  <c r="M1807" i="1"/>
  <c r="BJ1806" i="1"/>
  <c r="BH1806" i="1"/>
  <c r="BF1806" i="1"/>
  <c r="BD1806" i="1"/>
  <c r="BB1806" i="1"/>
  <c r="AW1806" i="1"/>
  <c r="AV1806" i="1"/>
  <c r="AU1806" i="1"/>
  <c r="AT1806" i="1"/>
  <c r="AS1806" i="1"/>
  <c r="AG1806" i="1"/>
  <c r="AB1806" i="1"/>
  <c r="W1806" i="1"/>
  <c r="R1806" i="1"/>
  <c r="M1806" i="1"/>
  <c r="BJ1805" i="1"/>
  <c r="BH1805" i="1"/>
  <c r="BF1805" i="1"/>
  <c r="BD1805" i="1"/>
  <c r="BB1805" i="1"/>
  <c r="AW1805" i="1"/>
  <c r="AV1805" i="1"/>
  <c r="AU1805" i="1"/>
  <c r="AT1805" i="1"/>
  <c r="AS1805" i="1"/>
  <c r="AG1805" i="1"/>
  <c r="AB1805" i="1"/>
  <c r="W1805" i="1"/>
  <c r="R1805" i="1"/>
  <c r="M1805" i="1"/>
  <c r="BJ1804" i="1"/>
  <c r="BH1804" i="1"/>
  <c r="BF1804" i="1"/>
  <c r="BD1804" i="1"/>
  <c r="BB1804" i="1"/>
  <c r="AW1804" i="1"/>
  <c r="AV1804" i="1"/>
  <c r="AU1804" i="1"/>
  <c r="AT1804" i="1"/>
  <c r="AS1804" i="1"/>
  <c r="AG1804" i="1"/>
  <c r="AB1804" i="1"/>
  <c r="W1804" i="1"/>
  <c r="R1804" i="1"/>
  <c r="M1804" i="1"/>
  <c r="BJ1803" i="1"/>
  <c r="BH1803" i="1"/>
  <c r="BF1803" i="1"/>
  <c r="BD1803" i="1"/>
  <c r="BB1803" i="1"/>
  <c r="AW1803" i="1"/>
  <c r="AV1803" i="1"/>
  <c r="AU1803" i="1"/>
  <c r="AT1803" i="1"/>
  <c r="AS1803" i="1"/>
  <c r="AG1803" i="1"/>
  <c r="AB1803" i="1"/>
  <c r="W1803" i="1"/>
  <c r="R1803" i="1"/>
  <c r="M1803" i="1"/>
  <c r="BJ1802" i="1"/>
  <c r="BH1802" i="1"/>
  <c r="BF1802" i="1"/>
  <c r="BD1802" i="1"/>
  <c r="BB1802" i="1"/>
  <c r="AW1802" i="1"/>
  <c r="AV1802" i="1"/>
  <c r="AU1802" i="1"/>
  <c r="AT1802" i="1"/>
  <c r="AS1802" i="1"/>
  <c r="AG1802" i="1"/>
  <c r="AB1802" i="1"/>
  <c r="W1802" i="1"/>
  <c r="R1802" i="1"/>
  <c r="M1802" i="1"/>
  <c r="BJ1801" i="1"/>
  <c r="BH1801" i="1"/>
  <c r="BF1801" i="1"/>
  <c r="BD1801" i="1"/>
  <c r="BB1801" i="1"/>
  <c r="AW1801" i="1"/>
  <c r="AV1801" i="1"/>
  <c r="AU1801" i="1"/>
  <c r="AT1801" i="1"/>
  <c r="AS1801" i="1"/>
  <c r="AG1801" i="1"/>
  <c r="AB1801" i="1"/>
  <c r="W1801" i="1"/>
  <c r="R1801" i="1"/>
  <c r="M1801" i="1"/>
  <c r="BJ1800" i="1"/>
  <c r="BH1800" i="1"/>
  <c r="BF1800" i="1"/>
  <c r="BD1800" i="1"/>
  <c r="BB1800" i="1"/>
  <c r="AW1800" i="1"/>
  <c r="AV1800" i="1"/>
  <c r="AU1800" i="1"/>
  <c r="AT1800" i="1"/>
  <c r="AS1800" i="1"/>
  <c r="AG1800" i="1"/>
  <c r="AB1800" i="1"/>
  <c r="W1800" i="1"/>
  <c r="R1800" i="1"/>
  <c r="M1800" i="1"/>
  <c r="AZ1799" i="1"/>
  <c r="BA1817" i="1" s="1"/>
  <c r="AR1799" i="1"/>
  <c r="BJ1798" i="1"/>
  <c r="BH1798" i="1"/>
  <c r="BF1798" i="1"/>
  <c r="BD1798" i="1"/>
  <c r="BB1798" i="1"/>
  <c r="AW1798" i="1"/>
  <c r="AV1798" i="1"/>
  <c r="AU1798" i="1"/>
  <c r="AT1798" i="1"/>
  <c r="AS1798" i="1"/>
  <c r="AG1798" i="1"/>
  <c r="AB1798" i="1"/>
  <c r="W1798" i="1"/>
  <c r="R1798" i="1"/>
  <c r="M1798" i="1"/>
  <c r="BJ1797" i="1"/>
  <c r="BH1797" i="1"/>
  <c r="BF1797" i="1"/>
  <c r="BD1797" i="1"/>
  <c r="BB1797" i="1"/>
  <c r="AW1797" i="1"/>
  <c r="AV1797" i="1"/>
  <c r="AU1797" i="1"/>
  <c r="AT1797" i="1"/>
  <c r="AS1797" i="1"/>
  <c r="AG1797" i="1"/>
  <c r="AB1797" i="1"/>
  <c r="W1797" i="1"/>
  <c r="R1797" i="1"/>
  <c r="M1797" i="1"/>
  <c r="BJ1796" i="1"/>
  <c r="BH1796" i="1"/>
  <c r="BF1796" i="1"/>
  <c r="BD1796" i="1"/>
  <c r="BB1796" i="1"/>
  <c r="AW1796" i="1"/>
  <c r="AV1796" i="1"/>
  <c r="AU1796" i="1"/>
  <c r="AT1796" i="1"/>
  <c r="AS1796" i="1"/>
  <c r="AG1796" i="1"/>
  <c r="AB1796" i="1"/>
  <c r="W1796" i="1"/>
  <c r="R1796" i="1"/>
  <c r="M1796" i="1"/>
  <c r="BJ1795" i="1"/>
  <c r="BH1795" i="1"/>
  <c r="BF1795" i="1"/>
  <c r="BD1795" i="1"/>
  <c r="BB1795" i="1"/>
  <c r="AW1795" i="1"/>
  <c r="AV1795" i="1"/>
  <c r="AU1795" i="1"/>
  <c r="AT1795" i="1"/>
  <c r="AS1795" i="1"/>
  <c r="AG1795" i="1"/>
  <c r="AB1795" i="1"/>
  <c r="W1795" i="1"/>
  <c r="R1795" i="1"/>
  <c r="M1795" i="1"/>
  <c r="BJ1794" i="1"/>
  <c r="BH1794" i="1"/>
  <c r="BF1794" i="1"/>
  <c r="BD1794" i="1"/>
  <c r="BB1794" i="1"/>
  <c r="AW1794" i="1"/>
  <c r="AV1794" i="1"/>
  <c r="AU1794" i="1"/>
  <c r="AT1794" i="1"/>
  <c r="AS1794" i="1"/>
  <c r="AG1794" i="1"/>
  <c r="AB1794" i="1"/>
  <c r="W1794" i="1"/>
  <c r="R1794" i="1"/>
  <c r="M1794" i="1"/>
  <c r="BJ1793" i="1"/>
  <c r="BH1793" i="1"/>
  <c r="BF1793" i="1"/>
  <c r="BD1793" i="1"/>
  <c r="BB1793" i="1"/>
  <c r="AW1793" i="1"/>
  <c r="AV1793" i="1"/>
  <c r="AU1793" i="1"/>
  <c r="AT1793" i="1"/>
  <c r="AS1793" i="1"/>
  <c r="AG1793" i="1"/>
  <c r="AB1793" i="1"/>
  <c r="W1793" i="1"/>
  <c r="R1793" i="1"/>
  <c r="M1793" i="1"/>
  <c r="BJ1792" i="1"/>
  <c r="BH1792" i="1"/>
  <c r="BF1792" i="1"/>
  <c r="BD1792" i="1"/>
  <c r="BB1792" i="1"/>
  <c r="AW1792" i="1"/>
  <c r="AV1792" i="1"/>
  <c r="AU1792" i="1"/>
  <c r="AT1792" i="1"/>
  <c r="AS1792" i="1"/>
  <c r="AG1792" i="1"/>
  <c r="AB1792" i="1"/>
  <c r="W1792" i="1"/>
  <c r="R1792" i="1"/>
  <c r="M1792" i="1"/>
  <c r="BJ1790" i="1"/>
  <c r="BH1790" i="1"/>
  <c r="BF1790" i="1"/>
  <c r="BD1790" i="1"/>
  <c r="BB1790" i="1"/>
  <c r="AW1790" i="1"/>
  <c r="AV1790" i="1"/>
  <c r="AU1790" i="1"/>
  <c r="AT1790" i="1"/>
  <c r="AS1790" i="1"/>
  <c r="AG1790" i="1"/>
  <c r="AB1790" i="1"/>
  <c r="W1790" i="1"/>
  <c r="R1790" i="1"/>
  <c r="M1790" i="1"/>
  <c r="BJ1789" i="1"/>
  <c r="BH1789" i="1"/>
  <c r="BF1789" i="1"/>
  <c r="BD1789" i="1"/>
  <c r="BB1789" i="1"/>
  <c r="AW1789" i="1"/>
  <c r="AV1789" i="1"/>
  <c r="AU1789" i="1"/>
  <c r="AT1789" i="1"/>
  <c r="AS1789" i="1"/>
  <c r="AG1789" i="1"/>
  <c r="AB1789" i="1"/>
  <c r="W1789" i="1"/>
  <c r="R1789" i="1"/>
  <c r="M1789" i="1"/>
  <c r="BJ1788" i="1"/>
  <c r="BH1788" i="1"/>
  <c r="BF1788" i="1"/>
  <c r="BD1788" i="1"/>
  <c r="BB1788" i="1"/>
  <c r="AW1788" i="1"/>
  <c r="AV1788" i="1"/>
  <c r="AU1788" i="1"/>
  <c r="AT1788" i="1"/>
  <c r="AS1788" i="1"/>
  <c r="AG1788" i="1"/>
  <c r="AB1788" i="1"/>
  <c r="W1788" i="1"/>
  <c r="R1788" i="1"/>
  <c r="M1788" i="1"/>
  <c r="BJ1787" i="1"/>
  <c r="BH1787" i="1"/>
  <c r="BF1787" i="1"/>
  <c r="BD1787" i="1"/>
  <c r="BB1787" i="1"/>
  <c r="AW1787" i="1"/>
  <c r="AV1787" i="1"/>
  <c r="AU1787" i="1"/>
  <c r="AT1787" i="1"/>
  <c r="AS1787" i="1"/>
  <c r="AG1787" i="1"/>
  <c r="AB1787" i="1"/>
  <c r="W1787" i="1"/>
  <c r="R1787" i="1"/>
  <c r="M1787" i="1"/>
  <c r="BJ1786" i="1"/>
  <c r="BH1786" i="1"/>
  <c r="BF1786" i="1"/>
  <c r="BD1786" i="1"/>
  <c r="BB1786" i="1"/>
  <c r="AW1786" i="1"/>
  <c r="AV1786" i="1"/>
  <c r="AU1786" i="1"/>
  <c r="AT1786" i="1"/>
  <c r="AS1786" i="1"/>
  <c r="AG1786" i="1"/>
  <c r="AB1786" i="1"/>
  <c r="W1786" i="1"/>
  <c r="R1786" i="1"/>
  <c r="M1786" i="1"/>
  <c r="BJ1785" i="1"/>
  <c r="BH1785" i="1"/>
  <c r="BF1785" i="1"/>
  <c r="BD1785" i="1"/>
  <c r="BB1785" i="1"/>
  <c r="AW1785" i="1"/>
  <c r="AV1785" i="1"/>
  <c r="AU1785" i="1"/>
  <c r="AT1785" i="1"/>
  <c r="AS1785" i="1"/>
  <c r="AG1785" i="1"/>
  <c r="AB1785" i="1"/>
  <c r="W1785" i="1"/>
  <c r="R1785" i="1"/>
  <c r="M1785" i="1"/>
  <c r="BJ1784" i="1"/>
  <c r="BH1784" i="1"/>
  <c r="BF1784" i="1"/>
  <c r="BD1784" i="1"/>
  <c r="BB1784" i="1"/>
  <c r="AW1784" i="1"/>
  <c r="AV1784" i="1"/>
  <c r="AU1784" i="1"/>
  <c r="AT1784" i="1"/>
  <c r="AS1784" i="1"/>
  <c r="AG1784" i="1"/>
  <c r="AB1784" i="1"/>
  <c r="W1784" i="1"/>
  <c r="R1784" i="1"/>
  <c r="M1784" i="1"/>
  <c r="BJ1783" i="1"/>
  <c r="BH1783" i="1"/>
  <c r="BF1783" i="1"/>
  <c r="BD1783" i="1"/>
  <c r="BB1783" i="1"/>
  <c r="AW1783" i="1"/>
  <c r="AV1783" i="1"/>
  <c r="AU1783" i="1"/>
  <c r="AT1783" i="1"/>
  <c r="AS1783" i="1"/>
  <c r="AG1783" i="1"/>
  <c r="AB1783" i="1"/>
  <c r="W1783" i="1"/>
  <c r="R1783" i="1"/>
  <c r="M1783" i="1"/>
  <c r="BJ1782" i="1"/>
  <c r="BH1782" i="1"/>
  <c r="BF1782" i="1"/>
  <c r="BD1782" i="1"/>
  <c r="BB1782" i="1"/>
  <c r="AW1782" i="1"/>
  <c r="AV1782" i="1"/>
  <c r="AU1782" i="1"/>
  <c r="AT1782" i="1"/>
  <c r="AS1782" i="1"/>
  <c r="AG1782" i="1"/>
  <c r="AB1782" i="1"/>
  <c r="W1782" i="1"/>
  <c r="R1782" i="1"/>
  <c r="M1782" i="1"/>
  <c r="BJ1781" i="1"/>
  <c r="BH1781" i="1"/>
  <c r="BF1781" i="1"/>
  <c r="BD1781" i="1"/>
  <c r="BB1781" i="1"/>
  <c r="AW1781" i="1"/>
  <c r="AV1781" i="1"/>
  <c r="AU1781" i="1"/>
  <c r="AT1781" i="1"/>
  <c r="AS1781" i="1"/>
  <c r="AG1781" i="1"/>
  <c r="AB1781" i="1"/>
  <c r="W1781" i="1"/>
  <c r="R1781" i="1"/>
  <c r="M1781" i="1"/>
  <c r="BJ1780" i="1"/>
  <c r="BH1780" i="1"/>
  <c r="BF1780" i="1"/>
  <c r="BD1780" i="1"/>
  <c r="BB1780" i="1"/>
  <c r="AW1780" i="1"/>
  <c r="AV1780" i="1"/>
  <c r="AU1780" i="1"/>
  <c r="AT1780" i="1"/>
  <c r="AS1780" i="1"/>
  <c r="AG1780" i="1"/>
  <c r="AB1780" i="1"/>
  <c r="W1780" i="1"/>
  <c r="R1780" i="1"/>
  <c r="M1780" i="1"/>
  <c r="BJ1779" i="1"/>
  <c r="BH1779" i="1"/>
  <c r="BF1779" i="1"/>
  <c r="BD1779" i="1"/>
  <c r="BB1779" i="1"/>
  <c r="AW1779" i="1"/>
  <c r="AV1779" i="1"/>
  <c r="AU1779" i="1"/>
  <c r="AT1779" i="1"/>
  <c r="AS1779" i="1"/>
  <c r="AG1779" i="1"/>
  <c r="AB1779" i="1"/>
  <c r="W1779" i="1"/>
  <c r="R1779" i="1"/>
  <c r="M1779" i="1"/>
  <c r="BH1778" i="1"/>
  <c r="BF1778" i="1"/>
  <c r="BD1778" i="1"/>
  <c r="BB1778" i="1"/>
  <c r="AV1778" i="1"/>
  <c r="AU1778" i="1"/>
  <c r="AT1778" i="1"/>
  <c r="AS1778" i="1"/>
  <c r="AG1778" i="1"/>
  <c r="AB1778" i="1"/>
  <c r="W1778" i="1"/>
  <c r="R1778" i="1"/>
  <c r="M1778" i="1"/>
  <c r="AZ1777" i="1"/>
  <c r="BA1790" i="1" s="1"/>
  <c r="AR1777" i="1"/>
  <c r="F1765" i="1"/>
  <c r="F1766" i="1" s="1" a="1"/>
  <c r="F1766" i="1" s="1"/>
  <c r="Q1412" i="1"/>
  <c r="Q1389" i="1"/>
  <c r="Q1385" i="1"/>
  <c r="Q1372" i="1"/>
  <c r="Q1413" i="1"/>
  <c r="Q1387" i="1"/>
  <c r="Q1361" i="1"/>
  <c r="Q1360" i="1"/>
  <c r="Q1348" i="1"/>
  <c r="Q1344" i="1"/>
  <c r="Q1341" i="1"/>
  <c r="Q1338" i="1"/>
  <c r="Q1330" i="1"/>
  <c r="Q1324" i="1"/>
  <c r="Q1352" i="1"/>
  <c r="Q955" i="1"/>
  <c r="AV1892" i="1" s="1"/>
  <c r="Q968" i="1"/>
  <c r="J535" i="1"/>
  <c r="K535" i="1" s="1"/>
  <c r="H535" i="1"/>
  <c r="J534" i="1"/>
  <c r="K534" i="1" s="1"/>
  <c r="H534" i="1"/>
  <c r="J533" i="1"/>
  <c r="K533" i="1" s="1"/>
  <c r="H533" i="1"/>
  <c r="J532" i="1"/>
  <c r="K532" i="1" s="1"/>
  <c r="H532" i="1"/>
  <c r="J531" i="1"/>
  <c r="K531" i="1" s="1"/>
  <c r="H531" i="1"/>
  <c r="J530" i="1"/>
  <c r="K530" i="1" s="1"/>
  <c r="H530" i="1"/>
  <c r="J528" i="1"/>
  <c r="I528" i="1"/>
  <c r="G528" i="1"/>
  <c r="F528" i="1"/>
  <c r="F521" i="1" a="1"/>
  <c r="F521" i="1" s="1"/>
  <c r="U117" i="1" a="1"/>
  <c r="U117" i="1" s="1"/>
  <c r="V117" i="1" s="1" a="1"/>
  <c r="V117" i="1" s="1"/>
  <c r="U116" i="1" a="1"/>
  <c r="U116" i="1" s="1"/>
  <c r="V116" i="1" s="1" a="1"/>
  <c r="V116" i="1" s="1"/>
  <c r="U115" i="1" a="1"/>
  <c r="U115" i="1" s="1"/>
  <c r="V115" i="1" s="1" a="1"/>
  <c r="V115" i="1" s="1"/>
  <c r="U114" i="1"/>
  <c r="V114" i="1" s="1" a="1"/>
  <c r="V114" i="1" s="1"/>
  <c r="F88" i="1"/>
  <c r="F91" i="1" s="1"/>
  <c r="F84" i="1"/>
  <c r="F83" i="1"/>
  <c r="F59" i="1"/>
  <c r="F73" i="1" s="1"/>
  <c r="BM2023" i="1" l="1"/>
  <c r="BU2023" i="1" s="1"/>
  <c r="BM2031" i="1"/>
  <c r="BU2031" i="1" s="1"/>
  <c r="BM1790" i="1"/>
  <c r="BU1790" i="1" s="1"/>
  <c r="BM1986" i="1"/>
  <c r="BU1986" i="1" s="1"/>
  <c r="BM1998" i="1"/>
  <c r="BU1998" i="1" s="1"/>
  <c r="BM2010" i="1"/>
  <c r="BU2010" i="1" s="1"/>
  <c r="BM1988" i="1"/>
  <c r="BU1988" i="1" s="1"/>
  <c r="BM2003" i="1"/>
  <c r="BU2003" i="1" s="1"/>
  <c r="BM1984" i="1"/>
  <c r="BM2000" i="1"/>
  <c r="BU2000" i="1" s="1"/>
  <c r="BM1999" i="1"/>
  <c r="BU1999" i="1" s="1"/>
  <c r="BM1783" i="1"/>
  <c r="BU1783" i="1" s="1"/>
  <c r="BM1995" i="1"/>
  <c r="BU1995" i="1" s="1"/>
  <c r="BM1991" i="1"/>
  <c r="BU1991" i="1" s="1"/>
  <c r="BM2007" i="1"/>
  <c r="BU2007" i="1" s="1"/>
  <c r="BM1994" i="1"/>
  <c r="BU1994" i="1" s="1"/>
  <c r="BM1997" i="1"/>
  <c r="BU1997" i="1" s="1"/>
  <c r="BM1907" i="1"/>
  <c r="BU1907" i="1" s="1"/>
  <c r="BM1996" i="1"/>
  <c r="BU1996" i="1" s="1"/>
  <c r="BM2005" i="1"/>
  <c r="BU2005" i="1" s="1"/>
  <c r="BM2008" i="1"/>
  <c r="BU2008" i="1" s="1"/>
  <c r="BM1993" i="1"/>
  <c r="BU1993" i="1" s="1"/>
  <c r="BM1985" i="1"/>
  <c r="BU1985" i="1" s="1"/>
  <c r="BM2002" i="1"/>
  <c r="BU2002" i="1" s="1"/>
  <c r="BM2009" i="1"/>
  <c r="BU2009" i="1" s="1"/>
  <c r="BM1990" i="1"/>
  <c r="BU1990" i="1" s="1"/>
  <c r="BM2004" i="1"/>
  <c r="BU2004" i="1" s="1"/>
  <c r="BM2001" i="1"/>
  <c r="BU2001" i="1" s="1"/>
  <c r="BM2006" i="1"/>
  <c r="BU2006" i="1" s="1"/>
  <c r="BM1992" i="1"/>
  <c r="BU1992" i="1" s="1"/>
  <c r="BM1989" i="1"/>
  <c r="BU1989" i="1" s="1"/>
  <c r="BM2011" i="1"/>
  <c r="BU2011" i="1" s="1"/>
  <c r="BM1795" i="1"/>
  <c r="BU1795" i="1" s="1"/>
  <c r="BM1977" i="1"/>
  <c r="BU1977" i="1" s="1"/>
  <c r="BM1836" i="1"/>
  <c r="BU1836" i="1" s="1"/>
  <c r="BM1971" i="1"/>
  <c r="BU1971" i="1" s="1"/>
  <c r="BM1852" i="1"/>
  <c r="BU1852" i="1" s="1"/>
  <c r="BM1906" i="1"/>
  <c r="BU1906" i="1" s="1"/>
  <c r="BM1779" i="1"/>
  <c r="BU1779" i="1" s="1"/>
  <c r="BM1879" i="1"/>
  <c r="BU1879" i="1" s="1"/>
  <c r="BM1877" i="1"/>
  <c r="BU1877" i="1" s="1"/>
  <c r="BM1827" i="1"/>
  <c r="BU1827" i="1" s="1"/>
  <c r="BM1869" i="1"/>
  <c r="BU1869" i="1" s="1"/>
  <c r="BM1919" i="1"/>
  <c r="BU1919" i="1" s="1"/>
  <c r="BM1837" i="1"/>
  <c r="BU1837" i="1" s="1"/>
  <c r="BM1822" i="1"/>
  <c r="BU1822" i="1" s="1"/>
  <c r="BM1864" i="1"/>
  <c r="BU1864" i="1" s="1"/>
  <c r="BM1803" i="1"/>
  <c r="BU1803" i="1" s="1"/>
  <c r="BM1856" i="1"/>
  <c r="BU1856" i="1" s="1"/>
  <c r="BA1985" i="1"/>
  <c r="BA2011" i="1"/>
  <c r="BM1800" i="1"/>
  <c r="BU1800" i="1" s="1"/>
  <c r="BM1959" i="1"/>
  <c r="BU1959" i="1" s="1"/>
  <c r="BM1818" i="1"/>
  <c r="BU1818" i="1" s="1"/>
  <c r="BM1955" i="1"/>
  <c r="BU1955" i="1" s="1"/>
  <c r="BM1870" i="1"/>
  <c r="BU1870" i="1" s="1"/>
  <c r="BM1894" i="1"/>
  <c r="BU1894" i="1" s="1"/>
  <c r="BM1793" i="1"/>
  <c r="BU1793" i="1" s="1"/>
  <c r="BM1943" i="1"/>
  <c r="BU1943" i="1" s="1"/>
  <c r="BM1826" i="1"/>
  <c r="BU1826" i="1" s="1"/>
  <c r="BM1798" i="1"/>
  <c r="BU1798" i="1" s="1"/>
  <c r="BM1845" i="1"/>
  <c r="BU1845" i="1" s="1"/>
  <c r="BM1880" i="1"/>
  <c r="BU1880" i="1" s="1"/>
  <c r="BM1875" i="1"/>
  <c r="BU1875" i="1" s="1"/>
  <c r="BM1931" i="1"/>
  <c r="BU1931" i="1" s="1"/>
  <c r="BM2030" i="1"/>
  <c r="BU2030" i="1" s="1"/>
  <c r="BM1781" i="1"/>
  <c r="BU1781" i="1" s="1"/>
  <c r="BM2026" i="1"/>
  <c r="BU2026" i="1" s="1"/>
  <c r="BM1809" i="1"/>
  <c r="BU1809" i="1" s="1"/>
  <c r="BM1807" i="1"/>
  <c r="BU1807" i="1" s="1"/>
  <c r="BM1838" i="1"/>
  <c r="BU1838" i="1" s="1"/>
  <c r="BM1841" i="1"/>
  <c r="BU1841" i="1" s="1"/>
  <c r="AV1891" i="1"/>
  <c r="AV1884" i="1" s="1"/>
  <c r="BM1873" i="1"/>
  <c r="BU1873" i="1" s="1"/>
  <c r="BM1925" i="1"/>
  <c r="BU1925" i="1" s="1"/>
  <c r="BM1788" i="1"/>
  <c r="BU1788" i="1" s="1"/>
  <c r="BM1802" i="1"/>
  <c r="BU1802" i="1" s="1"/>
  <c r="BM1817" i="1"/>
  <c r="BU1817" i="1" s="1"/>
  <c r="AV1978" i="1"/>
  <c r="BA2015" i="1"/>
  <c r="BA2012" i="1"/>
  <c r="BM1965" i="1"/>
  <c r="BU1965" i="1" s="1"/>
  <c r="BM1824" i="1"/>
  <c r="BU1824" i="1" s="1"/>
  <c r="BM1786" i="1"/>
  <c r="BU1786" i="1" s="1"/>
  <c r="BM1812" i="1"/>
  <c r="BU1812" i="1" s="1"/>
  <c r="BM1939" i="1"/>
  <c r="BU1939" i="1" s="1"/>
  <c r="BM1952" i="1"/>
  <c r="BU1952" i="1" s="1"/>
  <c r="BM1954" i="1"/>
  <c r="BU1954" i="1" s="1"/>
  <c r="BM1929" i="1"/>
  <c r="BU1929" i="1" s="1"/>
  <c r="BM1871" i="1"/>
  <c r="BU1871" i="1" s="1"/>
  <c r="BM1946" i="1"/>
  <c r="BU1946" i="1" s="1"/>
  <c r="BM1973" i="1"/>
  <c r="BU1973" i="1" s="1"/>
  <c r="BM1914" i="1"/>
  <c r="BU1914" i="1" s="1"/>
  <c r="BM1940" i="1"/>
  <c r="BU1940" i="1" s="1"/>
  <c r="BM1930" i="1"/>
  <c r="BU1930" i="1" s="1"/>
  <c r="BM1916" i="1"/>
  <c r="BU1916" i="1" s="1"/>
  <c r="BM1898" i="1"/>
  <c r="BU1898" i="1" s="1"/>
  <c r="BM1861" i="1"/>
  <c r="BU1861" i="1" s="1"/>
  <c r="BM1902" i="1"/>
  <c r="BU1902" i="1" s="1"/>
  <c r="BM1904" i="1"/>
  <c r="BU1904" i="1" s="1"/>
  <c r="BM1903" i="1"/>
  <c r="BU1903" i="1" s="1"/>
  <c r="BM1881" i="1"/>
  <c r="BU1881" i="1" s="1"/>
  <c r="BM1956" i="1"/>
  <c r="BU1956" i="1" s="1"/>
  <c r="BM1849" i="1"/>
  <c r="BU1849" i="1" s="1"/>
  <c r="BM1950" i="1"/>
  <c r="BU1950" i="1" s="1"/>
  <c r="BM1974" i="1"/>
  <c r="BU1974" i="1" s="1"/>
  <c r="BM1938" i="1"/>
  <c r="BU1938" i="1" s="1"/>
  <c r="BM1962" i="1"/>
  <c r="BU1962" i="1" s="1"/>
  <c r="BM1928" i="1"/>
  <c r="BM1933" i="1"/>
  <c r="BU1933" i="1" s="1"/>
  <c r="BM1957" i="1"/>
  <c r="BU1957" i="1" s="1"/>
  <c r="BM1945" i="1"/>
  <c r="BU1945" i="1" s="1"/>
  <c r="BM1969" i="1"/>
  <c r="BU1969" i="1" s="1"/>
  <c r="BM1923" i="1"/>
  <c r="BU1923" i="1" s="1"/>
  <c r="BM1911" i="1"/>
  <c r="BM1918" i="1"/>
  <c r="BU1918" i="1" s="1"/>
  <c r="BM1917" i="1"/>
  <c r="BU1917" i="1" s="1"/>
  <c r="BM1915" i="1"/>
  <c r="BU1915" i="1" s="1"/>
  <c r="BM1953" i="1"/>
  <c r="BU1953" i="1" s="1"/>
  <c r="BM1780" i="1"/>
  <c r="BU1780" i="1" s="1"/>
  <c r="BM1972" i="1"/>
  <c r="BU1972" i="1" s="1"/>
  <c r="BM1833" i="1"/>
  <c r="BU1833" i="1" s="1"/>
  <c r="BM1908" i="1"/>
  <c r="BU1908" i="1" s="1"/>
  <c r="BM1982" i="1"/>
  <c r="BU1982" i="1" s="1"/>
  <c r="BM1913" i="1"/>
  <c r="BU1913" i="1" s="1"/>
  <c r="BM1944" i="1"/>
  <c r="BU1944" i="1" s="1"/>
  <c r="BM1964" i="1"/>
  <c r="BU1964" i="1" s="1"/>
  <c r="BM1901" i="1"/>
  <c r="BU1901" i="1" s="1"/>
  <c r="BM1980" i="1"/>
  <c r="BU1980" i="1" s="1"/>
  <c r="BM1805" i="1"/>
  <c r="BU1805" i="1" s="1"/>
  <c r="BM1792" i="1"/>
  <c r="BU1792" i="1" s="1"/>
  <c r="BM1791" i="1"/>
  <c r="BM1862" i="1"/>
  <c r="BU1862" i="1" s="1"/>
  <c r="BM1941" i="1"/>
  <c r="BU1941" i="1" s="1"/>
  <c r="BM1899" i="1"/>
  <c r="BU1899" i="1" s="1"/>
  <c r="BM1846" i="1"/>
  <c r="BU1846" i="1" s="1"/>
  <c r="BM1821" i="1"/>
  <c r="BU1821" i="1" s="1"/>
  <c r="BM1920" i="1"/>
  <c r="BU1920" i="1" s="1"/>
  <c r="BM1848" i="1"/>
  <c r="BU1848" i="1" s="1"/>
  <c r="BM1932" i="1"/>
  <c r="BU1932" i="1" s="1"/>
  <c r="BM1927" i="1"/>
  <c r="BU1927" i="1" s="1"/>
  <c r="BM1874" i="1"/>
  <c r="BU1874" i="1" s="1"/>
  <c r="BM1967" i="1"/>
  <c r="BU1967" i="1" s="1"/>
  <c r="BM2017" i="1"/>
  <c r="BU2017" i="1" s="1"/>
  <c r="BM1782" i="1"/>
  <c r="BU1782" i="1" s="1"/>
  <c r="BM1789" i="1"/>
  <c r="BU1789" i="1" s="1"/>
  <c r="BM1777" i="1"/>
  <c r="BM1840" i="1"/>
  <c r="BU1840" i="1" s="1"/>
  <c r="BM1937" i="1"/>
  <c r="BU1937" i="1" s="1"/>
  <c r="BM1876" i="1"/>
  <c r="BU1876" i="1" s="1"/>
  <c r="BM1948" i="1"/>
  <c r="BU1948" i="1" s="1"/>
  <c r="BM1912" i="1"/>
  <c r="BU1912" i="1" s="1"/>
  <c r="BM1947" i="1"/>
  <c r="BU1947" i="1" s="1"/>
  <c r="BM2022" i="1"/>
  <c r="BU2022" i="1" s="1"/>
  <c r="BM1844" i="1"/>
  <c r="BU1844" i="1" s="1"/>
  <c r="BM1855" i="1"/>
  <c r="BU1855" i="1" s="1"/>
  <c r="BM1784" i="1"/>
  <c r="BU1784" i="1" s="1"/>
  <c r="BM1866" i="1"/>
  <c r="BU1866" i="1" s="1"/>
  <c r="BM1825" i="1"/>
  <c r="BU1825" i="1" s="1"/>
  <c r="BM1850" i="1"/>
  <c r="BU1850" i="1" s="1"/>
  <c r="BM1896" i="1"/>
  <c r="BU1896" i="1" s="1"/>
  <c r="BM1893" i="1"/>
  <c r="BM1909" i="1"/>
  <c r="BU1909" i="1" s="1"/>
  <c r="BM1900" i="1"/>
  <c r="BM1828" i="1"/>
  <c r="BU1828" i="1" s="1"/>
  <c r="BM1897" i="1"/>
  <c r="BU1897" i="1" s="1"/>
  <c r="BM1863" i="1"/>
  <c r="BU1863" i="1" s="1"/>
  <c r="BM1858" i="1"/>
  <c r="BU1858" i="1" s="1"/>
  <c r="BM1960" i="1"/>
  <c r="BU1960" i="1" s="1"/>
  <c r="BM1935" i="1"/>
  <c r="BU1935" i="1" s="1"/>
  <c r="BM1983" i="1"/>
  <c r="BU1983" i="1" s="1"/>
  <c r="BM1832" i="1"/>
  <c r="BU1832" i="1" s="1"/>
  <c r="BM1843" i="1"/>
  <c r="BU1843" i="1" s="1"/>
  <c r="BM2024" i="1"/>
  <c r="BU2024" i="1" s="1"/>
  <c r="BM1854" i="1"/>
  <c r="BU1854" i="1" s="1"/>
  <c r="BM1976" i="1"/>
  <c r="BU1976" i="1" s="1"/>
  <c r="BM1813" i="1"/>
  <c r="BU1813" i="1" s="1"/>
  <c r="BM1814" i="1"/>
  <c r="BU1814" i="1" s="1"/>
  <c r="BM1872" i="1"/>
  <c r="BU1872" i="1" s="1"/>
  <c r="BM1867" i="1"/>
  <c r="BM1868" i="1"/>
  <c r="BU1868" i="1" s="1"/>
  <c r="BM1816" i="1"/>
  <c r="BU1816" i="1" s="1"/>
  <c r="BM1785" i="1"/>
  <c r="BU1785" i="1" s="1"/>
  <c r="BM1851" i="1"/>
  <c r="BU1851" i="1" s="1"/>
  <c r="BM1797" i="1"/>
  <c r="BU1797" i="1" s="1"/>
  <c r="BM1810" i="1"/>
  <c r="BU1810" i="1" s="1"/>
  <c r="BM1922" i="1"/>
  <c r="BU1922" i="1" s="1"/>
  <c r="BM1970" i="1"/>
  <c r="BU1970" i="1" s="1"/>
  <c r="BM1820" i="1"/>
  <c r="BU1820" i="1" s="1"/>
  <c r="BM1831" i="1"/>
  <c r="BU1831" i="1" s="1"/>
  <c r="BM1910" i="1"/>
  <c r="BU1910" i="1" s="1"/>
  <c r="BM1842" i="1"/>
  <c r="BU1842" i="1" s="1"/>
  <c r="BM1963" i="1"/>
  <c r="BU1963" i="1" s="1"/>
  <c r="BM1801" i="1"/>
  <c r="BU1801" i="1" s="1"/>
  <c r="BM1865" i="1"/>
  <c r="BU1865" i="1" s="1"/>
  <c r="BM2027" i="1"/>
  <c r="BU2027" i="1" s="1"/>
  <c r="BM2013" i="1"/>
  <c r="BU2013" i="1" s="1"/>
  <c r="BM2012" i="1"/>
  <c r="BM1966" i="1"/>
  <c r="BU1966" i="1" s="1"/>
  <c r="BM1804" i="1"/>
  <c r="BU1804" i="1" s="1"/>
  <c r="BM2029" i="1"/>
  <c r="BU2029" i="1" s="1"/>
  <c r="BM1839" i="1"/>
  <c r="BU1839" i="1" s="1"/>
  <c r="BM2028" i="1"/>
  <c r="BU2028" i="1" s="1"/>
  <c r="BM1924" i="1"/>
  <c r="BU1924" i="1" s="1"/>
  <c r="BM1882" i="1"/>
  <c r="BU1882" i="1" s="1"/>
  <c r="BM1958" i="1"/>
  <c r="BU1958" i="1" s="1"/>
  <c r="BM1808" i="1"/>
  <c r="BU1808" i="1" s="1"/>
  <c r="BM1819" i="1"/>
  <c r="BU1819" i="1" s="1"/>
  <c r="BM1834" i="1"/>
  <c r="BU1834" i="1" s="1"/>
  <c r="BM1830" i="1"/>
  <c r="BU1830" i="1" s="1"/>
  <c r="BM1951" i="1"/>
  <c r="BU1951" i="1" s="1"/>
  <c r="BM1936" i="1"/>
  <c r="BU1936" i="1" s="1"/>
  <c r="BM1853" i="1"/>
  <c r="BU1853" i="1" s="1"/>
  <c r="BB1884" i="1"/>
  <c r="BM1981" i="1"/>
  <c r="BU1981" i="1" s="1"/>
  <c r="BM1975" i="1"/>
  <c r="BM2016" i="1"/>
  <c r="BU2016" i="1" s="1"/>
  <c r="BM2015" i="1"/>
  <c r="BU2015" i="1" s="1"/>
  <c r="BM2020" i="1"/>
  <c r="BU2020" i="1" s="1"/>
  <c r="BM2018" i="1"/>
  <c r="BU2018" i="1" s="1"/>
  <c r="BD1884" i="1"/>
  <c r="BE1892" i="1" s="1"/>
  <c r="BQ1892" i="1" s="1"/>
  <c r="BM1823" i="1"/>
  <c r="BU1823" i="1" s="1"/>
  <c r="BM1847" i="1"/>
  <c r="BU1847" i="1" s="1"/>
  <c r="BM1811" i="1"/>
  <c r="BU1811" i="1" s="1"/>
  <c r="BM1859" i="1"/>
  <c r="BU1859" i="1" s="1"/>
  <c r="BM1799" i="1"/>
  <c r="BM1835" i="1"/>
  <c r="BU1835" i="1" s="1"/>
  <c r="BM1942" i="1"/>
  <c r="BU1942" i="1" s="1"/>
  <c r="BM1778" i="1"/>
  <c r="BU1778" i="1" s="1"/>
  <c r="BM1978" i="1"/>
  <c r="BU1978" i="1" s="1"/>
  <c r="BM1815" i="1"/>
  <c r="BU1815" i="1" s="1"/>
  <c r="BM1961" i="1"/>
  <c r="BU1961" i="1" s="1"/>
  <c r="BM1857" i="1"/>
  <c r="BU1857" i="1" s="1"/>
  <c r="BM1934" i="1"/>
  <c r="BU1934" i="1" s="1"/>
  <c r="BM1787" i="1"/>
  <c r="BU1787" i="1" s="1"/>
  <c r="BM1794" i="1"/>
  <c r="BU1794" i="1" s="1"/>
  <c r="BM1968" i="1"/>
  <c r="BU1968" i="1" s="1"/>
  <c r="BM1806" i="1"/>
  <c r="BU1806" i="1" s="1"/>
  <c r="BM1926" i="1"/>
  <c r="BU1926" i="1" s="1"/>
  <c r="BM1829" i="1"/>
  <c r="BU1829" i="1" s="1"/>
  <c r="BM1883" i="1"/>
  <c r="BU1883" i="1" s="1"/>
  <c r="BM2025" i="1"/>
  <c r="BU2025" i="1" s="1"/>
  <c r="BM2019" i="1"/>
  <c r="BM2021" i="1"/>
  <c r="BU2021" i="1" s="1"/>
  <c r="BM1890" i="1"/>
  <c r="BU1890" i="1" s="1"/>
  <c r="BM1889" i="1"/>
  <c r="BU1889" i="1" s="1"/>
  <c r="BM1886" i="1"/>
  <c r="BU1886" i="1" s="1"/>
  <c r="BM1885" i="1"/>
  <c r="BU1885" i="1" s="1"/>
  <c r="BM1888" i="1"/>
  <c r="BU1888" i="1" s="1"/>
  <c r="BM1892" i="1"/>
  <c r="BU1892" i="1" s="1"/>
  <c r="BM1887" i="1"/>
  <c r="BU1887" i="1" s="1"/>
  <c r="BM1891" i="1"/>
  <c r="BU1891" i="1" s="1"/>
  <c r="BJ1791" i="1"/>
  <c r="BK1793" i="1" s="1"/>
  <c r="BT1793" i="1" s="1"/>
  <c r="AW1928" i="1"/>
  <c r="AL1929" i="1"/>
  <c r="BA1984" i="1"/>
  <c r="AS1799" i="1"/>
  <c r="AT1867" i="1"/>
  <c r="AV1900" i="1"/>
  <c r="AW2012" i="1"/>
  <c r="BD1900" i="1"/>
  <c r="BE1901" i="1" s="1"/>
  <c r="BQ1901" i="1" s="1"/>
  <c r="BH1975" i="1"/>
  <c r="BI1976" i="1" s="1"/>
  <c r="BS1976" i="1" s="1"/>
  <c r="AS1900" i="1"/>
  <c r="AT1928" i="1"/>
  <c r="AT2019" i="1"/>
  <c r="BH1791" i="1"/>
  <c r="BI1797" i="1" s="1"/>
  <c r="BS1797" i="1" s="1"/>
  <c r="AS1867" i="1"/>
  <c r="AT1900" i="1"/>
  <c r="AU1867" i="1"/>
  <c r="BH1867" i="1"/>
  <c r="BI1867" i="1" s="1"/>
  <c r="BA1928" i="1"/>
  <c r="BA2019" i="1"/>
  <c r="BA2020" i="1"/>
  <c r="AV1777" i="1"/>
  <c r="H528" i="1"/>
  <c r="AW1893" i="1"/>
  <c r="AT1984" i="1"/>
  <c r="BA1777" i="1"/>
  <c r="AV1867" i="1"/>
  <c r="AT1893" i="1"/>
  <c r="BH2019" i="1"/>
  <c r="AV1791" i="1"/>
  <c r="AS1791" i="1"/>
  <c r="AW1799" i="1"/>
  <c r="AU1884" i="1"/>
  <c r="AW1900" i="1"/>
  <c r="BB1975" i="1"/>
  <c r="BC1980" i="1" s="1"/>
  <c r="BP1980" i="1" s="1"/>
  <c r="BD1893" i="1"/>
  <c r="BE1898" i="1" s="1"/>
  <c r="BQ1898" i="1" s="1"/>
  <c r="AV1893" i="1"/>
  <c r="BB1900" i="1"/>
  <c r="BC1906" i="1" s="1"/>
  <c r="BP1906" i="1" s="1"/>
  <c r="AU1900" i="1"/>
  <c r="BJ1911" i="1"/>
  <c r="BK1918" i="1" s="1"/>
  <c r="BT1918" i="1" s="1"/>
  <c r="BF1975" i="1"/>
  <c r="BG1977" i="1" s="1"/>
  <c r="BR1977" i="1" s="1"/>
  <c r="AW1975" i="1"/>
  <c r="AS1975" i="1"/>
  <c r="AW1984" i="1"/>
  <c r="BD1791" i="1"/>
  <c r="BE1794" i="1" s="1"/>
  <c r="BQ1794" i="1" s="1"/>
  <c r="BF1799" i="1"/>
  <c r="BG1866" i="1" s="1"/>
  <c r="BR1866" i="1" s="1"/>
  <c r="BF1867" i="1"/>
  <c r="BG1878" i="1" s="1"/>
  <c r="BR1878" i="1" s="1"/>
  <c r="BB1893" i="1"/>
  <c r="BC1893" i="1" s="1"/>
  <c r="BF1900" i="1"/>
  <c r="BG1909" i="1" s="1"/>
  <c r="BR1909" i="1" s="1"/>
  <c r="BH1911" i="1"/>
  <c r="BI1918" i="1" s="1"/>
  <c r="BS1918" i="1" s="1"/>
  <c r="BH1984" i="1"/>
  <c r="BB1799" i="1"/>
  <c r="BC1830" i="1" s="1"/>
  <c r="BP1830" i="1" s="1"/>
  <c r="AS2019" i="1"/>
  <c r="AW1884" i="1"/>
  <c r="BJ1900" i="1"/>
  <c r="BK1900" i="1" s="1"/>
  <c r="AT2012" i="1"/>
  <c r="AW2019" i="1"/>
  <c r="AT1777" i="1"/>
  <c r="BH1884" i="1"/>
  <c r="BI1890" i="1" s="1"/>
  <c r="BS1890" i="1" s="1"/>
  <c r="BJ1928" i="1"/>
  <c r="BK1968" i="1" s="1"/>
  <c r="BT1968" i="1" s="1"/>
  <c r="AU2012" i="1"/>
  <c r="AU2019" i="1"/>
  <c r="AU1777" i="1"/>
  <c r="BH1799" i="1"/>
  <c r="BI1829" i="1" s="1"/>
  <c r="BS1829" i="1" s="1"/>
  <c r="AS1984" i="1"/>
  <c r="AS2012" i="1"/>
  <c r="BD1799" i="1"/>
  <c r="BE1804" i="1" s="1"/>
  <c r="BQ1804" i="1" s="1"/>
  <c r="AU1975" i="1"/>
  <c r="BA1894" i="1"/>
  <c r="BD1975" i="1"/>
  <c r="BE1977" i="1" s="1"/>
  <c r="BQ1977" i="1" s="1"/>
  <c r="BJ1884" i="1"/>
  <c r="AU1911" i="1"/>
  <c r="AU1984" i="1"/>
  <c r="AV2012" i="1"/>
  <c r="BA2016" i="1"/>
  <c r="AU1799" i="1"/>
  <c r="AT1884" i="1"/>
  <c r="AS1911" i="1"/>
  <c r="AV1984" i="1"/>
  <c r="AT1799" i="1"/>
  <c r="K528" i="1"/>
  <c r="BA1802" i="1"/>
  <c r="BB1777" i="1"/>
  <c r="BC1777" i="1" s="1"/>
  <c r="AV1799" i="1"/>
  <c r="AW1867" i="1"/>
  <c r="BA1911" i="1"/>
  <c r="AW1911" i="1"/>
  <c r="BJ1975" i="1"/>
  <c r="BK1979" i="1" s="1"/>
  <c r="BT1979" i="1" s="1"/>
  <c r="BA2013" i="1"/>
  <c r="BB1791" i="1"/>
  <c r="BC1798" i="1" s="1"/>
  <c r="BP1798" i="1" s="1"/>
  <c r="BB1867" i="1"/>
  <c r="BC1872" i="1" s="1"/>
  <c r="BP1872" i="1" s="1"/>
  <c r="AS1884" i="1"/>
  <c r="BA1901" i="1"/>
  <c r="BB1911" i="1"/>
  <c r="BC1917" i="1" s="1"/>
  <c r="BP1917" i="1" s="1"/>
  <c r="BB1984" i="1"/>
  <c r="AV2019" i="1"/>
  <c r="BD1777" i="1"/>
  <c r="BF1777" i="1"/>
  <c r="BG1777" i="1" s="1"/>
  <c r="AW1777" i="1"/>
  <c r="BA1800" i="1"/>
  <c r="BJ1893" i="1"/>
  <c r="BK1906" i="1" s="1"/>
  <c r="BT1906" i="1" s="1"/>
  <c r="AS1893" i="1"/>
  <c r="AS1928" i="1"/>
  <c r="BD1984" i="1"/>
  <c r="BE1984" i="1" s="1"/>
  <c r="BJ2019" i="1"/>
  <c r="AT1791" i="1"/>
  <c r="BJ1799" i="1"/>
  <c r="BK1825" i="1" s="1"/>
  <c r="BT1825" i="1" s="1"/>
  <c r="BJ1777" i="1"/>
  <c r="BK1788" i="1" s="1"/>
  <c r="BT1788" i="1" s="1"/>
  <c r="AU1791" i="1"/>
  <c r="AU1928" i="1"/>
  <c r="BJ1867" i="1"/>
  <c r="BK1879" i="1" s="1"/>
  <c r="BT1879" i="1" s="1"/>
  <c r="BH1900" i="1"/>
  <c r="BI1901" i="1" s="1"/>
  <c r="BS1901" i="1" s="1"/>
  <c r="AV1928" i="1"/>
  <c r="BJ1984" i="1"/>
  <c r="BK2009" i="1" s="1"/>
  <c r="BT2009" i="1" s="1"/>
  <c r="AW1791" i="1"/>
  <c r="AU1893" i="1"/>
  <c r="AV1911" i="1"/>
  <c r="AS1777" i="1"/>
  <c r="BF1791" i="1"/>
  <c r="BG1791" i="1" s="1"/>
  <c r="BA1884" i="1"/>
  <c r="F74" i="1"/>
  <c r="F85" i="1"/>
  <c r="F86" i="1" s="1"/>
  <c r="F87" i="1" s="1"/>
  <c r="F90" i="1" s="1"/>
  <c r="F92" i="1" s="1"/>
  <c r="BH1777" i="1"/>
  <c r="BI1777" i="1" s="1"/>
  <c r="BA1779" i="1"/>
  <c r="BA1783" i="1"/>
  <c r="BA1787" i="1"/>
  <c r="BA1803" i="1"/>
  <c r="BA1780" i="1"/>
  <c r="BA1784" i="1"/>
  <c r="BA1788" i="1"/>
  <c r="BA1813" i="1"/>
  <c r="BA1804" i="1"/>
  <c r="F61" i="1"/>
  <c r="AV1980" i="1"/>
  <c r="BA1781" i="1"/>
  <c r="BA1785" i="1"/>
  <c r="BA1789" i="1"/>
  <c r="BA1812" i="1"/>
  <c r="BA1864" i="1"/>
  <c r="BA1860" i="1"/>
  <c r="BA1856" i="1"/>
  <c r="BA1852" i="1"/>
  <c r="BA1848" i="1"/>
  <c r="BA1844" i="1"/>
  <c r="BA1840" i="1"/>
  <c r="BA1836" i="1"/>
  <c r="BA1832" i="1"/>
  <c r="BA1863" i="1"/>
  <c r="BA1859" i="1"/>
  <c r="BA1855" i="1"/>
  <c r="BA1851" i="1"/>
  <c r="BA1847" i="1"/>
  <c r="BA1843" i="1"/>
  <c r="BA1839" i="1"/>
  <c r="BA1835" i="1"/>
  <c r="BA1862" i="1"/>
  <c r="BA1858" i="1"/>
  <c r="BA1854" i="1"/>
  <c r="BA1850" i="1"/>
  <c r="BA1846" i="1"/>
  <c r="BA1842" i="1"/>
  <c r="BA1838" i="1"/>
  <c r="BA1866" i="1"/>
  <c r="BA1865" i="1"/>
  <c r="BA1861" i="1"/>
  <c r="BA1857" i="1"/>
  <c r="BA1853" i="1"/>
  <c r="BA1849" i="1"/>
  <c r="BA1845" i="1"/>
  <c r="BA1841" i="1"/>
  <c r="BA1837" i="1"/>
  <c r="BA1833" i="1"/>
  <c r="BA1828" i="1"/>
  <c r="BA1824" i="1"/>
  <c r="BA1820" i="1"/>
  <c r="BA1816" i="1"/>
  <c r="BA1834" i="1"/>
  <c r="BA1827" i="1"/>
  <c r="BA1823" i="1"/>
  <c r="BA1819" i="1"/>
  <c r="BA1815" i="1"/>
  <c r="BA1811" i="1"/>
  <c r="BA1807" i="1"/>
  <c r="BA1831" i="1"/>
  <c r="BA1830" i="1"/>
  <c r="BA1826" i="1"/>
  <c r="BA1822" i="1"/>
  <c r="BA1818" i="1"/>
  <c r="BA1814" i="1"/>
  <c r="BA1829" i="1"/>
  <c r="BA1825" i="1"/>
  <c r="BA1821" i="1"/>
  <c r="BA1801" i="1"/>
  <c r="BA1805" i="1"/>
  <c r="AV1983" i="1"/>
  <c r="BA1778" i="1"/>
  <c r="BA1782" i="1"/>
  <c r="BA1786" i="1"/>
  <c r="BA1799" i="1"/>
  <c r="BA1806" i="1"/>
  <c r="BA1808" i="1"/>
  <c r="BA1809" i="1"/>
  <c r="BA1810" i="1"/>
  <c r="BD1867" i="1"/>
  <c r="BE1875" i="1" s="1"/>
  <c r="BQ1875" i="1" s="1"/>
  <c r="BA1883" i="1"/>
  <c r="BA1879" i="1"/>
  <c r="BA1875" i="1"/>
  <c r="BA1871" i="1"/>
  <c r="BA1882" i="1"/>
  <c r="BA1878" i="1"/>
  <c r="BA1874" i="1"/>
  <c r="BA1870" i="1"/>
  <c r="BA1881" i="1"/>
  <c r="BA1877" i="1"/>
  <c r="BA1873" i="1"/>
  <c r="BA1869" i="1"/>
  <c r="BA1880" i="1"/>
  <c r="BA1876" i="1"/>
  <c r="BA1872" i="1"/>
  <c r="BA1867" i="1"/>
  <c r="BA1868" i="1"/>
  <c r="BF1884" i="1"/>
  <c r="BG1889" i="1" s="1"/>
  <c r="BR1889" i="1" s="1"/>
  <c r="BA1885" i="1"/>
  <c r="BA1889" i="1"/>
  <c r="BA1924" i="1"/>
  <c r="BA1920" i="1"/>
  <c r="BA1916" i="1"/>
  <c r="BA1912" i="1"/>
  <c r="BA1915" i="1"/>
  <c r="BA1927" i="1"/>
  <c r="BA1926" i="1"/>
  <c r="BA1925" i="1"/>
  <c r="BA1923" i="1"/>
  <c r="BA1922" i="1"/>
  <c r="BA1921" i="1"/>
  <c r="BA1919" i="1"/>
  <c r="BA1918" i="1"/>
  <c r="BA1914" i="1"/>
  <c r="BF1893" i="1"/>
  <c r="BA1898" i="1"/>
  <c r="BA1886" i="1"/>
  <c r="BA1890" i="1"/>
  <c r="BH1893" i="1"/>
  <c r="BI1899" i="1" s="1"/>
  <c r="BS1899" i="1" s="1"/>
  <c r="BA1895" i="1"/>
  <c r="BA1899" i="1"/>
  <c r="BA1887" i="1"/>
  <c r="BA1891" i="1"/>
  <c r="BA1893" i="1"/>
  <c r="BA1904" i="1"/>
  <c r="BD1911" i="1"/>
  <c r="BE1912" i="1" s="1"/>
  <c r="BQ1912" i="1" s="1"/>
  <c r="BA1896" i="1"/>
  <c r="BA1910" i="1"/>
  <c r="BA1906" i="1"/>
  <c r="BA1909" i="1"/>
  <c r="BA1905" i="1"/>
  <c r="BA1902" i="1"/>
  <c r="BF1911" i="1"/>
  <c r="BA1888" i="1"/>
  <c r="BA1900" i="1"/>
  <c r="BA1903" i="1"/>
  <c r="BA1907" i="1"/>
  <c r="AT1911" i="1"/>
  <c r="BA1917" i="1"/>
  <c r="BA1974" i="1"/>
  <c r="BA1970" i="1"/>
  <c r="BA1966" i="1"/>
  <c r="BA1969" i="1"/>
  <c r="BA1968" i="1"/>
  <c r="BA1967" i="1"/>
  <c r="BA1965" i="1"/>
  <c r="BA1964" i="1"/>
  <c r="BA1960" i="1"/>
  <c r="BA1956" i="1"/>
  <c r="BA1952" i="1"/>
  <c r="BA1948" i="1"/>
  <c r="BA1944" i="1"/>
  <c r="BA1940" i="1"/>
  <c r="BA1936" i="1"/>
  <c r="BA1932" i="1"/>
  <c r="BA1971" i="1"/>
  <c r="BA1972" i="1"/>
  <c r="BA1963" i="1"/>
  <c r="BA1959" i="1"/>
  <c r="BA1955" i="1"/>
  <c r="BA1951" i="1"/>
  <c r="BA1947" i="1"/>
  <c r="BA1943" i="1"/>
  <c r="BA1939" i="1"/>
  <c r="BA1973" i="1"/>
  <c r="BA1962" i="1"/>
  <c r="BA1958" i="1"/>
  <c r="BA1954" i="1"/>
  <c r="BA1950" i="1"/>
  <c r="BA1946" i="1"/>
  <c r="BA1942" i="1"/>
  <c r="BA1961" i="1"/>
  <c r="BA1957" i="1"/>
  <c r="BA1953" i="1"/>
  <c r="BA1949" i="1"/>
  <c r="BA1945" i="1"/>
  <c r="BA1941" i="1"/>
  <c r="BA1937" i="1"/>
  <c r="BA1933" i="1"/>
  <c r="BA1929" i="1"/>
  <c r="BF1928" i="1"/>
  <c r="BG1946" i="1" s="1"/>
  <c r="BR1946" i="1" s="1"/>
  <c r="BA1931" i="1"/>
  <c r="BA1935" i="1"/>
  <c r="BB1928" i="1"/>
  <c r="BC1938" i="1" s="1"/>
  <c r="BP1938" i="1" s="1"/>
  <c r="BA1934" i="1"/>
  <c r="BH1928" i="1"/>
  <c r="BI1929" i="1" s="1"/>
  <c r="BS1929" i="1" s="1"/>
  <c r="BD1928" i="1"/>
  <c r="BE1938" i="1" s="1"/>
  <c r="BQ1938" i="1" s="1"/>
  <c r="BA1938" i="1"/>
  <c r="BA1982" i="1"/>
  <c r="BA1978" i="1"/>
  <c r="BA1975" i="1"/>
  <c r="BA1981" i="1"/>
  <c r="BA1983" i="1"/>
  <c r="BA1979" i="1"/>
  <c r="BA1976" i="1"/>
  <c r="BA1980" i="1"/>
  <c r="AT1975" i="1"/>
  <c r="BA1977" i="1"/>
  <c r="BD2012" i="1"/>
  <c r="BE2012" i="1" s="1"/>
  <c r="BF1984" i="1"/>
  <c r="BF2012" i="1"/>
  <c r="BG2012" i="1" s="1"/>
  <c r="BH2012" i="1"/>
  <c r="BI2012" i="1" s="1"/>
  <c r="BB2019" i="1"/>
  <c r="BA2009" i="1"/>
  <c r="BA2005" i="1"/>
  <c r="BA2001" i="1"/>
  <c r="BA1997" i="1"/>
  <c r="BA2008" i="1"/>
  <c r="BA2004" i="1"/>
  <c r="BA2000" i="1"/>
  <c r="BA1996" i="1"/>
  <c r="BA1992" i="1"/>
  <c r="BA1988" i="1"/>
  <c r="BA2007" i="1"/>
  <c r="BA2003" i="1"/>
  <c r="BA1999" i="1"/>
  <c r="BA1995" i="1"/>
  <c r="BA1991" i="1"/>
  <c r="BA2010" i="1"/>
  <c r="BA2006" i="1"/>
  <c r="BA2002" i="1"/>
  <c r="BA1998" i="1"/>
  <c r="BA1994" i="1"/>
  <c r="BA1990" i="1"/>
  <c r="BA1986" i="1"/>
  <c r="BA1989" i="1"/>
  <c r="BA1993" i="1"/>
  <c r="BJ2012" i="1"/>
  <c r="BK2012" i="1" s="1"/>
  <c r="BF2019" i="1"/>
  <c r="BA1987" i="1"/>
  <c r="BB2012" i="1"/>
  <c r="BC2012" i="1" s="1"/>
  <c r="BA2017" i="1"/>
  <c r="BD2019" i="1"/>
  <c r="BA2023" i="1"/>
  <c r="BA2027" i="1"/>
  <c r="BA2014" i="1"/>
  <c r="BA2018" i="1"/>
  <c r="BA2024" i="1"/>
  <c r="BA2028" i="1"/>
  <c r="BA2021" i="1"/>
  <c r="BA2025" i="1"/>
  <c r="BA2029" i="1"/>
  <c r="BA2022" i="1"/>
  <c r="BA2026" i="1"/>
  <c r="BE2019" i="1" l="1"/>
  <c r="BE2031" i="1"/>
  <c r="BQ2031" i="1" s="1"/>
  <c r="BK2019" i="1"/>
  <c r="BK2031" i="1"/>
  <c r="BT2031" i="1" s="1"/>
  <c r="BG2019" i="1"/>
  <c r="BG2031" i="1"/>
  <c r="BR2031" i="1" s="1"/>
  <c r="BC2019" i="1"/>
  <c r="BC2031" i="1"/>
  <c r="BP2031" i="1" s="1"/>
  <c r="BI2019" i="1"/>
  <c r="BI2031" i="1"/>
  <c r="BS2031" i="1" s="1"/>
  <c r="BE2011" i="1"/>
  <c r="BQ2011" i="1" s="1"/>
  <c r="AJ1984" i="1"/>
  <c r="AJ1975" i="1"/>
  <c r="AJ1884" i="1"/>
  <c r="AJ1911" i="1"/>
  <c r="AJ1777" i="1"/>
  <c r="BE1888" i="1"/>
  <c r="BQ1888" i="1" s="1"/>
  <c r="AJ1867" i="1"/>
  <c r="AJ1791" i="1"/>
  <c r="AJ1928" i="1"/>
  <c r="AJ1900" i="1"/>
  <c r="AJ1893" i="1"/>
  <c r="AJ1799" i="1"/>
  <c r="AJ2012" i="1"/>
  <c r="AJ2019" i="1"/>
  <c r="BC1839" i="1"/>
  <c r="BP1839" i="1" s="1"/>
  <c r="BE1821" i="1"/>
  <c r="BQ1821" i="1" s="1"/>
  <c r="BE1820" i="1"/>
  <c r="BQ1820" i="1" s="1"/>
  <c r="BE1844" i="1"/>
  <c r="BQ1844" i="1" s="1"/>
  <c r="BG1987" i="1"/>
  <c r="BR1987" i="1" s="1"/>
  <c r="BG2011" i="1"/>
  <c r="BR2011" i="1" s="1"/>
  <c r="BI1980" i="1"/>
  <c r="BS1980" i="1" s="1"/>
  <c r="BC1991" i="1"/>
  <c r="BP1991" i="1" s="1"/>
  <c r="BC2011" i="1"/>
  <c r="BP2011" i="1" s="1"/>
  <c r="BC1981" i="1"/>
  <c r="BP1981" i="1" s="1"/>
  <c r="BK1984" i="1"/>
  <c r="BK2011" i="1"/>
  <c r="BT2011" i="1" s="1"/>
  <c r="BK1841" i="1"/>
  <c r="BT1841" i="1" s="1"/>
  <c r="BI1990" i="1"/>
  <c r="BS1990" i="1" s="1"/>
  <c r="BI2011" i="1"/>
  <c r="BS2011" i="1" s="1"/>
  <c r="BI2021" i="1"/>
  <c r="BS2021" i="1" s="1"/>
  <c r="BE1845" i="1"/>
  <c r="BQ1845" i="1" s="1"/>
  <c r="BE1822" i="1"/>
  <c r="BQ1822" i="1" s="1"/>
  <c r="BI1878" i="1"/>
  <c r="BS1878" i="1" s="1"/>
  <c r="BE1904" i="1"/>
  <c r="BQ1904" i="1" s="1"/>
  <c r="BE1841" i="1"/>
  <c r="BQ1841" i="1" s="1"/>
  <c r="BE1862" i="1"/>
  <c r="BQ1862" i="1" s="1"/>
  <c r="BI2026" i="1"/>
  <c r="BS2026" i="1" s="1"/>
  <c r="BE1856" i="1"/>
  <c r="BQ1856" i="1" s="1"/>
  <c r="BE1808" i="1"/>
  <c r="BQ1808" i="1" s="1"/>
  <c r="BI1824" i="1"/>
  <c r="BS1824" i="1" s="1"/>
  <c r="BC1812" i="1"/>
  <c r="BP1812" i="1" s="1"/>
  <c r="BC1808" i="1"/>
  <c r="BP1808" i="1" s="1"/>
  <c r="BI1820" i="1"/>
  <c r="BS1820" i="1" s="1"/>
  <c r="BK1839" i="1"/>
  <c r="BT1839" i="1" s="1"/>
  <c r="BI1977" i="1"/>
  <c r="BS1977" i="1" s="1"/>
  <c r="BG1827" i="1"/>
  <c r="BR1827" i="1" s="1"/>
  <c r="BI1982" i="1"/>
  <c r="BS1982" i="1" s="1"/>
  <c r="BK1927" i="1"/>
  <c r="BT1927" i="1" s="1"/>
  <c r="BE1851" i="1"/>
  <c r="BQ1851" i="1" s="1"/>
  <c r="BC1977" i="1"/>
  <c r="BP1977" i="1" s="1"/>
  <c r="BK1914" i="1"/>
  <c r="BT1914" i="1" s="1"/>
  <c r="BC1843" i="1"/>
  <c r="BP1843" i="1" s="1"/>
  <c r="BE1831" i="1"/>
  <c r="BQ1831" i="1" s="1"/>
  <c r="BE1832" i="1"/>
  <c r="BQ1832" i="1" s="1"/>
  <c r="BI1979" i="1"/>
  <c r="BS1979" i="1" s="1"/>
  <c r="BI1983" i="1"/>
  <c r="BS1983" i="1" s="1"/>
  <c r="BI1981" i="1"/>
  <c r="BS1981" i="1" s="1"/>
  <c r="BE1909" i="1"/>
  <c r="BQ1909" i="1" s="1"/>
  <c r="BI1857" i="1"/>
  <c r="BS1857" i="1" s="1"/>
  <c r="BE1817" i="1"/>
  <c r="BQ1817" i="1" s="1"/>
  <c r="BI1975" i="1"/>
  <c r="BI1875" i="1"/>
  <c r="BS1875" i="1" s="1"/>
  <c r="BI1849" i="1"/>
  <c r="BS1849" i="1" s="1"/>
  <c r="BE1906" i="1"/>
  <c r="BQ1906" i="1" s="1"/>
  <c r="BI1978" i="1"/>
  <c r="BS1978" i="1" s="1"/>
  <c r="BK2007" i="1"/>
  <c r="BT2007" i="1" s="1"/>
  <c r="BE1981" i="1"/>
  <c r="BQ1981" i="1" s="1"/>
  <c r="BE1864" i="1"/>
  <c r="BQ1864" i="1" s="1"/>
  <c r="BK1982" i="1"/>
  <c r="BT1982" i="1" s="1"/>
  <c r="BI1853" i="1"/>
  <c r="BS1853" i="1" s="1"/>
  <c r="BC1856" i="1"/>
  <c r="BP1856" i="1" s="1"/>
  <c r="BK1779" i="1"/>
  <c r="BT1779" i="1" s="1"/>
  <c r="BG1792" i="1"/>
  <c r="BR1792" i="1" s="1"/>
  <c r="BE1800" i="1"/>
  <c r="BQ1800" i="1" s="1"/>
  <c r="BK1983" i="1"/>
  <c r="BT1983" i="1" s="1"/>
  <c r="BK1980" i="1"/>
  <c r="BT1980" i="1" s="1"/>
  <c r="BE1838" i="1"/>
  <c r="BQ1838" i="1" s="1"/>
  <c r="BK1842" i="1"/>
  <c r="BT1842" i="1" s="1"/>
  <c r="BC1819" i="1"/>
  <c r="BP1819" i="1" s="1"/>
  <c r="BE1900" i="1"/>
  <c r="BK1850" i="1"/>
  <c r="BT1850" i="1" s="1"/>
  <c r="BE1802" i="1"/>
  <c r="BQ1802" i="1" s="1"/>
  <c r="BC2022" i="1"/>
  <c r="BP2022" i="1" s="1"/>
  <c r="BK1977" i="1"/>
  <c r="BT1977" i="1" s="1"/>
  <c r="BE1908" i="1"/>
  <c r="BQ1908" i="1" s="1"/>
  <c r="BE1853" i="1"/>
  <c r="BQ1853" i="1" s="1"/>
  <c r="BE1855" i="1"/>
  <c r="BQ1855" i="1" s="1"/>
  <c r="BE1816" i="1"/>
  <c r="BQ1816" i="1" s="1"/>
  <c r="BE1829" i="1"/>
  <c r="BQ1829" i="1" s="1"/>
  <c r="BE1910" i="1"/>
  <c r="BQ1910" i="1" s="1"/>
  <c r="BE1905" i="1"/>
  <c r="BQ1905" i="1" s="1"/>
  <c r="BI2030" i="1"/>
  <c r="BS2030" i="1" s="1"/>
  <c r="BI1882" i="1"/>
  <c r="BS1882" i="1" s="1"/>
  <c r="BE1852" i="1"/>
  <c r="BQ1852" i="1" s="1"/>
  <c r="BE1803" i="1"/>
  <c r="BQ1803" i="1" s="1"/>
  <c r="BE1818" i="1"/>
  <c r="BQ1818" i="1" s="1"/>
  <c r="BK1981" i="1"/>
  <c r="BT1981" i="1" s="1"/>
  <c r="BE1846" i="1"/>
  <c r="BQ1846" i="1" s="1"/>
  <c r="BE1807" i="1"/>
  <c r="BQ1807" i="1" s="1"/>
  <c r="BE1812" i="1"/>
  <c r="BQ1812" i="1" s="1"/>
  <c r="BK1975" i="1"/>
  <c r="BE1842" i="1"/>
  <c r="BQ1842" i="1" s="1"/>
  <c r="BC1852" i="1"/>
  <c r="BP1852" i="1" s="1"/>
  <c r="BE1806" i="1"/>
  <c r="BQ1806" i="1" s="1"/>
  <c r="BC1795" i="1"/>
  <c r="BP1795" i="1" s="1"/>
  <c r="BE1980" i="1"/>
  <c r="BQ1980" i="1" s="1"/>
  <c r="BG1780" i="1"/>
  <c r="BR1780" i="1" s="1"/>
  <c r="BE1799" i="1"/>
  <c r="BI2022" i="1"/>
  <c r="BS2022" i="1" s="1"/>
  <c r="BC1841" i="1"/>
  <c r="BP1841" i="1" s="1"/>
  <c r="BC1825" i="1"/>
  <c r="BP1825" i="1" s="1"/>
  <c r="BC1822" i="1"/>
  <c r="BP1822" i="1" s="1"/>
  <c r="BI1812" i="1"/>
  <c r="BS1812" i="1" s="1"/>
  <c r="BI2023" i="1"/>
  <c r="BS2023" i="1" s="1"/>
  <c r="BK1922" i="1"/>
  <c r="BT1922" i="1" s="1"/>
  <c r="BC1837" i="1"/>
  <c r="BP1837" i="1" s="1"/>
  <c r="BK1838" i="1"/>
  <c r="BT1838" i="1" s="1"/>
  <c r="BC1818" i="1"/>
  <c r="BP1818" i="1" s="1"/>
  <c r="BC1809" i="1"/>
  <c r="BP1809" i="1" s="1"/>
  <c r="BK1917" i="1"/>
  <c r="BT1917" i="1" s="1"/>
  <c r="BK1920" i="1"/>
  <c r="BT1920" i="1" s="1"/>
  <c r="BC1846" i="1"/>
  <c r="BP1846" i="1" s="1"/>
  <c r="BK1835" i="1"/>
  <c r="BT1835" i="1" s="1"/>
  <c r="BI1859" i="1"/>
  <c r="BS1859" i="1" s="1"/>
  <c r="BC1804" i="1"/>
  <c r="BP1804" i="1" s="1"/>
  <c r="BE2015" i="1"/>
  <c r="BQ2015" i="1" s="1"/>
  <c r="BK1913" i="1"/>
  <c r="BT1913" i="1" s="1"/>
  <c r="BK1844" i="1"/>
  <c r="BT1844" i="1" s="1"/>
  <c r="BC1862" i="1"/>
  <c r="BP1862" i="1" s="1"/>
  <c r="BK1858" i="1"/>
  <c r="BT1858" i="1" s="1"/>
  <c r="BG1980" i="1"/>
  <c r="BR1980" i="1" s="1"/>
  <c r="BC1842" i="1"/>
  <c r="BP1842" i="1" s="1"/>
  <c r="AV1975" i="1"/>
  <c r="BG1786" i="1"/>
  <c r="BR1786" i="1" s="1"/>
  <c r="BG1981" i="1"/>
  <c r="BR1981" i="1" s="1"/>
  <c r="BE1907" i="1"/>
  <c r="BQ1907" i="1" s="1"/>
  <c r="BG1881" i="1"/>
  <c r="BR1881" i="1" s="1"/>
  <c r="BC1838" i="1"/>
  <c r="BP1838" i="1" s="1"/>
  <c r="BI1799" i="1"/>
  <c r="BG1978" i="1"/>
  <c r="BR1978" i="1" s="1"/>
  <c r="BK1970" i="1"/>
  <c r="BT1970" i="1" s="1"/>
  <c r="BE1903" i="1"/>
  <c r="BQ1903" i="1" s="1"/>
  <c r="BG1882" i="1"/>
  <c r="BR1882" i="1" s="1"/>
  <c r="BC1851" i="1"/>
  <c r="BP1851" i="1" s="1"/>
  <c r="BC1831" i="1"/>
  <c r="BP1831" i="1" s="1"/>
  <c r="BK1951" i="1"/>
  <c r="BT1951" i="1" s="1"/>
  <c r="BE1902" i="1"/>
  <c r="BQ1902" i="1" s="1"/>
  <c r="BE1891" i="1"/>
  <c r="BQ1891" i="1" s="1"/>
  <c r="BI1861" i="1"/>
  <c r="BS1861" i="1" s="1"/>
  <c r="BE1849" i="1"/>
  <c r="BQ1849" i="1" s="1"/>
  <c r="BE1840" i="1"/>
  <c r="BQ1840" i="1" s="1"/>
  <c r="BC1847" i="1"/>
  <c r="BP1847" i="1" s="1"/>
  <c r="BI1826" i="1"/>
  <c r="BS1826" i="1" s="1"/>
  <c r="BC1816" i="1"/>
  <c r="BP1816" i="1" s="1"/>
  <c r="BE1825" i="1"/>
  <c r="BQ1825" i="1" s="1"/>
  <c r="BG2016" i="1"/>
  <c r="BR2016" i="1" s="1"/>
  <c r="BE1884" i="1"/>
  <c r="BI1844" i="1"/>
  <c r="BS1844" i="1" s="1"/>
  <c r="BI1825" i="1"/>
  <c r="BS1825" i="1" s="1"/>
  <c r="BI1815" i="1"/>
  <c r="BS1815" i="1" s="1"/>
  <c r="BK1911" i="1"/>
  <c r="BC1903" i="1"/>
  <c r="BP1903" i="1" s="1"/>
  <c r="BC1814" i="1"/>
  <c r="BP1814" i="1" s="1"/>
  <c r="BK2004" i="1"/>
  <c r="BT2004" i="1" s="1"/>
  <c r="BK1996" i="1"/>
  <c r="BT1996" i="1" s="1"/>
  <c r="BC1817" i="1"/>
  <c r="BP1817" i="1" s="1"/>
  <c r="BC1811" i="1"/>
  <c r="BP1811" i="1" s="1"/>
  <c r="BE1990" i="1"/>
  <c r="BQ1990" i="1" s="1"/>
  <c r="BI1840" i="1"/>
  <c r="BS1840" i="1" s="1"/>
  <c r="BK1814" i="1"/>
  <c r="BT1814" i="1" s="1"/>
  <c r="BC1828" i="1"/>
  <c r="BP1828" i="1" s="1"/>
  <c r="BI1832" i="1"/>
  <c r="BS1832" i="1" s="1"/>
  <c r="BI1821" i="1"/>
  <c r="BS1821" i="1" s="1"/>
  <c r="BC1799" i="1"/>
  <c r="BC1801" i="1"/>
  <c r="BP1801" i="1" s="1"/>
  <c r="BK1998" i="1"/>
  <c r="BT1998" i="1" s="1"/>
  <c r="BK1930" i="1"/>
  <c r="BT1930" i="1" s="1"/>
  <c r="BI2029" i="1"/>
  <c r="BS2029" i="1" s="1"/>
  <c r="BK1959" i="1"/>
  <c r="BT1959" i="1" s="1"/>
  <c r="BK1974" i="1"/>
  <c r="BT1974" i="1" s="1"/>
  <c r="BI1892" i="1"/>
  <c r="BS1892" i="1" s="1"/>
  <c r="BC1850" i="1"/>
  <c r="BP1850" i="1" s="1"/>
  <c r="BI1836" i="1"/>
  <c r="BS1836" i="1" s="1"/>
  <c r="BI1850" i="1"/>
  <c r="BS1850" i="1" s="1"/>
  <c r="BK1806" i="1"/>
  <c r="BT1806" i="1" s="1"/>
  <c r="BI1805" i="1"/>
  <c r="BS1805" i="1" s="1"/>
  <c r="BC1827" i="1"/>
  <c r="BP1827" i="1" s="1"/>
  <c r="BK1916" i="1"/>
  <c r="BT1916" i="1" s="1"/>
  <c r="BK1797" i="1"/>
  <c r="BT1797" i="1" s="1"/>
  <c r="BI1854" i="1"/>
  <c r="BS1854" i="1" s="1"/>
  <c r="BC1994" i="1"/>
  <c r="BP1994" i="1" s="1"/>
  <c r="BI2020" i="1"/>
  <c r="BS2020" i="1" s="1"/>
  <c r="BE2009" i="1"/>
  <c r="BQ2009" i="1" s="1"/>
  <c r="BK1848" i="1"/>
  <c r="BT1848" i="1" s="1"/>
  <c r="BK1865" i="1"/>
  <c r="BT1865" i="1" s="1"/>
  <c r="BC1863" i="1"/>
  <c r="BP1863" i="1" s="1"/>
  <c r="BK1861" i="1"/>
  <c r="BT1861" i="1" s="1"/>
  <c r="BK1821" i="1"/>
  <c r="BT1821" i="1" s="1"/>
  <c r="BI1817" i="1"/>
  <c r="BS1817" i="1" s="1"/>
  <c r="BG1784" i="1"/>
  <c r="BR1784" i="1" s="1"/>
  <c r="BG1790" i="1"/>
  <c r="BR1790" i="1" s="1"/>
  <c r="BE1777" i="1"/>
  <c r="BE1783" i="1"/>
  <c r="BQ1783" i="1" s="1"/>
  <c r="BI1987" i="1"/>
  <c r="BS1987" i="1" s="1"/>
  <c r="BI1997" i="1"/>
  <c r="BS1997" i="1" s="1"/>
  <c r="BI1995" i="1"/>
  <c r="BS1995" i="1" s="1"/>
  <c r="BI1996" i="1"/>
  <c r="BS1996" i="1" s="1"/>
  <c r="BI1925" i="1"/>
  <c r="BS1925" i="1" s="1"/>
  <c r="BI1913" i="1"/>
  <c r="BS1913" i="1" s="1"/>
  <c r="BC1902" i="1"/>
  <c r="BP1902" i="1" s="1"/>
  <c r="BC1909" i="1"/>
  <c r="BP1909" i="1" s="1"/>
  <c r="BC1910" i="1"/>
  <c r="BP1910" i="1" s="1"/>
  <c r="BK1867" i="1"/>
  <c r="BK1868" i="1"/>
  <c r="BT1868" i="1" s="1"/>
  <c r="BK1870" i="1"/>
  <c r="BT1870" i="1" s="1"/>
  <c r="BK1883" i="1"/>
  <c r="BT1883" i="1" s="1"/>
  <c r="BI1993" i="1"/>
  <c r="BS1993" i="1" s="1"/>
  <c r="BI1874" i="1"/>
  <c r="BS1874" i="1" s="1"/>
  <c r="BI1879" i="1"/>
  <c r="BS1879" i="1" s="1"/>
  <c r="BC1984" i="1"/>
  <c r="BC1985" i="1"/>
  <c r="BP1985" i="1" s="1"/>
  <c r="BC1989" i="1"/>
  <c r="BP1989" i="1" s="1"/>
  <c r="BC2006" i="1"/>
  <c r="BP2006" i="1" s="1"/>
  <c r="BC1993" i="1"/>
  <c r="BP1993" i="1" s="1"/>
  <c r="BC1986" i="1"/>
  <c r="BP1986" i="1" s="1"/>
  <c r="BC2010" i="1"/>
  <c r="BP2010" i="1" s="1"/>
  <c r="BI2008" i="1"/>
  <c r="BS2008" i="1" s="1"/>
  <c r="BI1984" i="1"/>
  <c r="BC1920" i="1"/>
  <c r="BP1920" i="1" s="1"/>
  <c r="BC1912" i="1"/>
  <c r="BP1912" i="1" s="1"/>
  <c r="BC1914" i="1"/>
  <c r="BP1914" i="1" s="1"/>
  <c r="BK1961" i="1"/>
  <c r="BT1961" i="1" s="1"/>
  <c r="BK1935" i="1"/>
  <c r="BT1935" i="1" s="1"/>
  <c r="BK1940" i="1"/>
  <c r="BT1940" i="1" s="1"/>
  <c r="BK1954" i="1"/>
  <c r="BT1954" i="1" s="1"/>
  <c r="BK1944" i="1"/>
  <c r="BT1944" i="1" s="1"/>
  <c r="BK1932" i="1"/>
  <c r="BT1932" i="1" s="1"/>
  <c r="BK1952" i="1"/>
  <c r="BT1952" i="1" s="1"/>
  <c r="BK1955" i="1"/>
  <c r="BT1955" i="1" s="1"/>
  <c r="BK1973" i="1"/>
  <c r="BT1973" i="1" s="1"/>
  <c r="BI2004" i="1"/>
  <c r="BS2004" i="1" s="1"/>
  <c r="BE2008" i="1"/>
  <c r="BQ2008" i="1" s="1"/>
  <c r="BI2010" i="1"/>
  <c r="BS2010" i="1" s="1"/>
  <c r="BC1918" i="1"/>
  <c r="BP1918" i="1" s="1"/>
  <c r="BC1897" i="1"/>
  <c r="BP1897" i="1" s="1"/>
  <c r="BI1922" i="1"/>
  <c r="BS1922" i="1" s="1"/>
  <c r="BI1868" i="1"/>
  <c r="BS1868" i="1" s="1"/>
  <c r="BI1887" i="1"/>
  <c r="BS1887" i="1" s="1"/>
  <c r="BI1889" i="1"/>
  <c r="BS1889" i="1" s="1"/>
  <c r="BI1886" i="1"/>
  <c r="BS1886" i="1" s="1"/>
  <c r="BG1872" i="1"/>
  <c r="BR1872" i="1" s="1"/>
  <c r="BG1880" i="1"/>
  <c r="BR1880" i="1" s="1"/>
  <c r="BG1867" i="1"/>
  <c r="BG1883" i="1"/>
  <c r="BR1883" i="1" s="1"/>
  <c r="BG1868" i="1"/>
  <c r="BR1868" i="1" s="1"/>
  <c r="BG1879" i="1"/>
  <c r="BR1879" i="1" s="1"/>
  <c r="BG1869" i="1"/>
  <c r="BR1869" i="1" s="1"/>
  <c r="BC1979" i="1"/>
  <c r="BP1979" i="1" s="1"/>
  <c r="BC1982" i="1"/>
  <c r="BP1982" i="1" s="1"/>
  <c r="BC1978" i="1"/>
  <c r="BP1978" i="1" s="1"/>
  <c r="BI2000" i="1"/>
  <c r="BS2000" i="1" s="1"/>
  <c r="BK2025" i="1"/>
  <c r="BT2025" i="1" s="1"/>
  <c r="BI1994" i="1"/>
  <c r="BS1994" i="1" s="1"/>
  <c r="BK1963" i="1"/>
  <c r="BT1963" i="1" s="1"/>
  <c r="BC1913" i="1"/>
  <c r="BP1913" i="1" s="1"/>
  <c r="BC1904" i="1"/>
  <c r="BP1904" i="1" s="1"/>
  <c r="BI1915" i="1"/>
  <c r="BS1915" i="1" s="1"/>
  <c r="BC1899" i="1"/>
  <c r="BP1899" i="1" s="1"/>
  <c r="BG1873" i="1"/>
  <c r="BR1873" i="1" s="1"/>
  <c r="BI1911" i="1"/>
  <c r="BI1863" i="1"/>
  <c r="BS1863" i="1" s="1"/>
  <c r="BI1855" i="1"/>
  <c r="BS1855" i="1" s="1"/>
  <c r="BC1848" i="1"/>
  <c r="BP1848" i="1" s="1"/>
  <c r="BI1846" i="1"/>
  <c r="BS1846" i="1" s="1"/>
  <c r="BC1821" i="1"/>
  <c r="BP1821" i="1" s="1"/>
  <c r="BI1801" i="1"/>
  <c r="BS1801" i="1" s="1"/>
  <c r="BI1822" i="1"/>
  <c r="BS1822" i="1" s="1"/>
  <c r="BC1833" i="1"/>
  <c r="BP1833" i="1" s="1"/>
  <c r="BE1785" i="1"/>
  <c r="BQ1785" i="1" s="1"/>
  <c r="BG1799" i="1"/>
  <c r="BG1806" i="1"/>
  <c r="BR1806" i="1" s="1"/>
  <c r="BK1964" i="1"/>
  <c r="BT1964" i="1" s="1"/>
  <c r="BK1921" i="1"/>
  <c r="BT1921" i="1" s="1"/>
  <c r="BC1896" i="1"/>
  <c r="BP1896" i="1" s="1"/>
  <c r="BG1871" i="1"/>
  <c r="BR1871" i="1" s="1"/>
  <c r="BI1926" i="1"/>
  <c r="BS1926" i="1" s="1"/>
  <c r="BI1845" i="1"/>
  <c r="BS1845" i="1" s="1"/>
  <c r="BC1860" i="1"/>
  <c r="BP1860" i="1" s="1"/>
  <c r="BC1861" i="1"/>
  <c r="BP1861" i="1" s="1"/>
  <c r="BC1844" i="1"/>
  <c r="BP1844" i="1" s="1"/>
  <c r="BI1842" i="1"/>
  <c r="BS1842" i="1" s="1"/>
  <c r="BC1824" i="1"/>
  <c r="BP1824" i="1" s="1"/>
  <c r="BI1818" i="1"/>
  <c r="BS1818" i="1" s="1"/>
  <c r="BE1788" i="1"/>
  <c r="BQ1788" i="1" s="1"/>
  <c r="BE1779" i="1"/>
  <c r="BQ1779" i="1" s="1"/>
  <c r="BC1867" i="1"/>
  <c r="BC1876" i="1"/>
  <c r="BP1876" i="1" s="1"/>
  <c r="BC1868" i="1"/>
  <c r="BP1868" i="1" s="1"/>
  <c r="BC2000" i="1"/>
  <c r="BP2000" i="1" s="1"/>
  <c r="BE1943" i="1"/>
  <c r="BQ1943" i="1" s="1"/>
  <c r="BC1901" i="1"/>
  <c r="BP1901" i="1" s="1"/>
  <c r="BI1877" i="1"/>
  <c r="BS1877" i="1" s="1"/>
  <c r="BE1895" i="1"/>
  <c r="BQ1895" i="1" s="1"/>
  <c r="BI1870" i="1"/>
  <c r="BS1870" i="1" s="1"/>
  <c r="BK1907" i="1"/>
  <c r="BT1907" i="1" s="1"/>
  <c r="BC1857" i="1"/>
  <c r="BP1857" i="1" s="1"/>
  <c r="BI1851" i="1"/>
  <c r="BS1851" i="1" s="1"/>
  <c r="BI1827" i="1"/>
  <c r="BS1827" i="1" s="1"/>
  <c r="BI1830" i="1"/>
  <c r="BS1830" i="1" s="1"/>
  <c r="BC1820" i="1"/>
  <c r="BP1820" i="1" s="1"/>
  <c r="BC1813" i="1"/>
  <c r="BP1813" i="1" s="1"/>
  <c r="BC1779" i="1"/>
  <c r="BP1779" i="1" s="1"/>
  <c r="BE1786" i="1"/>
  <c r="BQ1786" i="1" s="1"/>
  <c r="BK1777" i="1"/>
  <c r="BK1783" i="1"/>
  <c r="BT1783" i="1" s="1"/>
  <c r="BK1787" i="1"/>
  <c r="BT1787" i="1" s="1"/>
  <c r="BI1891" i="1"/>
  <c r="BS1891" i="1" s="1"/>
  <c r="BK1936" i="1"/>
  <c r="BT1936" i="1" s="1"/>
  <c r="BI1912" i="1"/>
  <c r="BS1912" i="1" s="1"/>
  <c r="BK1924" i="1"/>
  <c r="BT1924" i="1" s="1"/>
  <c r="BK1926" i="1"/>
  <c r="BT1926" i="1" s="1"/>
  <c r="BC1900" i="1"/>
  <c r="BG1874" i="1"/>
  <c r="BR1874" i="1" s="1"/>
  <c r="BE1899" i="1"/>
  <c r="BQ1899" i="1" s="1"/>
  <c r="BI1841" i="1"/>
  <c r="BS1841" i="1" s="1"/>
  <c r="BI1852" i="1"/>
  <c r="BS1852" i="1" s="1"/>
  <c r="BC1853" i="1"/>
  <c r="BP1853" i="1" s="1"/>
  <c r="BI1847" i="1"/>
  <c r="BS1847" i="1" s="1"/>
  <c r="BC1840" i="1"/>
  <c r="BP1840" i="1" s="1"/>
  <c r="BI1860" i="1"/>
  <c r="BS1860" i="1" s="1"/>
  <c r="BI1823" i="1"/>
  <c r="BS1823" i="1" s="1"/>
  <c r="BI1831" i="1"/>
  <c r="BS1831" i="1" s="1"/>
  <c r="BI1816" i="1"/>
  <c r="BS1816" i="1" s="1"/>
  <c r="BC1802" i="1"/>
  <c r="BP1802" i="1" s="1"/>
  <c r="BE1789" i="1"/>
  <c r="BQ1789" i="1" s="1"/>
  <c r="BC1785" i="1"/>
  <c r="BP1785" i="1" s="1"/>
  <c r="BK1890" i="1"/>
  <c r="BT1890" i="1" s="1"/>
  <c r="BK1886" i="1"/>
  <c r="BT1886" i="1" s="1"/>
  <c r="BK1892" i="1"/>
  <c r="BT1892" i="1" s="1"/>
  <c r="BK1887" i="1"/>
  <c r="BT1887" i="1" s="1"/>
  <c r="BC2009" i="1"/>
  <c r="BP2009" i="1" s="1"/>
  <c r="BC1996" i="1"/>
  <c r="BP1996" i="1" s="1"/>
  <c r="BC2007" i="1"/>
  <c r="BP2007" i="1" s="1"/>
  <c r="BK1966" i="1"/>
  <c r="BT1966" i="1" s="1"/>
  <c r="BK1910" i="1"/>
  <c r="BT1910" i="1" s="1"/>
  <c r="BC1925" i="1"/>
  <c r="BP1925" i="1" s="1"/>
  <c r="BI1873" i="1"/>
  <c r="BS1873" i="1" s="1"/>
  <c r="BI1876" i="1"/>
  <c r="BS1876" i="1" s="1"/>
  <c r="BI1869" i="1"/>
  <c r="BS1869" i="1" s="1"/>
  <c r="BC1849" i="1"/>
  <c r="BP1849" i="1" s="1"/>
  <c r="BI1858" i="1"/>
  <c r="BS1858" i="1" s="1"/>
  <c r="BI1834" i="1"/>
  <c r="BS1834" i="1" s="1"/>
  <c r="BC1803" i="1"/>
  <c r="BP1803" i="1" s="1"/>
  <c r="BE1778" i="1"/>
  <c r="BQ1778" i="1" s="1"/>
  <c r="BI1828" i="1"/>
  <c r="BS1828" i="1" s="1"/>
  <c r="BC1780" i="1"/>
  <c r="BP1780" i="1" s="1"/>
  <c r="BE1787" i="1"/>
  <c r="BQ1787" i="1" s="1"/>
  <c r="BI1813" i="1"/>
  <c r="BS1813" i="1" s="1"/>
  <c r="BC2002" i="1"/>
  <c r="BP2002" i="1" s="1"/>
  <c r="BI1985" i="1"/>
  <c r="BS1985" i="1" s="1"/>
  <c r="BE1987" i="1"/>
  <c r="BQ1987" i="1" s="1"/>
  <c r="BC1983" i="1"/>
  <c r="BP1983" i="1" s="1"/>
  <c r="BK1958" i="1"/>
  <c r="BT1958" i="1" s="1"/>
  <c r="BI1885" i="1"/>
  <c r="BS1885" i="1" s="1"/>
  <c r="BI1872" i="1"/>
  <c r="BS1872" i="1" s="1"/>
  <c r="BI1871" i="1"/>
  <c r="BS1871" i="1" s="1"/>
  <c r="BI1880" i="1"/>
  <c r="BS1880" i="1" s="1"/>
  <c r="BG1877" i="1"/>
  <c r="BR1877" i="1" s="1"/>
  <c r="BC1854" i="1"/>
  <c r="BP1854" i="1" s="1"/>
  <c r="BI1848" i="1"/>
  <c r="BS1848" i="1" s="1"/>
  <c r="BC1845" i="1"/>
  <c r="BP1845" i="1" s="1"/>
  <c r="BI1843" i="1"/>
  <c r="BS1843" i="1" s="1"/>
  <c r="BC1864" i="1"/>
  <c r="BP1864" i="1" s="1"/>
  <c r="BC1855" i="1"/>
  <c r="BP1855" i="1" s="1"/>
  <c r="BI1819" i="1"/>
  <c r="BS1819" i="1" s="1"/>
  <c r="BE1782" i="1"/>
  <c r="BQ1782" i="1" s="1"/>
  <c r="BE1889" i="1"/>
  <c r="BQ1889" i="1" s="1"/>
  <c r="BE1887" i="1"/>
  <c r="BQ1887" i="1" s="1"/>
  <c r="BK1880" i="1"/>
  <c r="BT1880" i="1" s="1"/>
  <c r="BI1883" i="1"/>
  <c r="BS1883" i="1" s="1"/>
  <c r="BG1905" i="1"/>
  <c r="BR1905" i="1" s="1"/>
  <c r="BC2005" i="1"/>
  <c r="BP2005" i="1" s="1"/>
  <c r="BI1992" i="1"/>
  <c r="BS1992" i="1" s="1"/>
  <c r="BK1953" i="1"/>
  <c r="BT1953" i="1" s="1"/>
  <c r="BG1910" i="1"/>
  <c r="BR1910" i="1" s="1"/>
  <c r="BK1875" i="1"/>
  <c r="BT1875" i="1" s="1"/>
  <c r="BI1881" i="1"/>
  <c r="BS1881" i="1" s="1"/>
  <c r="BI1800" i="1"/>
  <c r="BS1800" i="1" s="1"/>
  <c r="BI1803" i="1"/>
  <c r="BS1803" i="1" s="1"/>
  <c r="BI1806" i="1"/>
  <c r="BS1806" i="1" s="1"/>
  <c r="BI1835" i="1"/>
  <c r="BS1835" i="1" s="1"/>
  <c r="BI1864" i="1"/>
  <c r="BS1864" i="1" s="1"/>
  <c r="BI1856" i="1"/>
  <c r="BS1856" i="1" s="1"/>
  <c r="BI1809" i="1"/>
  <c r="BS1809" i="1" s="1"/>
  <c r="BI1833" i="1"/>
  <c r="BS1833" i="1" s="1"/>
  <c r="BI1862" i="1"/>
  <c r="BS1862" i="1" s="1"/>
  <c r="BI1811" i="1"/>
  <c r="BS1811" i="1" s="1"/>
  <c r="BI1814" i="1"/>
  <c r="BS1814" i="1" s="1"/>
  <c r="BI1865" i="1"/>
  <c r="BS1865" i="1" s="1"/>
  <c r="BI1810" i="1"/>
  <c r="BS1810" i="1" s="1"/>
  <c r="BI1838" i="1"/>
  <c r="BS1838" i="1" s="1"/>
  <c r="BI1839" i="1"/>
  <c r="BS1839" i="1" s="1"/>
  <c r="BI1837" i="1"/>
  <c r="BS1837" i="1" s="1"/>
  <c r="BC1866" i="1"/>
  <c r="BP1866" i="1" s="1"/>
  <c r="BC1805" i="1"/>
  <c r="BP1805" i="1" s="1"/>
  <c r="BC1865" i="1"/>
  <c r="BP1865" i="1" s="1"/>
  <c r="BC1832" i="1"/>
  <c r="BP1832" i="1" s="1"/>
  <c r="BC1859" i="1"/>
  <c r="BP1859" i="1" s="1"/>
  <c r="BC1806" i="1"/>
  <c r="BP1806" i="1" s="1"/>
  <c r="BC1829" i="1"/>
  <c r="BP1829" i="1" s="1"/>
  <c r="BC1836" i="1"/>
  <c r="BP1836" i="1" s="1"/>
  <c r="BC1800" i="1"/>
  <c r="BP1800" i="1" s="1"/>
  <c r="BC1810" i="1"/>
  <c r="BP1810" i="1" s="1"/>
  <c r="BC1835" i="1"/>
  <c r="BP1835" i="1" s="1"/>
  <c r="BC1834" i="1"/>
  <c r="BP1834" i="1" s="1"/>
  <c r="BC1858" i="1"/>
  <c r="BP1858" i="1" s="1"/>
  <c r="BK1925" i="1"/>
  <c r="BT1925" i="1" s="1"/>
  <c r="BK1912" i="1"/>
  <c r="BT1912" i="1" s="1"/>
  <c r="BK1919" i="1"/>
  <c r="BT1919" i="1" s="1"/>
  <c r="BK1915" i="1"/>
  <c r="BT1915" i="1" s="1"/>
  <c r="BK1923" i="1"/>
  <c r="BT1923" i="1" s="1"/>
  <c r="BK2008" i="1"/>
  <c r="BT2008" i="1" s="1"/>
  <c r="BE1857" i="1"/>
  <c r="BQ1857" i="1" s="1"/>
  <c r="BE1836" i="1"/>
  <c r="BQ1836" i="1" s="1"/>
  <c r="BE1835" i="1"/>
  <c r="BQ1835" i="1" s="1"/>
  <c r="BE1805" i="1"/>
  <c r="BQ1805" i="1" s="1"/>
  <c r="BK1991" i="1"/>
  <c r="BT1991" i="1" s="1"/>
  <c r="BE1863" i="1"/>
  <c r="BQ1863" i="1" s="1"/>
  <c r="BK1827" i="1"/>
  <c r="BT1827" i="1" s="1"/>
  <c r="BE1960" i="1"/>
  <c r="BQ1960" i="1" s="1"/>
  <c r="BE1972" i="1"/>
  <c r="BQ1972" i="1" s="1"/>
  <c r="BK1871" i="1"/>
  <c r="BT1871" i="1" s="1"/>
  <c r="BK1834" i="1"/>
  <c r="BT1834" i="1" s="1"/>
  <c r="BI1795" i="1"/>
  <c r="BS1795" i="1" s="1"/>
  <c r="BI1794" i="1"/>
  <c r="BS1794" i="1" s="1"/>
  <c r="BI2028" i="1"/>
  <c r="BS2028" i="1" s="1"/>
  <c r="BK1950" i="1"/>
  <c r="BT1950" i="1" s="1"/>
  <c r="BK1928" i="1"/>
  <c r="BG1900" i="1"/>
  <c r="BG1902" i="1"/>
  <c r="BR1902" i="1" s="1"/>
  <c r="BK1937" i="1"/>
  <c r="BT1937" i="1" s="1"/>
  <c r="BK1882" i="1"/>
  <c r="BT1882" i="1" s="1"/>
  <c r="BC1869" i="1"/>
  <c r="BP1869" i="1" s="1"/>
  <c r="BK1893" i="1"/>
  <c r="BC1880" i="1"/>
  <c r="BP1880" i="1" s="1"/>
  <c r="BE1854" i="1"/>
  <c r="BQ1854" i="1" s="1"/>
  <c r="BE1860" i="1"/>
  <c r="BQ1860" i="1" s="1"/>
  <c r="BE1861" i="1"/>
  <c r="BQ1861" i="1" s="1"/>
  <c r="BE1833" i="1"/>
  <c r="BQ1833" i="1" s="1"/>
  <c r="BE1843" i="1"/>
  <c r="BQ1843" i="1" s="1"/>
  <c r="BE1828" i="1"/>
  <c r="BQ1828" i="1" s="1"/>
  <c r="BE1813" i="1"/>
  <c r="BQ1813" i="1" s="1"/>
  <c r="BE1823" i="1"/>
  <c r="BQ1823" i="1" s="1"/>
  <c r="BK1829" i="1"/>
  <c r="BT1829" i="1" s="1"/>
  <c r="BE1830" i="1"/>
  <c r="BQ1830" i="1" s="1"/>
  <c r="BE1811" i="1"/>
  <c r="BQ1811" i="1" s="1"/>
  <c r="BI1888" i="1"/>
  <c r="BS1888" i="1" s="1"/>
  <c r="BE1866" i="1"/>
  <c r="BQ1866" i="1" s="1"/>
  <c r="BC1976" i="1"/>
  <c r="BP1976" i="1" s="1"/>
  <c r="BK1877" i="1"/>
  <c r="BT1877" i="1" s="1"/>
  <c r="BK2003" i="1"/>
  <c r="BT2003" i="1" s="1"/>
  <c r="BI1902" i="1"/>
  <c r="BS1902" i="1" s="1"/>
  <c r="BK1878" i="1"/>
  <c r="BT1878" i="1" s="1"/>
  <c r="BK1901" i="1"/>
  <c r="BT1901" i="1" s="1"/>
  <c r="BK1874" i="1"/>
  <c r="BT1874" i="1" s="1"/>
  <c r="BK1999" i="1"/>
  <c r="BT1999" i="1" s="1"/>
  <c r="BI2024" i="1"/>
  <c r="BS2024" i="1" s="1"/>
  <c r="BK1969" i="1"/>
  <c r="BT1969" i="1" s="1"/>
  <c r="BK1947" i="1"/>
  <c r="BT1947" i="1" s="1"/>
  <c r="BG2017" i="1"/>
  <c r="BR2017" i="1" s="1"/>
  <c r="BK1943" i="1"/>
  <c r="BT1943" i="1" s="1"/>
  <c r="BK1946" i="1"/>
  <c r="BT1946" i="1" s="1"/>
  <c r="BK1933" i="1"/>
  <c r="BT1933" i="1" s="1"/>
  <c r="BC1921" i="1"/>
  <c r="BP1921" i="1" s="1"/>
  <c r="BG1876" i="1"/>
  <c r="BR1876" i="1" s="1"/>
  <c r="BK1902" i="1"/>
  <c r="BT1902" i="1" s="1"/>
  <c r="BG1870" i="1"/>
  <c r="BR1870" i="1" s="1"/>
  <c r="BC1878" i="1"/>
  <c r="BP1878" i="1" s="1"/>
  <c r="BE1837" i="1"/>
  <c r="BQ1837" i="1" s="1"/>
  <c r="BE1848" i="1"/>
  <c r="BQ1848" i="1" s="1"/>
  <c r="BK1854" i="1"/>
  <c r="BT1854" i="1" s="1"/>
  <c r="BK1845" i="1"/>
  <c r="BT1845" i="1" s="1"/>
  <c r="BE1810" i="1"/>
  <c r="BQ1810" i="1" s="1"/>
  <c r="BK1828" i="1"/>
  <c r="BT1828" i="1" s="1"/>
  <c r="BK1778" i="1"/>
  <c r="BT1778" i="1" s="1"/>
  <c r="BC1787" i="1"/>
  <c r="BP1787" i="1" s="1"/>
  <c r="BE1815" i="1"/>
  <c r="BQ1815" i="1" s="1"/>
  <c r="BK1790" i="1"/>
  <c r="BT1790" i="1" s="1"/>
  <c r="BI1796" i="1"/>
  <c r="BS1796" i="1" s="1"/>
  <c r="BC1898" i="1"/>
  <c r="BP1898" i="1" s="1"/>
  <c r="BI1802" i="1"/>
  <c r="BS1802" i="1" s="1"/>
  <c r="BI1970" i="1"/>
  <c r="BS1970" i="1" s="1"/>
  <c r="BC1919" i="1"/>
  <c r="BP1919" i="1" s="1"/>
  <c r="BK1989" i="1"/>
  <c r="BT1989" i="1" s="1"/>
  <c r="BE1935" i="1"/>
  <c r="BQ1935" i="1" s="1"/>
  <c r="BK1904" i="1"/>
  <c r="BT1904" i="1" s="1"/>
  <c r="BK1891" i="1"/>
  <c r="BT1891" i="1" s="1"/>
  <c r="BK1851" i="1"/>
  <c r="BT1851" i="1" s="1"/>
  <c r="BK1859" i="1"/>
  <c r="BT1859" i="1" s="1"/>
  <c r="BK1813" i="1"/>
  <c r="BT1813" i="1" s="1"/>
  <c r="BG1982" i="1"/>
  <c r="BR1982" i="1" s="1"/>
  <c r="BK1965" i="1"/>
  <c r="BT1965" i="1" s="1"/>
  <c r="BG1979" i="1"/>
  <c r="BR1979" i="1" s="1"/>
  <c r="BK1885" i="1"/>
  <c r="BT1885" i="1" s="1"/>
  <c r="BK1873" i="1"/>
  <c r="BT1873" i="1" s="1"/>
  <c r="BC2028" i="1"/>
  <c r="BP2028" i="1" s="1"/>
  <c r="BK2002" i="1"/>
  <c r="BT2002" i="1" s="1"/>
  <c r="BE2014" i="1"/>
  <c r="BQ2014" i="1" s="1"/>
  <c r="BI2027" i="1"/>
  <c r="BS2027" i="1" s="1"/>
  <c r="BG1976" i="1"/>
  <c r="BR1976" i="1" s="1"/>
  <c r="BG1983" i="1"/>
  <c r="BR1983" i="1" s="1"/>
  <c r="BK1939" i="1"/>
  <c r="BT1939" i="1" s="1"/>
  <c r="BK1942" i="1"/>
  <c r="BT1942" i="1" s="1"/>
  <c r="BK1967" i="1"/>
  <c r="BT1967" i="1" s="1"/>
  <c r="BK1972" i="1"/>
  <c r="BT1972" i="1" s="1"/>
  <c r="BK1872" i="1"/>
  <c r="BT1872" i="1" s="1"/>
  <c r="BG1875" i="1"/>
  <c r="BR1875" i="1" s="1"/>
  <c r="BI1900" i="1"/>
  <c r="BE1896" i="1"/>
  <c r="BQ1896" i="1" s="1"/>
  <c r="BK1888" i="1"/>
  <c r="BT1888" i="1" s="1"/>
  <c r="BK1869" i="1"/>
  <c r="BT1869" i="1" s="1"/>
  <c r="BC1882" i="1"/>
  <c r="BP1882" i="1" s="1"/>
  <c r="BE1850" i="1"/>
  <c r="BQ1850" i="1" s="1"/>
  <c r="BE1858" i="1"/>
  <c r="BQ1858" i="1" s="1"/>
  <c r="BE1865" i="1"/>
  <c r="BQ1865" i="1" s="1"/>
  <c r="BE1839" i="1"/>
  <c r="BQ1839" i="1" s="1"/>
  <c r="BE1824" i="1"/>
  <c r="BQ1824" i="1" s="1"/>
  <c r="BI1807" i="1"/>
  <c r="BS1807" i="1" s="1"/>
  <c r="BE1819" i="1"/>
  <c r="BQ1819" i="1" s="1"/>
  <c r="BC1823" i="1"/>
  <c r="BP1823" i="1" s="1"/>
  <c r="BE1826" i="1"/>
  <c r="BQ1826" i="1" s="1"/>
  <c r="BE1809" i="1"/>
  <c r="BQ1809" i="1" s="1"/>
  <c r="BC1826" i="1"/>
  <c r="BP1826" i="1" s="1"/>
  <c r="BC1778" i="1"/>
  <c r="BP1778" i="1" s="1"/>
  <c r="BC1807" i="1"/>
  <c r="BP1807" i="1" s="1"/>
  <c r="BE1780" i="1"/>
  <c r="BQ1780" i="1" s="1"/>
  <c r="BK1782" i="1"/>
  <c r="BT1782" i="1" s="1"/>
  <c r="BI1792" i="1"/>
  <c r="BS1792" i="1" s="1"/>
  <c r="BE1890" i="1"/>
  <c r="BQ1890" i="1" s="1"/>
  <c r="BI1804" i="1"/>
  <c r="BS1804" i="1" s="1"/>
  <c r="BE2013" i="1"/>
  <c r="BQ2013" i="1" s="1"/>
  <c r="BE1956" i="1"/>
  <c r="BQ1956" i="1" s="1"/>
  <c r="BK1820" i="1"/>
  <c r="BT1820" i="1" s="1"/>
  <c r="BG1908" i="1"/>
  <c r="BR1908" i="1" s="1"/>
  <c r="BK1801" i="1"/>
  <c r="BT1801" i="1" s="1"/>
  <c r="BC1788" i="1"/>
  <c r="BP1788" i="1" s="1"/>
  <c r="BG1904" i="1"/>
  <c r="BR1904" i="1" s="1"/>
  <c r="BE1982" i="1"/>
  <c r="BQ1982" i="1" s="1"/>
  <c r="BK1864" i="1"/>
  <c r="BT1864" i="1" s="1"/>
  <c r="BE1936" i="1"/>
  <c r="BQ1936" i="1" s="1"/>
  <c r="BK1802" i="1"/>
  <c r="BT1802" i="1" s="1"/>
  <c r="BK1866" i="1"/>
  <c r="BT1866" i="1" s="1"/>
  <c r="BE1940" i="1"/>
  <c r="BQ1940" i="1" s="1"/>
  <c r="BK1833" i="1"/>
  <c r="BT1833" i="1" s="1"/>
  <c r="BK1990" i="1"/>
  <c r="BT1990" i="1" s="1"/>
  <c r="BI1906" i="1"/>
  <c r="BS1906" i="1" s="1"/>
  <c r="BG1906" i="1"/>
  <c r="BR1906" i="1" s="1"/>
  <c r="BK1889" i="1"/>
  <c r="BT1889" i="1" s="1"/>
  <c r="BC1874" i="1"/>
  <c r="BP1874" i="1" s="1"/>
  <c r="BK1855" i="1"/>
  <c r="BT1855" i="1" s="1"/>
  <c r="BK1857" i="1"/>
  <c r="BT1857" i="1" s="1"/>
  <c r="BK1823" i="1"/>
  <c r="BT1823" i="1" s="1"/>
  <c r="BK1815" i="1"/>
  <c r="BT1815" i="1" s="1"/>
  <c r="BI1791" i="1"/>
  <c r="BC1790" i="1"/>
  <c r="BP1790" i="1" s="1"/>
  <c r="BG1782" i="1"/>
  <c r="BR1782" i="1" s="1"/>
  <c r="BC2026" i="1"/>
  <c r="BP2026" i="1" s="1"/>
  <c r="BG2004" i="1"/>
  <c r="BR2004" i="1" s="1"/>
  <c r="BI2025" i="1"/>
  <c r="BS2025" i="1" s="1"/>
  <c r="BK2005" i="1"/>
  <c r="BT2005" i="1" s="1"/>
  <c r="BG1975" i="1"/>
  <c r="BC1975" i="1"/>
  <c r="BE1959" i="1"/>
  <c r="BQ1959" i="1" s="1"/>
  <c r="BK1956" i="1"/>
  <c r="BT1956" i="1" s="1"/>
  <c r="BK1945" i="1"/>
  <c r="BT1945" i="1" s="1"/>
  <c r="BK1931" i="1"/>
  <c r="BT1931" i="1" s="1"/>
  <c r="BK1908" i="1"/>
  <c r="BT1908" i="1" s="1"/>
  <c r="BG1907" i="1"/>
  <c r="BR1907" i="1" s="1"/>
  <c r="BG1890" i="1"/>
  <c r="BR1890" i="1" s="1"/>
  <c r="BK1884" i="1"/>
  <c r="BK1881" i="1"/>
  <c r="BT1881" i="1" s="1"/>
  <c r="BK1876" i="1"/>
  <c r="BT1876" i="1" s="1"/>
  <c r="BE1859" i="1"/>
  <c r="BQ1859" i="1" s="1"/>
  <c r="BK1863" i="1"/>
  <c r="BT1863" i="1" s="1"/>
  <c r="BE1834" i="1"/>
  <c r="BQ1834" i="1" s="1"/>
  <c r="BG1835" i="1"/>
  <c r="BR1835" i="1" s="1"/>
  <c r="BE1847" i="1"/>
  <c r="BQ1847" i="1" s="1"/>
  <c r="BI1808" i="1"/>
  <c r="BS1808" i="1" s="1"/>
  <c r="BI1866" i="1"/>
  <c r="BS1866" i="1" s="1"/>
  <c r="BC1815" i="1"/>
  <c r="BP1815" i="1" s="1"/>
  <c r="BE1827" i="1"/>
  <c r="BQ1827" i="1" s="1"/>
  <c r="BG1793" i="1"/>
  <c r="BR1793" i="1" s="1"/>
  <c r="BE1814" i="1"/>
  <c r="BQ1814" i="1" s="1"/>
  <c r="BE1801" i="1"/>
  <c r="BQ1801" i="1" s="1"/>
  <c r="BG1815" i="1"/>
  <c r="BR1815" i="1" s="1"/>
  <c r="BK1786" i="1"/>
  <c r="BT1786" i="1" s="1"/>
  <c r="BI1986" i="1"/>
  <c r="BS1986" i="1" s="1"/>
  <c r="BI1798" i="1"/>
  <c r="BS1798" i="1" s="1"/>
  <c r="BE1781" i="1"/>
  <c r="BQ1781" i="1" s="1"/>
  <c r="BI1793" i="1"/>
  <c r="BS1793" i="1" s="1"/>
  <c r="BG1841" i="1"/>
  <c r="BR1841" i="1" s="1"/>
  <c r="BK1798" i="1"/>
  <c r="BT1798" i="1" s="1"/>
  <c r="BG1991" i="1"/>
  <c r="BR1991" i="1" s="1"/>
  <c r="BI2006" i="1"/>
  <c r="BS2006" i="1" s="1"/>
  <c r="BI2009" i="1"/>
  <c r="BS2009" i="1" s="1"/>
  <c r="BE1986" i="1"/>
  <c r="BQ1986" i="1" s="1"/>
  <c r="BE1968" i="1"/>
  <c r="BQ1968" i="1" s="1"/>
  <c r="BC1875" i="1"/>
  <c r="BP1875" i="1" s="1"/>
  <c r="BK1862" i="1"/>
  <c r="BT1862" i="1" s="1"/>
  <c r="BK1856" i="1"/>
  <c r="BT1856" i="1" s="1"/>
  <c r="BK1840" i="1"/>
  <c r="BT1840" i="1" s="1"/>
  <c r="BK1847" i="1"/>
  <c r="BT1847" i="1" s="1"/>
  <c r="BG1854" i="1"/>
  <c r="BR1854" i="1" s="1"/>
  <c r="BK1810" i="1"/>
  <c r="BT1810" i="1" s="1"/>
  <c r="BK1822" i="1"/>
  <c r="BT1822" i="1" s="1"/>
  <c r="BK1803" i="1"/>
  <c r="BT1803" i="1" s="1"/>
  <c r="BG1800" i="1"/>
  <c r="BR1800" i="1" s="1"/>
  <c r="BG1797" i="1"/>
  <c r="BR1797" i="1" s="1"/>
  <c r="BC1793" i="1"/>
  <c r="BP1793" i="1" s="1"/>
  <c r="BE1797" i="1"/>
  <c r="BQ1797" i="1" s="1"/>
  <c r="BE1795" i="1"/>
  <c r="BQ1795" i="1" s="1"/>
  <c r="BE1894" i="1"/>
  <c r="BQ1894" i="1" s="1"/>
  <c r="BG1803" i="1"/>
  <c r="BR1803" i="1" s="1"/>
  <c r="BG1934" i="1"/>
  <c r="BR1934" i="1" s="1"/>
  <c r="BG1956" i="1"/>
  <c r="BR1956" i="1" s="1"/>
  <c r="BG1864" i="1"/>
  <c r="BR1864" i="1" s="1"/>
  <c r="BG1805" i="1"/>
  <c r="BR1805" i="1" s="1"/>
  <c r="BG1822" i="1"/>
  <c r="BR1822" i="1" s="1"/>
  <c r="BE1942" i="1"/>
  <c r="BQ1942" i="1" s="1"/>
  <c r="BG1857" i="1"/>
  <c r="BR1857" i="1" s="1"/>
  <c r="BG1848" i="1"/>
  <c r="BR1848" i="1" s="1"/>
  <c r="BG1838" i="1"/>
  <c r="BR1838" i="1" s="1"/>
  <c r="BE1886" i="1"/>
  <c r="BQ1886" i="1" s="1"/>
  <c r="BK2029" i="1"/>
  <c r="BT2029" i="1" s="1"/>
  <c r="BI1991" i="1"/>
  <c r="BS1991" i="1" s="1"/>
  <c r="BC1997" i="1"/>
  <c r="BP1997" i="1" s="1"/>
  <c r="BI2007" i="1"/>
  <c r="BS2007" i="1" s="1"/>
  <c r="BK2010" i="1"/>
  <c r="BT2010" i="1" s="1"/>
  <c r="BC1999" i="1"/>
  <c r="BP1999" i="1" s="1"/>
  <c r="BC1927" i="1"/>
  <c r="BP1927" i="1" s="1"/>
  <c r="BE1885" i="1"/>
  <c r="BQ1885" i="1" s="1"/>
  <c r="BC1905" i="1"/>
  <c r="BP1905" i="1" s="1"/>
  <c r="BI1917" i="1"/>
  <c r="BS1917" i="1" s="1"/>
  <c r="BI1927" i="1"/>
  <c r="BS1927" i="1" s="1"/>
  <c r="BC1990" i="1"/>
  <c r="BP1990" i="1" s="1"/>
  <c r="BK1995" i="1"/>
  <c r="BT1995" i="1" s="1"/>
  <c r="BI2003" i="1"/>
  <c r="BS2003" i="1" s="1"/>
  <c r="BC2008" i="1"/>
  <c r="BP2008" i="1" s="1"/>
  <c r="BI1988" i="1"/>
  <c r="BS1988" i="1" s="1"/>
  <c r="BE2003" i="1"/>
  <c r="BQ2003" i="1" s="1"/>
  <c r="BK1997" i="1"/>
  <c r="BT1997" i="1" s="1"/>
  <c r="BI2005" i="1"/>
  <c r="BS2005" i="1" s="1"/>
  <c r="BC1988" i="1"/>
  <c r="BP1988" i="1" s="1"/>
  <c r="BE1964" i="1"/>
  <c r="BQ1964" i="1" s="1"/>
  <c r="BI1924" i="1"/>
  <c r="BS1924" i="1" s="1"/>
  <c r="BK1938" i="1"/>
  <c r="BT1938" i="1" s="1"/>
  <c r="BK1949" i="1"/>
  <c r="BT1949" i="1" s="1"/>
  <c r="BK1960" i="1"/>
  <c r="BT1960" i="1" s="1"/>
  <c r="BK1929" i="1"/>
  <c r="BT1929" i="1" s="1"/>
  <c r="BI1916" i="1"/>
  <c r="BS1916" i="1" s="1"/>
  <c r="BK1934" i="1"/>
  <c r="BT1934" i="1" s="1"/>
  <c r="BE1897" i="1"/>
  <c r="BQ1897" i="1" s="1"/>
  <c r="BG1903" i="1"/>
  <c r="BR1903" i="1" s="1"/>
  <c r="BG1901" i="1"/>
  <c r="BR1901" i="1" s="1"/>
  <c r="BC1895" i="1"/>
  <c r="BP1895" i="1" s="1"/>
  <c r="BE1893" i="1"/>
  <c r="BI1921" i="1"/>
  <c r="BS1921" i="1" s="1"/>
  <c r="BC1879" i="1"/>
  <c r="BP1879" i="1" s="1"/>
  <c r="BG1863" i="1"/>
  <c r="BR1863" i="1" s="1"/>
  <c r="BG1833" i="1"/>
  <c r="BR1833" i="1" s="1"/>
  <c r="BG1847" i="1"/>
  <c r="BR1847" i="1" s="1"/>
  <c r="BK1832" i="1"/>
  <c r="BT1832" i="1" s="1"/>
  <c r="BG1778" i="1"/>
  <c r="BR1778" i="1" s="1"/>
  <c r="BG1816" i="1"/>
  <c r="BR1816" i="1" s="1"/>
  <c r="BG1818" i="1"/>
  <c r="BR1818" i="1" s="1"/>
  <c r="BG1812" i="1"/>
  <c r="BR1812" i="1" s="1"/>
  <c r="BG1831" i="1"/>
  <c r="BR1831" i="1" s="1"/>
  <c r="BK1809" i="1"/>
  <c r="BT1809" i="1" s="1"/>
  <c r="BC1789" i="1"/>
  <c r="BP1789" i="1" s="1"/>
  <c r="BC1796" i="1"/>
  <c r="BP1796" i="1" s="1"/>
  <c r="BE1791" i="1"/>
  <c r="BG1779" i="1"/>
  <c r="BR1779" i="1" s="1"/>
  <c r="BI1919" i="1"/>
  <c r="BS1919" i="1" s="1"/>
  <c r="BK1781" i="1"/>
  <c r="BT1781" i="1" s="1"/>
  <c r="BK1789" i="1"/>
  <c r="BT1789" i="1" s="1"/>
  <c r="BG1788" i="1"/>
  <c r="BR1788" i="1" s="1"/>
  <c r="BG1851" i="1"/>
  <c r="BR1851" i="1" s="1"/>
  <c r="BG1823" i="1"/>
  <c r="BR1823" i="1" s="1"/>
  <c r="BC2025" i="1"/>
  <c r="BK2006" i="1"/>
  <c r="BT2006" i="1" s="1"/>
  <c r="BI2002" i="1"/>
  <c r="BS2002" i="1" s="1"/>
  <c r="BE2002" i="1"/>
  <c r="BQ2002" i="1" s="1"/>
  <c r="BK1986" i="1"/>
  <c r="BT1986" i="1" s="1"/>
  <c r="BI1920" i="1"/>
  <c r="BS1920" i="1" s="1"/>
  <c r="BE1916" i="1"/>
  <c r="BQ1916" i="1" s="1"/>
  <c r="BC1883" i="1"/>
  <c r="BP1883" i="1" s="1"/>
  <c r="BG1860" i="1"/>
  <c r="BR1860" i="1" s="1"/>
  <c r="BG1853" i="1"/>
  <c r="BR1853" i="1" s="1"/>
  <c r="BG1814" i="1"/>
  <c r="BR1814" i="1" s="1"/>
  <c r="BK1817" i="1"/>
  <c r="BT1817" i="1" s="1"/>
  <c r="BK1799" i="1"/>
  <c r="BK1808" i="1"/>
  <c r="BT1808" i="1" s="1"/>
  <c r="BK1796" i="1"/>
  <c r="BT1796" i="1" s="1"/>
  <c r="BK1792" i="1"/>
  <c r="BT1792" i="1" s="1"/>
  <c r="BC1907" i="1"/>
  <c r="BP1907" i="1" s="1"/>
  <c r="BK1785" i="1"/>
  <c r="BT1785" i="1" s="1"/>
  <c r="BG1781" i="1"/>
  <c r="BR1781" i="1" s="1"/>
  <c r="BG1954" i="1"/>
  <c r="BR1954" i="1" s="1"/>
  <c r="BG1820" i="1"/>
  <c r="BR1820" i="1" s="1"/>
  <c r="BG1955" i="1"/>
  <c r="BR1955" i="1" s="1"/>
  <c r="BG1832" i="1"/>
  <c r="BR1832" i="1" s="1"/>
  <c r="BK2030" i="1"/>
  <c r="BT2030" i="1" s="1"/>
  <c r="BC2027" i="1"/>
  <c r="BI1999" i="1"/>
  <c r="BS1999" i="1" s="1"/>
  <c r="BC2030" i="1"/>
  <c r="BC1995" i="1"/>
  <c r="BP1995" i="1" s="1"/>
  <c r="BC1915" i="1"/>
  <c r="BP1915" i="1" s="1"/>
  <c r="BC1908" i="1"/>
  <c r="BP1908" i="1" s="1"/>
  <c r="BC1926" i="1"/>
  <c r="BP1926" i="1" s="1"/>
  <c r="BE1869" i="1"/>
  <c r="BQ1869" i="1" s="1"/>
  <c r="BK1897" i="1"/>
  <c r="BT1897" i="1" s="1"/>
  <c r="BI1923" i="1"/>
  <c r="BS1923" i="1" s="1"/>
  <c r="BG1837" i="1"/>
  <c r="BR1837" i="1" s="1"/>
  <c r="BG1844" i="1"/>
  <c r="BR1844" i="1" s="1"/>
  <c r="BG1865" i="1"/>
  <c r="BR1865" i="1" s="1"/>
  <c r="BG1850" i="1"/>
  <c r="BR1850" i="1" s="1"/>
  <c r="BK1830" i="1"/>
  <c r="BT1830" i="1" s="1"/>
  <c r="BG1819" i="1"/>
  <c r="BR1819" i="1" s="1"/>
  <c r="BE2016" i="1"/>
  <c r="BQ2016" i="1" s="1"/>
  <c r="BK2023" i="1"/>
  <c r="BT2023" i="1" s="1"/>
  <c r="BG2030" i="1"/>
  <c r="BR2030" i="1" s="1"/>
  <c r="BE1996" i="1"/>
  <c r="BQ1996" i="1" s="1"/>
  <c r="BC2004" i="1"/>
  <c r="BP2004" i="1" s="1"/>
  <c r="BK1985" i="1"/>
  <c r="BT1985" i="1" s="1"/>
  <c r="BK2026" i="1"/>
  <c r="BT2026" i="1" s="1"/>
  <c r="BI1998" i="1"/>
  <c r="BS1998" i="1" s="1"/>
  <c r="BK1993" i="1"/>
  <c r="BT1993" i="1" s="1"/>
  <c r="BI2001" i="1"/>
  <c r="BS2001" i="1" s="1"/>
  <c r="BK1978" i="1"/>
  <c r="BT1978" i="1" s="1"/>
  <c r="BI1989" i="1"/>
  <c r="BS1989" i="1" s="1"/>
  <c r="BK1962" i="1"/>
  <c r="BT1962" i="1" s="1"/>
  <c r="BK1971" i="1"/>
  <c r="BT1971" i="1" s="1"/>
  <c r="BK1957" i="1"/>
  <c r="BT1957" i="1" s="1"/>
  <c r="BK1941" i="1"/>
  <c r="BT1941" i="1" s="1"/>
  <c r="BK1948" i="1"/>
  <c r="BT1948" i="1" s="1"/>
  <c r="BI1914" i="1"/>
  <c r="BS1914" i="1" s="1"/>
  <c r="BC1894" i="1"/>
  <c r="BP1894" i="1" s="1"/>
  <c r="BI1884" i="1"/>
  <c r="BG1892" i="1"/>
  <c r="BR1892" i="1" s="1"/>
  <c r="BK1899" i="1"/>
  <c r="BT1899" i="1" s="1"/>
  <c r="BC1877" i="1"/>
  <c r="BP1877" i="1" s="1"/>
  <c r="BK1852" i="1"/>
  <c r="BT1852" i="1" s="1"/>
  <c r="BK1836" i="1"/>
  <c r="BT1836" i="1" s="1"/>
  <c r="BG1843" i="1"/>
  <c r="BR1843" i="1" s="1"/>
  <c r="BK1860" i="1"/>
  <c r="BT1860" i="1" s="1"/>
  <c r="BK1849" i="1"/>
  <c r="BT1849" i="1" s="1"/>
  <c r="BK1804" i="1"/>
  <c r="BT1804" i="1" s="1"/>
  <c r="BK1818" i="1"/>
  <c r="BT1818" i="1" s="1"/>
  <c r="BG1801" i="1"/>
  <c r="BR1801" i="1" s="1"/>
  <c r="BG1829" i="1"/>
  <c r="BR1829" i="1" s="1"/>
  <c r="BE1793" i="1"/>
  <c r="BQ1793" i="1" s="1"/>
  <c r="BC1781" i="1"/>
  <c r="BP1781" i="1" s="1"/>
  <c r="BE1798" i="1"/>
  <c r="BQ1798" i="1" s="1"/>
  <c r="BC1786" i="1"/>
  <c r="BP1786" i="1" s="1"/>
  <c r="BK1807" i="1"/>
  <c r="BT1807" i="1" s="1"/>
  <c r="BG1945" i="1"/>
  <c r="BR1945" i="1" s="1"/>
  <c r="BG1858" i="1"/>
  <c r="BR1858" i="1" s="1"/>
  <c r="BG1834" i="1"/>
  <c r="BR1834" i="1" s="1"/>
  <c r="BG1840" i="1"/>
  <c r="BR1840" i="1" s="1"/>
  <c r="BG1828" i="1"/>
  <c r="BR1828" i="1" s="1"/>
  <c r="BK1794" i="1"/>
  <c r="BT1794" i="1" s="1"/>
  <c r="BE1796" i="1"/>
  <c r="BQ1796" i="1" s="1"/>
  <c r="BG2024" i="1"/>
  <c r="BR2024" i="1" s="1"/>
  <c r="BG1849" i="1"/>
  <c r="BR1849" i="1" s="1"/>
  <c r="BG1856" i="1"/>
  <c r="BR1856" i="1" s="1"/>
  <c r="BG1846" i="1"/>
  <c r="BR1846" i="1" s="1"/>
  <c r="BG1810" i="1"/>
  <c r="BR1810" i="1" s="1"/>
  <c r="BG1811" i="1"/>
  <c r="BR1811" i="1" s="1"/>
  <c r="BE1792" i="1"/>
  <c r="BQ1792" i="1" s="1"/>
  <c r="BC1871" i="1"/>
  <c r="BP1871" i="1" s="1"/>
  <c r="BG1862" i="1"/>
  <c r="BR1862" i="1" s="1"/>
  <c r="BG1839" i="1"/>
  <c r="BR1839" i="1" s="1"/>
  <c r="BG1802" i="1"/>
  <c r="BR1802" i="1" s="1"/>
  <c r="BG1830" i="1"/>
  <c r="BR1830" i="1" s="1"/>
  <c r="BG1809" i="1"/>
  <c r="BR1809" i="1" s="1"/>
  <c r="BG1804" i="1"/>
  <c r="BR1804" i="1" s="1"/>
  <c r="BG1825" i="1"/>
  <c r="BR1825" i="1" s="1"/>
  <c r="BG1813" i="1"/>
  <c r="BR1813" i="1" s="1"/>
  <c r="BK2024" i="1"/>
  <c r="BT2024" i="1" s="1"/>
  <c r="BC2023" i="1"/>
  <c r="BK2028" i="1"/>
  <c r="BT2028" i="1" s="1"/>
  <c r="BE1926" i="1"/>
  <c r="BQ1926" i="1" s="1"/>
  <c r="BG1959" i="1"/>
  <c r="BR1959" i="1" s="1"/>
  <c r="BI1895" i="1"/>
  <c r="BS1895" i="1" s="1"/>
  <c r="BG1861" i="1"/>
  <c r="BR1861" i="1" s="1"/>
  <c r="BG1836" i="1"/>
  <c r="BR1836" i="1" s="1"/>
  <c r="BG1855" i="1"/>
  <c r="BR1855" i="1" s="1"/>
  <c r="BG1824" i="1"/>
  <c r="BR1824" i="1" s="1"/>
  <c r="BG1808" i="1"/>
  <c r="BR1808" i="1" s="1"/>
  <c r="BK1795" i="1"/>
  <c r="BT1795" i="1" s="1"/>
  <c r="BK1800" i="1"/>
  <c r="BT1800" i="1" s="1"/>
  <c r="BK1976" i="1"/>
  <c r="BT1976" i="1" s="1"/>
  <c r="BG2028" i="1"/>
  <c r="BR2028" i="1" s="1"/>
  <c r="BK2027" i="1"/>
  <c r="BT2027" i="1" s="1"/>
  <c r="BK2022" i="1"/>
  <c r="BT2022" i="1" s="1"/>
  <c r="BG2021" i="1"/>
  <c r="BR2021" i="1" s="1"/>
  <c r="BG2020" i="1"/>
  <c r="BR2020" i="1" s="1"/>
  <c r="BC2029" i="1"/>
  <c r="BE1941" i="1"/>
  <c r="BQ1941" i="1" s="1"/>
  <c r="BC1870" i="1"/>
  <c r="BP1870" i="1" s="1"/>
  <c r="BC1873" i="1"/>
  <c r="BP1873" i="1" s="1"/>
  <c r="BG1845" i="1"/>
  <c r="BR1845" i="1" s="1"/>
  <c r="BG1852" i="1"/>
  <c r="BR1852" i="1" s="1"/>
  <c r="BG1859" i="1"/>
  <c r="BR1859" i="1" s="1"/>
  <c r="BG1842" i="1"/>
  <c r="BR1842" i="1" s="1"/>
  <c r="BG1807" i="1"/>
  <c r="BR1807" i="1" s="1"/>
  <c r="BG1826" i="1"/>
  <c r="BR1826" i="1" s="1"/>
  <c r="BG1821" i="1"/>
  <c r="BR1821" i="1" s="1"/>
  <c r="BG1817" i="1"/>
  <c r="BR1817" i="1" s="1"/>
  <c r="BK1791" i="1"/>
  <c r="BG1796" i="1"/>
  <c r="BR1796" i="1" s="1"/>
  <c r="BE2005" i="1"/>
  <c r="BQ2005" i="1" s="1"/>
  <c r="BG1967" i="1"/>
  <c r="BR1967" i="1" s="1"/>
  <c r="BE1991" i="1"/>
  <c r="BQ1991" i="1" s="1"/>
  <c r="BG1944" i="1"/>
  <c r="BR1944" i="1" s="1"/>
  <c r="BG1951" i="1"/>
  <c r="BR1951" i="1" s="1"/>
  <c r="BC1943" i="1"/>
  <c r="BP1943" i="1" s="1"/>
  <c r="BE1975" i="1"/>
  <c r="BE1976" i="1"/>
  <c r="BQ1976" i="1" s="1"/>
  <c r="BE1978" i="1"/>
  <c r="BQ1978" i="1" s="1"/>
  <c r="BK2016" i="1"/>
  <c r="BT2016" i="1" s="1"/>
  <c r="BC2013" i="1"/>
  <c r="BP2013" i="1" s="1"/>
  <c r="BG2015" i="1"/>
  <c r="BR2015" i="1" s="1"/>
  <c r="BE1993" i="1"/>
  <c r="BQ1993" i="1" s="1"/>
  <c r="BG2018" i="1"/>
  <c r="BR2018" i="1" s="1"/>
  <c r="BE2010" i="1"/>
  <c r="BQ2010" i="1" s="1"/>
  <c r="BG1969" i="1"/>
  <c r="BR1969" i="1" s="1"/>
  <c r="BG1942" i="1"/>
  <c r="BR1942" i="1" s="1"/>
  <c r="BG1938" i="1"/>
  <c r="BR1938" i="1" s="1"/>
  <c r="BG1941" i="1"/>
  <c r="BR1941" i="1" s="1"/>
  <c r="BK1903" i="1"/>
  <c r="BT1903" i="1" s="1"/>
  <c r="BK1816" i="1"/>
  <c r="BT1816" i="1" s="1"/>
  <c r="BK1987" i="1"/>
  <c r="BT1987" i="1" s="1"/>
  <c r="BK2015" i="1"/>
  <c r="BT2015" i="1" s="1"/>
  <c r="BE2001" i="1"/>
  <c r="BQ2001" i="1" s="1"/>
  <c r="BK2014" i="1"/>
  <c r="BT2014" i="1" s="1"/>
  <c r="BE1989" i="1"/>
  <c r="BQ1989" i="1" s="1"/>
  <c r="BK2017" i="1"/>
  <c r="BT2017" i="1" s="1"/>
  <c r="BE2017" i="1"/>
  <c r="BQ2017" i="1" s="1"/>
  <c r="BE1992" i="1"/>
  <c r="BQ1992" i="1" s="1"/>
  <c r="BG1971" i="1"/>
  <c r="BR1971" i="1" s="1"/>
  <c r="BG1968" i="1"/>
  <c r="BR1968" i="1" s="1"/>
  <c r="BG1940" i="1"/>
  <c r="BR1940" i="1" s="1"/>
  <c r="BC1967" i="1"/>
  <c r="BP1967" i="1" s="1"/>
  <c r="BG1947" i="1"/>
  <c r="BR1947" i="1" s="1"/>
  <c r="BG1936" i="1"/>
  <c r="BR1936" i="1" s="1"/>
  <c r="BG1931" i="1"/>
  <c r="BR1931" i="1" s="1"/>
  <c r="BG1795" i="1"/>
  <c r="BR1795" i="1" s="1"/>
  <c r="BC1916" i="1"/>
  <c r="BP1916" i="1" s="1"/>
  <c r="BK1812" i="1"/>
  <c r="BT1812" i="1" s="1"/>
  <c r="BE2007" i="1"/>
  <c r="BQ2007" i="1" s="1"/>
  <c r="BE2006" i="1"/>
  <c r="BQ2006" i="1" s="1"/>
  <c r="BG1964" i="1"/>
  <c r="BR1964" i="1" s="1"/>
  <c r="BG1798" i="1"/>
  <c r="BR1798" i="1" s="1"/>
  <c r="BE1983" i="1"/>
  <c r="BQ1983" i="1" s="1"/>
  <c r="BE1997" i="1"/>
  <c r="BQ1997" i="1" s="1"/>
  <c r="BE1985" i="1"/>
  <c r="BQ1985" i="1" s="1"/>
  <c r="BI2014" i="1"/>
  <c r="BS2014" i="1" s="1"/>
  <c r="BG2013" i="1"/>
  <c r="BR2013" i="1" s="1"/>
  <c r="BE1988" i="1"/>
  <c r="BQ1988" i="1" s="1"/>
  <c r="BG1960" i="1"/>
  <c r="BR1960" i="1" s="1"/>
  <c r="BG1961" i="1"/>
  <c r="BR1961" i="1" s="1"/>
  <c r="BG1943" i="1"/>
  <c r="BR1943" i="1" s="1"/>
  <c r="BG1966" i="1"/>
  <c r="BR1966" i="1" s="1"/>
  <c r="BG1933" i="1"/>
  <c r="BR1933" i="1" s="1"/>
  <c r="BC1923" i="1"/>
  <c r="BP1923" i="1" s="1"/>
  <c r="BI1910" i="1"/>
  <c r="BS1910" i="1" s="1"/>
  <c r="BK1905" i="1"/>
  <c r="BT1905" i="1" s="1"/>
  <c r="BK1895" i="1"/>
  <c r="BT1895" i="1" s="1"/>
  <c r="BG1794" i="1"/>
  <c r="BR1794" i="1" s="1"/>
  <c r="BI1904" i="1"/>
  <c r="BS1904" i="1" s="1"/>
  <c r="BI1907" i="1"/>
  <c r="BS1907" i="1" s="1"/>
  <c r="BI1903" i="1"/>
  <c r="BS1903" i="1" s="1"/>
  <c r="BG1937" i="1"/>
  <c r="BR1937" i="1" s="1"/>
  <c r="BC1924" i="1"/>
  <c r="BP1924" i="1" s="1"/>
  <c r="BC1911" i="1"/>
  <c r="BE2004" i="1"/>
  <c r="BQ2004" i="1" s="1"/>
  <c r="BG2023" i="1"/>
  <c r="BR2023" i="1" s="1"/>
  <c r="BE1999" i="1"/>
  <c r="BQ1999" i="1" s="1"/>
  <c r="BG1930" i="1"/>
  <c r="BR1930" i="1" s="1"/>
  <c r="BG1953" i="1"/>
  <c r="BR1953" i="1" s="1"/>
  <c r="BK2000" i="1"/>
  <c r="BT2000" i="1" s="1"/>
  <c r="BK2021" i="1"/>
  <c r="BT2021" i="1" s="1"/>
  <c r="BG2029" i="1"/>
  <c r="BR2029" i="1" s="1"/>
  <c r="BC2001" i="1"/>
  <c r="BP2001" i="1" s="1"/>
  <c r="BE2018" i="1"/>
  <c r="BQ2018" i="1" s="1"/>
  <c r="BK1994" i="1"/>
  <c r="BT1994" i="1" s="1"/>
  <c r="BC2021" i="1"/>
  <c r="BC2003" i="1"/>
  <c r="BP2003" i="1" s="1"/>
  <c r="BC1992" i="1"/>
  <c r="BP1992" i="1" s="1"/>
  <c r="BG1950" i="1"/>
  <c r="BR1950" i="1" s="1"/>
  <c r="BK1909" i="1"/>
  <c r="BT1909" i="1" s="1"/>
  <c r="BI1909" i="1"/>
  <c r="BS1909" i="1" s="1"/>
  <c r="BC1922" i="1"/>
  <c r="BP1922" i="1" s="1"/>
  <c r="BK1894" i="1"/>
  <c r="BT1894" i="1" s="1"/>
  <c r="BK1898" i="1"/>
  <c r="BT1898" i="1" s="1"/>
  <c r="BI1908" i="1"/>
  <c r="BS1908" i="1" s="1"/>
  <c r="BK1896" i="1"/>
  <c r="BT1896" i="1" s="1"/>
  <c r="BC1881" i="1"/>
  <c r="BP1881" i="1" s="1"/>
  <c r="BK1843" i="1"/>
  <c r="BT1843" i="1" s="1"/>
  <c r="BK1846" i="1"/>
  <c r="BT1846" i="1" s="1"/>
  <c r="BK1831" i="1"/>
  <c r="BT1831" i="1" s="1"/>
  <c r="BK1811" i="1"/>
  <c r="BT1811" i="1" s="1"/>
  <c r="BC1794" i="1"/>
  <c r="BP1794" i="1" s="1"/>
  <c r="BC1791" i="1"/>
  <c r="BC1782" i="1"/>
  <c r="BP1782" i="1" s="1"/>
  <c r="BC1784" i="1"/>
  <c r="BP1784" i="1" s="1"/>
  <c r="BC1987" i="1"/>
  <c r="BP1987" i="1" s="1"/>
  <c r="BE1979" i="1"/>
  <c r="BQ1979" i="1" s="1"/>
  <c r="BC1953" i="1"/>
  <c r="BP1953" i="1" s="1"/>
  <c r="BC1932" i="1"/>
  <c r="BP1932" i="1" s="1"/>
  <c r="BG1939" i="1"/>
  <c r="BR1939" i="1" s="1"/>
  <c r="BG1958" i="1"/>
  <c r="BR1958" i="1" s="1"/>
  <c r="BE1998" i="1"/>
  <c r="BQ1998" i="1" s="1"/>
  <c r="BG1952" i="1"/>
  <c r="BR1952" i="1" s="1"/>
  <c r="BG1965" i="1"/>
  <c r="BR1965" i="1" s="1"/>
  <c r="BG1929" i="1"/>
  <c r="BR1929" i="1" s="1"/>
  <c r="BK2020" i="1"/>
  <c r="BT2020" i="1" s="1"/>
  <c r="BG2027" i="1"/>
  <c r="BR2027" i="1" s="1"/>
  <c r="BC1998" i="1"/>
  <c r="BP1998" i="1" s="1"/>
  <c r="BK2018" i="1"/>
  <c r="BT2018" i="1" s="1"/>
  <c r="BG2000" i="1"/>
  <c r="BR2000" i="1" s="1"/>
  <c r="BG2022" i="1"/>
  <c r="BR2022" i="1" s="1"/>
  <c r="BE2000" i="1"/>
  <c r="BQ2000" i="1" s="1"/>
  <c r="BG2014" i="1"/>
  <c r="BR2014" i="1" s="1"/>
  <c r="BE1995" i="1"/>
  <c r="BQ1995" i="1" s="1"/>
  <c r="BK2001" i="1"/>
  <c r="BT2001" i="1" s="1"/>
  <c r="BC2024" i="1"/>
  <c r="BE1994" i="1"/>
  <c r="BQ1994" i="1" s="1"/>
  <c r="BC1949" i="1"/>
  <c r="BP1949" i="1" s="1"/>
  <c r="BG1962" i="1"/>
  <c r="BR1962" i="1" s="1"/>
  <c r="BG1957" i="1"/>
  <c r="BR1957" i="1" s="1"/>
  <c r="BG1949" i="1"/>
  <c r="BR1949" i="1" s="1"/>
  <c r="BI1905" i="1"/>
  <c r="BS1905" i="1" s="1"/>
  <c r="BK1853" i="1"/>
  <c r="BT1853" i="1" s="1"/>
  <c r="BK1837" i="1"/>
  <c r="BT1837" i="1" s="1"/>
  <c r="BK1819" i="1"/>
  <c r="BT1819" i="1" s="1"/>
  <c r="BK1824" i="1"/>
  <c r="BT1824" i="1" s="1"/>
  <c r="BK1805" i="1"/>
  <c r="BT1805" i="1" s="1"/>
  <c r="BC1792" i="1"/>
  <c r="BP1792" i="1" s="1"/>
  <c r="BC1797" i="1"/>
  <c r="BP1797" i="1" s="1"/>
  <c r="BE1784" i="1"/>
  <c r="BQ1784" i="1" s="1"/>
  <c r="BG1787" i="1"/>
  <c r="BR1787" i="1" s="1"/>
  <c r="BK1992" i="1"/>
  <c r="BT1992" i="1" s="1"/>
  <c r="BK1784" i="1"/>
  <c r="BT1784" i="1" s="1"/>
  <c r="BG1997" i="1"/>
  <c r="BR1997" i="1" s="1"/>
  <c r="BK2013" i="1"/>
  <c r="BT2013" i="1" s="1"/>
  <c r="BG1948" i="1"/>
  <c r="BR1948" i="1" s="1"/>
  <c r="BK1826" i="1"/>
  <c r="BT1826" i="1" s="1"/>
  <c r="BG1789" i="1"/>
  <c r="BR1789" i="1" s="1"/>
  <c r="BE1790" i="1"/>
  <c r="BQ1790" i="1" s="1"/>
  <c r="BC1783" i="1"/>
  <c r="BP1783" i="1" s="1"/>
  <c r="BG1783" i="1"/>
  <c r="BR1783" i="1" s="1"/>
  <c r="BK1988" i="1"/>
  <c r="BT1988" i="1" s="1"/>
  <c r="BG1785" i="1"/>
  <c r="BR1785" i="1" s="1"/>
  <c r="BK1780" i="1"/>
  <c r="BT1780" i="1" s="1"/>
  <c r="BE2026" i="1"/>
  <c r="BQ2026" i="1" s="1"/>
  <c r="BE2027" i="1"/>
  <c r="BQ2027" i="1" s="1"/>
  <c r="BI1947" i="1"/>
  <c r="BS1947" i="1" s="1"/>
  <c r="BI1971" i="1"/>
  <c r="BS1971" i="1" s="1"/>
  <c r="BI1964" i="1"/>
  <c r="BS1964" i="1" s="1"/>
  <c r="BI1950" i="1"/>
  <c r="BS1950" i="1" s="1"/>
  <c r="BI1957" i="1"/>
  <c r="BS1957" i="1" s="1"/>
  <c r="BC1947" i="1"/>
  <c r="BP1947" i="1" s="1"/>
  <c r="BI1949" i="1"/>
  <c r="BS1949" i="1" s="1"/>
  <c r="BI1933" i="1"/>
  <c r="BS1933" i="1" s="1"/>
  <c r="BI1959" i="1"/>
  <c r="BS1959" i="1" s="1"/>
  <c r="BC1950" i="1"/>
  <c r="BP1950" i="1" s="1"/>
  <c r="BC1957" i="1"/>
  <c r="BP1957" i="1" s="1"/>
  <c r="BG1927" i="1"/>
  <c r="BR1927" i="1" s="1"/>
  <c r="BG1926" i="1"/>
  <c r="BR1926" i="1" s="1"/>
  <c r="BG1922" i="1"/>
  <c r="BR1922" i="1" s="1"/>
  <c r="BG1918" i="1"/>
  <c r="BR1918" i="1" s="1"/>
  <c r="BG1914" i="1"/>
  <c r="BR1914" i="1" s="1"/>
  <c r="BG1911" i="1"/>
  <c r="BG1923" i="1"/>
  <c r="BR1923" i="1" s="1"/>
  <c r="BG1919" i="1"/>
  <c r="BR1919" i="1" s="1"/>
  <c r="BG1924" i="1"/>
  <c r="BR1924" i="1" s="1"/>
  <c r="BG1920" i="1"/>
  <c r="BR1920" i="1" s="1"/>
  <c r="BG1925" i="1"/>
  <c r="BR1925" i="1" s="1"/>
  <c r="BE1921" i="1"/>
  <c r="BQ1921" i="1" s="1"/>
  <c r="BE1917" i="1"/>
  <c r="BQ1917" i="1" s="1"/>
  <c r="BE1881" i="1"/>
  <c r="BQ1881" i="1" s="1"/>
  <c r="BE1877" i="1"/>
  <c r="BQ1877" i="1" s="1"/>
  <c r="BE1880" i="1"/>
  <c r="BQ1880" i="1" s="1"/>
  <c r="BE1883" i="1"/>
  <c r="BQ1883" i="1" s="1"/>
  <c r="BE1882" i="1"/>
  <c r="BQ1882" i="1" s="1"/>
  <c r="BE1878" i="1"/>
  <c r="BQ1878" i="1" s="1"/>
  <c r="BE1874" i="1"/>
  <c r="BQ1874" i="1" s="1"/>
  <c r="BE1867" i="1"/>
  <c r="BI1783" i="1"/>
  <c r="BS1783" i="1" s="1"/>
  <c r="BI1785" i="1"/>
  <c r="BS1785" i="1" s="1"/>
  <c r="BG1989" i="1"/>
  <c r="BR1989" i="1" s="1"/>
  <c r="BI2018" i="1"/>
  <c r="BS2018" i="1" s="1"/>
  <c r="BE2022" i="1"/>
  <c r="BQ2022" i="1" s="1"/>
  <c r="BE2023" i="1"/>
  <c r="BQ2023" i="1" s="1"/>
  <c r="BG2025" i="1"/>
  <c r="BR2025" i="1" s="1"/>
  <c r="BG2010" i="1"/>
  <c r="BR2010" i="1" s="1"/>
  <c r="BC2017" i="1"/>
  <c r="BP2017" i="1" s="1"/>
  <c r="BC1941" i="1"/>
  <c r="BP1941" i="1" s="1"/>
  <c r="BE1944" i="1"/>
  <c r="BQ1944" i="1" s="1"/>
  <c r="BE1969" i="1"/>
  <c r="BQ1969" i="1" s="1"/>
  <c r="BC1952" i="1"/>
  <c r="BP1952" i="1" s="1"/>
  <c r="BE1962" i="1"/>
  <c r="BQ1962" i="1" s="1"/>
  <c r="BE1947" i="1"/>
  <c r="BQ1947" i="1" s="1"/>
  <c r="BC1970" i="1"/>
  <c r="BP1970" i="1" s="1"/>
  <c r="BI1958" i="1"/>
  <c r="BS1958" i="1" s="1"/>
  <c r="BE1946" i="1"/>
  <c r="BQ1946" i="1" s="1"/>
  <c r="BC1931" i="1"/>
  <c r="BP1931" i="1" s="1"/>
  <c r="BC1954" i="1"/>
  <c r="BP1954" i="1" s="1"/>
  <c r="BI1940" i="1"/>
  <c r="BS1940" i="1" s="1"/>
  <c r="BE1913" i="1"/>
  <c r="BQ1913" i="1" s="1"/>
  <c r="BI1784" i="1"/>
  <c r="BS1784" i="1" s="1"/>
  <c r="BG2005" i="1"/>
  <c r="BR2005" i="1" s="1"/>
  <c r="BE2021" i="1"/>
  <c r="BQ2021" i="1" s="1"/>
  <c r="BG1999" i="1"/>
  <c r="BR1999" i="1" s="1"/>
  <c r="BI2013" i="1"/>
  <c r="BS2013" i="1" s="1"/>
  <c r="BE2024" i="1"/>
  <c r="BQ2024" i="1" s="1"/>
  <c r="BG1998" i="1"/>
  <c r="BR1998" i="1" s="1"/>
  <c r="BG1985" i="1"/>
  <c r="BR1985" i="1" s="1"/>
  <c r="BC1966" i="1"/>
  <c r="BP1966" i="1" s="1"/>
  <c r="BE1973" i="1"/>
  <c r="BQ1973" i="1" s="1"/>
  <c r="BE1974" i="1"/>
  <c r="BQ1974" i="1" s="1"/>
  <c r="BE1967" i="1"/>
  <c r="BQ1967" i="1" s="1"/>
  <c r="BE1971" i="1"/>
  <c r="BQ1971" i="1" s="1"/>
  <c r="BE1966" i="1"/>
  <c r="BQ1966" i="1" s="1"/>
  <c r="BE1965" i="1"/>
  <c r="BQ1965" i="1" s="1"/>
  <c r="BE1928" i="1"/>
  <c r="BE1933" i="1"/>
  <c r="BQ1933" i="1" s="1"/>
  <c r="BE1929" i="1"/>
  <c r="BQ1929" i="1" s="1"/>
  <c r="BI1943" i="1"/>
  <c r="BS1943" i="1" s="1"/>
  <c r="BC1968" i="1"/>
  <c r="BP1968" i="1" s="1"/>
  <c r="BC1940" i="1"/>
  <c r="BP1940" i="1" s="1"/>
  <c r="BC1961" i="1"/>
  <c r="BP1961" i="1" s="1"/>
  <c r="BI1946" i="1"/>
  <c r="BS1946" i="1" s="1"/>
  <c r="BE1931" i="1"/>
  <c r="BQ1931" i="1" s="1"/>
  <c r="BI1945" i="1"/>
  <c r="BS1945" i="1" s="1"/>
  <c r="BE1957" i="1"/>
  <c r="BQ1957" i="1" s="1"/>
  <c r="BE1953" i="1"/>
  <c r="BQ1953" i="1" s="1"/>
  <c r="BI1897" i="1"/>
  <c r="BS1897" i="1" s="1"/>
  <c r="BI1896" i="1"/>
  <c r="BS1896" i="1" s="1"/>
  <c r="BI1893" i="1"/>
  <c r="BI1898" i="1"/>
  <c r="BS1898" i="1" s="1"/>
  <c r="BI1894" i="1"/>
  <c r="BS1894" i="1" s="1"/>
  <c r="BG1917" i="1"/>
  <c r="BR1917" i="1" s="1"/>
  <c r="BG1885" i="1"/>
  <c r="BR1885" i="1" s="1"/>
  <c r="BG1886" i="1"/>
  <c r="BR1886" i="1" s="1"/>
  <c r="BG1888" i="1"/>
  <c r="BR1888" i="1" s="1"/>
  <c r="BE1870" i="1"/>
  <c r="BQ1870" i="1" s="1"/>
  <c r="BI1787" i="1"/>
  <c r="BS1787" i="1" s="1"/>
  <c r="BE2020" i="1"/>
  <c r="BQ2020" i="1" s="1"/>
  <c r="BG1990" i="1"/>
  <c r="BR1990" i="1" s="1"/>
  <c r="BG1984" i="1"/>
  <c r="BI1969" i="1"/>
  <c r="BS1969" i="1" s="1"/>
  <c r="BI1963" i="1"/>
  <c r="BS1963" i="1" s="1"/>
  <c r="BI1972" i="1"/>
  <c r="BS1972" i="1" s="1"/>
  <c r="BI1962" i="1"/>
  <c r="BS1962" i="1" s="1"/>
  <c r="BI1973" i="1"/>
  <c r="BS1973" i="1" s="1"/>
  <c r="BI1938" i="1"/>
  <c r="BS1938" i="1" s="1"/>
  <c r="BI1928" i="1"/>
  <c r="BI1965" i="1"/>
  <c r="BS1965" i="1" s="1"/>
  <c r="BI1954" i="1"/>
  <c r="BS1954" i="1" s="1"/>
  <c r="BC1972" i="1"/>
  <c r="BP1972" i="1" s="1"/>
  <c r="BC1974" i="1"/>
  <c r="BP1974" i="1" s="1"/>
  <c r="BC1933" i="1"/>
  <c r="BP1933" i="1" s="1"/>
  <c r="BC1929" i="1"/>
  <c r="BP1929" i="1" s="1"/>
  <c r="BC1937" i="1"/>
  <c r="BP1937" i="1" s="1"/>
  <c r="BC1928" i="1"/>
  <c r="BC1956" i="1"/>
  <c r="BP1956" i="1" s="1"/>
  <c r="BC1946" i="1"/>
  <c r="BP1946" i="1" s="1"/>
  <c r="BI1952" i="1"/>
  <c r="BS1952" i="1" s="1"/>
  <c r="BE1927" i="1"/>
  <c r="BQ1927" i="1" s="1"/>
  <c r="BE1924" i="1"/>
  <c r="BQ1924" i="1" s="1"/>
  <c r="BE1920" i="1"/>
  <c r="BQ1920" i="1" s="1"/>
  <c r="BE1911" i="1"/>
  <c r="BE1923" i="1"/>
  <c r="BQ1923" i="1" s="1"/>
  <c r="BE1919" i="1"/>
  <c r="BQ1919" i="1" s="1"/>
  <c r="BE1918" i="1"/>
  <c r="BQ1918" i="1" s="1"/>
  <c r="BI1934" i="1"/>
  <c r="BS1934" i="1" s="1"/>
  <c r="BG1915" i="1"/>
  <c r="BR1915" i="1" s="1"/>
  <c r="BI1782" i="1"/>
  <c r="BS1782" i="1" s="1"/>
  <c r="BE2028" i="1"/>
  <c r="BQ2028" i="1" s="1"/>
  <c r="BE2030" i="1"/>
  <c r="BQ2030" i="1" s="1"/>
  <c r="BG2007" i="1"/>
  <c r="BR2007" i="1" s="1"/>
  <c r="BC2020" i="1"/>
  <c r="BG2006" i="1"/>
  <c r="BR2006" i="1" s="1"/>
  <c r="BI1966" i="1"/>
  <c r="BS1966" i="1" s="1"/>
  <c r="BC1973" i="1"/>
  <c r="BP1973" i="1" s="1"/>
  <c r="BI1961" i="1"/>
  <c r="BS1961" i="1" s="1"/>
  <c r="BC1959" i="1"/>
  <c r="BP1959" i="1" s="1"/>
  <c r="BI1939" i="1"/>
  <c r="BS1939" i="1" s="1"/>
  <c r="BC1948" i="1"/>
  <c r="BP1948" i="1" s="1"/>
  <c r="BI1956" i="1"/>
  <c r="BS1956" i="1" s="1"/>
  <c r="BI1942" i="1"/>
  <c r="BS1942" i="1" s="1"/>
  <c r="BC1971" i="1"/>
  <c r="BP1971" i="1" s="1"/>
  <c r="BE1955" i="1"/>
  <c r="BQ1955" i="1" s="1"/>
  <c r="BI1941" i="1"/>
  <c r="BS1941" i="1" s="1"/>
  <c r="BI1967" i="1"/>
  <c r="BS1967" i="1" s="1"/>
  <c r="BC1955" i="1"/>
  <c r="BP1955" i="1" s="1"/>
  <c r="BI1968" i="1"/>
  <c r="BS1968" i="1" s="1"/>
  <c r="BE1949" i="1"/>
  <c r="BQ1949" i="1" s="1"/>
  <c r="BI1930" i="1"/>
  <c r="BS1930" i="1" s="1"/>
  <c r="BE1932" i="1"/>
  <c r="BQ1932" i="1" s="1"/>
  <c r="BG1913" i="1"/>
  <c r="BR1913" i="1" s="1"/>
  <c r="BG1898" i="1"/>
  <c r="BR1898" i="1" s="1"/>
  <c r="BG1897" i="1"/>
  <c r="BR1897" i="1" s="1"/>
  <c r="BG1893" i="1"/>
  <c r="BG1899" i="1"/>
  <c r="BR1899" i="1" s="1"/>
  <c r="BG1895" i="1"/>
  <c r="BR1895" i="1" s="1"/>
  <c r="BG1896" i="1"/>
  <c r="BR1896" i="1" s="1"/>
  <c r="BG1894" i="1"/>
  <c r="BR1894" i="1" s="1"/>
  <c r="BI1786" i="1"/>
  <c r="BS1786" i="1" s="1"/>
  <c r="BI1789" i="1"/>
  <c r="BS1789" i="1" s="1"/>
  <c r="BG2001" i="1"/>
  <c r="BR2001" i="1" s="1"/>
  <c r="BC2016" i="1"/>
  <c r="BP2016" i="1" s="1"/>
  <c r="BG2008" i="1"/>
  <c r="BR2008" i="1" s="1"/>
  <c r="BE2029" i="1"/>
  <c r="BQ2029" i="1" s="1"/>
  <c r="BI2017" i="1"/>
  <c r="BS2017" i="1" s="1"/>
  <c r="BG1995" i="1"/>
  <c r="BR1995" i="1" s="1"/>
  <c r="BG1992" i="1"/>
  <c r="BR1992" i="1" s="1"/>
  <c r="BI2016" i="1"/>
  <c r="BS2016" i="1" s="1"/>
  <c r="BG1994" i="1"/>
  <c r="BR1994" i="1" s="1"/>
  <c r="BC1969" i="1"/>
  <c r="BP1969" i="1" s="1"/>
  <c r="BI1937" i="1"/>
  <c r="BS1937" i="1" s="1"/>
  <c r="BE1952" i="1"/>
  <c r="BQ1952" i="1" s="1"/>
  <c r="BE1961" i="1"/>
  <c r="BQ1961" i="1" s="1"/>
  <c r="BE1937" i="1"/>
  <c r="BQ1937" i="1" s="1"/>
  <c r="BI1955" i="1"/>
  <c r="BS1955" i="1" s="1"/>
  <c r="BE1939" i="1"/>
  <c r="BQ1939" i="1" s="1"/>
  <c r="BE1963" i="1"/>
  <c r="BQ1963" i="1" s="1"/>
  <c r="BC1951" i="1"/>
  <c r="BP1951" i="1" s="1"/>
  <c r="BE1954" i="1"/>
  <c r="BQ1954" i="1" s="1"/>
  <c r="BG1973" i="1"/>
  <c r="BR1973" i="1" s="1"/>
  <c r="BG1974" i="1"/>
  <c r="BR1974" i="1" s="1"/>
  <c r="BG1970" i="1"/>
  <c r="BR1970" i="1" s="1"/>
  <c r="BG1963" i="1"/>
  <c r="BR1963" i="1" s="1"/>
  <c r="BG1972" i="1"/>
  <c r="BR1972" i="1" s="1"/>
  <c r="BG1928" i="1"/>
  <c r="BI1960" i="1"/>
  <c r="BS1960" i="1" s="1"/>
  <c r="BI1948" i="1"/>
  <c r="BS1948" i="1" s="1"/>
  <c r="BC1934" i="1"/>
  <c r="BP1934" i="1" s="1"/>
  <c r="BI1931" i="1"/>
  <c r="BS1931" i="1" s="1"/>
  <c r="BE1922" i="1"/>
  <c r="BQ1922" i="1" s="1"/>
  <c r="BG1932" i="1"/>
  <c r="BR1932" i="1" s="1"/>
  <c r="BE1914" i="1"/>
  <c r="BQ1914" i="1" s="1"/>
  <c r="BE1925" i="1"/>
  <c r="BQ1925" i="1" s="1"/>
  <c r="BI1935" i="1"/>
  <c r="BS1935" i="1" s="1"/>
  <c r="BE1873" i="1"/>
  <c r="BQ1873" i="1" s="1"/>
  <c r="BE1871" i="1"/>
  <c r="BQ1871" i="1" s="1"/>
  <c r="BI1778" i="1"/>
  <c r="BS1778" i="1" s="1"/>
  <c r="BI2015" i="1"/>
  <c r="BS2015" i="1" s="1"/>
  <c r="BG1996" i="1"/>
  <c r="BR1996" i="1" s="1"/>
  <c r="BC2015" i="1"/>
  <c r="BP2015" i="1" s="1"/>
  <c r="BC2018" i="1"/>
  <c r="BP2018" i="1" s="1"/>
  <c r="BG1988" i="1"/>
  <c r="BR1988" i="1" s="1"/>
  <c r="BC2014" i="1"/>
  <c r="BP2014" i="1" s="1"/>
  <c r="BG2026" i="1"/>
  <c r="BR2026" i="1" s="1"/>
  <c r="BC1965" i="1"/>
  <c r="BP1965" i="1" s="1"/>
  <c r="BC1945" i="1"/>
  <c r="BP1945" i="1" s="1"/>
  <c r="BC1936" i="1"/>
  <c r="BP1936" i="1" s="1"/>
  <c r="BI1951" i="1"/>
  <c r="BS1951" i="1" s="1"/>
  <c r="BE1934" i="1"/>
  <c r="BQ1934" i="1" s="1"/>
  <c r="BC1960" i="1"/>
  <c r="BP1960" i="1" s="1"/>
  <c r="BC1962" i="1"/>
  <c r="BP1962" i="1" s="1"/>
  <c r="BC1939" i="1"/>
  <c r="BP1939" i="1" s="1"/>
  <c r="BI1953" i="1"/>
  <c r="BS1953" i="1" s="1"/>
  <c r="BC1964" i="1"/>
  <c r="BP1964" i="1" s="1"/>
  <c r="BC1942" i="1"/>
  <c r="BP1942" i="1" s="1"/>
  <c r="BE1945" i="1"/>
  <c r="BQ1945" i="1" s="1"/>
  <c r="BG1916" i="1"/>
  <c r="BR1916" i="1" s="1"/>
  <c r="BC1930" i="1"/>
  <c r="BP1930" i="1" s="1"/>
  <c r="BG1935" i="1"/>
  <c r="BR1935" i="1" s="1"/>
  <c r="BG1891" i="1"/>
  <c r="BR1891" i="1" s="1"/>
  <c r="BG1887" i="1"/>
  <c r="BR1887" i="1" s="1"/>
  <c r="BG1884" i="1"/>
  <c r="BE1872" i="1"/>
  <c r="BQ1872" i="1" s="1"/>
  <c r="BE1879" i="1"/>
  <c r="BQ1879" i="1" s="1"/>
  <c r="BI1780" i="1"/>
  <c r="BS1780" i="1" s="1"/>
  <c r="BI1779" i="1"/>
  <c r="BS1779" i="1" s="1"/>
  <c r="BI1788" i="1"/>
  <c r="BS1788" i="1" s="1"/>
  <c r="BG2009" i="1"/>
  <c r="BR2009" i="1" s="1"/>
  <c r="BG1993" i="1"/>
  <c r="BR1993" i="1" s="1"/>
  <c r="BG2003" i="1"/>
  <c r="BR2003" i="1" s="1"/>
  <c r="BG2002" i="1"/>
  <c r="BR2002" i="1" s="1"/>
  <c r="BE2025" i="1"/>
  <c r="BQ2025" i="1" s="1"/>
  <c r="BG1986" i="1"/>
  <c r="BR1986" i="1" s="1"/>
  <c r="BI1974" i="1"/>
  <c r="BS1974" i="1" s="1"/>
  <c r="BC1958" i="1"/>
  <c r="BP1958" i="1" s="1"/>
  <c r="BE1948" i="1"/>
  <c r="BQ1948" i="1" s="1"/>
  <c r="BE1930" i="1"/>
  <c r="BQ1930" i="1" s="1"/>
  <c r="BC1944" i="1"/>
  <c r="BP1944" i="1" s="1"/>
  <c r="BE1970" i="1"/>
  <c r="BQ1970" i="1" s="1"/>
  <c r="BE1951" i="1"/>
  <c r="BQ1951" i="1" s="1"/>
  <c r="BI1932" i="1"/>
  <c r="BS1932" i="1" s="1"/>
  <c r="BI1936" i="1"/>
  <c r="BS1936" i="1" s="1"/>
  <c r="BC1963" i="1"/>
  <c r="BP1963" i="1" s="1"/>
  <c r="BE1950" i="1"/>
  <c r="BQ1950" i="1" s="1"/>
  <c r="BC1935" i="1"/>
  <c r="BP1935" i="1" s="1"/>
  <c r="BE1958" i="1"/>
  <c r="BQ1958" i="1" s="1"/>
  <c r="BI1944" i="1"/>
  <c r="BS1944" i="1" s="1"/>
  <c r="BG1912" i="1"/>
  <c r="BR1912" i="1" s="1"/>
  <c r="BG1921" i="1"/>
  <c r="BR1921" i="1" s="1"/>
  <c r="BE1876" i="1"/>
  <c r="BQ1876" i="1" s="1"/>
  <c r="BE1915" i="1"/>
  <c r="BQ1915" i="1" s="1"/>
  <c r="BE1868" i="1"/>
  <c r="BQ1868" i="1" s="1"/>
  <c r="BI1790" i="1"/>
  <c r="BS1790" i="1" s="1"/>
  <c r="BI1781" i="1"/>
  <c r="BS1781" i="1" s="1"/>
  <c r="AE2019" i="1" l="1"/>
  <c r="Z1975" i="1"/>
  <c r="AB1975" i="1" s="1"/>
  <c r="K1975" i="1"/>
  <c r="K1911" i="1"/>
  <c r="AE1975" i="1"/>
  <c r="Z1884" i="1"/>
  <c r="P1900" i="1"/>
  <c r="U2019" i="1"/>
  <c r="U1975" i="1"/>
  <c r="AE1911" i="1"/>
  <c r="Z1867" i="1"/>
  <c r="U1867" i="1"/>
  <c r="K1799" i="1"/>
  <c r="Z1911" i="1"/>
  <c r="AB1911" i="1" s="1"/>
  <c r="Z2019" i="1"/>
  <c r="AE1777" i="1"/>
  <c r="P1799" i="1"/>
  <c r="P1791" i="1"/>
  <c r="Z1984" i="1"/>
  <c r="K1900" i="1"/>
  <c r="AE1867" i="1"/>
  <c r="AE1928" i="1"/>
  <c r="P1893" i="1"/>
  <c r="R1893" i="1" s="1"/>
  <c r="Z1799" i="1"/>
  <c r="U1791" i="1"/>
  <c r="Z1791" i="1"/>
  <c r="P1884" i="1"/>
  <c r="U1799" i="1"/>
  <c r="AE1791" i="1"/>
  <c r="K1893" i="1"/>
  <c r="U1900" i="1"/>
  <c r="K1791" i="1"/>
  <c r="M1791" i="1" s="1"/>
  <c r="P1975" i="1"/>
  <c r="K1867" i="1"/>
  <c r="P2012" i="1"/>
  <c r="AE1884" i="1"/>
  <c r="BP2029" i="1"/>
  <c r="BP2027" i="1"/>
  <c r="BP2025" i="1"/>
  <c r="BP2024" i="1"/>
  <c r="BP2023" i="1"/>
  <c r="BP2020" i="1"/>
  <c r="BP2021" i="1"/>
  <c r="BP2030" i="1"/>
  <c r="P1984" i="1"/>
  <c r="U2012" i="1"/>
  <c r="AE1799" i="1"/>
  <c r="U1777" i="1"/>
  <c r="AE2012" i="1"/>
  <c r="AE1984" i="1"/>
  <c r="P1777" i="1"/>
  <c r="K1984" i="1"/>
  <c r="K2012" i="1"/>
  <c r="K1777" i="1"/>
  <c r="AE1900" i="1"/>
  <c r="Z1900" i="1"/>
  <c r="Z1893" i="1"/>
  <c r="AB1893" i="1" s="1"/>
  <c r="P1911" i="1"/>
  <c r="U1928" i="1"/>
  <c r="Z1928" i="1"/>
  <c r="U1911" i="1"/>
  <c r="AE1893" i="1"/>
  <c r="U1984" i="1"/>
  <c r="Z1777" i="1"/>
  <c r="U1884" i="1"/>
  <c r="Z2012" i="1"/>
  <c r="U1893" i="1"/>
  <c r="P2019" i="1"/>
  <c r="P1867" i="1"/>
  <c r="K1928" i="1"/>
  <c r="M1928" i="1" s="1"/>
  <c r="P1928" i="1"/>
  <c r="K2019" i="1" l="1"/>
  <c r="BC1885" i="1" l="1"/>
  <c r="BP1885" i="1" s="1"/>
  <c r="BC1890" i="1"/>
  <c r="BP1890" i="1" s="1"/>
  <c r="BC1887" i="1"/>
  <c r="BP1887" i="1" s="1"/>
  <c r="BC1891" i="1"/>
  <c r="BP1891" i="1" s="1"/>
  <c r="BC1892" i="1"/>
  <c r="BP1892" i="1" s="1"/>
  <c r="BC1888" i="1"/>
  <c r="BP1888" i="1" s="1"/>
  <c r="BC1886" i="1"/>
  <c r="BP1886" i="1" s="1"/>
  <c r="BC1889" i="1"/>
  <c r="BP1889" i="1" s="1"/>
  <c r="BC1884" i="1"/>
  <c r="BN1900" i="1" l="1"/>
  <c r="K1884" i="1"/>
  <c r="BO1902" i="1" l="1"/>
  <c r="BV1902" i="1" s="1"/>
  <c r="BO1903" i="1"/>
  <c r="BV1903" i="1" s="1"/>
  <c r="BO1901" i="1"/>
  <c r="BV1901" i="1" s="1"/>
  <c r="BO1904" i="1"/>
  <c r="BV1904" i="1" s="1"/>
  <c r="BO1905" i="1"/>
  <c r="BV1905" i="1" s="1"/>
  <c r="BO1909" i="1"/>
  <c r="BV1909" i="1" s="1"/>
  <c r="BO1907" i="1"/>
  <c r="BV1907" i="1" s="1"/>
  <c r="BO1908" i="1"/>
  <c r="BV1908" i="1" s="1"/>
  <c r="BO1910" i="1"/>
  <c r="BV1910" i="1" s="1"/>
  <c r="BO1906" i="1"/>
  <c r="BV1906" i="1" s="1"/>
  <c r="BO1900" i="1"/>
  <c r="AO1900" i="1" l="1"/>
  <c r="BN1893" i="1" l="1"/>
  <c r="BO1894" i="1" s="1"/>
  <c r="BV1894" i="1" s="1"/>
  <c r="BO1893" i="1" l="1"/>
  <c r="BO1899" i="1"/>
  <c r="BV1899" i="1" s="1"/>
  <c r="BO1898" i="1"/>
  <c r="BV1898" i="1" s="1"/>
  <c r="BO1897" i="1"/>
  <c r="BV1897" i="1" s="1"/>
  <c r="BO1896" i="1"/>
  <c r="BV1896" i="1" s="1"/>
  <c r="BO1895" i="1"/>
  <c r="BV1895" i="1" s="1"/>
  <c r="AO189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25021D-2526-4F54-ACD6-1562D251E84A}" keepAlive="1" name="Query - HIX_PTC_MAGI_Max (2)" description="Connection to the 'HIX_PTC_MAGI_Max (2)' query in the workbook." type="5" refreshedVersion="7" background="1" saveData="1">
    <dbPr connection="Provider=Microsoft.Mashup.OleDb.1;Data Source=$Workbook$;Location=&quot;HIX_PTC_MAGI_Max (2)&quot;;Extended Properties=&quot;&quot;" command="SELECT * FROM [HIX_PTC_MAGI_Max (2)]"/>
  </connection>
  <connection id="2" xr16:uid="{8A5FEFAD-44BD-45A2-B6A8-74E719E305E6}" keepAlive="1" name="Query - HIX_PTC_MAGI_Max (3)" description="Connection to the 'HIX_PTC_MAGI_Max (3)' query in the workbook." type="5" refreshedVersion="7" background="1" saveData="1">
    <dbPr connection="Provider=Microsoft.Mashup.OleDb.1;Data Source=$Workbook$;Location=&quot;HIX_PTC_MAGI_Max (3)&quot;;Extended Properties=&quot;&quot;" command="SELECT * FROM [HIX_PTC_MAGI_Max (3)]"/>
  </connection>
  <connection id="3" xr16:uid="{D439C763-C4DA-45E9-A684-C7CA4321D386}" keepAlive="1" name="Query - PTC_ApplicablePercentage (2)" description="Connection to the 'PTC_ApplicablePercentage (2)' query in the workbook." type="5" refreshedVersion="7" background="1" saveData="1">
    <dbPr connection="Provider=Microsoft.Mashup.OleDb.1;Data Source=$Workbook$;Location=&quot;PTC_ApplicablePercentage (2)&quot;;Extended Properties=&quot;&quot;" command="SELECT * FROM [PTC_ApplicablePercentage (2)]"/>
  </connection>
  <connection id="4" xr16:uid="{8C0612C1-76E0-4D57-9A9E-66BC405B6237}" keepAlive="1" name="Query - PTC_ApplicablePercentage (3)" description="Connection to the 'PTC_ApplicablePercentage (3)' query in the workbook." type="5" refreshedVersion="7" background="1" saveData="1">
    <dbPr connection="Provider=Microsoft.Mashup.OleDb.1;Data Source=$Workbook$;Location=&quot;PTC_ApplicablePercentage (3)&quot;;Extended Properties=&quot;&quot;" command="SELECT * FROM [PTC_ApplicablePercentage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<sst xmlns="http://schemas.openxmlformats.org/spreadsheetml/2006/main" count="28806" uniqueCount="4048">
  <si>
    <t>HIX</t>
  </si>
  <si>
    <t>Affordable Care Act Heatlh Insurance Exchanges (HIX) Premium Tax Credit</t>
  </si>
  <si>
    <t>Statute</t>
  </si>
  <si>
    <t>Affordable Care Act</t>
  </si>
  <si>
    <t>Link to act: http://housedocs.house.gov/energycommerce/ppacacon.pdf</t>
  </si>
  <si>
    <t>Codifed into the U.S. Tax Code as 26 U.S. Code § 36B.Refundable credit for coverage under a qualified health plan</t>
  </si>
  <si>
    <t>Access through Cornell Law School Legial Information Institute: https://www.law.cornell.edu/uscode/text/26/36B</t>
  </si>
  <si>
    <t>Last accessed: March 7, 2020</t>
  </si>
  <si>
    <t>26 U.S. Code § 36B.Refundable credit for coverage under a qualified health plan</t>
  </si>
  <si>
    <t>(a)In general</t>
  </si>
  <si>
    <t>In the case of an applicable taxpayer, there shall be allowed as a credit against the tax imposed by this subtitle for any taxable year an amount equal to the premium assistance credit amount of the taxpayer for the taxable year.</t>
  </si>
  <si>
    <t>(b)Premium assistance credit amountFor purposes of this section—</t>
  </si>
  <si>
    <t>(1)In general</t>
  </si>
  <si>
    <t>The term “premium assistance credit amount” means, with respect to any taxable year, the sum of the premium assistance amounts determined under paragraph (2) with respect to all coverage months of the taxpayer occurring during the taxable year.</t>
  </si>
  <si>
    <t>(2)Premium assistance amountThe premium assistance amount determined under this subsection with respect to any coverage month is the amount equal to the lesser of—</t>
  </si>
  <si>
    <t>(A)the monthly premiums for such month for 1 or more qualified health plans offered in the individual market within a State which cover the taxpayer, the taxpayer’s spouse, or any dependent (as defined in section 152) of the taxpayer and which were enrolled in through an Exchange established by the State under 1311 [1] of the Patient Protection and Affordable Care Act, or</t>
  </si>
  <si>
    <t>(B)the excess (if any) of—</t>
  </si>
  <si>
    <t>(i)the adjusted monthly premium for such month for the applicable second lowest cost silver plan with respect to the taxpayer, over</t>
  </si>
  <si>
    <t>(ii)an amount equal to 1/12 of the product of the applicable percentage and the taxpayer’s household income for the taxable year.</t>
  </si>
  <si>
    <t>(3)Other terms and rules relating to premium assistance amountsFor purposes of paragraph (2)—</t>
  </si>
  <si>
    <t>(A)Applicable percentage</t>
  </si>
  <si>
    <t>(i)In general</t>
  </si>
  <si>
    <t>Except as provided in clause (ii), the applicable percentage for any taxable year shall be the percentage such that the applicable percentage for any taxpayer whose household income is within an income tier specified in the following table shall increase, on a sliding scale in a linear manner, from the initial premium percentage to the final premium percentage specified in such table for such income tier:</t>
  </si>
  <si>
    <t>In the case of household income (expressed as a percent of poverty line) within the following income tier:</t>
  </si>
  <si>
    <t>The initial premium percentage is—</t>
  </si>
  <si>
    <t>The final premium percentage is—</t>
  </si>
  <si>
    <t>Up to 133%</t>
  </si>
  <si>
    <t>133% up to 150%</t>
  </si>
  <si>
    <t>150% up to 200%</t>
  </si>
  <si>
    <t>200% up to 250%</t>
  </si>
  <si>
    <t>250% up to 300%</t>
  </si>
  <si>
    <t>300% up to 400%</t>
  </si>
  <si>
    <t>9.5%.</t>
  </si>
  <si>
    <t>(ii)Indexing</t>
  </si>
  <si>
    <t>(I)In general</t>
  </si>
  <si>
    <t>Subject to subclause (II), in the case of taxable years beginning in any calendar year after 2014, the initial and final applicable percentages under clause (i) (as in effect for the preceding calendar year after application of this clause) shall be adjusted to reflect the excess of the rate of premium growth for the preceding calendar year over the rate of income growth for the preceding calendar year.</t>
  </si>
  <si>
    <t>(II)Additional adjustment</t>
  </si>
  <si>
    <t>Except as provided in subclause (III), in the case of any calendar year after 2018, the percentages described in subclause (I) shall, in addition to the adjustment under subclause (I), be adjusted to reflect the excess (if any) of the rate of premium growth estimated under subclause (I) for the preceding calendar year over the rate of growth in the consumer price index for the preceding calendar year.</t>
  </si>
  <si>
    <t>(III)Failsafe</t>
  </si>
  <si>
    <t>Subclause (II) shall apply for any calendar year only if the aggregate amount of premium tax credits under this section and cost-sharing reductions under section 1402 of the Patient Protection and Affordable Care Act for the preceding calendar year exceeds an amount equal to 0.504 percent of the gross domestic product for the preceding calendar year.</t>
  </si>
  <si>
    <t>(B)Applicable second lowest cost silver planThe applicable second lowest cost silver plan with respect to any applicable taxpayer is the second lowest cost silver plan of the individual market in the rating area in which the taxpayer resides which—</t>
  </si>
  <si>
    <t>(i)is offered through the same Exchange through which the qualified health plans taken into account under paragraph (2)(A) were offered, and</t>
  </si>
  <si>
    <t>(ii)provides—</t>
  </si>
  <si>
    <t>(I)self-only coverage in the case of an applicable taxpayer—</t>
  </si>
  <si>
    <t>(aa)whose tax for the taxable year is determined under section 1(c) [2] (relating to unmarried individuals other than surviving spouses and heads of households) and who is not allowed a deduction under section 151 for the taxable year with respect to a dependent, or</t>
  </si>
  <si>
    <t>(bb)who is not described in item (aa) but who purchases only self-only coverage, and</t>
  </si>
  <si>
    <t>(II)family coverage in the case of any other applicable taxpayer.</t>
  </si>
  <si>
    <t>If a taxpayer files a joint return and no credit is allowed under this section with respect to 1 of the spouses by reason of subsection (e), the taxpayer shall be treated as described in clause (ii)(I) unless a deduction is allowed under section 151 for the taxable year with respect to a dependent other than either spouse and subsection (e) does not apply to the dependent.</t>
  </si>
  <si>
    <t>…</t>
  </si>
  <si>
    <t>IRS Forms, Instructions, and Publications</t>
  </si>
  <si>
    <t>IRS Form (2019) 8962 Premium Tax Credit (PTC): https://www.irs.gov/pub/irs-pdf/f8962.pdf</t>
  </si>
  <si>
    <t>Instructions for IRS Form (2019) 8962 Premium Tax Credit (PTC): https://www.irs.gov/pub/irs-pdf/i8962.pdf</t>
  </si>
  <si>
    <t>IRS Publication 974 Premium Tax Credit (PTC): https://www.irs.gov/pub/irs-pdf/p974.pdf</t>
  </si>
  <si>
    <t>IRS Forms: https://apps.irs.gov/app/picklist/list/formsPublications.html</t>
  </si>
  <si>
    <t>IRS Prior Year Forms: https://www.irs.gov/forms-pubs/prior-year</t>
  </si>
  <si>
    <t>IRS Form 8962 (2019)</t>
  </si>
  <si>
    <t>example</t>
  </si>
  <si>
    <t>notes</t>
  </si>
  <si>
    <t>line 1</t>
  </si>
  <si>
    <t>Tax Family Size</t>
  </si>
  <si>
    <t>same as HH size</t>
  </si>
  <si>
    <t>line 2a</t>
  </si>
  <si>
    <t>modified AGI</t>
  </si>
  <si>
    <t>line b</t>
  </si>
  <si>
    <t>Dependents MAGI</t>
  </si>
  <si>
    <t>if applicable</t>
  </si>
  <si>
    <t>line 3</t>
  </si>
  <si>
    <t>Household Income</t>
  </si>
  <si>
    <t>line 4</t>
  </si>
  <si>
    <t>Fed Poverty Line</t>
  </si>
  <si>
    <t>Prior Year's FPIG: For example, 2018 FPIG for Tax year 2019</t>
  </si>
  <si>
    <t>Line 5</t>
  </si>
  <si>
    <t>Poverty %</t>
  </si>
  <si>
    <t>Line 6</t>
  </si>
  <si>
    <t>Did you enter 401%?</t>
  </si>
  <si>
    <t>If yes, no are not eligible. Otherwise continue.  See instructions if you entered less than 100%.</t>
  </si>
  <si>
    <t>{Note: from instructions, if below 100% of poverty line, you can only qualify if at some point in the year you had income above 100%:}</t>
  </si>
  <si>
    <t xml:space="preserve">From page 8 of instructions: </t>
  </si>
  <si>
    <t>Household income below 100% of the federal poverty line. If the amount on line 5 is less than 100%, you can take the PTC if you meet the requirements under Estimated household income at least 100% of the federal poverty line next or Alien lawfully present in the United States below.</t>
  </si>
  <si>
    <t>Estimated household income at least 100% of the federal poverty line. You may qualify for the PTC if your household income is less than 100% of the federal poverty line and you meet all of the following requirements.</t>
  </si>
  <si>
    <t>• You or an individual in your tax family enrolled in a qualified health plan through a Marketplace.</t>
  </si>
  <si>
    <t>• The Marketplace estimated at the time of enrollment that your household income would be at least 100% but not more than 400% of the federal poverty line for your family size for 2019.</t>
  </si>
  <si>
    <t>• APTC was paid for the coverage for one or more months during 2019.</t>
  </si>
  <si>
    <t>• You otherwise qualify as an applicable taxpayer (except for the federal poverty line percentage).</t>
  </si>
  <si>
    <t>Line 7</t>
  </si>
  <si>
    <t>Applicable Figure</t>
  </si>
  <si>
    <t>Enter from chart</t>
  </si>
  <si>
    <t>{Note: comparing to the table in the law, percent should be .0630: ,0024 was added.}</t>
  </si>
  <si>
    <t>Line 8a.</t>
  </si>
  <si>
    <t>Annual Contribution Amount</t>
  </si>
  <si>
    <t>multiple line 3 by line 7, round to nearest dollar</t>
  </si>
  <si>
    <t>Line 8b.</t>
  </si>
  <si>
    <t>Monthly Contribution Amt</t>
  </si>
  <si>
    <t>divided line 8a by 12 and round to nearest dollar</t>
  </si>
  <si>
    <t>Line 9</t>
  </si>
  <si>
    <t>Alternative calculation for year of Marriage?</t>
  </si>
  <si>
    <t>Line 10</t>
  </si>
  <si>
    <t xml:space="preserve">Can you use line 11 for annual amounts. See instructions. </t>
  </si>
  <si>
    <t>Page 12 of the Instructions</t>
  </si>
  <si>
    <t>Full-year coverage with no changes on Form 1095-A, Part
III, columns A or B. Check the “Yes” box and continue to
line 11 if all of the following apply for each qualified health plan
you or a member of your tax family was enrolled in for 2019.
Otherwise, check the “No” box and continue to lines 12 through
23.</t>
  </si>
  <si>
    <t>• You were enrolled in the qualified health plan for all 12 months
during 2019.</t>
  </si>
  <si>
    <t>•Your enrollment premium was the same for every month of
2019. Your enrollment premium is reported in Part III, column A,
lines 21 through 32, of Form 1095-A.</t>
  </si>
  <si>
    <t>•Your SLCSP premium is the same for every month of 2019.
Your SLCSP premium is reported in Part III, column B, lines 21
through 32, of Form 1095-A. But see Missing or incorrect SLCSP
premium on Form 1095-A next.</t>
  </si>
  <si>
    <t>Otherwise you have to base your calculations on monthly totals</t>
  </si>
  <si>
    <t>Line 11(a)</t>
  </si>
  <si>
    <t>Annual premiums {paid}</t>
  </si>
  <si>
    <t>Line 11(b)</t>
  </si>
  <si>
    <t>Annual SLCSP Premium</t>
  </si>
  <si>
    <t>SLCSP = Second Lowest Cost Silver Plan</t>
  </si>
  <si>
    <t xml:space="preserve">Line 11(c) </t>
  </si>
  <si>
    <t>Annual contrbution amount</t>
  </si>
  <si>
    <t>from line 8a (above)</t>
  </si>
  <si>
    <t xml:space="preserve">Line 11(d) </t>
  </si>
  <si>
    <t>Annual max assisatance</t>
  </si>
  <si>
    <t>Subtract Line 11(c) from 11(b)</t>
  </si>
  <si>
    <t xml:space="preserve">Line 11(e) </t>
  </si>
  <si>
    <t>Annual premium tax allowed</t>
  </si>
  <si>
    <t>smaller of line 11(a) or 11(d)</t>
  </si>
  <si>
    <t xml:space="preserve">Line 11(f) </t>
  </si>
  <si>
    <t>Annual advance PTC payments</t>
  </si>
  <si>
    <t>Skip lines 12 through 23 which are for monthly calculations</t>
  </si>
  <si>
    <t>Line 24</t>
  </si>
  <si>
    <t>Total premium tax credit</t>
  </si>
  <si>
    <t>line 11(e) for annual or add lines 12(e) through 23(e) for monthly calcs</t>
  </si>
  <si>
    <t>Line 25</t>
  </si>
  <si>
    <t>Advance PTC payments</t>
  </si>
  <si>
    <t>line 11(f) for annual or add lines 12(f) through 23(f) for monthly calcs</t>
  </si>
  <si>
    <t>Net premium tax credit</t>
  </si>
  <si>
    <t>amount to be credited.</t>
  </si>
  <si>
    <t>Form 1095-A</t>
  </si>
  <si>
    <t>See Publication 974 (2019), page 53 for example: https://www.irs.gov/pub/irs-pdf/p974.pdf</t>
  </si>
  <si>
    <t>This form gives the following both monthly and annual totals:</t>
  </si>
  <si>
    <t>• enrollment premium</t>
  </si>
  <si>
    <t>• second lowest cost ssilver plan (SLCSP) premium</t>
  </si>
  <si>
    <t>• advance payment premium tax credit</t>
  </si>
  <si>
    <t>{Note: these are sent to taxpayers by the HIX market places.</t>
  </si>
  <si>
    <t>Schedule 3: Additional Credits and Payments (2019)</t>
  </si>
  <si>
    <r>
      <t xml:space="preserve">The net premium tax credit is applied to line 9 in Part II as (Other Payments and </t>
    </r>
    <r>
      <rPr>
        <b/>
        <sz val="11"/>
        <color theme="1"/>
        <rFont val="Calibri"/>
        <family val="2"/>
        <scheme val="minor"/>
      </rPr>
      <t>Refundable Credits</t>
    </r>
    <r>
      <rPr>
        <sz val="11"/>
        <color theme="1"/>
        <rFont val="Calibri"/>
        <family val="2"/>
        <scheme val="minor"/>
      </rPr>
      <t>): This is added to become part of line 14.</t>
    </r>
  </si>
  <si>
    <t>Form 1040 (2019): U.S. Individual Income Tax Return</t>
  </si>
  <si>
    <t>https://www.irs.gov/pub/irs-pdf/f1040.pdf</t>
  </si>
  <si>
    <t>Schedule 3 Line 14 is added in Line 18(e) as part of "Other payments and refundable credits."</t>
  </si>
  <si>
    <t>{Note: this shows that the PTC is refundable, meaning a person can receive back more money than having paid in taxes.}</t>
  </si>
  <si>
    <t>Lookup Table: HIX_ApplicablePercentageFactors</t>
  </si>
  <si>
    <t>Lookup Table: PTC_ApplicablePercentage</t>
  </si>
  <si>
    <t>Lookup Table: HIX_PTC_MAGI_Max</t>
  </si>
  <si>
    <t>Premium Percentage Group</t>
  </si>
  <si>
    <t>Premium Percentage FPIG Range</t>
  </si>
  <si>
    <t>Bracket</t>
  </si>
  <si>
    <t>Year</t>
  </si>
  <si>
    <t>Comment</t>
  </si>
  <si>
    <t>Threshold</t>
  </si>
  <si>
    <t>Premium Tax Credit Applicable Percentage</t>
  </si>
  <si>
    <t>MAGI FPIG Range</t>
  </si>
  <si>
    <t>2019</t>
  </si>
  <si>
    <t>2020</t>
  </si>
  <si>
    <t>2021</t>
  </si>
  <si>
    <t>2022</t>
  </si>
  <si>
    <t>MAGI Max</t>
  </si>
  <si>
    <t>Max PTC %</t>
  </si>
  <si>
    <t>Initial</t>
  </si>
  <si>
    <t>0% to 100%</t>
  </si>
  <si>
    <t>Bracket 1</t>
  </si>
  <si>
    <t>At least</t>
  </si>
  <si>
    <t>Equal to or Less Than</t>
  </si>
  <si>
    <t>100% up to 133%</t>
  </si>
  <si>
    <t>Bracket 2</t>
  </si>
  <si>
    <t>Bracket 3</t>
  </si>
  <si>
    <t>Over</t>
  </si>
  <si>
    <t>Bracket 4</t>
  </si>
  <si>
    <t>Bracket 5</t>
  </si>
  <si>
    <t>Bracket 6</t>
  </si>
  <si>
    <t>Bracket 7</t>
  </si>
  <si>
    <t>Final</t>
  </si>
  <si>
    <t>Less than</t>
  </si>
  <si>
    <t>100% up to 150%</t>
  </si>
  <si>
    <t>Formula</t>
  </si>
  <si>
    <t>formula</t>
  </si>
  <si>
    <t>INDEX(HIX_ApplicablePercentages,MATCH(1,(HIX_ApplicablePercentages[Condition]=$E$129)*(HIX_ApplicablePercentages[Threshold]=$E$130),0),MATCH($E$131,VALUE(HIX_ApplicablePercentages[#Headers]),0))</t>
  </si>
  <si>
    <t>Input: Condition</t>
  </si>
  <si>
    <t>Input: Threshold</t>
  </si>
  <si>
    <t>Input: Year</t>
  </si>
  <si>
    <t>test result:</t>
  </si>
  <si>
    <t>Test Formula</t>
  </si>
  <si>
    <t>formula for determining actual Applicable Percentage</t>
  </si>
  <si>
    <t>% to FPIG</t>
  </si>
  <si>
    <t>Applicable Percentage</t>
  </si>
  <si>
    <t>Step</t>
  </si>
  <si>
    <t>Initial premium percentage</t>
  </si>
  <si>
    <t>Final premium percentage</t>
  </si>
  <si>
    <t>Steps</t>
  </si>
  <si>
    <t>Sources</t>
  </si>
  <si>
    <t>Internal Revenue Bulletins</t>
  </si>
  <si>
    <t>Revenue Procedure</t>
  </si>
  <si>
    <t>https://www.irs.gov/downloads/irs-irbs</t>
  </si>
  <si>
    <t>Bulletin: https://www.irs.gov/irb</t>
  </si>
  <si>
    <t>IRB 2017-21 May 22, 2017</t>
  </si>
  <si>
    <t>Rev. Proc. 2017-36</t>
  </si>
  <si>
    <t>https://www.irs.gov/irb/2017-21_IRB#RP-2017-36</t>
  </si>
  <si>
    <t>https://www.irs.gov/pub/irs-drop/rp-17-36.pdf</t>
  </si>
  <si>
    <t>https://www.irs.gov/pub/irs-irbs/irb17-21.pdf</t>
  </si>
  <si>
    <t>IRB 2018-23 June 4, 2018</t>
  </si>
  <si>
    <t>Rev. Proc. 2018-34</t>
  </si>
  <si>
    <t>https://www.irs.gov/irb/2018-23_IRB#RP-2018-34</t>
  </si>
  <si>
    <t>https://www.irs.gov/pub/irs-drop/rp-18-34.pdf</t>
  </si>
  <si>
    <t>https://www.irs.gov/pub/irs-irbs/irb18-23.pdf</t>
  </si>
  <si>
    <t>IRB 2019-32 August 5, 2019</t>
  </si>
  <si>
    <t xml:space="preserve">Rev. Proc. 2019-29 </t>
  </si>
  <si>
    <t>https://www.irs.gov/irb/2019-32_IRB#REV-PROC-2019-29</t>
  </si>
  <si>
    <t>https://www.irs.gov/pub/irs-drop/rp-19-29.pdf</t>
  </si>
  <si>
    <t>https://www.irs.gov/pub/irs-irbs/irb19-32.pdf</t>
  </si>
  <si>
    <t>Lookup Table: HIX_RatingAreas</t>
  </si>
  <si>
    <t>FIPS</t>
  </si>
  <si>
    <t>State</t>
  </si>
  <si>
    <t>State Code</t>
  </si>
  <si>
    <t>Rating Area ID</t>
  </si>
  <si>
    <t>Rating Area #</t>
  </si>
  <si>
    <t>Area</t>
  </si>
  <si>
    <t>Subdivision</t>
  </si>
  <si>
    <t>Silver Enrollments 2018</t>
  </si>
  <si>
    <t>QHP Enrollments 2018</t>
  </si>
  <si>
    <t>Silver Enrollments 2019</t>
  </si>
  <si>
    <t>QHP Enrollments 2019</t>
  </si>
  <si>
    <t>Silver Enrollments 2020</t>
  </si>
  <si>
    <t>QHP Enrollments 2020</t>
  </si>
  <si>
    <t>Silver Enrollments 2021</t>
  </si>
  <si>
    <t>QHP Enrollments 2021</t>
  </si>
  <si>
    <t>Silver Enrollments 2022</t>
  </si>
  <si>
    <t>QHP Enrollments 2022</t>
  </si>
  <si>
    <t>01015</t>
  </si>
  <si>
    <t>Alabama</t>
  </si>
  <si>
    <t>AL</t>
  </si>
  <si>
    <t>Rating Area 1</t>
  </si>
  <si>
    <t>AL01</t>
  </si>
  <si>
    <t>Calhoun County</t>
  </si>
  <si>
    <t>01081</t>
  </si>
  <si>
    <t>Rating Area 2</t>
  </si>
  <si>
    <t>AL02</t>
  </si>
  <si>
    <t>Lee County</t>
  </si>
  <si>
    <t>01007</t>
  </si>
  <si>
    <t>Rating Area 3</t>
  </si>
  <si>
    <t>AL03</t>
  </si>
  <si>
    <t>Bibb County</t>
  </si>
  <si>
    <t>01009</t>
  </si>
  <si>
    <t>Blount County</t>
  </si>
  <si>
    <t>01021</t>
  </si>
  <si>
    <t>Chilton County</t>
  </si>
  <si>
    <t>01073</t>
  </si>
  <si>
    <t>Jefferson County</t>
  </si>
  <si>
    <t>01117</t>
  </si>
  <si>
    <t>Shelby County</t>
  </si>
  <si>
    <t>01115</t>
  </si>
  <si>
    <t>St. Clair County</t>
  </si>
  <si>
    <t>01127</t>
  </si>
  <si>
    <t>Walker County</t>
  </si>
  <si>
    <t>01113</t>
  </si>
  <si>
    <t>Rating Area 4</t>
  </si>
  <si>
    <t>AL04</t>
  </si>
  <si>
    <t>Russell County</t>
  </si>
  <si>
    <t>01079</t>
  </si>
  <si>
    <t>Rating Area 5</t>
  </si>
  <si>
    <t>AL05</t>
  </si>
  <si>
    <t>Lawrence County</t>
  </si>
  <si>
    <t>01103</t>
  </si>
  <si>
    <t>Morgan County</t>
  </si>
  <si>
    <t>01061</t>
  </si>
  <si>
    <t>Rating Area 6</t>
  </si>
  <si>
    <t>AL06</t>
  </si>
  <si>
    <t>Geneva County</t>
  </si>
  <si>
    <t>01067</t>
  </si>
  <si>
    <t>Henry County</t>
  </si>
  <si>
    <t>01069</t>
  </si>
  <si>
    <t>Houston County</t>
  </si>
  <si>
    <t>01033</t>
  </si>
  <si>
    <t>Rating Area 7</t>
  </si>
  <si>
    <t>AL07</t>
  </si>
  <si>
    <t>Colbert County</t>
  </si>
  <si>
    <t>01077</t>
  </si>
  <si>
    <t>Lauderdale County</t>
  </si>
  <si>
    <t>01055</t>
  </si>
  <si>
    <t>Rating Area 8</t>
  </si>
  <si>
    <t>AL08</t>
  </si>
  <si>
    <t>Etowah County</t>
  </si>
  <si>
    <t>01083</t>
  </si>
  <si>
    <t>Rating Area 9</t>
  </si>
  <si>
    <t>AL09</t>
  </si>
  <si>
    <t>Limestone County</t>
  </si>
  <si>
    <t>01089</t>
  </si>
  <si>
    <t>Madison County</t>
  </si>
  <si>
    <t>01097</t>
  </si>
  <si>
    <t>Rating Area 10</t>
  </si>
  <si>
    <t>AL10</t>
  </si>
  <si>
    <t>Mobile County</t>
  </si>
  <si>
    <t>01001</t>
  </si>
  <si>
    <t>Rating Area 11</t>
  </si>
  <si>
    <t>AL11</t>
  </si>
  <si>
    <t>Autauga County</t>
  </si>
  <si>
    <t>01051</t>
  </si>
  <si>
    <t>Elmore County</t>
  </si>
  <si>
    <t>01085</t>
  </si>
  <si>
    <t>Lowndes County</t>
  </si>
  <si>
    <t>01101</t>
  </si>
  <si>
    <t>Montgomery County</t>
  </si>
  <si>
    <t>01063</t>
  </si>
  <si>
    <t>Rating Area 12</t>
  </si>
  <si>
    <t>AL12</t>
  </si>
  <si>
    <t>Greene County</t>
  </si>
  <si>
    <t>01065</t>
  </si>
  <si>
    <t>Hale County</t>
  </si>
  <si>
    <t>01125</t>
  </si>
  <si>
    <t>Tuscaloosa County</t>
  </si>
  <si>
    <t>01003</t>
  </si>
  <si>
    <t>Rating Area 13</t>
  </si>
  <si>
    <t>AL13</t>
  </si>
  <si>
    <t>Baldwin County</t>
  </si>
  <si>
    <t>01005</t>
  </si>
  <si>
    <t>Barbour County</t>
  </si>
  <si>
    <t>01011</t>
  </si>
  <si>
    <t>Bullock County</t>
  </si>
  <si>
    <t>01013</t>
  </si>
  <si>
    <t>Butler County</t>
  </si>
  <si>
    <t>01017</t>
  </si>
  <si>
    <t>Chambers County</t>
  </si>
  <si>
    <t>01019</t>
  </si>
  <si>
    <t>Cherokee County</t>
  </si>
  <si>
    <t>01023</t>
  </si>
  <si>
    <t>Choctaw County</t>
  </si>
  <si>
    <t>01025</t>
  </si>
  <si>
    <t>Clarke County</t>
  </si>
  <si>
    <t>01027</t>
  </si>
  <si>
    <t>Clay County</t>
  </si>
  <si>
    <t>01029</t>
  </si>
  <si>
    <t>Cleburne County</t>
  </si>
  <si>
    <t>01031</t>
  </si>
  <si>
    <t>Coffee County</t>
  </si>
  <si>
    <t>01035</t>
  </si>
  <si>
    <t>Conecuh County</t>
  </si>
  <si>
    <t>01037</t>
  </si>
  <si>
    <t>Coosa County</t>
  </si>
  <si>
    <t>01039</t>
  </si>
  <si>
    <t>Covington County</t>
  </si>
  <si>
    <t>01041</t>
  </si>
  <si>
    <t>Crenshaw County</t>
  </si>
  <si>
    <t>01043</t>
  </si>
  <si>
    <t>Cullman County</t>
  </si>
  <si>
    <t>01045</t>
  </si>
  <si>
    <t>Dale County</t>
  </si>
  <si>
    <t>01047</t>
  </si>
  <si>
    <t>Dallas County</t>
  </si>
  <si>
    <t>01049</t>
  </si>
  <si>
    <t>DeKalb County</t>
  </si>
  <si>
    <t>01053</t>
  </si>
  <si>
    <t>Escambia County</t>
  </si>
  <si>
    <t>01057</t>
  </si>
  <si>
    <t>Fayette County</t>
  </si>
  <si>
    <t>01059</t>
  </si>
  <si>
    <t>Franklin County</t>
  </si>
  <si>
    <t>01071</t>
  </si>
  <si>
    <t>Jackson County</t>
  </si>
  <si>
    <t>01075</t>
  </si>
  <si>
    <t>Lamar County</t>
  </si>
  <si>
    <t>01087</t>
  </si>
  <si>
    <t>Macon County</t>
  </si>
  <si>
    <t>01091</t>
  </si>
  <si>
    <t>Marengo County</t>
  </si>
  <si>
    <t>01093</t>
  </si>
  <si>
    <t>Marion County</t>
  </si>
  <si>
    <t>01095</t>
  </si>
  <si>
    <t>Marshall County</t>
  </si>
  <si>
    <t>01099</t>
  </si>
  <si>
    <t>Monroe County</t>
  </si>
  <si>
    <t>01105</t>
  </si>
  <si>
    <t>Perry County</t>
  </si>
  <si>
    <t>01107</t>
  </si>
  <si>
    <t>Pickens County</t>
  </si>
  <si>
    <t>01109</t>
  </si>
  <si>
    <t>Pike County</t>
  </si>
  <si>
    <t>01111</t>
  </si>
  <si>
    <t>Randolph County</t>
  </si>
  <si>
    <t>01119</t>
  </si>
  <si>
    <t>Sumter County</t>
  </si>
  <si>
    <t>01121</t>
  </si>
  <si>
    <t>Talladega County</t>
  </si>
  <si>
    <t>01123</t>
  </si>
  <si>
    <t>Tallapoosa County</t>
  </si>
  <si>
    <t>01129</t>
  </si>
  <si>
    <t>Washington County</t>
  </si>
  <si>
    <t>01131</t>
  </si>
  <si>
    <t>Wilcox County</t>
  </si>
  <si>
    <t>01133</t>
  </si>
  <si>
    <t>Winston County</t>
  </si>
  <si>
    <t>05023</t>
  </si>
  <si>
    <t>Arkansas</t>
  </si>
  <si>
    <t>AR</t>
  </si>
  <si>
    <t>1</t>
  </si>
  <si>
    <t>AR01</t>
  </si>
  <si>
    <t>05085</t>
  </si>
  <si>
    <t>Lonoke County</t>
  </si>
  <si>
    <t>05119</t>
  </si>
  <si>
    <t>Pulaski County</t>
  </si>
  <si>
    <t>05149</t>
  </si>
  <si>
    <t>Yell County</t>
  </si>
  <si>
    <t>05029</t>
  </si>
  <si>
    <t>Conway County</t>
  </si>
  <si>
    <t>05105</t>
  </si>
  <si>
    <t>05125</t>
  </si>
  <si>
    <t>Saline County</t>
  </si>
  <si>
    <t>05045</t>
  </si>
  <si>
    <t>Faulkner County</t>
  </si>
  <si>
    <t>05115</t>
  </si>
  <si>
    <t>Pope County</t>
  </si>
  <si>
    <t>05141</t>
  </si>
  <si>
    <t>Van Buren County</t>
  </si>
  <si>
    <t>05053</t>
  </si>
  <si>
    <t>Grant County</t>
  </si>
  <si>
    <t>05117</t>
  </si>
  <si>
    <t>Prairie County</t>
  </si>
  <si>
    <t>05145</t>
  </si>
  <si>
    <t>White County</t>
  </si>
  <si>
    <t>05021</t>
  </si>
  <si>
    <t>2</t>
  </si>
  <si>
    <t>AR02</t>
  </si>
  <si>
    <t>05049</t>
  </si>
  <si>
    <t>Fulton County</t>
  </si>
  <si>
    <t>05067</t>
  </si>
  <si>
    <t>05121</t>
  </si>
  <si>
    <t>05147</t>
  </si>
  <si>
    <t>Woodruff County</t>
  </si>
  <si>
    <t>05031</t>
  </si>
  <si>
    <t>Craighead County</t>
  </si>
  <si>
    <t>05055</t>
  </si>
  <si>
    <t>05075</t>
  </si>
  <si>
    <t>05135</t>
  </si>
  <si>
    <t>Sharp County</t>
  </si>
  <si>
    <t>05035</t>
  </si>
  <si>
    <t>Crittenden County</t>
  </si>
  <si>
    <t>05063</t>
  </si>
  <si>
    <t>Independence County</t>
  </si>
  <si>
    <t>05093</t>
  </si>
  <si>
    <t>Mississippi County</t>
  </si>
  <si>
    <t>05123</t>
  </si>
  <si>
    <t>St. Francis County</t>
  </si>
  <si>
    <t>05037</t>
  </si>
  <si>
    <t>Cross County</t>
  </si>
  <si>
    <t>05065</t>
  </si>
  <si>
    <t>Izard County</t>
  </si>
  <si>
    <t>05111</t>
  </si>
  <si>
    <t>Poinsett County</t>
  </si>
  <si>
    <t>05137</t>
  </si>
  <si>
    <t>Stone County</t>
  </si>
  <si>
    <t>05005</t>
  </si>
  <si>
    <t>3</t>
  </si>
  <si>
    <t>AR03</t>
  </si>
  <si>
    <t>Baxter County</t>
  </si>
  <si>
    <t>05087</t>
  </si>
  <si>
    <t>05143</t>
  </si>
  <si>
    <t>05007</t>
  </si>
  <si>
    <t>Benton County</t>
  </si>
  <si>
    <t>05089</t>
  </si>
  <si>
    <t>05009</t>
  </si>
  <si>
    <t>Boone County</t>
  </si>
  <si>
    <t>05101</t>
  </si>
  <si>
    <t>Newton County</t>
  </si>
  <si>
    <t>05015</t>
  </si>
  <si>
    <t>Carroll County</t>
  </si>
  <si>
    <t>05129</t>
  </si>
  <si>
    <t>Searcy County</t>
  </si>
  <si>
    <t>05019</t>
  </si>
  <si>
    <t>4</t>
  </si>
  <si>
    <t>AR04</t>
  </si>
  <si>
    <t>Clark County</t>
  </si>
  <si>
    <t>05109</t>
  </si>
  <si>
    <t>05051</t>
  </si>
  <si>
    <t>Garland County</t>
  </si>
  <si>
    <t>05059</t>
  </si>
  <si>
    <t>Hot Spring County</t>
  </si>
  <si>
    <t>05097</t>
  </si>
  <si>
    <t>05001</t>
  </si>
  <si>
    <t>5</t>
  </si>
  <si>
    <t>AR05</t>
  </si>
  <si>
    <t>Arkansas County</t>
  </si>
  <si>
    <t>05025</t>
  </si>
  <si>
    <t>Cleveland County</t>
  </si>
  <si>
    <t>05069</t>
  </si>
  <si>
    <t>05107</t>
  </si>
  <si>
    <t>Phillips County</t>
  </si>
  <si>
    <t>05003</t>
  </si>
  <si>
    <t>Ashley County</t>
  </si>
  <si>
    <t>05039</t>
  </si>
  <si>
    <t>05077</t>
  </si>
  <si>
    <t>05011</t>
  </si>
  <si>
    <t>Bradley County</t>
  </si>
  <si>
    <t>05041</t>
  </si>
  <si>
    <t>Desha County</t>
  </si>
  <si>
    <t>05079</t>
  </si>
  <si>
    <t>Lincoln County</t>
  </si>
  <si>
    <t>05017</t>
  </si>
  <si>
    <t>Chicot County</t>
  </si>
  <si>
    <t>05043</t>
  </si>
  <si>
    <t>Drew County</t>
  </si>
  <si>
    <t>05095</t>
  </si>
  <si>
    <t>05013</t>
  </si>
  <si>
    <t>6</t>
  </si>
  <si>
    <t>AR06</t>
  </si>
  <si>
    <t>05073</t>
  </si>
  <si>
    <t>Lafayette County</t>
  </si>
  <si>
    <t>05103</t>
  </si>
  <si>
    <t>Ouachita County</t>
  </si>
  <si>
    <t>05027</t>
  </si>
  <si>
    <t>Columbia County</t>
  </si>
  <si>
    <t>05081</t>
  </si>
  <si>
    <t>Little River County</t>
  </si>
  <si>
    <t>05133</t>
  </si>
  <si>
    <t>Sevier County</t>
  </si>
  <si>
    <t>05057</t>
  </si>
  <si>
    <t>Hempstead County</t>
  </si>
  <si>
    <t>05091</t>
  </si>
  <si>
    <t>Miller County</t>
  </si>
  <si>
    <t>05139</t>
  </si>
  <si>
    <t>Union County</t>
  </si>
  <si>
    <t>05061</t>
  </si>
  <si>
    <t>Howard County</t>
  </si>
  <si>
    <t>05099</t>
  </si>
  <si>
    <t>Nevada County</t>
  </si>
  <si>
    <t>05033</t>
  </si>
  <si>
    <t>7</t>
  </si>
  <si>
    <t>AR07</t>
  </si>
  <si>
    <t>Crawford County</t>
  </si>
  <si>
    <t>05127</t>
  </si>
  <si>
    <t>Scott County</t>
  </si>
  <si>
    <t>05113</t>
  </si>
  <si>
    <t>Polk County</t>
  </si>
  <si>
    <t>05047</t>
  </si>
  <si>
    <t>05131</t>
  </si>
  <si>
    <t>Sebastian County</t>
  </si>
  <si>
    <t>05071</t>
  </si>
  <si>
    <t>Johnson County</t>
  </si>
  <si>
    <t>05083</t>
  </si>
  <si>
    <t>Logan County</t>
  </si>
  <si>
    <t>12001</t>
  </si>
  <si>
    <t>Florida</t>
  </si>
  <si>
    <t>FL</t>
  </si>
  <si>
    <t>FL01</t>
  </si>
  <si>
    <t>Alachua County</t>
  </si>
  <si>
    <t>12003</t>
  </si>
  <si>
    <t>FL02</t>
  </si>
  <si>
    <t>Baker County</t>
  </si>
  <si>
    <t>12005</t>
  </si>
  <si>
    <t>FL03</t>
  </si>
  <si>
    <t>Bay County</t>
  </si>
  <si>
    <t>12007</t>
  </si>
  <si>
    <t>FL04</t>
  </si>
  <si>
    <t>Bradford County</t>
  </si>
  <si>
    <t>12009</t>
  </si>
  <si>
    <t>FL05</t>
  </si>
  <si>
    <t>Brevard County</t>
  </si>
  <si>
    <t>12011</t>
  </si>
  <si>
    <t>FL06</t>
  </si>
  <si>
    <t>Broward County</t>
  </si>
  <si>
    <t>12013</t>
  </si>
  <si>
    <t>FL07</t>
  </si>
  <si>
    <t>12015</t>
  </si>
  <si>
    <t>FL08</t>
  </si>
  <si>
    <t>Charlotte County</t>
  </si>
  <si>
    <t>12017</t>
  </si>
  <si>
    <t>FL09</t>
  </si>
  <si>
    <t>Citrus County</t>
  </si>
  <si>
    <t>12019</t>
  </si>
  <si>
    <t>FL10</t>
  </si>
  <si>
    <t>12021</t>
  </si>
  <si>
    <t>FL11</t>
  </si>
  <si>
    <t>Collier County</t>
  </si>
  <si>
    <t>12023</t>
  </si>
  <si>
    <t>FL12</t>
  </si>
  <si>
    <t>12027</t>
  </si>
  <si>
    <t>FL13</t>
  </si>
  <si>
    <t>Desoto County</t>
  </si>
  <si>
    <t>12029</t>
  </si>
  <si>
    <t>Rating Area 14</t>
  </si>
  <si>
    <t>FL14</t>
  </si>
  <si>
    <t>Dixie County</t>
  </si>
  <si>
    <t>12031</t>
  </si>
  <si>
    <t>Rating Area 15</t>
  </si>
  <si>
    <t>FL15</t>
  </si>
  <si>
    <t>Duval County</t>
  </si>
  <si>
    <t>12033</t>
  </si>
  <si>
    <t>Rating Area 16</t>
  </si>
  <si>
    <t>FL16</t>
  </si>
  <si>
    <t>12035</t>
  </si>
  <si>
    <t>Rating Area 17</t>
  </si>
  <si>
    <t>FL17</t>
  </si>
  <si>
    <t>Flagler County</t>
  </si>
  <si>
    <t>12037</t>
  </si>
  <si>
    <t>Rating Area 18</t>
  </si>
  <si>
    <t>FL18</t>
  </si>
  <si>
    <t>12039</t>
  </si>
  <si>
    <t>Rating Area 19</t>
  </si>
  <si>
    <t>FL19</t>
  </si>
  <si>
    <t>Gadsden County</t>
  </si>
  <si>
    <t>12041</t>
  </si>
  <si>
    <t>Rating Area 20</t>
  </si>
  <si>
    <t>FL20</t>
  </si>
  <si>
    <t>Gilchrist County</t>
  </si>
  <si>
    <t>12043</t>
  </si>
  <si>
    <t>Rating Area 21</t>
  </si>
  <si>
    <t>FL21</t>
  </si>
  <si>
    <t>Glades County</t>
  </si>
  <si>
    <t>12045</t>
  </si>
  <si>
    <t>Rating Area 22</t>
  </si>
  <si>
    <t>FL22</t>
  </si>
  <si>
    <t>Gulf County</t>
  </si>
  <si>
    <t>12047</t>
  </si>
  <si>
    <t>Rating Area 23</t>
  </si>
  <si>
    <t>FL23</t>
  </si>
  <si>
    <t>Hamilton County</t>
  </si>
  <si>
    <t>12049</t>
  </si>
  <si>
    <t>Rating Area 24</t>
  </si>
  <si>
    <t>FL24</t>
  </si>
  <si>
    <t>Hardee County</t>
  </si>
  <si>
    <t>12051</t>
  </si>
  <si>
    <t>Rating Area 25</t>
  </si>
  <si>
    <t>FL25</t>
  </si>
  <si>
    <t>Hendry County</t>
  </si>
  <si>
    <t>12053</t>
  </si>
  <si>
    <t>Rating Area 26</t>
  </si>
  <si>
    <t>FL26</t>
  </si>
  <si>
    <t>Hernando County</t>
  </si>
  <si>
    <t>12055</t>
  </si>
  <si>
    <t>Rating Area 27</t>
  </si>
  <si>
    <t>FL27</t>
  </si>
  <si>
    <t>Highlands County</t>
  </si>
  <si>
    <t>12057</t>
  </si>
  <si>
    <t>Rating Area 28</t>
  </si>
  <si>
    <t>FL28</t>
  </si>
  <si>
    <t>Hillsborough County</t>
  </si>
  <si>
    <t>12059</t>
  </si>
  <si>
    <t>Rating Area 29</t>
  </si>
  <si>
    <t>FL29</t>
  </si>
  <si>
    <t>Holmes County</t>
  </si>
  <si>
    <t>12061</t>
  </si>
  <si>
    <t>Rating Area 30</t>
  </si>
  <si>
    <t>FL30</t>
  </si>
  <si>
    <t>Indian River County</t>
  </si>
  <si>
    <t>12063</t>
  </si>
  <si>
    <t>Rating Area 31</t>
  </si>
  <si>
    <t>FL31</t>
  </si>
  <si>
    <t>12065</t>
  </si>
  <si>
    <t>Rating Area 32</t>
  </si>
  <si>
    <t>FL32</t>
  </si>
  <si>
    <t>12067</t>
  </si>
  <si>
    <t>Rating Area 33</t>
  </si>
  <si>
    <t>FL33</t>
  </si>
  <si>
    <t>12069</t>
  </si>
  <si>
    <t>Rating Area 34</t>
  </si>
  <si>
    <t>FL34</t>
  </si>
  <si>
    <t>Lake County</t>
  </si>
  <si>
    <t>12071</t>
  </si>
  <si>
    <t>Rating Area 35</t>
  </si>
  <si>
    <t>FL35</t>
  </si>
  <si>
    <t>12073</t>
  </si>
  <si>
    <t>Rating Area 36</t>
  </si>
  <si>
    <t>FL36</t>
  </si>
  <si>
    <t>Leon County</t>
  </si>
  <si>
    <t>12075</t>
  </si>
  <si>
    <t>Rating Area 37</t>
  </si>
  <si>
    <t>FL37</t>
  </si>
  <si>
    <t>Levy County</t>
  </si>
  <si>
    <t>12077</t>
  </si>
  <si>
    <t>Rating Area 38</t>
  </si>
  <si>
    <t>FL38</t>
  </si>
  <si>
    <t>Liberty County</t>
  </si>
  <si>
    <t>12079</t>
  </si>
  <si>
    <t>Rating Area 39</t>
  </si>
  <si>
    <t>FL39</t>
  </si>
  <si>
    <t>12081</t>
  </si>
  <si>
    <t>Rating Area 40</t>
  </si>
  <si>
    <t>FL40</t>
  </si>
  <si>
    <t>Manatee County</t>
  </si>
  <si>
    <t>12083</t>
  </si>
  <si>
    <t>Rating Area 41</t>
  </si>
  <si>
    <t>FL41</t>
  </si>
  <si>
    <t>12085</t>
  </si>
  <si>
    <t>Rating Area 42</t>
  </si>
  <si>
    <t>FL42</t>
  </si>
  <si>
    <t>Martin County</t>
  </si>
  <si>
    <t>12086</t>
  </si>
  <si>
    <t>Rating Area 43</t>
  </si>
  <si>
    <t>FL43</t>
  </si>
  <si>
    <t>Miami-Dade County</t>
  </si>
  <si>
    <t>12087</t>
  </si>
  <si>
    <t>Rating Area 44</t>
  </si>
  <si>
    <t>FL44</t>
  </si>
  <si>
    <t>12089</t>
  </si>
  <si>
    <t>Rating Area 45</t>
  </si>
  <si>
    <t>FL45</t>
  </si>
  <si>
    <t>Nassau County</t>
  </si>
  <si>
    <t>12091</t>
  </si>
  <si>
    <t>Rating Area 46</t>
  </si>
  <si>
    <t>FL46</t>
  </si>
  <si>
    <t>Okaloosa County</t>
  </si>
  <si>
    <t>12093</t>
  </si>
  <si>
    <t>Rating Area 47</t>
  </si>
  <si>
    <t>FL47</t>
  </si>
  <si>
    <t>Okeechobee County</t>
  </si>
  <si>
    <t>12095</t>
  </si>
  <si>
    <t>Rating Area 48</t>
  </si>
  <si>
    <t>FL48</t>
  </si>
  <si>
    <t>Orange County</t>
  </si>
  <si>
    <t>12097</t>
  </si>
  <si>
    <t>Rating Area 49</t>
  </si>
  <si>
    <t>FL49</t>
  </si>
  <si>
    <t>Osceola County</t>
  </si>
  <si>
    <t>12099</t>
  </si>
  <si>
    <t>Rating Area 50</t>
  </si>
  <si>
    <t>FL50</t>
  </si>
  <si>
    <t>Palm Beach County</t>
  </si>
  <si>
    <t>12101</t>
  </si>
  <si>
    <t>Rating Area 51</t>
  </si>
  <si>
    <t>FL51</t>
  </si>
  <si>
    <t>Pasco County</t>
  </si>
  <si>
    <t>12103</t>
  </si>
  <si>
    <t>Rating Area 52</t>
  </si>
  <si>
    <t>FL52</t>
  </si>
  <si>
    <t>Pinellas County</t>
  </si>
  <si>
    <t>12105</t>
  </si>
  <si>
    <t>Rating Area 53</t>
  </si>
  <si>
    <t>FL53</t>
  </si>
  <si>
    <t>12107</t>
  </si>
  <si>
    <t>Rating Area 54</t>
  </si>
  <si>
    <t>FL54</t>
  </si>
  <si>
    <t>Putnam County</t>
  </si>
  <si>
    <t>12113</t>
  </si>
  <si>
    <t>Rating Area 55</t>
  </si>
  <si>
    <t>FL55</t>
  </si>
  <si>
    <t>Santa Rosa County</t>
  </si>
  <si>
    <t>12115</t>
  </si>
  <si>
    <t>Rating Area 56</t>
  </si>
  <si>
    <t>FL56</t>
  </si>
  <si>
    <t>Sarasota County</t>
  </si>
  <si>
    <t>12117</t>
  </si>
  <si>
    <t>Rating Area 57</t>
  </si>
  <si>
    <t>FL57</t>
  </si>
  <si>
    <t>Seminole County</t>
  </si>
  <si>
    <t>12109</t>
  </si>
  <si>
    <t>Rating Area 58</t>
  </si>
  <si>
    <t>FL58</t>
  </si>
  <si>
    <t>St. Johns County</t>
  </si>
  <si>
    <t>12111</t>
  </si>
  <si>
    <t>Rating Area 59</t>
  </si>
  <si>
    <t>FL59</t>
  </si>
  <si>
    <t>St. Lucie County</t>
  </si>
  <si>
    <t>12119</t>
  </si>
  <si>
    <t>Rating Area 60</t>
  </si>
  <si>
    <t>FL60</t>
  </si>
  <si>
    <t>12121</t>
  </si>
  <si>
    <t>Rating Area 61</t>
  </si>
  <si>
    <t>FL61</t>
  </si>
  <si>
    <t>Suwannee County</t>
  </si>
  <si>
    <t>12123</t>
  </si>
  <si>
    <t>Rating Area 62</t>
  </si>
  <si>
    <t>FL62</t>
  </si>
  <si>
    <t>Taylor County</t>
  </si>
  <si>
    <t>12125</t>
  </si>
  <si>
    <t>Rating Area 63</t>
  </si>
  <si>
    <t>FL63</t>
  </si>
  <si>
    <t>12127</t>
  </si>
  <si>
    <t>Rating Area 64</t>
  </si>
  <si>
    <t>FL64</t>
  </si>
  <si>
    <t>Volusia County</t>
  </si>
  <si>
    <t>12129</t>
  </si>
  <si>
    <t>Rating Area 65</t>
  </si>
  <si>
    <t>FL65</t>
  </si>
  <si>
    <t>Wakulla County</t>
  </si>
  <si>
    <t>12131</t>
  </si>
  <si>
    <t>Rating Area 66</t>
  </si>
  <si>
    <t>FL66</t>
  </si>
  <si>
    <t>Walton County</t>
  </si>
  <si>
    <t>12133</t>
  </si>
  <si>
    <t>Rating Area 67</t>
  </si>
  <si>
    <t>FL67</t>
  </si>
  <si>
    <t>13007</t>
  </si>
  <si>
    <t>Georgia</t>
  </si>
  <si>
    <t>GA</t>
  </si>
  <si>
    <t>GA01</t>
  </si>
  <si>
    <t>13037</t>
  </si>
  <si>
    <t>13061</t>
  </si>
  <si>
    <t>13081</t>
  </si>
  <si>
    <t>Crisp County</t>
  </si>
  <si>
    <t>13095</t>
  </si>
  <si>
    <t>Dougherty County</t>
  </si>
  <si>
    <t>13177</t>
  </si>
  <si>
    <t>13205</t>
  </si>
  <si>
    <t>Mitchell County</t>
  </si>
  <si>
    <t>13243</t>
  </si>
  <si>
    <t>13249</t>
  </si>
  <si>
    <t>Schley County</t>
  </si>
  <si>
    <t>13261</t>
  </si>
  <si>
    <t>13273</t>
  </si>
  <si>
    <t>Terrell County</t>
  </si>
  <si>
    <t>13321</t>
  </si>
  <si>
    <t>Worth County</t>
  </si>
  <si>
    <t>13013</t>
  </si>
  <si>
    <t>GA02</t>
  </si>
  <si>
    <t>Barrow County</t>
  </si>
  <si>
    <t>13059</t>
  </si>
  <si>
    <t>13105</t>
  </si>
  <si>
    <t>Elbert County</t>
  </si>
  <si>
    <t>13133</t>
  </si>
  <si>
    <t>13157</t>
  </si>
  <si>
    <t>13195</t>
  </si>
  <si>
    <t>13211</t>
  </si>
  <si>
    <t>13219</t>
  </si>
  <si>
    <t>Oconee County</t>
  </si>
  <si>
    <t>13221</t>
  </si>
  <si>
    <t>Oglethorpe County</t>
  </si>
  <si>
    <t>13015</t>
  </si>
  <si>
    <t>GA03</t>
  </si>
  <si>
    <t>Bartow County</t>
  </si>
  <si>
    <t>13035</t>
  </si>
  <si>
    <t>Butts County</t>
  </si>
  <si>
    <t>13057</t>
  </si>
  <si>
    <t>13063</t>
  </si>
  <si>
    <t>Clayton County</t>
  </si>
  <si>
    <t>13067</t>
  </si>
  <si>
    <t>Cobb County</t>
  </si>
  <si>
    <t>13077</t>
  </si>
  <si>
    <t>Coweta County</t>
  </si>
  <si>
    <t>13089</t>
  </si>
  <si>
    <t>13097</t>
  </si>
  <si>
    <t>Douglas County</t>
  </si>
  <si>
    <t>13113</t>
  </si>
  <si>
    <t>13117</t>
  </si>
  <si>
    <t>Forsyth County</t>
  </si>
  <si>
    <t>13121</t>
  </si>
  <si>
    <t>13135</t>
  </si>
  <si>
    <t>Gwinnett County</t>
  </si>
  <si>
    <t>13151</t>
  </si>
  <si>
    <t>13159</t>
  </si>
  <si>
    <t>Jasper County</t>
  </si>
  <si>
    <t>13171</t>
  </si>
  <si>
    <t>13217</t>
  </si>
  <si>
    <t>13223</t>
  </si>
  <si>
    <t>Paulding County</t>
  </si>
  <si>
    <t>13231</t>
  </si>
  <si>
    <t>13247</t>
  </si>
  <si>
    <t>Rockdale County</t>
  </si>
  <si>
    <t>13255</t>
  </si>
  <si>
    <t>Spalding County</t>
  </si>
  <si>
    <t>13297</t>
  </si>
  <si>
    <t>13045</t>
  </si>
  <si>
    <t>GA04</t>
  </si>
  <si>
    <t>13149</t>
  </si>
  <si>
    <t>Heard County</t>
  </si>
  <si>
    <t>13143</t>
  </si>
  <si>
    <t>Heralson County</t>
  </si>
  <si>
    <t>13033</t>
  </si>
  <si>
    <t>GA05</t>
  </si>
  <si>
    <t>Burke County</t>
  </si>
  <si>
    <t>13073</t>
  </si>
  <si>
    <t>13107</t>
  </si>
  <si>
    <t>Emanuel County</t>
  </si>
  <si>
    <t>13125</t>
  </si>
  <si>
    <t>Glascock County</t>
  </si>
  <si>
    <t>13163</t>
  </si>
  <si>
    <t>13165</t>
  </si>
  <si>
    <t>Jenkins County</t>
  </si>
  <si>
    <t>13181</t>
  </si>
  <si>
    <t>13189</t>
  </si>
  <si>
    <t>McDuffie County</t>
  </si>
  <si>
    <t>13245</t>
  </si>
  <si>
    <t>Richmond County</t>
  </si>
  <si>
    <t>13265</t>
  </si>
  <si>
    <t>Taliaferro County</t>
  </si>
  <si>
    <t>13301</t>
  </si>
  <si>
    <t>Warren County</t>
  </si>
  <si>
    <t>13317</t>
  </si>
  <si>
    <t>Wilkes County</t>
  </si>
  <si>
    <t>13005</t>
  </si>
  <si>
    <t>GA06</t>
  </si>
  <si>
    <t>Bacon County</t>
  </si>
  <si>
    <t>13025</t>
  </si>
  <si>
    <t>Brantley County</t>
  </si>
  <si>
    <t>13039</t>
  </si>
  <si>
    <t>Camden County</t>
  </si>
  <si>
    <t>13049</t>
  </si>
  <si>
    <t>Charlton County</t>
  </si>
  <si>
    <t>13127</t>
  </si>
  <si>
    <t>Glynn County</t>
  </si>
  <si>
    <t>13191</t>
  </si>
  <si>
    <t>McIntosh County</t>
  </si>
  <si>
    <t>13229</t>
  </si>
  <si>
    <t>Pierce County</t>
  </si>
  <si>
    <t>13299</t>
  </si>
  <si>
    <t>Ware County</t>
  </si>
  <si>
    <t>13305</t>
  </si>
  <si>
    <t>Wayne County</t>
  </si>
  <si>
    <t>13047</t>
  </si>
  <si>
    <t>GA07</t>
  </si>
  <si>
    <t>Catoosa County</t>
  </si>
  <si>
    <t>13083</t>
  </si>
  <si>
    <t>Dade County</t>
  </si>
  <si>
    <t>13295</t>
  </si>
  <si>
    <t>13053</t>
  </si>
  <si>
    <t>GA08</t>
  </si>
  <si>
    <t>Chattahoochee County</t>
  </si>
  <si>
    <t>13145</t>
  </si>
  <si>
    <t>Harris County</t>
  </si>
  <si>
    <t>13193</t>
  </si>
  <si>
    <t>13197</t>
  </si>
  <si>
    <t>13199</t>
  </si>
  <si>
    <t>Meriwether County</t>
  </si>
  <si>
    <t>13215</t>
  </si>
  <si>
    <t>Muscogee County</t>
  </si>
  <si>
    <t>13239</t>
  </si>
  <si>
    <t>Quitman County</t>
  </si>
  <si>
    <t>13259</t>
  </si>
  <si>
    <t>Stewart County</t>
  </si>
  <si>
    <t>13263</t>
  </si>
  <si>
    <t>Talbot County</t>
  </si>
  <si>
    <t>13269</t>
  </si>
  <si>
    <t>13285</t>
  </si>
  <si>
    <t>Troup County</t>
  </si>
  <si>
    <t>13293</t>
  </si>
  <si>
    <t>Upson County</t>
  </si>
  <si>
    <t>13307</t>
  </si>
  <si>
    <t>Webster County</t>
  </si>
  <si>
    <t>13111</t>
  </si>
  <si>
    <t>GA09</t>
  </si>
  <si>
    <t>Fannin County</t>
  </si>
  <si>
    <t>13213</t>
  </si>
  <si>
    <t>Murray County</t>
  </si>
  <si>
    <t>13313</t>
  </si>
  <si>
    <t>Whitfield County</t>
  </si>
  <si>
    <t>13011</t>
  </si>
  <si>
    <t>GA10</t>
  </si>
  <si>
    <t>Banks County</t>
  </si>
  <si>
    <t>13085</t>
  </si>
  <si>
    <t>Dawson County</t>
  </si>
  <si>
    <t>13119</t>
  </si>
  <si>
    <t>13137</t>
  </si>
  <si>
    <t>Habersham County</t>
  </si>
  <si>
    <t>13139</t>
  </si>
  <si>
    <t>Hall County</t>
  </si>
  <si>
    <t>13147</t>
  </si>
  <si>
    <t>Hart County</t>
  </si>
  <si>
    <t>13187</t>
  </si>
  <si>
    <t>Lumpkin County</t>
  </si>
  <si>
    <t>13241</t>
  </si>
  <si>
    <t>Rabun County</t>
  </si>
  <si>
    <t>13257</t>
  </si>
  <si>
    <t>Stephens County</t>
  </si>
  <si>
    <t>13281</t>
  </si>
  <si>
    <t>Towns County</t>
  </si>
  <si>
    <t>13291</t>
  </si>
  <si>
    <t>13311</t>
  </si>
  <si>
    <t>13003</t>
  </si>
  <si>
    <t>GA11</t>
  </si>
  <si>
    <t>Atkinson County</t>
  </si>
  <si>
    <t>13069</t>
  </si>
  <si>
    <t>13161</t>
  </si>
  <si>
    <t>Jeff Davis County</t>
  </si>
  <si>
    <t>13167</t>
  </si>
  <si>
    <t>13175</t>
  </si>
  <si>
    <t>Laurens County</t>
  </si>
  <si>
    <t>13209</t>
  </si>
  <si>
    <t>13271</t>
  </si>
  <si>
    <t>Telfair County</t>
  </si>
  <si>
    <t>13279</t>
  </si>
  <si>
    <t>Toombs County</t>
  </si>
  <si>
    <t>13283</t>
  </si>
  <si>
    <t>Treutlen County</t>
  </si>
  <si>
    <t>13309</t>
  </si>
  <si>
    <t>Wheeler County</t>
  </si>
  <si>
    <t>13021</t>
  </si>
  <si>
    <t>GA12</t>
  </si>
  <si>
    <t>13023</t>
  </si>
  <si>
    <t>Bleckley County</t>
  </si>
  <si>
    <t>13079</t>
  </si>
  <si>
    <t>13091</t>
  </si>
  <si>
    <t>Dodge County</t>
  </si>
  <si>
    <t>13093</t>
  </si>
  <si>
    <t>Dooly County</t>
  </si>
  <si>
    <t>13153</t>
  </si>
  <si>
    <t>13169</t>
  </si>
  <si>
    <t>Jones County</t>
  </si>
  <si>
    <t>13207</t>
  </si>
  <si>
    <t>13225</t>
  </si>
  <si>
    <t>Peach County</t>
  </si>
  <si>
    <t>13235</t>
  </si>
  <si>
    <t>13237</t>
  </si>
  <si>
    <t>13289</t>
  </si>
  <si>
    <t>Twiggs County</t>
  </si>
  <si>
    <t>13315</t>
  </si>
  <si>
    <t>13055</t>
  </si>
  <si>
    <t>GA13</t>
  </si>
  <si>
    <t>Chattooga County</t>
  </si>
  <si>
    <t>13115</t>
  </si>
  <si>
    <t>Floyd County</t>
  </si>
  <si>
    <t>13123</t>
  </si>
  <si>
    <t>Gilmer County</t>
  </si>
  <si>
    <t>13129</t>
  </si>
  <si>
    <t>Gordon County</t>
  </si>
  <si>
    <t>13227</t>
  </si>
  <si>
    <t>13233</t>
  </si>
  <si>
    <t>13001</t>
  </si>
  <si>
    <t>GA14</t>
  </si>
  <si>
    <t>Appling County</t>
  </si>
  <si>
    <t>13029</t>
  </si>
  <si>
    <t>Bryan County</t>
  </si>
  <si>
    <t>13031</t>
  </si>
  <si>
    <t>Bulloch County</t>
  </si>
  <si>
    <t>13043</t>
  </si>
  <si>
    <t>Candler County</t>
  </si>
  <si>
    <t>13051</t>
  </si>
  <si>
    <t>Chatham County</t>
  </si>
  <si>
    <t>13103</t>
  </si>
  <si>
    <t>Effingham County</t>
  </si>
  <si>
    <t>13109</t>
  </si>
  <si>
    <t>Evans County</t>
  </si>
  <si>
    <t>13179</t>
  </si>
  <si>
    <t>13183</t>
  </si>
  <si>
    <t>Long County</t>
  </si>
  <si>
    <t>13251</t>
  </si>
  <si>
    <t>Screven County</t>
  </si>
  <si>
    <t>13267</t>
  </si>
  <si>
    <t>Tattnall County</t>
  </si>
  <si>
    <t>13017</t>
  </si>
  <si>
    <t>GA15</t>
  </si>
  <si>
    <t>Ben Hill County</t>
  </si>
  <si>
    <t>13019</t>
  </si>
  <si>
    <t>Berrien County</t>
  </si>
  <si>
    <t>13027</t>
  </si>
  <si>
    <t>Brooks County</t>
  </si>
  <si>
    <t>13065</t>
  </si>
  <si>
    <t>Clinch County</t>
  </si>
  <si>
    <t>13071</t>
  </si>
  <si>
    <t>Colquitt County</t>
  </si>
  <si>
    <t>13075</t>
  </si>
  <si>
    <t>Cook County</t>
  </si>
  <si>
    <t>13087</t>
  </si>
  <si>
    <t>Decatur County</t>
  </si>
  <si>
    <t>13099</t>
  </si>
  <si>
    <t>Early County</t>
  </si>
  <si>
    <t>13101</t>
  </si>
  <si>
    <t>Echols County</t>
  </si>
  <si>
    <t>13131</t>
  </si>
  <si>
    <t>Grady County</t>
  </si>
  <si>
    <t>13155</t>
  </si>
  <si>
    <t>Irwin County</t>
  </si>
  <si>
    <t>13173</t>
  </si>
  <si>
    <t>Lanier County</t>
  </si>
  <si>
    <t>13185</t>
  </si>
  <si>
    <t>13201</t>
  </si>
  <si>
    <t>13253</t>
  </si>
  <si>
    <t>13275</t>
  </si>
  <si>
    <t>Thomas County</t>
  </si>
  <si>
    <t>13277</t>
  </si>
  <si>
    <t>Tift County</t>
  </si>
  <si>
    <t>13287</t>
  </si>
  <si>
    <t>Turner County</t>
  </si>
  <si>
    <t>13009</t>
  </si>
  <si>
    <t>GA16</t>
  </si>
  <si>
    <t>13141</t>
  </si>
  <si>
    <t>Hancock County</t>
  </si>
  <si>
    <t>13303</t>
  </si>
  <si>
    <t>13319</t>
  </si>
  <si>
    <t>Wilkinson County</t>
  </si>
  <si>
    <t>22051</t>
  </si>
  <si>
    <t>Louisiana</t>
  </si>
  <si>
    <t>LA</t>
  </si>
  <si>
    <t>LA01</t>
  </si>
  <si>
    <t>Jefferson Parish</t>
  </si>
  <si>
    <t>22071</t>
  </si>
  <si>
    <t>Orleans Parish</t>
  </si>
  <si>
    <t>22075</t>
  </si>
  <si>
    <t>Plaquemines Parish</t>
  </si>
  <si>
    <t>22087</t>
  </si>
  <si>
    <t>St. Bernard Parish</t>
  </si>
  <si>
    <t>22089</t>
  </si>
  <si>
    <t>St. Charles Parish</t>
  </si>
  <si>
    <t>22093</t>
  </si>
  <si>
    <t>St. James Parish</t>
  </si>
  <si>
    <t>22095</t>
  </si>
  <si>
    <t>St. John the Baptist Parish</t>
  </si>
  <si>
    <t>22103</t>
  </si>
  <si>
    <t>St. Tammany Parish</t>
  </si>
  <si>
    <t>22007</t>
  </si>
  <si>
    <t>LA02</t>
  </si>
  <si>
    <t>Assumption Parish</t>
  </si>
  <si>
    <t>22057</t>
  </si>
  <si>
    <t>Lafourche Parish</t>
  </si>
  <si>
    <t>22109</t>
  </si>
  <si>
    <t>Terrebonne Parish</t>
  </si>
  <si>
    <t>22001</t>
  </si>
  <si>
    <t>LA03</t>
  </si>
  <si>
    <t>Acadia Parish</t>
  </si>
  <si>
    <t>22039</t>
  </si>
  <si>
    <t>Evangeline Parish</t>
  </si>
  <si>
    <t>22045</t>
  </si>
  <si>
    <t>Iberia Parish</t>
  </si>
  <si>
    <t>22055</t>
  </si>
  <si>
    <t>Lafayette Parish</t>
  </si>
  <si>
    <t>22097</t>
  </si>
  <si>
    <t>St. Landry Parish</t>
  </si>
  <si>
    <t>22099</t>
  </si>
  <si>
    <t>St. Martin Parish</t>
  </si>
  <si>
    <t>22101</t>
  </si>
  <si>
    <t>St. Mary Parish</t>
  </si>
  <si>
    <t>22113</t>
  </si>
  <si>
    <t>Vermilion Parish</t>
  </si>
  <si>
    <t>22003</t>
  </si>
  <si>
    <t>LA04</t>
  </si>
  <si>
    <t>Allen Parish</t>
  </si>
  <si>
    <t>22011</t>
  </si>
  <si>
    <t>Beauregard Parish</t>
  </si>
  <si>
    <t>22019</t>
  </si>
  <si>
    <t>Calcasieu Parish</t>
  </si>
  <si>
    <t>22023</t>
  </si>
  <si>
    <t>Cameron Parish</t>
  </si>
  <si>
    <t>22053</t>
  </si>
  <si>
    <t>Jefferson Davis Parish</t>
  </si>
  <si>
    <t>22005</t>
  </si>
  <si>
    <t>LA05</t>
  </si>
  <si>
    <t>Ascension Parish</t>
  </si>
  <si>
    <t>22033</t>
  </si>
  <si>
    <t>East Baton Rouge Parish</t>
  </si>
  <si>
    <t>22037</t>
  </si>
  <si>
    <t>East Feliciana Parish</t>
  </si>
  <si>
    <t>22047</t>
  </si>
  <si>
    <t>Iberville Parish</t>
  </si>
  <si>
    <t>22063</t>
  </si>
  <si>
    <t>Livingston Parish</t>
  </si>
  <si>
    <t>22077</t>
  </si>
  <si>
    <t>Pointe Coupee Parish</t>
  </si>
  <si>
    <t>22091</t>
  </si>
  <si>
    <t>St. Helena Parish</t>
  </si>
  <si>
    <t>22105</t>
  </si>
  <si>
    <t>Tangipahoa Parish</t>
  </si>
  <si>
    <t>22117</t>
  </si>
  <si>
    <t>Washington Parish</t>
  </si>
  <si>
    <t>22121</t>
  </si>
  <si>
    <t>West Baton Rouge Parish</t>
  </si>
  <si>
    <t>22125</t>
  </si>
  <si>
    <t>West Feliciana Parish</t>
  </si>
  <si>
    <t>22009</t>
  </si>
  <si>
    <t>LA06</t>
  </si>
  <si>
    <t>Avoyelles Parish</t>
  </si>
  <si>
    <t>22025</t>
  </si>
  <si>
    <t>Catahoula Parish</t>
  </si>
  <si>
    <t>22029</t>
  </si>
  <si>
    <t>Concordia Parish</t>
  </si>
  <si>
    <t>22043</t>
  </si>
  <si>
    <t>Grant Parish</t>
  </si>
  <si>
    <t>*</t>
  </si>
  <si>
    <t>22059</t>
  </si>
  <si>
    <t>LaSalle Parish</t>
  </si>
  <si>
    <t>22079</t>
  </si>
  <si>
    <t>Rapides Parish</t>
  </si>
  <si>
    <t>22115</t>
  </si>
  <si>
    <t>Vernon Parish</t>
  </si>
  <si>
    <t>22127</t>
  </si>
  <si>
    <t>Winn Parish</t>
  </si>
  <si>
    <t>22021</t>
  </si>
  <si>
    <t>LA07</t>
  </si>
  <si>
    <t>Caldwell Parish</t>
  </si>
  <si>
    <t>22035</t>
  </si>
  <si>
    <t>East Carroll Parish</t>
  </si>
  <si>
    <t>22041</t>
  </si>
  <si>
    <t>Franklin Parish</t>
  </si>
  <si>
    <t>22049</t>
  </si>
  <si>
    <t>Jackson Parish</t>
  </si>
  <si>
    <t>22061</t>
  </si>
  <si>
    <t>Lincoln Parish</t>
  </si>
  <si>
    <t>22065</t>
  </si>
  <si>
    <t>Madison Parish</t>
  </si>
  <si>
    <t>22067</t>
  </si>
  <si>
    <t>Morehouse Parish</t>
  </si>
  <si>
    <t>22073</t>
  </si>
  <si>
    <t>Ouachita Parish</t>
  </si>
  <si>
    <t>22083</t>
  </si>
  <si>
    <t>Richland Parish</t>
  </si>
  <si>
    <t>22107</t>
  </si>
  <si>
    <t>Tensas Parish</t>
  </si>
  <si>
    <t>22111</t>
  </si>
  <si>
    <t>Union Parish</t>
  </si>
  <si>
    <t>22123</t>
  </si>
  <si>
    <t>West Carroll Parish</t>
  </si>
  <si>
    <t>22013</t>
  </si>
  <si>
    <t>LA08</t>
  </si>
  <si>
    <t>Bienville Parish</t>
  </si>
  <si>
    <t>22015</t>
  </si>
  <si>
    <t>Bossier Parish</t>
  </si>
  <si>
    <t>22017</t>
  </si>
  <si>
    <t>Caddo Parish</t>
  </si>
  <si>
    <t>22027</t>
  </si>
  <si>
    <t>Claiborne Parish</t>
  </si>
  <si>
    <t>22031</t>
  </si>
  <si>
    <t>De Soto Parish</t>
  </si>
  <si>
    <t>22069</t>
  </si>
  <si>
    <t>Natchitoches Parish</t>
  </si>
  <si>
    <t>22081</t>
  </si>
  <si>
    <t>Red River Parish</t>
  </si>
  <si>
    <t>22085</t>
  </si>
  <si>
    <t>Sabine Parish</t>
  </si>
  <si>
    <t>22119</t>
  </si>
  <si>
    <t>Webster Parish</t>
  </si>
  <si>
    <t>28033</t>
  </si>
  <si>
    <t>Mississippi</t>
  </si>
  <si>
    <t>MS</t>
  </si>
  <si>
    <t>MS01</t>
  </si>
  <si>
    <t>DeSoto County</t>
  </si>
  <si>
    <t>28093</t>
  </si>
  <si>
    <t>28137</t>
  </si>
  <si>
    <t>Tate County</t>
  </si>
  <si>
    <t>28143</t>
  </si>
  <si>
    <t>Tunica County</t>
  </si>
  <si>
    <t>28009</t>
  </si>
  <si>
    <t>MS02</t>
  </si>
  <si>
    <t>28057</t>
  </si>
  <si>
    <t>Itawamba County</t>
  </si>
  <si>
    <t>28081</t>
  </si>
  <si>
    <t>28115</t>
  </si>
  <si>
    <t>Pontotoc County</t>
  </si>
  <si>
    <t>28139</t>
  </si>
  <si>
    <t>Tippah County</t>
  </si>
  <si>
    <t>28145</t>
  </si>
  <si>
    <t>28029</t>
  </si>
  <si>
    <t>MS03</t>
  </si>
  <si>
    <t>Copiah County</t>
  </si>
  <si>
    <t>28049</t>
  </si>
  <si>
    <t>Hinds County</t>
  </si>
  <si>
    <t>28089</t>
  </si>
  <si>
    <t>28121</t>
  </si>
  <si>
    <t>Rankin County</t>
  </si>
  <si>
    <t>28127</t>
  </si>
  <si>
    <t>Simpson County</t>
  </si>
  <si>
    <t>28149</t>
  </si>
  <si>
    <t>28035</t>
  </si>
  <si>
    <t>MS04</t>
  </si>
  <si>
    <t>Forrest County</t>
  </si>
  <si>
    <t>28041</t>
  </si>
  <si>
    <t>28067</t>
  </si>
  <si>
    <t>28073</t>
  </si>
  <si>
    <t>28109</t>
  </si>
  <si>
    <t>Pearl River County</t>
  </si>
  <si>
    <t>28111</t>
  </si>
  <si>
    <t>28039</t>
  </si>
  <si>
    <t>MS05</t>
  </si>
  <si>
    <t>George County</t>
  </si>
  <si>
    <t>28045</t>
  </si>
  <si>
    <t>28047</t>
  </si>
  <si>
    <t>Harrison County</t>
  </si>
  <si>
    <t>28059</t>
  </si>
  <si>
    <t>28131</t>
  </si>
  <si>
    <t>28001</t>
  </si>
  <si>
    <t>MS06</t>
  </si>
  <si>
    <t>Adams County</t>
  </si>
  <si>
    <t>28003</t>
  </si>
  <si>
    <t>Alcorn County</t>
  </si>
  <si>
    <t>28005</t>
  </si>
  <si>
    <t>Amite County</t>
  </si>
  <si>
    <t>28007</t>
  </si>
  <si>
    <t>Attala County</t>
  </si>
  <si>
    <t>28011</t>
  </si>
  <si>
    <t>Bolivar County</t>
  </si>
  <si>
    <t>28013</t>
  </si>
  <si>
    <t>28015</t>
  </si>
  <si>
    <t>28017</t>
  </si>
  <si>
    <t>Chickasaw County</t>
  </si>
  <si>
    <t>28019</t>
  </si>
  <si>
    <t>28021</t>
  </si>
  <si>
    <t>Claiborne County</t>
  </si>
  <si>
    <t>28023</t>
  </si>
  <si>
    <t>28025</t>
  </si>
  <si>
    <t>28027</t>
  </si>
  <si>
    <t>Coahoma County</t>
  </si>
  <si>
    <t>28031</t>
  </si>
  <si>
    <t>28037</t>
  </si>
  <si>
    <t>28043</t>
  </si>
  <si>
    <t>Grenada County</t>
  </si>
  <si>
    <t>28051</t>
  </si>
  <si>
    <t>28053</t>
  </si>
  <si>
    <t>Humphreys County</t>
  </si>
  <si>
    <t>28055</t>
  </si>
  <si>
    <t>Issaquena County</t>
  </si>
  <si>
    <t>28061</t>
  </si>
  <si>
    <t>28063</t>
  </si>
  <si>
    <t>28065</t>
  </si>
  <si>
    <t>Jefferson Davis County</t>
  </si>
  <si>
    <t>28069</t>
  </si>
  <si>
    <t>Kemper County</t>
  </si>
  <si>
    <t>28071</t>
  </si>
  <si>
    <t>28075</t>
  </si>
  <si>
    <t>28077</t>
  </si>
  <si>
    <t>28079</t>
  </si>
  <si>
    <t>Leake County</t>
  </si>
  <si>
    <t>28083</t>
  </si>
  <si>
    <t>Leflore County</t>
  </si>
  <si>
    <t>28085</t>
  </si>
  <si>
    <t>28087</t>
  </si>
  <si>
    <t>28091</t>
  </si>
  <si>
    <t>28095</t>
  </si>
  <si>
    <t>28097</t>
  </si>
  <si>
    <t>28099</t>
  </si>
  <si>
    <t>Neshoba County</t>
  </si>
  <si>
    <t>28101</t>
  </si>
  <si>
    <t>28103</t>
  </si>
  <si>
    <t>Noxubee County</t>
  </si>
  <si>
    <t>28105</t>
  </si>
  <si>
    <t>Oktibbeha County</t>
  </si>
  <si>
    <t>28107</t>
  </si>
  <si>
    <t>Panola County</t>
  </si>
  <si>
    <t>28113</t>
  </si>
  <si>
    <t>28117</t>
  </si>
  <si>
    <t>Prentiss County</t>
  </si>
  <si>
    <t>28119</t>
  </si>
  <si>
    <t>28123</t>
  </si>
  <si>
    <t>28125</t>
  </si>
  <si>
    <t>Sharkey County</t>
  </si>
  <si>
    <t>28129</t>
  </si>
  <si>
    <t>Smith County</t>
  </si>
  <si>
    <t>28133</t>
  </si>
  <si>
    <t>Sunflower County</t>
  </si>
  <si>
    <t>28135</t>
  </si>
  <si>
    <t>Tallahatchie County</t>
  </si>
  <si>
    <t>28141</t>
  </si>
  <si>
    <t>Tishomingo County</t>
  </si>
  <si>
    <t>28147</t>
  </si>
  <si>
    <t>Walthall County</t>
  </si>
  <si>
    <t>28151</t>
  </si>
  <si>
    <t>28153</t>
  </si>
  <si>
    <t>28155</t>
  </si>
  <si>
    <t>28157</t>
  </si>
  <si>
    <t>28159</t>
  </si>
  <si>
    <t>28161</t>
  </si>
  <si>
    <t>Yalobusha County</t>
  </si>
  <si>
    <t>28163</t>
  </si>
  <si>
    <t>Yazoo County</t>
  </si>
  <si>
    <t>29001</t>
  </si>
  <si>
    <t>Missouri</t>
  </si>
  <si>
    <t>MO</t>
  </si>
  <si>
    <t>MO02</t>
  </si>
  <si>
    <t>29003</t>
  </si>
  <si>
    <t>MO01</t>
  </si>
  <si>
    <t>29005</t>
  </si>
  <si>
    <t>29007</t>
  </si>
  <si>
    <t>MO05</t>
  </si>
  <si>
    <t>29009</t>
  </si>
  <si>
    <t>8</t>
  </si>
  <si>
    <t>MO08</t>
  </si>
  <si>
    <t>29011</t>
  </si>
  <si>
    <t>MO07</t>
  </si>
  <si>
    <t>29013</t>
  </si>
  <si>
    <t>MO04</t>
  </si>
  <si>
    <t>29015</t>
  </si>
  <si>
    <t>29017</t>
  </si>
  <si>
    <t>10</t>
  </si>
  <si>
    <t>MO10</t>
  </si>
  <si>
    <t>29019</t>
  </si>
  <si>
    <t>29021</t>
  </si>
  <si>
    <t>29023</t>
  </si>
  <si>
    <t>29025</t>
  </si>
  <si>
    <t>29027</t>
  </si>
  <si>
    <t>29029</t>
  </si>
  <si>
    <t>29031</t>
  </si>
  <si>
    <t>29033</t>
  </si>
  <si>
    <t>29035</t>
  </si>
  <si>
    <t>9</t>
  </si>
  <si>
    <t>MO09</t>
  </si>
  <si>
    <t>29037</t>
  </si>
  <si>
    <t>MO03</t>
  </si>
  <si>
    <t>29039</t>
  </si>
  <si>
    <t>29041</t>
  </si>
  <si>
    <t>29043</t>
  </si>
  <si>
    <t>29045</t>
  </si>
  <si>
    <t>29047</t>
  </si>
  <si>
    <t>29049</t>
  </si>
  <si>
    <t>29051</t>
  </si>
  <si>
    <t>29053</t>
  </si>
  <si>
    <t>29055</t>
  </si>
  <si>
    <t>29057</t>
  </si>
  <si>
    <t>29059</t>
  </si>
  <si>
    <t>29061</t>
  </si>
  <si>
    <t>29063</t>
  </si>
  <si>
    <t>29065</t>
  </si>
  <si>
    <t>29067</t>
  </si>
  <si>
    <t>29069</t>
  </si>
  <si>
    <t>29071</t>
  </si>
  <si>
    <t>MO06</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</si>
  <si>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</si>
  <si>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</si>
  <si>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</si>
  <si>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</si>
  <si>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</si>
  <si>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</si>
  <si>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</si>
  <si>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</si>
  <si>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</si>
  <si>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</si>
  <si>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</si>
  <si>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</si>
  <si>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</si>
  <si>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</si>
  <si>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</si>
  <si>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</si>
  <si>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</si>
  <si>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</si>
  <si>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</si>
  <si>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</si>
  <si>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</si>
  <si>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</si>
  <si>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</si>
  <si>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</si>
  <si>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</si>
  <si>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</si>
  <si>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</si>
  <si>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</si>
  <si>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</si>
  <si>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</si>
  <si>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</si>
  <si>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</si>
  <si>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</si>
  <si>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</si>
  <si>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</si>
  <si>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</si>
  <si>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</si>
  <si>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</si>
  <si>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</si>
  <si>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Oregon</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</si>
  <si>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</si>
  <si>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</si>
  <si>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</si>
  <si>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</si>
  <si>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</si>
  <si>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</si>
  <si>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</si>
  <si>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</si>
  <si>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</si>
  <si>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</si>
  <si>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</si>
  <si>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</si>
  <si>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</si>
  <si>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</si>
  <si>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</si>
  <si>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</si>
  <si>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</si>
  <si>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</si>
  <si>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</si>
  <si>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</si>
  <si>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</si>
  <si>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</si>
  <si>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</si>
  <si>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</si>
  <si>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</si>
  <si>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</si>
  <si>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</si>
  <si>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</si>
  <si>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</si>
  <si>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</si>
  <si>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</si>
  <si>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</si>
  <si>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Texas</t>
  </si>
  <si>
    <t>29217</t>
  </si>
  <si>
    <t>29219</t>
  </si>
  <si>
    <t>29221</t>
  </si>
  <si>
    <t>29223</t>
  </si>
  <si>
    <t>29225</t>
  </si>
  <si>
    <t>29227</t>
  </si>
  <si>
    <t>29229</t>
  </si>
  <si>
    <t>29510</t>
  </si>
  <si>
    <t>St. Louis City</t>
  </si>
  <si>
    <t>37011</t>
  </si>
  <si>
    <t>North Carolina</t>
  </si>
  <si>
    <t>NC</t>
  </si>
  <si>
    <t>NC01</t>
  </si>
  <si>
    <t>Avery County</t>
  </si>
  <si>
    <t>37021</t>
  </si>
  <si>
    <t>Buncombe County</t>
  </si>
  <si>
    <t>37039</t>
  </si>
  <si>
    <t>37043</t>
  </si>
  <si>
    <t>37075</t>
  </si>
  <si>
    <t>Graham County</t>
  </si>
  <si>
    <t>37087</t>
  </si>
  <si>
    <t>Haywood County</t>
  </si>
  <si>
    <t>37089</t>
  </si>
  <si>
    <t>Henderson County</t>
  </si>
  <si>
    <t>37099</t>
  </si>
  <si>
    <t>37113</t>
  </si>
  <si>
    <t>37115</t>
  </si>
  <si>
    <t>37111</t>
  </si>
  <si>
    <t>McDowell County</t>
  </si>
  <si>
    <t>37121</t>
  </si>
  <si>
    <t>37149</t>
  </si>
  <si>
    <t>37161</t>
  </si>
  <si>
    <t>Rutherford County</t>
  </si>
  <si>
    <t>37173</t>
  </si>
  <si>
    <t>Swain County</t>
  </si>
  <si>
    <t>37175</t>
  </si>
  <si>
    <t>Transylvania County</t>
  </si>
  <si>
    <t>37199</t>
  </si>
  <si>
    <t>Yancey County</t>
  </si>
  <si>
    <t>37003</t>
  </si>
  <si>
    <t>NC02</t>
  </si>
  <si>
    <t>Alexander County</t>
  </si>
  <si>
    <t>37023</t>
  </si>
  <si>
    <t>37027</t>
  </si>
  <si>
    <t>Caldwell County</t>
  </si>
  <si>
    <t>37035</t>
  </si>
  <si>
    <t>Catawba County</t>
  </si>
  <si>
    <t>37097</t>
  </si>
  <si>
    <t>Iredell County</t>
  </si>
  <si>
    <t>37005</t>
  </si>
  <si>
    <t>NC03</t>
  </si>
  <si>
    <t>Alleghany County</t>
  </si>
  <si>
    <t>37009</t>
  </si>
  <si>
    <t>Ashe County</t>
  </si>
  <si>
    <t>37189</t>
  </si>
  <si>
    <t>Watauga County</t>
  </si>
  <si>
    <t>37193</t>
  </si>
  <si>
    <t>37007</t>
  </si>
  <si>
    <t>NC04</t>
  </si>
  <si>
    <t>Anson County</t>
  </si>
  <si>
    <t>37025</t>
  </si>
  <si>
    <t>Cabarrus County</t>
  </si>
  <si>
    <t>37119</t>
  </si>
  <si>
    <t>Mecklenburg County</t>
  </si>
  <si>
    <t>37159</t>
  </si>
  <si>
    <t>Rowan County</t>
  </si>
  <si>
    <t>37167</t>
  </si>
  <si>
    <t>Stanly County</t>
  </si>
  <si>
    <t>37179</t>
  </si>
  <si>
    <t>37045</t>
  </si>
  <si>
    <t>NC05</t>
  </si>
  <si>
    <t>37071</t>
  </si>
  <si>
    <t>Gaston County</t>
  </si>
  <si>
    <t>37109</t>
  </si>
  <si>
    <t>37057</t>
  </si>
  <si>
    <t>NC06</t>
  </si>
  <si>
    <t>Davidson County</t>
  </si>
  <si>
    <t>37059</t>
  </si>
  <si>
    <t>Davie County</t>
  </si>
  <si>
    <t>37067</t>
  </si>
  <si>
    <t>37169</t>
  </si>
  <si>
    <t>Stokes County</t>
  </si>
  <si>
    <t>37171</t>
  </si>
  <si>
    <t>Surry County</t>
  </si>
  <si>
    <t>37197</t>
  </si>
  <si>
    <t>Yadkin County</t>
  </si>
  <si>
    <t>37081</t>
  </si>
  <si>
    <t>NC07</t>
  </si>
  <si>
    <t>Guilford County</t>
  </si>
  <si>
    <t>37151</t>
  </si>
  <si>
    <t>37157</t>
  </si>
  <si>
    <t>Rockingham County</t>
  </si>
  <si>
    <t>37123</t>
  </si>
  <si>
    <t>NC08</t>
  </si>
  <si>
    <t>37125</t>
  </si>
  <si>
    <t>Moore County</t>
  </si>
  <si>
    <t>37017</t>
  </si>
  <si>
    <t>NC09</t>
  </si>
  <si>
    <t>Bladen County</t>
  </si>
  <si>
    <t>37051</t>
  </si>
  <si>
    <t>Cumberland County</t>
  </si>
  <si>
    <t>37085</t>
  </si>
  <si>
    <t>Harnett County</t>
  </si>
  <si>
    <t>37093</t>
  </si>
  <si>
    <t>Hoke County</t>
  </si>
  <si>
    <t>37153</t>
  </si>
  <si>
    <t>37155</t>
  </si>
  <si>
    <t>Robeson County</t>
  </si>
  <si>
    <t>37163</t>
  </si>
  <si>
    <t>Sampson County</t>
  </si>
  <si>
    <t>37165</t>
  </si>
  <si>
    <t>Scotland County</t>
  </si>
  <si>
    <t>37077</t>
  </si>
  <si>
    <t>NC10</t>
  </si>
  <si>
    <t>Granville County</t>
  </si>
  <si>
    <t>37181</t>
  </si>
  <si>
    <t>Vance County</t>
  </si>
  <si>
    <t>37185</t>
  </si>
  <si>
    <t>37001</t>
  </si>
  <si>
    <t>NC11</t>
  </si>
  <si>
    <t>Alamance County</t>
  </si>
  <si>
    <t>37033</t>
  </si>
  <si>
    <t>Caswell County</t>
  </si>
  <si>
    <t>37037</t>
  </si>
  <si>
    <t>37063</t>
  </si>
  <si>
    <t>Durham County</t>
  </si>
  <si>
    <t>37105</t>
  </si>
  <si>
    <t>37135</t>
  </si>
  <si>
    <t>37145</t>
  </si>
  <si>
    <t>Person County</t>
  </si>
  <si>
    <t>37015</t>
  </si>
  <si>
    <t>NC12</t>
  </si>
  <si>
    <t>Bertie County</t>
  </si>
  <si>
    <t>37029</t>
  </si>
  <si>
    <t>37041</t>
  </si>
  <si>
    <t>Chowan County</t>
  </si>
  <si>
    <t>37053</t>
  </si>
  <si>
    <t>Currituck County</t>
  </si>
  <si>
    <t>37073</t>
  </si>
  <si>
    <t>Gates County</t>
  </si>
  <si>
    <t>37083</t>
  </si>
  <si>
    <t>Halifax County</t>
  </si>
  <si>
    <t>37091</t>
  </si>
  <si>
    <t>Hertford County</t>
  </si>
  <si>
    <t>37117</t>
  </si>
  <si>
    <t>37131</t>
  </si>
  <si>
    <t>Northampton County</t>
  </si>
  <si>
    <t>37139</t>
  </si>
  <si>
    <t>Pasquotank County</t>
  </si>
  <si>
    <t>37143</t>
  </si>
  <si>
    <t>Perquimans County</t>
  </si>
  <si>
    <t>37069</t>
  </si>
  <si>
    <t>NC13</t>
  </si>
  <si>
    <t>37101</t>
  </si>
  <si>
    <t>Johnston County</t>
  </si>
  <si>
    <t>37183</t>
  </si>
  <si>
    <t>Wake County</t>
  </si>
  <si>
    <t>37065</t>
  </si>
  <si>
    <t>NC14</t>
  </si>
  <si>
    <t>Edgecombe County</t>
  </si>
  <si>
    <t>37079</t>
  </si>
  <si>
    <t>37127</t>
  </si>
  <si>
    <t>Nash County</t>
  </si>
  <si>
    <t>37147</t>
  </si>
  <si>
    <t>Pitt County</t>
  </si>
  <si>
    <t>37191</t>
  </si>
  <si>
    <t>37195</t>
  </si>
  <si>
    <t>Wilson County</t>
  </si>
  <si>
    <t>37019</t>
  </si>
  <si>
    <t>NC15</t>
  </si>
  <si>
    <t>Brunswick County</t>
  </si>
  <si>
    <t>37047</t>
  </si>
  <si>
    <t>Columbus County</t>
  </si>
  <si>
    <t>37061</t>
  </si>
  <si>
    <t>Duplin County</t>
  </si>
  <si>
    <t>37129</t>
  </si>
  <si>
    <t>New Hanover County</t>
  </si>
  <si>
    <t>37133</t>
  </si>
  <si>
    <t>Onslow County</t>
  </si>
  <si>
    <t>37141</t>
  </si>
  <si>
    <t>Pender County</t>
  </si>
  <si>
    <t>37013</t>
  </si>
  <si>
    <t>NC16</t>
  </si>
  <si>
    <t>Beaufort County</t>
  </si>
  <si>
    <t>37031</t>
  </si>
  <si>
    <t>Carteret County</t>
  </si>
  <si>
    <t>37049</t>
  </si>
  <si>
    <t>Craven County</t>
  </si>
  <si>
    <t>37055</t>
  </si>
  <si>
    <t>Dare County</t>
  </si>
  <si>
    <t>37095</t>
  </si>
  <si>
    <t>Hyde County</t>
  </si>
  <si>
    <t>37103</t>
  </si>
  <si>
    <t>37107</t>
  </si>
  <si>
    <t>Lenoir County</t>
  </si>
  <si>
    <t>37137</t>
  </si>
  <si>
    <t>Pamlico County</t>
  </si>
  <si>
    <t>37177</t>
  </si>
  <si>
    <t>Tyrrell County</t>
  </si>
  <si>
    <t>37187</t>
  </si>
  <si>
    <t>45001</t>
  </si>
  <si>
    <t>South Carolina</t>
  </si>
  <si>
    <t>SC</t>
  </si>
  <si>
    <t>SC01</t>
  </si>
  <si>
    <t>Abbeville County</t>
  </si>
  <si>
    <t>45003</t>
  </si>
  <si>
    <t>SC02</t>
  </si>
  <si>
    <t>Aiken County</t>
  </si>
  <si>
    <t>45005</t>
  </si>
  <si>
    <t>SC03</t>
  </si>
  <si>
    <t>Allendale County</t>
  </si>
  <si>
    <t>45007</t>
  </si>
  <si>
    <t>SC04</t>
  </si>
  <si>
    <t>Anderson County</t>
  </si>
  <si>
    <t>45009</t>
  </si>
  <si>
    <t>SC05</t>
  </si>
  <si>
    <t>Bamberg County</t>
  </si>
  <si>
    <t>45011</t>
  </si>
  <si>
    <t>SC06</t>
  </si>
  <si>
    <t>Barnwell County</t>
  </si>
  <si>
    <t>45013</t>
  </si>
  <si>
    <t>SC07</t>
  </si>
  <si>
    <t>45015</t>
  </si>
  <si>
    <t>SC08</t>
  </si>
  <si>
    <t>Berkeley County</t>
  </si>
  <si>
    <t>45017</t>
  </si>
  <si>
    <t>SC09</t>
  </si>
  <si>
    <t>45019</t>
  </si>
  <si>
    <t>SC10</t>
  </si>
  <si>
    <t>Charleston County</t>
  </si>
  <si>
    <t>45021</t>
  </si>
  <si>
    <t>SC11</t>
  </si>
  <si>
    <t>45023</t>
  </si>
  <si>
    <t>SC12</t>
  </si>
  <si>
    <t>Chester County</t>
  </si>
  <si>
    <t>45025</t>
  </si>
  <si>
    <t>SC13</t>
  </si>
  <si>
    <t>Chesterfield County</t>
  </si>
  <si>
    <t>45027</t>
  </si>
  <si>
    <t>SC14</t>
  </si>
  <si>
    <t>Clarendon County</t>
  </si>
  <si>
    <t>45029</t>
  </si>
  <si>
    <t>SC15</t>
  </si>
  <si>
    <t>Colleton County</t>
  </si>
  <si>
    <t>45031</t>
  </si>
  <si>
    <t>SC16</t>
  </si>
  <si>
    <t>Darlington County</t>
  </si>
  <si>
    <t>45033</t>
  </si>
  <si>
    <t>SC17</t>
  </si>
  <si>
    <t>Dillon County</t>
  </si>
  <si>
    <t>45035</t>
  </si>
  <si>
    <t>SC18</t>
  </si>
  <si>
    <t>Dorchester County</t>
  </si>
  <si>
    <t>45037</t>
  </si>
  <si>
    <t>SC19</t>
  </si>
  <si>
    <t>Edgefield County</t>
  </si>
  <si>
    <t>45039</t>
  </si>
  <si>
    <t>SC20</t>
  </si>
  <si>
    <t>Fairfield County</t>
  </si>
  <si>
    <t>45041</t>
  </si>
  <si>
    <t>SC21</t>
  </si>
  <si>
    <t>Florence County</t>
  </si>
  <si>
    <t>45043</t>
  </si>
  <si>
    <t>SC22</t>
  </si>
  <si>
    <t>Georgetown County</t>
  </si>
  <si>
    <t>45045</t>
  </si>
  <si>
    <t>SC23</t>
  </si>
  <si>
    <t>Greenville County</t>
  </si>
  <si>
    <t>45047</t>
  </si>
  <si>
    <t>SC24</t>
  </si>
  <si>
    <t>Greenwood County</t>
  </si>
  <si>
    <t>45049</t>
  </si>
  <si>
    <t>SC25</t>
  </si>
  <si>
    <t>Hampton County</t>
  </si>
  <si>
    <t>45051</t>
  </si>
  <si>
    <t>SC26</t>
  </si>
  <si>
    <t>Horry County</t>
  </si>
  <si>
    <t>45053</t>
  </si>
  <si>
    <t>SC27</t>
  </si>
  <si>
    <t>45055</t>
  </si>
  <si>
    <t>SC28</t>
  </si>
  <si>
    <t>Kershaw County</t>
  </si>
  <si>
    <t>45057</t>
  </si>
  <si>
    <t>SC29</t>
  </si>
  <si>
    <t>Lancaster County</t>
  </si>
  <si>
    <t>45059</t>
  </si>
  <si>
    <t>SC30</t>
  </si>
  <si>
    <t>45061</t>
  </si>
  <si>
    <t>SC31</t>
  </si>
  <si>
    <t>45063</t>
  </si>
  <si>
    <t>SC32</t>
  </si>
  <si>
    <t>Lexington County</t>
  </si>
  <si>
    <t>45065</t>
  </si>
  <si>
    <t>SC33</t>
  </si>
  <si>
    <t>McCormick County</t>
  </si>
  <si>
    <t>45067</t>
  </si>
  <si>
    <t>SC34</t>
  </si>
  <si>
    <t>45069</t>
  </si>
  <si>
    <t>SC35</t>
  </si>
  <si>
    <t>Marlboro County</t>
  </si>
  <si>
    <t>45071</t>
  </si>
  <si>
    <t>SC36</t>
  </si>
  <si>
    <t>Newberry County</t>
  </si>
  <si>
    <t>45073</t>
  </si>
  <si>
    <t>SC37</t>
  </si>
  <si>
    <t>45075</t>
  </si>
  <si>
    <t>SC38</t>
  </si>
  <si>
    <t>Orangeburg County</t>
  </si>
  <si>
    <t>45077</t>
  </si>
  <si>
    <t>SC39</t>
  </si>
  <si>
    <t>45079</t>
  </si>
  <si>
    <t>SC40</t>
  </si>
  <si>
    <t>Richland County</t>
  </si>
  <si>
    <t>45081</t>
  </si>
  <si>
    <t>SC41</t>
  </si>
  <si>
    <t>Saluda County</t>
  </si>
  <si>
    <t>45083</t>
  </si>
  <si>
    <t>SC42</t>
  </si>
  <si>
    <t>Spartanburg County</t>
  </si>
  <si>
    <t>45085</t>
  </si>
  <si>
    <t>SC43</t>
  </si>
  <si>
    <t>45087</t>
  </si>
  <si>
    <t>SC44</t>
  </si>
  <si>
    <t>45089</t>
  </si>
  <si>
    <t>SC45</t>
  </si>
  <si>
    <t>Williamsburg County</t>
  </si>
  <si>
    <t>45091</t>
  </si>
  <si>
    <t>SC46</t>
  </si>
  <si>
    <t>York County</t>
  </si>
  <si>
    <t>47019</t>
  </si>
  <si>
    <t>Tennessee</t>
  </si>
  <si>
    <t>TN</t>
  </si>
  <si>
    <t>TN01</t>
  </si>
  <si>
    <t>Carter County</t>
  </si>
  <si>
    <t>47059</t>
  </si>
  <si>
    <t>47067</t>
  </si>
  <si>
    <t>47073</t>
  </si>
  <si>
    <t>Hawkins County</t>
  </si>
  <si>
    <t>47091</t>
  </si>
  <si>
    <t>47163</t>
  </si>
  <si>
    <t>Sullivan County</t>
  </si>
  <si>
    <t>47171</t>
  </si>
  <si>
    <t>Unicoi County</t>
  </si>
  <si>
    <t>47179</t>
  </si>
  <si>
    <t>47001</t>
  </si>
  <si>
    <t>TN02</t>
  </si>
  <si>
    <t>47009</t>
  </si>
  <si>
    <t>47013</t>
  </si>
  <si>
    <t>Campbell County</t>
  </si>
  <si>
    <t>47025</t>
  </si>
  <si>
    <t>47029</t>
  </si>
  <si>
    <t>Cocke County</t>
  </si>
  <si>
    <t>47057</t>
  </si>
  <si>
    <t>Grainger County</t>
  </si>
  <si>
    <t>47063</t>
  </si>
  <si>
    <t>Hamblen County</t>
  </si>
  <si>
    <t>47089</t>
  </si>
  <si>
    <t>47093</t>
  </si>
  <si>
    <t>Knox County</t>
  </si>
  <si>
    <t>47105</t>
  </si>
  <si>
    <t>Loudon County</t>
  </si>
  <si>
    <t>47123</t>
  </si>
  <si>
    <t>47129</t>
  </si>
  <si>
    <t>47145</t>
  </si>
  <si>
    <t>Roane County</t>
  </si>
  <si>
    <t>47151</t>
  </si>
  <si>
    <t>47155</t>
  </si>
  <si>
    <t>47173</t>
  </si>
  <si>
    <t>47007</t>
  </si>
  <si>
    <t>TN03</t>
  </si>
  <si>
    <t>Bledsoe County</t>
  </si>
  <si>
    <t>47011</t>
  </si>
  <si>
    <t>47051</t>
  </si>
  <si>
    <t>47061</t>
  </si>
  <si>
    <t>Grundy County</t>
  </si>
  <si>
    <t>47065</t>
  </si>
  <si>
    <t>47115</t>
  </si>
  <si>
    <t>47107</t>
  </si>
  <si>
    <t>McMinn County</t>
  </si>
  <si>
    <t>47121</t>
  </si>
  <si>
    <t>Meigs County</t>
  </si>
  <si>
    <t>47139</t>
  </si>
  <si>
    <t>47143</t>
  </si>
  <si>
    <t>Rhea County</t>
  </si>
  <si>
    <t>47153</t>
  </si>
  <si>
    <t>Sequatchie County</t>
  </si>
  <si>
    <t>47021</t>
  </si>
  <si>
    <t>TN04</t>
  </si>
  <si>
    <t>Cheatham County</t>
  </si>
  <si>
    <t>47037</t>
  </si>
  <si>
    <t>47125</t>
  </si>
  <si>
    <t>47147</t>
  </si>
  <si>
    <t>Robertson County</t>
  </si>
  <si>
    <t>47149</t>
  </si>
  <si>
    <t>47165</t>
  </si>
  <si>
    <t>Sumner County</t>
  </si>
  <si>
    <t>47169</t>
  </si>
  <si>
    <t>Trousdale County</t>
  </si>
  <si>
    <t>47187</t>
  </si>
  <si>
    <t>Williamson County</t>
  </si>
  <si>
    <t>47189</t>
  </si>
  <si>
    <t>47005</t>
  </si>
  <si>
    <t>TN05</t>
  </si>
  <si>
    <t>47017</t>
  </si>
  <si>
    <t>47023</t>
  </si>
  <si>
    <t>47033</t>
  </si>
  <si>
    <t>Crockett County</t>
  </si>
  <si>
    <t>47039</t>
  </si>
  <si>
    <t>47045</t>
  </si>
  <si>
    <t>Dyer County</t>
  </si>
  <si>
    <t>47053</t>
  </si>
  <si>
    <t>Gibson County</t>
  </si>
  <si>
    <t>47069</t>
  </si>
  <si>
    <t>Hardeman County</t>
  </si>
  <si>
    <t>47071</t>
  </si>
  <si>
    <t>Hardin County</t>
  </si>
  <si>
    <t>47077</t>
  </si>
  <si>
    <t>47079</t>
  </si>
  <si>
    <t>47095</t>
  </si>
  <si>
    <t>47113</t>
  </si>
  <si>
    <t>47109</t>
  </si>
  <si>
    <t>McNairy County</t>
  </si>
  <si>
    <t>47131</t>
  </si>
  <si>
    <t>Obion County</t>
  </si>
  <si>
    <t>47183</t>
  </si>
  <si>
    <t>Weakley County</t>
  </si>
  <si>
    <t>47047</t>
  </si>
  <si>
    <t>TN06</t>
  </si>
  <si>
    <t>47075</t>
  </si>
  <si>
    <t>47097</t>
  </si>
  <si>
    <t>47157</t>
  </si>
  <si>
    <t>47167</t>
  </si>
  <si>
    <t>Tipton County</t>
  </si>
  <si>
    <t>47015</t>
  </si>
  <si>
    <t>TN07</t>
  </si>
  <si>
    <t>Cannon County</t>
  </si>
  <si>
    <t>47027</t>
  </si>
  <si>
    <t>47035</t>
  </si>
  <si>
    <t>47041</t>
  </si>
  <si>
    <t>47049</t>
  </si>
  <si>
    <t>Fentress County</t>
  </si>
  <si>
    <t>47087</t>
  </si>
  <si>
    <t>47111</t>
  </si>
  <si>
    <t>47133</t>
  </si>
  <si>
    <t>Overton County</t>
  </si>
  <si>
    <t>47137</t>
  </si>
  <si>
    <t>Pickett County</t>
  </si>
  <si>
    <t>47141</t>
  </si>
  <si>
    <t>47159</t>
  </si>
  <si>
    <t>47175</t>
  </si>
  <si>
    <t>47177</t>
  </si>
  <si>
    <t>47185</t>
  </si>
  <si>
    <t>47003</t>
  </si>
  <si>
    <t>TN08</t>
  </si>
  <si>
    <t>Bedford County</t>
  </si>
  <si>
    <t>47031</t>
  </si>
  <si>
    <t>47043</t>
  </si>
  <si>
    <t>Dickson County</t>
  </si>
  <si>
    <t>47055</t>
  </si>
  <si>
    <t>Giles County</t>
  </si>
  <si>
    <t>47081</t>
  </si>
  <si>
    <t>Hickman County</t>
  </si>
  <si>
    <t>47083</t>
  </si>
  <si>
    <t>47085</t>
  </si>
  <si>
    <t>47099</t>
  </si>
  <si>
    <t>47101</t>
  </si>
  <si>
    <t>Lewis County</t>
  </si>
  <si>
    <t>47103</t>
  </si>
  <si>
    <t>47117</t>
  </si>
  <si>
    <t>47119</t>
  </si>
  <si>
    <t>Maury County</t>
  </si>
  <si>
    <t>47127</t>
  </si>
  <si>
    <t>47135</t>
  </si>
  <si>
    <t>47161</t>
  </si>
  <si>
    <t>47181</t>
  </si>
  <si>
    <t>48049</t>
  </si>
  <si>
    <t>TX</t>
  </si>
  <si>
    <t>TX01</t>
  </si>
  <si>
    <t>Brown County</t>
  </si>
  <si>
    <t>48059</t>
  </si>
  <si>
    <t>Callahan County</t>
  </si>
  <si>
    <t>48083</t>
  </si>
  <si>
    <t>Coleman County</t>
  </si>
  <si>
    <t>48093</t>
  </si>
  <si>
    <t>Comanche County</t>
  </si>
  <si>
    <t>48133</t>
  </si>
  <si>
    <t>Eastland County</t>
  </si>
  <si>
    <t>48151</t>
  </si>
  <si>
    <t>Fisher County</t>
  </si>
  <si>
    <t>48207</t>
  </si>
  <si>
    <t>Haskell County</t>
  </si>
  <si>
    <t>48253</t>
  </si>
  <si>
    <t>48263</t>
  </si>
  <si>
    <t>Kent County</t>
  </si>
  <si>
    <t>48335</t>
  </si>
  <si>
    <t>48353</t>
  </si>
  <si>
    <t>Nolan County</t>
  </si>
  <si>
    <t>48399</t>
  </si>
  <si>
    <t>Runnels County</t>
  </si>
  <si>
    <t>48415</t>
  </si>
  <si>
    <t>Scurry County</t>
  </si>
  <si>
    <t>48417</t>
  </si>
  <si>
    <t>Shackelford County</t>
  </si>
  <si>
    <t>48429</t>
  </si>
  <si>
    <t>48433</t>
  </si>
  <si>
    <t>Stonewall County</t>
  </si>
  <si>
    <t>48441</t>
  </si>
  <si>
    <t>48447</t>
  </si>
  <si>
    <t>Throckmorton County</t>
  </si>
  <si>
    <t>48011</t>
  </si>
  <si>
    <t>TX02</t>
  </si>
  <si>
    <t>Armstrong County</t>
  </si>
  <si>
    <t>48045</t>
  </si>
  <si>
    <t>Briscoe County</t>
  </si>
  <si>
    <t>48065</t>
  </si>
  <si>
    <t>Carson County</t>
  </si>
  <si>
    <t>48069</t>
  </si>
  <si>
    <t>Castro County</t>
  </si>
  <si>
    <t>48075</t>
  </si>
  <si>
    <t>Childress County</t>
  </si>
  <si>
    <t>48087</t>
  </si>
  <si>
    <t>Collingsworth County</t>
  </si>
  <si>
    <t>48111</t>
  </si>
  <si>
    <t>Dallam County</t>
  </si>
  <si>
    <t>48117</t>
  </si>
  <si>
    <t>Deaf Smith County</t>
  </si>
  <si>
    <t>48129</t>
  </si>
  <si>
    <t>Donley County</t>
  </si>
  <si>
    <t>48179</t>
  </si>
  <si>
    <t>Gray County</t>
  </si>
  <si>
    <t>48191</t>
  </si>
  <si>
    <t>48195</t>
  </si>
  <si>
    <t>Hansford County</t>
  </si>
  <si>
    <t>48205</t>
  </si>
  <si>
    <t>Hartley County</t>
  </si>
  <si>
    <t>48211</t>
  </si>
  <si>
    <t>Hemphill County</t>
  </si>
  <si>
    <t>48233</t>
  </si>
  <si>
    <t>Hutchinson County</t>
  </si>
  <si>
    <t>48295</t>
  </si>
  <si>
    <t>Lipscomb County</t>
  </si>
  <si>
    <t>48341</t>
  </si>
  <si>
    <t>48357</t>
  </si>
  <si>
    <t>Ochiltree County</t>
  </si>
  <si>
    <t>48359</t>
  </si>
  <si>
    <t>Oldham County</t>
  </si>
  <si>
    <t>48369</t>
  </si>
  <si>
    <t>Parmer County</t>
  </si>
  <si>
    <t>48375</t>
  </si>
  <si>
    <t>Potter County</t>
  </si>
  <si>
    <t>48381</t>
  </si>
  <si>
    <t>Randall County</t>
  </si>
  <si>
    <t>48393</t>
  </si>
  <si>
    <t>Roberts County</t>
  </si>
  <si>
    <t>48421</t>
  </si>
  <si>
    <t>Sherman County</t>
  </si>
  <si>
    <t>48437</t>
  </si>
  <si>
    <t>Swisher County</t>
  </si>
  <si>
    <t>48483</t>
  </si>
  <si>
    <t>48021</t>
  </si>
  <si>
    <t>TX03</t>
  </si>
  <si>
    <t>Bastrop County</t>
  </si>
  <si>
    <t>48031</t>
  </si>
  <si>
    <t>Blanco County</t>
  </si>
  <si>
    <t>48053</t>
  </si>
  <si>
    <t>Burnet County</t>
  </si>
  <si>
    <t>48055</t>
  </si>
  <si>
    <t>48149</t>
  </si>
  <si>
    <t>48209</t>
  </si>
  <si>
    <t>Hays County</t>
  </si>
  <si>
    <t>48287</t>
  </si>
  <si>
    <t>48299</t>
  </si>
  <si>
    <t>Llano County</t>
  </si>
  <si>
    <t>48453</t>
  </si>
  <si>
    <t>Travis County</t>
  </si>
  <si>
    <t>48491</t>
  </si>
  <si>
    <t>48005</t>
  </si>
  <si>
    <t>TX04</t>
  </si>
  <si>
    <t>Angelina County</t>
  </si>
  <si>
    <t>48199</t>
  </si>
  <si>
    <t>48225</t>
  </si>
  <si>
    <t>48241</t>
  </si>
  <si>
    <t>48245</t>
  </si>
  <si>
    <t>48347</t>
  </si>
  <si>
    <t>Nacogdoches County</t>
  </si>
  <si>
    <t>48351</t>
  </si>
  <si>
    <t>48361</t>
  </si>
  <si>
    <t>48373</t>
  </si>
  <si>
    <t>48403</t>
  </si>
  <si>
    <t>Sabine County</t>
  </si>
  <si>
    <t>48405</t>
  </si>
  <si>
    <t>San Augustine County</t>
  </si>
  <si>
    <t>48407</t>
  </si>
  <si>
    <t>San Jacinto County</t>
  </si>
  <si>
    <t>48419</t>
  </si>
  <si>
    <t>48455</t>
  </si>
  <si>
    <t>Trinity County</t>
  </si>
  <si>
    <t>48457</t>
  </si>
  <si>
    <t>Tyler County</t>
  </si>
  <si>
    <t>48061</t>
  </si>
  <si>
    <t>TX05</t>
  </si>
  <si>
    <t>Cameron County</t>
  </si>
  <si>
    <t>48261</t>
  </si>
  <si>
    <t>Kenedy County</t>
  </si>
  <si>
    <t>48489</t>
  </si>
  <si>
    <t>Willacy County</t>
  </si>
  <si>
    <t>48041</t>
  </si>
  <si>
    <t>TX06</t>
  </si>
  <si>
    <t>Brazos County</t>
  </si>
  <si>
    <t>48051</t>
  </si>
  <si>
    <t>Burleson County</t>
  </si>
  <si>
    <t>48185</t>
  </si>
  <si>
    <t>Grimes County</t>
  </si>
  <si>
    <t>48289</t>
  </si>
  <si>
    <t>48313</t>
  </si>
  <si>
    <t>48331</t>
  </si>
  <si>
    <t>Milam County</t>
  </si>
  <si>
    <t>48395</t>
  </si>
  <si>
    <t>48477</t>
  </si>
  <si>
    <t>48007</t>
  </si>
  <si>
    <t>TX07</t>
  </si>
  <si>
    <t>Aransas County</t>
  </si>
  <si>
    <t>48025</t>
  </si>
  <si>
    <t>Bee County</t>
  </si>
  <si>
    <t>48249</t>
  </si>
  <si>
    <t>Jim Wells County</t>
  </si>
  <si>
    <t>48273</t>
  </si>
  <si>
    <t>Kleberg County</t>
  </si>
  <si>
    <t>48297</t>
  </si>
  <si>
    <t>Live Oak County</t>
  </si>
  <si>
    <t>48355</t>
  </si>
  <si>
    <t>Nueces County</t>
  </si>
  <si>
    <t>48391</t>
  </si>
  <si>
    <t>Refugio County</t>
  </si>
  <si>
    <t>48409</t>
  </si>
  <si>
    <t>San Patricio County</t>
  </si>
  <si>
    <t>48085</t>
  </si>
  <si>
    <t>TX08</t>
  </si>
  <si>
    <t>Collin County</t>
  </si>
  <si>
    <t>48113</t>
  </si>
  <si>
    <t>48139</t>
  </si>
  <si>
    <t>Ellis County</t>
  </si>
  <si>
    <t>48231</t>
  </si>
  <si>
    <t>Hunt County</t>
  </si>
  <si>
    <t>48257</t>
  </si>
  <si>
    <t>Kaufman County</t>
  </si>
  <si>
    <t>48349</t>
  </si>
  <si>
    <t>Navarro County</t>
  </si>
  <si>
    <t>48397</t>
  </si>
  <si>
    <t>Rockwall County</t>
  </si>
  <si>
    <t>48043</t>
  </si>
  <si>
    <t>TX09</t>
  </si>
  <si>
    <t>Brewster County</t>
  </si>
  <si>
    <t>48109</t>
  </si>
  <si>
    <t>Culberson County</t>
  </si>
  <si>
    <t>48141</t>
  </si>
  <si>
    <t>El Paso County</t>
  </si>
  <si>
    <t>48229</t>
  </si>
  <si>
    <t>Hudspeth County</t>
  </si>
  <si>
    <t>48243</t>
  </si>
  <si>
    <t>48377</t>
  </si>
  <si>
    <t>Presidio County</t>
  </si>
  <si>
    <t>48167</t>
  </si>
  <si>
    <t>TX10</t>
  </si>
  <si>
    <t>Galveston County</t>
  </si>
  <si>
    <t>48201</t>
  </si>
  <si>
    <t>48027</t>
  </si>
  <si>
    <t>11</t>
  </si>
  <si>
    <t>TX11</t>
  </si>
  <si>
    <t>Bell County</t>
  </si>
  <si>
    <t>48099</t>
  </si>
  <si>
    <t>Coryell County</t>
  </si>
  <si>
    <t>48193</t>
  </si>
  <si>
    <t>48281</t>
  </si>
  <si>
    <t>Lampasas County</t>
  </si>
  <si>
    <t>48333</t>
  </si>
  <si>
    <t>Mills County</t>
  </si>
  <si>
    <t>48411</t>
  </si>
  <si>
    <t>San Saba County</t>
  </si>
  <si>
    <t>48131</t>
  </si>
  <si>
    <t>12</t>
  </si>
  <si>
    <t>TX12</t>
  </si>
  <si>
    <t>48247</t>
  </si>
  <si>
    <t>Jim Hogg County</t>
  </si>
  <si>
    <t>48311</t>
  </si>
  <si>
    <t>McMullen County</t>
  </si>
  <si>
    <t>48479</t>
  </si>
  <si>
    <t>Webb County</t>
  </si>
  <si>
    <t>48505</t>
  </si>
  <si>
    <t>Zapata County</t>
  </si>
  <si>
    <t>48183</t>
  </si>
  <si>
    <t>13</t>
  </si>
  <si>
    <t>TX13</t>
  </si>
  <si>
    <t>Gregg County</t>
  </si>
  <si>
    <t>48203</t>
  </si>
  <si>
    <t>48315</t>
  </si>
  <si>
    <t>48365</t>
  </si>
  <si>
    <t>48401</t>
  </si>
  <si>
    <t>Rusk County</t>
  </si>
  <si>
    <t>48459</t>
  </si>
  <si>
    <t>Upshur County</t>
  </si>
  <si>
    <t>48017</t>
  </si>
  <si>
    <t>14</t>
  </si>
  <si>
    <t>TX14</t>
  </si>
  <si>
    <t>Bailey County</t>
  </si>
  <si>
    <t>48079</t>
  </si>
  <si>
    <t>Cochran County</t>
  </si>
  <si>
    <t>48107</t>
  </si>
  <si>
    <t>Crosby County</t>
  </si>
  <si>
    <t>48125</t>
  </si>
  <si>
    <t>Dickens County</t>
  </si>
  <si>
    <t>48153</t>
  </si>
  <si>
    <t>48169</t>
  </si>
  <si>
    <t>Garza County</t>
  </si>
  <si>
    <t>48189</t>
  </si>
  <si>
    <t>48219</t>
  </si>
  <si>
    <t>Hockley County</t>
  </si>
  <si>
    <t>48279</t>
  </si>
  <si>
    <t>Lamb County</t>
  </si>
  <si>
    <t>48303</t>
  </si>
  <si>
    <t>Lubbock County</t>
  </si>
  <si>
    <t>48305</t>
  </si>
  <si>
    <t>Lynn County</t>
  </si>
  <si>
    <t>48345</t>
  </si>
  <si>
    <t>Motley County</t>
  </si>
  <si>
    <t>48445</t>
  </si>
  <si>
    <t>Terry County</t>
  </si>
  <si>
    <t>48501</t>
  </si>
  <si>
    <t>Yoakum County</t>
  </si>
  <si>
    <t>48047</t>
  </si>
  <si>
    <t>15</t>
  </si>
  <si>
    <t>TX15</t>
  </si>
  <si>
    <t>48215</t>
  </si>
  <si>
    <t>Hidalgo County</t>
  </si>
  <si>
    <t>48427</t>
  </si>
  <si>
    <t>Starr County</t>
  </si>
  <si>
    <t>48003</t>
  </si>
  <si>
    <t>16</t>
  </si>
  <si>
    <t>TX16</t>
  </si>
  <si>
    <t>Andrews County</t>
  </si>
  <si>
    <t>48033</t>
  </si>
  <si>
    <t>Borden County</t>
  </si>
  <si>
    <t>48103</t>
  </si>
  <si>
    <t>Crane County</t>
  </si>
  <si>
    <t>48115</t>
  </si>
  <si>
    <t>48135</t>
  </si>
  <si>
    <t>Ector County</t>
  </si>
  <si>
    <t>48165</t>
  </si>
  <si>
    <t>Gaines County</t>
  </si>
  <si>
    <t>48173</t>
  </si>
  <si>
    <t>Glasscock County</t>
  </si>
  <si>
    <t>48227</t>
  </si>
  <si>
    <t>48301</t>
  </si>
  <si>
    <t>Loving County</t>
  </si>
  <si>
    <t>48317</t>
  </si>
  <si>
    <t>48329</t>
  </si>
  <si>
    <t>Midland County</t>
  </si>
  <si>
    <t>48371</t>
  </si>
  <si>
    <t>Pecos County</t>
  </si>
  <si>
    <t>48389</t>
  </si>
  <si>
    <t>Reeves County</t>
  </si>
  <si>
    <t>48443</t>
  </si>
  <si>
    <t>48461</t>
  </si>
  <si>
    <t>Upton County</t>
  </si>
  <si>
    <t>48475</t>
  </si>
  <si>
    <t>Ward County</t>
  </si>
  <si>
    <t>48495</t>
  </si>
  <si>
    <t>Winkler County</t>
  </si>
  <si>
    <t>48081</t>
  </si>
  <si>
    <t>17</t>
  </si>
  <si>
    <t>TX17</t>
  </si>
  <si>
    <t>Coke County</t>
  </si>
  <si>
    <t>48095</t>
  </si>
  <si>
    <t>Concho County</t>
  </si>
  <si>
    <t>48105</t>
  </si>
  <si>
    <t>48235</t>
  </si>
  <si>
    <t>Irion County</t>
  </si>
  <si>
    <t>48267</t>
  </si>
  <si>
    <t>Kimble County</t>
  </si>
  <si>
    <t>48319</t>
  </si>
  <si>
    <t>Mason County</t>
  </si>
  <si>
    <t>48307</t>
  </si>
  <si>
    <t>McCulloch County</t>
  </si>
  <si>
    <t>48327</t>
  </si>
  <si>
    <t>Menard County</t>
  </si>
  <si>
    <t>48383</t>
  </si>
  <si>
    <t>Reagan County</t>
  </si>
  <si>
    <t>48413</t>
  </si>
  <si>
    <t>Schleicher County</t>
  </si>
  <si>
    <t>48431</t>
  </si>
  <si>
    <t>Sterling County</t>
  </si>
  <si>
    <t>48435</t>
  </si>
  <si>
    <t>Sutton County</t>
  </si>
  <si>
    <t>48451</t>
  </si>
  <si>
    <t>Tom Green County</t>
  </si>
  <si>
    <t>48013</t>
  </si>
  <si>
    <t>18</t>
  </si>
  <si>
    <t>TX18</t>
  </si>
  <si>
    <t>Atascosa County</t>
  </si>
  <si>
    <t>48019</t>
  </si>
  <si>
    <t>Bandera County</t>
  </si>
  <si>
    <t>48029</t>
  </si>
  <si>
    <t>Bexar County</t>
  </si>
  <si>
    <t>48091</t>
  </si>
  <si>
    <t>Comal County</t>
  </si>
  <si>
    <t>48127</t>
  </si>
  <si>
    <t>Dimmit County</t>
  </si>
  <si>
    <t>48137</t>
  </si>
  <si>
    <t>Edwards County</t>
  </si>
  <si>
    <t>48163</t>
  </si>
  <si>
    <t>Frio County</t>
  </si>
  <si>
    <t>48171</t>
  </si>
  <si>
    <t>Gillespie County</t>
  </si>
  <si>
    <t>48177</t>
  </si>
  <si>
    <t>Gonzales County</t>
  </si>
  <si>
    <t>48187</t>
  </si>
  <si>
    <t>Guadalupe County</t>
  </si>
  <si>
    <t>48259</t>
  </si>
  <si>
    <t>Kendall County</t>
  </si>
  <si>
    <t>48265</t>
  </si>
  <si>
    <t>Kerr County</t>
  </si>
  <si>
    <t>48271</t>
  </si>
  <si>
    <t>Kinney County</t>
  </si>
  <si>
    <t>48283</t>
  </si>
  <si>
    <t>La Salle County</t>
  </si>
  <si>
    <t>48323</t>
  </si>
  <si>
    <t>Maverick County</t>
  </si>
  <si>
    <t>48325</t>
  </si>
  <si>
    <t>Medina County</t>
  </si>
  <si>
    <t>48385</t>
  </si>
  <si>
    <t>Real County</t>
  </si>
  <si>
    <t>48463</t>
  </si>
  <si>
    <t>Uvalde County</t>
  </si>
  <si>
    <t>48465</t>
  </si>
  <si>
    <t>Val Verde County</t>
  </si>
  <si>
    <t>48493</t>
  </si>
  <si>
    <t>48507</t>
  </si>
  <si>
    <t>Zavala County</t>
  </si>
  <si>
    <t>48097</t>
  </si>
  <si>
    <t>19</t>
  </si>
  <si>
    <t>TX19</t>
  </si>
  <si>
    <t>Cooke County</t>
  </si>
  <si>
    <t>48147</t>
  </si>
  <si>
    <t>48181</t>
  </si>
  <si>
    <t>Grayson County</t>
  </si>
  <si>
    <t>48037</t>
  </si>
  <si>
    <t>20</t>
  </si>
  <si>
    <t>TX20</t>
  </si>
  <si>
    <t>Bowie County</t>
  </si>
  <si>
    <t>48063</t>
  </si>
  <si>
    <t>Camp County</t>
  </si>
  <si>
    <t>48067</t>
  </si>
  <si>
    <t>Cass County</t>
  </si>
  <si>
    <t>48119</t>
  </si>
  <si>
    <t>Delta County</t>
  </si>
  <si>
    <t>48159</t>
  </si>
  <si>
    <t>48223</t>
  </si>
  <si>
    <t>Hopkins County</t>
  </si>
  <si>
    <t>48277</t>
  </si>
  <si>
    <t>48343</t>
  </si>
  <si>
    <t>Morris County</t>
  </si>
  <si>
    <t>48387</t>
  </si>
  <si>
    <t>Red River County</t>
  </si>
  <si>
    <t>48449</t>
  </si>
  <si>
    <t>Titus County</t>
  </si>
  <si>
    <t>48001</t>
  </si>
  <si>
    <t>21</t>
  </si>
  <si>
    <t>TX21</t>
  </si>
  <si>
    <t>48073</t>
  </si>
  <si>
    <t>48213</t>
  </si>
  <si>
    <t>48379</t>
  </si>
  <si>
    <t>Rains County</t>
  </si>
  <si>
    <t>48423</t>
  </si>
  <si>
    <t>48467</t>
  </si>
  <si>
    <t>Van Zandt County</t>
  </si>
  <si>
    <t>48499</t>
  </si>
  <si>
    <t>Wood County</t>
  </si>
  <si>
    <t>48057</t>
  </si>
  <si>
    <t>22</t>
  </si>
  <si>
    <t>TX22</t>
  </si>
  <si>
    <t>48123</t>
  </si>
  <si>
    <t>DeWitt County</t>
  </si>
  <si>
    <t>48175</t>
  </si>
  <si>
    <t>Goliad County</t>
  </si>
  <si>
    <t>48239</t>
  </si>
  <si>
    <t>48255</t>
  </si>
  <si>
    <t>Karnes County</t>
  </si>
  <si>
    <t>48285</t>
  </si>
  <si>
    <t>Lavaca County</t>
  </si>
  <si>
    <t>48469</t>
  </si>
  <si>
    <t>Victoria County</t>
  </si>
  <si>
    <t>48035</t>
  </si>
  <si>
    <t>23</t>
  </si>
  <si>
    <t>TX23</t>
  </si>
  <si>
    <t>Bosque County</t>
  </si>
  <si>
    <t>48145</t>
  </si>
  <si>
    <t>Falls County</t>
  </si>
  <si>
    <t>48161</t>
  </si>
  <si>
    <t>Freestone County</t>
  </si>
  <si>
    <t>48217</t>
  </si>
  <si>
    <t>Hill County</t>
  </si>
  <si>
    <t>48293</t>
  </si>
  <si>
    <t>48309</t>
  </si>
  <si>
    <t>McLennan County</t>
  </si>
  <si>
    <t>48009</t>
  </si>
  <si>
    <t>24</t>
  </si>
  <si>
    <t>TX24</t>
  </si>
  <si>
    <t>Archer County</t>
  </si>
  <si>
    <t>48023</t>
  </si>
  <si>
    <t>Baylor County</t>
  </si>
  <si>
    <t>48077</t>
  </si>
  <si>
    <t>48101</t>
  </si>
  <si>
    <t>Cottle County</t>
  </si>
  <si>
    <t>48155</t>
  </si>
  <si>
    <t>Foard County</t>
  </si>
  <si>
    <t>48197</t>
  </si>
  <si>
    <t>48237</t>
  </si>
  <si>
    <t>Jack County</t>
  </si>
  <si>
    <t>48269</t>
  </si>
  <si>
    <t>King County</t>
  </si>
  <si>
    <t>48275</t>
  </si>
  <si>
    <t>48337</t>
  </si>
  <si>
    <t>Montague County</t>
  </si>
  <si>
    <t>48485</t>
  </si>
  <si>
    <t>Wichita County</t>
  </si>
  <si>
    <t>48487</t>
  </si>
  <si>
    <t>Wilbarger County</t>
  </si>
  <si>
    <t>48503</t>
  </si>
  <si>
    <t>Young County</t>
  </si>
  <si>
    <t>48121</t>
  </si>
  <si>
    <t>25</t>
  </si>
  <si>
    <t>TX25</t>
  </si>
  <si>
    <t>Denton County</t>
  </si>
  <si>
    <t>48143</t>
  </si>
  <si>
    <t>Erath County</t>
  </si>
  <si>
    <t>48221</t>
  </si>
  <si>
    <t>Hood County</t>
  </si>
  <si>
    <t>48251</t>
  </si>
  <si>
    <t>48363</t>
  </si>
  <si>
    <t>Palo Pinto County</t>
  </si>
  <si>
    <t>48367</t>
  </si>
  <si>
    <t>Parker County</t>
  </si>
  <si>
    <t>48425</t>
  </si>
  <si>
    <t>Somervell County</t>
  </si>
  <si>
    <t>48439</t>
  </si>
  <si>
    <t>Tarrant County</t>
  </si>
  <si>
    <t>48497</t>
  </si>
  <si>
    <t>Wise County</t>
  </si>
  <si>
    <t>48015</t>
  </si>
  <si>
    <t>26</t>
  </si>
  <si>
    <t>TX26</t>
  </si>
  <si>
    <t>Austin County</t>
  </si>
  <si>
    <t>48039</t>
  </si>
  <si>
    <t>Brazoria County</t>
  </si>
  <si>
    <t>48089</t>
  </si>
  <si>
    <t>Colorado County</t>
  </si>
  <si>
    <t>48157</t>
  </si>
  <si>
    <t>Fort Bend County</t>
  </si>
  <si>
    <t>48321</t>
  </si>
  <si>
    <t>Matagorda County</t>
  </si>
  <si>
    <t>48473</t>
  </si>
  <si>
    <t>Waller County</t>
  </si>
  <si>
    <t>48481</t>
  </si>
  <si>
    <t>Wharton County</t>
  </si>
  <si>
    <t>48071</t>
  </si>
  <si>
    <t>27</t>
  </si>
  <si>
    <t>TX27</t>
  </si>
  <si>
    <t>48291</t>
  </si>
  <si>
    <t>48339</t>
  </si>
  <si>
    <t>48471</t>
  </si>
  <si>
    <t>49001</t>
  </si>
  <si>
    <t>Utah</t>
  </si>
  <si>
    <t>UT</t>
  </si>
  <si>
    <t>UT06</t>
  </si>
  <si>
    <t>49003</t>
  </si>
  <si>
    <t>UT02</t>
  </si>
  <si>
    <t>49005</t>
  </si>
  <si>
    <t>UT01</t>
  </si>
  <si>
    <t>49007</t>
  </si>
  <si>
    <t>49009</t>
  </si>
  <si>
    <t>49011</t>
  </si>
  <si>
    <t>UT03</t>
  </si>
  <si>
    <t>49013</t>
  </si>
  <si>
    <t>49015</t>
  </si>
  <si>
    <t>49017</t>
  </si>
  <si>
    <t>49019</t>
  </si>
  <si>
    <t>49021</t>
  </si>
  <si>
    <t>UT05</t>
  </si>
  <si>
    <t>49023</t>
  </si>
  <si>
    <t>49025</t>
  </si>
  <si>
    <t>49027</t>
  </si>
  <si>
    <t>49029</t>
  </si>
  <si>
    <t>49031</t>
  </si>
  <si>
    <t>49033</t>
  </si>
  <si>
    <t>49035</t>
  </si>
  <si>
    <t>49037</t>
  </si>
  <si>
    <t>49039</t>
  </si>
  <si>
    <t>49041</t>
  </si>
  <si>
    <t>49043</t>
  </si>
  <si>
    <t>49045</t>
  </si>
  <si>
    <t>49047</t>
  </si>
  <si>
    <t>49049</t>
  </si>
  <si>
    <t>UT04</t>
  </si>
  <si>
    <t>49051</t>
  </si>
  <si>
    <t>49053</t>
  </si>
  <si>
    <t>49055</t>
  </si>
  <si>
    <t>49057</t>
  </si>
  <si>
    <t>54001</t>
  </si>
  <si>
    <t>West Virginia</t>
  </si>
  <si>
    <t>WV</t>
  </si>
  <si>
    <t>WV09</t>
  </si>
  <si>
    <t>54003</t>
  </si>
  <si>
    <t>WV06</t>
  </si>
  <si>
    <t>54005</t>
  </si>
  <si>
    <t>WV03</t>
  </si>
  <si>
    <t>54007</t>
  </si>
  <si>
    <t>WV01</t>
  </si>
  <si>
    <t>54009</t>
  </si>
  <si>
    <t>WV11</t>
  </si>
  <si>
    <t>54011</t>
  </si>
  <si>
    <t>WV05</t>
  </si>
  <si>
    <t>54013</t>
  </si>
  <si>
    <t>54015</t>
  </si>
  <si>
    <t>54017</t>
  </si>
  <si>
    <t>WV08</t>
  </si>
  <si>
    <t>54019</t>
  </si>
  <si>
    <t>54021</t>
  </si>
  <si>
    <t>54023</t>
  </si>
  <si>
    <t>WV07</t>
  </si>
  <si>
    <t>54025</t>
  </si>
  <si>
    <t>54027</t>
  </si>
  <si>
    <t>54029</t>
  </si>
  <si>
    <t>54031</t>
  </si>
  <si>
    <t>54033</t>
  </si>
  <si>
    <t>54035</t>
  </si>
  <si>
    <t>WV10</t>
  </si>
  <si>
    <t>54037</t>
  </si>
  <si>
    <t>54039</t>
  </si>
  <si>
    <t>WV02</t>
  </si>
  <si>
    <t>54041</t>
  </si>
  <si>
    <t>54043</t>
  </si>
  <si>
    <t>54045</t>
  </si>
  <si>
    <t>54047</t>
  </si>
  <si>
    <t>54049</t>
  </si>
  <si>
    <t>54051</t>
  </si>
  <si>
    <t>54053</t>
  </si>
  <si>
    <t>54055</t>
  </si>
  <si>
    <t>WV04</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</si>
  <si>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</si>
  <si>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</si>
  <si>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</si>
  <si>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</si>
  <si>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</si>
  <si>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</si>
  <si>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</si>
  <si>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</si>
  <si>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</si>
  <si>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</si>
  <si>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</si>
  <si>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</si>
  <si>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</si>
  <si>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</si>
  <si>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</si>
  <si>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</si>
  <si>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</si>
  <si>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</si>
  <si>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</si>
  <si>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</si>
  <si>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</si>
  <si>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</si>
  <si>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</si>
  <si>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</si>
  <si>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</si>
  <si>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</si>
  <si>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</si>
  <si>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Notes</t>
  </si>
  <si>
    <t>CMS website had misspellings and one duplicate (Nolan County, Texas)</t>
  </si>
  <si>
    <t>Formula: Look up Rating Area</t>
  </si>
  <si>
    <t>INDEX(HIX_RatingAreas,MATCH(1,(HIX_RatingAreas[State]=E923)*(HIX_RatingAreas[Subdivision]=E924),0),MATCH("Rating Area ID",HIX_RatingAreas[#Headers],0))</t>
  </si>
  <si>
    <t>Input: state</t>
  </si>
  <si>
    <t>Input: subdivision</t>
  </si>
  <si>
    <t>Source</t>
  </si>
  <si>
    <t>CMS: Individual and Small Group Market Geographic Rating Areas by State</t>
  </si>
  <si>
    <t>Updated April 20, 2018</t>
  </si>
  <si>
    <t>Acessed March 5,2020</t>
  </si>
  <si>
    <t>https://www.cms.gov/cciio/programs-and-initiatives/health-insurance-market-reforms/state-gra</t>
  </si>
  <si>
    <t>Lookup Table: HIX_SLCSP</t>
  </si>
  <si>
    <t>Second Lowest Cost Sliver Plan: Pemium Age 27</t>
  </si>
  <si>
    <t>Compute Weights</t>
  </si>
  <si>
    <t>No</t>
  </si>
  <si>
    <t>StateCode</t>
  </si>
  <si>
    <t>Area Code</t>
  </si>
  <si>
    <t>Count Silver 2018</t>
  </si>
  <si>
    <t>Lowest Cost Plan 2018</t>
  </si>
  <si>
    <t>2018</t>
  </si>
  <si>
    <t>2018-Age 50</t>
  </si>
  <si>
    <t>2018:27x=50</t>
  </si>
  <si>
    <t>Count Silver 2019</t>
  </si>
  <si>
    <t>Lowest Cost Plan 2019</t>
  </si>
  <si>
    <t>2019-Age 50</t>
  </si>
  <si>
    <t>2019:27x=50</t>
  </si>
  <si>
    <t>Count Silver-2020</t>
  </si>
  <si>
    <t>Lowest Cost Plan 2020</t>
  </si>
  <si>
    <t>2020-Age 50</t>
  </si>
  <si>
    <t>2020:27x=50</t>
  </si>
  <si>
    <t>Count Silver-2021</t>
  </si>
  <si>
    <t>Lowest Cost Plan 2021</t>
  </si>
  <si>
    <t>2021-Age 50</t>
  </si>
  <si>
    <t>2021:27x=50</t>
  </si>
  <si>
    <t>Count Silver-2022</t>
  </si>
  <si>
    <t>Lowest Cost Plan 2022</t>
  </si>
  <si>
    <t>2022-Age 50</t>
  </si>
  <si>
    <t>2022:27x=50</t>
  </si>
  <si>
    <t>Silver Selections 2016</t>
  </si>
  <si>
    <t>Silver Selections 2018</t>
  </si>
  <si>
    <t>Silver Selections 2019</t>
  </si>
  <si>
    <t>Silver Selections 2020</t>
  </si>
  <si>
    <t>Silver Selections 2021</t>
  </si>
  <si>
    <t>Silver Selections 2022</t>
  </si>
  <si>
    <t>QHP Selections 2016</t>
  </si>
  <si>
    <t>Weighting Factor 2016</t>
  </si>
  <si>
    <t>QHP Selections 2018</t>
  </si>
  <si>
    <t>Weighting Factor 2018</t>
  </si>
  <si>
    <t>QHP Selections 2019</t>
  </si>
  <si>
    <t>Weighting Factor 2019</t>
  </si>
  <si>
    <t>QHP Selections 2020</t>
  </si>
  <si>
    <t>Weighting Factor 2020</t>
  </si>
  <si>
    <t>QHP Selections 2021</t>
  </si>
  <si>
    <t>Weighting Factor 2021</t>
  </si>
  <si>
    <t>QHP Selections 2022</t>
  </si>
  <si>
    <t>Weighting Factor 2022</t>
  </si>
  <si>
    <t>W2018</t>
  </si>
  <si>
    <t>W2019</t>
  </si>
  <si>
    <t>W2020</t>
  </si>
  <si>
    <t>W2021</t>
  </si>
  <si>
    <t>W2022</t>
  </si>
  <si>
    <t>Statewide Average</t>
  </si>
  <si>
    <t>Notes on Methodology</t>
  </si>
  <si>
    <t>Used Robert Wood database on plan premiums. Extracted lowest premium for age 27. Found next lowest premium for age 27. Some plans had multiple options. These were exclude by using price differentials. Therefore, it there were several plans with the lowest price, the next price up was selected.</t>
  </si>
  <si>
    <t>For weighting of state averages, the 2016 Total Quality Health Plans Selections by Rating Area was ised. The data is available on CMS data website. No updates to the 2016 dataset were found.</t>
  </si>
  <si>
    <t>Although the 2nd lowest cost silver plan per rating exchange is used to determine the premium tax credit, basing the weight on the total quality health plans reflect the distribution of the population apply for the premium tax credit.</t>
  </si>
  <si>
    <t>An improvement to the weighting can be using actual enrollment numbers by rating area and by year.</t>
  </si>
  <si>
    <t>Count of Silver Plans</t>
  </si>
  <si>
    <t>COUNTIFS([HIXplans2022.csv]HIXplans2022!$F:$F,HIX_SLCSP[@[Area Code]],[HIXplans2022.csv]HIXplans2022!$I:$I,"Silver")</t>
  </si>
  <si>
    <t>Lowest Cost Silver Plan Age 27</t>
  </si>
  <si>
    <t>MIN(INDEX([HIXplans2022.csv]HIXplans2022!$L:$L,MATCH(1,(H1179=[HIXplans2022.csv]HIXplans2022!$F:$F)*("Silver"=[HIXplans2022.csv]HIXplans2022!$I:$I),0)))</t>
  </si>
  <si>
    <t>2nd Lowest Silver Plan Age 27</t>
  </si>
  <si>
    <t>INDEX([HIXplans2022.csv]HIXplans2022Filter!$G:$G,SMALL(IF([HIXplans2022.csv]HIXplans2022Filter!$D:$D=HIX_SLCSP[@[Area Code]],IF([HIXplans2022.csv]HIXplans2022Filter!$E:$E="Silver",ROW([HIXplans2022.csv]HIXplans2022Filter!$D:$D)-ROW(INDEX([HIXplans2022.csv]HIXplans2022Filter!$D:$D,1)))),3))</t>
  </si>
  <si>
    <t>2nd Lowest Silver Plan Age 50</t>
  </si>
  <si>
    <t>INDEX([HIXplans2022.csv]HIXplans2022Filter!$H:$H,MATCH(1,(H1179=[HIXplans2022.csv]HIXplans2022Filter!$D:$D)*("Silver"=[HIXplans2022.csv]HIXplans2022Filter!$E:$E)*(AE1179=[HIXplans2022.csv]HIXplans2022Filter!$G:$G),0))</t>
  </si>
  <si>
    <t>To find if Rating Area is none</t>
  </si>
  <si>
    <t>index(HIX_SLCSP,match(HIX_SLCSP,match(1,(HIX_SLCSP[State]=E1240)*(HIX_SLCSP[Rating Area ID]=E1241,0),0),match(e1242,value(HIX_SLCSP[#headers],0))</t>
  </si>
  <si>
    <t>Input: State</t>
  </si>
  <si>
    <t>LookupTable: HIX_AgeAdjuster</t>
  </si>
  <si>
    <t>Input: Rating Area ID</t>
  </si>
  <si>
    <t>State Specific Age Curve Variations</t>
  </si>
  <si>
    <t>Factors to adjust premium to age</t>
  </si>
  <si>
    <t>test result=</t>
  </si>
  <si>
    <t>The Robert Wood Johnson Foundation. https://www.rwjf.org/</t>
  </si>
  <si>
    <t>HIX Compare Datasets: https://www.hixcompare.org/</t>
  </si>
  <si>
    <t>Individual Market: Current Version: https://www.hixcompare.org/individual-markets.html</t>
  </si>
  <si>
    <t>2014-2019 {Note: plus 2020} HIX Compare datasets provide information, including cost-sharing information on premiums and deductibles, on nearly every plan offered in the health insurance marketplaces.</t>
  </si>
  <si>
    <t>Documentation: https://data.hixcompare.org/hix_compare_documentation_2020_01_02.pdf</t>
  </si>
  <si>
    <t>Data File: https://data.hixcompare.org/individual/2018/individual_2018_2019_10_01_f8387c77943665e742f09d4f7a5f0499.zip</t>
  </si>
  <si>
    <t>Data File: https://data.hixcompare.org/individual/2019/individual_2019_2019_10_01_5bb2919362549303a2d40b92a5cec3ce.zip</t>
  </si>
  <si>
    <t>Data File: https://data.hixcompare.org/individual/2020/individual_2020_2020_02_28_993f8eedce83cae18a1b695d60854a17.zip</t>
  </si>
  <si>
    <t>Center for Medicare &amp; Medicaid Services. Data.cms.gov</t>
  </si>
  <si>
    <t>2016 Qualifying Health Plan Selections by Metal Level and County, as of February 1, 2016: https://data.cms.gov/Marketplace-Qualified-Health-Plan-QHP-/2016-Qualifying-Health-Plan-Selections-by-Metal-Le/jq7w-vdzm</t>
  </si>
  <si>
    <t>State Classification</t>
  </si>
  <si>
    <t>0-14</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</si>
  <si>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</si>
  <si>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</si>
  <si>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</si>
  <si>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</si>
  <si>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</si>
  <si>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</si>
  <si>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</si>
  <si>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</si>
  <si>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</si>
  <si>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</si>
  <si>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</si>
  <si>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</si>
  <si>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</si>
  <si>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</si>
  <si>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</si>
  <si>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</si>
  <si>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</si>
  <si>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</si>
  <si>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</si>
  <si>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</si>
  <si>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</si>
  <si>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</si>
  <si>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</si>
  <si>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</si>
  <si>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</si>
  <si>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</si>
  <si>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</si>
  <si>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</si>
  <si>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</si>
  <si>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</si>
  <si>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</si>
  <si>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</si>
  <si>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</si>
  <si>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</si>
  <si>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</si>
  <si>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</si>
  <si>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 &amp; Older</t>
  </si>
  <si>
    <t>HHS Default</t>
  </si>
  <si>
    <t>All</t>
  </si>
  <si>
    <t>Test Age 27 to Age 50 Ratio</t>
  </si>
  <si>
    <t>District of Columbia</t>
  </si>
  <si>
    <t>Massachusetts</t>
  </si>
  <si>
    <t>Minnesota</t>
  </si>
  <si>
    <t>Note: Alabama is for Individual only. NewJersey has a Small Group age curvature not shown above. It uses default for indivdual Market</t>
  </si>
  <si>
    <t>If statement:</t>
  </si>
  <si>
    <t>IF(E1272&lt;15,"0-14",IF(E1272&gt;63,"64 &amp; Older",TEXT(E1272,0))</t>
  </si>
  <si>
    <t>index</t>
  </si>
  <si>
    <t>INDEX(HIX_AgeAdjuster,MATCH(E1271,HIX_AgeAdjuster[State Classification],0),MATCH(age,HIX_AgeAdjuster[#Headers],0))</t>
  </si>
  <si>
    <t>combined</t>
  </si>
  <si>
    <t>INDEX(HIX_AgeAdjuster,MATCH(E1271,HIX_AgeAdjuster[State Classification],0),MATCH(IF(E1272&lt;15,"0-14",IF(E1272&gt;63,"64 &amp; Older",TEXT(E1272,0))),HIX_AgeAdjuster[#Headers],0))</t>
  </si>
  <si>
    <t>Input: State Classification</t>
  </si>
  <si>
    <t>input: Age</t>
  </si>
  <si>
    <t>Required to convert to text</t>
  </si>
  <si>
    <t>Age 27</t>
  </si>
  <si>
    <t>Age 50</t>
  </si>
  <si>
    <t>Old data: Augsut 9, 2013</t>
  </si>
  <si>
    <t>Note. Doesn't match data. But old Age Curvature data does. Hmmm.</t>
  </si>
  <si>
    <t>Default</t>
  </si>
  <si>
    <t>New Jersey</t>
  </si>
  <si>
    <t>U.S. Department of Health &amp; Human Services, Center for Medicare and Medicaid Services, The Center for Consumer Information &amp; Insurance Oversight.</t>
  </si>
  <si>
    <t>last accessed March 8, 2020</t>
  </si>
  <si>
    <t>{Note: This chart was originally supplied to me from Ed Haislmaier, the Heritage Foundation, in 2015. Searched for updates, but the age factor between 27 and 50 for 2018, 2019, and 2020 have the same ratios.}</t>
  </si>
  <si>
    <t>From the website:</t>
  </si>
  <si>
    <t xml:space="preserve">Market Rating Reforms </t>
  </si>
  <si>
    <t>State Specific Rating Variations</t>
  </si>
  <si>
    <t>The Market Rules and Rate Review Final Rule (45 CFR Part 147) provides that each state will have age rating ratios of 3:1 using a federally established age curve, tobacco rating ratios of no more than 1.5:1 and per member rating unless a state requests ratios less than the standard, is a community rating state with uniform family tiers, or allows for averaging of enrollee premiums in the small group market.</t>
  </si>
  <si>
    <t>The Protecting Affordable Coverage for Employees Act (Pub. L. 114-60) amended the definition of small employer in section 1304(b) of the Affordable Care Act and section 2791(e) of the Public Health Service Act to mean generally an employer with 1-50 employees, with the option for states to expand the definition of small employer to 1-100 employees.</t>
  </si>
  <si>
    <t>Chart on State Specific Age Cure Variations: https://www.cms.gov/CCIIO/Programs-and-Initiatives/Health-Insurance-Market-Reforms/Downloads/StateSpecAgeCrv053117.pdf</t>
  </si>
  <si>
    <t>Accessed March 8, 2020  but last update on website is May 31, 2017. Valid for 2018 onwards</t>
  </si>
  <si>
    <t>0% to 133%</t>
  </si>
  <si>
    <t>2023</t>
  </si>
  <si>
    <t>QHP Enrollments 2023</t>
  </si>
  <si>
    <t>Silver Enrollments 2023</t>
  </si>
  <si>
    <t>Silver Selections 2023</t>
  </si>
  <si>
    <t>Weighting Factor 2023</t>
  </si>
  <si>
    <t>QHP Selections 2023</t>
  </si>
  <si>
    <t>W2023</t>
  </si>
  <si>
    <t>Count Silver-2023</t>
  </si>
  <si>
    <t>Lowest Cost Plan 2023</t>
  </si>
  <si>
    <t>2023-Age 50</t>
  </si>
  <si>
    <t>2023:27x=50</t>
  </si>
  <si>
    <t>2023 data not available as of 2/23/23</t>
  </si>
  <si>
    <t>Adair County</t>
  </si>
  <si>
    <t>Andrew County</t>
  </si>
  <si>
    <t>Atchison County</t>
  </si>
  <si>
    <t>Audrain County</t>
  </si>
  <si>
    <t>Barry County</t>
  </si>
  <si>
    <t>Barton County</t>
  </si>
  <si>
    <t>Bates County</t>
  </si>
  <si>
    <t>Bollinger County</t>
  </si>
  <si>
    <t>Buchanan County</t>
  </si>
  <si>
    <t>Callaway County</t>
  </si>
  <si>
    <t>Cape Girardeau County</t>
  </si>
  <si>
    <t>Cedar County</t>
  </si>
  <si>
    <t>Chariton County</t>
  </si>
  <si>
    <t>Christian County</t>
  </si>
  <si>
    <t>Clinton County</t>
  </si>
  <si>
    <t>Cole County</t>
  </si>
  <si>
    <t>Cooper County</t>
  </si>
  <si>
    <t>Daviess County</t>
  </si>
  <si>
    <t>De Kalb County</t>
  </si>
  <si>
    <t>Dent County</t>
  </si>
  <si>
    <t>Dunklin County</t>
  </si>
  <si>
    <t>Gasconade County</t>
  </si>
  <si>
    <t>Gentry County</t>
  </si>
  <si>
    <t>Hickory County</t>
  </si>
  <si>
    <t>Holt County</t>
  </si>
  <si>
    <t>Howell County</t>
  </si>
  <si>
    <t>Iron County</t>
  </si>
  <si>
    <t>Laclede County</t>
  </si>
  <si>
    <t>Linn County</t>
  </si>
  <si>
    <t>Livingston County</t>
  </si>
  <si>
    <t>McDonald County</t>
  </si>
  <si>
    <t>Maries County</t>
  </si>
  <si>
    <t>Mercer County</t>
  </si>
  <si>
    <t>Moniteau County</t>
  </si>
  <si>
    <t>New Madrid County</t>
  </si>
  <si>
    <t>Nodaway County</t>
  </si>
  <si>
    <t>Oregon County</t>
  </si>
  <si>
    <t>Osage County</t>
  </si>
  <si>
    <t>Ozark County</t>
  </si>
  <si>
    <t>Pemiscot County</t>
  </si>
  <si>
    <t>Pettis County</t>
  </si>
  <si>
    <t>Phelps County</t>
  </si>
  <si>
    <t>Platte County</t>
  </si>
  <si>
    <t>Ralls County</t>
  </si>
  <si>
    <t>Ray County</t>
  </si>
  <si>
    <t>Reynolds County</t>
  </si>
  <si>
    <t>Ripley County</t>
  </si>
  <si>
    <t>St. Charles County</t>
  </si>
  <si>
    <t>Ste. Genevieve County</t>
  </si>
  <si>
    <t>St. Francois County</t>
  </si>
  <si>
    <t>St. Louis County</t>
  </si>
  <si>
    <t>Schuyler County</t>
  </si>
  <si>
    <t>Shannon County</t>
  </si>
  <si>
    <t>Stoddard County</t>
  </si>
  <si>
    <t>Taney County</t>
  </si>
  <si>
    <t>Texas County</t>
  </si>
  <si>
    <t>Vernon County</t>
  </si>
  <si>
    <t>Wright County</t>
  </si>
  <si>
    <t>Beaver County</t>
  </si>
  <si>
    <t>Box Elder County</t>
  </si>
  <si>
    <t>Cache County</t>
  </si>
  <si>
    <t>Carbon County</t>
  </si>
  <si>
    <t>Daggett County</t>
  </si>
  <si>
    <t>Davis County</t>
  </si>
  <si>
    <t>Duchesne County</t>
  </si>
  <si>
    <t>Emery County</t>
  </si>
  <si>
    <t>Garfield County</t>
  </si>
  <si>
    <t>Grand County</t>
  </si>
  <si>
    <t>Juab County</t>
  </si>
  <si>
    <t>Kane County</t>
  </si>
  <si>
    <t>Millard County</t>
  </si>
  <si>
    <t>Piute County</t>
  </si>
  <si>
    <t>Rich County</t>
  </si>
  <si>
    <t>Salt Lake County</t>
  </si>
  <si>
    <t>San Juan County</t>
  </si>
  <si>
    <t>Sanpete County</t>
  </si>
  <si>
    <t>Summit County</t>
  </si>
  <si>
    <t>Tooele County</t>
  </si>
  <si>
    <t>Uintah County</t>
  </si>
  <si>
    <t>Utah County</t>
  </si>
  <si>
    <t>Wasatch County</t>
  </si>
  <si>
    <t>Weber County</t>
  </si>
  <si>
    <t>Braxton County</t>
  </si>
  <si>
    <t>Brooke County</t>
  </si>
  <si>
    <t>Cabell County</t>
  </si>
  <si>
    <t>Doddridge County</t>
  </si>
  <si>
    <t>Greenbrier County</t>
  </si>
  <si>
    <t>Hampshire County</t>
  </si>
  <si>
    <t>Hardy County</t>
  </si>
  <si>
    <t>Kanawha County</t>
  </si>
  <si>
    <t>Mineral County</t>
  </si>
  <si>
    <t>Mingo County</t>
  </si>
  <si>
    <t>Monongalia County</t>
  </si>
  <si>
    <t>Nicholas County</t>
  </si>
  <si>
    <t>Ohio County</t>
  </si>
  <si>
    <t>Pendleton County</t>
  </si>
  <si>
    <t>Pleasants County</t>
  </si>
  <si>
    <t>Pocahontas County</t>
  </si>
  <si>
    <t>Preston County</t>
  </si>
  <si>
    <t>Raleigh County</t>
  </si>
  <si>
    <t>Ritchie County</t>
  </si>
  <si>
    <t>Summers County</t>
  </si>
  <si>
    <t>Tucker County</t>
  </si>
  <si>
    <t>Wetzel County</t>
  </si>
  <si>
    <t>Wirt County</t>
  </si>
  <si>
    <t>Wyoming County</t>
  </si>
  <si>
    <t>Silver Selections 2024</t>
  </si>
  <si>
    <t>Weighting Factor 2024</t>
  </si>
  <si>
    <t>QHP Selections 2024</t>
  </si>
  <si>
    <t>W2024</t>
  </si>
  <si>
    <t>Count Silver-2024</t>
  </si>
  <si>
    <t>Lowest Cost Plan 2024</t>
  </si>
  <si>
    <t>2024</t>
  </si>
  <si>
    <t>2024-Age 50</t>
  </si>
  <si>
    <t>2024:27x=50</t>
  </si>
  <si>
    <t>QHP Enrollments 2024</t>
  </si>
  <si>
    <t>Silver Enrollments 2024</t>
  </si>
  <si>
    <t>W</t>
  </si>
  <si>
    <t>S</t>
  </si>
  <si>
    <t>QHP</t>
  </si>
  <si>
    <t> Alabama</t>
  </si>
  <si>
    <t>Aleutians East Borough[a]</t>
  </si>
  <si>
    <t> Alaska</t>
  </si>
  <si>
    <t>Aleutians West Census Area[b]</t>
  </si>
  <si>
    <t>Anchorage, Municipality of[a][c]</t>
  </si>
  <si>
    <t>Bethel Census Area[b]</t>
  </si>
  <si>
    <t>Bristol Bay Borough[a]</t>
  </si>
  <si>
    <t>Chugach Census Area[b]</t>
  </si>
  <si>
    <t>Copper River Census Area[b]</t>
  </si>
  <si>
    <t>Denali Borough[a]</t>
  </si>
  <si>
    <t>Dillingham Census Area[b]</t>
  </si>
  <si>
    <t>Fairbanks North Star Borough[a]</t>
  </si>
  <si>
    <t>Haines Borough[a]</t>
  </si>
  <si>
    <t>Hoonah–Angoon Census Area[b]</t>
  </si>
  <si>
    <t>Juneau, City and Borough of[a][d]</t>
  </si>
  <si>
    <t>Kenai Peninsula Borough[a]</t>
  </si>
  <si>
    <t>Ketchikan Gateway Borough[a]</t>
  </si>
  <si>
    <t>Kodiak Island Borough[a]</t>
  </si>
  <si>
    <t>Kusilvak Census Area[b]</t>
  </si>
  <si>
    <t>Lake and Peninsula Borough[a]</t>
  </si>
  <si>
    <t>Matanuska-Susitna Borough[a]</t>
  </si>
  <si>
    <t>Nome Census Area[b]</t>
  </si>
  <si>
    <t>North Slope Borough[a]</t>
  </si>
  <si>
    <t>Northwest Arctic Borough[a]</t>
  </si>
  <si>
    <t>Petersburg Borough[a][e]</t>
  </si>
  <si>
    <t>Prince of Wales – Hyder Census Area[b]</t>
  </si>
  <si>
    <t>Sitka, City and Borough of[a][f]</t>
  </si>
  <si>
    <t>Skagway, Municipality of[a]</t>
  </si>
  <si>
    <t>Southeast Fairbanks Census Area[b]</t>
  </si>
  <si>
    <t>Wrangell, City and Borough of[a]</t>
  </si>
  <si>
    <t>Yakutat, City and Borough of[a][g]</t>
  </si>
  <si>
    <t>Yukon–Koyukuk Census Area[b]</t>
  </si>
  <si>
    <t>Eastern District[2]</t>
  </si>
  <si>
    <t> American Samoa</t>
  </si>
  <si>
    <t>Manu'a District[2]</t>
  </si>
  <si>
    <t>Rose Atoll (Rose Island)[2]</t>
  </si>
  <si>
    <t>Swains Island[2]</t>
  </si>
  <si>
    <t>Western District[2]</t>
  </si>
  <si>
    <t>Apache County</t>
  </si>
  <si>
    <t> Arizona</t>
  </si>
  <si>
    <t>Cochise County</t>
  </si>
  <si>
    <t>Coconino County</t>
  </si>
  <si>
    <t>Gila County</t>
  </si>
  <si>
    <t>Greenlee County</t>
  </si>
  <si>
    <t>La Paz County</t>
  </si>
  <si>
    <t>Maricopa County</t>
  </si>
  <si>
    <t>Mohave County</t>
  </si>
  <si>
    <t>Navajo County</t>
  </si>
  <si>
    <t>Pima County</t>
  </si>
  <si>
    <t>Pinal County</t>
  </si>
  <si>
    <t>Santa Cruz County</t>
  </si>
  <si>
    <t>Yavapai County</t>
  </si>
  <si>
    <t>Yuma County</t>
  </si>
  <si>
    <t> Arkansas</t>
  </si>
  <si>
    <t>Alameda County</t>
  </si>
  <si>
    <t> California</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</si>
  <si>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</si>
  <si>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</si>
  <si>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</si>
  <si>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</si>
  <si>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</si>
  <si>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</si>
  <si>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</si>
  <si>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</si>
  <si>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</si>
  <si>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</si>
  <si>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</si>
  <si>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</si>
  <si>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</si>
  <si>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</si>
  <si>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</si>
  <si>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Lassen County</t>
  </si>
  <si>
    <t>Los Angeles County</t>
  </si>
  <si>
    <t>Madera County</t>
  </si>
  <si>
    <t>Marin County</t>
  </si>
  <si>
    <t>Mariposa County</t>
  </si>
  <si>
    <t>Mendocino County</t>
  </si>
  <si>
    <t>Merced County</t>
  </si>
  <si>
    <t>Modoc County</t>
  </si>
  <si>
    <t>Mono County</t>
  </si>
  <si>
    <t>Monterey County</t>
  </si>
  <si>
    <t>Napa County</t>
  </si>
  <si>
    <t>Placer County</t>
  </si>
  <si>
    <t>Plumas County</t>
  </si>
  <si>
    <t>Riverside County</t>
  </si>
  <si>
    <t>Sacramento County</t>
  </si>
  <si>
    <t>San Benito County</t>
  </si>
  <si>
    <t>San Bernardino County</t>
  </si>
  <si>
    <t>San Diego County</t>
  </si>
  <si>
    <t>San Francisco, City and County of[h]</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</si>
  <si>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</si>
  <si>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</si>
  <si>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</si>
  <si>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</si>
  <si>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</si>
  <si>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</si>
  <si>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</si>
  <si>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</si>
  <si>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</si>
  <si>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</si>
  <si>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</si>
  <si>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</si>
  <si>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</si>
  <si>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Tulare County</t>
  </si>
  <si>
    <t>Tuolumne County</t>
  </si>
  <si>
    <t>Ventura County</t>
  </si>
  <si>
    <t>Yolo County</t>
  </si>
  <si>
    <t>Yuba County</t>
  </si>
  <si>
    <t> Colorado</t>
  </si>
  <si>
    <t>Alamosa County</t>
  </si>
  <si>
    <t>Arapahoe County</t>
  </si>
  <si>
    <t>Archuleta County</t>
  </si>
  <si>
    <t>Baca County</t>
  </si>
  <si>
    <t>Bent County</t>
  </si>
  <si>
    <t>Boulder County</t>
  </si>
  <si>
    <t>Broomfield, City and County of[i]</t>
  </si>
  <si>
    <t>Chaffee County</t>
  </si>
  <si>
    <t>Cheyenne County</t>
  </si>
  <si>
    <t>Clear Creek County</t>
  </si>
  <si>
    <t>Conejos County</t>
  </si>
  <si>
    <t>Costilla County</t>
  </si>
  <si>
    <t>Crowley County</t>
  </si>
  <si>
    <t>Custer County</t>
  </si>
  <si>
    <t>Denver, City and County of[j]</t>
  </si>
  <si>
    <t>Dolores County</t>
  </si>
  <si>
    <t>Eagle County</t>
  </si>
  <si>
    <t>Fremont County</t>
  </si>
  <si>
    <t>Gilpin County</t>
  </si>
  <si>
    <t>Gunnison County</t>
  </si>
  <si>
    <t>Hinsdale County</t>
  </si>
  <si>
    <t>Huerfano County</t>
  </si>
  <si>
    <t>Kiowa County</t>
  </si>
  <si>
    <t>Kit Carson County</t>
  </si>
  <si>
    <t>La Plata County</t>
  </si>
  <si>
    <t>Larimer County</t>
  </si>
  <si>
    <t>Las Animas County</t>
  </si>
  <si>
    <t>Mesa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</si>
  <si>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</si>
  <si>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</si>
  <si>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</si>
  <si>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</si>
  <si>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</si>
  <si>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</si>
  <si>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</si>
  <si>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</si>
  <si>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</si>
  <si>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</si>
  <si>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</si>
  <si>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</si>
  <si>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</si>
  <si>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Miguel County</t>
  </si>
  <si>
    <t>Sedgwick County</t>
  </si>
  <si>
    <t>Teller County</t>
  </si>
  <si>
    <t>Weld County</t>
  </si>
  <si>
    <t>Fairfield County[k]</t>
  </si>
  <si>
    <t> Connecticut</t>
  </si>
  <si>
    <t>Hartford County[k]</t>
  </si>
  <si>
    <t>Litchfield County[k]</t>
  </si>
  <si>
    <t>Middlesex County[k]</t>
  </si>
  <si>
    <t>New Haven County[k]</t>
  </si>
  <si>
    <t>New London County[k]</t>
  </si>
  <si>
    <t>Tolland County[k]</t>
  </si>
  <si>
    <t>Windham County[k]</t>
  </si>
  <si>
    <t> Delaware</t>
  </si>
  <si>
    <t>New Castle County</t>
  </si>
  <si>
    <t>Sussex County</t>
  </si>
  <si>
    <t>District of Columbia[l]</t>
  </si>
  <si>
    <t> District of Columbia</t>
  </si>
  <si>
    <t> Florida</t>
  </si>
  <si>
    <t>Georgia (U.S. state) Georgia</t>
  </si>
  <si>
    <t>Haralson County</t>
  </si>
  <si>
    <t>Guam[3]</t>
  </si>
  <si>
    <t> Guam</t>
  </si>
  <si>
    <t>Hawaii County</t>
  </si>
  <si>
    <t>Hawaii Hawaiʻi</t>
  </si>
  <si>
    <t>Honolulu, City and County of[m]</t>
  </si>
  <si>
    <t>Kalawao County</t>
  </si>
  <si>
    <t>Kauai County</t>
  </si>
  <si>
    <t>Maui County</t>
  </si>
  <si>
    <t>Ada County</t>
  </si>
  <si>
    <t> Idaho</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</si>
  <si>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</si>
  <si>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</si>
  <si>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</si>
  <si>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</si>
  <si>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</si>
  <si>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</si>
  <si>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</si>
  <si>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</si>
  <si>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</si>
  <si>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</si>
  <si>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</si>
  <si>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</si>
  <si>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</si>
  <si>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</si>
  <si>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</si>
  <si>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</si>
  <si>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</si>
  <si>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</si>
  <si>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</si>
  <si>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</si>
  <si>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</si>
  <si>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Minidoka County</t>
  </si>
  <si>
    <t>Nez Perce County</t>
  </si>
  <si>
    <t>Oneida County</t>
  </si>
  <si>
    <t>Owyhee County</t>
  </si>
  <si>
    <t>Payette County</t>
  </si>
  <si>
    <t>Power County</t>
  </si>
  <si>
    <t>Shoshone County</t>
  </si>
  <si>
    <t>Teton County</t>
  </si>
  <si>
    <t>Twin Falls County</t>
  </si>
  <si>
    <t>Valley County</t>
  </si>
  <si>
    <t> Illinois</t>
  </si>
  <si>
    <t>Bond County</t>
  </si>
  <si>
    <t>Bureau County</t>
  </si>
  <si>
    <t>Champaign County</t>
  </si>
  <si>
    <t>Coles County</t>
  </si>
  <si>
    <t>De Witt County</t>
  </si>
  <si>
    <t>DuPage County</t>
  </si>
  <si>
    <t>Edgar County</t>
  </si>
  <si>
    <t>Ford County</t>
  </si>
  <si>
    <t>Gallatin County</t>
  </si>
  <si>
    <t>Iroquois County</t>
  </si>
  <si>
    <t>Jersey County</t>
  </si>
  <si>
    <t>Jo Daviess County</t>
  </si>
  <si>
    <t>Kankakee County</t>
  </si>
  <si>
    <t>LaSalle County</t>
  </si>
  <si>
    <t>McDonough County</t>
  </si>
  <si>
    <t>McHenry County</t>
  </si>
  <si>
    <t>McLean County</t>
  </si>
  <si>
    <t>Macoupin County</t>
  </si>
  <si>
    <t>Massac County</t>
  </si>
  <si>
    <t>Moultrie County</t>
  </si>
  <si>
    <t>Ogle County</t>
  </si>
  <si>
    <t>Peoria County</t>
  </si>
  <si>
    <t>Piatt County</t>
  </si>
  <si>
    <t>Rock Island County</t>
  </si>
  <si>
    <t>Sangamon County</t>
  </si>
  <si>
    <t>Stark County</t>
  </si>
  <si>
    <t>Stephenson County</t>
  </si>
  <si>
    <t>Tazewell County</t>
  </si>
  <si>
    <t>Vermilion County</t>
  </si>
  <si>
    <t>Wabash County</t>
  </si>
  <si>
    <t>Whiteside County</t>
  </si>
  <si>
    <t>Will County</t>
  </si>
  <si>
    <t>Winnebago County</t>
  </si>
  <si>
    <t>Woodford County</t>
  </si>
  <si>
    <t> Indiana</t>
  </si>
  <si>
    <t>Allen County</t>
  </si>
  <si>
    <t>Bartholomew County</t>
  </si>
  <si>
    <t>Blackford County</t>
  </si>
  <si>
    <t>Dearborn County</t>
  </si>
  <si>
    <t>Delaware County</t>
  </si>
  <si>
    <t>Dubois County</t>
  </si>
  <si>
    <t>Elkhart County</t>
  </si>
  <si>
    <t>Fountain County</t>
  </si>
  <si>
    <t>Hendricks County</t>
  </si>
  <si>
    <t>Huntington County</t>
  </si>
  <si>
    <t>Jay County</t>
  </si>
  <si>
    <t>Jennings County</t>
  </si>
  <si>
    <t>Kosciusko County</t>
  </si>
  <si>
    <t>LaGrange County</t>
  </si>
  <si>
    <t>LaPorte County</t>
  </si>
  <si>
    <t>Miami County</t>
  </si>
  <si>
    <t>Noble County</t>
  </si>
  <si>
    <t>Owen County</t>
  </si>
  <si>
    <t>Parke County</t>
  </si>
  <si>
    <t>Porter County</t>
  </si>
  <si>
    <t>Posey County</t>
  </si>
  <si>
    <t>Rush County</t>
  </si>
  <si>
    <t>St. Joseph County</t>
  </si>
  <si>
    <t>Spencer County</t>
  </si>
  <si>
    <t>Starke County</t>
  </si>
  <si>
    <t>Steuben County</t>
  </si>
  <si>
    <t>Switzerland County</t>
  </si>
  <si>
    <t>Tippecanoe County</t>
  </si>
  <si>
    <t>Vanderburgh County</t>
  </si>
  <si>
    <t>Vermillion County</t>
  </si>
  <si>
    <t>Vigo County</t>
  </si>
  <si>
    <t>Warrick County</t>
  </si>
  <si>
    <t>Wells County</t>
  </si>
  <si>
    <t>Whitley County</t>
  </si>
  <si>
    <t> Iowa</t>
  </si>
  <si>
    <t>Allamakee County</t>
  </si>
  <si>
    <t>Appanoose County</t>
  </si>
  <si>
    <t>Audubon County</t>
  </si>
  <si>
    <t>Black Hawk County</t>
  </si>
  <si>
    <t>Bremer County</t>
  </si>
  <si>
    <t>Buena Vista County</t>
  </si>
  <si>
    <t>Cerro Gordo County</t>
  </si>
  <si>
    <t>Des Moines County</t>
  </si>
  <si>
    <t>Dickinson County</t>
  </si>
  <si>
    <t>Dubuque County</t>
  </si>
  <si>
    <t>Emmet County</t>
  </si>
  <si>
    <t>Guthrie County</t>
  </si>
  <si>
    <t>Ida County</t>
  </si>
  <si>
    <t>Iowa County</t>
  </si>
  <si>
    <t>Keokuk County</t>
  </si>
  <si>
    <t>Kossuth County</t>
  </si>
  <si>
    <t>Louisa County</t>
  </si>
  <si>
    <t>Lucas County</t>
  </si>
  <si>
    <t>Lyon County</t>
  </si>
  <si>
    <t>Mahaska County</t>
  </si>
  <si>
    <t>Monona County</t>
  </si>
  <si>
    <t>Muscatine County</t>
  </si>
  <si>
    <t>O'Brien County</t>
  </si>
  <si>
    <t>Page County</t>
  </si>
  <si>
    <t>Palo Alto County</t>
  </si>
  <si>
    <t>Plymouth County</t>
  </si>
  <si>
    <t>Pottawattamie County</t>
  </si>
  <si>
    <t>Poweshiek County</t>
  </si>
  <si>
    <t>Ringgold County</t>
  </si>
  <si>
    <t>Sac County</t>
  </si>
  <si>
    <t>Sioux County</t>
  </si>
  <si>
    <t>Story County</t>
  </si>
  <si>
    <t>Tama County</t>
  </si>
  <si>
    <t>Wapello County</t>
  </si>
  <si>
    <t>Winneshiek County</t>
  </si>
  <si>
    <t>Woodbury County</t>
  </si>
  <si>
    <t> Kansas</t>
  </si>
  <si>
    <t>Barber County</t>
  </si>
  <si>
    <t>Bourbon County</t>
  </si>
  <si>
    <t>Chase County</t>
  </si>
  <si>
    <t>Chautauqua County</t>
  </si>
  <si>
    <t>Cloud County</t>
  </si>
  <si>
    <t>Coffey County</t>
  </si>
  <si>
    <t>Cowley County</t>
  </si>
  <si>
    <t>Doniphan County</t>
  </si>
  <si>
    <t>Elk County</t>
  </si>
  <si>
    <t>Ellsworth County</t>
  </si>
  <si>
    <t>Finney County</t>
  </si>
  <si>
    <t>Geary County</t>
  </si>
  <si>
    <t>Gove County</t>
  </si>
  <si>
    <t>Greeley County</t>
  </si>
  <si>
    <t>Harper County</t>
  </si>
  <si>
    <t>Harvey County</t>
  </si>
  <si>
    <t>Hodgeman County</t>
  </si>
  <si>
    <t>Jewell County</t>
  </si>
  <si>
    <t>Kearny County</t>
  </si>
  <si>
    <t>Kingman County</t>
  </si>
  <si>
    <t>Labette County</t>
  </si>
  <si>
    <t>Lane County</t>
  </si>
  <si>
    <t>Leavenworth County</t>
  </si>
  <si>
    <t>McPherson County</t>
  </si>
  <si>
    <t>Meade County</t>
  </si>
  <si>
    <t>Morton County</t>
  </si>
  <si>
    <t>Nemaha County</t>
  </si>
  <si>
    <t>Neosho County</t>
  </si>
  <si>
    <t>Ness County</t>
  </si>
  <si>
    <t>Norton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</si>
  <si>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</si>
  <si>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</si>
  <si>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</si>
  <si>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</si>
  <si>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</si>
  <si>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</si>
  <si>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</si>
  <si>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</si>
  <si>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</si>
  <si>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</si>
  <si>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</si>
  <si>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</si>
  <si>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</si>
  <si>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</si>
  <si>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Stafford County</t>
  </si>
  <si>
    <t>Stanton County</t>
  </si>
  <si>
    <t>Stevens County</t>
  </si>
  <si>
    <t>Trego County</t>
  </si>
  <si>
    <t>Wabaunsee County</t>
  </si>
  <si>
    <t>Wallace County</t>
  </si>
  <si>
    <t>Woodson County</t>
  </si>
  <si>
    <t>Wyandotte County</t>
  </si>
  <si>
    <t> Kentucky</t>
  </si>
  <si>
    <t>Ballard County</t>
  </si>
  <si>
    <t>Barren County</t>
  </si>
  <si>
    <t>Bath County</t>
  </si>
  <si>
    <t>Boyd County</t>
  </si>
  <si>
    <t>Boyle County</t>
  </si>
  <si>
    <t>Bracken County</t>
  </si>
  <si>
    <t>Breathitt County</t>
  </si>
  <si>
    <t>Breckinridge County</t>
  </si>
  <si>
    <t>Bullitt County</t>
  </si>
  <si>
    <t>Calloway County</t>
  </si>
  <si>
    <t>Carlisle County</t>
  </si>
  <si>
    <t>Casey County</t>
  </si>
  <si>
    <t>Edmonson County</t>
  </si>
  <si>
    <t>Elliott County</t>
  </si>
  <si>
    <t>Estill County</t>
  </si>
  <si>
    <t>Fleming County</t>
  </si>
  <si>
    <t>Garrard County</t>
  </si>
  <si>
    <t>Graves County</t>
  </si>
  <si>
    <t>Green County</t>
  </si>
  <si>
    <t>Greenup County</t>
  </si>
  <si>
    <t>Harlan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</si>
  <si>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</si>
  <si>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</si>
  <si>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</si>
  <si>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</si>
  <si>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</si>
  <si>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</si>
  <si>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</si>
  <si>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</si>
  <si>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</si>
  <si>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</si>
  <si>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</si>
  <si>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</si>
  <si>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</si>
  <si>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</si>
  <si>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Owsley County</t>
  </si>
  <si>
    <t>Powell County</t>
  </si>
  <si>
    <t>Rockcastle County</t>
  </si>
  <si>
    <t>Todd County</t>
  </si>
  <si>
    <t>Trigg County</t>
  </si>
  <si>
    <t>Trimble County</t>
  </si>
  <si>
    <t>Wolfe County</t>
  </si>
  <si>
    <t> Louisiana</t>
  </si>
  <si>
    <t>LaSalle Parish[n]</t>
  </si>
  <si>
    <t>Orleans Parish[o]</t>
  </si>
  <si>
    <t>Androscoggin County</t>
  </si>
  <si>
    <t> Maine</t>
  </si>
  <si>
    <t>Aroostook County</t>
  </si>
  <si>
    <t>Kennebec County</t>
  </si>
  <si>
    <t>Oxford County</t>
  </si>
  <si>
    <t>Penobscot County</t>
  </si>
  <si>
    <t>Piscataquis County</t>
  </si>
  <si>
    <t>Sagadahoc County</t>
  </si>
  <si>
    <t>Somerset County</t>
  </si>
  <si>
    <t>Waldo County</t>
  </si>
  <si>
    <t>Allegany County</t>
  </si>
  <si>
    <t> Maryland</t>
  </si>
  <si>
    <t>Anne Arundel County</t>
  </si>
  <si>
    <t>Baltimore County</t>
  </si>
  <si>
    <t>Calvert County</t>
  </si>
  <si>
    <t>Caroline County</t>
  </si>
  <si>
    <t>Cecil County</t>
  </si>
  <si>
    <t>Charles County</t>
  </si>
  <si>
    <t>Frederick County</t>
  </si>
  <si>
    <t>Garrett County</t>
  </si>
  <si>
    <t>Harford County</t>
  </si>
  <si>
    <t>Prince George's County</t>
  </si>
  <si>
    <t>Queen Anne's County</t>
  </si>
  <si>
    <t>St. Mary's County</t>
  </si>
  <si>
    <t>Wicomico County</t>
  </si>
  <si>
    <t>Worcester County</t>
  </si>
  <si>
    <t>Baltimore City[p]</t>
  </si>
  <si>
    <t>Barnstable County</t>
  </si>
  <si>
    <t> Massachusetts</t>
  </si>
  <si>
    <t>Berkshire County[k]</t>
  </si>
  <si>
    <t>Bristol County</t>
  </si>
  <si>
    <t>Dukes County</t>
  </si>
  <si>
    <t>Essex County[k]</t>
  </si>
  <si>
    <t>Franklin County[k]</t>
  </si>
  <si>
    <t>Hampden County[k]</t>
  </si>
  <si>
    <t>Hampshire County[k]</t>
  </si>
  <si>
    <t>Nantucket, Town and County of[q]</t>
  </si>
  <si>
    <t>Norfolk County</t>
  </si>
  <si>
    <t>Suffolk County[k]</t>
  </si>
  <si>
    <t>Worcester County[k]</t>
  </si>
  <si>
    <t>Alcona County</t>
  </si>
  <si>
    <t> Michigan</t>
  </si>
  <si>
    <t>Alger County</t>
  </si>
  <si>
    <t>Allegan County</t>
  </si>
  <si>
    <t>Alpena County</t>
  </si>
  <si>
    <t>Antrim County</t>
  </si>
  <si>
    <t>Arenac County</t>
  </si>
  <si>
    <t>Baraga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</si>
  <si>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</si>
  <si>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</si>
  <si>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</si>
  <si>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</si>
  <si>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</si>
  <si>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</si>
  <si>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</si>
  <si>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</si>
  <si>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</si>
  <si>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</si>
  <si>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</si>
  <si>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</si>
  <si>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</si>
  <si>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</si>
  <si>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</si>
  <si>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</si>
  <si>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</si>
  <si>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</si>
  <si>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</si>
  <si>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</si>
  <si>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</si>
  <si>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</si>
  <si>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</si>
  <si>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</si>
  <si>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</si>
  <si>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</si>
  <si>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</si>
  <si>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</si>
  <si>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</si>
  <si>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</si>
  <si>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</si>
  <si>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</si>
  <si>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</si>
  <si>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</si>
  <si>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</si>
  <si>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</si>
  <si>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</si>
  <si>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</si>
  <si>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</si>
  <si>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</si>
  <si>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</si>
  <si>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</si>
  <si>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</si>
  <si>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</si>
  <si>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</si>
  <si>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</si>
  <si>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</si>
  <si>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</si>
  <si>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</si>
  <si>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</si>
  <si>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</si>
  <si>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</si>
  <si>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Aitkin County</t>
  </si>
  <si>
    <t> Minnesota</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</si>
  <si>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</si>
  <si>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</si>
  <si>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</si>
  <si>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</si>
  <si>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</si>
  <si>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</si>
  <si>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</si>
  <si>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</si>
  <si>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</si>
  <si>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</si>
  <si>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</si>
  <si>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</si>
  <si>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</si>
  <si>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</si>
  <si>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</si>
  <si>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</si>
  <si>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</si>
  <si>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</si>
  <si>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</si>
  <si>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</si>
  <si>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</si>
  <si>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</si>
  <si>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</si>
  <si>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</si>
  <si>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</si>
  <si>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</si>
  <si>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</si>
  <si>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</si>
  <si>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</si>
  <si>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</si>
  <si>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</si>
  <si>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</si>
  <si>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</si>
  <si>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</si>
  <si>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</si>
  <si>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</si>
  <si>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</si>
  <si>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</si>
  <si>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</si>
  <si>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</si>
  <si>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</si>
  <si>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</si>
  <si>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</si>
  <si>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</si>
  <si>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</si>
  <si>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</si>
  <si>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</si>
  <si>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</si>
  <si>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</si>
  <si>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</si>
  <si>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</si>
  <si>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</si>
  <si>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</si>
  <si>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</si>
  <si>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</si>
  <si>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</si>
  <si>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</si>
  <si>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</si>
  <si>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</si>
  <si>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 Mississippi</t>
  </si>
  <si>
    <t> Missouri</t>
  </si>
  <si>
    <t>St. Louis, City of[r]</t>
  </si>
  <si>
    <t>Beaverhead County</t>
  </si>
  <si>
    <t> Montana</t>
  </si>
  <si>
    <t>Big Horn County</t>
  </si>
  <si>
    <t>Broadwater County</t>
  </si>
  <si>
    <t>Cascade County</t>
  </si>
  <si>
    <t>Chouteau County</t>
  </si>
  <si>
    <t>Daniels County</t>
  </si>
  <si>
    <t>Deer Lodge County</t>
  </si>
  <si>
    <t>Fallon County</t>
  </si>
  <si>
    <t>Fergus County</t>
  </si>
  <si>
    <t>Flathead County</t>
  </si>
  <si>
    <t>Glacier County</t>
  </si>
  <si>
    <t>Golden Valley County</t>
  </si>
  <si>
    <t>Granite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</si>
  <si>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</si>
  <si>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</si>
  <si>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</si>
  <si>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</si>
  <si>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</si>
  <si>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</si>
  <si>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</si>
  <si>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</si>
  <si>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</si>
  <si>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</si>
  <si>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</si>
  <si>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</si>
  <si>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</si>
  <si>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</si>
  <si>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</si>
  <si>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</si>
  <si>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</si>
  <si>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</si>
  <si>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</si>
  <si>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</si>
  <si>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</si>
  <si>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 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</si>
  <si>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</si>
  <si>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</si>
  <si>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</si>
  <si>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</si>
  <si>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</si>
  <si>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</si>
  <si>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</si>
  <si>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</si>
  <si>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</si>
  <si>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</si>
  <si>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</si>
  <si>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</si>
  <si>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</si>
  <si>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</si>
  <si>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</si>
  <si>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</si>
  <si>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</si>
  <si>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</si>
  <si>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</si>
  <si>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</si>
  <si>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</si>
  <si>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</si>
  <si>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</si>
  <si>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</si>
  <si>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</si>
  <si>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</si>
  <si>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</si>
  <si>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</si>
  <si>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</si>
  <si>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</si>
  <si>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</si>
  <si>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</si>
  <si>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</si>
  <si>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</si>
  <si>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</si>
  <si>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</si>
  <si>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</si>
  <si>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</si>
  <si>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</si>
  <si>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Churchill County</t>
  </si>
  <si>
    <t> Nevada</t>
  </si>
  <si>
    <t>Elko County</t>
  </si>
  <si>
    <t>Esmeralda County</t>
  </si>
  <si>
    <t>Eureka County</t>
  </si>
  <si>
    <t>Lander County</t>
  </si>
  <si>
    <t>Nye County</t>
  </si>
  <si>
    <t>Pershing County</t>
  </si>
  <si>
    <t>Storey County</t>
  </si>
  <si>
    <t>Washoe County</t>
  </si>
  <si>
    <t>White Pine County</t>
  </si>
  <si>
    <t>Carson City, Consolidated Municipality of[s]</t>
  </si>
  <si>
    <t>Belknap County</t>
  </si>
  <si>
    <t> New Hampshire</t>
  </si>
  <si>
    <t>Cheshire County</t>
  </si>
  <si>
    <t>Coos County</t>
  </si>
  <si>
    <t>Grafton County</t>
  </si>
  <si>
    <t>Merrimack County</t>
  </si>
  <si>
    <t>Strafford County</t>
  </si>
  <si>
    <t>Atlantic County</t>
  </si>
  <si>
    <t> New Jersey</t>
  </si>
  <si>
    <t>Bergen County</t>
  </si>
  <si>
    <t>Burlington County</t>
  </si>
  <si>
    <t>Cape May County</t>
  </si>
  <si>
    <t>Essex County</t>
  </si>
  <si>
    <t>Gloucester County</t>
  </si>
  <si>
    <t>Hudson County</t>
  </si>
  <si>
    <t>Hunterdon County</t>
  </si>
  <si>
    <t>Middlesex County</t>
  </si>
  <si>
    <t>Monmouth County</t>
  </si>
  <si>
    <t>Ocean County</t>
  </si>
  <si>
    <t>Passaic County</t>
  </si>
  <si>
    <t>Salem County</t>
  </si>
  <si>
    <t>Bernalillo County</t>
  </si>
  <si>
    <t> New Mexico</t>
  </si>
  <si>
    <t>Catron County</t>
  </si>
  <si>
    <t>Chaves County</t>
  </si>
  <si>
    <t>Cibola County</t>
  </si>
  <si>
    <t>Curry County</t>
  </si>
  <si>
    <t>De Baca County</t>
  </si>
  <si>
    <t>Doña Ana County</t>
  </si>
  <si>
    <t>Eddy County</t>
  </si>
  <si>
    <t>Harding County</t>
  </si>
  <si>
    <t>Lea County</t>
  </si>
  <si>
    <t>Los Alamos County[t]</t>
  </si>
  <si>
    <t>Luna County</t>
  </si>
  <si>
    <t>McKinley County</t>
  </si>
  <si>
    <t>Mora County</t>
  </si>
  <si>
    <t>Quay County</t>
  </si>
  <si>
    <t>Rio Arriba County</t>
  </si>
  <si>
    <t>Sandoval County</t>
  </si>
  <si>
    <t>Santa Fe County</t>
  </si>
  <si>
    <t>Socorro County</t>
  </si>
  <si>
    <t>Taos County</t>
  </si>
  <si>
    <t>Torrance County</t>
  </si>
  <si>
    <t>Valencia County</t>
  </si>
  <si>
    <t>Albany County</t>
  </si>
  <si>
    <t>New York (state) New York</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</si>
  <si>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</si>
  <si>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</si>
  <si>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</si>
  <si>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</si>
  <si>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</si>
  <si>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</si>
  <si>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</si>
  <si>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</si>
  <si>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</si>
  <si>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</si>
  <si>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</si>
  <si>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</si>
  <si>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</si>
  <si>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</si>
  <si>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</si>
  <si>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</si>
  <si>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</si>
  <si>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</si>
  <si>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</si>
  <si>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</si>
  <si>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</si>
  <si>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</si>
  <si>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</si>
  <si>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</si>
  <si>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Suffolk County</t>
  </si>
  <si>
    <t>Tioga County</t>
  </si>
  <si>
    <t>Tompkins County</t>
  </si>
  <si>
    <t>Ulster County</t>
  </si>
  <si>
    <t>Westchester County</t>
  </si>
  <si>
    <t>Yates County</t>
  </si>
  <si>
    <t> North Carolina</t>
  </si>
  <si>
    <t> 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</si>
  <si>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</si>
  <si>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</si>
  <si>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</si>
  <si>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</si>
  <si>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</si>
  <si>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</si>
  <si>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</si>
  <si>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</si>
  <si>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</si>
  <si>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</si>
  <si>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</si>
  <si>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</si>
  <si>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</si>
  <si>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</si>
  <si>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</si>
  <si>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</si>
  <si>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</si>
  <si>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</si>
  <si>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</si>
  <si>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</si>
  <si>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</si>
  <si>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</si>
  <si>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</si>
  <si>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</si>
  <si>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</si>
  <si>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</si>
  <si>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</si>
  <si>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</si>
  <si>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</si>
  <si>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Williams County</t>
  </si>
  <si>
    <t>Northern Islands Municipality[3]</t>
  </si>
  <si>
    <t> Northern Mariana Islands</t>
  </si>
  <si>
    <t>Rota Municipality</t>
  </si>
  <si>
    <t>Saipan Municipality</t>
  </si>
  <si>
    <t>Tinian Municipality</t>
  </si>
  <si>
    <t> Ohio</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</si>
  <si>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</si>
  <si>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</si>
  <si>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</si>
  <si>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</si>
  <si>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</si>
  <si>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</si>
  <si>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</si>
  <si>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</si>
  <si>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</si>
  <si>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</si>
  <si>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</si>
  <si>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</si>
  <si>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</si>
  <si>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</si>
  <si>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</si>
  <si>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</si>
  <si>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</si>
  <si>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</si>
  <si>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</si>
  <si>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</si>
  <si>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</si>
  <si>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</si>
  <si>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</si>
  <si>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</si>
  <si>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</si>
  <si>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</si>
  <si>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</si>
  <si>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</si>
  <si>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</si>
  <si>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</si>
  <si>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</si>
  <si>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Wyandot County</t>
  </si>
  <si>
    <t> Oklahoma</t>
  </si>
  <si>
    <t>Alfalfa County</t>
  </si>
  <si>
    <t>Atoka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</si>
  <si>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</si>
  <si>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</si>
  <si>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</si>
  <si>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</si>
  <si>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</si>
  <si>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</si>
  <si>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</si>
  <si>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</si>
  <si>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</si>
  <si>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</si>
  <si>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</si>
  <si>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</si>
  <si>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</si>
  <si>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</si>
  <si>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</si>
  <si>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</si>
  <si>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</si>
  <si>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</si>
  <si>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</si>
  <si>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</si>
  <si>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</si>
  <si>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</si>
  <si>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</si>
  <si>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</si>
  <si>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</si>
  <si>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</si>
  <si>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</si>
  <si>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</si>
  <si>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</si>
  <si>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</si>
  <si>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</si>
  <si>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</si>
  <si>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</si>
  <si>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</si>
  <si>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</si>
  <si>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</si>
  <si>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</si>
  <si>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</si>
  <si>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</si>
  <si>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 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</si>
  <si>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</si>
  <si>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</si>
  <si>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</si>
  <si>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</si>
  <si>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</si>
  <si>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</si>
  <si>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</si>
  <si>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</si>
  <si>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</si>
  <si>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</si>
  <si>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</si>
  <si>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</si>
  <si>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</si>
  <si>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</si>
  <si>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</si>
  <si>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</si>
  <si>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 Pennsylvania</t>
  </si>
  <si>
    <t>Allegheny County</t>
  </si>
  <si>
    <t>Berks County</t>
  </si>
  <si>
    <t>Blair County</t>
  </si>
  <si>
    <t>Bucks County</t>
  </si>
  <si>
    <t>Cambria County</t>
  </si>
  <si>
    <t>Centre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</si>
  <si>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</si>
  <si>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</si>
  <si>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</si>
  <si>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</si>
  <si>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</si>
  <si>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</si>
  <si>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</si>
  <si>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</si>
  <si>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</si>
  <si>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</si>
  <si>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</si>
  <si>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</si>
  <si>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</si>
  <si>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</si>
  <si>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</si>
  <si>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</si>
  <si>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County[u]</t>
  </si>
  <si>
    <t>Schuylkill County</t>
  </si>
  <si>
    <t>Snyder County</t>
  </si>
  <si>
    <t>Susquehanna County</t>
  </si>
  <si>
    <t>Venango County</t>
  </si>
  <si>
    <t>Westmoreland County</t>
  </si>
  <si>
    <t>Adjuntas Municipality</t>
  </si>
  <si>
    <t> Puerto Rico</t>
  </si>
  <si>
    <t>Aguada Municipality</t>
  </si>
  <si>
    <t>Aguadilla Municipality</t>
  </si>
  <si>
    <t>Aguas Buenas Municipality</t>
  </si>
  <si>
    <t>Aibonito Municipality</t>
  </si>
  <si>
    <t>Añasco Municipality</t>
  </si>
  <si>
    <t>Arecibo Municipality</t>
  </si>
  <si>
    <t>Arroyo Municipality</t>
  </si>
  <si>
    <t>Barceloneta Municipality</t>
  </si>
  <si>
    <t>Barranquitas Municipality</t>
  </si>
  <si>
    <t>Bayamón Municipality</t>
  </si>
  <si>
    <t>Cabo Rojo Municipality</t>
  </si>
  <si>
    <t>Caguas Municipality</t>
  </si>
  <si>
    <t>Camuy Municipality</t>
  </si>
  <si>
    <t>Canóvanas Municipality</t>
  </si>
  <si>
    <t>Carolina Municipality</t>
  </si>
  <si>
    <t>Cataño Municipality</t>
  </si>
  <si>
    <t>Cayey Municipality</t>
  </si>
  <si>
    <t>Ceiba Municipality</t>
  </si>
  <si>
    <t>Ciales Municipality</t>
  </si>
  <si>
    <t>Cidra Municipality</t>
  </si>
  <si>
    <t>Coamo Municipality</t>
  </si>
  <si>
    <t>Comerío Municipality</t>
  </si>
  <si>
    <t>Corozal Municipality</t>
  </si>
  <si>
    <t>Culebra Municipality</t>
  </si>
  <si>
    <t>Dorado Municipality</t>
  </si>
  <si>
    <t>Fajardo Municipality</t>
  </si>
  <si>
    <t>Florida Municipality</t>
  </si>
  <si>
    <t>Guánica Municipality</t>
  </si>
  <si>
    <t>Guayama Municipality</t>
  </si>
  <si>
    <t>Guayanilla Municipality</t>
  </si>
  <si>
    <t>Guaynabo Municipality</t>
  </si>
  <si>
    <t>Gurabo Municipality</t>
  </si>
  <si>
    <t>Hatillo Municipality</t>
  </si>
  <si>
    <t>Hormigueros Municipality</t>
  </si>
  <si>
    <t>Humacao Municipality</t>
  </si>
  <si>
    <t>Isabela Municipality</t>
  </si>
  <si>
    <t>Jayuya Municipality</t>
  </si>
  <si>
    <t>Juana Díaz Municipality</t>
  </si>
  <si>
    <t>Juncos Municipality</t>
  </si>
  <si>
    <t>Lajas Municipality</t>
  </si>
  <si>
    <t>Lares Municipality</t>
  </si>
  <si>
    <t>Las Marías Municipality</t>
  </si>
  <si>
    <t>Las Piedras Municipality</t>
  </si>
  <si>
    <t>Loíza Municipality</t>
  </si>
  <si>
    <t>Luquillo Municipality</t>
  </si>
  <si>
    <t>Manatí Municipality</t>
  </si>
  <si>
    <t>Maricao Municipality</t>
  </si>
  <si>
    <t>Maunabo Municipality</t>
  </si>
  <si>
    <t>Mayagüez Municipality</t>
  </si>
  <si>
    <t>Moca Municipality</t>
  </si>
  <si>
    <t>Morovis Municipality</t>
  </si>
  <si>
    <t>Naguabo Municipality</t>
  </si>
  <si>
    <t>Naranjito Municipality</t>
  </si>
  <si>
    <t>Orocovis Municipality</t>
  </si>
  <si>
    <t>Patillas Municipality</t>
  </si>
  <si>
    <t>Peñuelas Municipality</t>
  </si>
  <si>
    <t>Ponce Municipality</t>
  </si>
  <si>
    <t>Quebradillas Municipality</t>
  </si>
  <si>
    <t>Rincón Municipality</t>
  </si>
  <si>
    <t>Río Grande Municipality</t>
  </si>
  <si>
    <t>Sabana Grande Municipality</t>
  </si>
  <si>
    <t>Salinas Municipality</t>
  </si>
  <si>
    <t>San Germán Municipality</t>
  </si>
  <si>
    <t>San Juan Municipality</t>
  </si>
  <si>
    <t>San Lorenzo Municipality</t>
  </si>
  <si>
    <t>San Sebastián Municipality</t>
  </si>
  <si>
    <t>Santa Isabel Municipality</t>
  </si>
  <si>
    <t>Toa Alta Municipality</t>
  </si>
  <si>
    <t>Toa Baja Municipality</t>
  </si>
  <si>
    <t>Trujillo Alto Municipality</t>
  </si>
  <si>
    <t>Utuado Municipality</t>
  </si>
  <si>
    <t>Vega Alta Municipality</t>
  </si>
  <si>
    <t>Vega Baja Municipality</t>
  </si>
  <si>
    <t>Vieques Municipality</t>
  </si>
  <si>
    <t>Villalba Municipality</t>
  </si>
  <si>
    <t>Yabucoa Municipality</t>
  </si>
  <si>
    <t>Yauco Municipality</t>
  </si>
  <si>
    <t>Bristol County[k]</t>
  </si>
  <si>
    <t> Rhode Island</t>
  </si>
  <si>
    <t>Kent County[k]</t>
  </si>
  <si>
    <t>Newport County[k]</t>
  </si>
  <si>
    <t>Providence County[k]</t>
  </si>
  <si>
    <t>Washington County[k]</t>
  </si>
  <si>
    <t> South Carolina</t>
  </si>
  <si>
    <t>Aurora County</t>
  </si>
  <si>
    <t> South Dakota</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</si>
  <si>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</si>
  <si>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</si>
  <si>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</si>
  <si>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</si>
  <si>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</si>
  <si>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</si>
  <si>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</si>
  <si>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</si>
  <si>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</si>
  <si>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</si>
  <si>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</si>
  <si>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</si>
  <si>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</si>
  <si>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</si>
  <si>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</si>
  <si>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</si>
  <si>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</si>
  <si>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</si>
  <si>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Jerauld County</t>
  </si>
  <si>
    <t>Kingsbury County</t>
  </si>
  <si>
    <t>Lyman County</t>
  </si>
  <si>
    <t>McCook County</t>
  </si>
  <si>
    <t>Mellette County</t>
  </si>
  <si>
    <t>Miner County</t>
  </si>
  <si>
    <t>Minnehaha County</t>
  </si>
  <si>
    <t>Moody County</t>
  </si>
  <si>
    <t>Oglala Lakota County</t>
  </si>
  <si>
    <t>Sanborn County</t>
  </si>
  <si>
    <t>Spink County</t>
  </si>
  <si>
    <t>Stanley County</t>
  </si>
  <si>
    <t>Sully County</t>
  </si>
  <si>
    <t>Tripp County</t>
  </si>
  <si>
    <t>Walworth County</t>
  </si>
  <si>
    <t>Yankton County</t>
  </si>
  <si>
    <t>Ziebach County</t>
  </si>
  <si>
    <t> Tennessee</t>
  </si>
  <si>
    <t> Texas</t>
  </si>
  <si>
    <t>Baker Island[4][v]</t>
  </si>
  <si>
    <t>United States U.S. Minor Outlying Islands</t>
  </si>
  <si>
    <t>Howland Island[v]</t>
  </si>
  <si>
    <t>Jarvis Island[v]</t>
  </si>
  <si>
    <t>Johnston Atoll[v]</t>
  </si>
  <si>
    <t>Kingman Reef[v]</t>
  </si>
  <si>
    <t>Midway Islands[v]</t>
  </si>
  <si>
    <t>Navassa Island[v]</t>
  </si>
  <si>
    <t>Palmyra Atoll[v]</t>
  </si>
  <si>
    <t>Wake Island[v]</t>
  </si>
  <si>
    <t>Saint Croix Island[3]</t>
  </si>
  <si>
    <t>United States Virgin Islands Virgin Islands (U.S.)</t>
  </si>
  <si>
    <t>Saint John Island</t>
  </si>
  <si>
    <t>Saint Thomas Island</t>
  </si>
  <si>
    <t> Utah</t>
  </si>
  <si>
    <t>Addison County</t>
  </si>
  <si>
    <t> Vermont</t>
  </si>
  <si>
    <t>Bennington County</t>
  </si>
  <si>
    <t>Caledonia County</t>
  </si>
  <si>
    <t>Chittenden County</t>
  </si>
  <si>
    <t>Grand Isle County</t>
  </si>
  <si>
    <t>Lamoille County</t>
  </si>
  <si>
    <t>Rutland County</t>
  </si>
  <si>
    <t>Windham County</t>
  </si>
  <si>
    <t>Windsor County</t>
  </si>
  <si>
    <t>Accomack County</t>
  </si>
  <si>
    <t> Virginia</t>
  </si>
  <si>
    <t>Albemarle County</t>
  </si>
  <si>
    <t>Amelia County</t>
  </si>
  <si>
    <t>Amherst County</t>
  </si>
  <si>
    <t>Appomattox County</t>
  </si>
  <si>
    <t>Arlington County</t>
  </si>
  <si>
    <t>Augusta County</t>
  </si>
  <si>
    <t>Bedford County[w]</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</si>
  <si>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</si>
  <si>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</si>
  <si>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</si>
  <si>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</si>
  <si>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</si>
  <si>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</si>
  <si>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</si>
  <si>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</si>
  <si>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</si>
  <si>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</si>
  <si>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</si>
  <si>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</si>
  <si>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</si>
  <si>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</si>
  <si>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</si>
  <si>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</si>
  <si>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</si>
  <si>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</si>
  <si>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</si>
  <si>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</si>
  <si>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</si>
  <si>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</si>
  <si>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</si>
  <si>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</si>
  <si>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</si>
  <si>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</si>
  <si>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</si>
  <si>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</si>
  <si>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</si>
  <si>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</si>
  <si>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</si>
  <si>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</si>
  <si>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</si>
  <si>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</si>
  <si>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</si>
  <si>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</si>
  <si>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</si>
  <si>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</si>
  <si>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 of[x]</t>
  </si>
  <si>
    <t>Bristol, City of[x]</t>
  </si>
  <si>
    <t>Buena Vista, City of[x]</t>
  </si>
  <si>
    <t>Charlottesville, City of[x]</t>
  </si>
  <si>
    <t>Chesapeake, City of[x]</t>
  </si>
  <si>
    <t>Colonial Heights, City of[x]</t>
  </si>
  <si>
    <t>Covington, City of[x]</t>
  </si>
  <si>
    <t>Danville, City of[x]</t>
  </si>
  <si>
    <t>Emporia, City of[x]</t>
  </si>
  <si>
    <t>Fairfax, City of[x]</t>
  </si>
  <si>
    <t>Falls Church, City of[x]</t>
  </si>
  <si>
    <t>Franklin, City of[x]</t>
  </si>
  <si>
    <t>Fredericksburg, City of[x]</t>
  </si>
  <si>
    <t>Galax, City of[x]</t>
  </si>
  <si>
    <t>Hampton, City of[x]</t>
  </si>
  <si>
    <t>Harrisonburg, City of[x]</t>
  </si>
  <si>
    <t>Hopewell, City of[x]</t>
  </si>
  <si>
    <t>Lexington, City of[x]</t>
  </si>
  <si>
    <t>Lynchburg, City of[x]</t>
  </si>
  <si>
    <t>Manassas, City of[x]</t>
  </si>
  <si>
    <t>Manassas Park, City of[x]</t>
  </si>
  <si>
    <t>Martinsville, City of[x]</t>
  </si>
  <si>
    <t>Newport News, City of[x]</t>
  </si>
  <si>
    <t>Norfolk, City of[x]</t>
  </si>
  <si>
    <t>Norton, City of[x]</t>
  </si>
  <si>
    <t>Petersburg, City of[x]</t>
  </si>
  <si>
    <t>Poquoson, City of[x]</t>
  </si>
  <si>
    <t>Portsmouth, City of[x]</t>
  </si>
  <si>
    <t>Radford, City of[x]</t>
  </si>
  <si>
    <t>Richmond, City of[x]</t>
  </si>
  <si>
    <t>Roanoke, City of[x]</t>
  </si>
  <si>
    <t>Salem, City of[x]</t>
  </si>
  <si>
    <t>Staunton, City of[x]</t>
  </si>
  <si>
    <t>Suffolk, City of[x]</t>
  </si>
  <si>
    <t>Virginia Beach, City of[x]</t>
  </si>
  <si>
    <t>Waynesboro, City of[x]</t>
  </si>
  <si>
    <t>Williamsburg, City of[x]</t>
  </si>
  <si>
    <t>Winchester, City of[x]</t>
  </si>
  <si>
    <t>Washington (state) 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</si>
  <si>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</si>
  <si>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</si>
  <si>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</si>
  <si>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</si>
  <si>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</si>
  <si>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</si>
  <si>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</si>
  <si>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</si>
  <si>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</si>
  <si>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</si>
  <si>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</si>
  <si>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</si>
  <si>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</si>
  <si>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</si>
  <si>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</si>
  <si>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</si>
  <si>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</si>
  <si>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</si>
  <si>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</si>
  <si>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</si>
  <si>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</si>
  <si>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</si>
  <si>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 West Virginia</t>
  </si>
  <si>
    <t> 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</si>
  <si>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</si>
  <si>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</si>
  <si>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</si>
  <si>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</si>
  <si>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</si>
  <si>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</si>
  <si>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</si>
  <si>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</si>
  <si>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</si>
  <si>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</si>
  <si>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</si>
  <si>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</si>
  <si>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</si>
  <si>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</si>
  <si>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</si>
  <si>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</si>
  <si>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</si>
  <si>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</si>
  <si>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</si>
  <si>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</si>
  <si>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</si>
  <si>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</si>
  <si>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</si>
  <si>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</si>
  <si>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</si>
  <si>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</si>
  <si>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</si>
  <si>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</si>
  <si>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</si>
  <si>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</si>
  <si>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</si>
  <si>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</si>
  <si>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</si>
  <si>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</si>
  <si>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</si>
  <si>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 Wyoming</t>
  </si>
  <si>
    <t>Converse County</t>
  </si>
  <si>
    <t>Goshen County</t>
  </si>
  <si>
    <t>Hot Springs County</t>
  </si>
  <si>
    <t>Laramie County</t>
  </si>
  <si>
    <t>Natrona County</t>
  </si>
  <si>
    <t>Niobrara County</t>
  </si>
  <si>
    <t>Sublette County</t>
  </si>
  <si>
    <t>Sweetwater County</t>
  </si>
  <si>
    <t>Uinta County</t>
  </si>
  <si>
    <t>Washakie County</t>
  </si>
  <si>
    <t>Weston County</t>
  </si>
  <si>
    <t>County</t>
  </si>
  <si>
    <t>United States</t>
  </si>
  <si>
    <t>US</t>
  </si>
  <si>
    <t>US01</t>
  </si>
  <si>
    <t>National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</si>
</sst>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3" formatCode="_(* #,##0.00_);_(* \(#,##0.00\);_(* &quot;-&quot;??_);_(@_)"/>
    <numFmt numFmtId="164" formatCode="0.0000"/>
    <numFmt numFmtId="165" formatCode="0.0000%"/>
    <numFmt numFmtId="166" formatCode="0.000"/>
  </numFmts>
  <fonts count="16"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sz val="9"/>
      <color rgb="FFFFFFFF"/>
      <name val="Verdana"/>
      <family val="2"/>
    </font>
    <font>
      <sz val="9"/>
      <color rgb="FF333333"/>
      <name val="&amp;quot"/>
    </font>
    <font>
      <i/>
      <sz val="11"/>
      <color theme="1"/>
      <name val="Calibri"/>
      <family val="2"/>
      <scheme val="minor"/>
    </font>
    <font>
      <sz val="10"/>
      <name val="Arial"/>
      <family val="2"/>
    </font>
    <font>
      <sz val="10"/>
      <color indexed="8"/>
      <name val="Calibri"/>
      <family val="2"/>
      <scheme val="minor"/>
    </font>
    <font>
      <b/>
      <sz val="6"/>
      <color indexed="8"/>
      <name val="Arial"/>
      <family val="2"/>
    </font>
    <font>
      <sz val="6"/>
      <color indexed="8"/>
      <name val="Calibri"/>
      <family val="2"/>
    </font>
    <font>
      <sz val="6"/>
      <color indexed="8"/>
      <name val="Arial"/>
      <family val="2"/>
    </font>
    <font>
      <sz val="8"/>
      <name val="Calibri"/>
      <family val="2"/>
      <scheme val="minor"/>
    </font>
  </fonts>
  <fills count="8">
    <fill>
      <patternFill patternType="none"/>
    </fill>
    <fill>
      <patternFill patternType="gray125"/>
    </fill>
    <fill>
      <patternFill patternType="solid">
        <fgColor rgb="FF782F40"/>
        <bgColor indexed="64"/>
      </patternFill>
    </fill>
    <fill>
      <patternFill patternType="solid">
        <fgColor rgb="FFF4F4F4"/>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000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95B3D7"/>
      </right>
      <top style="medium">
        <color rgb="FFCCCCCC"/>
      </top>
      <bottom style="medium">
        <color rgb="FFCCCCCC"/>
      </bottom>
      <diagonal/>
    </border>
    <border>
      <left style="medium">
        <color rgb="FFCCCCCC"/>
      </left>
      <right/>
      <top style="medium">
        <color rgb="FFCCCCCC"/>
      </top>
      <bottom style="medium">
        <color rgb="FFCCCCCC"/>
      </bottom>
      <diagonal/>
    </border>
    <border>
      <left/>
      <right style="thin">
        <color theme="4" tint="0.39997558519241921"/>
      </right>
      <top style="thin">
        <color theme="4" tint="0.39997558519241921"/>
      </top>
      <bottom style="thin">
        <color theme="4" tint="0.39997558519241921"/>
      </bottom>
      <diagonal/>
    </border>
    <border>
      <left style="thin">
        <color indexed="8"/>
      </left>
      <right/>
      <top style="thin">
        <color indexed="8"/>
      </top>
      <bottom style="thin">
        <color theme="4" tint="0.39997558519241921"/>
      </bottom>
      <diagonal/>
    </border>
    <border>
      <left style="medium">
        <color indexed="64"/>
      </left>
      <right/>
      <top style="medium">
        <color indexed="64"/>
      </top>
      <bottom style="medium">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0" fillId="0" borderId="0"/>
  </cellStyleXfs>
  <cellXfs count="88">
    <xf numFmtId="0" fontId="0" fillId="0" borderId="0" xfId="0"/>
    <xf numFmtId="0" fontId="4" fillId="0" borderId="0" xfId="0" applyFont="1"/>
    <xf numFmtId="0" fontId="6" fillId="0" borderId="0" xfId="0" applyFont="1"/>
    <xf numFmtId="0" fontId="0" fillId="0" borderId="0" xfId="0" applyAlignment="1">
      <alignment horizontal="left" indent="2"/>
    </xf>
    <xf numFmtId="0" fontId="0" fillId="0" borderId="0" xfId="0" applyAlignment="1">
      <alignment horizontal="left" indent="1"/>
    </xf>
    <xf numFmtId="0" fontId="0" fillId="0" borderId="0" xfId="0" applyAlignment="1">
      <alignment horizontal="left" indent="3"/>
    </xf>
    <xf numFmtId="0" fontId="0" fillId="0" borderId="0" xfId="0" applyAlignment="1">
      <alignment horizontal="left" indent="5"/>
    </xf>
    <xf numFmtId="0" fontId="7" fillId="2" borderId="1" xfId="0" applyFont="1" applyFill="1" applyBorder="1" applyAlignment="1">
      <alignment horizontal="left" vertical="center" wrapText="1" indent="1"/>
    </xf>
    <xf numFmtId="0" fontId="8" fillId="3" borderId="2" xfId="0" applyFont="1" applyFill="1" applyBorder="1" applyAlignment="1">
      <alignment horizontal="left" vertical="center" wrapText="1" indent="1"/>
    </xf>
    <xf numFmtId="10" fontId="8" fillId="3" borderId="2" xfId="0" applyNumberFormat="1" applyFont="1" applyFill="1" applyBorder="1" applyAlignment="1">
      <alignment horizontal="left" vertical="center" wrapText="1" indent="1"/>
    </xf>
    <xf numFmtId="10" fontId="8" fillId="3" borderId="3" xfId="0" applyNumberFormat="1" applyFont="1" applyFill="1" applyBorder="1" applyAlignment="1">
      <alignment horizontal="left" vertical="center" wrapText="1" indent="1"/>
    </xf>
    <xf numFmtId="0" fontId="8" fillId="4" borderId="2" xfId="0" applyFont="1" applyFill="1" applyBorder="1" applyAlignment="1">
      <alignment horizontal="left" vertical="center" wrapText="1" indent="1"/>
    </xf>
    <xf numFmtId="10" fontId="8" fillId="4" borderId="2" xfId="0" applyNumberFormat="1" applyFont="1" applyFill="1" applyBorder="1" applyAlignment="1">
      <alignment horizontal="left" vertical="center" wrapText="1" indent="1"/>
    </xf>
    <xf numFmtId="10" fontId="8" fillId="4" borderId="3" xfId="0" applyNumberFormat="1" applyFont="1" applyFill="1" applyBorder="1" applyAlignment="1">
      <alignment horizontal="left" vertical="center" wrapText="1" indent="1"/>
    </xf>
    <xf numFmtId="0" fontId="8" fillId="4" borderId="3" xfId="0" applyFont="1" applyFill="1" applyBorder="1" applyAlignment="1">
      <alignment horizontal="left" vertical="center" wrapText="1" indent="1"/>
    </xf>
    <xf numFmtId="0" fontId="0" fillId="0" borderId="0" xfId="0" applyAlignment="1">
      <alignment horizontal="left" wrapText="1" indent="3"/>
    </xf>
    <xf numFmtId="0" fontId="0" fillId="0" borderId="0" xfId="0" applyAlignment="1">
      <alignment horizontal="left" indent="4"/>
    </xf>
    <xf numFmtId="0" fontId="0" fillId="0" borderId="0" xfId="0" quotePrefix="1" applyAlignment="1">
      <alignment horizontal="left" indent="2"/>
    </xf>
    <xf numFmtId="0" fontId="0" fillId="0" borderId="0" xfId="0" applyAlignment="1">
      <alignment horizontal="left"/>
    </xf>
    <xf numFmtId="0" fontId="4" fillId="0" borderId="0" xfId="0" applyFont="1" applyAlignment="1">
      <alignment horizontal="left"/>
    </xf>
    <xf numFmtId="8" fontId="0" fillId="0" borderId="0" xfId="0" applyNumberFormat="1"/>
    <xf numFmtId="9" fontId="0" fillId="0" borderId="0" xfId="2" applyFont="1"/>
    <xf numFmtId="0" fontId="9" fillId="0" borderId="0" xfId="0" applyFont="1" applyAlignment="1">
      <alignment horizontal="left"/>
    </xf>
    <xf numFmtId="0" fontId="0" fillId="0" borderId="0" xfId="0" applyAlignment="1">
      <alignment horizontal="center"/>
    </xf>
    <xf numFmtId="0" fontId="0" fillId="0" borderId="0" xfId="0" applyAlignment="1">
      <alignment horizontal="right"/>
    </xf>
    <xf numFmtId="0" fontId="6" fillId="0" borderId="0" xfId="0" applyFont="1" applyAlignment="1">
      <alignment horizontal="right"/>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right" vertical="center" wrapText="1"/>
    </xf>
    <xf numFmtId="9" fontId="0" fillId="0" borderId="0" xfId="0" applyNumberFormat="1" applyAlignment="1">
      <alignment horizontal="center"/>
    </xf>
    <xf numFmtId="10" fontId="0" fillId="0" borderId="0" xfId="0" applyNumberFormat="1" applyAlignment="1">
      <alignment horizontal="center"/>
    </xf>
    <xf numFmtId="9" fontId="0" fillId="0" borderId="0" xfId="0" applyNumberFormat="1"/>
    <xf numFmtId="164" fontId="0" fillId="0" borderId="0" xfId="0" applyNumberFormat="1" applyAlignment="1">
      <alignment horizontal="right"/>
    </xf>
    <xf numFmtId="164" fontId="0" fillId="0" borderId="0" xfId="0" applyNumberFormat="1" applyAlignment="1">
      <alignment horizontal="center"/>
    </xf>
    <xf numFmtId="164" fontId="0" fillId="0" borderId="4" xfId="0" applyNumberFormat="1" applyBorder="1" applyAlignment="1">
      <alignment horizontal="right"/>
    </xf>
    <xf numFmtId="164" fontId="0" fillId="5" borderId="4" xfId="0" applyNumberFormat="1" applyFill="1" applyBorder="1" applyAlignment="1">
      <alignment horizontal="right"/>
    </xf>
    <xf numFmtId="0" fontId="0" fillId="0" borderId="0" xfId="0" applyAlignment="1">
      <alignment horizontal="right" indent="1"/>
    </xf>
    <xf numFmtId="0" fontId="3" fillId="0" borderId="0" xfId="0" applyFont="1" applyAlignment="1">
      <alignment horizontal="right"/>
    </xf>
    <xf numFmtId="10" fontId="0" fillId="0" borderId="0" xfId="0" applyNumberFormat="1"/>
    <xf numFmtId="1" fontId="0" fillId="0" borderId="0" xfId="1" applyNumberFormat="1" applyFont="1" applyAlignment="1">
      <alignment horizontal="center" vertical="center"/>
    </xf>
    <xf numFmtId="165" fontId="0" fillId="0" borderId="0" xfId="2" applyNumberFormat="1" applyFont="1" applyAlignment="1">
      <alignment horizontal="center"/>
    </xf>
    <xf numFmtId="165" fontId="0" fillId="0" borderId="0" xfId="0" applyNumberFormat="1" applyAlignment="1">
      <alignment horizontal="center"/>
    </xf>
    <xf numFmtId="0" fontId="5" fillId="0" borderId="0" xfId="3"/>
    <xf numFmtId="0" fontId="0" fillId="0" borderId="0" xfId="0" applyAlignment="1">
      <alignment horizontal="center" wrapText="1"/>
    </xf>
    <xf numFmtId="0" fontId="0" fillId="0" borderId="0" xfId="0" applyAlignment="1">
      <alignment horizontal="right" wrapText="1"/>
    </xf>
    <xf numFmtId="49" fontId="0" fillId="0" borderId="0" xfId="0" applyNumberFormat="1" applyAlignment="1">
      <alignment horizontal="center"/>
    </xf>
    <xf numFmtId="1" fontId="0" fillId="0" borderId="0" xfId="0" applyNumberFormat="1" applyAlignment="1">
      <alignment horizontal="center"/>
    </xf>
    <xf numFmtId="0" fontId="0" fillId="0" borderId="5" xfId="0" applyBorder="1"/>
    <xf numFmtId="0" fontId="11" fillId="0" borderId="0" xfId="4" applyFont="1" applyAlignment="1">
      <alignment vertical="top"/>
    </xf>
    <xf numFmtId="0" fontId="0" fillId="0" borderId="6" xfId="0" applyBorder="1"/>
    <xf numFmtId="49" fontId="0" fillId="0" borderId="0" xfId="0" applyNumberFormat="1"/>
    <xf numFmtId="0" fontId="0" fillId="5" borderId="7" xfId="0" applyFill="1" applyBorder="1"/>
    <xf numFmtId="4" fontId="0" fillId="0" borderId="0" xfId="0" applyNumberFormat="1" applyAlignment="1">
      <alignment horizontal="center"/>
    </xf>
    <xf numFmtId="2" fontId="0" fillId="0" borderId="0" xfId="0" applyNumberFormat="1" applyAlignment="1">
      <alignment horizontal="right"/>
    </xf>
    <xf numFmtId="4" fontId="0" fillId="0" borderId="0" xfId="0" applyNumberFormat="1" applyAlignment="1">
      <alignment horizontal="right"/>
    </xf>
    <xf numFmtId="4" fontId="0" fillId="0" borderId="0" xfId="0" applyNumberFormat="1"/>
    <xf numFmtId="2" fontId="0" fillId="0" borderId="0" xfId="0" applyNumberFormat="1" applyAlignment="1">
      <alignment horizontal="center"/>
    </xf>
    <xf numFmtId="2" fontId="0" fillId="0" borderId="0" xfId="0" applyNumberFormat="1" applyAlignment="1">
      <alignment horizontal="center" vertical="center"/>
    </xf>
    <xf numFmtId="3" fontId="0" fillId="0" borderId="0" xfId="0" applyNumberFormat="1" applyAlignment="1">
      <alignment horizontal="center"/>
    </xf>
    <xf numFmtId="1" fontId="0" fillId="0" borderId="0" xfId="0" applyNumberFormat="1" applyAlignment="1">
      <alignment horizontal="right"/>
    </xf>
    <xf numFmtId="0" fontId="3" fillId="0" borderId="0" xfId="0" applyFont="1"/>
    <xf numFmtId="166" fontId="0" fillId="0" borderId="0" xfId="0" applyNumberFormat="1" applyAlignment="1">
      <alignment horizontal="right"/>
    </xf>
    <xf numFmtId="166" fontId="0" fillId="0" borderId="0" xfId="0" applyNumberFormat="1" applyAlignment="1">
      <alignment horizontal="center"/>
    </xf>
    <xf numFmtId="0" fontId="2" fillId="6" borderId="7" xfId="0" applyFont="1" applyFill="1" applyBorder="1"/>
    <xf numFmtId="0" fontId="2" fillId="6" borderId="7" xfId="0" applyFont="1" applyFill="1" applyBorder="1" applyAlignment="1">
      <alignment horizontal="center"/>
    </xf>
    <xf numFmtId="0" fontId="0" fillId="5" borderId="8" xfId="0" applyFill="1" applyBorder="1"/>
    <xf numFmtId="0" fontId="0" fillId="5" borderId="7" xfId="0" applyFill="1" applyBorder="1" applyAlignment="1">
      <alignment horizontal="center"/>
    </xf>
    <xf numFmtId="1" fontId="12" fillId="0" borderId="9" xfId="0" applyNumberFormat="1" applyFont="1" applyBorder="1" applyAlignment="1">
      <alignment horizontal="right" vertical="top" wrapText="1"/>
    </xf>
    <xf numFmtId="0" fontId="0" fillId="0" borderId="8" xfId="0" applyBorder="1"/>
    <xf numFmtId="0" fontId="0" fillId="0" borderId="7" xfId="0" applyBorder="1" applyAlignment="1">
      <alignment horizontal="center"/>
    </xf>
    <xf numFmtId="0" fontId="13" fillId="0" borderId="9" xfId="0" applyFont="1" applyBorder="1" applyAlignment="1">
      <alignment horizontal="right" vertical="top" wrapText="1"/>
    </xf>
    <xf numFmtId="166" fontId="14" fillId="0" borderId="9" xfId="0" applyNumberFormat="1" applyFont="1" applyBorder="1" applyAlignment="1">
      <alignment horizontal="right" vertical="top" wrapText="1"/>
    </xf>
    <xf numFmtId="2" fontId="14" fillId="0" borderId="9" xfId="0" applyNumberFormat="1" applyFont="1" applyBorder="1" applyAlignment="1">
      <alignment horizontal="right" vertical="top" wrapText="1"/>
    </xf>
    <xf numFmtId="164" fontId="0" fillId="0" borderId="0" xfId="0" applyNumberFormat="1"/>
    <xf numFmtId="0" fontId="0" fillId="7" borderId="0" xfId="0" applyFill="1" applyAlignment="1">
      <alignment horizontal="center" wrapText="1"/>
    </xf>
    <xf numFmtId="3" fontId="0" fillId="0" borderId="0" xfId="0" applyNumberFormat="1"/>
    <xf numFmtId="1" fontId="0" fillId="5" borderId="7" xfId="0" applyNumberFormat="1" applyFill="1" applyBorder="1" applyAlignment="1">
      <alignment horizontal="center"/>
    </xf>
    <xf numFmtId="4" fontId="0" fillId="5" borderId="7" xfId="0" applyNumberFormat="1" applyFill="1" applyBorder="1" applyAlignment="1">
      <alignment horizontal="center"/>
    </xf>
    <xf numFmtId="2" fontId="0" fillId="5" borderId="7" xfId="0" applyNumberFormat="1" applyFill="1" applyBorder="1" applyAlignment="1">
      <alignment horizontal="right"/>
    </xf>
    <xf numFmtId="0" fontId="0" fillId="5" borderId="7" xfId="0" applyFill="1" applyBorder="1" applyAlignment="1">
      <alignment horizontal="right"/>
    </xf>
    <xf numFmtId="4" fontId="0" fillId="5" borderId="7" xfId="0" applyNumberFormat="1" applyFill="1" applyBorder="1" applyAlignment="1">
      <alignment horizontal="right"/>
    </xf>
    <xf numFmtId="4" fontId="0" fillId="5" borderId="7" xfId="0" applyNumberFormat="1" applyFill="1" applyBorder="1"/>
    <xf numFmtId="2" fontId="0" fillId="5" borderId="7" xfId="0" applyNumberFormat="1" applyFill="1" applyBorder="1" applyAlignment="1">
      <alignment horizontal="center"/>
    </xf>
    <xf numFmtId="2" fontId="0" fillId="5" borderId="7" xfId="0" applyNumberFormat="1" applyFill="1" applyBorder="1" applyAlignment="1">
      <alignment horizontal="center" vertical="center"/>
    </xf>
    <xf numFmtId="3" fontId="0" fillId="5" borderId="7" xfId="0" applyNumberFormat="1" applyFill="1" applyBorder="1" applyAlignment="1">
      <alignment horizontal="center"/>
    </xf>
    <xf numFmtId="3" fontId="0" fillId="5" borderId="7" xfId="0" applyNumberFormat="1" applyFill="1" applyBorder="1"/>
    <xf numFmtId="4" fontId="0" fillId="5" borderId="4" xfId="0" applyNumberFormat="1" applyFill="1" applyBorder="1" applyAlignment="1">
      <alignment horizontal="center"/>
    </xf>
  </cellXfs>
  <cellStyles count="5">
    <cellStyle name="Comma" xfId="1" builtinId="3"/>
    <cellStyle name="Hyperlink" xfId="3" builtinId="8"/>
    <cellStyle name="Normal" xfId="0" builtinId="0"/>
    <cellStyle name="Normal 2" xfId="4" xr:uid="{46232BC4-5DC4-4F24-A954-92D94BE9EA95}"/>
    <cellStyle name="Percent" xfId="2" builtinId="5"/>
  </cellStyles>
  <dxfs count="294">
    <dxf>
      <numFmt numFmtId="164" formatCode="0.0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000"/>
      <alignment horizontal="right" textRotation="0" indent="0" justifyLastLine="0" shrinkToFit="0" readingOrder="0"/>
    </dxf>
    <dxf>
      <numFmt numFmtId="164" formatCode="0.0000"/>
      <alignment horizontal="right" textRotation="0" indent="0" justifyLastLine="0" shrinkToFit="0" readingOrder="0"/>
    </dxf>
    <dxf>
      <numFmt numFmtId="164" formatCode="0.0000"/>
      <alignment horizontal="right" textRotation="0" indent="0" justifyLastLine="0" shrinkToFit="0" readingOrder="0"/>
    </dxf>
    <dxf>
      <numFmt numFmtId="164" formatCode="0.0000"/>
      <alignment horizontal="right" textRotation="0" indent="0" justifyLastLine="0" shrinkToFit="0" readingOrder="0"/>
    </dxf>
    <dxf>
      <numFmt numFmtId="164" formatCode="0.0000"/>
      <alignment horizontal="right" textRotation="0" indent="0" justifyLastLine="0" shrinkToFit="0" readingOrder="0"/>
    </dxf>
    <dxf>
      <numFmt numFmtId="13" formatCode="0%"/>
    </dxf>
    <dxf>
      <numFmt numFmtId="14" formatCode="0.00%"/>
    </dxf>
    <dxf>
      <alignment horizontal="center" vertical="center" textRotation="0" wrapText="1"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0" formatCode="General"/>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4" formatCode="#,##0.00"/>
      <alignment horizontal="general" vertical="bottom" textRotation="0" wrapText="0" indent="0" justifyLastLine="0" shrinkToFit="0" readingOrder="0"/>
    </dxf>
    <dxf>
      <numFmt numFmtId="4" formatCode="#,##0.00"/>
      <alignment horizontal="general" vertical="bottom" textRotation="0" wrapText="0" indent="0" justifyLastLine="0" shrinkToFit="0" readingOrder="0"/>
    </dxf>
    <dxf>
      <numFmt numFmtId="4"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1" indent="0" justifyLastLine="0" shrinkToFit="0" readingOrder="0"/>
    </dxf>
    <dxf>
      <numFmt numFmtId="14" formatCode="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right" vertical="bottom" textRotation="0" wrapText="0" indent="0" justifyLastLine="0" shrinkToFit="0" readingOrder="0"/>
    </dxf>
    <dxf>
      <numFmt numFmtId="166" formatCode="0.000"/>
      <alignment horizontal="right" vertical="bottom" textRotation="0" wrapText="0" indent="0" justifyLastLine="0" shrinkToFit="0" readingOrder="0"/>
    </dxf>
    <dxf>
      <numFmt numFmtId="166" formatCode="0.000"/>
      <alignment horizontal="right" vertical="bottom" textRotation="0" wrapText="0" indent="0" justifyLastLine="0" shrinkToFit="0" readingOrder="0"/>
    </dxf>
    <dxf>
      <numFmt numFmtId="166" formatCode="0.000"/>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0.0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000"/>
      <alignment horizontal="right" textRotation="0" indent="0" justifyLastLine="0" shrinkToFit="0" readingOrder="0"/>
    </dxf>
    <dxf>
      <numFmt numFmtId="164" formatCode="0.0000"/>
      <alignment horizontal="right" textRotation="0" indent="0" justifyLastLine="0" shrinkToFit="0" readingOrder="0"/>
    </dxf>
    <dxf>
      <numFmt numFmtId="164" formatCode="0.0000"/>
      <alignment horizontal="right" textRotation="0" indent="0" justifyLastLine="0" shrinkToFit="0" readingOrder="0"/>
    </dxf>
    <dxf>
      <numFmt numFmtId="164" formatCode="0.0000"/>
      <alignment horizontal="right" textRotation="0" indent="0" justifyLastLine="0" shrinkToFit="0" readingOrder="0"/>
    </dxf>
    <dxf>
      <numFmt numFmtId="164" formatCode="0.0000"/>
      <alignment horizontal="right" textRotation="0" indent="0" justifyLastLine="0" shrinkToFit="0" readingOrder="0"/>
    </dxf>
    <dxf>
      <numFmt numFmtId="13" formatCode="0%"/>
    </dxf>
    <dxf>
      <numFmt numFmtId="14" formatCode="0.00%"/>
    </dxf>
    <dxf>
      <alignment horizontal="center" vertical="center" textRotation="0" wrapText="1"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4" formatCode="#,##0.00"/>
      <alignment horizontal="general" vertical="bottom" textRotation="0" wrapText="0" indent="0" justifyLastLine="0" shrinkToFit="0" readingOrder="0"/>
    </dxf>
    <dxf>
      <numFmt numFmtId="4" formatCode="#,##0.00"/>
      <alignment horizontal="general" vertical="bottom" textRotation="0" wrapText="0" indent="0" justifyLastLine="0" shrinkToFit="0" readingOrder="0"/>
    </dxf>
    <dxf>
      <numFmt numFmtId="4"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1" indent="0" justifyLastLine="0" shrinkToFit="0" readingOrder="0"/>
    </dxf>
    <dxf>
      <numFmt numFmtId="14" formatCode="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right" vertical="bottom" textRotation="0" wrapText="0" indent="0" justifyLastLine="0" shrinkToFit="0" readingOrder="0"/>
    </dxf>
    <dxf>
      <numFmt numFmtId="166" formatCode="0.000"/>
      <alignment horizontal="right" vertical="bottom" textRotation="0" wrapText="0" indent="0" justifyLastLine="0" shrinkToFit="0" readingOrder="0"/>
    </dxf>
    <dxf>
      <numFmt numFmtId="166" formatCode="0.000"/>
      <alignment horizontal="right" vertical="bottom" textRotation="0" wrapText="0" indent="0" justifyLastLine="0" shrinkToFit="0" readingOrder="0"/>
    </dxf>
    <dxf>
      <numFmt numFmtId="166" formatCode="0.000"/>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pac/Documents/Just%20Saying%20That/Consulting/GCO/Cliff%20Production/GCO%20Cliff%20Model%20PROD%20v1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apac/Documents/Just%20Saying%20That/Consulting/GCO/Cliff%20Model%20Working%20Group-v1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s"/>
      <sheetName val="Export"/>
      <sheetName val="Analysis"/>
      <sheetName val="Output"/>
      <sheetName val="Inputs"/>
      <sheetName val="Calc1"/>
      <sheetName val="AL"/>
      <sheetName val="AR"/>
      <sheetName val="FL"/>
      <sheetName val="GA"/>
      <sheetName val="LA"/>
      <sheetName val="MS"/>
      <sheetName val="MO"/>
      <sheetName val="NC"/>
      <sheetName val="SC"/>
      <sheetName val="TN"/>
      <sheetName val="TX"/>
      <sheetName val="UT"/>
      <sheetName val="FPIG"/>
      <sheetName val="FICA"/>
      <sheetName val="fTax"/>
      <sheetName val="CTC"/>
      <sheetName val="EITC"/>
      <sheetName val="TANF"/>
      <sheetName val="sTax"/>
      <sheetName val="sTax2"/>
      <sheetName val="sEITC"/>
      <sheetName val="SSI"/>
      <sheetName val="sSSI"/>
      <sheetName val="SNAP"/>
      <sheetName val="WIC"/>
      <sheetName val="NSLP"/>
      <sheetName val="Mcaid"/>
      <sheetName val="CHIP"/>
      <sheetName val="HIX"/>
      <sheetName val="CCare"/>
      <sheetName val="Sec8"/>
      <sheetName val="LIHEAP"/>
      <sheetName val="States"/>
      <sheetName val="Subdivisions"/>
      <sheetName val="Lists"/>
      <sheetName val="Codes"/>
      <sheetName val="Federal Sources"/>
      <sheetName val="State Sources"/>
      <sheetName val="Tables"/>
      <sheetName val="GCO Cliff Model PROD v12.0"/>
    </sheetNames>
    <sheetDataSet>
      <sheetData sheetId="0"/>
      <sheetData sheetId="1"/>
      <sheetData sheetId="2"/>
      <sheetData sheetId="3"/>
      <sheetData sheetId="4">
        <row r="5">
          <cell r="C5">
            <v>2020</v>
          </cell>
        </row>
        <row r="6">
          <cell r="C6" t="str">
            <v>North Carolina</v>
          </cell>
        </row>
        <row r="7">
          <cell r="C7" t="str">
            <v>Statewide Average</v>
          </cell>
        </row>
        <row r="11">
          <cell r="C11" t="str">
            <v>Yes</v>
          </cell>
          <cell r="D11">
            <v>24</v>
          </cell>
          <cell r="E11" t="str">
            <v>No</v>
          </cell>
          <cell r="H11" t="str">
            <v>No</v>
          </cell>
        </row>
        <row r="22">
          <cell r="D22" t="b">
            <v>1</v>
          </cell>
        </row>
        <row r="23">
          <cell r="D23" t="b">
            <v>1</v>
          </cell>
        </row>
        <row r="24">
          <cell r="D24" t="b">
            <v>1</v>
          </cell>
        </row>
        <row r="25">
          <cell r="D25" t="b">
            <v>1</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sheetData>
      <sheetData sheetId="5">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3">
          <cell r="C3" t="str">
            <v>North Carolina</v>
          </cell>
        </row>
        <row r="4">
          <cell r="N4">
            <v>0</v>
          </cell>
          <cell r="O4">
            <v>1.3217210696499799</v>
          </cell>
          <cell r="P4">
            <v>2.6434421392999599</v>
          </cell>
          <cell r="Q4">
            <v>3.9651632089499396</v>
          </cell>
          <cell r="R4">
            <v>5.2868842785999197</v>
          </cell>
          <cell r="S4">
            <v>6.6086053482498999</v>
          </cell>
          <cell r="T4">
            <v>7.9303264178998791</v>
          </cell>
          <cell r="U4">
            <v>9.2520474875498593</v>
          </cell>
          <cell r="V4">
            <v>10.573768557199839</v>
          </cell>
          <cell r="W4">
            <v>11.89548962684982</v>
          </cell>
          <cell r="X4">
            <v>13.2172106964998</v>
          </cell>
          <cell r="Y4">
            <v>14.53893176614978</v>
          </cell>
          <cell r="Z4">
            <v>15.860652835799758</v>
          </cell>
          <cell r="AA4">
            <v>17.18237390544974</v>
          </cell>
          <cell r="AB4">
            <v>18.504094975099719</v>
          </cell>
          <cell r="AC4">
            <v>19.8258160447497</v>
          </cell>
          <cell r="AD4">
            <v>21.147537114399679</v>
          </cell>
          <cell r="AE4">
            <v>22.469258184049661</v>
          </cell>
          <cell r="AF4">
            <v>23.790979253699639</v>
          </cell>
          <cell r="AG4">
            <v>25.112700323349621</v>
          </cell>
          <cell r="AH4">
            <v>26.434421392999599</v>
          </cell>
          <cell r="AI4">
            <v>27.756142462649578</v>
          </cell>
          <cell r="AJ4">
            <v>29.07786353229956</v>
          </cell>
          <cell r="AK4">
            <v>30.399584601949538</v>
          </cell>
          <cell r="AL4">
            <v>31.721305671599517</v>
          </cell>
          <cell r="AM4">
            <v>33.043026741249498</v>
          </cell>
          <cell r="AN4">
            <v>34.36474781089948</v>
          </cell>
          <cell r="AO4">
            <v>35.686468880549455</v>
          </cell>
          <cell r="AP4">
            <v>37.008189950199437</v>
          </cell>
          <cell r="AQ4">
            <v>38.329911019849419</v>
          </cell>
          <cell r="AR4">
            <v>39.651632089499401</v>
          </cell>
          <cell r="AS4">
            <v>40</v>
          </cell>
          <cell r="AT4">
            <v>40</v>
          </cell>
          <cell r="AU4">
            <v>40</v>
          </cell>
          <cell r="AV4">
            <v>40</v>
          </cell>
          <cell r="AW4">
            <v>40</v>
          </cell>
          <cell r="AX4">
            <v>40</v>
          </cell>
          <cell r="AY4">
            <v>40</v>
          </cell>
          <cell r="AZ4">
            <v>40</v>
          </cell>
          <cell r="BA4">
            <v>40</v>
          </cell>
          <cell r="BB4">
            <v>40</v>
          </cell>
          <cell r="BC4">
            <v>40</v>
          </cell>
          <cell r="BD4">
            <v>40</v>
          </cell>
          <cell r="BE4">
            <v>40</v>
          </cell>
          <cell r="BF4">
            <v>40</v>
          </cell>
          <cell r="BG4">
            <v>40</v>
          </cell>
          <cell r="BH4">
            <v>40</v>
          </cell>
          <cell r="BI4">
            <v>40</v>
          </cell>
          <cell r="BJ4">
            <v>40</v>
          </cell>
          <cell r="BK4">
            <v>40</v>
          </cell>
          <cell r="BL4">
            <v>40</v>
          </cell>
          <cell r="BM4">
            <v>40</v>
          </cell>
          <cell r="BN4">
            <v>40</v>
          </cell>
          <cell r="BO4">
            <v>40</v>
          </cell>
          <cell r="BP4">
            <v>40</v>
          </cell>
          <cell r="BQ4">
            <v>40</v>
          </cell>
          <cell r="BR4">
            <v>40</v>
          </cell>
          <cell r="BS4">
            <v>40</v>
          </cell>
          <cell r="BT4">
            <v>40</v>
          </cell>
          <cell r="BU4">
            <v>40</v>
          </cell>
          <cell r="BV4">
            <v>40</v>
          </cell>
          <cell r="BW4">
            <v>40</v>
          </cell>
          <cell r="BX4">
            <v>40</v>
          </cell>
          <cell r="BY4">
            <v>40</v>
          </cell>
          <cell r="BZ4">
            <v>40</v>
          </cell>
          <cell r="CA4">
            <v>40</v>
          </cell>
          <cell r="CB4">
            <v>40</v>
          </cell>
          <cell r="CC4">
            <v>40</v>
          </cell>
          <cell r="CD4">
            <v>40</v>
          </cell>
          <cell r="CE4">
            <v>40</v>
          </cell>
          <cell r="CF4">
            <v>40</v>
          </cell>
          <cell r="CG4">
            <v>40</v>
          </cell>
          <cell r="CH4">
            <v>40</v>
          </cell>
          <cell r="CI4">
            <v>40</v>
          </cell>
          <cell r="CJ4">
            <v>40</v>
          </cell>
          <cell r="CK4">
            <v>40</v>
          </cell>
          <cell r="CL4">
            <v>40</v>
          </cell>
          <cell r="CM4">
            <v>40</v>
          </cell>
          <cell r="CN4">
            <v>40</v>
          </cell>
          <cell r="CO4">
            <v>40</v>
          </cell>
          <cell r="CP4">
            <v>40</v>
          </cell>
          <cell r="CQ4">
            <v>40</v>
          </cell>
          <cell r="CR4">
            <v>40</v>
          </cell>
          <cell r="CS4">
            <v>40</v>
          </cell>
          <cell r="CT4">
            <v>40</v>
          </cell>
          <cell r="CU4">
            <v>40</v>
          </cell>
          <cell r="CV4">
            <v>40</v>
          </cell>
          <cell r="CW4">
            <v>40</v>
          </cell>
          <cell r="CX4">
            <v>40</v>
          </cell>
          <cell r="CY4">
            <v>40</v>
          </cell>
          <cell r="CZ4">
            <v>40</v>
          </cell>
          <cell r="DA4">
            <v>40</v>
          </cell>
          <cell r="DB4">
            <v>40</v>
          </cell>
          <cell r="DC4">
            <v>40</v>
          </cell>
          <cell r="DD4">
            <v>40</v>
          </cell>
          <cell r="DE4">
            <v>40</v>
          </cell>
          <cell r="DF4">
            <v>40</v>
          </cell>
          <cell r="DG4">
            <v>40</v>
          </cell>
          <cell r="DH4">
            <v>40</v>
          </cell>
          <cell r="DI4">
            <v>40</v>
          </cell>
          <cell r="DJ4">
            <v>40</v>
          </cell>
          <cell r="DK4">
            <v>40</v>
          </cell>
          <cell r="DL4">
            <v>40</v>
          </cell>
          <cell r="DM4">
            <v>40</v>
          </cell>
          <cell r="DN4">
            <v>40</v>
          </cell>
          <cell r="DO4">
            <v>40</v>
          </cell>
          <cell r="DP4">
            <v>40</v>
          </cell>
          <cell r="DQ4">
            <v>40</v>
          </cell>
          <cell r="DR4">
            <v>40</v>
          </cell>
          <cell r="DS4">
            <v>40</v>
          </cell>
          <cell r="DT4">
            <v>40</v>
          </cell>
          <cell r="DU4">
            <v>40</v>
          </cell>
          <cell r="DV4">
            <v>40</v>
          </cell>
          <cell r="DW4">
            <v>40</v>
          </cell>
          <cell r="DX4">
            <v>40</v>
          </cell>
          <cell r="DY4">
            <v>40</v>
          </cell>
          <cell r="DZ4">
            <v>40</v>
          </cell>
          <cell r="EA4">
            <v>40</v>
          </cell>
          <cell r="EB4">
            <v>40</v>
          </cell>
          <cell r="EC4">
            <v>40</v>
          </cell>
          <cell r="ED4">
            <v>40</v>
          </cell>
          <cell r="EE4">
            <v>40</v>
          </cell>
          <cell r="EF4">
            <v>40</v>
          </cell>
          <cell r="EG4">
            <v>40</v>
          </cell>
          <cell r="EH4">
            <v>40</v>
          </cell>
          <cell r="EI4">
            <v>40</v>
          </cell>
          <cell r="EJ4">
            <v>40</v>
          </cell>
          <cell r="EK4">
            <v>40</v>
          </cell>
          <cell r="EL4">
            <v>40</v>
          </cell>
          <cell r="EM4">
            <v>40</v>
          </cell>
          <cell r="EN4">
            <v>40</v>
          </cell>
          <cell r="EO4">
            <v>40</v>
          </cell>
          <cell r="EP4">
            <v>40</v>
          </cell>
          <cell r="EQ4">
            <v>40</v>
          </cell>
          <cell r="ER4">
            <v>40</v>
          </cell>
          <cell r="ES4">
            <v>40</v>
          </cell>
          <cell r="ET4">
            <v>40</v>
          </cell>
          <cell r="EU4">
            <v>40</v>
          </cell>
          <cell r="EV4">
            <v>40</v>
          </cell>
          <cell r="EW4">
            <v>40</v>
          </cell>
          <cell r="EX4">
            <v>40</v>
          </cell>
          <cell r="EY4">
            <v>40</v>
          </cell>
          <cell r="EZ4">
            <v>40</v>
          </cell>
          <cell r="FA4">
            <v>40</v>
          </cell>
          <cell r="FB4">
            <v>40</v>
          </cell>
          <cell r="FC4">
            <v>40</v>
          </cell>
          <cell r="FD4">
            <v>40</v>
          </cell>
          <cell r="FE4">
            <v>40</v>
          </cell>
          <cell r="FF4">
            <v>40</v>
          </cell>
          <cell r="FG4">
            <v>40</v>
          </cell>
          <cell r="FH4">
            <v>40</v>
          </cell>
          <cell r="FI4">
            <v>40</v>
          </cell>
          <cell r="FJ4">
            <v>40</v>
          </cell>
          <cell r="FK4">
            <v>40</v>
          </cell>
          <cell r="FL4">
            <v>40</v>
          </cell>
          <cell r="FM4">
            <v>40</v>
          </cell>
          <cell r="FN4">
            <v>40</v>
          </cell>
          <cell r="FO4">
            <v>40</v>
          </cell>
          <cell r="FP4">
            <v>40</v>
          </cell>
          <cell r="FQ4">
            <v>40</v>
          </cell>
          <cell r="FR4">
            <v>40</v>
          </cell>
          <cell r="FS4">
            <v>40</v>
          </cell>
          <cell r="FT4">
            <v>40</v>
          </cell>
          <cell r="FU4">
            <v>40</v>
          </cell>
          <cell r="FV4">
            <v>40</v>
          </cell>
          <cell r="FW4">
            <v>40</v>
          </cell>
          <cell r="FX4">
            <v>40</v>
          </cell>
          <cell r="FY4">
            <v>40</v>
          </cell>
          <cell r="FZ4">
            <v>40</v>
          </cell>
          <cell r="GA4">
            <v>40</v>
          </cell>
          <cell r="GB4">
            <v>40</v>
          </cell>
          <cell r="GC4">
            <v>40</v>
          </cell>
          <cell r="GD4">
            <v>40</v>
          </cell>
          <cell r="GE4">
            <v>40</v>
          </cell>
          <cell r="GF4">
            <v>40</v>
          </cell>
          <cell r="GG4">
            <v>40</v>
          </cell>
          <cell r="GH4">
            <v>40</v>
          </cell>
          <cell r="GI4">
            <v>40</v>
          </cell>
          <cell r="GJ4">
            <v>40</v>
          </cell>
          <cell r="GK4">
            <v>40</v>
          </cell>
          <cell r="GL4">
            <v>40</v>
          </cell>
          <cell r="GM4">
            <v>40</v>
          </cell>
          <cell r="GN4">
            <v>40</v>
          </cell>
          <cell r="GO4">
            <v>40</v>
          </cell>
          <cell r="GP4">
            <v>40</v>
          </cell>
          <cell r="GQ4">
            <v>40</v>
          </cell>
          <cell r="GR4">
            <v>40</v>
          </cell>
          <cell r="GS4">
            <v>40</v>
          </cell>
          <cell r="GT4">
            <v>40</v>
          </cell>
          <cell r="GU4">
            <v>40</v>
          </cell>
          <cell r="GV4">
            <v>40</v>
          </cell>
          <cell r="GW4">
            <v>40</v>
          </cell>
          <cell r="GX4">
            <v>40</v>
          </cell>
          <cell r="GY4">
            <v>40</v>
          </cell>
          <cell r="GZ4">
            <v>40</v>
          </cell>
          <cell r="HA4">
            <v>40</v>
          </cell>
          <cell r="HB4">
            <v>40</v>
          </cell>
          <cell r="HC4">
            <v>40</v>
          </cell>
          <cell r="HD4">
            <v>40</v>
          </cell>
          <cell r="HE4">
            <v>40</v>
          </cell>
          <cell r="HF4">
            <v>40</v>
          </cell>
        </row>
        <row r="5">
          <cell r="N5">
            <v>0</v>
          </cell>
          <cell r="O5">
            <v>7.2499999999999991</v>
          </cell>
          <cell r="P5">
            <v>7.2499999999999991</v>
          </cell>
          <cell r="Q5">
            <v>7.25</v>
          </cell>
          <cell r="R5">
            <v>7.2499999999999991</v>
          </cell>
          <cell r="S5">
            <v>7.2499999999999991</v>
          </cell>
          <cell r="T5">
            <v>7.25</v>
          </cell>
          <cell r="U5">
            <v>7.25</v>
          </cell>
          <cell r="V5">
            <v>7.2499999999999991</v>
          </cell>
          <cell r="W5">
            <v>7.2499999999999991</v>
          </cell>
          <cell r="X5">
            <v>7.2499999999999991</v>
          </cell>
          <cell r="Y5">
            <v>7.2499999999999991</v>
          </cell>
          <cell r="Z5">
            <v>7.25</v>
          </cell>
          <cell r="AA5">
            <v>7.2499999999999991</v>
          </cell>
          <cell r="AB5">
            <v>7.25</v>
          </cell>
          <cell r="AC5">
            <v>7.2499999999999991</v>
          </cell>
          <cell r="AD5">
            <v>7.2499999999999991</v>
          </cell>
          <cell r="AE5">
            <v>7.2499999999999991</v>
          </cell>
          <cell r="AF5">
            <v>7.2499999999999991</v>
          </cell>
          <cell r="AG5">
            <v>7.2499999999999991</v>
          </cell>
          <cell r="AH5">
            <v>7.2499999999999991</v>
          </cell>
          <cell r="AI5">
            <v>7.25</v>
          </cell>
          <cell r="AJ5">
            <v>7.2499999999999991</v>
          </cell>
          <cell r="AK5">
            <v>7.25</v>
          </cell>
          <cell r="AL5">
            <v>7.25</v>
          </cell>
          <cell r="AM5">
            <v>7.2499999999999991</v>
          </cell>
          <cell r="AN5">
            <v>7.2499999999999991</v>
          </cell>
          <cell r="AO5">
            <v>7.25</v>
          </cell>
          <cell r="AP5">
            <v>7.25</v>
          </cell>
          <cell r="AQ5">
            <v>7.2499999999999991</v>
          </cell>
          <cell r="AR5">
            <v>7.2499999999999991</v>
          </cell>
          <cell r="AS5">
            <v>7.4264202600958242</v>
          </cell>
          <cell r="AT5">
            <v>7.6659822039698833</v>
          </cell>
          <cell r="AU5">
            <v>7.9055441478439423</v>
          </cell>
          <cell r="AV5">
            <v>8.1451060917180005</v>
          </cell>
          <cell r="AW5">
            <v>8.3846680355920604</v>
          </cell>
          <cell r="AX5">
            <v>8.6242299794661186</v>
          </cell>
          <cell r="AY5">
            <v>8.8637919233401767</v>
          </cell>
          <cell r="AZ5">
            <v>9.1033538672142367</v>
          </cell>
          <cell r="BA5">
            <v>9.3429158110882948</v>
          </cell>
          <cell r="BB5">
            <v>9.5824777549623548</v>
          </cell>
          <cell r="BC5">
            <v>9.8220396988364129</v>
          </cell>
          <cell r="BD5">
            <v>10.061601642710471</v>
          </cell>
          <cell r="BE5">
            <v>10.301163586584531</v>
          </cell>
          <cell r="BF5">
            <v>10.540725530458589</v>
          </cell>
          <cell r="BG5">
            <v>10.780287474332649</v>
          </cell>
          <cell r="BH5">
            <v>11.019849418206707</v>
          </cell>
          <cell r="BI5">
            <v>11.259411362080765</v>
          </cell>
          <cell r="BJ5">
            <v>11.498973305954825</v>
          </cell>
          <cell r="BK5">
            <v>11.738535249828884</v>
          </cell>
          <cell r="BL5">
            <v>11.978097193702943</v>
          </cell>
          <cell r="BM5">
            <v>12.217659137577002</v>
          </cell>
          <cell r="BN5">
            <v>12.45722108145106</v>
          </cell>
          <cell r="BO5">
            <v>12.69678302532512</v>
          </cell>
          <cell r="BP5">
            <v>12.936344969199178</v>
          </cell>
          <cell r="BQ5">
            <v>13.175906913073238</v>
          </cell>
          <cell r="BR5">
            <v>13.415468856947296</v>
          </cell>
          <cell r="BS5">
            <v>13.655030800821354</v>
          </cell>
          <cell r="BT5">
            <v>13.894592744695414</v>
          </cell>
          <cell r="BU5">
            <v>14.134154688569472</v>
          </cell>
          <cell r="BV5">
            <v>14.373716632443532</v>
          </cell>
          <cell r="BW5">
            <v>14.61327857631759</v>
          </cell>
          <cell r="BX5">
            <v>14.852840520191648</v>
          </cell>
          <cell r="BY5">
            <v>15.092402464065708</v>
          </cell>
          <cell r="BZ5">
            <v>15.331964407939767</v>
          </cell>
          <cell r="CA5">
            <v>15.571526351813825</v>
          </cell>
          <cell r="CB5">
            <v>15.811088295687885</v>
          </cell>
          <cell r="CC5">
            <v>16.050650239561943</v>
          </cell>
          <cell r="CD5">
            <v>16.290212183436001</v>
          </cell>
          <cell r="CE5">
            <v>16.529774127310063</v>
          </cell>
          <cell r="CF5">
            <v>16.769336071184121</v>
          </cell>
          <cell r="CG5">
            <v>17.008898015058179</v>
          </cell>
          <cell r="CH5">
            <v>17.248459958932237</v>
          </cell>
          <cell r="CI5">
            <v>17.488021902806295</v>
          </cell>
          <cell r="CJ5">
            <v>17.727583846680353</v>
          </cell>
          <cell r="CK5">
            <v>17.967145790554415</v>
          </cell>
          <cell r="CL5">
            <v>18.206707734428473</v>
          </cell>
          <cell r="CM5">
            <v>18.446269678302532</v>
          </cell>
          <cell r="CN5">
            <v>18.68583162217659</v>
          </cell>
          <cell r="CO5">
            <v>18.925393566050648</v>
          </cell>
          <cell r="CP5">
            <v>19.16495550992471</v>
          </cell>
          <cell r="CQ5">
            <v>19.404517453798768</v>
          </cell>
          <cell r="CR5">
            <v>19.644079397672826</v>
          </cell>
          <cell r="CS5">
            <v>19.883641341546884</v>
          </cell>
          <cell r="CT5">
            <v>20.123203285420942</v>
          </cell>
          <cell r="CU5">
            <v>20.362765229295004</v>
          </cell>
          <cell r="CV5">
            <v>20.602327173169062</v>
          </cell>
          <cell r="CW5">
            <v>20.84188911704312</v>
          </cell>
          <cell r="CX5">
            <v>21.081451060917178</v>
          </cell>
          <cell r="CY5">
            <v>21.321013004791237</v>
          </cell>
          <cell r="CZ5">
            <v>21.560574948665298</v>
          </cell>
          <cell r="DA5">
            <v>21.800136892539356</v>
          </cell>
          <cell r="DB5">
            <v>22.039698836413415</v>
          </cell>
          <cell r="DC5">
            <v>22.279260780287473</v>
          </cell>
          <cell r="DD5">
            <v>22.518822724161531</v>
          </cell>
          <cell r="DE5">
            <v>22.758384668035593</v>
          </cell>
          <cell r="DF5">
            <v>22.997946611909651</v>
          </cell>
          <cell r="DG5">
            <v>23.237508555783709</v>
          </cell>
          <cell r="DH5">
            <v>23.477070499657767</v>
          </cell>
          <cell r="DI5">
            <v>23.716632443531825</v>
          </cell>
          <cell r="DJ5">
            <v>23.956194387405887</v>
          </cell>
          <cell r="DK5">
            <v>24.195756331279945</v>
          </cell>
          <cell r="DL5">
            <v>24.435318275154003</v>
          </cell>
          <cell r="DM5">
            <v>24.674880219028061</v>
          </cell>
          <cell r="DN5">
            <v>24.91444216290212</v>
          </cell>
          <cell r="DO5">
            <v>25.154004106776181</v>
          </cell>
          <cell r="DP5">
            <v>25.393566050650239</v>
          </cell>
          <cell r="DQ5">
            <v>25.633127994524298</v>
          </cell>
          <cell r="DR5">
            <v>25.872689938398356</v>
          </cell>
          <cell r="DS5">
            <v>26.112251882272414</v>
          </cell>
          <cell r="DT5">
            <v>26.351813826146476</v>
          </cell>
          <cell r="DU5">
            <v>26.591375770020534</v>
          </cell>
          <cell r="DV5">
            <v>26.830937713894592</v>
          </cell>
          <cell r="DW5">
            <v>27.07049965776865</v>
          </cell>
          <cell r="DX5">
            <v>27.310061601642708</v>
          </cell>
          <cell r="DY5">
            <v>27.54962354551677</v>
          </cell>
          <cell r="DZ5">
            <v>27.789185489390828</v>
          </cell>
          <cell r="EA5">
            <v>28.028747433264886</v>
          </cell>
          <cell r="EB5">
            <v>28.268309377138944</v>
          </cell>
          <cell r="EC5">
            <v>28.507871321013003</v>
          </cell>
          <cell r="ED5">
            <v>28.747433264887064</v>
          </cell>
          <cell r="EE5">
            <v>28.986995208761122</v>
          </cell>
          <cell r="EF5">
            <v>29.226557152635181</v>
          </cell>
          <cell r="EG5">
            <v>29.466119096509239</v>
          </cell>
          <cell r="EH5">
            <v>29.705681040383297</v>
          </cell>
          <cell r="EI5">
            <v>29.945242984257355</v>
          </cell>
          <cell r="EJ5">
            <v>30.184804928131417</v>
          </cell>
          <cell r="EK5">
            <v>30.424366872005475</v>
          </cell>
          <cell r="EL5">
            <v>30.663928815879533</v>
          </cell>
          <cell r="EM5">
            <v>30.903490759753591</v>
          </cell>
          <cell r="EN5">
            <v>31.143052703627649</v>
          </cell>
          <cell r="EO5">
            <v>31.382614647501711</v>
          </cell>
          <cell r="EP5">
            <v>31.622176591375769</v>
          </cell>
          <cell r="EQ5">
            <v>31.861738535249827</v>
          </cell>
          <cell r="ER5">
            <v>32.101300479123886</v>
          </cell>
          <cell r="ES5">
            <v>32.340862422997944</v>
          </cell>
          <cell r="ET5">
            <v>32.580424366872002</v>
          </cell>
          <cell r="EU5">
            <v>32.81998631074606</v>
          </cell>
          <cell r="EV5">
            <v>33.059548254620125</v>
          </cell>
          <cell r="EW5">
            <v>33.299110198494184</v>
          </cell>
          <cell r="EX5">
            <v>33.538672142368242</v>
          </cell>
          <cell r="EY5">
            <v>33.7782340862423</v>
          </cell>
          <cell r="EZ5">
            <v>34.017796030116358</v>
          </cell>
          <cell r="FA5">
            <v>34.257357973990416</v>
          </cell>
          <cell r="FB5">
            <v>34.496919917864474</v>
          </cell>
          <cell r="FC5">
            <v>34.736481861738532</v>
          </cell>
          <cell r="FD5">
            <v>34.976043805612591</v>
          </cell>
          <cell r="FE5">
            <v>35.215605749486649</v>
          </cell>
          <cell r="FF5">
            <v>35.455167693360707</v>
          </cell>
          <cell r="FG5">
            <v>35.694729637234772</v>
          </cell>
          <cell r="FH5">
            <v>35.93429158110883</v>
          </cell>
          <cell r="FI5">
            <v>36.173853524982889</v>
          </cell>
          <cell r="FJ5">
            <v>36.413415468856947</v>
          </cell>
          <cell r="FK5">
            <v>36.652977412731005</v>
          </cell>
          <cell r="FL5">
            <v>36.892539356605063</v>
          </cell>
          <cell r="FM5">
            <v>37.132101300479121</v>
          </cell>
          <cell r="FN5">
            <v>37.371663244353179</v>
          </cell>
          <cell r="FO5">
            <v>37.611225188227237</v>
          </cell>
          <cell r="FP5">
            <v>37.850787132101296</v>
          </cell>
          <cell r="FQ5">
            <v>38.090349075975361</v>
          </cell>
          <cell r="FR5">
            <v>38.329911019849419</v>
          </cell>
          <cell r="FS5">
            <v>38.569472963723477</v>
          </cell>
          <cell r="FT5">
            <v>38.809034907597535</v>
          </cell>
          <cell r="FU5">
            <v>39.048596851471594</v>
          </cell>
          <cell r="FV5">
            <v>39.288158795345652</v>
          </cell>
          <cell r="FW5">
            <v>39.52772073921971</v>
          </cell>
          <cell r="FX5">
            <v>39.767282683093768</v>
          </cell>
          <cell r="FY5">
            <v>40.006844626967826</v>
          </cell>
          <cell r="FZ5">
            <v>40.246406570841884</v>
          </cell>
          <cell r="GA5">
            <v>40.48596851471595</v>
          </cell>
          <cell r="GB5">
            <v>40.725530458590008</v>
          </cell>
          <cell r="GC5">
            <v>40.965092402464066</v>
          </cell>
          <cell r="GD5">
            <v>41.204654346338124</v>
          </cell>
          <cell r="GE5">
            <v>41.444216290212182</v>
          </cell>
          <cell r="GF5">
            <v>41.68377823408624</v>
          </cell>
          <cell r="GG5">
            <v>41.923340177960299</v>
          </cell>
          <cell r="GH5">
            <v>42.162902121834357</v>
          </cell>
          <cell r="GI5">
            <v>42.402464065708415</v>
          </cell>
          <cell r="GJ5">
            <v>42.642026009582473</v>
          </cell>
          <cell r="GK5">
            <v>42.881587953456538</v>
          </cell>
          <cell r="GL5">
            <v>43.121149897330596</v>
          </cell>
          <cell r="GM5">
            <v>43.360711841204655</v>
          </cell>
          <cell r="GN5">
            <v>43.600273785078713</v>
          </cell>
          <cell r="GO5">
            <v>43.839835728952771</v>
          </cell>
          <cell r="GP5">
            <v>44.079397672826829</v>
          </cell>
          <cell r="GQ5">
            <v>44.318959616700887</v>
          </cell>
          <cell r="GR5">
            <v>44.558521560574945</v>
          </cell>
          <cell r="GS5">
            <v>44.798083504449004</v>
          </cell>
          <cell r="GT5">
            <v>45.037645448323062</v>
          </cell>
          <cell r="GU5">
            <v>45.277207392197127</v>
          </cell>
          <cell r="GV5">
            <v>45.516769336071185</v>
          </cell>
          <cell r="GW5">
            <v>45.756331279945243</v>
          </cell>
          <cell r="GX5">
            <v>45.995893223819301</v>
          </cell>
          <cell r="GY5">
            <v>46.23545516769336</v>
          </cell>
          <cell r="GZ5">
            <v>46.475017111567418</v>
          </cell>
          <cell r="HA5">
            <v>46.714579055441476</v>
          </cell>
          <cell r="HB5">
            <v>46.954140999315534</v>
          </cell>
          <cell r="HC5">
            <v>47.193702943189592</v>
          </cell>
          <cell r="HD5">
            <v>47.43326488706365</v>
          </cell>
          <cell r="HE5">
            <v>47.672826830937709</v>
          </cell>
          <cell r="HF5">
            <v>47.912388774811774</v>
          </cell>
        </row>
        <row r="15">
          <cell r="N15">
            <v>0</v>
          </cell>
          <cell r="O15">
            <v>500</v>
          </cell>
          <cell r="P15">
            <v>1000</v>
          </cell>
          <cell r="Q15">
            <v>1500</v>
          </cell>
          <cell r="R15">
            <v>2000</v>
          </cell>
          <cell r="S15">
            <v>2500</v>
          </cell>
          <cell r="T15">
            <v>3000</v>
          </cell>
          <cell r="U15">
            <v>3500</v>
          </cell>
          <cell r="V15">
            <v>4000</v>
          </cell>
          <cell r="W15">
            <v>4500</v>
          </cell>
          <cell r="X15">
            <v>5000</v>
          </cell>
          <cell r="Y15">
            <v>5500</v>
          </cell>
          <cell r="Z15">
            <v>6000</v>
          </cell>
          <cell r="AA15">
            <v>6500</v>
          </cell>
          <cell r="AB15">
            <v>7000</v>
          </cell>
          <cell r="AC15">
            <v>7500</v>
          </cell>
          <cell r="AD15">
            <v>8000</v>
          </cell>
          <cell r="AE15">
            <v>8500</v>
          </cell>
          <cell r="AF15">
            <v>9000</v>
          </cell>
          <cell r="AG15">
            <v>9500</v>
          </cell>
          <cell r="AH15">
            <v>10000</v>
          </cell>
          <cell r="AI15">
            <v>10500</v>
          </cell>
          <cell r="AJ15">
            <v>11000</v>
          </cell>
          <cell r="AK15">
            <v>11500</v>
          </cell>
          <cell r="AL15">
            <v>12000</v>
          </cell>
          <cell r="AM15">
            <v>12500</v>
          </cell>
          <cell r="AN15">
            <v>13000</v>
          </cell>
          <cell r="AO15">
            <v>13500</v>
          </cell>
          <cell r="AP15">
            <v>14000</v>
          </cell>
          <cell r="AQ15">
            <v>14500</v>
          </cell>
          <cell r="AR15">
            <v>15000</v>
          </cell>
          <cell r="AS15">
            <v>15500</v>
          </cell>
          <cell r="AT15">
            <v>16000</v>
          </cell>
          <cell r="AU15">
            <v>16500</v>
          </cell>
          <cell r="AV15">
            <v>17000</v>
          </cell>
          <cell r="AW15">
            <v>17500</v>
          </cell>
          <cell r="AX15">
            <v>18000</v>
          </cell>
          <cell r="AY15">
            <v>18500</v>
          </cell>
          <cell r="AZ15">
            <v>19000</v>
          </cell>
          <cell r="BA15">
            <v>19500</v>
          </cell>
          <cell r="BB15">
            <v>20000</v>
          </cell>
          <cell r="BC15">
            <v>20500</v>
          </cell>
          <cell r="BD15">
            <v>21000</v>
          </cell>
          <cell r="BE15">
            <v>21500</v>
          </cell>
          <cell r="BF15">
            <v>22000</v>
          </cell>
          <cell r="BG15">
            <v>22500</v>
          </cell>
          <cell r="BH15">
            <v>23000</v>
          </cell>
          <cell r="BI15">
            <v>23500</v>
          </cell>
          <cell r="BJ15">
            <v>24000</v>
          </cell>
          <cell r="BK15">
            <v>24500</v>
          </cell>
          <cell r="BL15">
            <v>25000</v>
          </cell>
          <cell r="BM15">
            <v>25500</v>
          </cell>
          <cell r="BN15">
            <v>26000</v>
          </cell>
          <cell r="BO15">
            <v>26500</v>
          </cell>
          <cell r="BP15">
            <v>27000</v>
          </cell>
          <cell r="BQ15">
            <v>27500</v>
          </cell>
          <cell r="BR15">
            <v>28000</v>
          </cell>
          <cell r="BS15">
            <v>28500</v>
          </cell>
          <cell r="BT15">
            <v>29000</v>
          </cell>
          <cell r="BU15">
            <v>29500</v>
          </cell>
          <cell r="BV15">
            <v>30000</v>
          </cell>
          <cell r="BW15">
            <v>30500</v>
          </cell>
          <cell r="BX15">
            <v>31000</v>
          </cell>
          <cell r="BY15">
            <v>31500</v>
          </cell>
          <cell r="BZ15">
            <v>32000</v>
          </cell>
          <cell r="CA15">
            <v>32500</v>
          </cell>
          <cell r="CB15">
            <v>33000</v>
          </cell>
          <cell r="CC15">
            <v>33500</v>
          </cell>
          <cell r="CD15">
            <v>34000</v>
          </cell>
          <cell r="CE15">
            <v>34500</v>
          </cell>
          <cell r="CF15">
            <v>35000</v>
          </cell>
          <cell r="CG15">
            <v>35500</v>
          </cell>
          <cell r="CH15">
            <v>36000</v>
          </cell>
          <cell r="CI15">
            <v>36500</v>
          </cell>
          <cell r="CJ15">
            <v>37000</v>
          </cell>
          <cell r="CK15">
            <v>37500</v>
          </cell>
          <cell r="CL15">
            <v>38000</v>
          </cell>
          <cell r="CM15">
            <v>38500</v>
          </cell>
          <cell r="CN15">
            <v>39000</v>
          </cell>
          <cell r="CO15">
            <v>39500</v>
          </cell>
          <cell r="CP15">
            <v>40000</v>
          </cell>
          <cell r="CQ15">
            <v>40500</v>
          </cell>
          <cell r="CR15">
            <v>41000</v>
          </cell>
          <cell r="CS15">
            <v>41500</v>
          </cell>
          <cell r="CT15">
            <v>42000</v>
          </cell>
          <cell r="CU15">
            <v>42500</v>
          </cell>
          <cell r="CV15">
            <v>43000</v>
          </cell>
          <cell r="CW15">
            <v>43500</v>
          </cell>
          <cell r="CX15">
            <v>44000</v>
          </cell>
          <cell r="CY15">
            <v>44500</v>
          </cell>
          <cell r="CZ15">
            <v>45000</v>
          </cell>
          <cell r="DA15">
            <v>45500</v>
          </cell>
          <cell r="DB15">
            <v>46000</v>
          </cell>
          <cell r="DC15">
            <v>46500</v>
          </cell>
          <cell r="DD15">
            <v>47000</v>
          </cell>
          <cell r="DE15">
            <v>47500</v>
          </cell>
          <cell r="DF15">
            <v>48000</v>
          </cell>
          <cell r="DG15">
            <v>48500</v>
          </cell>
          <cell r="DH15">
            <v>49000</v>
          </cell>
          <cell r="DI15">
            <v>49500</v>
          </cell>
          <cell r="DJ15">
            <v>50000</v>
          </cell>
          <cell r="DK15">
            <v>50500</v>
          </cell>
          <cell r="DL15">
            <v>51000</v>
          </cell>
          <cell r="DM15">
            <v>51500</v>
          </cell>
          <cell r="DN15">
            <v>52000</v>
          </cell>
          <cell r="DO15">
            <v>52500</v>
          </cell>
          <cell r="DP15">
            <v>53000</v>
          </cell>
          <cell r="DQ15">
            <v>53500</v>
          </cell>
          <cell r="DR15">
            <v>54000</v>
          </cell>
          <cell r="DS15">
            <v>54500</v>
          </cell>
          <cell r="DT15">
            <v>55000</v>
          </cell>
          <cell r="DU15">
            <v>55500</v>
          </cell>
          <cell r="DV15">
            <v>56000</v>
          </cell>
          <cell r="DW15">
            <v>56500</v>
          </cell>
          <cell r="DX15">
            <v>57000</v>
          </cell>
          <cell r="DY15">
            <v>57500</v>
          </cell>
          <cell r="DZ15">
            <v>58000</v>
          </cell>
          <cell r="EA15">
            <v>58500</v>
          </cell>
          <cell r="EB15">
            <v>59000</v>
          </cell>
          <cell r="EC15">
            <v>59500</v>
          </cell>
          <cell r="ED15">
            <v>60000</v>
          </cell>
          <cell r="EE15">
            <v>60500</v>
          </cell>
          <cell r="EF15">
            <v>61000</v>
          </cell>
          <cell r="EG15">
            <v>61500</v>
          </cell>
          <cell r="EH15">
            <v>62000</v>
          </cell>
          <cell r="EI15">
            <v>62500</v>
          </cell>
          <cell r="EJ15">
            <v>63000</v>
          </cell>
          <cell r="EK15">
            <v>63500</v>
          </cell>
          <cell r="EL15">
            <v>64000</v>
          </cell>
          <cell r="EM15">
            <v>64500</v>
          </cell>
          <cell r="EN15">
            <v>65000</v>
          </cell>
          <cell r="EO15">
            <v>65500</v>
          </cell>
          <cell r="EP15">
            <v>66000</v>
          </cell>
          <cell r="EQ15">
            <v>66500</v>
          </cell>
          <cell r="ER15">
            <v>67000</v>
          </cell>
          <cell r="ES15">
            <v>67500</v>
          </cell>
          <cell r="ET15">
            <v>68000</v>
          </cell>
          <cell r="EU15">
            <v>68500</v>
          </cell>
          <cell r="EV15">
            <v>69000</v>
          </cell>
          <cell r="EW15">
            <v>69500</v>
          </cell>
          <cell r="EX15">
            <v>70000</v>
          </cell>
          <cell r="EY15">
            <v>70500</v>
          </cell>
          <cell r="EZ15">
            <v>71000</v>
          </cell>
          <cell r="FA15">
            <v>71500</v>
          </cell>
          <cell r="FB15">
            <v>72000</v>
          </cell>
          <cell r="FC15">
            <v>72500</v>
          </cell>
          <cell r="FD15">
            <v>73000</v>
          </cell>
          <cell r="FE15">
            <v>73500</v>
          </cell>
          <cell r="FF15">
            <v>74000</v>
          </cell>
          <cell r="FG15">
            <v>74500</v>
          </cell>
          <cell r="FH15">
            <v>75000</v>
          </cell>
          <cell r="FI15">
            <v>75500</v>
          </cell>
          <cell r="FJ15">
            <v>76000</v>
          </cell>
          <cell r="FK15">
            <v>76500</v>
          </cell>
          <cell r="FL15">
            <v>77000</v>
          </cell>
          <cell r="FM15">
            <v>77500</v>
          </cell>
          <cell r="FN15">
            <v>78000</v>
          </cell>
          <cell r="FO15">
            <v>78500</v>
          </cell>
          <cell r="FP15">
            <v>79000</v>
          </cell>
          <cell r="FQ15">
            <v>79500</v>
          </cell>
          <cell r="FR15">
            <v>80000</v>
          </cell>
          <cell r="FS15">
            <v>80500</v>
          </cell>
          <cell r="FT15">
            <v>81000</v>
          </cell>
          <cell r="FU15">
            <v>81500</v>
          </cell>
          <cell r="FV15">
            <v>82000</v>
          </cell>
          <cell r="FW15">
            <v>82500</v>
          </cell>
          <cell r="FX15">
            <v>83000</v>
          </cell>
          <cell r="FY15">
            <v>83500</v>
          </cell>
          <cell r="FZ15">
            <v>84000</v>
          </cell>
          <cell r="GA15">
            <v>84500</v>
          </cell>
          <cell r="GB15">
            <v>85000</v>
          </cell>
          <cell r="GC15">
            <v>85500</v>
          </cell>
          <cell r="GD15">
            <v>86000</v>
          </cell>
          <cell r="GE15">
            <v>86500</v>
          </cell>
          <cell r="GF15">
            <v>87000</v>
          </cell>
          <cell r="GG15">
            <v>87500</v>
          </cell>
          <cell r="GH15">
            <v>88000</v>
          </cell>
          <cell r="GI15">
            <v>88500</v>
          </cell>
          <cell r="GJ15">
            <v>89000</v>
          </cell>
          <cell r="GK15">
            <v>89500</v>
          </cell>
          <cell r="GL15">
            <v>90000</v>
          </cell>
          <cell r="GM15">
            <v>90500</v>
          </cell>
          <cell r="GN15">
            <v>91000</v>
          </cell>
          <cell r="GO15">
            <v>91500</v>
          </cell>
          <cell r="GP15">
            <v>92000</v>
          </cell>
          <cell r="GQ15">
            <v>92500</v>
          </cell>
          <cell r="GR15">
            <v>93000</v>
          </cell>
          <cell r="GS15">
            <v>93500</v>
          </cell>
          <cell r="GT15">
            <v>94000</v>
          </cell>
          <cell r="GU15">
            <v>94500</v>
          </cell>
          <cell r="GV15">
            <v>95000</v>
          </cell>
          <cell r="GW15">
            <v>95500</v>
          </cell>
          <cell r="GX15">
            <v>96000</v>
          </cell>
          <cell r="GY15">
            <v>96500</v>
          </cell>
          <cell r="GZ15">
            <v>97000</v>
          </cell>
          <cell r="HA15">
            <v>97500</v>
          </cell>
          <cell r="HB15">
            <v>98000</v>
          </cell>
          <cell r="HC15">
            <v>98500</v>
          </cell>
          <cell r="HD15">
            <v>99000</v>
          </cell>
          <cell r="HE15">
            <v>99500</v>
          </cell>
          <cell r="HF15">
            <v>100000</v>
          </cell>
        </row>
        <row r="19">
          <cell r="N19">
            <v>0</v>
          </cell>
          <cell r="O19">
            <v>38</v>
          </cell>
          <cell r="P19">
            <v>77</v>
          </cell>
          <cell r="Q19">
            <v>115</v>
          </cell>
          <cell r="R19">
            <v>153</v>
          </cell>
          <cell r="S19">
            <v>191</v>
          </cell>
          <cell r="T19">
            <v>230</v>
          </cell>
          <cell r="U19">
            <v>268</v>
          </cell>
          <cell r="V19">
            <v>306</v>
          </cell>
          <cell r="W19">
            <v>344</v>
          </cell>
          <cell r="X19">
            <v>383</v>
          </cell>
          <cell r="Y19">
            <v>421</v>
          </cell>
          <cell r="Z19">
            <v>459</v>
          </cell>
          <cell r="AA19">
            <v>497</v>
          </cell>
          <cell r="AB19">
            <v>536</v>
          </cell>
          <cell r="AC19">
            <v>574</v>
          </cell>
          <cell r="AD19">
            <v>612</v>
          </cell>
          <cell r="AE19">
            <v>650</v>
          </cell>
          <cell r="AF19">
            <v>689</v>
          </cell>
          <cell r="AG19">
            <v>727</v>
          </cell>
          <cell r="AH19">
            <v>765</v>
          </cell>
          <cell r="AI19">
            <v>803</v>
          </cell>
          <cell r="AJ19">
            <v>842</v>
          </cell>
          <cell r="AK19">
            <v>880</v>
          </cell>
          <cell r="AL19">
            <v>918</v>
          </cell>
          <cell r="AM19">
            <v>956</v>
          </cell>
          <cell r="AN19">
            <v>995</v>
          </cell>
          <cell r="AO19">
            <v>1033</v>
          </cell>
          <cell r="AP19">
            <v>1071</v>
          </cell>
          <cell r="AQ19">
            <v>1109</v>
          </cell>
          <cell r="AR19">
            <v>1148</v>
          </cell>
          <cell r="AS19">
            <v>1186</v>
          </cell>
          <cell r="AT19">
            <v>1224</v>
          </cell>
          <cell r="AU19">
            <v>1262</v>
          </cell>
          <cell r="AV19">
            <v>1301</v>
          </cell>
          <cell r="AW19">
            <v>1339</v>
          </cell>
          <cell r="AX19">
            <v>1377</v>
          </cell>
          <cell r="AY19">
            <v>1415</v>
          </cell>
          <cell r="AZ19">
            <v>1454</v>
          </cell>
          <cell r="BA19">
            <v>1492</v>
          </cell>
          <cell r="BB19">
            <v>1530</v>
          </cell>
          <cell r="BC19">
            <v>1568</v>
          </cell>
          <cell r="BD19">
            <v>1607</v>
          </cell>
          <cell r="BE19">
            <v>1645</v>
          </cell>
          <cell r="BF19">
            <v>1683</v>
          </cell>
          <cell r="BG19">
            <v>1721</v>
          </cell>
          <cell r="BH19">
            <v>1760</v>
          </cell>
          <cell r="BI19">
            <v>1798</v>
          </cell>
          <cell r="BJ19">
            <v>1836</v>
          </cell>
          <cell r="BK19">
            <v>1874</v>
          </cell>
          <cell r="BL19">
            <v>1913</v>
          </cell>
          <cell r="BM19">
            <v>1951</v>
          </cell>
          <cell r="BN19">
            <v>1989</v>
          </cell>
          <cell r="BO19">
            <v>2027</v>
          </cell>
          <cell r="BP19">
            <v>2066</v>
          </cell>
          <cell r="BQ19">
            <v>2104</v>
          </cell>
          <cell r="BR19">
            <v>2142</v>
          </cell>
          <cell r="BS19">
            <v>2180</v>
          </cell>
          <cell r="BT19">
            <v>2219</v>
          </cell>
          <cell r="BU19">
            <v>2257</v>
          </cell>
          <cell r="BV19">
            <v>2295</v>
          </cell>
          <cell r="BW19">
            <v>2333</v>
          </cell>
          <cell r="BX19">
            <v>2372</v>
          </cell>
          <cell r="BY19">
            <v>2410</v>
          </cell>
          <cell r="BZ19">
            <v>2448</v>
          </cell>
          <cell r="CA19">
            <v>2486</v>
          </cell>
          <cell r="CB19">
            <v>2525</v>
          </cell>
          <cell r="CC19">
            <v>2563</v>
          </cell>
          <cell r="CD19">
            <v>2601</v>
          </cell>
          <cell r="CE19">
            <v>2639</v>
          </cell>
          <cell r="CF19">
            <v>2678</v>
          </cell>
          <cell r="CG19">
            <v>2716</v>
          </cell>
          <cell r="CH19">
            <v>2754</v>
          </cell>
          <cell r="CI19">
            <v>2792</v>
          </cell>
          <cell r="CJ19">
            <v>2831</v>
          </cell>
          <cell r="CK19">
            <v>2869</v>
          </cell>
          <cell r="CL19">
            <v>2907</v>
          </cell>
          <cell r="CM19">
            <v>2945</v>
          </cell>
          <cell r="CN19">
            <v>2984</v>
          </cell>
          <cell r="CO19">
            <v>3022</v>
          </cell>
          <cell r="CP19">
            <v>3060</v>
          </cell>
          <cell r="CQ19">
            <v>3098</v>
          </cell>
          <cell r="CR19">
            <v>3137</v>
          </cell>
          <cell r="CS19">
            <v>3175</v>
          </cell>
          <cell r="CT19">
            <v>3213</v>
          </cell>
          <cell r="CU19">
            <v>3251</v>
          </cell>
          <cell r="CV19">
            <v>3290</v>
          </cell>
          <cell r="CW19">
            <v>3328</v>
          </cell>
          <cell r="CX19">
            <v>3366</v>
          </cell>
          <cell r="CY19">
            <v>3404</v>
          </cell>
          <cell r="CZ19">
            <v>3443</v>
          </cell>
          <cell r="DA19">
            <v>3481</v>
          </cell>
          <cell r="DB19">
            <v>3519</v>
          </cell>
          <cell r="DC19">
            <v>3557</v>
          </cell>
          <cell r="DD19">
            <v>3596</v>
          </cell>
          <cell r="DE19">
            <v>3634</v>
          </cell>
          <cell r="DF19">
            <v>3672</v>
          </cell>
          <cell r="DG19">
            <v>3710</v>
          </cell>
          <cell r="DH19">
            <v>3749</v>
          </cell>
          <cell r="DI19">
            <v>3787</v>
          </cell>
          <cell r="DJ19">
            <v>3825</v>
          </cell>
          <cell r="DK19">
            <v>3863</v>
          </cell>
          <cell r="DL19">
            <v>3902</v>
          </cell>
          <cell r="DM19">
            <v>3940</v>
          </cell>
          <cell r="DN19">
            <v>3978</v>
          </cell>
          <cell r="DO19">
            <v>4016</v>
          </cell>
          <cell r="DP19">
            <v>4055</v>
          </cell>
          <cell r="DQ19">
            <v>4093</v>
          </cell>
          <cell r="DR19">
            <v>4131</v>
          </cell>
          <cell r="DS19">
            <v>4169</v>
          </cell>
          <cell r="DT19">
            <v>4208</v>
          </cell>
          <cell r="DU19">
            <v>4246</v>
          </cell>
          <cell r="DV19">
            <v>4284</v>
          </cell>
          <cell r="DW19">
            <v>4322</v>
          </cell>
          <cell r="DX19">
            <v>4361</v>
          </cell>
          <cell r="DY19">
            <v>4399</v>
          </cell>
          <cell r="DZ19">
            <v>4437</v>
          </cell>
          <cell r="EA19">
            <v>4475</v>
          </cell>
          <cell r="EB19">
            <v>4514</v>
          </cell>
          <cell r="EC19">
            <v>4552</v>
          </cell>
          <cell r="ED19">
            <v>4590</v>
          </cell>
          <cell r="EE19">
            <v>4628</v>
          </cell>
          <cell r="EF19">
            <v>4667</v>
          </cell>
          <cell r="EG19">
            <v>4705</v>
          </cell>
          <cell r="EH19">
            <v>4743</v>
          </cell>
          <cell r="EI19">
            <v>4781</v>
          </cell>
          <cell r="EJ19">
            <v>4820</v>
          </cell>
          <cell r="EK19">
            <v>4858</v>
          </cell>
          <cell r="EL19">
            <v>4896</v>
          </cell>
          <cell r="EM19">
            <v>4934</v>
          </cell>
          <cell r="EN19">
            <v>4973</v>
          </cell>
          <cell r="EO19">
            <v>5011</v>
          </cell>
          <cell r="EP19">
            <v>5049</v>
          </cell>
          <cell r="EQ19">
            <v>5087</v>
          </cell>
          <cell r="ER19">
            <v>5126</v>
          </cell>
          <cell r="ES19">
            <v>5164</v>
          </cell>
          <cell r="ET19">
            <v>5202</v>
          </cell>
          <cell r="EU19">
            <v>5240</v>
          </cell>
          <cell r="EV19">
            <v>5279</v>
          </cell>
          <cell r="EW19">
            <v>5317</v>
          </cell>
          <cell r="EX19">
            <v>5355</v>
          </cell>
          <cell r="EY19">
            <v>5393</v>
          </cell>
          <cell r="EZ19">
            <v>5432</v>
          </cell>
          <cell r="FA19">
            <v>5470</v>
          </cell>
          <cell r="FB19">
            <v>5508</v>
          </cell>
          <cell r="FC19">
            <v>5546</v>
          </cell>
          <cell r="FD19">
            <v>5585</v>
          </cell>
          <cell r="FE19">
            <v>5623</v>
          </cell>
          <cell r="FF19">
            <v>5661</v>
          </cell>
          <cell r="FG19">
            <v>5699</v>
          </cell>
          <cell r="FH19">
            <v>5738</v>
          </cell>
          <cell r="FI19">
            <v>5776</v>
          </cell>
          <cell r="FJ19">
            <v>5814</v>
          </cell>
          <cell r="FK19">
            <v>5852</v>
          </cell>
          <cell r="FL19">
            <v>5891</v>
          </cell>
          <cell r="FM19">
            <v>5929</v>
          </cell>
          <cell r="FN19">
            <v>5967</v>
          </cell>
          <cell r="FO19">
            <v>6005</v>
          </cell>
          <cell r="FP19">
            <v>6044</v>
          </cell>
          <cell r="FQ19">
            <v>6082</v>
          </cell>
          <cell r="FR19">
            <v>6120</v>
          </cell>
          <cell r="FS19">
            <v>6158</v>
          </cell>
          <cell r="FT19">
            <v>6197</v>
          </cell>
          <cell r="FU19">
            <v>6235</v>
          </cell>
          <cell r="FV19">
            <v>6273</v>
          </cell>
          <cell r="FW19">
            <v>6311</v>
          </cell>
          <cell r="FX19">
            <v>6350</v>
          </cell>
          <cell r="FY19">
            <v>6388</v>
          </cell>
          <cell r="FZ19">
            <v>6426</v>
          </cell>
          <cell r="GA19">
            <v>6464</v>
          </cell>
          <cell r="GB19">
            <v>6503</v>
          </cell>
          <cell r="GC19">
            <v>6541</v>
          </cell>
          <cell r="GD19">
            <v>6579</v>
          </cell>
          <cell r="GE19">
            <v>6617</v>
          </cell>
          <cell r="GF19">
            <v>6656</v>
          </cell>
          <cell r="GG19">
            <v>6694</v>
          </cell>
          <cell r="GH19">
            <v>6732</v>
          </cell>
          <cell r="GI19">
            <v>6770</v>
          </cell>
          <cell r="GJ19">
            <v>6809</v>
          </cell>
          <cell r="GK19">
            <v>6847</v>
          </cell>
          <cell r="GL19">
            <v>6885</v>
          </cell>
          <cell r="GM19">
            <v>6923</v>
          </cell>
          <cell r="GN19">
            <v>6962</v>
          </cell>
          <cell r="GO19">
            <v>7000</v>
          </cell>
          <cell r="GP19">
            <v>7038</v>
          </cell>
          <cell r="GQ19">
            <v>7076</v>
          </cell>
          <cell r="GR19">
            <v>7115</v>
          </cell>
          <cell r="GS19">
            <v>7153</v>
          </cell>
          <cell r="GT19">
            <v>7191</v>
          </cell>
          <cell r="GU19">
            <v>7229</v>
          </cell>
          <cell r="GV19">
            <v>7268</v>
          </cell>
          <cell r="GW19">
            <v>7306</v>
          </cell>
          <cell r="GX19">
            <v>7344</v>
          </cell>
          <cell r="GY19">
            <v>7382</v>
          </cell>
          <cell r="GZ19">
            <v>7421</v>
          </cell>
          <cell r="HA19">
            <v>7459</v>
          </cell>
          <cell r="HB19">
            <v>7497</v>
          </cell>
          <cell r="HC19">
            <v>7535</v>
          </cell>
          <cell r="HD19">
            <v>7574</v>
          </cell>
          <cell r="HE19">
            <v>7612</v>
          </cell>
          <cell r="HF19">
            <v>7650</v>
          </cell>
        </row>
        <row r="26">
          <cell r="N26">
            <v>0</v>
          </cell>
          <cell r="O26">
            <v>500</v>
          </cell>
          <cell r="P26">
            <v>1000</v>
          </cell>
          <cell r="Q26">
            <v>1500</v>
          </cell>
          <cell r="R26">
            <v>2000</v>
          </cell>
          <cell r="S26">
            <v>2500</v>
          </cell>
          <cell r="T26">
            <v>3000</v>
          </cell>
          <cell r="U26">
            <v>3500</v>
          </cell>
          <cell r="V26">
            <v>4000</v>
          </cell>
          <cell r="W26">
            <v>4500</v>
          </cell>
          <cell r="X26">
            <v>5000</v>
          </cell>
          <cell r="Y26">
            <v>5500</v>
          </cell>
          <cell r="Z26">
            <v>6000</v>
          </cell>
          <cell r="AA26">
            <v>6500</v>
          </cell>
          <cell r="AB26">
            <v>7000</v>
          </cell>
          <cell r="AC26">
            <v>7500</v>
          </cell>
          <cell r="AD26">
            <v>8000</v>
          </cell>
          <cell r="AE26">
            <v>8500</v>
          </cell>
          <cell r="AF26">
            <v>9000</v>
          </cell>
          <cell r="AG26">
            <v>9500</v>
          </cell>
          <cell r="AH26">
            <v>10000</v>
          </cell>
          <cell r="AI26">
            <v>10500</v>
          </cell>
          <cell r="AJ26">
            <v>11000</v>
          </cell>
          <cell r="AK26">
            <v>11500</v>
          </cell>
          <cell r="AL26">
            <v>12000</v>
          </cell>
          <cell r="AM26">
            <v>12500</v>
          </cell>
          <cell r="AN26">
            <v>13000</v>
          </cell>
          <cell r="AO26">
            <v>13500</v>
          </cell>
          <cell r="AP26">
            <v>14000</v>
          </cell>
          <cell r="AQ26">
            <v>14500</v>
          </cell>
          <cell r="AR26">
            <v>15000</v>
          </cell>
          <cell r="AS26">
            <v>15500</v>
          </cell>
          <cell r="AT26">
            <v>16000</v>
          </cell>
          <cell r="AU26">
            <v>16500</v>
          </cell>
          <cell r="AV26">
            <v>17000</v>
          </cell>
          <cell r="AW26">
            <v>17500</v>
          </cell>
          <cell r="AX26">
            <v>18000</v>
          </cell>
          <cell r="AY26">
            <v>18500</v>
          </cell>
          <cell r="AZ26">
            <v>19000</v>
          </cell>
          <cell r="BA26">
            <v>19500</v>
          </cell>
          <cell r="BB26">
            <v>20000</v>
          </cell>
          <cell r="BC26">
            <v>20500</v>
          </cell>
          <cell r="BD26">
            <v>21000</v>
          </cell>
          <cell r="BE26">
            <v>21500</v>
          </cell>
          <cell r="BF26">
            <v>22000</v>
          </cell>
          <cell r="BG26">
            <v>22500</v>
          </cell>
          <cell r="BH26">
            <v>23000</v>
          </cell>
          <cell r="BI26">
            <v>23500</v>
          </cell>
          <cell r="BJ26">
            <v>24000</v>
          </cell>
          <cell r="BK26">
            <v>24500</v>
          </cell>
          <cell r="BL26">
            <v>25000</v>
          </cell>
          <cell r="BM26">
            <v>25500</v>
          </cell>
          <cell r="BN26">
            <v>26000</v>
          </cell>
          <cell r="BO26">
            <v>26500</v>
          </cell>
          <cell r="BP26">
            <v>27000</v>
          </cell>
          <cell r="BQ26">
            <v>27500</v>
          </cell>
          <cell r="BR26">
            <v>28000</v>
          </cell>
          <cell r="BS26">
            <v>28500</v>
          </cell>
          <cell r="BT26">
            <v>29000</v>
          </cell>
          <cell r="BU26">
            <v>29500</v>
          </cell>
          <cell r="BV26">
            <v>30000</v>
          </cell>
          <cell r="BW26">
            <v>30500</v>
          </cell>
          <cell r="BX26">
            <v>31000</v>
          </cell>
          <cell r="BY26">
            <v>31500</v>
          </cell>
          <cell r="BZ26">
            <v>32000</v>
          </cell>
          <cell r="CA26">
            <v>32500</v>
          </cell>
          <cell r="CB26">
            <v>33000</v>
          </cell>
          <cell r="CC26">
            <v>33500</v>
          </cell>
          <cell r="CD26">
            <v>34000</v>
          </cell>
          <cell r="CE26">
            <v>34500</v>
          </cell>
          <cell r="CF26">
            <v>35000</v>
          </cell>
          <cell r="CG26">
            <v>35500</v>
          </cell>
          <cell r="CH26">
            <v>36000</v>
          </cell>
          <cell r="CI26">
            <v>36500</v>
          </cell>
          <cell r="CJ26">
            <v>37000</v>
          </cell>
          <cell r="CK26">
            <v>37500</v>
          </cell>
          <cell r="CL26">
            <v>38000</v>
          </cell>
          <cell r="CM26">
            <v>38500</v>
          </cell>
          <cell r="CN26">
            <v>39000</v>
          </cell>
          <cell r="CO26">
            <v>39500</v>
          </cell>
          <cell r="CP26">
            <v>40000</v>
          </cell>
          <cell r="CQ26">
            <v>40500</v>
          </cell>
          <cell r="CR26">
            <v>41000</v>
          </cell>
          <cell r="CS26">
            <v>41500</v>
          </cell>
          <cell r="CT26">
            <v>42000</v>
          </cell>
          <cell r="CU26">
            <v>42500</v>
          </cell>
          <cell r="CV26">
            <v>43000</v>
          </cell>
          <cell r="CW26">
            <v>43500</v>
          </cell>
          <cell r="CX26">
            <v>44000</v>
          </cell>
          <cell r="CY26">
            <v>44500</v>
          </cell>
          <cell r="CZ26">
            <v>45000</v>
          </cell>
          <cell r="DA26">
            <v>45500</v>
          </cell>
          <cell r="DB26">
            <v>46000</v>
          </cell>
          <cell r="DC26">
            <v>46500</v>
          </cell>
          <cell r="DD26">
            <v>47000</v>
          </cell>
          <cell r="DE26">
            <v>47500</v>
          </cell>
          <cell r="DF26">
            <v>48000</v>
          </cell>
          <cell r="DG26">
            <v>48500</v>
          </cell>
          <cell r="DH26">
            <v>49000</v>
          </cell>
          <cell r="DI26">
            <v>49500</v>
          </cell>
          <cell r="DJ26">
            <v>50000</v>
          </cell>
          <cell r="DK26">
            <v>50500</v>
          </cell>
          <cell r="DL26">
            <v>51000</v>
          </cell>
          <cell r="DM26">
            <v>51500</v>
          </cell>
          <cell r="DN26">
            <v>52000</v>
          </cell>
          <cell r="DO26">
            <v>52500</v>
          </cell>
          <cell r="DP26">
            <v>53000</v>
          </cell>
          <cell r="DQ26">
            <v>53500</v>
          </cell>
          <cell r="DR26">
            <v>54000</v>
          </cell>
          <cell r="DS26">
            <v>54500</v>
          </cell>
          <cell r="DT26">
            <v>55000</v>
          </cell>
          <cell r="DU26">
            <v>55500</v>
          </cell>
          <cell r="DV26">
            <v>56000</v>
          </cell>
          <cell r="DW26">
            <v>56500</v>
          </cell>
          <cell r="DX26">
            <v>57000</v>
          </cell>
          <cell r="DY26">
            <v>57500</v>
          </cell>
          <cell r="DZ26">
            <v>58000</v>
          </cell>
          <cell r="EA26">
            <v>58500</v>
          </cell>
          <cell r="EB26">
            <v>59000</v>
          </cell>
          <cell r="EC26">
            <v>59500</v>
          </cell>
          <cell r="ED26">
            <v>60000</v>
          </cell>
          <cell r="EE26">
            <v>60500</v>
          </cell>
          <cell r="EF26">
            <v>61000</v>
          </cell>
          <cell r="EG26">
            <v>61500</v>
          </cell>
          <cell r="EH26">
            <v>62000</v>
          </cell>
          <cell r="EI26">
            <v>62500</v>
          </cell>
          <cell r="EJ26">
            <v>63000</v>
          </cell>
          <cell r="EK26">
            <v>63500</v>
          </cell>
          <cell r="EL26">
            <v>64000</v>
          </cell>
          <cell r="EM26">
            <v>64500</v>
          </cell>
          <cell r="EN26">
            <v>65000</v>
          </cell>
          <cell r="EO26">
            <v>65500</v>
          </cell>
          <cell r="EP26">
            <v>66000</v>
          </cell>
          <cell r="EQ26">
            <v>66500</v>
          </cell>
          <cell r="ER26">
            <v>67000</v>
          </cell>
          <cell r="ES26">
            <v>67500</v>
          </cell>
          <cell r="ET26">
            <v>68000</v>
          </cell>
          <cell r="EU26">
            <v>68500</v>
          </cell>
          <cell r="EV26">
            <v>69000</v>
          </cell>
          <cell r="EW26">
            <v>69500</v>
          </cell>
          <cell r="EX26">
            <v>70000</v>
          </cell>
          <cell r="EY26">
            <v>70500</v>
          </cell>
          <cell r="EZ26">
            <v>71000</v>
          </cell>
          <cell r="FA26">
            <v>71500</v>
          </cell>
          <cell r="FB26">
            <v>72000</v>
          </cell>
          <cell r="FC26">
            <v>72500</v>
          </cell>
          <cell r="FD26">
            <v>73000</v>
          </cell>
          <cell r="FE26">
            <v>73500</v>
          </cell>
          <cell r="FF26">
            <v>74000</v>
          </cell>
          <cell r="FG26">
            <v>74500</v>
          </cell>
          <cell r="FH26">
            <v>75000</v>
          </cell>
          <cell r="FI26">
            <v>75500</v>
          </cell>
          <cell r="FJ26">
            <v>76000</v>
          </cell>
          <cell r="FK26">
            <v>76500</v>
          </cell>
          <cell r="FL26">
            <v>77000</v>
          </cell>
          <cell r="FM26">
            <v>77500</v>
          </cell>
          <cell r="FN26">
            <v>78000</v>
          </cell>
          <cell r="FO26">
            <v>78500</v>
          </cell>
          <cell r="FP26">
            <v>79000</v>
          </cell>
          <cell r="FQ26">
            <v>79500</v>
          </cell>
          <cell r="FR26">
            <v>80000</v>
          </cell>
          <cell r="FS26">
            <v>80500</v>
          </cell>
          <cell r="FT26">
            <v>81000</v>
          </cell>
          <cell r="FU26">
            <v>81500</v>
          </cell>
          <cell r="FV26">
            <v>82000</v>
          </cell>
          <cell r="FW26">
            <v>82500</v>
          </cell>
          <cell r="FX26">
            <v>83000</v>
          </cell>
          <cell r="FY26">
            <v>83500</v>
          </cell>
          <cell r="FZ26">
            <v>84000</v>
          </cell>
          <cell r="GA26">
            <v>84500</v>
          </cell>
          <cell r="GB26">
            <v>85000</v>
          </cell>
          <cell r="GC26">
            <v>85500</v>
          </cell>
          <cell r="GD26">
            <v>86000</v>
          </cell>
          <cell r="GE26">
            <v>86500</v>
          </cell>
          <cell r="GF26">
            <v>87000</v>
          </cell>
          <cell r="GG26">
            <v>87500</v>
          </cell>
          <cell r="GH26">
            <v>88000</v>
          </cell>
          <cell r="GI26">
            <v>88500</v>
          </cell>
          <cell r="GJ26">
            <v>89000</v>
          </cell>
          <cell r="GK26">
            <v>89500</v>
          </cell>
          <cell r="GL26">
            <v>90000</v>
          </cell>
          <cell r="GM26">
            <v>90500</v>
          </cell>
          <cell r="GN26">
            <v>91000</v>
          </cell>
          <cell r="GO26">
            <v>91500</v>
          </cell>
          <cell r="GP26">
            <v>92000</v>
          </cell>
          <cell r="GQ26">
            <v>92500</v>
          </cell>
          <cell r="GR26">
            <v>93000</v>
          </cell>
          <cell r="GS26">
            <v>93500</v>
          </cell>
          <cell r="GT26">
            <v>94000</v>
          </cell>
          <cell r="GU26">
            <v>94500</v>
          </cell>
          <cell r="GV26">
            <v>95000</v>
          </cell>
          <cell r="GW26">
            <v>95500</v>
          </cell>
          <cell r="GX26">
            <v>96000</v>
          </cell>
          <cell r="GY26">
            <v>96500</v>
          </cell>
          <cell r="GZ26">
            <v>97000</v>
          </cell>
          <cell r="HA26">
            <v>97500</v>
          </cell>
          <cell r="HB26">
            <v>98000</v>
          </cell>
          <cell r="HC26">
            <v>98500</v>
          </cell>
          <cell r="HD26">
            <v>99000</v>
          </cell>
          <cell r="HE26">
            <v>99500</v>
          </cell>
          <cell r="HF26">
            <v>100000</v>
          </cell>
        </row>
        <row r="60">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23.45</v>
          </cell>
          <cell r="BA60">
            <v>57.8</v>
          </cell>
          <cell r="BB60">
            <v>91.8</v>
          </cell>
          <cell r="BC60">
            <v>125.8</v>
          </cell>
          <cell r="BD60">
            <v>159.80000000000001</v>
          </cell>
          <cell r="BE60">
            <v>196.65</v>
          </cell>
          <cell r="BF60">
            <v>231.15</v>
          </cell>
          <cell r="BG60">
            <v>265.64999999999998</v>
          </cell>
          <cell r="BH60">
            <v>300.14999999999998</v>
          </cell>
          <cell r="BI60">
            <v>339.5</v>
          </cell>
          <cell r="BJ60">
            <v>374.5</v>
          </cell>
          <cell r="BK60">
            <v>409.5</v>
          </cell>
          <cell r="BL60">
            <v>444.5</v>
          </cell>
          <cell r="BM60">
            <v>486.35</v>
          </cell>
          <cell r="BN60">
            <v>521.85</v>
          </cell>
          <cell r="BO60">
            <v>557.35</v>
          </cell>
          <cell r="BP60">
            <v>592.85</v>
          </cell>
          <cell r="BQ60">
            <v>637.20000000000005</v>
          </cell>
          <cell r="BR60">
            <v>673.2</v>
          </cell>
          <cell r="BS60">
            <v>709.2</v>
          </cell>
          <cell r="BT60">
            <v>745.2</v>
          </cell>
          <cell r="BU60">
            <v>792.05</v>
          </cell>
          <cell r="BV60">
            <v>828.55</v>
          </cell>
          <cell r="BW60">
            <v>865.05</v>
          </cell>
          <cell r="BX60">
            <v>901.55</v>
          </cell>
          <cell r="BY60">
            <v>950.9</v>
          </cell>
          <cell r="BZ60">
            <v>987.9</v>
          </cell>
          <cell r="CA60">
            <v>1024.9000000000001</v>
          </cell>
          <cell r="CB60">
            <v>1065.5999999999999</v>
          </cell>
          <cell r="CC60">
            <v>1125</v>
          </cell>
          <cell r="CD60">
            <v>1170</v>
          </cell>
          <cell r="CE60">
            <v>1215</v>
          </cell>
          <cell r="CF60">
            <v>1260</v>
          </cell>
          <cell r="CG60">
            <v>1322.3999999999983</v>
          </cell>
          <cell r="CH60">
            <v>1367.9999999999982</v>
          </cell>
          <cell r="CI60">
            <v>1413.5999999999981</v>
          </cell>
          <cell r="CJ60">
            <v>1459.199999999998</v>
          </cell>
          <cell r="CK60">
            <v>1524.5999999999981</v>
          </cell>
          <cell r="CL60">
            <v>1570.7999999999979</v>
          </cell>
          <cell r="CM60">
            <v>1616.999999999998</v>
          </cell>
          <cell r="CN60">
            <v>1663.1999999999978</v>
          </cell>
          <cell r="CO60">
            <v>1731.5999999999979</v>
          </cell>
          <cell r="CP60">
            <v>1778.3999999999978</v>
          </cell>
          <cell r="CQ60">
            <v>1825.1999999999975</v>
          </cell>
          <cell r="CR60">
            <v>1871.9999999999977</v>
          </cell>
          <cell r="CS60">
            <v>1943.3999999999976</v>
          </cell>
          <cell r="CT60">
            <v>1990.7999999999975</v>
          </cell>
          <cell r="CU60">
            <v>2038.1999999999975</v>
          </cell>
          <cell r="CV60">
            <v>2085.5999999999976</v>
          </cell>
          <cell r="CW60">
            <v>2159.9999999999973</v>
          </cell>
          <cell r="CX60">
            <v>2207.9999999999973</v>
          </cell>
          <cell r="CY60">
            <v>2255.9999999999973</v>
          </cell>
          <cell r="CZ60">
            <v>2303.9999999999973</v>
          </cell>
          <cell r="DA60">
            <v>2351.9999999999973</v>
          </cell>
          <cell r="DB60">
            <v>2399.9999999999968</v>
          </cell>
          <cell r="DC60">
            <v>2447.9999999999968</v>
          </cell>
          <cell r="DD60">
            <v>2495.9999999999968</v>
          </cell>
          <cell r="DE60">
            <v>2543.9999999999968</v>
          </cell>
          <cell r="DF60">
            <v>2591.9999999999968</v>
          </cell>
          <cell r="DG60">
            <v>2639.9999999999968</v>
          </cell>
          <cell r="DH60">
            <v>2687.9999999999964</v>
          </cell>
          <cell r="DI60">
            <v>2735.9999999999964</v>
          </cell>
          <cell r="DJ60">
            <v>2783.9999999999964</v>
          </cell>
          <cell r="DK60">
            <v>2831.9999999999964</v>
          </cell>
          <cell r="DL60">
            <v>2879.9999999999964</v>
          </cell>
          <cell r="DM60">
            <v>2927.9999999999964</v>
          </cell>
          <cell r="DN60">
            <v>2975.9999999999964</v>
          </cell>
          <cell r="DO60">
            <v>3023.9999999999964</v>
          </cell>
          <cell r="DP60">
            <v>3071.9999999999964</v>
          </cell>
          <cell r="DQ60">
            <v>3119.9999999999959</v>
          </cell>
          <cell r="DR60">
            <v>3167.9999999999959</v>
          </cell>
          <cell r="DS60">
            <v>3215.9999999999959</v>
          </cell>
          <cell r="DT60">
            <v>3263.9999999999959</v>
          </cell>
          <cell r="DU60">
            <v>3311.9999999999959</v>
          </cell>
          <cell r="DV60">
            <v>3359.9999999999959</v>
          </cell>
          <cell r="DW60">
            <v>3407.9999999999955</v>
          </cell>
          <cell r="DX60">
            <v>3455.9999999999955</v>
          </cell>
          <cell r="DY60">
            <v>3503.9999999999955</v>
          </cell>
          <cell r="DZ60">
            <v>3551.9999999999955</v>
          </cell>
          <cell r="EA60">
            <v>3599.9999999999955</v>
          </cell>
          <cell r="EB60">
            <v>3647.9999999999955</v>
          </cell>
          <cell r="EC60">
            <v>3695.9999999999955</v>
          </cell>
          <cell r="ED60">
            <v>3743.9999999999955</v>
          </cell>
          <cell r="EE60">
            <v>3791.9999999999955</v>
          </cell>
          <cell r="EF60">
            <v>3839.999999999995</v>
          </cell>
          <cell r="EG60">
            <v>3887.999999999995</v>
          </cell>
          <cell r="EH60">
            <v>3935.999999999995</v>
          </cell>
          <cell r="EI60">
            <v>3983.999999999995</v>
          </cell>
          <cell r="EJ60">
            <v>4031.999999999995</v>
          </cell>
          <cell r="EK60">
            <v>4079.999999999995</v>
          </cell>
          <cell r="EL60">
            <v>4127.9999999999945</v>
          </cell>
          <cell r="EM60">
            <v>4175.9999999999945</v>
          </cell>
          <cell r="EN60">
            <v>4223.9999999999945</v>
          </cell>
          <cell r="EO60">
            <v>4271.9999999999945</v>
          </cell>
          <cell r="EP60">
            <v>4319.9999999999945</v>
          </cell>
          <cell r="EQ60">
            <v>4367.9999999999945</v>
          </cell>
          <cell r="ER60">
            <v>4415.9999999999945</v>
          </cell>
          <cell r="ES60">
            <v>4463.9999999999945</v>
          </cell>
          <cell r="ET60">
            <v>4511.9999999999945</v>
          </cell>
          <cell r="EU60">
            <v>4559.9999999999945</v>
          </cell>
          <cell r="EV60">
            <v>4607.9999999999945</v>
          </cell>
          <cell r="EW60">
            <v>4655.9999999999945</v>
          </cell>
          <cell r="EX60">
            <v>4703.9999999999945</v>
          </cell>
          <cell r="EY60">
            <v>4751.9999999999945</v>
          </cell>
          <cell r="EZ60">
            <v>4799.9999999999936</v>
          </cell>
          <cell r="FA60">
            <v>4859.9999999999936</v>
          </cell>
          <cell r="FB60">
            <v>4919.9999999999936</v>
          </cell>
          <cell r="FC60">
            <v>4994.9999999999936</v>
          </cell>
          <cell r="FD60">
            <v>5104.9999999999936</v>
          </cell>
          <cell r="FE60">
            <v>5214.9999999999936</v>
          </cell>
          <cell r="FF60">
            <v>5324.9999999999936</v>
          </cell>
          <cell r="FG60">
            <v>5434.9999999999936</v>
          </cell>
          <cell r="FH60">
            <v>5544.9999999999936</v>
          </cell>
          <cell r="FI60">
            <v>5654.9999999999936</v>
          </cell>
          <cell r="FJ60">
            <v>5764.9999999999936</v>
          </cell>
          <cell r="FK60">
            <v>5874.9999999999936</v>
          </cell>
          <cell r="FL60">
            <v>5984.9999999999936</v>
          </cell>
          <cell r="FM60">
            <v>6094.9999999999936</v>
          </cell>
          <cell r="FN60">
            <v>6204.9999999999936</v>
          </cell>
          <cell r="FO60">
            <v>6314.9999999999936</v>
          </cell>
          <cell r="FP60">
            <v>6424.9999999999936</v>
          </cell>
          <cell r="FQ60">
            <v>6534.9999999999936</v>
          </cell>
          <cell r="FR60">
            <v>6644.9999999999936</v>
          </cell>
          <cell r="FS60">
            <v>6754.9999999999936</v>
          </cell>
          <cell r="FT60">
            <v>6864.9999999999936</v>
          </cell>
          <cell r="FU60">
            <v>6974.9999999999936</v>
          </cell>
          <cell r="FV60">
            <v>7084.9999999999936</v>
          </cell>
          <cell r="FW60">
            <v>7194.9999999999936</v>
          </cell>
          <cell r="FX60">
            <v>7304.9999999999936</v>
          </cell>
          <cell r="FY60">
            <v>7414.9999999999936</v>
          </cell>
          <cell r="FZ60">
            <v>7524.9999999999936</v>
          </cell>
          <cell r="GA60">
            <v>7634.9999999999936</v>
          </cell>
          <cell r="GB60">
            <v>7744.9999999999936</v>
          </cell>
          <cell r="GC60">
            <v>7854.9999999999936</v>
          </cell>
          <cell r="GD60">
            <v>7964.9999999999936</v>
          </cell>
          <cell r="GE60">
            <v>8074.9999999999936</v>
          </cell>
          <cell r="GF60">
            <v>8184.9999999999936</v>
          </cell>
          <cell r="GG60">
            <v>8294.9999999999945</v>
          </cell>
          <cell r="GH60">
            <v>8404.9999999999945</v>
          </cell>
          <cell r="GI60">
            <v>8514.9999999999945</v>
          </cell>
          <cell r="GJ60">
            <v>8624.9999999999945</v>
          </cell>
          <cell r="GK60">
            <v>8734.9999999999945</v>
          </cell>
          <cell r="GL60">
            <v>8844.9999999999945</v>
          </cell>
          <cell r="GM60">
            <v>8954.9999999999945</v>
          </cell>
          <cell r="GN60">
            <v>9064.9999999999945</v>
          </cell>
          <cell r="GO60">
            <v>9174.9999999999945</v>
          </cell>
          <cell r="GP60">
            <v>9284.9999999999945</v>
          </cell>
          <cell r="GQ60">
            <v>9394.9999999999945</v>
          </cell>
          <cell r="GR60">
            <v>9504.9999999999945</v>
          </cell>
          <cell r="GS60">
            <v>9614.9999999999945</v>
          </cell>
          <cell r="GT60">
            <v>9724.9999999999945</v>
          </cell>
          <cell r="GU60">
            <v>9834.9999999999945</v>
          </cell>
          <cell r="GV60">
            <v>9944.9999999999945</v>
          </cell>
          <cell r="GW60">
            <v>10054.999999999995</v>
          </cell>
          <cell r="GX60">
            <v>10164.999999999995</v>
          </cell>
          <cell r="GY60">
            <v>10274.999999999995</v>
          </cell>
          <cell r="GZ60">
            <v>10384.999999999995</v>
          </cell>
          <cell r="HA60">
            <v>10494.999999999995</v>
          </cell>
          <cell r="HB60">
            <v>10604.999999999995</v>
          </cell>
          <cell r="HC60">
            <v>10714.999999999995</v>
          </cell>
          <cell r="HD60">
            <v>10824.999999999995</v>
          </cell>
          <cell r="HE60">
            <v>10934.999999999995</v>
          </cell>
          <cell r="HF60">
            <v>11044.999999999995</v>
          </cell>
        </row>
        <row r="66">
          <cell r="N66">
            <v>2800</v>
          </cell>
          <cell r="O66">
            <v>2800</v>
          </cell>
          <cell r="P66">
            <v>2800</v>
          </cell>
          <cell r="Q66">
            <v>2800</v>
          </cell>
          <cell r="R66">
            <v>2800</v>
          </cell>
          <cell r="S66">
            <v>2800</v>
          </cell>
          <cell r="T66">
            <v>2800</v>
          </cell>
          <cell r="U66">
            <v>2800</v>
          </cell>
          <cell r="V66">
            <v>2800</v>
          </cell>
          <cell r="W66">
            <v>2800</v>
          </cell>
          <cell r="X66">
            <v>2800</v>
          </cell>
          <cell r="Y66">
            <v>2800</v>
          </cell>
          <cell r="Z66">
            <v>2800</v>
          </cell>
          <cell r="AA66">
            <v>2800</v>
          </cell>
          <cell r="AB66">
            <v>2800</v>
          </cell>
          <cell r="AC66">
            <v>2800</v>
          </cell>
          <cell r="AD66">
            <v>2800</v>
          </cell>
          <cell r="AE66">
            <v>2800</v>
          </cell>
          <cell r="AF66">
            <v>2800</v>
          </cell>
          <cell r="AG66">
            <v>2800</v>
          </cell>
          <cell r="AH66">
            <v>2800</v>
          </cell>
          <cell r="AI66">
            <v>2800</v>
          </cell>
          <cell r="AJ66">
            <v>2800</v>
          </cell>
          <cell r="AK66">
            <v>2800</v>
          </cell>
          <cell r="AL66">
            <v>2800</v>
          </cell>
          <cell r="AM66">
            <v>2800</v>
          </cell>
          <cell r="AN66">
            <v>2800</v>
          </cell>
          <cell r="AO66">
            <v>2800</v>
          </cell>
          <cell r="AP66">
            <v>2800</v>
          </cell>
          <cell r="AQ66">
            <v>2800</v>
          </cell>
          <cell r="AR66">
            <v>2800</v>
          </cell>
          <cell r="AS66">
            <v>2800</v>
          </cell>
          <cell r="AT66">
            <v>2800</v>
          </cell>
          <cell r="AU66">
            <v>2800</v>
          </cell>
          <cell r="AV66">
            <v>2800</v>
          </cell>
          <cell r="AW66">
            <v>2800</v>
          </cell>
          <cell r="AX66">
            <v>2800</v>
          </cell>
          <cell r="AY66">
            <v>2800</v>
          </cell>
          <cell r="AZ66">
            <v>2800</v>
          </cell>
          <cell r="BA66">
            <v>2800</v>
          </cell>
          <cell r="BB66">
            <v>2800</v>
          </cell>
          <cell r="BC66">
            <v>2800</v>
          </cell>
          <cell r="BD66">
            <v>2800</v>
          </cell>
          <cell r="BE66">
            <v>2800</v>
          </cell>
          <cell r="BF66">
            <v>2800</v>
          </cell>
          <cell r="BG66">
            <v>2800</v>
          </cell>
          <cell r="BH66">
            <v>2800</v>
          </cell>
          <cell r="BI66">
            <v>2800</v>
          </cell>
          <cell r="BJ66">
            <v>2800</v>
          </cell>
          <cell r="BK66">
            <v>2800</v>
          </cell>
          <cell r="BL66">
            <v>2800</v>
          </cell>
          <cell r="BM66">
            <v>2800</v>
          </cell>
          <cell r="BN66">
            <v>2800</v>
          </cell>
          <cell r="BO66">
            <v>2800</v>
          </cell>
          <cell r="BP66">
            <v>2800</v>
          </cell>
          <cell r="BQ66">
            <v>2800</v>
          </cell>
          <cell r="BR66">
            <v>2800</v>
          </cell>
          <cell r="BS66">
            <v>2800</v>
          </cell>
          <cell r="BT66">
            <v>2800</v>
          </cell>
          <cell r="BU66">
            <v>2800</v>
          </cell>
          <cell r="BV66">
            <v>2800</v>
          </cell>
          <cell r="BW66">
            <v>2800</v>
          </cell>
          <cell r="BX66">
            <v>2800</v>
          </cell>
          <cell r="BY66">
            <v>2800</v>
          </cell>
          <cell r="BZ66">
            <v>2800</v>
          </cell>
          <cell r="CA66">
            <v>2800</v>
          </cell>
          <cell r="CB66">
            <v>2800</v>
          </cell>
          <cell r="CC66">
            <v>2800</v>
          </cell>
          <cell r="CD66">
            <v>2800</v>
          </cell>
          <cell r="CE66">
            <v>2800</v>
          </cell>
          <cell r="CF66">
            <v>2800</v>
          </cell>
          <cell r="CG66">
            <v>2800</v>
          </cell>
          <cell r="CH66">
            <v>2800</v>
          </cell>
          <cell r="CI66">
            <v>2800</v>
          </cell>
          <cell r="CJ66">
            <v>2800</v>
          </cell>
          <cell r="CK66">
            <v>2800</v>
          </cell>
          <cell r="CL66">
            <v>2800</v>
          </cell>
          <cell r="CM66">
            <v>2800</v>
          </cell>
          <cell r="CN66">
            <v>2800</v>
          </cell>
          <cell r="CO66">
            <v>2800</v>
          </cell>
          <cell r="CP66">
            <v>2800</v>
          </cell>
          <cell r="CQ66">
            <v>2800</v>
          </cell>
          <cell r="CR66">
            <v>2800</v>
          </cell>
          <cell r="CS66">
            <v>2800</v>
          </cell>
          <cell r="CT66">
            <v>2800</v>
          </cell>
          <cell r="CU66">
            <v>2800</v>
          </cell>
          <cell r="CV66">
            <v>2800</v>
          </cell>
          <cell r="CW66">
            <v>2800</v>
          </cell>
          <cell r="CX66">
            <v>2800</v>
          </cell>
          <cell r="CY66">
            <v>2800</v>
          </cell>
          <cell r="CZ66">
            <v>2800</v>
          </cell>
          <cell r="DA66">
            <v>2800</v>
          </cell>
          <cell r="DB66">
            <v>2800</v>
          </cell>
          <cell r="DC66">
            <v>2800</v>
          </cell>
          <cell r="DD66">
            <v>2800</v>
          </cell>
          <cell r="DE66">
            <v>2800</v>
          </cell>
          <cell r="DF66">
            <v>2800</v>
          </cell>
          <cell r="DG66">
            <v>2800</v>
          </cell>
          <cell r="DH66">
            <v>2800</v>
          </cell>
          <cell r="DI66">
            <v>2800</v>
          </cell>
          <cell r="DJ66">
            <v>2800</v>
          </cell>
          <cell r="DK66">
            <v>2800</v>
          </cell>
          <cell r="DL66">
            <v>2800</v>
          </cell>
          <cell r="DM66">
            <v>2800</v>
          </cell>
          <cell r="DN66">
            <v>2800</v>
          </cell>
          <cell r="DO66">
            <v>2800</v>
          </cell>
          <cell r="DP66">
            <v>2800</v>
          </cell>
          <cell r="DQ66">
            <v>2800</v>
          </cell>
          <cell r="DR66">
            <v>2800</v>
          </cell>
          <cell r="DS66">
            <v>2800</v>
          </cell>
          <cell r="DT66">
            <v>2800</v>
          </cell>
          <cell r="DU66">
            <v>2800</v>
          </cell>
          <cell r="DV66">
            <v>2800</v>
          </cell>
          <cell r="DW66">
            <v>2800</v>
          </cell>
          <cell r="DX66">
            <v>2800</v>
          </cell>
          <cell r="DY66">
            <v>2800</v>
          </cell>
          <cell r="DZ66">
            <v>2800</v>
          </cell>
          <cell r="EA66">
            <v>2800</v>
          </cell>
          <cell r="EB66">
            <v>2800</v>
          </cell>
          <cell r="EC66">
            <v>2800</v>
          </cell>
          <cell r="ED66">
            <v>2800</v>
          </cell>
          <cell r="EE66">
            <v>2800</v>
          </cell>
          <cell r="EF66">
            <v>2800</v>
          </cell>
          <cell r="EG66">
            <v>2800</v>
          </cell>
          <cell r="EH66">
            <v>2800</v>
          </cell>
          <cell r="EI66">
            <v>2800</v>
          </cell>
          <cell r="EJ66">
            <v>2800</v>
          </cell>
          <cell r="EK66">
            <v>2800</v>
          </cell>
          <cell r="EL66">
            <v>2800</v>
          </cell>
          <cell r="EM66">
            <v>2800</v>
          </cell>
          <cell r="EN66">
            <v>2800</v>
          </cell>
          <cell r="EO66">
            <v>2800</v>
          </cell>
          <cell r="EP66">
            <v>2800</v>
          </cell>
          <cell r="EQ66">
            <v>2800</v>
          </cell>
          <cell r="ER66">
            <v>2800</v>
          </cell>
          <cell r="ES66">
            <v>2800</v>
          </cell>
          <cell r="ET66">
            <v>2800</v>
          </cell>
          <cell r="EU66">
            <v>2800</v>
          </cell>
          <cell r="EV66">
            <v>2800</v>
          </cell>
          <cell r="EW66">
            <v>2800</v>
          </cell>
          <cell r="EX66">
            <v>2800</v>
          </cell>
          <cell r="EY66">
            <v>2800</v>
          </cell>
          <cell r="EZ66">
            <v>2800</v>
          </cell>
          <cell r="FA66">
            <v>2800</v>
          </cell>
          <cell r="FB66">
            <v>2800</v>
          </cell>
          <cell r="FC66">
            <v>2800</v>
          </cell>
          <cell r="FD66">
            <v>2800</v>
          </cell>
          <cell r="FE66">
            <v>2800</v>
          </cell>
          <cell r="FF66">
            <v>2800</v>
          </cell>
          <cell r="FG66">
            <v>2800</v>
          </cell>
          <cell r="FH66">
            <v>2800</v>
          </cell>
          <cell r="FI66">
            <v>2800</v>
          </cell>
          <cell r="FJ66">
            <v>2800</v>
          </cell>
          <cell r="FK66">
            <v>2800</v>
          </cell>
          <cell r="FL66">
            <v>2800</v>
          </cell>
          <cell r="FM66">
            <v>2800</v>
          </cell>
          <cell r="FN66">
            <v>2800</v>
          </cell>
          <cell r="FO66">
            <v>2800</v>
          </cell>
          <cell r="FP66">
            <v>2800</v>
          </cell>
          <cell r="FQ66">
            <v>2800</v>
          </cell>
          <cell r="FR66">
            <v>2800</v>
          </cell>
          <cell r="FS66">
            <v>2800</v>
          </cell>
          <cell r="FT66">
            <v>2800</v>
          </cell>
          <cell r="FU66">
            <v>2800</v>
          </cell>
          <cell r="FV66">
            <v>2800</v>
          </cell>
          <cell r="FW66">
            <v>2800</v>
          </cell>
          <cell r="FX66">
            <v>2800</v>
          </cell>
          <cell r="FY66">
            <v>2800</v>
          </cell>
          <cell r="FZ66">
            <v>2800</v>
          </cell>
          <cell r="GA66">
            <v>2800</v>
          </cell>
          <cell r="GB66">
            <v>2800</v>
          </cell>
          <cell r="GC66">
            <v>2800</v>
          </cell>
          <cell r="GD66">
            <v>2800</v>
          </cell>
          <cell r="GE66">
            <v>2800</v>
          </cell>
          <cell r="GF66">
            <v>2800</v>
          </cell>
          <cell r="GG66">
            <v>2800</v>
          </cell>
          <cell r="GH66">
            <v>2800</v>
          </cell>
          <cell r="GI66">
            <v>2800</v>
          </cell>
          <cell r="GJ66">
            <v>2800</v>
          </cell>
          <cell r="GK66">
            <v>2800</v>
          </cell>
          <cell r="GL66">
            <v>2800</v>
          </cell>
          <cell r="GM66">
            <v>2800</v>
          </cell>
          <cell r="GN66">
            <v>2800</v>
          </cell>
          <cell r="GO66">
            <v>2800</v>
          </cell>
          <cell r="GP66">
            <v>2800</v>
          </cell>
          <cell r="GQ66">
            <v>2800</v>
          </cell>
          <cell r="GR66">
            <v>2800</v>
          </cell>
          <cell r="GS66">
            <v>2800</v>
          </cell>
          <cell r="GT66">
            <v>2800</v>
          </cell>
          <cell r="GU66">
            <v>2800</v>
          </cell>
          <cell r="GV66">
            <v>2800</v>
          </cell>
          <cell r="GW66">
            <v>2800</v>
          </cell>
          <cell r="GX66">
            <v>2800</v>
          </cell>
          <cell r="GY66">
            <v>2800</v>
          </cell>
          <cell r="GZ66">
            <v>2800</v>
          </cell>
          <cell r="HA66">
            <v>2800</v>
          </cell>
          <cell r="HB66">
            <v>2800</v>
          </cell>
          <cell r="HC66">
            <v>2800</v>
          </cell>
          <cell r="HD66">
            <v>2800</v>
          </cell>
          <cell r="HE66">
            <v>2800</v>
          </cell>
          <cell r="HF66">
            <v>2800</v>
          </cell>
        </row>
        <row r="80">
          <cell r="N80">
            <v>0</v>
          </cell>
          <cell r="O80">
            <v>210</v>
          </cell>
          <cell r="P80">
            <v>410</v>
          </cell>
          <cell r="Q80">
            <v>610</v>
          </cell>
          <cell r="R80">
            <v>810</v>
          </cell>
          <cell r="S80">
            <v>1010</v>
          </cell>
          <cell r="T80">
            <v>1210</v>
          </cell>
          <cell r="U80">
            <v>1410</v>
          </cell>
          <cell r="V80">
            <v>1610</v>
          </cell>
          <cell r="W80">
            <v>1810</v>
          </cell>
          <cell r="X80">
            <v>2010</v>
          </cell>
          <cell r="Y80">
            <v>2210</v>
          </cell>
          <cell r="Z80">
            <v>2410</v>
          </cell>
          <cell r="AA80">
            <v>2610</v>
          </cell>
          <cell r="AB80">
            <v>2810</v>
          </cell>
          <cell r="AC80">
            <v>3010</v>
          </cell>
          <cell r="AD80">
            <v>3210</v>
          </cell>
          <cell r="AE80">
            <v>3410</v>
          </cell>
          <cell r="AF80">
            <v>3610</v>
          </cell>
          <cell r="AG80">
            <v>3810</v>
          </cell>
          <cell r="AH80">
            <v>4010</v>
          </cell>
          <cell r="AI80">
            <v>4210</v>
          </cell>
          <cell r="AJ80">
            <v>4410</v>
          </cell>
          <cell r="AK80">
            <v>4610</v>
          </cell>
          <cell r="AL80">
            <v>4810</v>
          </cell>
          <cell r="AM80">
            <v>5010</v>
          </cell>
          <cell r="AN80">
            <v>5210</v>
          </cell>
          <cell r="AO80">
            <v>5410</v>
          </cell>
          <cell r="AP80">
            <v>5610</v>
          </cell>
          <cell r="AQ80">
            <v>5810</v>
          </cell>
          <cell r="AR80">
            <v>5920</v>
          </cell>
          <cell r="AS80">
            <v>5920</v>
          </cell>
          <cell r="AT80">
            <v>5920</v>
          </cell>
          <cell r="AU80">
            <v>5920</v>
          </cell>
          <cell r="AV80">
            <v>5920</v>
          </cell>
          <cell r="AW80">
            <v>5920</v>
          </cell>
          <cell r="AX80">
            <v>5920</v>
          </cell>
          <cell r="AY80">
            <v>5920</v>
          </cell>
          <cell r="AZ80">
            <v>5920</v>
          </cell>
          <cell r="BA80">
            <v>5879</v>
          </cell>
          <cell r="BB80">
            <v>5774</v>
          </cell>
          <cell r="BC80">
            <v>5668</v>
          </cell>
          <cell r="BD80">
            <v>5563</v>
          </cell>
          <cell r="BE80">
            <v>5458</v>
          </cell>
          <cell r="BF80">
            <v>5352</v>
          </cell>
          <cell r="BG80">
            <v>5247</v>
          </cell>
          <cell r="BH80">
            <v>5142</v>
          </cell>
          <cell r="BI80">
            <v>5037</v>
          </cell>
          <cell r="BJ80">
            <v>4931</v>
          </cell>
          <cell r="BK80">
            <v>4826</v>
          </cell>
          <cell r="BL80">
            <v>4721</v>
          </cell>
          <cell r="BM80">
            <v>4615</v>
          </cell>
          <cell r="BN80">
            <v>4510</v>
          </cell>
          <cell r="BO80">
            <v>4405</v>
          </cell>
          <cell r="BP80">
            <v>4299</v>
          </cell>
          <cell r="BQ80">
            <v>4194</v>
          </cell>
          <cell r="BR80">
            <v>4089</v>
          </cell>
          <cell r="BS80">
            <v>3984</v>
          </cell>
          <cell r="BT80">
            <v>3878</v>
          </cell>
          <cell r="BU80">
            <v>3773</v>
          </cell>
          <cell r="BV80">
            <v>3668</v>
          </cell>
          <cell r="BW80">
            <v>3562</v>
          </cell>
          <cell r="BX80">
            <v>3457</v>
          </cell>
          <cell r="BY80">
            <v>3352</v>
          </cell>
          <cell r="BZ80">
            <v>3246</v>
          </cell>
          <cell r="CA80">
            <v>3141</v>
          </cell>
          <cell r="CB80">
            <v>3036</v>
          </cell>
          <cell r="CC80">
            <v>2931</v>
          </cell>
          <cell r="CD80">
            <v>2825</v>
          </cell>
          <cell r="CE80">
            <v>2720</v>
          </cell>
          <cell r="CF80">
            <v>2615</v>
          </cell>
          <cell r="CG80">
            <v>2509</v>
          </cell>
          <cell r="CH80">
            <v>2404</v>
          </cell>
          <cell r="CI80">
            <v>2299</v>
          </cell>
          <cell r="CJ80">
            <v>2193</v>
          </cell>
          <cell r="CK80">
            <v>2088</v>
          </cell>
          <cell r="CL80">
            <v>1983</v>
          </cell>
          <cell r="CM80">
            <v>1878</v>
          </cell>
          <cell r="CN80">
            <v>1772</v>
          </cell>
          <cell r="CO80">
            <v>1667</v>
          </cell>
          <cell r="CP80">
            <v>1562</v>
          </cell>
          <cell r="CQ80">
            <v>1456</v>
          </cell>
          <cell r="CR80">
            <v>1351</v>
          </cell>
          <cell r="CS80">
            <v>1246</v>
          </cell>
          <cell r="CT80">
            <v>1140</v>
          </cell>
          <cell r="CU80">
            <v>1035</v>
          </cell>
          <cell r="CV80">
            <v>930</v>
          </cell>
          <cell r="CW80">
            <v>825</v>
          </cell>
          <cell r="CX80">
            <v>719</v>
          </cell>
          <cell r="CY80">
            <v>614</v>
          </cell>
          <cell r="CZ80">
            <v>509</v>
          </cell>
          <cell r="DA80">
            <v>403</v>
          </cell>
          <cell r="DB80">
            <v>298</v>
          </cell>
          <cell r="DC80">
            <v>193</v>
          </cell>
          <cell r="DD80">
            <v>87</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cell r="FW80">
            <v>0</v>
          </cell>
          <cell r="FX80">
            <v>0</v>
          </cell>
          <cell r="FY80">
            <v>0</v>
          </cell>
          <cell r="FZ80">
            <v>0</v>
          </cell>
          <cell r="GA80">
            <v>0</v>
          </cell>
          <cell r="GB80">
            <v>0</v>
          </cell>
          <cell r="GC80">
            <v>0</v>
          </cell>
          <cell r="GD80">
            <v>0</v>
          </cell>
          <cell r="GE80">
            <v>0</v>
          </cell>
          <cell r="GF80">
            <v>0</v>
          </cell>
          <cell r="GG80">
            <v>0</v>
          </cell>
          <cell r="GH80">
            <v>0</v>
          </cell>
          <cell r="GI80">
            <v>0</v>
          </cell>
          <cell r="GJ80">
            <v>0</v>
          </cell>
          <cell r="GK80">
            <v>0</v>
          </cell>
          <cell r="GL80">
            <v>0</v>
          </cell>
          <cell r="GM80">
            <v>0</v>
          </cell>
          <cell r="GN80">
            <v>0</v>
          </cell>
          <cell r="GO80">
            <v>0</v>
          </cell>
          <cell r="GP80">
            <v>0</v>
          </cell>
          <cell r="GQ80">
            <v>0</v>
          </cell>
          <cell r="GR80">
            <v>0</v>
          </cell>
          <cell r="GS80">
            <v>0</v>
          </cell>
          <cell r="GT80">
            <v>0</v>
          </cell>
          <cell r="GU80">
            <v>0</v>
          </cell>
          <cell r="GV80">
            <v>0</v>
          </cell>
          <cell r="GW80">
            <v>0</v>
          </cell>
          <cell r="GX80">
            <v>0</v>
          </cell>
          <cell r="GY80">
            <v>0</v>
          </cell>
          <cell r="GZ80">
            <v>0</v>
          </cell>
          <cell r="HA80">
            <v>0</v>
          </cell>
          <cell r="HB80">
            <v>0</v>
          </cell>
          <cell r="HC80">
            <v>0</v>
          </cell>
          <cell r="HD80">
            <v>0</v>
          </cell>
          <cell r="HE80">
            <v>0</v>
          </cell>
          <cell r="HF80">
            <v>0</v>
          </cell>
        </row>
        <row r="99">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cell r="EW99">
            <v>0</v>
          </cell>
          <cell r="EX99">
            <v>0</v>
          </cell>
          <cell r="EY99">
            <v>0</v>
          </cell>
          <cell r="EZ99">
            <v>0</v>
          </cell>
          <cell r="FA99">
            <v>0</v>
          </cell>
          <cell r="FB99">
            <v>0</v>
          </cell>
          <cell r="FC99">
            <v>0</v>
          </cell>
          <cell r="FD99">
            <v>0</v>
          </cell>
          <cell r="FE99">
            <v>0</v>
          </cell>
          <cell r="FF99">
            <v>0</v>
          </cell>
          <cell r="FG99">
            <v>0</v>
          </cell>
          <cell r="FH99">
            <v>0</v>
          </cell>
          <cell r="FI99">
            <v>0</v>
          </cell>
          <cell r="FJ99">
            <v>0</v>
          </cell>
          <cell r="FK99">
            <v>0</v>
          </cell>
          <cell r="FL99">
            <v>0</v>
          </cell>
          <cell r="FM99">
            <v>0</v>
          </cell>
          <cell r="FN99">
            <v>0</v>
          </cell>
          <cell r="FO99">
            <v>0</v>
          </cell>
          <cell r="FP99">
            <v>0</v>
          </cell>
          <cell r="FQ99">
            <v>0</v>
          </cell>
          <cell r="FR99">
            <v>0</v>
          </cell>
          <cell r="FS99">
            <v>0</v>
          </cell>
          <cell r="FT99">
            <v>0</v>
          </cell>
          <cell r="FU99">
            <v>0</v>
          </cell>
          <cell r="FV99">
            <v>0</v>
          </cell>
          <cell r="FW99">
            <v>0</v>
          </cell>
          <cell r="FX99">
            <v>0</v>
          </cell>
          <cell r="FY99">
            <v>0</v>
          </cell>
          <cell r="FZ99">
            <v>0</v>
          </cell>
          <cell r="GA99">
            <v>0</v>
          </cell>
          <cell r="GB99">
            <v>0</v>
          </cell>
          <cell r="GC99">
            <v>0</v>
          </cell>
          <cell r="GD99">
            <v>0</v>
          </cell>
          <cell r="GE99">
            <v>0</v>
          </cell>
          <cell r="GF99">
            <v>0</v>
          </cell>
          <cell r="GG99">
            <v>0</v>
          </cell>
          <cell r="GH99">
            <v>0</v>
          </cell>
          <cell r="GI99">
            <v>0</v>
          </cell>
          <cell r="GJ99">
            <v>0</v>
          </cell>
          <cell r="GK99">
            <v>0</v>
          </cell>
          <cell r="GL99">
            <v>0</v>
          </cell>
          <cell r="GM99">
            <v>0</v>
          </cell>
          <cell r="GN99">
            <v>0</v>
          </cell>
          <cell r="GO99">
            <v>0</v>
          </cell>
          <cell r="GP99">
            <v>0</v>
          </cell>
          <cell r="GQ99">
            <v>0</v>
          </cell>
          <cell r="GR99">
            <v>0</v>
          </cell>
          <cell r="GS99">
            <v>0</v>
          </cell>
          <cell r="GT99">
            <v>0</v>
          </cell>
          <cell r="GU99">
            <v>0</v>
          </cell>
          <cell r="GV99">
            <v>0</v>
          </cell>
          <cell r="GW99">
            <v>0</v>
          </cell>
          <cell r="GX99">
            <v>0</v>
          </cell>
          <cell r="GY99">
            <v>0</v>
          </cell>
          <cell r="GZ99">
            <v>0</v>
          </cell>
          <cell r="HA99">
            <v>0</v>
          </cell>
          <cell r="HB99">
            <v>0</v>
          </cell>
          <cell r="HC99">
            <v>0</v>
          </cell>
          <cell r="HD99">
            <v>0</v>
          </cell>
          <cell r="HE99">
            <v>0</v>
          </cell>
          <cell r="HF99">
            <v>0</v>
          </cell>
        </row>
        <row r="103">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20</v>
          </cell>
          <cell r="BF103">
            <v>46</v>
          </cell>
          <cell r="BG103">
            <v>72</v>
          </cell>
          <cell r="BH103">
            <v>98</v>
          </cell>
          <cell r="BI103">
            <v>125</v>
          </cell>
          <cell r="BJ103">
            <v>151</v>
          </cell>
          <cell r="BK103">
            <v>177</v>
          </cell>
          <cell r="BL103">
            <v>203</v>
          </cell>
          <cell r="BM103">
            <v>230</v>
          </cell>
          <cell r="BN103">
            <v>256</v>
          </cell>
          <cell r="BO103">
            <v>282</v>
          </cell>
          <cell r="BP103">
            <v>308</v>
          </cell>
          <cell r="BQ103">
            <v>335</v>
          </cell>
          <cell r="BR103">
            <v>361</v>
          </cell>
          <cell r="BS103">
            <v>387</v>
          </cell>
          <cell r="BT103">
            <v>413</v>
          </cell>
          <cell r="BU103">
            <v>440</v>
          </cell>
          <cell r="BV103">
            <v>466</v>
          </cell>
          <cell r="BW103">
            <v>492</v>
          </cell>
          <cell r="BX103">
            <v>518</v>
          </cell>
          <cell r="BY103">
            <v>545</v>
          </cell>
          <cell r="BZ103">
            <v>571</v>
          </cell>
          <cell r="CA103">
            <v>597</v>
          </cell>
          <cell r="CB103">
            <v>623</v>
          </cell>
          <cell r="CC103">
            <v>650</v>
          </cell>
          <cell r="CD103">
            <v>676</v>
          </cell>
          <cell r="CE103">
            <v>702</v>
          </cell>
          <cell r="CF103">
            <v>728</v>
          </cell>
          <cell r="CG103">
            <v>755</v>
          </cell>
          <cell r="CH103">
            <v>781</v>
          </cell>
          <cell r="CI103">
            <v>807</v>
          </cell>
          <cell r="CJ103">
            <v>833</v>
          </cell>
          <cell r="CK103">
            <v>860</v>
          </cell>
          <cell r="CL103">
            <v>886</v>
          </cell>
          <cell r="CM103">
            <v>912</v>
          </cell>
          <cell r="CN103">
            <v>938</v>
          </cell>
          <cell r="CO103">
            <v>965</v>
          </cell>
          <cell r="CP103">
            <v>991</v>
          </cell>
          <cell r="CQ103">
            <v>1017</v>
          </cell>
          <cell r="CR103">
            <v>1043</v>
          </cell>
          <cell r="CS103">
            <v>1070</v>
          </cell>
          <cell r="CT103">
            <v>1096</v>
          </cell>
          <cell r="CU103">
            <v>1122</v>
          </cell>
          <cell r="CV103">
            <v>1148</v>
          </cell>
          <cell r="CW103">
            <v>1175</v>
          </cell>
          <cell r="CX103">
            <v>1201</v>
          </cell>
          <cell r="CY103">
            <v>1227</v>
          </cell>
          <cell r="CZ103">
            <v>1253</v>
          </cell>
          <cell r="DA103">
            <v>1280</v>
          </cell>
          <cell r="DB103">
            <v>1306</v>
          </cell>
          <cell r="DC103">
            <v>1385</v>
          </cell>
          <cell r="DD103">
            <v>1411</v>
          </cell>
          <cell r="DE103">
            <v>1437</v>
          </cell>
          <cell r="DF103">
            <v>1463</v>
          </cell>
          <cell r="DG103">
            <v>1490</v>
          </cell>
          <cell r="DH103">
            <v>1516</v>
          </cell>
          <cell r="DI103">
            <v>1542</v>
          </cell>
          <cell r="DJ103">
            <v>1568</v>
          </cell>
          <cell r="DK103">
            <v>1595</v>
          </cell>
          <cell r="DL103">
            <v>1621</v>
          </cell>
          <cell r="DM103">
            <v>1647</v>
          </cell>
          <cell r="DN103">
            <v>1673</v>
          </cell>
          <cell r="DO103">
            <v>1700</v>
          </cell>
          <cell r="DP103">
            <v>1726</v>
          </cell>
          <cell r="DQ103">
            <v>1752</v>
          </cell>
          <cell r="DR103">
            <v>1778</v>
          </cell>
          <cell r="DS103">
            <v>1805</v>
          </cell>
          <cell r="DT103">
            <v>1831</v>
          </cell>
          <cell r="DU103">
            <v>1857</v>
          </cell>
          <cell r="DV103">
            <v>1883</v>
          </cell>
          <cell r="DW103">
            <v>1910</v>
          </cell>
          <cell r="DX103">
            <v>1936</v>
          </cell>
          <cell r="DY103">
            <v>1962</v>
          </cell>
          <cell r="DZ103">
            <v>1988</v>
          </cell>
          <cell r="EA103">
            <v>2015</v>
          </cell>
          <cell r="EB103">
            <v>2041</v>
          </cell>
          <cell r="EC103">
            <v>2067</v>
          </cell>
          <cell r="ED103">
            <v>2093</v>
          </cell>
          <cell r="EE103">
            <v>2120</v>
          </cell>
          <cell r="EF103">
            <v>2146</v>
          </cell>
          <cell r="EG103">
            <v>2225</v>
          </cell>
          <cell r="EH103">
            <v>2251</v>
          </cell>
          <cell r="EI103">
            <v>2277</v>
          </cell>
          <cell r="EJ103">
            <v>2303</v>
          </cell>
          <cell r="EK103">
            <v>2330</v>
          </cell>
          <cell r="EL103">
            <v>2356</v>
          </cell>
          <cell r="EM103">
            <v>2382</v>
          </cell>
          <cell r="EN103">
            <v>2408</v>
          </cell>
          <cell r="EO103">
            <v>2435</v>
          </cell>
          <cell r="EP103">
            <v>2461</v>
          </cell>
          <cell r="EQ103">
            <v>2487</v>
          </cell>
          <cell r="ER103">
            <v>2513</v>
          </cell>
          <cell r="ES103">
            <v>2540</v>
          </cell>
          <cell r="ET103">
            <v>2566</v>
          </cell>
          <cell r="EU103">
            <v>2592</v>
          </cell>
          <cell r="EV103">
            <v>2618</v>
          </cell>
          <cell r="EW103">
            <v>2645</v>
          </cell>
          <cell r="EX103">
            <v>2671</v>
          </cell>
          <cell r="EY103">
            <v>2697</v>
          </cell>
          <cell r="EZ103">
            <v>2723</v>
          </cell>
          <cell r="FA103">
            <v>2750</v>
          </cell>
          <cell r="FB103">
            <v>2776</v>
          </cell>
          <cell r="FC103">
            <v>2802</v>
          </cell>
          <cell r="FD103">
            <v>2828</v>
          </cell>
          <cell r="FE103">
            <v>2855</v>
          </cell>
          <cell r="FF103">
            <v>2881</v>
          </cell>
          <cell r="FG103">
            <v>2907</v>
          </cell>
          <cell r="FH103">
            <v>2933</v>
          </cell>
          <cell r="FI103">
            <v>2960</v>
          </cell>
          <cell r="FJ103">
            <v>2986</v>
          </cell>
          <cell r="FK103">
            <v>3065</v>
          </cell>
          <cell r="FL103">
            <v>3091</v>
          </cell>
          <cell r="FM103">
            <v>3117</v>
          </cell>
          <cell r="FN103">
            <v>3143</v>
          </cell>
          <cell r="FO103">
            <v>3170</v>
          </cell>
          <cell r="FP103">
            <v>3196</v>
          </cell>
          <cell r="FQ103">
            <v>3222</v>
          </cell>
          <cell r="FR103">
            <v>3248</v>
          </cell>
          <cell r="FS103">
            <v>3275</v>
          </cell>
          <cell r="FT103">
            <v>3301</v>
          </cell>
          <cell r="FU103">
            <v>3327</v>
          </cell>
          <cell r="FV103">
            <v>3353</v>
          </cell>
          <cell r="FW103">
            <v>3380</v>
          </cell>
          <cell r="FX103">
            <v>3406</v>
          </cell>
          <cell r="FY103">
            <v>3432</v>
          </cell>
          <cell r="FZ103">
            <v>3458</v>
          </cell>
          <cell r="GA103">
            <v>3485</v>
          </cell>
          <cell r="GB103">
            <v>3511</v>
          </cell>
          <cell r="GC103">
            <v>3537</v>
          </cell>
          <cell r="GD103">
            <v>3563</v>
          </cell>
          <cell r="GE103">
            <v>3590</v>
          </cell>
          <cell r="GF103">
            <v>3616</v>
          </cell>
          <cell r="GG103">
            <v>3642</v>
          </cell>
          <cell r="GH103">
            <v>3668</v>
          </cell>
          <cell r="GI103">
            <v>3695</v>
          </cell>
          <cell r="GJ103">
            <v>3721</v>
          </cell>
          <cell r="GK103">
            <v>3747</v>
          </cell>
          <cell r="GL103">
            <v>3773</v>
          </cell>
          <cell r="GM103">
            <v>3800</v>
          </cell>
          <cell r="GN103">
            <v>3826</v>
          </cell>
          <cell r="GO103">
            <v>3905</v>
          </cell>
          <cell r="GP103">
            <v>3931</v>
          </cell>
          <cell r="GQ103">
            <v>3957</v>
          </cell>
          <cell r="GR103">
            <v>3983</v>
          </cell>
          <cell r="GS103">
            <v>4010</v>
          </cell>
          <cell r="GT103">
            <v>4036</v>
          </cell>
          <cell r="GU103">
            <v>4062</v>
          </cell>
          <cell r="GV103">
            <v>4088</v>
          </cell>
          <cell r="GW103">
            <v>4115</v>
          </cell>
          <cell r="GX103">
            <v>4141</v>
          </cell>
          <cell r="GY103">
            <v>4167</v>
          </cell>
          <cell r="GZ103">
            <v>4193</v>
          </cell>
          <cell r="HA103">
            <v>4220</v>
          </cell>
          <cell r="HB103">
            <v>4246</v>
          </cell>
          <cell r="HC103">
            <v>4272</v>
          </cell>
          <cell r="HD103">
            <v>4298</v>
          </cell>
          <cell r="HE103">
            <v>4325</v>
          </cell>
          <cell r="HF103">
            <v>4351</v>
          </cell>
        </row>
        <row r="107">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0</v>
          </cell>
          <cell r="EB107">
            <v>0</v>
          </cell>
          <cell r="EC107">
            <v>0</v>
          </cell>
          <cell r="ED107">
            <v>0</v>
          </cell>
          <cell r="EE107">
            <v>0</v>
          </cell>
          <cell r="EF107">
            <v>0</v>
          </cell>
          <cell r="EG107">
            <v>0</v>
          </cell>
          <cell r="EH107">
            <v>0</v>
          </cell>
          <cell r="EI107">
            <v>0</v>
          </cell>
          <cell r="EJ107">
            <v>0</v>
          </cell>
          <cell r="EK107">
            <v>0</v>
          </cell>
          <cell r="EL107">
            <v>0</v>
          </cell>
          <cell r="EM107">
            <v>0</v>
          </cell>
          <cell r="EN107">
            <v>0</v>
          </cell>
          <cell r="EO107">
            <v>0</v>
          </cell>
          <cell r="EP107">
            <v>0</v>
          </cell>
          <cell r="EQ107">
            <v>0</v>
          </cell>
          <cell r="ER107">
            <v>0</v>
          </cell>
          <cell r="ES107">
            <v>0</v>
          </cell>
          <cell r="ET107">
            <v>0</v>
          </cell>
          <cell r="EU107">
            <v>0</v>
          </cell>
          <cell r="EV107">
            <v>0</v>
          </cell>
          <cell r="EW107">
            <v>0</v>
          </cell>
          <cell r="EX107">
            <v>0</v>
          </cell>
          <cell r="EY107">
            <v>0</v>
          </cell>
          <cell r="EZ107">
            <v>0</v>
          </cell>
          <cell r="FA107">
            <v>0</v>
          </cell>
          <cell r="FB107">
            <v>0</v>
          </cell>
          <cell r="FC107">
            <v>0</v>
          </cell>
          <cell r="FD107">
            <v>0</v>
          </cell>
          <cell r="FE107">
            <v>0</v>
          </cell>
          <cell r="FF107">
            <v>0</v>
          </cell>
          <cell r="FG107">
            <v>0</v>
          </cell>
          <cell r="FH107">
            <v>0</v>
          </cell>
          <cell r="FI107">
            <v>0</v>
          </cell>
          <cell r="FJ107">
            <v>0</v>
          </cell>
          <cell r="FK107">
            <v>0</v>
          </cell>
          <cell r="FL107">
            <v>0</v>
          </cell>
          <cell r="FM107">
            <v>0</v>
          </cell>
          <cell r="FN107">
            <v>0</v>
          </cell>
          <cell r="FO107">
            <v>0</v>
          </cell>
          <cell r="FP107">
            <v>0</v>
          </cell>
          <cell r="FQ107">
            <v>0</v>
          </cell>
          <cell r="FR107">
            <v>0</v>
          </cell>
          <cell r="FS107">
            <v>0</v>
          </cell>
          <cell r="FT107">
            <v>0</v>
          </cell>
          <cell r="FU107">
            <v>0</v>
          </cell>
          <cell r="FV107">
            <v>0</v>
          </cell>
          <cell r="FW107">
            <v>0</v>
          </cell>
          <cell r="FX107">
            <v>0</v>
          </cell>
          <cell r="FY107">
            <v>0</v>
          </cell>
          <cell r="FZ107">
            <v>0</v>
          </cell>
          <cell r="GA107">
            <v>0</v>
          </cell>
          <cell r="GB107">
            <v>0</v>
          </cell>
          <cell r="GC107">
            <v>0</v>
          </cell>
          <cell r="GD107">
            <v>0</v>
          </cell>
          <cell r="GE107">
            <v>0</v>
          </cell>
          <cell r="GF107">
            <v>0</v>
          </cell>
          <cell r="GG107">
            <v>0</v>
          </cell>
          <cell r="GH107">
            <v>0</v>
          </cell>
          <cell r="GI107">
            <v>0</v>
          </cell>
          <cell r="GJ107">
            <v>0</v>
          </cell>
          <cell r="GK107">
            <v>0</v>
          </cell>
          <cell r="GL107">
            <v>0</v>
          </cell>
          <cell r="GM107">
            <v>0</v>
          </cell>
          <cell r="GN107">
            <v>0</v>
          </cell>
          <cell r="GO107">
            <v>0</v>
          </cell>
          <cell r="GP107">
            <v>0</v>
          </cell>
          <cell r="GQ107">
            <v>0</v>
          </cell>
          <cell r="GR107">
            <v>0</v>
          </cell>
          <cell r="GS107">
            <v>0</v>
          </cell>
          <cell r="GT107">
            <v>0</v>
          </cell>
          <cell r="GU107">
            <v>0</v>
          </cell>
          <cell r="GV107">
            <v>0</v>
          </cell>
          <cell r="GW107">
            <v>0</v>
          </cell>
          <cell r="GX107">
            <v>0</v>
          </cell>
          <cell r="GY107">
            <v>0</v>
          </cell>
          <cell r="GZ107">
            <v>0</v>
          </cell>
          <cell r="HA107">
            <v>0</v>
          </cell>
          <cell r="HB107">
            <v>0</v>
          </cell>
          <cell r="HC107">
            <v>0</v>
          </cell>
          <cell r="HD107">
            <v>0</v>
          </cell>
          <cell r="HE107">
            <v>0</v>
          </cell>
          <cell r="HF107">
            <v>0</v>
          </cell>
        </row>
        <row r="111">
          <cell r="N111">
            <v>3264</v>
          </cell>
          <cell r="O111">
            <v>3001</v>
          </cell>
          <cell r="P111">
            <v>2738</v>
          </cell>
          <cell r="Q111">
            <v>2476</v>
          </cell>
          <cell r="R111">
            <v>2213</v>
          </cell>
          <cell r="S111">
            <v>1950</v>
          </cell>
          <cell r="T111">
            <v>1687</v>
          </cell>
          <cell r="U111">
            <v>1424</v>
          </cell>
          <cell r="V111">
            <v>1162</v>
          </cell>
          <cell r="W111">
            <v>899</v>
          </cell>
          <cell r="X111">
            <v>636</v>
          </cell>
          <cell r="Y111">
            <v>373</v>
          </cell>
          <cell r="Z111">
            <v>110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cell r="EI111">
            <v>0</v>
          </cell>
          <cell r="EJ111">
            <v>0</v>
          </cell>
          <cell r="EK111">
            <v>0</v>
          </cell>
          <cell r="EL111">
            <v>0</v>
          </cell>
          <cell r="EM111">
            <v>0</v>
          </cell>
          <cell r="EN111">
            <v>0</v>
          </cell>
          <cell r="EO111">
            <v>0</v>
          </cell>
          <cell r="EP111">
            <v>0</v>
          </cell>
          <cell r="EQ111">
            <v>0</v>
          </cell>
          <cell r="ER111">
            <v>0</v>
          </cell>
          <cell r="ES111">
            <v>0</v>
          </cell>
          <cell r="ET111">
            <v>0</v>
          </cell>
          <cell r="EU111">
            <v>0</v>
          </cell>
          <cell r="EV111">
            <v>0</v>
          </cell>
          <cell r="EW111">
            <v>0</v>
          </cell>
          <cell r="EX111">
            <v>0</v>
          </cell>
          <cell r="EY111">
            <v>0</v>
          </cell>
          <cell r="EZ111">
            <v>0</v>
          </cell>
          <cell r="FA111">
            <v>0</v>
          </cell>
          <cell r="FB111">
            <v>0</v>
          </cell>
          <cell r="FC111">
            <v>0</v>
          </cell>
          <cell r="FD111">
            <v>0</v>
          </cell>
          <cell r="FE111">
            <v>0</v>
          </cell>
          <cell r="FF111">
            <v>0</v>
          </cell>
          <cell r="FG111">
            <v>0</v>
          </cell>
          <cell r="FH111">
            <v>0</v>
          </cell>
          <cell r="FI111">
            <v>0</v>
          </cell>
          <cell r="FJ111">
            <v>0</v>
          </cell>
          <cell r="FK111">
            <v>0</v>
          </cell>
          <cell r="FL111">
            <v>0</v>
          </cell>
          <cell r="FM111">
            <v>0</v>
          </cell>
          <cell r="FN111">
            <v>0</v>
          </cell>
          <cell r="FO111">
            <v>0</v>
          </cell>
          <cell r="FP111">
            <v>0</v>
          </cell>
          <cell r="FQ111">
            <v>0</v>
          </cell>
          <cell r="FR111">
            <v>0</v>
          </cell>
          <cell r="FS111">
            <v>0</v>
          </cell>
          <cell r="FT111">
            <v>0</v>
          </cell>
          <cell r="FU111">
            <v>0</v>
          </cell>
          <cell r="FV111">
            <v>0</v>
          </cell>
          <cell r="FW111">
            <v>0</v>
          </cell>
          <cell r="FX111">
            <v>0</v>
          </cell>
          <cell r="FY111">
            <v>0</v>
          </cell>
          <cell r="FZ111">
            <v>0</v>
          </cell>
          <cell r="GA111">
            <v>0</v>
          </cell>
          <cell r="GB111">
            <v>0</v>
          </cell>
          <cell r="GC111">
            <v>0</v>
          </cell>
          <cell r="GD111">
            <v>0</v>
          </cell>
          <cell r="GE111">
            <v>0</v>
          </cell>
          <cell r="GF111">
            <v>0</v>
          </cell>
          <cell r="GG111">
            <v>0</v>
          </cell>
          <cell r="GH111">
            <v>0</v>
          </cell>
          <cell r="GI111">
            <v>0</v>
          </cell>
          <cell r="GJ111">
            <v>0</v>
          </cell>
          <cell r="GK111">
            <v>0</v>
          </cell>
          <cell r="GL111">
            <v>0</v>
          </cell>
          <cell r="GM111">
            <v>0</v>
          </cell>
          <cell r="GN111">
            <v>0</v>
          </cell>
          <cell r="GO111">
            <v>0</v>
          </cell>
          <cell r="GP111">
            <v>0</v>
          </cell>
          <cell r="GQ111">
            <v>0</v>
          </cell>
          <cell r="GR111">
            <v>0</v>
          </cell>
          <cell r="GS111">
            <v>0</v>
          </cell>
          <cell r="GT111">
            <v>0</v>
          </cell>
          <cell r="GU111">
            <v>0</v>
          </cell>
          <cell r="GV111">
            <v>0</v>
          </cell>
          <cell r="GW111">
            <v>0</v>
          </cell>
          <cell r="GX111">
            <v>0</v>
          </cell>
          <cell r="GY111">
            <v>0</v>
          </cell>
          <cell r="GZ111">
            <v>0</v>
          </cell>
          <cell r="HA111">
            <v>0</v>
          </cell>
          <cell r="HB111">
            <v>0</v>
          </cell>
          <cell r="HC111">
            <v>0</v>
          </cell>
          <cell r="HD111">
            <v>0</v>
          </cell>
          <cell r="HE111">
            <v>0</v>
          </cell>
          <cell r="HF111">
            <v>0</v>
          </cell>
        </row>
        <row r="124">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0</v>
          </cell>
          <cell r="DO124">
            <v>0</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cell r="EC124">
            <v>0</v>
          </cell>
          <cell r="ED124">
            <v>0</v>
          </cell>
          <cell r="EE124">
            <v>0</v>
          </cell>
          <cell r="EF124">
            <v>0</v>
          </cell>
          <cell r="EG124">
            <v>0</v>
          </cell>
          <cell r="EH124">
            <v>0</v>
          </cell>
          <cell r="EI124">
            <v>0</v>
          </cell>
          <cell r="EJ124">
            <v>0</v>
          </cell>
          <cell r="EK124">
            <v>0</v>
          </cell>
          <cell r="EL124">
            <v>0</v>
          </cell>
          <cell r="EM124">
            <v>0</v>
          </cell>
          <cell r="EN124">
            <v>0</v>
          </cell>
          <cell r="EO124">
            <v>0</v>
          </cell>
          <cell r="EP124">
            <v>0</v>
          </cell>
          <cell r="EQ124">
            <v>0</v>
          </cell>
          <cell r="ER124">
            <v>0</v>
          </cell>
          <cell r="ES124">
            <v>0</v>
          </cell>
          <cell r="ET124">
            <v>0</v>
          </cell>
          <cell r="EU124">
            <v>0</v>
          </cell>
          <cell r="EV124">
            <v>0</v>
          </cell>
          <cell r="EW124">
            <v>0</v>
          </cell>
          <cell r="EX124">
            <v>0</v>
          </cell>
          <cell r="EY124">
            <v>0</v>
          </cell>
          <cell r="EZ124">
            <v>0</v>
          </cell>
          <cell r="FA124">
            <v>0</v>
          </cell>
          <cell r="FB124">
            <v>0</v>
          </cell>
          <cell r="FC124">
            <v>0</v>
          </cell>
          <cell r="FD124">
            <v>0</v>
          </cell>
          <cell r="FE124">
            <v>0</v>
          </cell>
          <cell r="FF124">
            <v>0</v>
          </cell>
          <cell r="FG124">
            <v>0</v>
          </cell>
          <cell r="FH124">
            <v>0</v>
          </cell>
          <cell r="FI124">
            <v>0</v>
          </cell>
          <cell r="FJ124">
            <v>0</v>
          </cell>
          <cell r="FK124">
            <v>0</v>
          </cell>
          <cell r="FL124">
            <v>0</v>
          </cell>
          <cell r="FM124">
            <v>0</v>
          </cell>
          <cell r="FN124">
            <v>0</v>
          </cell>
          <cell r="FO124">
            <v>0</v>
          </cell>
          <cell r="FP124">
            <v>0</v>
          </cell>
          <cell r="FQ124">
            <v>0</v>
          </cell>
          <cell r="FR124">
            <v>0</v>
          </cell>
          <cell r="FS124">
            <v>0</v>
          </cell>
          <cell r="FT124">
            <v>0</v>
          </cell>
          <cell r="FU124">
            <v>0</v>
          </cell>
          <cell r="FV124">
            <v>0</v>
          </cell>
          <cell r="FW124">
            <v>0</v>
          </cell>
          <cell r="FX124">
            <v>0</v>
          </cell>
          <cell r="FY124">
            <v>0</v>
          </cell>
          <cell r="FZ124">
            <v>0</v>
          </cell>
          <cell r="GA124">
            <v>0</v>
          </cell>
          <cell r="GB124">
            <v>0</v>
          </cell>
          <cell r="GC124">
            <v>0</v>
          </cell>
          <cell r="GD124">
            <v>0</v>
          </cell>
          <cell r="GE124">
            <v>0</v>
          </cell>
          <cell r="GF124">
            <v>0</v>
          </cell>
          <cell r="GG124">
            <v>0</v>
          </cell>
          <cell r="GH124">
            <v>0</v>
          </cell>
          <cell r="GI124">
            <v>0</v>
          </cell>
          <cell r="GJ124">
            <v>0</v>
          </cell>
          <cell r="GK124">
            <v>0</v>
          </cell>
          <cell r="GL124">
            <v>0</v>
          </cell>
          <cell r="GM124">
            <v>0</v>
          </cell>
          <cell r="GN124">
            <v>0</v>
          </cell>
          <cell r="GO124">
            <v>0</v>
          </cell>
          <cell r="GP124">
            <v>0</v>
          </cell>
          <cell r="GQ124">
            <v>0</v>
          </cell>
          <cell r="GR124">
            <v>0</v>
          </cell>
          <cell r="GS124">
            <v>0</v>
          </cell>
          <cell r="GT124">
            <v>0</v>
          </cell>
          <cell r="GU124">
            <v>0</v>
          </cell>
          <cell r="GV124">
            <v>0</v>
          </cell>
          <cell r="GW124">
            <v>0</v>
          </cell>
          <cell r="GX124">
            <v>0</v>
          </cell>
          <cell r="GY124">
            <v>0</v>
          </cell>
          <cell r="GZ124">
            <v>0</v>
          </cell>
          <cell r="HA124">
            <v>0</v>
          </cell>
          <cell r="HB124">
            <v>0</v>
          </cell>
          <cell r="HC124">
            <v>0</v>
          </cell>
          <cell r="HD124">
            <v>0</v>
          </cell>
          <cell r="HE124">
            <v>0</v>
          </cell>
          <cell r="HF124">
            <v>0</v>
          </cell>
        </row>
        <row r="157">
          <cell r="N157">
            <v>6048</v>
          </cell>
          <cell r="O157">
            <v>6044.333333333333</v>
          </cell>
          <cell r="P157">
            <v>6040.6666666666661</v>
          </cell>
          <cell r="Q157">
            <v>6036.833333333333</v>
          </cell>
          <cell r="R157">
            <v>6033.1666666666661</v>
          </cell>
          <cell r="S157">
            <v>6029.333333333333</v>
          </cell>
          <cell r="T157">
            <v>6025.6666666666661</v>
          </cell>
          <cell r="U157">
            <v>6022</v>
          </cell>
          <cell r="V157">
            <v>6018.1666666666661</v>
          </cell>
          <cell r="W157">
            <v>6014.5</v>
          </cell>
          <cell r="X157">
            <v>6010.833333333333</v>
          </cell>
          <cell r="Y157">
            <v>6007</v>
          </cell>
          <cell r="Z157">
            <v>6003.333333333333</v>
          </cell>
          <cell r="AA157">
            <v>5990.333333333333</v>
          </cell>
          <cell r="AB157">
            <v>5970.833333333333</v>
          </cell>
          <cell r="AC157">
            <v>5951.333333333333</v>
          </cell>
          <cell r="AD157">
            <v>5931.833333333333</v>
          </cell>
          <cell r="AE157">
            <v>5912.333333333333</v>
          </cell>
          <cell r="AF157">
            <v>5893.1666666666661</v>
          </cell>
          <cell r="AG157">
            <v>5875.6666666666661</v>
          </cell>
          <cell r="AH157">
            <v>5858.1666666666661</v>
          </cell>
          <cell r="AI157">
            <v>5840.6666666666661</v>
          </cell>
          <cell r="AJ157">
            <v>5823.1666666666661</v>
          </cell>
          <cell r="AK157">
            <v>5805.6666666666661</v>
          </cell>
          <cell r="AL157">
            <v>5788.1666666666661</v>
          </cell>
          <cell r="AM157">
            <v>5770.6666666666661</v>
          </cell>
          <cell r="AN157">
            <v>5753.1666666666661</v>
          </cell>
          <cell r="AO157">
            <v>5735.6666666666661</v>
          </cell>
          <cell r="AP157">
            <v>5718.1666666666661</v>
          </cell>
          <cell r="AQ157">
            <v>5700.6666666666661</v>
          </cell>
          <cell r="AR157">
            <v>5683.1666666666661</v>
          </cell>
          <cell r="AS157">
            <v>5665.6666666666661</v>
          </cell>
          <cell r="AT157">
            <v>5648.1666666666661</v>
          </cell>
          <cell r="AU157">
            <v>5630.6666666666661</v>
          </cell>
          <cell r="AV157">
            <v>5613.1666666666661</v>
          </cell>
          <cell r="AW157">
            <v>5595.666666666667</v>
          </cell>
          <cell r="AX157">
            <v>5578.166666666667</v>
          </cell>
          <cell r="AY157">
            <v>5560.666666666667</v>
          </cell>
          <cell r="AZ157">
            <v>5543.166666666667</v>
          </cell>
          <cell r="BA157">
            <v>5525.666666666667</v>
          </cell>
          <cell r="BB157">
            <v>5508.166666666667</v>
          </cell>
          <cell r="BC157">
            <v>5490.666666666667</v>
          </cell>
          <cell r="BD157">
            <v>5473.166666666667</v>
          </cell>
          <cell r="BE157">
            <v>5455.666666666667</v>
          </cell>
          <cell r="BF157">
            <v>5438.166666666667</v>
          </cell>
          <cell r="BG157">
            <v>5420.666666666667</v>
          </cell>
          <cell r="BH157">
            <v>5403.166666666667</v>
          </cell>
          <cell r="BI157">
            <v>5385.666666666667</v>
          </cell>
          <cell r="BJ157">
            <v>5368.166666666667</v>
          </cell>
          <cell r="BK157">
            <v>5350.666666666667</v>
          </cell>
          <cell r="BL157">
            <v>5333.166666666667</v>
          </cell>
          <cell r="BM157">
            <v>5315.666666666667</v>
          </cell>
          <cell r="BN157">
            <v>5298.166666666667</v>
          </cell>
          <cell r="BO157">
            <v>5280.666666666667</v>
          </cell>
          <cell r="BP157">
            <v>5263.166666666667</v>
          </cell>
          <cell r="BQ157">
            <v>5245.666666666667</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0</v>
          </cell>
          <cell r="DM157">
            <v>0</v>
          </cell>
          <cell r="DN157">
            <v>0</v>
          </cell>
          <cell r="DO157">
            <v>0</v>
          </cell>
          <cell r="DP157">
            <v>0</v>
          </cell>
          <cell r="DQ157">
            <v>0</v>
          </cell>
          <cell r="DR157">
            <v>0</v>
          </cell>
          <cell r="DS157">
            <v>0</v>
          </cell>
          <cell r="DT157">
            <v>0</v>
          </cell>
          <cell r="DU157">
            <v>0</v>
          </cell>
          <cell r="DV157">
            <v>0</v>
          </cell>
          <cell r="DW157">
            <v>0</v>
          </cell>
          <cell r="DX157">
            <v>0</v>
          </cell>
          <cell r="DY157">
            <v>0</v>
          </cell>
          <cell r="DZ157">
            <v>0</v>
          </cell>
          <cell r="EA157">
            <v>0</v>
          </cell>
          <cell r="EB157">
            <v>0</v>
          </cell>
          <cell r="EC157">
            <v>0</v>
          </cell>
          <cell r="ED157">
            <v>0</v>
          </cell>
          <cell r="EE157">
            <v>0</v>
          </cell>
          <cell r="EF157">
            <v>0</v>
          </cell>
          <cell r="EG157">
            <v>0</v>
          </cell>
          <cell r="EH157">
            <v>0</v>
          </cell>
          <cell r="EI157">
            <v>0</v>
          </cell>
          <cell r="EJ157">
            <v>0</v>
          </cell>
          <cell r="EK157">
            <v>0</v>
          </cell>
          <cell r="EL157">
            <v>0</v>
          </cell>
          <cell r="EM157">
            <v>0</v>
          </cell>
          <cell r="EN157">
            <v>0</v>
          </cell>
          <cell r="EO157">
            <v>0</v>
          </cell>
          <cell r="EP157">
            <v>0</v>
          </cell>
          <cell r="EQ157">
            <v>0</v>
          </cell>
          <cell r="ER157">
            <v>0</v>
          </cell>
          <cell r="ES157">
            <v>0</v>
          </cell>
          <cell r="ET157">
            <v>0</v>
          </cell>
          <cell r="EU157">
            <v>0</v>
          </cell>
          <cell r="EV157">
            <v>0</v>
          </cell>
          <cell r="EW157">
            <v>0</v>
          </cell>
          <cell r="EX157">
            <v>0</v>
          </cell>
          <cell r="EY157">
            <v>0</v>
          </cell>
          <cell r="EZ157">
            <v>0</v>
          </cell>
          <cell r="FA157">
            <v>0</v>
          </cell>
          <cell r="FB157">
            <v>0</v>
          </cell>
          <cell r="FC157">
            <v>0</v>
          </cell>
          <cell r="FD157">
            <v>0</v>
          </cell>
          <cell r="FE157">
            <v>0</v>
          </cell>
          <cell r="FF157">
            <v>0</v>
          </cell>
          <cell r="FG157">
            <v>0</v>
          </cell>
          <cell r="FH157">
            <v>0</v>
          </cell>
          <cell r="FI157">
            <v>0</v>
          </cell>
          <cell r="FJ157">
            <v>0</v>
          </cell>
          <cell r="FK157">
            <v>0</v>
          </cell>
          <cell r="FL157">
            <v>0</v>
          </cell>
          <cell r="FM157">
            <v>0</v>
          </cell>
          <cell r="FN157">
            <v>0</v>
          </cell>
          <cell r="FO157">
            <v>0</v>
          </cell>
          <cell r="FP157">
            <v>0</v>
          </cell>
          <cell r="FQ157">
            <v>0</v>
          </cell>
          <cell r="FR157">
            <v>0</v>
          </cell>
          <cell r="FS157">
            <v>0</v>
          </cell>
          <cell r="FT157">
            <v>0</v>
          </cell>
          <cell r="FU157">
            <v>0</v>
          </cell>
          <cell r="FV157">
            <v>0</v>
          </cell>
          <cell r="FW157">
            <v>0</v>
          </cell>
          <cell r="FX157">
            <v>0</v>
          </cell>
          <cell r="FY157">
            <v>0</v>
          </cell>
          <cell r="FZ157">
            <v>0</v>
          </cell>
          <cell r="GA157">
            <v>0</v>
          </cell>
          <cell r="GB157">
            <v>0</v>
          </cell>
          <cell r="GC157">
            <v>0</v>
          </cell>
          <cell r="GD157">
            <v>0</v>
          </cell>
          <cell r="GE157">
            <v>0</v>
          </cell>
          <cell r="GF157">
            <v>0</v>
          </cell>
          <cell r="GG157">
            <v>0</v>
          </cell>
          <cell r="GH157">
            <v>0</v>
          </cell>
          <cell r="GI157">
            <v>0</v>
          </cell>
          <cell r="GJ157">
            <v>0</v>
          </cell>
          <cell r="GK157">
            <v>0</v>
          </cell>
          <cell r="GL157">
            <v>0</v>
          </cell>
          <cell r="GM157">
            <v>0</v>
          </cell>
          <cell r="GN157">
            <v>0</v>
          </cell>
          <cell r="GO157">
            <v>0</v>
          </cell>
          <cell r="GP157">
            <v>0</v>
          </cell>
          <cell r="GQ157">
            <v>0</v>
          </cell>
          <cell r="GR157">
            <v>0</v>
          </cell>
          <cell r="GS157">
            <v>0</v>
          </cell>
          <cell r="GT157">
            <v>0</v>
          </cell>
          <cell r="GU157">
            <v>0</v>
          </cell>
          <cell r="GV157">
            <v>0</v>
          </cell>
          <cell r="GW157">
            <v>0</v>
          </cell>
          <cell r="GX157">
            <v>0</v>
          </cell>
          <cell r="GY157">
            <v>0</v>
          </cell>
          <cell r="GZ157">
            <v>0</v>
          </cell>
          <cell r="HA157">
            <v>0</v>
          </cell>
          <cell r="HB157">
            <v>0</v>
          </cell>
          <cell r="HC157">
            <v>0</v>
          </cell>
          <cell r="HD157">
            <v>0</v>
          </cell>
          <cell r="HE157">
            <v>0</v>
          </cell>
          <cell r="HF157">
            <v>0</v>
          </cell>
        </row>
        <row r="175">
          <cell r="N175">
            <v>1189</v>
          </cell>
          <cell r="O175">
            <v>1189</v>
          </cell>
          <cell r="P175">
            <v>1189</v>
          </cell>
          <cell r="Q175">
            <v>1189</v>
          </cell>
          <cell r="R175">
            <v>1189</v>
          </cell>
          <cell r="S175">
            <v>1189</v>
          </cell>
          <cell r="T175">
            <v>1189</v>
          </cell>
          <cell r="U175">
            <v>1189</v>
          </cell>
          <cell r="V175">
            <v>1189</v>
          </cell>
          <cell r="W175">
            <v>1189</v>
          </cell>
          <cell r="X175">
            <v>1189</v>
          </cell>
          <cell r="Y175">
            <v>1189</v>
          </cell>
          <cell r="Z175">
            <v>1189</v>
          </cell>
          <cell r="AA175">
            <v>1189</v>
          </cell>
          <cell r="AB175">
            <v>1189</v>
          </cell>
          <cell r="AC175">
            <v>1189</v>
          </cell>
          <cell r="AD175">
            <v>1189</v>
          </cell>
          <cell r="AE175">
            <v>1189</v>
          </cell>
          <cell r="AF175">
            <v>1189</v>
          </cell>
          <cell r="AG175">
            <v>1189</v>
          </cell>
          <cell r="AH175">
            <v>1189</v>
          </cell>
          <cell r="AI175">
            <v>1189</v>
          </cell>
          <cell r="AJ175">
            <v>1189</v>
          </cell>
          <cell r="AK175">
            <v>1189</v>
          </cell>
          <cell r="AL175">
            <v>1189</v>
          </cell>
          <cell r="AM175">
            <v>1189</v>
          </cell>
          <cell r="AN175">
            <v>1189</v>
          </cell>
          <cell r="AO175">
            <v>1189</v>
          </cell>
          <cell r="AP175">
            <v>1189</v>
          </cell>
          <cell r="AQ175">
            <v>1189</v>
          </cell>
          <cell r="AR175">
            <v>1189</v>
          </cell>
          <cell r="AS175">
            <v>1189</v>
          </cell>
          <cell r="AT175">
            <v>1189</v>
          </cell>
          <cell r="AU175">
            <v>1189</v>
          </cell>
          <cell r="AV175">
            <v>1189</v>
          </cell>
          <cell r="AW175">
            <v>1189</v>
          </cell>
          <cell r="AX175">
            <v>1189</v>
          </cell>
          <cell r="AY175">
            <v>1189</v>
          </cell>
          <cell r="AZ175">
            <v>1189</v>
          </cell>
          <cell r="BA175">
            <v>1189</v>
          </cell>
          <cell r="BB175">
            <v>1189</v>
          </cell>
          <cell r="BC175">
            <v>1189</v>
          </cell>
          <cell r="BD175">
            <v>1189</v>
          </cell>
          <cell r="BE175">
            <v>1189</v>
          </cell>
          <cell r="BF175">
            <v>1189</v>
          </cell>
          <cell r="BG175">
            <v>1189</v>
          </cell>
          <cell r="BH175">
            <v>1189</v>
          </cell>
          <cell r="BI175">
            <v>1189</v>
          </cell>
          <cell r="BJ175">
            <v>1189</v>
          </cell>
          <cell r="BK175">
            <v>1189</v>
          </cell>
          <cell r="BL175">
            <v>1189</v>
          </cell>
          <cell r="BM175">
            <v>1189</v>
          </cell>
          <cell r="BN175">
            <v>1189</v>
          </cell>
          <cell r="BO175">
            <v>1189</v>
          </cell>
          <cell r="BP175">
            <v>1189</v>
          </cell>
          <cell r="BQ175">
            <v>1189</v>
          </cell>
          <cell r="BR175">
            <v>1189</v>
          </cell>
          <cell r="BS175">
            <v>1189</v>
          </cell>
          <cell r="BT175">
            <v>1189</v>
          </cell>
          <cell r="BU175">
            <v>1189</v>
          </cell>
          <cell r="BV175">
            <v>1189</v>
          </cell>
          <cell r="BW175">
            <v>1189</v>
          </cell>
          <cell r="BX175">
            <v>1189</v>
          </cell>
          <cell r="BY175">
            <v>1189</v>
          </cell>
          <cell r="BZ175">
            <v>1189</v>
          </cell>
          <cell r="CA175">
            <v>1189</v>
          </cell>
          <cell r="CB175">
            <v>1189</v>
          </cell>
          <cell r="CC175">
            <v>1189</v>
          </cell>
          <cell r="CD175">
            <v>1189</v>
          </cell>
          <cell r="CE175">
            <v>1189</v>
          </cell>
          <cell r="CF175">
            <v>1189</v>
          </cell>
          <cell r="CG175">
            <v>1189</v>
          </cell>
          <cell r="CH175">
            <v>1189</v>
          </cell>
          <cell r="CI175">
            <v>1189</v>
          </cell>
          <cell r="CJ175">
            <v>1189</v>
          </cell>
          <cell r="CK175">
            <v>1189</v>
          </cell>
          <cell r="CL175">
            <v>1189</v>
          </cell>
          <cell r="CM175">
            <v>1189</v>
          </cell>
          <cell r="CN175">
            <v>1189</v>
          </cell>
          <cell r="CO175">
            <v>1189</v>
          </cell>
          <cell r="CP175">
            <v>793</v>
          </cell>
          <cell r="CQ175">
            <v>793</v>
          </cell>
          <cell r="CR175">
            <v>793</v>
          </cell>
          <cell r="CS175">
            <v>793</v>
          </cell>
          <cell r="CT175">
            <v>793</v>
          </cell>
          <cell r="CU175">
            <v>793</v>
          </cell>
          <cell r="CV175">
            <v>793</v>
          </cell>
          <cell r="CW175">
            <v>793</v>
          </cell>
          <cell r="CX175">
            <v>793</v>
          </cell>
          <cell r="CY175">
            <v>793</v>
          </cell>
          <cell r="CZ175">
            <v>793</v>
          </cell>
          <cell r="DA175">
            <v>793</v>
          </cell>
          <cell r="DB175">
            <v>793</v>
          </cell>
          <cell r="DC175">
            <v>793</v>
          </cell>
          <cell r="DD175">
            <v>0</v>
          </cell>
          <cell r="DE175">
            <v>0</v>
          </cell>
          <cell r="DF175">
            <v>0</v>
          </cell>
          <cell r="DG175">
            <v>0</v>
          </cell>
          <cell r="DH175">
            <v>0</v>
          </cell>
          <cell r="DI175">
            <v>0</v>
          </cell>
          <cell r="DJ175">
            <v>0</v>
          </cell>
          <cell r="DK175">
            <v>0</v>
          </cell>
          <cell r="DL175">
            <v>0</v>
          </cell>
          <cell r="DM175">
            <v>0</v>
          </cell>
          <cell r="DN175">
            <v>0</v>
          </cell>
          <cell r="DO175">
            <v>0</v>
          </cell>
          <cell r="DP175">
            <v>0</v>
          </cell>
          <cell r="DQ175">
            <v>0</v>
          </cell>
          <cell r="DR175">
            <v>0</v>
          </cell>
          <cell r="DS175">
            <v>0</v>
          </cell>
          <cell r="DT175">
            <v>0</v>
          </cell>
          <cell r="DU175">
            <v>0</v>
          </cell>
          <cell r="DV175">
            <v>0</v>
          </cell>
          <cell r="DW175">
            <v>0</v>
          </cell>
          <cell r="DX175">
            <v>0</v>
          </cell>
          <cell r="DY175">
            <v>0</v>
          </cell>
          <cell r="DZ175">
            <v>0</v>
          </cell>
          <cell r="EA175">
            <v>0</v>
          </cell>
          <cell r="EB175">
            <v>0</v>
          </cell>
          <cell r="EC175">
            <v>0</v>
          </cell>
          <cell r="ED175">
            <v>0</v>
          </cell>
          <cell r="EE175">
            <v>0</v>
          </cell>
          <cell r="EF175">
            <v>0</v>
          </cell>
          <cell r="EG175">
            <v>0</v>
          </cell>
          <cell r="EH175">
            <v>0</v>
          </cell>
          <cell r="EI175">
            <v>0</v>
          </cell>
          <cell r="EJ175">
            <v>0</v>
          </cell>
          <cell r="EK175">
            <v>0</v>
          </cell>
          <cell r="EL175">
            <v>0</v>
          </cell>
          <cell r="EM175">
            <v>0</v>
          </cell>
          <cell r="EN175">
            <v>0</v>
          </cell>
          <cell r="EO175">
            <v>0</v>
          </cell>
          <cell r="EP175">
            <v>0</v>
          </cell>
          <cell r="EQ175">
            <v>0</v>
          </cell>
          <cell r="ER175">
            <v>0</v>
          </cell>
          <cell r="ES175">
            <v>0</v>
          </cell>
          <cell r="ET175">
            <v>0</v>
          </cell>
          <cell r="EU175">
            <v>0</v>
          </cell>
          <cell r="EV175">
            <v>0</v>
          </cell>
          <cell r="EW175">
            <v>0</v>
          </cell>
          <cell r="EX175">
            <v>0</v>
          </cell>
          <cell r="EY175">
            <v>0</v>
          </cell>
          <cell r="EZ175">
            <v>0</v>
          </cell>
          <cell r="FA175">
            <v>0</v>
          </cell>
          <cell r="FB175">
            <v>0</v>
          </cell>
          <cell r="FC175">
            <v>0</v>
          </cell>
          <cell r="FD175">
            <v>0</v>
          </cell>
          <cell r="FE175">
            <v>0</v>
          </cell>
          <cell r="FF175">
            <v>0</v>
          </cell>
          <cell r="FG175">
            <v>0</v>
          </cell>
          <cell r="FH175">
            <v>0</v>
          </cell>
          <cell r="FI175">
            <v>0</v>
          </cell>
          <cell r="FJ175">
            <v>0</v>
          </cell>
          <cell r="FK175">
            <v>0</v>
          </cell>
          <cell r="FL175">
            <v>0</v>
          </cell>
          <cell r="FM175">
            <v>0</v>
          </cell>
          <cell r="FN175">
            <v>0</v>
          </cell>
          <cell r="FO175">
            <v>0</v>
          </cell>
          <cell r="FP175">
            <v>0</v>
          </cell>
          <cell r="FQ175">
            <v>0</v>
          </cell>
          <cell r="FR175">
            <v>0</v>
          </cell>
          <cell r="FS175">
            <v>0</v>
          </cell>
          <cell r="FT175">
            <v>0</v>
          </cell>
          <cell r="FU175">
            <v>0</v>
          </cell>
          <cell r="FV175">
            <v>0</v>
          </cell>
          <cell r="FW175">
            <v>0</v>
          </cell>
          <cell r="FX175">
            <v>0</v>
          </cell>
          <cell r="FY175">
            <v>0</v>
          </cell>
          <cell r="FZ175">
            <v>0</v>
          </cell>
          <cell r="GA175">
            <v>0</v>
          </cell>
          <cell r="GB175">
            <v>0</v>
          </cell>
          <cell r="GC175">
            <v>0</v>
          </cell>
          <cell r="GD175">
            <v>0</v>
          </cell>
          <cell r="GE175">
            <v>0</v>
          </cell>
          <cell r="GF175">
            <v>0</v>
          </cell>
          <cell r="GG175">
            <v>0</v>
          </cell>
          <cell r="GH175">
            <v>0</v>
          </cell>
          <cell r="GI175">
            <v>0</v>
          </cell>
          <cell r="GJ175">
            <v>0</v>
          </cell>
          <cell r="GK175">
            <v>0</v>
          </cell>
          <cell r="GL175">
            <v>0</v>
          </cell>
          <cell r="GM175">
            <v>0</v>
          </cell>
          <cell r="GN175">
            <v>0</v>
          </cell>
          <cell r="GO175">
            <v>0</v>
          </cell>
          <cell r="GP175">
            <v>0</v>
          </cell>
          <cell r="GQ175">
            <v>0</v>
          </cell>
          <cell r="GR175">
            <v>0</v>
          </cell>
          <cell r="GS175">
            <v>0</v>
          </cell>
          <cell r="GT175">
            <v>0</v>
          </cell>
          <cell r="GU175">
            <v>0</v>
          </cell>
          <cell r="GV175">
            <v>0</v>
          </cell>
          <cell r="GW175">
            <v>0</v>
          </cell>
          <cell r="GX175">
            <v>0</v>
          </cell>
          <cell r="GY175">
            <v>0</v>
          </cell>
          <cell r="GZ175">
            <v>0</v>
          </cell>
          <cell r="HA175">
            <v>0</v>
          </cell>
          <cell r="HB175">
            <v>0</v>
          </cell>
          <cell r="HC175">
            <v>0</v>
          </cell>
          <cell r="HD175">
            <v>0</v>
          </cell>
          <cell r="HE175">
            <v>0</v>
          </cell>
          <cell r="HF175">
            <v>0</v>
          </cell>
        </row>
        <row r="186">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0</v>
          </cell>
          <cell r="DM186">
            <v>0</v>
          </cell>
          <cell r="DN186">
            <v>0</v>
          </cell>
          <cell r="DO186">
            <v>0</v>
          </cell>
          <cell r="DP186">
            <v>0</v>
          </cell>
          <cell r="DQ186">
            <v>0</v>
          </cell>
          <cell r="DR186">
            <v>0</v>
          </cell>
          <cell r="DS186">
            <v>0</v>
          </cell>
          <cell r="DT186">
            <v>0</v>
          </cell>
          <cell r="DU186">
            <v>0</v>
          </cell>
          <cell r="DV186">
            <v>0</v>
          </cell>
          <cell r="DW186">
            <v>0</v>
          </cell>
          <cell r="DX186">
            <v>0</v>
          </cell>
          <cell r="DY186">
            <v>0</v>
          </cell>
          <cell r="DZ186">
            <v>0</v>
          </cell>
          <cell r="EA186">
            <v>0</v>
          </cell>
          <cell r="EB186">
            <v>0</v>
          </cell>
          <cell r="EC186">
            <v>0</v>
          </cell>
          <cell r="ED186">
            <v>0</v>
          </cell>
          <cell r="EE186">
            <v>0</v>
          </cell>
          <cell r="EF186">
            <v>0</v>
          </cell>
          <cell r="EG186">
            <v>0</v>
          </cell>
          <cell r="EH186">
            <v>0</v>
          </cell>
          <cell r="EI186">
            <v>0</v>
          </cell>
          <cell r="EJ186">
            <v>0</v>
          </cell>
          <cell r="EK186">
            <v>0</v>
          </cell>
          <cell r="EL186">
            <v>0</v>
          </cell>
          <cell r="EM186">
            <v>0</v>
          </cell>
          <cell r="EN186">
            <v>0</v>
          </cell>
          <cell r="EO186">
            <v>0</v>
          </cell>
          <cell r="EP186">
            <v>0</v>
          </cell>
          <cell r="EQ186">
            <v>0</v>
          </cell>
          <cell r="ER186">
            <v>0</v>
          </cell>
          <cell r="ES186">
            <v>0</v>
          </cell>
          <cell r="ET186">
            <v>0</v>
          </cell>
          <cell r="EU186">
            <v>0</v>
          </cell>
          <cell r="EV186">
            <v>0</v>
          </cell>
          <cell r="EW186">
            <v>0</v>
          </cell>
          <cell r="EX186">
            <v>0</v>
          </cell>
          <cell r="EY186">
            <v>0</v>
          </cell>
          <cell r="EZ186">
            <v>0</v>
          </cell>
          <cell r="FA186">
            <v>0</v>
          </cell>
          <cell r="FB186">
            <v>0</v>
          </cell>
          <cell r="FC186">
            <v>0</v>
          </cell>
          <cell r="FD186">
            <v>0</v>
          </cell>
          <cell r="FE186">
            <v>0</v>
          </cell>
          <cell r="FF186">
            <v>0</v>
          </cell>
          <cell r="FG186">
            <v>0</v>
          </cell>
          <cell r="FH186">
            <v>0</v>
          </cell>
          <cell r="FI186">
            <v>0</v>
          </cell>
          <cell r="FJ186">
            <v>0</v>
          </cell>
          <cell r="FK186">
            <v>0</v>
          </cell>
          <cell r="FL186">
            <v>0</v>
          </cell>
          <cell r="FM186">
            <v>0</v>
          </cell>
          <cell r="FN186">
            <v>0</v>
          </cell>
          <cell r="FO186">
            <v>0</v>
          </cell>
          <cell r="FP186">
            <v>0</v>
          </cell>
          <cell r="FQ186">
            <v>0</v>
          </cell>
          <cell r="FR186">
            <v>0</v>
          </cell>
          <cell r="FS186">
            <v>0</v>
          </cell>
          <cell r="FT186">
            <v>0</v>
          </cell>
          <cell r="FU186">
            <v>0</v>
          </cell>
          <cell r="FV186">
            <v>0</v>
          </cell>
          <cell r="FW186">
            <v>0</v>
          </cell>
          <cell r="FX186">
            <v>0</v>
          </cell>
          <cell r="FY186">
            <v>0</v>
          </cell>
          <cell r="FZ186">
            <v>0</v>
          </cell>
          <cell r="GA186">
            <v>0</v>
          </cell>
          <cell r="GB186">
            <v>0</v>
          </cell>
          <cell r="GC186">
            <v>0</v>
          </cell>
          <cell r="GD186">
            <v>0</v>
          </cell>
          <cell r="GE186">
            <v>0</v>
          </cell>
          <cell r="GF186">
            <v>0</v>
          </cell>
          <cell r="GG186">
            <v>0</v>
          </cell>
          <cell r="GH186">
            <v>0</v>
          </cell>
          <cell r="GI186">
            <v>0</v>
          </cell>
          <cell r="GJ186">
            <v>0</v>
          </cell>
          <cell r="GK186">
            <v>0</v>
          </cell>
          <cell r="GL186">
            <v>0</v>
          </cell>
          <cell r="GM186">
            <v>0</v>
          </cell>
          <cell r="GN186">
            <v>0</v>
          </cell>
          <cell r="GO186">
            <v>0</v>
          </cell>
          <cell r="GP186">
            <v>0</v>
          </cell>
          <cell r="GQ186">
            <v>0</v>
          </cell>
          <cell r="GR186">
            <v>0</v>
          </cell>
          <cell r="GS186">
            <v>0</v>
          </cell>
          <cell r="GT186">
            <v>0</v>
          </cell>
          <cell r="GU186">
            <v>0</v>
          </cell>
          <cell r="GV186">
            <v>0</v>
          </cell>
          <cell r="GW186">
            <v>0</v>
          </cell>
          <cell r="GX186">
            <v>0</v>
          </cell>
          <cell r="GY186">
            <v>0</v>
          </cell>
          <cell r="GZ186">
            <v>0</v>
          </cell>
          <cell r="HA186">
            <v>0</v>
          </cell>
          <cell r="HB186">
            <v>0</v>
          </cell>
          <cell r="HC186">
            <v>0</v>
          </cell>
          <cell r="HD186">
            <v>0</v>
          </cell>
          <cell r="HE186">
            <v>0</v>
          </cell>
          <cell r="HF186">
            <v>0</v>
          </cell>
        </row>
        <row r="211">
          <cell r="N211">
            <v>14089</v>
          </cell>
          <cell r="O211">
            <v>14089</v>
          </cell>
          <cell r="P211">
            <v>14089</v>
          </cell>
          <cell r="Q211">
            <v>14089</v>
          </cell>
          <cell r="R211">
            <v>14089</v>
          </cell>
          <cell r="S211">
            <v>14089</v>
          </cell>
          <cell r="T211">
            <v>14089</v>
          </cell>
          <cell r="U211">
            <v>14089</v>
          </cell>
          <cell r="V211">
            <v>14089</v>
          </cell>
          <cell r="W211">
            <v>14089</v>
          </cell>
          <cell r="X211">
            <v>14089</v>
          </cell>
          <cell r="Y211">
            <v>14089</v>
          </cell>
          <cell r="Z211">
            <v>14089</v>
          </cell>
          <cell r="AA211">
            <v>14089</v>
          </cell>
          <cell r="AB211">
            <v>14089</v>
          </cell>
          <cell r="AC211">
            <v>14089</v>
          </cell>
          <cell r="AD211">
            <v>14089</v>
          </cell>
          <cell r="AE211">
            <v>14089</v>
          </cell>
          <cell r="AF211">
            <v>14089</v>
          </cell>
          <cell r="AG211">
            <v>14089</v>
          </cell>
          <cell r="AH211">
            <v>14089</v>
          </cell>
          <cell r="AI211">
            <v>5186</v>
          </cell>
          <cell r="AJ211">
            <v>5186</v>
          </cell>
          <cell r="AK211">
            <v>5186</v>
          </cell>
          <cell r="AL211">
            <v>5186</v>
          </cell>
          <cell r="AM211">
            <v>5186</v>
          </cell>
          <cell r="AN211">
            <v>5186</v>
          </cell>
          <cell r="AO211">
            <v>5186</v>
          </cell>
          <cell r="AP211">
            <v>5186</v>
          </cell>
          <cell r="AQ211">
            <v>5186</v>
          </cell>
          <cell r="AR211">
            <v>5186</v>
          </cell>
          <cell r="AS211">
            <v>5186</v>
          </cell>
          <cell r="AT211">
            <v>5186</v>
          </cell>
          <cell r="AU211">
            <v>5186</v>
          </cell>
          <cell r="AV211">
            <v>5186</v>
          </cell>
          <cell r="AW211">
            <v>5186</v>
          </cell>
          <cell r="AX211">
            <v>5186</v>
          </cell>
          <cell r="AY211">
            <v>5186</v>
          </cell>
          <cell r="AZ211">
            <v>5186</v>
          </cell>
          <cell r="BA211">
            <v>5186</v>
          </cell>
          <cell r="BB211">
            <v>5186</v>
          </cell>
          <cell r="BC211">
            <v>5186</v>
          </cell>
          <cell r="BD211">
            <v>5186</v>
          </cell>
          <cell r="BE211">
            <v>5186</v>
          </cell>
          <cell r="BF211">
            <v>5186</v>
          </cell>
          <cell r="BG211">
            <v>5186</v>
          </cell>
          <cell r="BH211">
            <v>5186</v>
          </cell>
          <cell r="BI211">
            <v>5186</v>
          </cell>
          <cell r="BJ211">
            <v>5186</v>
          </cell>
          <cell r="BK211">
            <v>5186</v>
          </cell>
          <cell r="BL211">
            <v>5186</v>
          </cell>
          <cell r="BM211">
            <v>5186</v>
          </cell>
          <cell r="BN211">
            <v>5186</v>
          </cell>
          <cell r="BO211">
            <v>5186</v>
          </cell>
          <cell r="BP211">
            <v>5186</v>
          </cell>
          <cell r="BQ211">
            <v>5186</v>
          </cell>
          <cell r="BR211">
            <v>5186</v>
          </cell>
          <cell r="BS211">
            <v>5186</v>
          </cell>
          <cell r="BT211">
            <v>5186</v>
          </cell>
          <cell r="BU211">
            <v>5186</v>
          </cell>
          <cell r="BV211">
            <v>5186</v>
          </cell>
          <cell r="BW211">
            <v>5186</v>
          </cell>
          <cell r="BX211">
            <v>5186</v>
          </cell>
          <cell r="BY211">
            <v>5186</v>
          </cell>
          <cell r="BZ211">
            <v>5186</v>
          </cell>
          <cell r="CA211">
            <v>5186</v>
          </cell>
          <cell r="CB211">
            <v>5186</v>
          </cell>
          <cell r="CC211">
            <v>5186</v>
          </cell>
          <cell r="CD211">
            <v>5186</v>
          </cell>
          <cell r="CE211">
            <v>5186</v>
          </cell>
          <cell r="CF211">
            <v>5186</v>
          </cell>
          <cell r="CG211">
            <v>5186</v>
          </cell>
          <cell r="CH211">
            <v>5186</v>
          </cell>
          <cell r="CI211">
            <v>5186</v>
          </cell>
          <cell r="CJ211">
            <v>5186</v>
          </cell>
          <cell r="CK211">
            <v>5186</v>
          </cell>
          <cell r="CL211">
            <v>5186</v>
          </cell>
          <cell r="CM211">
            <v>5186</v>
          </cell>
          <cell r="CN211">
            <v>5186</v>
          </cell>
          <cell r="CO211">
            <v>5186</v>
          </cell>
          <cell r="CP211">
            <v>5186</v>
          </cell>
          <cell r="CQ211">
            <v>5186</v>
          </cell>
          <cell r="CR211">
            <v>5186</v>
          </cell>
          <cell r="CS211">
            <v>5186</v>
          </cell>
          <cell r="CT211">
            <v>5186</v>
          </cell>
          <cell r="CU211">
            <v>5186</v>
          </cell>
          <cell r="CV211">
            <v>5186</v>
          </cell>
          <cell r="CW211">
            <v>5186</v>
          </cell>
          <cell r="CX211">
            <v>5186</v>
          </cell>
          <cell r="CY211">
            <v>5186</v>
          </cell>
          <cell r="CZ211">
            <v>5186</v>
          </cell>
          <cell r="DA211">
            <v>5186</v>
          </cell>
          <cell r="DB211">
            <v>5186</v>
          </cell>
          <cell r="DC211">
            <v>5186</v>
          </cell>
          <cell r="DD211">
            <v>0</v>
          </cell>
          <cell r="DE211">
            <v>0</v>
          </cell>
          <cell r="DF211">
            <v>0</v>
          </cell>
          <cell r="DG211">
            <v>0</v>
          </cell>
          <cell r="DH211">
            <v>0</v>
          </cell>
          <cell r="DI211">
            <v>0</v>
          </cell>
          <cell r="DJ211">
            <v>0</v>
          </cell>
          <cell r="DK211">
            <v>0</v>
          </cell>
          <cell r="DL211">
            <v>0</v>
          </cell>
          <cell r="DM211">
            <v>0</v>
          </cell>
          <cell r="DN211">
            <v>0</v>
          </cell>
          <cell r="DO211">
            <v>0</v>
          </cell>
          <cell r="DP211">
            <v>0</v>
          </cell>
          <cell r="DQ211">
            <v>0</v>
          </cell>
          <cell r="DR211">
            <v>0</v>
          </cell>
          <cell r="DS211">
            <v>0</v>
          </cell>
          <cell r="DT211">
            <v>0</v>
          </cell>
          <cell r="DU211">
            <v>0</v>
          </cell>
          <cell r="DV211">
            <v>0</v>
          </cell>
          <cell r="DW211">
            <v>0</v>
          </cell>
          <cell r="DX211">
            <v>0</v>
          </cell>
          <cell r="DY211">
            <v>0</v>
          </cell>
          <cell r="DZ211">
            <v>0</v>
          </cell>
          <cell r="EA211">
            <v>0</v>
          </cell>
          <cell r="EB211">
            <v>0</v>
          </cell>
          <cell r="EC211">
            <v>0</v>
          </cell>
          <cell r="ED211">
            <v>0</v>
          </cell>
          <cell r="EE211">
            <v>0</v>
          </cell>
          <cell r="EF211">
            <v>0</v>
          </cell>
          <cell r="EG211">
            <v>0</v>
          </cell>
          <cell r="EH211">
            <v>0</v>
          </cell>
          <cell r="EI211">
            <v>0</v>
          </cell>
          <cell r="EJ211">
            <v>0</v>
          </cell>
          <cell r="EK211">
            <v>0</v>
          </cell>
          <cell r="EL211">
            <v>0</v>
          </cell>
          <cell r="EM211">
            <v>0</v>
          </cell>
          <cell r="EN211">
            <v>0</v>
          </cell>
          <cell r="EO211">
            <v>0</v>
          </cell>
          <cell r="EP211">
            <v>0</v>
          </cell>
          <cell r="EQ211">
            <v>0</v>
          </cell>
          <cell r="ER211">
            <v>0</v>
          </cell>
          <cell r="ES211">
            <v>0</v>
          </cell>
          <cell r="ET211">
            <v>0</v>
          </cell>
          <cell r="EU211">
            <v>0</v>
          </cell>
          <cell r="EV211">
            <v>0</v>
          </cell>
          <cell r="EW211">
            <v>0</v>
          </cell>
          <cell r="EX211">
            <v>0</v>
          </cell>
          <cell r="EY211">
            <v>0</v>
          </cell>
          <cell r="EZ211">
            <v>0</v>
          </cell>
          <cell r="FA211">
            <v>0</v>
          </cell>
          <cell r="FB211">
            <v>0</v>
          </cell>
          <cell r="FC211">
            <v>0</v>
          </cell>
          <cell r="FD211">
            <v>0</v>
          </cell>
          <cell r="FE211">
            <v>0</v>
          </cell>
          <cell r="FF211">
            <v>0</v>
          </cell>
          <cell r="FG211">
            <v>0</v>
          </cell>
          <cell r="FH211">
            <v>0</v>
          </cell>
          <cell r="FI211">
            <v>0</v>
          </cell>
          <cell r="FJ211">
            <v>0</v>
          </cell>
          <cell r="FK211">
            <v>0</v>
          </cell>
          <cell r="FL211">
            <v>0</v>
          </cell>
          <cell r="FM211">
            <v>0</v>
          </cell>
          <cell r="FN211">
            <v>0</v>
          </cell>
          <cell r="FO211">
            <v>0</v>
          </cell>
          <cell r="FP211">
            <v>0</v>
          </cell>
          <cell r="FQ211">
            <v>0</v>
          </cell>
          <cell r="FR211">
            <v>0</v>
          </cell>
          <cell r="FS211">
            <v>0</v>
          </cell>
          <cell r="FT211">
            <v>0</v>
          </cell>
          <cell r="FU211">
            <v>0</v>
          </cell>
          <cell r="FV211">
            <v>0</v>
          </cell>
          <cell r="FW211">
            <v>0</v>
          </cell>
          <cell r="FX211">
            <v>0</v>
          </cell>
          <cell r="FY211">
            <v>0</v>
          </cell>
          <cell r="FZ211">
            <v>0</v>
          </cell>
          <cell r="GA211">
            <v>0</v>
          </cell>
          <cell r="GB211">
            <v>0</v>
          </cell>
          <cell r="GC211">
            <v>0</v>
          </cell>
          <cell r="GD211">
            <v>0</v>
          </cell>
          <cell r="GE211">
            <v>0</v>
          </cell>
          <cell r="GF211">
            <v>0</v>
          </cell>
          <cell r="GG211">
            <v>0</v>
          </cell>
          <cell r="GH211">
            <v>0</v>
          </cell>
          <cell r="GI211">
            <v>0</v>
          </cell>
          <cell r="GJ211">
            <v>0</v>
          </cell>
          <cell r="GK211">
            <v>0</v>
          </cell>
          <cell r="GL211">
            <v>0</v>
          </cell>
          <cell r="GM211">
            <v>0</v>
          </cell>
          <cell r="GN211">
            <v>0</v>
          </cell>
          <cell r="GO211">
            <v>0</v>
          </cell>
          <cell r="GP211">
            <v>0</v>
          </cell>
          <cell r="GQ211">
            <v>0</v>
          </cell>
          <cell r="GR211">
            <v>0</v>
          </cell>
          <cell r="GS211">
            <v>0</v>
          </cell>
          <cell r="GT211">
            <v>0</v>
          </cell>
          <cell r="GU211">
            <v>0</v>
          </cell>
          <cell r="GV211">
            <v>0</v>
          </cell>
          <cell r="GW211">
            <v>0</v>
          </cell>
          <cell r="GX211">
            <v>0</v>
          </cell>
          <cell r="GY211">
            <v>0</v>
          </cell>
          <cell r="GZ211">
            <v>0</v>
          </cell>
          <cell r="HA211">
            <v>0</v>
          </cell>
          <cell r="HB211">
            <v>0</v>
          </cell>
          <cell r="HC211">
            <v>0</v>
          </cell>
          <cell r="HD211">
            <v>0</v>
          </cell>
          <cell r="HE211">
            <v>0</v>
          </cell>
          <cell r="HF211">
            <v>0</v>
          </cell>
        </row>
        <row r="250">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cell r="EI250">
            <v>0</v>
          </cell>
          <cell r="EJ250">
            <v>0</v>
          </cell>
          <cell r="EK250">
            <v>0</v>
          </cell>
          <cell r="EL250">
            <v>0</v>
          </cell>
          <cell r="EM250">
            <v>0</v>
          </cell>
          <cell r="EN250">
            <v>0</v>
          </cell>
          <cell r="EO250">
            <v>0</v>
          </cell>
          <cell r="EP250">
            <v>0</v>
          </cell>
          <cell r="EQ250">
            <v>0</v>
          </cell>
          <cell r="ER250">
            <v>0</v>
          </cell>
          <cell r="ES250">
            <v>0</v>
          </cell>
          <cell r="ET250">
            <v>0</v>
          </cell>
          <cell r="EU250">
            <v>0</v>
          </cell>
          <cell r="EV250">
            <v>0</v>
          </cell>
          <cell r="EW250">
            <v>0</v>
          </cell>
          <cell r="EX250">
            <v>0</v>
          </cell>
          <cell r="EY250">
            <v>0</v>
          </cell>
          <cell r="EZ250">
            <v>0</v>
          </cell>
          <cell r="FA250">
            <v>0</v>
          </cell>
          <cell r="FB250">
            <v>0</v>
          </cell>
          <cell r="FC250">
            <v>0</v>
          </cell>
          <cell r="FD250">
            <v>0</v>
          </cell>
          <cell r="FE250">
            <v>0</v>
          </cell>
          <cell r="FF250">
            <v>0</v>
          </cell>
          <cell r="FG250">
            <v>0</v>
          </cell>
          <cell r="FH250">
            <v>0</v>
          </cell>
          <cell r="FI250">
            <v>0</v>
          </cell>
          <cell r="FJ250">
            <v>0</v>
          </cell>
          <cell r="FK250">
            <v>0</v>
          </cell>
          <cell r="FL250">
            <v>0</v>
          </cell>
          <cell r="FM250">
            <v>0</v>
          </cell>
          <cell r="FN250">
            <v>0</v>
          </cell>
          <cell r="FO250">
            <v>0</v>
          </cell>
          <cell r="FP250">
            <v>0</v>
          </cell>
          <cell r="FQ250">
            <v>0</v>
          </cell>
          <cell r="FR250">
            <v>0</v>
          </cell>
          <cell r="FS250">
            <v>0</v>
          </cell>
          <cell r="FT250">
            <v>0</v>
          </cell>
          <cell r="FU250">
            <v>0</v>
          </cell>
          <cell r="FV250">
            <v>0</v>
          </cell>
          <cell r="FW250">
            <v>0</v>
          </cell>
          <cell r="FX250">
            <v>0</v>
          </cell>
          <cell r="FY250">
            <v>0</v>
          </cell>
          <cell r="FZ250">
            <v>0</v>
          </cell>
          <cell r="GA250">
            <v>0</v>
          </cell>
          <cell r="GB250">
            <v>0</v>
          </cell>
          <cell r="GC250">
            <v>0</v>
          </cell>
          <cell r="GD250">
            <v>0</v>
          </cell>
          <cell r="GE250">
            <v>0</v>
          </cell>
          <cell r="GF250">
            <v>0</v>
          </cell>
          <cell r="GG250">
            <v>0</v>
          </cell>
          <cell r="GH250">
            <v>0</v>
          </cell>
          <cell r="GI250">
            <v>0</v>
          </cell>
          <cell r="GJ250">
            <v>0</v>
          </cell>
          <cell r="GK250">
            <v>0</v>
          </cell>
          <cell r="GL250">
            <v>0</v>
          </cell>
          <cell r="GM250">
            <v>0</v>
          </cell>
          <cell r="GN250">
            <v>0</v>
          </cell>
          <cell r="GO250">
            <v>0</v>
          </cell>
          <cell r="GP250">
            <v>0</v>
          </cell>
          <cell r="GQ250">
            <v>0</v>
          </cell>
          <cell r="GR250">
            <v>0</v>
          </cell>
          <cell r="GS250">
            <v>0</v>
          </cell>
          <cell r="GT250">
            <v>0</v>
          </cell>
          <cell r="GU250">
            <v>0</v>
          </cell>
          <cell r="GV250">
            <v>0</v>
          </cell>
          <cell r="GW250">
            <v>0</v>
          </cell>
          <cell r="GX250">
            <v>0</v>
          </cell>
          <cell r="GY250">
            <v>0</v>
          </cell>
          <cell r="GZ250">
            <v>0</v>
          </cell>
          <cell r="HA250">
            <v>0</v>
          </cell>
          <cell r="HB250">
            <v>0</v>
          </cell>
          <cell r="HC250">
            <v>0</v>
          </cell>
          <cell r="HD250">
            <v>0</v>
          </cell>
          <cell r="HE250">
            <v>0</v>
          </cell>
          <cell r="HF250">
            <v>0</v>
          </cell>
        </row>
        <row r="256">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5129</v>
          </cell>
          <cell r="BF256">
            <v>5101</v>
          </cell>
          <cell r="BG256">
            <v>5072</v>
          </cell>
          <cell r="BH256">
            <v>5027</v>
          </cell>
          <cell r="BI256">
            <v>4995</v>
          </cell>
          <cell r="BJ256">
            <v>4947</v>
          </cell>
          <cell r="BK256">
            <v>4913</v>
          </cell>
          <cell r="BL256">
            <v>4877</v>
          </cell>
          <cell r="BM256">
            <v>4824</v>
          </cell>
          <cell r="BN256">
            <v>4785</v>
          </cell>
          <cell r="BO256">
            <v>4745</v>
          </cell>
          <cell r="BP256">
            <v>4687</v>
          </cell>
          <cell r="BQ256">
            <v>4644</v>
          </cell>
          <cell r="BR256">
            <v>4600</v>
          </cell>
          <cell r="BS256">
            <v>4538</v>
          </cell>
          <cell r="BT256">
            <v>4492</v>
          </cell>
          <cell r="BU256">
            <v>4445</v>
          </cell>
          <cell r="BV256">
            <v>4379</v>
          </cell>
          <cell r="BW256">
            <v>4329</v>
          </cell>
          <cell r="BX256">
            <v>4278</v>
          </cell>
          <cell r="BY256">
            <v>4207</v>
          </cell>
          <cell r="BZ256">
            <v>4153</v>
          </cell>
          <cell r="CA256">
            <v>4124</v>
          </cell>
          <cell r="CB256">
            <v>4088</v>
          </cell>
          <cell r="CC256">
            <v>4059</v>
          </cell>
          <cell r="CD256">
            <v>4028</v>
          </cell>
          <cell r="CE256">
            <v>3991</v>
          </cell>
          <cell r="CF256">
            <v>3960</v>
          </cell>
          <cell r="CG256">
            <v>3928</v>
          </cell>
          <cell r="CH256">
            <v>3889</v>
          </cell>
          <cell r="CI256">
            <v>3856</v>
          </cell>
          <cell r="CJ256">
            <v>3823</v>
          </cell>
          <cell r="CK256">
            <v>3782</v>
          </cell>
          <cell r="CL256">
            <v>3749</v>
          </cell>
          <cell r="CM256">
            <v>3714</v>
          </cell>
          <cell r="CN256">
            <v>3672</v>
          </cell>
          <cell r="CO256">
            <v>3637</v>
          </cell>
          <cell r="CP256">
            <v>3593</v>
          </cell>
          <cell r="CQ256">
            <v>3557</v>
          </cell>
          <cell r="CR256">
            <v>3520</v>
          </cell>
          <cell r="CS256">
            <v>3475</v>
          </cell>
          <cell r="CT256">
            <v>3438</v>
          </cell>
          <cell r="CU256">
            <v>3400</v>
          </cell>
          <cell r="CV256">
            <v>3330</v>
          </cell>
          <cell r="CW256">
            <v>3267</v>
          </cell>
          <cell r="CX256">
            <v>3204</v>
          </cell>
          <cell r="CY256">
            <v>3119</v>
          </cell>
          <cell r="CZ256">
            <v>3053</v>
          </cell>
          <cell r="DA256">
            <v>2987</v>
          </cell>
          <cell r="DB256">
            <v>2898</v>
          </cell>
          <cell r="DC256">
            <v>2829</v>
          </cell>
          <cell r="DD256">
            <v>10627</v>
          </cell>
          <cell r="DE256">
            <v>10534</v>
          </cell>
          <cell r="DF256">
            <v>10463</v>
          </cell>
          <cell r="DG256">
            <v>10390</v>
          </cell>
          <cell r="DH256">
            <v>10293</v>
          </cell>
          <cell r="DI256">
            <v>10219</v>
          </cell>
          <cell r="DJ256">
            <v>10143</v>
          </cell>
          <cell r="DK256">
            <v>10043</v>
          </cell>
          <cell r="DL256">
            <v>9965</v>
          </cell>
          <cell r="DM256">
            <v>9886</v>
          </cell>
          <cell r="DN256">
            <v>9782</v>
          </cell>
          <cell r="DO256">
            <v>9701</v>
          </cell>
          <cell r="DP256">
            <v>9620</v>
          </cell>
          <cell r="DQ256">
            <v>9518</v>
          </cell>
          <cell r="DR256">
            <v>9446</v>
          </cell>
          <cell r="DS256">
            <v>9354</v>
          </cell>
          <cell r="DT256">
            <v>9281</v>
          </cell>
          <cell r="DU256">
            <v>9207</v>
          </cell>
          <cell r="DV256">
            <v>9113</v>
          </cell>
          <cell r="DW256">
            <v>9037</v>
          </cell>
          <cell r="DX256">
            <v>8961</v>
          </cell>
          <cell r="DY256">
            <v>8863</v>
          </cell>
          <cell r="DZ256">
            <v>8785</v>
          </cell>
          <cell r="EA256">
            <v>8707</v>
          </cell>
          <cell r="EB256">
            <v>8606</v>
          </cell>
          <cell r="EC256">
            <v>8526</v>
          </cell>
          <cell r="ED256">
            <v>8445</v>
          </cell>
          <cell r="EE256">
            <v>8342</v>
          </cell>
          <cell r="EF256">
            <v>8260</v>
          </cell>
          <cell r="EG256">
            <v>8176</v>
          </cell>
          <cell r="EH256">
            <v>8070</v>
          </cell>
          <cell r="EI256">
            <v>7985</v>
          </cell>
          <cell r="EJ256">
            <v>7900</v>
          </cell>
          <cell r="EK256">
            <v>7791</v>
          </cell>
          <cell r="EL256">
            <v>7703</v>
          </cell>
          <cell r="EM256">
            <v>7643</v>
          </cell>
          <cell r="EN256">
            <v>7572</v>
          </cell>
          <cell r="EO256">
            <v>7511</v>
          </cell>
          <cell r="EP256">
            <v>7449</v>
          </cell>
          <cell r="EQ256">
            <v>7377</v>
          </cell>
          <cell r="ER256">
            <v>7315</v>
          </cell>
          <cell r="ES256">
            <v>7252</v>
          </cell>
          <cell r="ET256">
            <v>7179</v>
          </cell>
          <cell r="EU256">
            <v>7116</v>
          </cell>
          <cell r="EV256">
            <v>7052</v>
          </cell>
          <cell r="EW256">
            <v>6978</v>
          </cell>
          <cell r="EX256">
            <v>6914</v>
          </cell>
          <cell r="EY256">
            <v>6839</v>
          </cell>
          <cell r="EZ256">
            <v>6774</v>
          </cell>
          <cell r="FA256">
            <v>6709</v>
          </cell>
          <cell r="FB256">
            <v>6633</v>
          </cell>
          <cell r="FC256">
            <v>6567</v>
          </cell>
          <cell r="FD256">
            <v>6500</v>
          </cell>
          <cell r="FE256">
            <v>6423</v>
          </cell>
          <cell r="FF256">
            <v>6356</v>
          </cell>
          <cell r="FG256">
            <v>6289</v>
          </cell>
          <cell r="FH256">
            <v>6210</v>
          </cell>
          <cell r="FI256">
            <v>6143</v>
          </cell>
          <cell r="FJ256">
            <v>6074</v>
          </cell>
          <cell r="FK256">
            <v>5995</v>
          </cell>
          <cell r="FL256">
            <v>5926</v>
          </cell>
          <cell r="FM256">
            <v>5857</v>
          </cell>
          <cell r="FN256">
            <v>5776</v>
          </cell>
          <cell r="FO256">
            <v>5706</v>
          </cell>
          <cell r="FP256">
            <v>5636</v>
          </cell>
          <cell r="FQ256">
            <v>5554</v>
          </cell>
          <cell r="FR256">
            <v>5483</v>
          </cell>
          <cell r="FS256">
            <v>5412</v>
          </cell>
          <cell r="FT256">
            <v>5329</v>
          </cell>
          <cell r="FU256">
            <v>5257</v>
          </cell>
          <cell r="FV256">
            <v>5185</v>
          </cell>
          <cell r="FW256">
            <v>5100</v>
          </cell>
          <cell r="FX256">
            <v>5028</v>
          </cell>
          <cell r="FY256">
            <v>4955</v>
          </cell>
          <cell r="FZ256">
            <v>4869</v>
          </cell>
          <cell r="GA256">
            <v>4795</v>
          </cell>
          <cell r="GB256">
            <v>4721</v>
          </cell>
          <cell r="GC256">
            <v>0</v>
          </cell>
          <cell r="GD256">
            <v>0</v>
          </cell>
          <cell r="GE256">
            <v>0</v>
          </cell>
          <cell r="GF256">
            <v>0</v>
          </cell>
          <cell r="GG256">
            <v>0</v>
          </cell>
          <cell r="GH256">
            <v>0</v>
          </cell>
          <cell r="GI256">
            <v>0</v>
          </cell>
          <cell r="GJ256">
            <v>0</v>
          </cell>
          <cell r="GK256">
            <v>0</v>
          </cell>
          <cell r="GL256">
            <v>0</v>
          </cell>
          <cell r="GM256">
            <v>0</v>
          </cell>
          <cell r="GN256">
            <v>0</v>
          </cell>
          <cell r="GO256">
            <v>0</v>
          </cell>
          <cell r="GP256">
            <v>0</v>
          </cell>
          <cell r="GQ256">
            <v>0</v>
          </cell>
          <cell r="GR256">
            <v>0</v>
          </cell>
          <cell r="GS256">
            <v>0</v>
          </cell>
          <cell r="GT256">
            <v>0</v>
          </cell>
          <cell r="GU256">
            <v>0</v>
          </cell>
          <cell r="GV256">
            <v>0</v>
          </cell>
          <cell r="GW256">
            <v>0</v>
          </cell>
          <cell r="GX256">
            <v>0</v>
          </cell>
          <cell r="GY256">
            <v>0</v>
          </cell>
          <cell r="GZ256">
            <v>0</v>
          </cell>
          <cell r="HA256">
            <v>0</v>
          </cell>
          <cell r="HB256">
            <v>0</v>
          </cell>
          <cell r="HC256">
            <v>0</v>
          </cell>
          <cell r="HD256">
            <v>0</v>
          </cell>
          <cell r="HE256">
            <v>0</v>
          </cell>
          <cell r="HF256">
            <v>0</v>
          </cell>
        </row>
        <row r="260">
          <cell r="N260">
            <v>4870</v>
          </cell>
          <cell r="O260">
            <v>4820</v>
          </cell>
          <cell r="P260">
            <v>4770</v>
          </cell>
          <cell r="Q260">
            <v>4720</v>
          </cell>
          <cell r="R260">
            <v>4670</v>
          </cell>
          <cell r="S260">
            <v>4620</v>
          </cell>
          <cell r="T260">
            <v>4570</v>
          </cell>
          <cell r="U260">
            <v>4520</v>
          </cell>
          <cell r="V260">
            <v>4470</v>
          </cell>
          <cell r="W260">
            <v>4420</v>
          </cell>
          <cell r="X260">
            <v>4370</v>
          </cell>
          <cell r="Y260">
            <v>4320</v>
          </cell>
          <cell r="Z260">
            <v>4270</v>
          </cell>
          <cell r="AA260">
            <v>6654</v>
          </cell>
          <cell r="AB260">
            <v>6604</v>
          </cell>
          <cell r="AC260">
            <v>6554</v>
          </cell>
          <cell r="AD260">
            <v>6504</v>
          </cell>
          <cell r="AE260">
            <v>6454</v>
          </cell>
          <cell r="AF260">
            <v>6404</v>
          </cell>
          <cell r="AG260">
            <v>6354</v>
          </cell>
          <cell r="AH260">
            <v>6304</v>
          </cell>
          <cell r="AI260">
            <v>6254</v>
          </cell>
          <cell r="AJ260">
            <v>6204</v>
          </cell>
          <cell r="AK260">
            <v>6154</v>
          </cell>
          <cell r="AL260">
            <v>8539</v>
          </cell>
          <cell r="AM260">
            <v>8489</v>
          </cell>
          <cell r="AN260">
            <v>8439</v>
          </cell>
          <cell r="AO260">
            <v>8389</v>
          </cell>
          <cell r="AP260">
            <v>8339</v>
          </cell>
          <cell r="AQ260">
            <v>8289</v>
          </cell>
          <cell r="AR260">
            <v>8239</v>
          </cell>
          <cell r="AS260">
            <v>8189</v>
          </cell>
          <cell r="AT260">
            <v>8139</v>
          </cell>
          <cell r="AU260">
            <v>8089</v>
          </cell>
          <cell r="AV260">
            <v>8039</v>
          </cell>
          <cell r="AW260">
            <v>7989</v>
          </cell>
          <cell r="AX260">
            <v>7939</v>
          </cell>
          <cell r="AY260">
            <v>7889</v>
          </cell>
          <cell r="AZ260">
            <v>7839</v>
          </cell>
          <cell r="BA260">
            <v>7789</v>
          </cell>
          <cell r="BB260">
            <v>7739</v>
          </cell>
          <cell r="BC260">
            <v>7689</v>
          </cell>
          <cell r="BD260">
            <v>7639</v>
          </cell>
          <cell r="BE260">
            <v>7589</v>
          </cell>
          <cell r="BF260">
            <v>7539</v>
          </cell>
          <cell r="BG260">
            <v>7489</v>
          </cell>
          <cell r="BH260">
            <v>7439</v>
          </cell>
          <cell r="BI260">
            <v>7389</v>
          </cell>
          <cell r="BJ260">
            <v>7339</v>
          </cell>
          <cell r="BK260">
            <v>7289</v>
          </cell>
          <cell r="BL260">
            <v>7239</v>
          </cell>
          <cell r="BM260">
            <v>7189</v>
          </cell>
          <cell r="BN260">
            <v>7139</v>
          </cell>
          <cell r="BO260">
            <v>7089</v>
          </cell>
          <cell r="BP260">
            <v>7039</v>
          </cell>
          <cell r="BQ260">
            <v>6989</v>
          </cell>
          <cell r="BR260">
            <v>6939</v>
          </cell>
          <cell r="BS260">
            <v>6889</v>
          </cell>
          <cell r="BT260">
            <v>6839</v>
          </cell>
          <cell r="BU260">
            <v>6789</v>
          </cell>
          <cell r="BV260">
            <v>6739</v>
          </cell>
          <cell r="BW260">
            <v>6689</v>
          </cell>
          <cell r="BX260">
            <v>6639</v>
          </cell>
          <cell r="BY260">
            <v>6589</v>
          </cell>
          <cell r="BZ260">
            <v>6539</v>
          </cell>
          <cell r="CA260">
            <v>6489</v>
          </cell>
          <cell r="CB260">
            <v>6439</v>
          </cell>
          <cell r="CC260">
            <v>6389</v>
          </cell>
          <cell r="CD260">
            <v>6339</v>
          </cell>
          <cell r="CE260">
            <v>6289</v>
          </cell>
          <cell r="CF260">
            <v>6239</v>
          </cell>
          <cell r="CG260">
            <v>6189</v>
          </cell>
          <cell r="CH260">
            <v>6139</v>
          </cell>
          <cell r="CI260">
            <v>6089</v>
          </cell>
          <cell r="CJ260">
            <v>6039</v>
          </cell>
          <cell r="CK260">
            <v>5989</v>
          </cell>
          <cell r="CL260">
            <v>5939</v>
          </cell>
          <cell r="CM260">
            <v>5889</v>
          </cell>
          <cell r="CN260">
            <v>5839</v>
          </cell>
          <cell r="CO260">
            <v>5789</v>
          </cell>
          <cell r="CP260">
            <v>5739</v>
          </cell>
          <cell r="CQ260">
            <v>5689</v>
          </cell>
          <cell r="CR260">
            <v>5639</v>
          </cell>
          <cell r="CS260">
            <v>5589</v>
          </cell>
          <cell r="CT260">
            <v>5539</v>
          </cell>
          <cell r="CU260">
            <v>5489</v>
          </cell>
          <cell r="CV260">
            <v>5439</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cell r="EI260">
            <v>0</v>
          </cell>
          <cell r="EJ260">
            <v>0</v>
          </cell>
          <cell r="EK260">
            <v>0</v>
          </cell>
          <cell r="EL260">
            <v>0</v>
          </cell>
          <cell r="EM260">
            <v>0</v>
          </cell>
          <cell r="EN260">
            <v>0</v>
          </cell>
          <cell r="EO260">
            <v>0</v>
          </cell>
          <cell r="EP260">
            <v>0</v>
          </cell>
          <cell r="EQ260">
            <v>0</v>
          </cell>
          <cell r="ER260">
            <v>0</v>
          </cell>
          <cell r="ES260">
            <v>0</v>
          </cell>
          <cell r="ET260">
            <v>0</v>
          </cell>
          <cell r="EU260">
            <v>0</v>
          </cell>
          <cell r="EV260">
            <v>0</v>
          </cell>
          <cell r="EW260">
            <v>0</v>
          </cell>
          <cell r="EX260">
            <v>0</v>
          </cell>
          <cell r="EY260">
            <v>0</v>
          </cell>
          <cell r="EZ260">
            <v>0</v>
          </cell>
          <cell r="FA260">
            <v>0</v>
          </cell>
          <cell r="FB260">
            <v>0</v>
          </cell>
          <cell r="FC260">
            <v>0</v>
          </cell>
          <cell r="FD260">
            <v>0</v>
          </cell>
          <cell r="FE260">
            <v>0</v>
          </cell>
          <cell r="FF260">
            <v>0</v>
          </cell>
          <cell r="FG260">
            <v>0</v>
          </cell>
          <cell r="FH260">
            <v>0</v>
          </cell>
          <cell r="FI260">
            <v>0</v>
          </cell>
          <cell r="FJ260">
            <v>0</v>
          </cell>
          <cell r="FK260">
            <v>0</v>
          </cell>
          <cell r="FL260">
            <v>0</v>
          </cell>
          <cell r="FM260">
            <v>0</v>
          </cell>
          <cell r="FN260">
            <v>0</v>
          </cell>
          <cell r="FO260">
            <v>0</v>
          </cell>
          <cell r="FP260">
            <v>0</v>
          </cell>
          <cell r="FQ260">
            <v>0</v>
          </cell>
          <cell r="FR260">
            <v>0</v>
          </cell>
          <cell r="FS260">
            <v>0</v>
          </cell>
          <cell r="FT260">
            <v>0</v>
          </cell>
          <cell r="FU260">
            <v>0</v>
          </cell>
          <cell r="FV260">
            <v>0</v>
          </cell>
          <cell r="FW260">
            <v>0</v>
          </cell>
          <cell r="FX260">
            <v>0</v>
          </cell>
          <cell r="FY260">
            <v>0</v>
          </cell>
          <cell r="FZ260">
            <v>0</v>
          </cell>
          <cell r="GA260">
            <v>0</v>
          </cell>
          <cell r="GB260">
            <v>0</v>
          </cell>
          <cell r="GC260">
            <v>0</v>
          </cell>
          <cell r="GD260">
            <v>0</v>
          </cell>
          <cell r="GE260">
            <v>0</v>
          </cell>
          <cell r="GF260">
            <v>0</v>
          </cell>
          <cell r="GG260">
            <v>0</v>
          </cell>
          <cell r="GH260">
            <v>0</v>
          </cell>
          <cell r="GI260">
            <v>0</v>
          </cell>
          <cell r="GJ260">
            <v>0</v>
          </cell>
          <cell r="GK260">
            <v>0</v>
          </cell>
          <cell r="GL260">
            <v>0</v>
          </cell>
          <cell r="GM260">
            <v>0</v>
          </cell>
          <cell r="GN260">
            <v>0</v>
          </cell>
          <cell r="GO260">
            <v>0</v>
          </cell>
          <cell r="GP260">
            <v>0</v>
          </cell>
          <cell r="GQ260">
            <v>0</v>
          </cell>
          <cell r="GR260">
            <v>0</v>
          </cell>
          <cell r="GS260">
            <v>0</v>
          </cell>
          <cell r="GT260">
            <v>0</v>
          </cell>
          <cell r="GU260">
            <v>0</v>
          </cell>
          <cell r="GV260">
            <v>0</v>
          </cell>
          <cell r="GW260">
            <v>0</v>
          </cell>
          <cell r="GX260">
            <v>0</v>
          </cell>
          <cell r="GY260">
            <v>0</v>
          </cell>
          <cell r="GZ260">
            <v>0</v>
          </cell>
          <cell r="HA260">
            <v>0</v>
          </cell>
          <cell r="HB260">
            <v>0</v>
          </cell>
          <cell r="HC260">
            <v>0</v>
          </cell>
          <cell r="HD260">
            <v>0</v>
          </cell>
          <cell r="HE260">
            <v>0</v>
          </cell>
          <cell r="HF260">
            <v>0</v>
          </cell>
        </row>
        <row r="264">
          <cell r="N264">
            <v>10229</v>
          </cell>
          <cell r="O264">
            <v>10173</v>
          </cell>
          <cell r="P264">
            <v>10117</v>
          </cell>
          <cell r="Q264">
            <v>10060</v>
          </cell>
          <cell r="R264">
            <v>10004</v>
          </cell>
          <cell r="S264">
            <v>9948</v>
          </cell>
          <cell r="T264">
            <v>9892</v>
          </cell>
          <cell r="U264">
            <v>9836</v>
          </cell>
          <cell r="V264">
            <v>9779</v>
          </cell>
          <cell r="W264">
            <v>9723</v>
          </cell>
          <cell r="X264">
            <v>9667</v>
          </cell>
          <cell r="Y264">
            <v>9611</v>
          </cell>
          <cell r="Z264">
            <v>9555</v>
          </cell>
          <cell r="AA264">
            <v>9453</v>
          </cell>
          <cell r="AB264">
            <v>9318</v>
          </cell>
          <cell r="AC264">
            <v>9183</v>
          </cell>
          <cell r="AD264">
            <v>9048</v>
          </cell>
          <cell r="AE264">
            <v>8913</v>
          </cell>
          <cell r="AF264">
            <v>8778</v>
          </cell>
          <cell r="AG264">
            <v>8643</v>
          </cell>
          <cell r="AH264">
            <v>8508</v>
          </cell>
          <cell r="AI264">
            <v>8373</v>
          </cell>
          <cell r="AJ264">
            <v>8238</v>
          </cell>
          <cell r="AK264">
            <v>8103</v>
          </cell>
          <cell r="AL264">
            <v>7968</v>
          </cell>
          <cell r="AM264">
            <v>7833</v>
          </cell>
          <cell r="AN264">
            <v>7698</v>
          </cell>
          <cell r="AO264">
            <v>7563</v>
          </cell>
          <cell r="AP264">
            <v>7428</v>
          </cell>
          <cell r="AQ264">
            <v>7293</v>
          </cell>
          <cell r="AR264">
            <v>7158</v>
          </cell>
          <cell r="AS264">
            <v>7023</v>
          </cell>
          <cell r="AT264">
            <v>6888</v>
          </cell>
          <cell r="AU264">
            <v>6753</v>
          </cell>
          <cell r="AV264">
            <v>6618</v>
          </cell>
          <cell r="AW264">
            <v>6483</v>
          </cell>
          <cell r="AX264">
            <v>6348</v>
          </cell>
          <cell r="AY264">
            <v>6213</v>
          </cell>
          <cell r="AZ264">
            <v>6078</v>
          </cell>
          <cell r="BA264">
            <v>5943</v>
          </cell>
          <cell r="BB264">
            <v>5808</v>
          </cell>
          <cell r="BC264">
            <v>5673</v>
          </cell>
          <cell r="BD264">
            <v>5538</v>
          </cell>
          <cell r="BE264">
            <v>5403</v>
          </cell>
          <cell r="BF264">
            <v>5268</v>
          </cell>
          <cell r="BG264">
            <v>5133</v>
          </cell>
          <cell r="BH264">
            <v>4998</v>
          </cell>
          <cell r="BI264">
            <v>4863</v>
          </cell>
          <cell r="BJ264">
            <v>4728</v>
          </cell>
          <cell r="BK264">
            <v>4593</v>
          </cell>
          <cell r="BL264">
            <v>4458</v>
          </cell>
          <cell r="BM264">
            <v>4323</v>
          </cell>
          <cell r="BN264">
            <v>4188</v>
          </cell>
          <cell r="BO264">
            <v>4053</v>
          </cell>
          <cell r="BP264">
            <v>3918</v>
          </cell>
          <cell r="BQ264">
            <v>3783</v>
          </cell>
          <cell r="BR264">
            <v>3648</v>
          </cell>
          <cell r="BS264">
            <v>3513</v>
          </cell>
          <cell r="BT264">
            <v>3378</v>
          </cell>
          <cell r="BU264">
            <v>3243</v>
          </cell>
          <cell r="BV264">
            <v>3108</v>
          </cell>
          <cell r="BW264">
            <v>2973</v>
          </cell>
          <cell r="BX264">
            <v>2838</v>
          </cell>
          <cell r="BY264">
            <v>2703</v>
          </cell>
          <cell r="BZ264">
            <v>2568</v>
          </cell>
          <cell r="CA264">
            <v>2433</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0</v>
          </cell>
          <cell r="DE264">
            <v>0</v>
          </cell>
          <cell r="DF264">
            <v>0</v>
          </cell>
          <cell r="DG264">
            <v>0</v>
          </cell>
          <cell r="DH264">
            <v>0</v>
          </cell>
          <cell r="DI264">
            <v>0</v>
          </cell>
          <cell r="DJ264">
            <v>0</v>
          </cell>
          <cell r="DK264">
            <v>0</v>
          </cell>
          <cell r="DL264">
            <v>0</v>
          </cell>
          <cell r="DM264">
            <v>0</v>
          </cell>
          <cell r="DN264">
            <v>0</v>
          </cell>
          <cell r="DO264">
            <v>0</v>
          </cell>
          <cell r="DP264">
            <v>0</v>
          </cell>
          <cell r="DQ264">
            <v>0</v>
          </cell>
          <cell r="DR264">
            <v>0</v>
          </cell>
          <cell r="DS264">
            <v>0</v>
          </cell>
          <cell r="DT264">
            <v>0</v>
          </cell>
          <cell r="DU264">
            <v>0</v>
          </cell>
          <cell r="DV264">
            <v>0</v>
          </cell>
          <cell r="DW264">
            <v>0</v>
          </cell>
          <cell r="DX264">
            <v>0</v>
          </cell>
          <cell r="DY264">
            <v>0</v>
          </cell>
          <cell r="DZ264">
            <v>0</v>
          </cell>
          <cell r="EA264">
            <v>0</v>
          </cell>
          <cell r="EB264">
            <v>0</v>
          </cell>
          <cell r="EC264">
            <v>0</v>
          </cell>
          <cell r="ED264">
            <v>0</v>
          </cell>
          <cell r="EE264">
            <v>0</v>
          </cell>
          <cell r="EF264">
            <v>0</v>
          </cell>
          <cell r="EG264">
            <v>0</v>
          </cell>
          <cell r="EH264">
            <v>0</v>
          </cell>
          <cell r="EI264">
            <v>0</v>
          </cell>
          <cell r="EJ264">
            <v>0</v>
          </cell>
          <cell r="EK264">
            <v>0</v>
          </cell>
          <cell r="EL264">
            <v>0</v>
          </cell>
          <cell r="EM264">
            <v>0</v>
          </cell>
          <cell r="EN264">
            <v>0</v>
          </cell>
          <cell r="EO264">
            <v>0</v>
          </cell>
          <cell r="EP264">
            <v>0</v>
          </cell>
          <cell r="EQ264">
            <v>0</v>
          </cell>
          <cell r="ER264">
            <v>0</v>
          </cell>
          <cell r="ES264">
            <v>0</v>
          </cell>
          <cell r="ET264">
            <v>0</v>
          </cell>
          <cell r="EU264">
            <v>0</v>
          </cell>
          <cell r="EV264">
            <v>0</v>
          </cell>
          <cell r="EW264">
            <v>0</v>
          </cell>
          <cell r="EX264">
            <v>0</v>
          </cell>
          <cell r="EY264">
            <v>0</v>
          </cell>
          <cell r="EZ264">
            <v>0</v>
          </cell>
          <cell r="FA264">
            <v>0</v>
          </cell>
          <cell r="FB264">
            <v>0</v>
          </cell>
          <cell r="FC264">
            <v>0</v>
          </cell>
          <cell r="FD264">
            <v>0</v>
          </cell>
          <cell r="FE264">
            <v>0</v>
          </cell>
          <cell r="FF264">
            <v>0</v>
          </cell>
          <cell r="FG264">
            <v>0</v>
          </cell>
          <cell r="FH264">
            <v>0</v>
          </cell>
          <cell r="FI264">
            <v>0</v>
          </cell>
          <cell r="FJ264">
            <v>0</v>
          </cell>
          <cell r="FK264">
            <v>0</v>
          </cell>
          <cell r="FL264">
            <v>0</v>
          </cell>
          <cell r="FM264">
            <v>0</v>
          </cell>
          <cell r="FN264">
            <v>0</v>
          </cell>
          <cell r="FO264">
            <v>0</v>
          </cell>
          <cell r="FP264">
            <v>0</v>
          </cell>
          <cell r="FQ264">
            <v>0</v>
          </cell>
          <cell r="FR264">
            <v>0</v>
          </cell>
          <cell r="FS264">
            <v>0</v>
          </cell>
          <cell r="FT264">
            <v>0</v>
          </cell>
          <cell r="FU264">
            <v>0</v>
          </cell>
          <cell r="FV264">
            <v>0</v>
          </cell>
          <cell r="FW264">
            <v>0</v>
          </cell>
          <cell r="FX264">
            <v>0</v>
          </cell>
          <cell r="FY264">
            <v>0</v>
          </cell>
          <cell r="FZ264">
            <v>0</v>
          </cell>
          <cell r="GA264">
            <v>0</v>
          </cell>
          <cell r="GB264">
            <v>0</v>
          </cell>
          <cell r="GC264">
            <v>0</v>
          </cell>
          <cell r="GD264">
            <v>0</v>
          </cell>
          <cell r="GE264">
            <v>0</v>
          </cell>
          <cell r="GF264">
            <v>0</v>
          </cell>
          <cell r="GG264">
            <v>0</v>
          </cell>
          <cell r="GH264">
            <v>0</v>
          </cell>
          <cell r="GI264">
            <v>0</v>
          </cell>
          <cell r="GJ264">
            <v>0</v>
          </cell>
          <cell r="GK264">
            <v>0</v>
          </cell>
          <cell r="GL264">
            <v>0</v>
          </cell>
          <cell r="GM264">
            <v>0</v>
          </cell>
          <cell r="GN264">
            <v>0</v>
          </cell>
          <cell r="GO264">
            <v>0</v>
          </cell>
          <cell r="GP264">
            <v>0</v>
          </cell>
          <cell r="GQ264">
            <v>0</v>
          </cell>
          <cell r="GR264">
            <v>0</v>
          </cell>
          <cell r="GS264">
            <v>0</v>
          </cell>
          <cell r="GT264">
            <v>0</v>
          </cell>
          <cell r="GU264">
            <v>0</v>
          </cell>
          <cell r="GV264">
            <v>0</v>
          </cell>
          <cell r="GW264">
            <v>0</v>
          </cell>
          <cell r="GX264">
            <v>0</v>
          </cell>
          <cell r="GY264">
            <v>0</v>
          </cell>
          <cell r="GZ264">
            <v>0</v>
          </cell>
          <cell r="HA264">
            <v>0</v>
          </cell>
          <cell r="HB264">
            <v>0</v>
          </cell>
          <cell r="HC264">
            <v>0</v>
          </cell>
          <cell r="HD264">
            <v>0</v>
          </cell>
          <cell r="HE264">
            <v>0</v>
          </cell>
          <cell r="HF264">
            <v>0</v>
          </cell>
        </row>
        <row r="267">
          <cell r="N267">
            <v>10229</v>
          </cell>
          <cell r="O267">
            <v>10173</v>
          </cell>
          <cell r="P267">
            <v>10117</v>
          </cell>
          <cell r="Q267">
            <v>10060</v>
          </cell>
          <cell r="R267">
            <v>10004</v>
          </cell>
          <cell r="S267">
            <v>9948</v>
          </cell>
          <cell r="T267">
            <v>9892</v>
          </cell>
          <cell r="U267">
            <v>9836</v>
          </cell>
          <cell r="V267">
            <v>9779</v>
          </cell>
          <cell r="W267">
            <v>9723</v>
          </cell>
          <cell r="X267">
            <v>9667</v>
          </cell>
          <cell r="Y267">
            <v>9611</v>
          </cell>
          <cell r="Z267">
            <v>9555</v>
          </cell>
          <cell r="AA267">
            <v>9453</v>
          </cell>
          <cell r="AB267">
            <v>9318</v>
          </cell>
          <cell r="AC267">
            <v>9183</v>
          </cell>
          <cell r="AD267">
            <v>9048</v>
          </cell>
          <cell r="AE267">
            <v>8913</v>
          </cell>
          <cell r="AF267">
            <v>8778</v>
          </cell>
          <cell r="AG267">
            <v>8643</v>
          </cell>
          <cell r="AH267">
            <v>8508</v>
          </cell>
          <cell r="AI267">
            <v>8373</v>
          </cell>
          <cell r="AJ267">
            <v>8238</v>
          </cell>
          <cell r="AK267">
            <v>8103</v>
          </cell>
          <cell r="AL267">
            <v>7968</v>
          </cell>
          <cell r="AM267">
            <v>7833</v>
          </cell>
          <cell r="AN267">
            <v>7698</v>
          </cell>
          <cell r="AO267">
            <v>7563</v>
          </cell>
          <cell r="AP267">
            <v>7428</v>
          </cell>
          <cell r="AQ267">
            <v>7293</v>
          </cell>
          <cell r="AR267">
            <v>7158</v>
          </cell>
          <cell r="AS267">
            <v>7023</v>
          </cell>
          <cell r="AT267">
            <v>6888</v>
          </cell>
          <cell r="AU267">
            <v>6753</v>
          </cell>
          <cell r="AV267">
            <v>6618</v>
          </cell>
          <cell r="AW267">
            <v>6483</v>
          </cell>
          <cell r="AX267">
            <v>6348</v>
          </cell>
          <cell r="AY267">
            <v>6213</v>
          </cell>
          <cell r="AZ267">
            <v>6078</v>
          </cell>
          <cell r="BA267">
            <v>5943</v>
          </cell>
          <cell r="BB267">
            <v>5808</v>
          </cell>
          <cell r="BC267">
            <v>5673</v>
          </cell>
          <cell r="BD267">
            <v>5538</v>
          </cell>
          <cell r="BE267">
            <v>5403</v>
          </cell>
          <cell r="BF267">
            <v>5268</v>
          </cell>
          <cell r="BG267">
            <v>5133</v>
          </cell>
          <cell r="BH267">
            <v>4998</v>
          </cell>
          <cell r="BI267">
            <v>4863</v>
          </cell>
          <cell r="BJ267">
            <v>4728</v>
          </cell>
          <cell r="BK267">
            <v>4593</v>
          </cell>
          <cell r="BL267">
            <v>4458</v>
          </cell>
          <cell r="BM267">
            <v>4323</v>
          </cell>
          <cell r="BN267">
            <v>4188</v>
          </cell>
          <cell r="BO267">
            <v>4053</v>
          </cell>
          <cell r="BP267">
            <v>3918</v>
          </cell>
          <cell r="BQ267">
            <v>3783</v>
          </cell>
          <cell r="BR267">
            <v>3648</v>
          </cell>
          <cell r="BS267">
            <v>3513</v>
          </cell>
          <cell r="BT267">
            <v>3378</v>
          </cell>
          <cell r="BU267">
            <v>3243</v>
          </cell>
          <cell r="BV267">
            <v>3108</v>
          </cell>
          <cell r="BW267">
            <v>2973</v>
          </cell>
          <cell r="BX267">
            <v>2838</v>
          </cell>
          <cell r="BY267">
            <v>2703</v>
          </cell>
          <cell r="BZ267">
            <v>2568</v>
          </cell>
          <cell r="CA267">
            <v>2433</v>
          </cell>
          <cell r="CB267">
            <v>2298</v>
          </cell>
          <cell r="CC267">
            <v>2163</v>
          </cell>
          <cell r="CD267">
            <v>2028</v>
          </cell>
          <cell r="CE267">
            <v>1893</v>
          </cell>
          <cell r="CF267">
            <v>1758</v>
          </cell>
          <cell r="CG267">
            <v>1623</v>
          </cell>
          <cell r="CH267">
            <v>1488</v>
          </cell>
          <cell r="CI267">
            <v>1353</v>
          </cell>
          <cell r="CJ267">
            <v>1218</v>
          </cell>
          <cell r="CK267">
            <v>1083</v>
          </cell>
          <cell r="CL267">
            <v>948</v>
          </cell>
          <cell r="CM267">
            <v>813</v>
          </cell>
          <cell r="CN267">
            <v>678</v>
          </cell>
          <cell r="CO267">
            <v>543</v>
          </cell>
          <cell r="CP267">
            <v>408</v>
          </cell>
          <cell r="CQ267">
            <v>273</v>
          </cell>
          <cell r="CR267">
            <v>138</v>
          </cell>
          <cell r="CS267">
            <v>3</v>
          </cell>
          <cell r="CT267">
            <v>0</v>
          </cell>
          <cell r="CU267">
            <v>0</v>
          </cell>
          <cell r="CV267">
            <v>0</v>
          </cell>
          <cell r="CW267">
            <v>1080</v>
          </cell>
          <cell r="CX267">
            <v>930</v>
          </cell>
          <cell r="CY267">
            <v>780</v>
          </cell>
          <cell r="CZ267">
            <v>630</v>
          </cell>
          <cell r="DA267">
            <v>480</v>
          </cell>
          <cell r="DB267">
            <v>330</v>
          </cell>
          <cell r="DC267">
            <v>180</v>
          </cell>
          <cell r="DD267">
            <v>30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69">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2298</v>
          </cell>
          <cell r="CC269">
            <v>2163</v>
          </cell>
          <cell r="CD269">
            <v>2028</v>
          </cell>
          <cell r="CE269">
            <v>1893</v>
          </cell>
          <cell r="CF269">
            <v>1758</v>
          </cell>
          <cell r="CG269">
            <v>1623</v>
          </cell>
          <cell r="CH269">
            <v>1488</v>
          </cell>
          <cell r="CI269">
            <v>1353</v>
          </cell>
          <cell r="CJ269">
            <v>1218</v>
          </cell>
          <cell r="CK269">
            <v>1083</v>
          </cell>
          <cell r="CL269">
            <v>948</v>
          </cell>
          <cell r="CM269">
            <v>813</v>
          </cell>
          <cell r="CN269">
            <v>678</v>
          </cell>
          <cell r="CO269">
            <v>543</v>
          </cell>
          <cell r="CP269">
            <v>408</v>
          </cell>
          <cell r="CQ269">
            <v>273</v>
          </cell>
          <cell r="CR269">
            <v>138</v>
          </cell>
          <cell r="CS269">
            <v>3</v>
          </cell>
          <cell r="CT269">
            <v>0</v>
          </cell>
          <cell r="CU269">
            <v>0</v>
          </cell>
          <cell r="CV269">
            <v>0</v>
          </cell>
          <cell r="CW269">
            <v>1080</v>
          </cell>
          <cell r="CX269">
            <v>930</v>
          </cell>
          <cell r="CY269">
            <v>780</v>
          </cell>
          <cell r="CZ269">
            <v>630</v>
          </cell>
          <cell r="DA269">
            <v>480</v>
          </cell>
          <cell r="DB269">
            <v>330</v>
          </cell>
          <cell r="DC269">
            <v>180</v>
          </cell>
          <cell r="DD269">
            <v>30</v>
          </cell>
          <cell r="DE269">
            <v>0</v>
          </cell>
          <cell r="DF269">
            <v>0</v>
          </cell>
          <cell r="DG269">
            <v>0</v>
          </cell>
          <cell r="DH269">
            <v>0</v>
          </cell>
          <cell r="DI269">
            <v>0</v>
          </cell>
          <cell r="DJ269">
            <v>0</v>
          </cell>
          <cell r="DK269">
            <v>0</v>
          </cell>
          <cell r="DL269">
            <v>0</v>
          </cell>
          <cell r="DM269">
            <v>0</v>
          </cell>
          <cell r="DN269">
            <v>0</v>
          </cell>
          <cell r="DO269">
            <v>0</v>
          </cell>
          <cell r="DP269">
            <v>0</v>
          </cell>
          <cell r="DQ269">
            <v>0</v>
          </cell>
          <cell r="DR269">
            <v>0</v>
          </cell>
          <cell r="DS269">
            <v>0</v>
          </cell>
          <cell r="DT269">
            <v>0</v>
          </cell>
          <cell r="DU269">
            <v>0</v>
          </cell>
          <cell r="DV269">
            <v>0</v>
          </cell>
          <cell r="DW269">
            <v>0</v>
          </cell>
          <cell r="DX269">
            <v>0</v>
          </cell>
          <cell r="DY269">
            <v>0</v>
          </cell>
          <cell r="DZ269">
            <v>0</v>
          </cell>
          <cell r="EA269">
            <v>0</v>
          </cell>
          <cell r="EB269">
            <v>0</v>
          </cell>
          <cell r="EC269">
            <v>0</v>
          </cell>
          <cell r="ED269">
            <v>0</v>
          </cell>
          <cell r="EE269">
            <v>0</v>
          </cell>
          <cell r="EF269">
            <v>0</v>
          </cell>
          <cell r="EG269">
            <v>0</v>
          </cell>
          <cell r="EH269">
            <v>0</v>
          </cell>
          <cell r="EI269">
            <v>0</v>
          </cell>
          <cell r="EJ269">
            <v>0</v>
          </cell>
          <cell r="EK269">
            <v>0</v>
          </cell>
          <cell r="EL269">
            <v>0</v>
          </cell>
          <cell r="EM269">
            <v>0</v>
          </cell>
          <cell r="EN269">
            <v>0</v>
          </cell>
          <cell r="EO269">
            <v>0</v>
          </cell>
          <cell r="EP269">
            <v>0</v>
          </cell>
          <cell r="EQ269">
            <v>0</v>
          </cell>
          <cell r="ER269">
            <v>0</v>
          </cell>
          <cell r="ES269">
            <v>0</v>
          </cell>
          <cell r="ET269">
            <v>0</v>
          </cell>
          <cell r="EU269">
            <v>0</v>
          </cell>
          <cell r="EV269">
            <v>0</v>
          </cell>
          <cell r="EW269">
            <v>0</v>
          </cell>
          <cell r="EX269">
            <v>0</v>
          </cell>
          <cell r="EY269">
            <v>0</v>
          </cell>
          <cell r="EZ269">
            <v>0</v>
          </cell>
          <cell r="FA269">
            <v>0</v>
          </cell>
          <cell r="FB269">
            <v>0</v>
          </cell>
          <cell r="FC269">
            <v>0</v>
          </cell>
          <cell r="FD269">
            <v>0</v>
          </cell>
          <cell r="FE269">
            <v>0</v>
          </cell>
          <cell r="FF269">
            <v>0</v>
          </cell>
          <cell r="FG269">
            <v>0</v>
          </cell>
          <cell r="FH269">
            <v>0</v>
          </cell>
          <cell r="FI269">
            <v>0</v>
          </cell>
          <cell r="FJ269">
            <v>0</v>
          </cell>
          <cell r="FK269">
            <v>0</v>
          </cell>
          <cell r="FL269">
            <v>0</v>
          </cell>
          <cell r="FM269">
            <v>0</v>
          </cell>
          <cell r="FN269">
            <v>0</v>
          </cell>
          <cell r="FO269">
            <v>0</v>
          </cell>
          <cell r="FP269">
            <v>0</v>
          </cell>
          <cell r="FQ269">
            <v>0</v>
          </cell>
          <cell r="FR269">
            <v>0</v>
          </cell>
          <cell r="FS269">
            <v>0</v>
          </cell>
          <cell r="FT269">
            <v>0</v>
          </cell>
          <cell r="FU269">
            <v>0</v>
          </cell>
          <cell r="FV269">
            <v>0</v>
          </cell>
          <cell r="FW269">
            <v>0</v>
          </cell>
          <cell r="FX269">
            <v>0</v>
          </cell>
          <cell r="FY269">
            <v>0</v>
          </cell>
          <cell r="FZ269">
            <v>0</v>
          </cell>
          <cell r="GA269">
            <v>0</v>
          </cell>
          <cell r="GB269">
            <v>0</v>
          </cell>
          <cell r="GC269">
            <v>0</v>
          </cell>
          <cell r="GD269">
            <v>0</v>
          </cell>
          <cell r="GE269">
            <v>0</v>
          </cell>
          <cell r="GF269">
            <v>0</v>
          </cell>
          <cell r="GG269">
            <v>0</v>
          </cell>
          <cell r="GH269">
            <v>0</v>
          </cell>
          <cell r="GI269">
            <v>0</v>
          </cell>
          <cell r="GJ269">
            <v>0</v>
          </cell>
          <cell r="GK269">
            <v>0</v>
          </cell>
          <cell r="GL269">
            <v>0</v>
          </cell>
          <cell r="GM269">
            <v>0</v>
          </cell>
          <cell r="GN269">
            <v>0</v>
          </cell>
          <cell r="GO269">
            <v>0</v>
          </cell>
          <cell r="GP269">
            <v>0</v>
          </cell>
          <cell r="GQ269">
            <v>0</v>
          </cell>
          <cell r="GR269">
            <v>0</v>
          </cell>
          <cell r="GS269">
            <v>0</v>
          </cell>
          <cell r="GT269">
            <v>0</v>
          </cell>
          <cell r="GU269">
            <v>0</v>
          </cell>
          <cell r="GV269">
            <v>0</v>
          </cell>
          <cell r="GW269">
            <v>0</v>
          </cell>
          <cell r="GX269">
            <v>0</v>
          </cell>
          <cell r="GY269">
            <v>0</v>
          </cell>
          <cell r="GZ269">
            <v>0</v>
          </cell>
          <cell r="HA269">
            <v>0</v>
          </cell>
          <cell r="HB269">
            <v>0</v>
          </cell>
          <cell r="HC269">
            <v>0</v>
          </cell>
          <cell r="HD269">
            <v>0</v>
          </cell>
          <cell r="HE269">
            <v>0</v>
          </cell>
          <cell r="HF269">
            <v>0</v>
          </cell>
        </row>
        <row r="276">
          <cell r="N276">
            <v>800</v>
          </cell>
          <cell r="O276">
            <v>800</v>
          </cell>
          <cell r="P276">
            <v>800</v>
          </cell>
          <cell r="Q276">
            <v>800</v>
          </cell>
          <cell r="R276">
            <v>800</v>
          </cell>
          <cell r="S276">
            <v>800</v>
          </cell>
          <cell r="T276">
            <v>800</v>
          </cell>
          <cell r="U276">
            <v>800</v>
          </cell>
          <cell r="V276">
            <v>800</v>
          </cell>
          <cell r="W276">
            <v>800</v>
          </cell>
          <cell r="X276">
            <v>800</v>
          </cell>
          <cell r="Y276">
            <v>800</v>
          </cell>
          <cell r="Z276">
            <v>800</v>
          </cell>
          <cell r="AA276">
            <v>800</v>
          </cell>
          <cell r="AB276">
            <v>800</v>
          </cell>
          <cell r="AC276">
            <v>800</v>
          </cell>
          <cell r="AD276">
            <v>800</v>
          </cell>
          <cell r="AE276">
            <v>800</v>
          </cell>
          <cell r="AF276">
            <v>800</v>
          </cell>
          <cell r="AG276">
            <v>800</v>
          </cell>
          <cell r="AH276">
            <v>800</v>
          </cell>
          <cell r="AI276">
            <v>800</v>
          </cell>
          <cell r="AJ276">
            <v>800</v>
          </cell>
          <cell r="AK276">
            <v>800</v>
          </cell>
          <cell r="AL276">
            <v>800</v>
          </cell>
          <cell r="AM276">
            <v>800</v>
          </cell>
          <cell r="AN276">
            <v>800</v>
          </cell>
          <cell r="AO276">
            <v>800</v>
          </cell>
          <cell r="AP276">
            <v>800</v>
          </cell>
          <cell r="AQ276">
            <v>600</v>
          </cell>
          <cell r="AR276">
            <v>600</v>
          </cell>
          <cell r="AS276">
            <v>600</v>
          </cell>
          <cell r="AT276">
            <v>600</v>
          </cell>
          <cell r="AU276">
            <v>600</v>
          </cell>
          <cell r="AV276">
            <v>600</v>
          </cell>
          <cell r="AW276">
            <v>600</v>
          </cell>
          <cell r="AX276">
            <v>600</v>
          </cell>
          <cell r="AY276">
            <v>600</v>
          </cell>
          <cell r="AZ276">
            <v>600</v>
          </cell>
          <cell r="BA276">
            <v>600</v>
          </cell>
          <cell r="BB276">
            <v>600</v>
          </cell>
          <cell r="BC276">
            <v>600</v>
          </cell>
          <cell r="BD276">
            <v>600</v>
          </cell>
          <cell r="BE276">
            <v>600</v>
          </cell>
          <cell r="BF276">
            <v>600</v>
          </cell>
          <cell r="BG276">
            <v>600</v>
          </cell>
          <cell r="BH276">
            <v>600</v>
          </cell>
          <cell r="BI276">
            <v>600</v>
          </cell>
          <cell r="BJ276">
            <v>600</v>
          </cell>
          <cell r="BK276">
            <v>600</v>
          </cell>
          <cell r="BL276">
            <v>600</v>
          </cell>
          <cell r="BM276">
            <v>600</v>
          </cell>
          <cell r="BN276">
            <v>600</v>
          </cell>
          <cell r="BO276">
            <v>600</v>
          </cell>
          <cell r="BP276">
            <v>600</v>
          </cell>
          <cell r="BQ276">
            <v>600</v>
          </cell>
          <cell r="BR276">
            <v>600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R276">
            <v>0</v>
          </cell>
          <cell r="CS276">
            <v>0</v>
          </cell>
          <cell r="CT276">
            <v>0</v>
          </cell>
          <cell r="CU276">
            <v>0</v>
          </cell>
          <cell r="CV276">
            <v>0</v>
          </cell>
          <cell r="CW276">
            <v>0</v>
          </cell>
          <cell r="CX276">
            <v>0</v>
          </cell>
          <cell r="CY276">
            <v>0</v>
          </cell>
          <cell r="CZ276">
            <v>0</v>
          </cell>
          <cell r="DA276">
            <v>0</v>
          </cell>
          <cell r="DB276">
            <v>0</v>
          </cell>
          <cell r="DC276">
            <v>0</v>
          </cell>
          <cell r="DD276">
            <v>0</v>
          </cell>
          <cell r="DE276">
            <v>0</v>
          </cell>
          <cell r="DF276">
            <v>0</v>
          </cell>
          <cell r="DG276">
            <v>0</v>
          </cell>
          <cell r="DH276">
            <v>0</v>
          </cell>
          <cell r="DI276">
            <v>0</v>
          </cell>
          <cell r="DJ276">
            <v>0</v>
          </cell>
          <cell r="DK276">
            <v>0</v>
          </cell>
          <cell r="DL276">
            <v>0</v>
          </cell>
          <cell r="DM276">
            <v>0</v>
          </cell>
          <cell r="DN276">
            <v>0</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cell r="EC276">
            <v>0</v>
          </cell>
          <cell r="ED276">
            <v>0</v>
          </cell>
          <cell r="EE276">
            <v>0</v>
          </cell>
          <cell r="EF276">
            <v>0</v>
          </cell>
          <cell r="EG276">
            <v>0</v>
          </cell>
          <cell r="EH276">
            <v>0</v>
          </cell>
          <cell r="EI276">
            <v>0</v>
          </cell>
          <cell r="EJ276">
            <v>0</v>
          </cell>
          <cell r="EK276">
            <v>0</v>
          </cell>
          <cell r="EL276">
            <v>0</v>
          </cell>
          <cell r="EM276">
            <v>0</v>
          </cell>
          <cell r="EN276">
            <v>0</v>
          </cell>
          <cell r="EO276">
            <v>0</v>
          </cell>
          <cell r="EP276">
            <v>0</v>
          </cell>
          <cell r="EQ276">
            <v>0</v>
          </cell>
          <cell r="ER276">
            <v>0</v>
          </cell>
          <cell r="ES276">
            <v>0</v>
          </cell>
          <cell r="ET276">
            <v>0</v>
          </cell>
          <cell r="EU276">
            <v>0</v>
          </cell>
          <cell r="EV276">
            <v>0</v>
          </cell>
          <cell r="EW276">
            <v>0</v>
          </cell>
          <cell r="EX276">
            <v>0</v>
          </cell>
          <cell r="EY276">
            <v>0</v>
          </cell>
          <cell r="EZ276">
            <v>0</v>
          </cell>
          <cell r="FA276">
            <v>0</v>
          </cell>
          <cell r="FB276">
            <v>0</v>
          </cell>
          <cell r="FC276">
            <v>0</v>
          </cell>
          <cell r="FD276">
            <v>0</v>
          </cell>
          <cell r="FE276">
            <v>0</v>
          </cell>
          <cell r="FF276">
            <v>0</v>
          </cell>
          <cell r="FG276">
            <v>0</v>
          </cell>
          <cell r="FH276">
            <v>0</v>
          </cell>
          <cell r="FI276">
            <v>0</v>
          </cell>
          <cell r="FJ276">
            <v>0</v>
          </cell>
          <cell r="FK276">
            <v>0</v>
          </cell>
          <cell r="FL276">
            <v>0</v>
          </cell>
          <cell r="FM276">
            <v>0</v>
          </cell>
          <cell r="FN276">
            <v>0</v>
          </cell>
          <cell r="FO276">
            <v>0</v>
          </cell>
          <cell r="FP276">
            <v>0</v>
          </cell>
          <cell r="FQ276">
            <v>0</v>
          </cell>
          <cell r="FR276">
            <v>0</v>
          </cell>
          <cell r="FS276">
            <v>0</v>
          </cell>
          <cell r="FT276">
            <v>0</v>
          </cell>
          <cell r="FU276">
            <v>0</v>
          </cell>
          <cell r="FV276">
            <v>0</v>
          </cell>
          <cell r="FW276">
            <v>0</v>
          </cell>
          <cell r="FX276">
            <v>0</v>
          </cell>
          <cell r="FY276">
            <v>0</v>
          </cell>
          <cell r="FZ276">
            <v>0</v>
          </cell>
          <cell r="GA276">
            <v>0</v>
          </cell>
          <cell r="GB276">
            <v>0</v>
          </cell>
          <cell r="GC276">
            <v>0</v>
          </cell>
          <cell r="GD276">
            <v>0</v>
          </cell>
          <cell r="GE276">
            <v>0</v>
          </cell>
          <cell r="GF276">
            <v>0</v>
          </cell>
          <cell r="GG276">
            <v>0</v>
          </cell>
          <cell r="GH276">
            <v>0</v>
          </cell>
          <cell r="GI276">
            <v>0</v>
          </cell>
          <cell r="GJ276">
            <v>0</v>
          </cell>
          <cell r="GK276">
            <v>0</v>
          </cell>
          <cell r="GL276">
            <v>0</v>
          </cell>
          <cell r="GM276">
            <v>0</v>
          </cell>
          <cell r="GN276">
            <v>0</v>
          </cell>
          <cell r="GO276">
            <v>0</v>
          </cell>
          <cell r="GP276">
            <v>0</v>
          </cell>
          <cell r="GQ276">
            <v>0</v>
          </cell>
          <cell r="GR276">
            <v>0</v>
          </cell>
          <cell r="GS276">
            <v>0</v>
          </cell>
          <cell r="GT276">
            <v>0</v>
          </cell>
          <cell r="GU276">
            <v>0</v>
          </cell>
          <cell r="GV276">
            <v>0</v>
          </cell>
          <cell r="GW276">
            <v>0</v>
          </cell>
          <cell r="GX276">
            <v>0</v>
          </cell>
          <cell r="GY276">
            <v>0</v>
          </cell>
          <cell r="GZ276">
            <v>0</v>
          </cell>
          <cell r="HA276">
            <v>0</v>
          </cell>
          <cell r="HB276">
            <v>0</v>
          </cell>
          <cell r="HC276">
            <v>0</v>
          </cell>
          <cell r="HD276">
            <v>0</v>
          </cell>
          <cell r="HE276">
            <v>0</v>
          </cell>
          <cell r="HF276">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10">
          <cell r="D10" t="str">
            <v>Yes</v>
          </cell>
          <cell r="F10">
            <v>16</v>
          </cell>
          <cell r="H10">
            <v>0</v>
          </cell>
        </row>
        <row r="11">
          <cell r="B11">
            <v>2020</v>
          </cell>
          <cell r="D11" t="str">
            <v>No</v>
          </cell>
          <cell r="F11">
            <v>17</v>
          </cell>
          <cell r="H11">
            <v>1</v>
          </cell>
        </row>
        <row r="12">
          <cell r="B12">
            <v>2021</v>
          </cell>
          <cell r="F12">
            <v>18</v>
          </cell>
          <cell r="H12">
            <v>2</v>
          </cell>
        </row>
        <row r="13">
          <cell r="B13">
            <v>2022</v>
          </cell>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cell r="H30">
            <v>20</v>
          </cell>
        </row>
        <row r="31">
          <cell r="F31">
            <v>37</v>
          </cell>
          <cell r="H31">
            <v>21</v>
          </cell>
        </row>
        <row r="32">
          <cell r="F32">
            <v>38</v>
          </cell>
          <cell r="H32">
            <v>22</v>
          </cell>
        </row>
        <row r="33">
          <cell r="F33">
            <v>39</v>
          </cell>
          <cell r="H33">
            <v>23</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41"/>
      <sheetData sheetId="42"/>
      <sheetData sheetId="43"/>
      <sheetData sheetId="44"/>
      <sheetData sheetId="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SSI"/>
      <sheetName val="sSSI"/>
      <sheetName val="SNAP"/>
      <sheetName val="WIC"/>
      <sheetName val="NSLP"/>
      <sheetName val="Mcaid"/>
      <sheetName val="CHIP"/>
      <sheetName val="HIX"/>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sheetData>
      <sheetData sheetId="10">
        <row r="2">
          <cell r="N2">
            <v>1</v>
          </cell>
        </row>
      </sheetData>
      <sheetData sheetId="11">
        <row r="19">
          <cell r="N19">
            <v>12760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13">
          <cell r="E113" t="str">
            <v>Alabama</v>
          </cell>
        </row>
      </sheetData>
      <sheetData sheetId="32"/>
      <sheetData sheetId="33">
        <row r="10">
          <cell r="D10" t="str">
            <v>Yes</v>
          </cell>
        </row>
      </sheetData>
      <sheetData sheetId="34"/>
      <sheetData sheetId="35"/>
      <sheetData sheetId="36"/>
      <sheetData sheetId="37"/>
      <sheetData sheetId="38"/>
      <sheetData sheetId="39"/>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CEC9FC3-7C6F-4444-978D-B42B24714631}" autoFormatId="16" applyNumberFormats="0" applyBorderFormats="0" applyFontFormats="0" applyPatternFormats="0" applyAlignmentFormats="0" applyWidthHeightFormats="0">
  <queryTableRefresh nextId="7" unboundColumnsRight="1">
    <queryTableFields count="6">
      <queryTableField id="1" name="MAGI FPIG Range" tableColumnId="1"/>
      <queryTableField id="5" dataBound="0" tableColumnId="5"/>
      <queryTableField id="4" dataBound="0" tableColumnId="4"/>
      <queryTableField id="3" dataBound="0" tableColumnId="3"/>
      <queryTableField id="2" name="PTC Applicable Percentage" tableColumnId="2"/>
      <queryTableField id="6" dataBound="0"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9FE98BE2-BD73-4B51-A867-DE8266735C62}" autoFormatId="16" applyNumberFormats="0" applyBorderFormats="0" applyFontFormats="0" applyPatternFormats="0" applyAlignmentFormats="0" applyWidthHeightFormats="0">
  <queryTableRefresh nextId="5" unboundColumnsRight="1">
    <queryTableFields count="4">
      <queryTableField id="1" name="Year" tableColumnId="1"/>
      <queryTableField id="4" dataBound="0" tableColumnId="4"/>
      <queryTableField id="2" name="MAGI Max" tableColumnId="2"/>
      <queryTableField id="3" dataBound="0"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2F849495-AAB7-436C-B5D8-911449824622}" autoFormatId="16" applyNumberFormats="0" applyBorderFormats="0" applyFontFormats="0" applyPatternFormats="0" applyAlignmentFormats="0" applyWidthHeightFormats="0">
  <queryTableRefresh nextId="7" unboundColumnsRight="1">
    <queryTableFields count="6">
      <queryTableField id="1" name="MAGI FPIG Range" tableColumnId="1"/>
      <queryTableField id="5" dataBound="0" tableColumnId="5"/>
      <queryTableField id="4" dataBound="0" tableColumnId="4"/>
      <queryTableField id="3" dataBound="0" tableColumnId="3"/>
      <queryTableField id="2" name="PTC Applicable Percentage" tableColumnId="2"/>
      <queryTableField id="6" dataBound="0"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C0196D2E-6CAA-40E7-BB76-DA3B7B8C8739}" autoFormatId="16" applyNumberFormats="0" applyBorderFormats="0" applyFontFormats="0" applyPatternFormats="0" applyAlignmentFormats="0" applyWidthHeightFormats="0">
  <queryTableRefresh nextId="5" unboundColumnsRight="1">
    <queryTableFields count="4">
      <queryTableField id="1" name="Year" tableColumnId="1"/>
      <queryTableField id="4" dataBound="0" tableColumnId="4"/>
      <queryTableField id="2" name="MAGI Max" tableColumnId="2"/>
      <queryTableField id="3" dataBound="0" tableColumnId="3"/>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BFE12E-7A97-43A8-9732-A236BA0B3E17}" name="HIX_RatingAreas" displayName="HIX_RatingAreas" ref="D546:X1755" totalsRowShown="0">
  <autoFilter ref="D546:X1755" xr:uid="{820FB370-420F-4131-B8FB-490FE32FAD3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sortState xmlns:xlrd2="http://schemas.microsoft.com/office/spreadsheetml/2017/richdata2" ref="D547:X1755">
    <sortCondition ref="F547:F1755"/>
  </sortState>
  <tableColumns count="21">
    <tableColumn id="1" xr3:uid="{697ACB97-B8F1-4396-B0EC-0696193CC54A}" name="State"/>
    <tableColumn id="2" xr3:uid="{0CB6D975-AEF3-414F-AD33-EDFAB59A0DB2}" name="State Code"/>
    <tableColumn id="3" xr3:uid="{83C855C3-2DD2-46F7-A453-A71DC7F248B0}" name="FIPS" dataDxfId="293"/>
    <tableColumn id="4" xr3:uid="{8D94C3BA-BEF7-40B8-9A17-7CD5C5585DBE}" name="Rating Area ID"/>
    <tableColumn id="5" xr3:uid="{C9610281-7610-42F9-84CE-23C28DF79DCB}" name="Rating Area #" dataDxfId="292"/>
    <tableColumn id="6" xr3:uid="{A1098BE6-8B34-4288-8094-15C00CA49CAE}" name="Area" dataDxfId="291"/>
    <tableColumn id="7" xr3:uid="{D8FB6552-5701-40B8-893F-50194598A24D}" name="Subdivision"/>
    <tableColumn id="8" xr3:uid="{2BDF8D5E-0C55-449A-ABE4-26B40F36F2F0}" name="Silver Enrollments 2018"/>
    <tableColumn id="9" xr3:uid="{B6613CBF-4FE0-491E-87B2-8152382D7B98}" name="QHP Enrollments 2018"/>
    <tableColumn id="10" xr3:uid="{F2F779F8-2617-4FD0-BE41-9A9839396C77}" name="Silver Enrollments 2019" dataDxfId="290"/>
    <tableColumn id="11" xr3:uid="{43FF6869-3011-4C28-9D4F-AEAD45232FE5}" name="QHP Enrollments 2019" dataDxfId="289"/>
    <tableColumn id="12" xr3:uid="{24BEFCC4-1D8F-41E8-91A4-DBD5466AE3D1}" name="Silver Enrollments 2020" dataDxfId="288"/>
    <tableColumn id="13" xr3:uid="{9116F519-5B36-49CB-B214-03E7C6323FE0}" name="QHP Enrollments 2020" dataDxfId="287"/>
    <tableColumn id="14" xr3:uid="{D913CA2E-2F14-406E-AEE0-5559A2F78F66}" name="Silver Enrollments 2021"/>
    <tableColumn id="15" xr3:uid="{174384A4-6556-4275-8C61-D6927DDE34A9}" name="QHP Enrollments 2021"/>
    <tableColumn id="16" xr3:uid="{2A39C8A2-5083-4F68-9007-B1495686CAC5}" name="Silver Enrollments 2022"/>
    <tableColumn id="17" xr3:uid="{AFC4A70E-F416-4D79-AD9A-FDA984749982}" name="QHP Enrollments 2022"/>
    <tableColumn id="19" xr3:uid="{C7301096-CBE3-4062-AA6F-1C85F468502B}" name="Silver Enrollments 2023"/>
    <tableColumn id="18" xr3:uid="{0CDEDB03-9FC1-4256-8CF7-5127926112D7}" name="QHP Enrollments 2023"/>
    <tableColumn id="20" xr3:uid="{65AB0C11-A3E6-4220-865E-E5848BE24FAD}" name="Silver Enrollments 2024"/>
    <tableColumn id="21" xr3:uid="{7273A3E2-35C4-494F-90F3-65670A70BEC7}" name="QHP Enrollments 20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DCA5C4-C5E9-4AA9-A5C9-60BDF47FAB3C}" name="HIX_AgeAdjuster" displayName="HIX_AgeAdjuster" ref="D2088:BD2096" totalsRowShown="0" headerRowDxfId="286" dataDxfId="285">
  <autoFilter ref="D2088:BD2096" xr:uid="{3E7410AA-158D-46BB-AE8E-B5631881D8B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autoFilter>
  <tableColumns count="53">
    <tableColumn id="1" xr3:uid="{F665A827-F75D-42D1-B28B-98085E9D9CF1}" name="State Classification"/>
    <tableColumn id="2" xr3:uid="{3D585C0A-B297-4CED-922E-B203355939FB}" name="Year"/>
    <tableColumn id="3" xr3:uid="{3AC3DC4C-0C67-4252-9FF1-F295EFC32E53}" name="0-14" dataDxfId="284"/>
    <tableColumn id="48" xr3:uid="{EE122696-CA39-4584-AF98-B2BE9CFE2586}" name="15" dataDxfId="283"/>
    <tableColumn id="49" xr3:uid="{2B8628AB-7304-4475-B341-6FE53A1D9010}" name="16" dataDxfId="282"/>
    <tableColumn id="50" xr3:uid="{0A1A161A-EF16-4A4C-AE58-CE2DF9F11235}" name="17" dataDxfId="281"/>
    <tableColumn id="51" xr3:uid="{55CD4AC8-EC5A-4FDC-86A5-4B2044D835DB}" name="18" dataDxfId="280"/>
    <tableColumn id="52" xr3:uid="{02FCE8BC-E731-46BE-B193-A2B60E467685}" name="19" dataDxfId="279"/>
    <tableColumn id="53" xr3:uid="{84C6ADE5-FF74-4B1A-AF7D-3F4E1782D85F}" name="20" dataDxfId="278"/>
    <tableColumn id="4" xr3:uid="{DED307D9-84E7-4E15-B618-52BB5186DC11}" name="21" dataDxfId="277"/>
    <tableColumn id="5" xr3:uid="{A242295F-C6FF-4A70-838A-46598C2E5DCB}" name="22" dataDxfId="276"/>
    <tableColumn id="6" xr3:uid="{F9EE5D77-7018-4D7F-95BF-5F95C610D0F9}" name="23" dataDxfId="275"/>
    <tableColumn id="7" xr3:uid="{CCF0D826-51DD-4E4E-85BF-6DCE3CAC46F8}" name="24" dataDxfId="274"/>
    <tableColumn id="8" xr3:uid="{ECDA27D1-9DA4-423A-8CA8-8796431990CD}" name="25" dataDxfId="273"/>
    <tableColumn id="9" xr3:uid="{9502BC35-ACD0-4A57-ABC1-8368FF23AFB8}" name="26" dataDxfId="272"/>
    <tableColumn id="10" xr3:uid="{2A3992BB-9C7F-49ED-8A98-747759A04076}" name="27" dataDxfId="271"/>
    <tableColumn id="11" xr3:uid="{E9A527BA-E1D5-4554-8ACF-86BFD51F417A}" name="28" dataDxfId="270"/>
    <tableColumn id="12" xr3:uid="{EB317DEF-4574-4BE3-B1AF-25337C9EFFAD}" name="29" dataDxfId="269"/>
    <tableColumn id="13" xr3:uid="{B08A09AC-B5B8-44DF-90E6-B7FD7445E069}" name="30" dataDxfId="268"/>
    <tableColumn id="14" xr3:uid="{65FB2D8E-5BC9-43CE-BE6D-ADCDDEA7AB64}" name="31" dataDxfId="267"/>
    <tableColumn id="15" xr3:uid="{B8E62BF5-322B-489E-9B04-0A76D7ADC4A7}" name="32" dataDxfId="266"/>
    <tableColumn id="16" xr3:uid="{F5CED2C1-D5FF-4DFA-B18C-00CA773B1B41}" name="33" dataDxfId="265"/>
    <tableColumn id="17" xr3:uid="{270683E0-C876-4F85-9462-2426C0D72198}" name="34" dataDxfId="264"/>
    <tableColumn id="18" xr3:uid="{2725BA02-49D7-40F4-BE8F-3008C098CC43}" name="35" dataDxfId="263"/>
    <tableColumn id="19" xr3:uid="{9B7853D7-A7BC-472F-8415-FCEBD618B3B7}" name="36" dataDxfId="262"/>
    <tableColumn id="20" xr3:uid="{64A3049E-8229-4EEF-B6CA-997938B9BEA1}" name="37" dataDxfId="261"/>
    <tableColumn id="21" xr3:uid="{8AD427DA-2145-421D-83C1-8AE1E5C81AD9}" name="38" dataDxfId="260"/>
    <tableColumn id="22" xr3:uid="{20F9AFDD-640F-4467-94D1-E5330076E494}" name="39" dataDxfId="259"/>
    <tableColumn id="23" xr3:uid="{2E32A0B4-2A18-4A22-B741-F22015781A09}" name="40" dataDxfId="258"/>
    <tableColumn id="24" xr3:uid="{75679BFB-C0CE-40BC-BB27-B2009A285259}" name="41" dataDxfId="257"/>
    <tableColumn id="25" xr3:uid="{8D489A6B-B015-46D0-875D-B368965F2CDC}" name="42" dataDxfId="256"/>
    <tableColumn id="26" xr3:uid="{173AEAF2-DB9D-4574-A9C6-D5E6874348BD}" name="43" dataDxfId="255"/>
    <tableColumn id="27" xr3:uid="{8C60A8F7-40D0-4D35-8E43-D3B23361F886}" name="44" dataDxfId="254"/>
    <tableColumn id="28" xr3:uid="{BBC26292-A7D8-48D4-ACDD-792FA72019B5}" name="45" dataDxfId="253"/>
    <tableColumn id="29" xr3:uid="{A5E68A2B-1174-46E0-9A7B-31110ECB8C6E}" name="46" dataDxfId="252"/>
    <tableColumn id="30" xr3:uid="{7D1F8DC9-F8DA-4AC2-BD59-CD3432720843}" name="47" dataDxfId="251"/>
    <tableColumn id="31" xr3:uid="{6159B072-5654-4213-B740-46BF1E14CE03}" name="48" dataDxfId="250"/>
    <tableColumn id="32" xr3:uid="{FB385761-2247-40CA-9B41-2EE6C6E777FE}" name="49" dataDxfId="249"/>
    <tableColumn id="33" xr3:uid="{EE72636C-986B-4FC9-B693-1F89BDB515CE}" name="50" dataDxfId="248"/>
    <tableColumn id="34" xr3:uid="{09340A66-FC4E-4B20-B90A-E879B6AD68A4}" name="51" dataDxfId="247"/>
    <tableColumn id="35" xr3:uid="{EF97EBDB-1FE8-4506-9312-41AAD9D0F641}" name="52" dataDxfId="246"/>
    <tableColumn id="36" xr3:uid="{4D8B901C-CF98-4A55-9F3B-A6DA9245DBC2}" name="53" dataDxfId="245"/>
    <tableColumn id="37" xr3:uid="{2681CA24-2711-41B0-A8FA-BB0909130BB3}" name="54" dataDxfId="244"/>
    <tableColumn id="38" xr3:uid="{2967188B-DFED-4D19-A27E-0E582EB39A33}" name="55" dataDxfId="243"/>
    <tableColumn id="39" xr3:uid="{4E230A4D-BD1F-4021-BD45-175D5D5955E2}" name="56" dataDxfId="242"/>
    <tableColumn id="40" xr3:uid="{91113C63-54F7-4EBD-9D21-6577984FC21A}" name="57" dataDxfId="241"/>
    <tableColumn id="41" xr3:uid="{1F9CD84F-A645-4278-A11A-59339ECC2309}" name="58" dataDxfId="240"/>
    <tableColumn id="42" xr3:uid="{4EEC25FF-FBBD-471D-BF1B-2B5595858404}" name="59" dataDxfId="239"/>
    <tableColumn id="43" xr3:uid="{AD22053C-7A2F-459E-82B8-524C152D62A3}" name="60" dataDxfId="238"/>
    <tableColumn id="44" xr3:uid="{3078E236-DCEA-45A7-AFCE-26F877F427E0}" name="61" dataDxfId="237"/>
    <tableColumn id="45" xr3:uid="{5703E7CF-E30F-41F8-A531-20EFBDCD7192}" name="62" dataDxfId="236"/>
    <tableColumn id="46" xr3:uid="{8FE1B7B3-AA33-4379-9F14-CD7A5D6F4973}" name="63" dataDxfId="235"/>
    <tableColumn id="47" xr3:uid="{3B2E914D-4BD8-4D80-8D8D-1F11089B895B}" name="64 &amp; Older" dataDxfId="2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E35E5E-8486-43DA-A989-8EF9192FA68F}" name="HIX_ApplicablePercentages" displayName="HIX_ApplicablePercentages" ref="D113:J197" totalsRowShown="0" headerRowDxfId="233" dataDxfId="232">
  <autoFilter ref="D113:J197" xr:uid="{F7504854-34AF-41EB-ADDE-9483FC80914D}"/>
  <tableColumns count="7">
    <tableColumn id="1" xr3:uid="{0915F086-F5EE-41C9-AFDF-541126C57E8A}" name="Premium Percentage Group" dataDxfId="231"/>
    <tableColumn id="2" xr3:uid="{0C789B6E-2583-470B-BCD0-37CEB3CBEB85}" name="Premium Percentage FPIG Range" dataDxfId="230"/>
    <tableColumn id="3" xr3:uid="{0890D0C2-90BE-4C53-A274-79931B9C1DE9}" name="Bracket" dataDxfId="229"/>
    <tableColumn id="4" xr3:uid="{DEC9737E-18A3-4CE4-8FED-8E9958916D36}" name="Year" dataDxfId="228"/>
    <tableColumn id="5" xr3:uid="{AC2D9A46-6CAF-4018-AE30-0477BFD77F5B}" name="Comment" dataDxfId="227"/>
    <tableColumn id="17" xr3:uid="{1490A1D1-66BC-4E6C-8853-3A4EC422BB44}" name="Threshold" dataDxfId="226"/>
    <tableColumn id="6" xr3:uid="{152115F3-B351-4A92-AD6F-237EA4D75164}" name="Premium Tax Credit Applicable Percentage" dataDxfId="2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2EAB92-162B-4EA1-AA2F-D3AB2B58C176}" name="HIX_SLCSP" displayName="HIX_SLCSP" ref="D1776:BV2031" totalsRowShown="0" headerRowDxfId="224">
  <tableColumns count="71">
    <tableColumn id="1" xr3:uid="{2DAC34A8-B2D4-44BF-8045-9F9B39D76AF3}" name="State"/>
    <tableColumn id="2" xr3:uid="{B83248B8-7A7A-447F-8D07-946C2B6145B9}" name="Rating Area ID"/>
    <tableColumn id="3" xr3:uid="{E62C1D9A-A290-46F5-9401-84D335650291}" name="No" dataDxfId="223"/>
    <tableColumn id="4" xr3:uid="{CF324DA9-5F0A-45F8-AF1D-8452A405A2A2}" name="StateCode" dataDxfId="222"/>
    <tableColumn id="5" xr3:uid="{3441BF43-F686-408A-A2D1-3EE4662D94AA}" name="Area Code" dataDxfId="221"/>
    <tableColumn id="6" xr3:uid="{0E9A4D43-BE40-4FBE-AD7F-813D4BB173D1}" name="Count Silver 2018" dataDxfId="220"/>
    <tableColumn id="7" xr3:uid="{E75A61DD-B9CF-4C62-828E-9112B7DED759}" name="Lowest Cost Plan 2018" dataDxfId="219"/>
    <tableColumn id="8" xr3:uid="{07A631A0-27C0-492B-8B9D-67157777857D}" name="2018" dataDxfId="218"/>
    <tableColumn id="9" xr3:uid="{EAD05B5B-6424-463B-A91C-DFBC85B8E862}" name="2018-Age 50" dataDxfId="217"/>
    <tableColumn id="10" xr3:uid="{5ED36E25-2E56-4CA5-A101-BEA5BE49DEB4}" name="2018:27x=50" dataDxfId="216">
      <calculatedColumnFormula>L1777/K1777</calculatedColumnFormula>
    </tableColumn>
    <tableColumn id="11" xr3:uid="{87AC3F93-BF6D-4E96-8C86-0DFD1990C4D4}" name="Count Silver 2019" dataDxfId="215"/>
    <tableColumn id="12" xr3:uid="{F262F1D4-1D91-4502-9739-6567353E013E}" name="Lowest Cost Plan 2019" dataDxfId="214"/>
    <tableColumn id="13" xr3:uid="{B302F91C-2794-4869-B7D1-C8F151C004FC}" name="2019" dataDxfId="213"/>
    <tableColumn id="14" xr3:uid="{1A6DEB86-2457-4E83-B7CA-BF26A3DA2157}" name="2019-Age 50" dataDxfId="212"/>
    <tableColumn id="15" xr3:uid="{17CF9166-E1D5-4FE8-8AB8-6EDE347A4F72}" name="2019:27x=50" dataDxfId="211">
      <calculatedColumnFormula>Q1777/P1777</calculatedColumnFormula>
    </tableColumn>
    <tableColumn id="16" xr3:uid="{1F9F5042-049C-4EFC-A385-19F8BC3EC3DA}" name="Count Silver-2020" dataDxfId="210"/>
    <tableColumn id="17" xr3:uid="{4A92A9A5-5B88-45D3-8824-7E6238F1A51E}" name="Lowest Cost Plan 2020" dataDxfId="209"/>
    <tableColumn id="18" xr3:uid="{598A2A57-4B96-460D-9D5C-88DE860A913E}" name="2020" dataDxfId="208"/>
    <tableColumn id="19" xr3:uid="{FEB28846-4C2F-4DF9-BCF2-9E2A44A52501}" name="2020-Age 50" dataDxfId="207"/>
    <tableColumn id="20" xr3:uid="{8860434C-8AA3-4E15-B523-993AD8DCE173}" name="2020:27x=50" dataDxfId="206">
      <calculatedColumnFormula>V1777/U1777</calculatedColumnFormula>
    </tableColumn>
    <tableColumn id="32" xr3:uid="{E9B22697-D287-4DFD-B59C-4A83AA583EF7}" name="Count Silver-2021" dataDxfId="205"/>
    <tableColumn id="31" xr3:uid="{24F17524-8E9C-4272-B499-62D61DA804C5}" name="Lowest Cost Plan 2021" dataDxfId="204"/>
    <tableColumn id="30" xr3:uid="{656A5942-B760-43B7-955C-7F29418652A4}" name="2021" dataDxfId="203"/>
    <tableColumn id="29" xr3:uid="{5CDED4AD-7DA4-4313-B42D-B7E0349C5512}" name="2021-Age 50" dataDxfId="202"/>
    <tableColumn id="28" xr3:uid="{C7514990-D135-410C-90D9-0693FAEA5954}" name="2021:27x=50" dataDxfId="201">
      <calculatedColumnFormula>AA1777/Z1777</calculatedColumnFormula>
    </tableColumn>
    <tableColumn id="27" xr3:uid="{6FAEFF62-DC75-4D1A-9743-904E4D3F3FC9}" name="Count Silver-2022" dataDxfId="200"/>
    <tableColumn id="34" xr3:uid="{52D70886-AC35-4166-87EE-466E092BA1C0}" name="Lowest Cost Plan 2022" dataDxfId="199"/>
    <tableColumn id="35" xr3:uid="{E4688EFF-3CA8-4F02-A961-A6AB8E67DDA7}" name="2022" dataDxfId="198"/>
    <tableColumn id="36" xr3:uid="{94B9156E-6F37-4E04-9579-7B70ACD5EE32}" name="2022-Age 50" dataDxfId="197"/>
    <tableColumn id="37" xr3:uid="{A2847E66-9E0E-48A8-95E4-9E62D25BBA84}" name="2022:27x=50" dataDxfId="196">
      <calculatedColumnFormula>AF1777/AE1777</calculatedColumnFormula>
    </tableColumn>
    <tableColumn id="43" xr3:uid="{342D4FD2-0D13-41E7-8B81-EEFDBEDA1525}" name="Count Silver-2023" dataDxfId="195"/>
    <tableColumn id="44" xr3:uid="{DD5C3F20-1222-4632-B7B1-7D7F5929A4CC}" name="Lowest Cost Plan 2023" dataDxfId="194"/>
    <tableColumn id="45" xr3:uid="{B3B2BD11-F54A-45F9-B8A9-E3BC153995B3}" name="2023" dataDxfId="193"/>
    <tableColumn id="46" xr3:uid="{C4C27502-4609-428D-8C2F-B7981EE6EBE2}" name="2023-Age 50" dataDxfId="192"/>
    <tableColumn id="58" xr3:uid="{45B377B0-2BC0-4CD0-A181-9F0C9C2E6B62}" name="2023:27x=50" dataDxfId="191">
      <calculatedColumnFormula>AK1777/AJ1777</calculatedColumnFormula>
    </tableColumn>
    <tableColumn id="63" xr3:uid="{74A106BC-F14C-47BD-8332-54C62693CB6B}" name="Count Silver-2024" dataDxfId="190"/>
    <tableColumn id="64" xr3:uid="{95E3CEAD-8618-410B-BBF3-52EA753D419A}" name="Lowest Cost Plan 2024" dataDxfId="189"/>
    <tableColumn id="65" xr3:uid="{EAA5515A-F94D-40A3-A139-1B8B7F280FA9}" name="2024" dataDxfId="188"/>
    <tableColumn id="66" xr3:uid="{EAECB948-45D5-41FA-B2BD-8B63FEFD8E3A}" name="2024-Age 50" dataDxfId="187"/>
    <tableColumn id="67" xr3:uid="{D98BDB84-4CFA-40BF-9205-B2CAA4AB3906}" name="2024:27x=50" dataDxfId="186"/>
    <tableColumn id="26" xr3:uid="{B7645296-BDA9-45FF-8F9C-FF07C6127C63}" name="Silver Selections 2016" dataDxfId="185"/>
    <tableColumn id="40" xr3:uid="{C2758B83-356A-447C-9929-0CC467DD36F9}" name="Silver Selections 2018" dataDxfId="184">
      <calculatedColumnFormula>INDEX([2]Graphs!#REF!,MATCH(HIX_SLCSP[[#This Row],[Area Code]],[2]Graphs!#REF!,0))</calculatedColumnFormula>
    </tableColumn>
    <tableColumn id="39" xr3:uid="{A1C1D952-855F-4041-B8A0-49F0D7B33546}" name="Silver Selections 2019" dataDxfId="183">
      <calculatedColumnFormula>INDEX([2]Graphs!#REF!,MATCH(HIX_SLCSP[[#This Row],[Area Code]],[2]Graphs!#REF!,0))</calculatedColumnFormula>
    </tableColumn>
    <tableColumn id="38" xr3:uid="{DC61FD34-AD9D-40F6-B6BA-16023CB01968}" name="Silver Selections 2020" dataDxfId="182">
      <calculatedColumnFormula>INDEX([2]Graphs!#REF!,MATCH(HIX_SLCSP[[#This Row],[Area Code]],[2]Graphs!#REF!,0))</calculatedColumnFormula>
    </tableColumn>
    <tableColumn id="41" xr3:uid="{607CF5EA-22D0-4BF8-88E2-B95F5CCFBD5D}" name="Silver Selections 2021" dataDxfId="181">
      <calculatedColumnFormula>INDEX([2]Graphs!#REF!,MATCH(HIX_SLCSP[[#This Row],[Area Code]],[2]Graphs!#REF!,0))</calculatedColumnFormula>
    </tableColumn>
    <tableColumn id="42" xr3:uid="{EC27CA90-6E27-444D-A214-4A9D7F6F7D65}" name="Silver Selections 2022" dataDxfId="180"/>
    <tableColumn id="59" xr3:uid="{72B33137-DD28-4524-BD9A-3497892747BB}" name="Silver Selections 2023" dataDxfId="179"/>
    <tableColumn id="68" xr3:uid="{729195D7-9AB2-4B55-AE74-ED1D12F15EC8}" name="Silver Selections 2024" dataDxfId="178"/>
    <tableColumn id="21" xr3:uid="{B3973787-2C2C-4AAA-903A-41CB988F95CB}" name="QHP Selections 2016" dataDxfId="177"/>
    <tableColumn id="22" xr3:uid="{C75FCB9A-DA86-47A8-AB3D-3FEB34F95435}" name="Weighting Factor 2016" dataDxfId="176"/>
    <tableColumn id="47" xr3:uid="{3B44B21D-3516-4718-A239-B62CCA651428}" name="QHP Selections 2018" dataDxfId="175">
      <calculatedColumnFormula>INDEX([2]Graphs!#REF!,MATCH(HIX_SLCSP[[#This Row],[Area Code]],[2]Graphs!#REF!,0))</calculatedColumnFormula>
    </tableColumn>
    <tableColumn id="48" xr3:uid="{A579055E-F504-4435-AD9A-D735A8DCD5F5}" name="Weighting Factor 2018" dataDxfId="174"/>
    <tableColumn id="49" xr3:uid="{8B618A86-D4BC-4257-8570-794CA22FA783}" name="QHP Selections 2019" dataDxfId="173">
      <calculatedColumnFormula>INDEX([2]Graphs!#REF!,MATCH(HIX_SLCSP[[#This Row],[Area Code]],[2]Graphs!#REF!,0))</calculatedColumnFormula>
    </tableColumn>
    <tableColumn id="50" xr3:uid="{05765D64-BBA5-4132-8325-99040B0BC1D0}" name="Weighting Factor 2019" dataDxfId="172">
      <calculatedColumnFormula>BD1777/BD$1777</calculatedColumnFormula>
    </tableColumn>
    <tableColumn id="51" xr3:uid="{5EC6D81C-D2CD-4A4E-A17A-06D14727D2DF}" name="QHP Selections 2020" dataDxfId="171">
      <calculatedColumnFormula>INDEX([2]Graphs!#REF!,MATCH(HIX_SLCSP[[#This Row],[Area Code]],[2]Graphs!#REF!,0))</calculatedColumnFormula>
    </tableColumn>
    <tableColumn id="52" xr3:uid="{57C47655-3309-44B8-A0E3-00A9C4DCADE1}" name="Weighting Factor 2020" dataDxfId="170"/>
    <tableColumn id="53" xr3:uid="{419E3364-C6D4-4B93-A419-98E53880DBDC}" name="QHP Selections 2021" dataDxfId="169">
      <calculatedColumnFormula>INDEX([2]Graphs!#REF!,MATCH(HIX_SLCSP[[#This Row],[Area Code]],[2]Graphs!#REF!,0))</calculatedColumnFormula>
    </tableColumn>
    <tableColumn id="54" xr3:uid="{D0868153-2190-42BC-A92C-55CEC469C7EF}" name="Weighting Factor 2021" dataDxfId="168"/>
    <tableColumn id="55" xr3:uid="{64CE81E0-E403-4BC7-9B68-BD1BB2020436}" name="QHP Selections 2022"/>
    <tableColumn id="56" xr3:uid="{6FD081FC-A459-4663-87D7-F91F6F910357}" name="Weighting Factor 2022" dataDxfId="167"/>
    <tableColumn id="60" xr3:uid="{A35B4CFA-9603-41C7-8C23-8C0E9AEBE2D3}" name="QHP Selections 2023" dataDxfId="166"/>
    <tableColumn id="61" xr3:uid="{9AD07C7F-48D5-446F-AC19-9D21EFC0FD7A}" name="Weighting Factor 2023" dataDxfId="165">
      <calculatedColumnFormula>BL1777/BL$1777</calculatedColumnFormula>
    </tableColumn>
    <tableColumn id="69" xr3:uid="{1304BFC4-E554-4E1C-B36C-98415D4D8AC7}" name="QHP Selections 2024" dataDxfId="164">
      <calculatedColumnFormula>SUMIFS(HIX_RatingAreas[QHP Enrollments 2024],HIX_RatingAreas[Area],HIX_SLCSP[[#This Row],[Area Code]])</calculatedColumnFormula>
    </tableColumn>
    <tableColumn id="70" xr3:uid="{F890A696-732F-4A03-A1D5-BC81581F0CEF}" name="Weighting Factor 2024"/>
    <tableColumn id="23" xr3:uid="{C3F7CA80-E8D6-4AA0-B3F1-CE18856831B4}" name="W2018" dataDxfId="163"/>
    <tableColumn id="24" xr3:uid="{7DA90E6A-A7BD-427E-BF56-3DFCCA8EA59D}" name="W2019" dataDxfId="162"/>
    <tableColumn id="25" xr3:uid="{BF63B5F5-C0C4-47D5-A195-8E7E201C36FF}" name="W2020" dataDxfId="161"/>
    <tableColumn id="33" xr3:uid="{2193DF60-EA8E-4B12-9F79-48F7D04F2877}" name="W2021" dataDxfId="160"/>
    <tableColumn id="57" xr3:uid="{613F3659-EFED-42A7-B099-617074119163}" name="W2022" dataDxfId="159"/>
    <tableColumn id="62" xr3:uid="{21E8E4D5-1288-4C21-8622-1125B7E9A121}" name="W2023" dataDxfId="158">
      <calculatedColumnFormula>ROUND(HIX_SLCSP[[#This Row],[Weighting Factor 2023]]*HIX_SLCSP[[#This Row],[2023]],2)</calculatedColumnFormula>
    </tableColumn>
    <tableColumn id="71" xr3:uid="{C6E31785-2350-4CBB-9D04-9FE365904572}" name="W2024" dataDxfId="157">
      <calculatedColumnFormula>ROUND(HIX_SLCSP[[#This Row],[Weighting Factor 2024]]*HIX_SLCSP[[#This Row],[2024]],2)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1FCB07-20FB-42CB-875F-1DD09DEEFC9E}" name="PTC_ApplicablePercentage" displayName="PTC_ApplicablePercentage" ref="L113:Q514" tableType="queryTable" totalsRowShown="0" headerRowDxfId="156" dataDxfId="155">
  <tableColumns count="6">
    <tableColumn id="1" xr3:uid="{09F8A9E3-510B-49AC-8AEA-BF3410A77910}" uniqueName="1" name="MAGI FPIG Range" queryTableFieldId="1" dataDxfId="154"/>
    <tableColumn id="5" xr3:uid="{85E1DCD9-DD60-493C-B3FD-052FBC58C80D}" uniqueName="5" name="2019" queryTableFieldId="5" dataDxfId="153"/>
    <tableColumn id="4" xr3:uid="{42CB5595-C23C-4018-BC8D-B17BF5F4AE41}" uniqueName="4" name="2020" queryTableFieldId="4" dataDxfId="152"/>
    <tableColumn id="3" xr3:uid="{8889ECA4-D8A7-499E-8F88-E4A187E3A8AB}" uniqueName="3" name="2021" queryTableFieldId="3" dataDxfId="151"/>
    <tableColumn id="2" xr3:uid="{759F8A17-8DBB-4E2E-A8CC-148AC9031292}" uniqueName="2" name="2022" queryTableFieldId="2" dataDxfId="150"/>
    <tableColumn id="6" xr3:uid="{C6A8AC51-4675-46EB-BF59-0C05C77AB691}" uniqueName="6" name="2023" queryTableFieldId="6" dataDxfId="14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EE23AA-062C-4BC3-9B10-B9722E3F3734}" name="HIX_PTC_MAGI_Max" displayName="HIX_PTC_MAGI_Max" ref="S113:V118" tableType="queryTable" totalsRowShown="0" headerRowDxfId="148" dataDxfId="147">
  <tableColumns count="4">
    <tableColumn id="1" xr3:uid="{98F8A19D-35E6-4455-B37C-057B6D4E4DE3}" uniqueName="1" name="Year" queryTableFieldId="1" dataDxfId="146"/>
    <tableColumn id="4" xr3:uid="{CF79B396-160E-44D9-A7CB-FB378BCAF3DE}" uniqueName="4" name="Comment" queryTableFieldId="4" dataDxfId="145">
      <calculatedColumnFormula array="1">INDEX([2]!HIX_ApplicablePercentages[Comment],MATCH(_xlfn.MAXIFS([2]!HIX_ApplicablePercentages[Threshold],[2]!HIX_ApplicablePercentages[Year],HIX_PTC_MAGI_Max[[#This Row],[Year]],[2]!HIX_ApplicablePercentages[Premium Percentage Group],"Final"),[2]!HIX_ApplicablePercentages[Threshold],0))</calculatedColumnFormula>
    </tableColumn>
    <tableColumn id="2" xr3:uid="{02BE6497-7F83-48D3-9B7B-3F2881C47AF3}" uniqueName="2" name="MAGI Max" queryTableFieldId="2" dataDxfId="144"/>
    <tableColumn id="3" xr3:uid="{A0D3188D-F249-4E9F-8B03-94FC0640EB23}" uniqueName="3" name="Max PTC %" queryTableFieldId="3" dataDxfId="143">
      <calculatedColumnFormula array="1">INDEX(PTC_ApplicablePercentage[],MATCH(HIX_PTC_MAGI_Max[[#This Row],[MAGI Max]],PTC_ApplicablePercentage[MAGI FPIG Range],0),MATCH(HIX_PTC_MAGI_Max[[#This Row],[Year]],VALUE(PTC_ApplicablePercentage[#Headers])))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C33AE50-ACDC-46CC-B478-90CAE646038B}" name="HIX_RatingAreas8" displayName="HIX_RatingAreas8" ref="D546:V1754" totalsRowShown="0">
  <autoFilter ref="D546:V1754" xr:uid="{43BFE12E-7A97-43A8-9732-A236BA0B3E17}"/>
  <sortState xmlns:xlrd2="http://schemas.microsoft.com/office/spreadsheetml/2017/richdata2" ref="D547:H1596">
    <sortCondition ref="D547:D1596"/>
    <sortCondition ref="F547:F1596"/>
    <sortCondition ref="G547:G1596"/>
  </sortState>
  <tableColumns count="19">
    <tableColumn id="1" xr3:uid="{0F3EAC5A-7A5A-4089-97B6-4C5C54D3B8ED}" name="State"/>
    <tableColumn id="2" xr3:uid="{3F3DB2C9-BADA-4876-A610-CAF6E88038F0}" name="State Code"/>
    <tableColumn id="3" xr3:uid="{3D35EDE4-6A4B-409A-AE94-2342833B6EAF}" name="FIPS" dataDxfId="142"/>
    <tableColumn id="4" xr3:uid="{04E013BB-7368-4338-97BA-09605C0A5ED6}" name="Rating Area ID"/>
    <tableColumn id="5" xr3:uid="{413855C7-CE73-4EF8-8646-B20629557325}" name="Rating Area #" dataDxfId="141"/>
    <tableColumn id="6" xr3:uid="{B1E3F7EE-9151-48C5-BB3E-715FA38BA7DF}" name="Area" dataDxfId="140"/>
    <tableColumn id="7" xr3:uid="{8057E635-E47E-4BB6-8263-2B184D3E21CF}" name="Subdivision"/>
    <tableColumn id="8" xr3:uid="{95896449-7ED8-4D16-93F0-3763701A8B37}" name="Silver Enrollments 2018"/>
    <tableColumn id="9" xr3:uid="{6A274540-F61D-4CCA-8CF1-2710F2215988}" name="QHP Enrollments 2018"/>
    <tableColumn id="10" xr3:uid="{6A6FB4AE-75EF-4188-8D76-8049CEC5BF1D}" name="Silver Enrollments 2019" dataDxfId="139"/>
    <tableColumn id="11" xr3:uid="{9C0E5653-806E-441A-A3B7-AACE0D0B90D1}" name="QHP Enrollments 2019" dataDxfId="138"/>
    <tableColumn id="12" xr3:uid="{89BB54F4-C949-4A01-808B-C7B26F76B2E3}" name="Silver Enrollments 2020" dataDxfId="137"/>
    <tableColumn id="13" xr3:uid="{7A4C847C-DB9B-49BB-9658-6FA5E6842BF4}" name="QHP Enrollments 2020" dataDxfId="136"/>
    <tableColumn id="14" xr3:uid="{660EA626-192D-4891-93C3-A425B9A91EA5}" name="Silver Enrollments 2021"/>
    <tableColumn id="15" xr3:uid="{0102ED0C-CFD5-4980-B3F2-AFCF4B061AD6}" name="QHP Enrollments 2021"/>
    <tableColumn id="16" xr3:uid="{B1EE62DD-C0E9-4D38-A56D-081E3F4409F1}" name="Silver Enrollments 2022"/>
    <tableColumn id="17" xr3:uid="{161FFC73-986E-4513-9FF0-8F8DC230AA01}" name="QHP Enrollments 2022"/>
    <tableColumn id="19" xr3:uid="{9D97841C-AB4B-4B15-94A2-CD9E7348AF4D}" name="Silver Enrollments 2023"/>
    <tableColumn id="18" xr3:uid="{A6AD54E9-50D6-4A7A-85A1-2D19F48A4DD5}" name="QHP Enrollments 202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320601-BDF1-447A-BC5E-40595A985FE8}" name="HIX_AgeAdjuster9" displayName="HIX_AgeAdjuster9" ref="D2087:BD2095" totalsRowShown="0" headerRowDxfId="135" dataDxfId="134">
  <autoFilter ref="D2087:BD2095" xr:uid="{3E7410AA-158D-46BB-AE8E-B5631881D8B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autoFilter>
  <tableColumns count="53">
    <tableColumn id="1" xr3:uid="{A0465CE1-3D06-4267-A22F-10E5AFAE3CA2}" name="State Classification"/>
    <tableColumn id="2" xr3:uid="{589C3CAA-5109-477A-8C5D-807122B7D804}" name="Year"/>
    <tableColumn id="3" xr3:uid="{0621B099-10EC-4F63-AC35-674BC80D5C99}" name="0-14" dataDxfId="133"/>
    <tableColumn id="48" xr3:uid="{013C0769-A884-4CF4-941A-8EC96AA5B43E}" name="15" dataDxfId="132"/>
    <tableColumn id="49" xr3:uid="{D3CE4C7A-C145-46EB-BD84-CCD1C3FBBFD4}" name="16" dataDxfId="131"/>
    <tableColumn id="50" xr3:uid="{3E2AD186-71E7-4A2A-B91D-9DECC546106A}" name="17" dataDxfId="130"/>
    <tableColumn id="51" xr3:uid="{65D5E355-FF80-4F35-BB80-2B1B34A83A10}" name="18" dataDxfId="129"/>
    <tableColumn id="52" xr3:uid="{7B17F3D6-FC06-42FD-9435-4BD08657A3F4}" name="19" dataDxfId="128"/>
    <tableColumn id="53" xr3:uid="{274A558A-5784-499C-9600-B6834A72D552}" name="20" dataDxfId="127"/>
    <tableColumn id="4" xr3:uid="{3E52EADB-5BCA-4384-8FA9-75E0DD7F6FF3}" name="21" dataDxfId="126"/>
    <tableColumn id="5" xr3:uid="{749EF49C-3786-4632-8A90-08F617E267E6}" name="22" dataDxfId="125"/>
    <tableColumn id="6" xr3:uid="{AD71ED3E-0395-4B63-9D77-DDEF5FBE86C0}" name="23" dataDxfId="124"/>
    <tableColumn id="7" xr3:uid="{95A3EF0E-B92B-4FBA-BA35-254AB157F621}" name="24" dataDxfId="123"/>
    <tableColumn id="8" xr3:uid="{4403AFF9-6F50-4A8F-89CF-9DB5C7F967C2}" name="25" dataDxfId="122"/>
    <tableColumn id="9" xr3:uid="{FB151693-D3D4-405E-BCF0-C49EBC6A4372}" name="26" dataDxfId="121"/>
    <tableColumn id="10" xr3:uid="{17856A93-5F34-4B91-8B0A-D50997D61A66}" name="27" dataDxfId="120"/>
    <tableColumn id="11" xr3:uid="{1212D76B-0840-4AAC-B96B-B04ECF4A22D3}" name="28" dataDxfId="119"/>
    <tableColumn id="12" xr3:uid="{86067F12-A34A-476F-B904-CE599D51C699}" name="29" dataDxfId="118"/>
    <tableColumn id="13" xr3:uid="{92B95C98-7A6F-478D-9940-449C7673BC66}" name="30" dataDxfId="117"/>
    <tableColumn id="14" xr3:uid="{78B81400-4C6C-49AF-9A3B-E48DB28A5D08}" name="31" dataDxfId="116"/>
    <tableColumn id="15" xr3:uid="{EA2DEF15-9050-48B8-8235-2D8D453FCF15}" name="32" dataDxfId="115"/>
    <tableColumn id="16" xr3:uid="{3EDD7AF8-BF2C-414E-96B7-A2A4DD6B01CA}" name="33" dataDxfId="114"/>
    <tableColumn id="17" xr3:uid="{076B3248-D666-4EA0-A83A-DCCF93C448C3}" name="34" dataDxfId="113"/>
    <tableColumn id="18" xr3:uid="{5EF0915A-7250-40E1-B1AB-0828A99D2160}" name="35" dataDxfId="112"/>
    <tableColumn id="19" xr3:uid="{9E3B4F3A-0B00-4B1C-9D0D-C703D5270910}" name="36" dataDxfId="111"/>
    <tableColumn id="20" xr3:uid="{2D2845BC-6A4D-4C18-BD6D-7806B7DD0179}" name="37" dataDxfId="110"/>
    <tableColumn id="21" xr3:uid="{FF38921C-B3DE-4A9E-948D-06E3410AB04C}" name="38" dataDxfId="109"/>
    <tableColumn id="22" xr3:uid="{7D1F3662-601D-4863-BBFC-4DDA720692AB}" name="39" dataDxfId="108"/>
    <tableColumn id="23" xr3:uid="{7C32143D-0810-4468-9036-BF6EE169BE11}" name="40" dataDxfId="107"/>
    <tableColumn id="24" xr3:uid="{F57E9608-CF25-4440-95A2-497AC06B58D6}" name="41" dataDxfId="106"/>
    <tableColumn id="25" xr3:uid="{15574812-CC5F-4805-B339-3569DC6D86E6}" name="42" dataDxfId="105"/>
    <tableColumn id="26" xr3:uid="{44938EAD-8411-46F5-82AD-25A349C79DF0}" name="43" dataDxfId="104"/>
    <tableColumn id="27" xr3:uid="{6BD9ABD6-E56F-4931-A337-7AC305379614}" name="44" dataDxfId="103"/>
    <tableColumn id="28" xr3:uid="{0D7D2C67-4735-4523-9DA5-5C0664A45D4A}" name="45" dataDxfId="102"/>
    <tableColumn id="29" xr3:uid="{04490546-EC86-413B-9C47-09DA106AC65F}" name="46" dataDxfId="101"/>
    <tableColumn id="30" xr3:uid="{83291642-7D34-4905-834D-27D6B154BB76}" name="47" dataDxfId="100"/>
    <tableColumn id="31" xr3:uid="{0CD805EB-2D15-4030-A689-471BBD9A7CD4}" name="48" dataDxfId="99"/>
    <tableColumn id="32" xr3:uid="{C87E264C-91CB-496B-81FC-291EC061E94A}" name="49" dataDxfId="98"/>
    <tableColumn id="33" xr3:uid="{E39A49F0-DD9D-4018-A6CC-4A49C63E4CB1}" name="50" dataDxfId="97"/>
    <tableColumn id="34" xr3:uid="{4DCC52BC-6770-4FD0-A503-0ECB51387A78}" name="51" dataDxfId="96"/>
    <tableColumn id="35" xr3:uid="{6835266C-7551-46B4-B039-598D333984C4}" name="52" dataDxfId="95"/>
    <tableColumn id="36" xr3:uid="{F7F9BA2C-F171-4DBF-84C8-9C51698E8255}" name="53" dataDxfId="94"/>
    <tableColumn id="37" xr3:uid="{D1F574E5-C99B-479D-A417-277BE1950547}" name="54" dataDxfId="93"/>
    <tableColumn id="38" xr3:uid="{76FE87CD-727D-4886-9949-946B820DF391}" name="55" dataDxfId="92"/>
    <tableColumn id="39" xr3:uid="{8859464C-DE58-475D-A806-B9E39302F647}" name="56" dataDxfId="91"/>
    <tableColumn id="40" xr3:uid="{F3FBED09-0795-4BE3-B111-3DABE52EC3E2}" name="57" dataDxfId="90"/>
    <tableColumn id="41" xr3:uid="{01050F63-8006-4A10-A9A5-3DF00AE58EC3}" name="58" dataDxfId="89"/>
    <tableColumn id="42" xr3:uid="{619D2E44-A2DB-44C3-9D19-442C294136AE}" name="59" dataDxfId="88"/>
    <tableColumn id="43" xr3:uid="{882627E8-61D2-4503-B404-74EB7B82AFC6}" name="60" dataDxfId="87"/>
    <tableColumn id="44" xr3:uid="{037E00A9-4991-40E8-85F6-E18E8F71FE9F}" name="61" dataDxfId="86"/>
    <tableColumn id="45" xr3:uid="{A831B552-8807-4619-B9F4-3E47E56130CF}" name="62" dataDxfId="85"/>
    <tableColumn id="46" xr3:uid="{0461940C-D5B0-4979-A545-DC0D995EB6F1}" name="63" dataDxfId="84"/>
    <tableColumn id="47" xr3:uid="{AB917D8D-910C-41D3-AC24-311B82845EED}" name="64 &amp; Older" dataDxfId="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2881CD-CA87-4F4A-A1FB-2C2D69D75058}" name="HIX_ApplicablePercentages10" displayName="HIX_ApplicablePercentages10" ref="D113:J197" totalsRowShown="0" headerRowDxfId="82" dataDxfId="81">
  <autoFilter ref="D113:J197" xr:uid="{F7504854-34AF-41EB-ADDE-9483FC80914D}"/>
  <tableColumns count="7">
    <tableColumn id="1" xr3:uid="{A938579D-9640-462C-96B1-B527185E5096}" name="Premium Percentage Group" dataDxfId="80"/>
    <tableColumn id="2" xr3:uid="{6E78549B-504E-48B0-9C15-59DD99487F08}" name="Premium Percentage FPIG Range" dataDxfId="79"/>
    <tableColumn id="3" xr3:uid="{2F3E0212-88D6-4F61-8EC4-C3B9ED24C2EA}" name="Bracket" dataDxfId="78"/>
    <tableColumn id="4" xr3:uid="{B6F6DBF3-5022-4240-8760-F81E7CCC4F23}" name="Year" dataDxfId="77"/>
    <tableColumn id="5" xr3:uid="{34E25DE5-DB04-4BD2-B1FC-1777679AE3CD}" name="Comment" dataDxfId="76"/>
    <tableColumn id="17" xr3:uid="{3DD6167D-8368-4193-8B95-A553B1ADDF07}" name="Threshold" dataDxfId="75"/>
    <tableColumn id="6" xr3:uid="{57E0D409-9E1E-4B55-AEE4-99C279F26CAB}" name="Premium Tax Credit Applicable Percentage" dataDxfId="7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5785FCC-C85D-44C6-BD6E-2AFC17BEB7C5}" name="HIX_SLCSP11" displayName="HIX_SLCSP11" ref="D1775:BM2030" totalsRowShown="0" headerRowDxfId="73">
  <autoFilter ref="D1775:BM2030" xr:uid="{463E7782-D6E9-4055-8AC4-3FF043FFD737}"/>
  <tableColumns count="62">
    <tableColumn id="1" xr3:uid="{292BA70B-428E-4D49-A808-D91A2C6B3329}" name="State"/>
    <tableColumn id="2" xr3:uid="{F07FA235-A3DC-426C-9C6B-1420971D2E0F}" name="Rating Area ID"/>
    <tableColumn id="3" xr3:uid="{B670011F-FB34-4917-B520-BD4492C8F4EC}" name="No" dataDxfId="72"/>
    <tableColumn id="4" xr3:uid="{CC7A4C6D-D061-4730-9A80-987BAF64B2C7}" name="StateCode" dataDxfId="71"/>
    <tableColumn id="5" xr3:uid="{E4D7E217-7B9D-4866-A62E-002D6C3C6DEB}" name="Area Code" dataDxfId="70"/>
    <tableColumn id="6" xr3:uid="{1E167D9D-CD39-4AF5-974E-401CA183CD77}" name="Count Silver 2018" dataDxfId="69"/>
    <tableColumn id="7" xr3:uid="{35FB398A-0D44-4E4D-AF44-7CE9DA905F36}" name="Lowest Cost Plan 2018" dataDxfId="68"/>
    <tableColumn id="8" xr3:uid="{465E0271-87D4-4CE3-AF26-954275C3DB32}" name="2018" dataDxfId="67"/>
    <tableColumn id="9" xr3:uid="{EA34B77E-135D-4B6F-894F-C91798435500}" name="2018-Age 50" dataDxfId="66"/>
    <tableColumn id="10" xr3:uid="{D4A64FA4-2311-4405-B1B2-BC18F2DF07C7}" name="2018:27x=50" dataDxfId="65">
      <calculatedColumnFormula>L1776/K1776</calculatedColumnFormula>
    </tableColumn>
    <tableColumn id="11" xr3:uid="{C040A04E-3D10-4787-B0C7-52426D77C4B9}" name="Count Silver 2019" dataDxfId="64"/>
    <tableColumn id="12" xr3:uid="{8B916A4F-55E8-41B3-8468-1A89115C2221}" name="Lowest Cost Plan 2019" dataDxfId="63"/>
    <tableColumn id="13" xr3:uid="{F29E27E9-DC7E-495C-B3B0-61774C5799D5}" name="2019" dataDxfId="62"/>
    <tableColumn id="14" xr3:uid="{35DF3696-ACFD-48D6-8665-CC3F3465DED7}" name="2019-Age 50" dataDxfId="61"/>
    <tableColumn id="15" xr3:uid="{373EFF4E-7AD9-4704-80DF-0823F7923671}" name="2019:27x=50" dataDxfId="60">
      <calculatedColumnFormula>Q1776/P1776</calculatedColumnFormula>
    </tableColumn>
    <tableColumn id="16" xr3:uid="{BD630B9E-2C9C-4E33-BD25-C5472CD36FFA}" name="Count Silver-2020" dataDxfId="59"/>
    <tableColumn id="17" xr3:uid="{E1B5D68F-C0C4-4699-AB58-4952D3AE6723}" name="Lowest Cost Plan 2020" dataDxfId="58"/>
    <tableColumn id="18" xr3:uid="{A467AB0A-5522-4467-A99F-703C1D3FE91E}" name="2020" dataDxfId="57"/>
    <tableColumn id="19" xr3:uid="{DD9966B6-7948-4CEE-8243-5E9A0CF84E74}" name="2020-Age 50" dataDxfId="56"/>
    <tableColumn id="20" xr3:uid="{012B5D39-0EA1-46E9-B81D-9A2A4078EA4A}" name="2020:27x=50" dataDxfId="55">
      <calculatedColumnFormula>V1776/U1776</calculatedColumnFormula>
    </tableColumn>
    <tableColumn id="32" xr3:uid="{D7AA8B7A-4F4C-4BD5-A15E-08FC90981FAA}" name="Count Silver-2021" dataDxfId="54"/>
    <tableColumn id="31" xr3:uid="{CA0BA6AB-3CBF-4492-8673-21E9EC5A93B7}" name="Lowest Cost Plan 2021" dataDxfId="53"/>
    <tableColumn id="30" xr3:uid="{C6E1BBFE-5376-495D-A516-AA991851A848}" name="2021" dataDxfId="52"/>
    <tableColumn id="29" xr3:uid="{6AC61424-C82E-484B-A533-DF6F2C4ACA75}" name="2021-Age 50" dataDxfId="51"/>
    <tableColumn id="28" xr3:uid="{D9217076-E429-4916-9CB4-7CE116F535F2}" name="2021:27x=50" dataDxfId="50">
      <calculatedColumnFormula>AA1776/Z1776</calculatedColumnFormula>
    </tableColumn>
    <tableColumn id="27" xr3:uid="{732A087F-04CE-4D9B-8EE6-9548815F4C2C}" name="Count Silver-2022" dataDxfId="49"/>
    <tableColumn id="34" xr3:uid="{C619C790-74BC-4EF4-86E2-7AA43392E6B8}" name="Lowest Cost Plan 2022" dataDxfId="48"/>
    <tableColumn id="35" xr3:uid="{80A9FC9F-1D12-413C-B660-E6B8AD9B6BD9}" name="2022" dataDxfId="47"/>
    <tableColumn id="36" xr3:uid="{B51156A5-88E5-44BF-9821-CC9CB845C171}" name="2022-Age 50" dataDxfId="46"/>
    <tableColumn id="37" xr3:uid="{79B3FD24-AE37-4802-9A03-DFA0F0567885}" name="2022:27x=50" dataDxfId="45">
      <calculatedColumnFormula>AF1776/AE1776</calculatedColumnFormula>
    </tableColumn>
    <tableColumn id="43" xr3:uid="{385DD516-61DD-46CD-9CF6-BCB5F0C3B7D3}" name="Count Silver-2023" dataDxfId="44"/>
    <tableColumn id="44" xr3:uid="{3C40EB50-4628-49B1-A2BD-5A8AA95A18B4}" name="Lowest Cost Plan 2023" dataDxfId="43"/>
    <tableColumn id="45" xr3:uid="{B7DA0AD1-08F3-4686-B092-3480FAAAA9EE}" name="2023" dataDxfId="42"/>
    <tableColumn id="46" xr3:uid="{54CA3A0A-A9E6-44A7-B9A4-62806BF32B89}" name="2023-Age 50" dataDxfId="41"/>
    <tableColumn id="58" xr3:uid="{27C7FC36-8C7B-4880-971A-E06169F4FC45}" name="2023:27x=50" dataDxfId="40">
      <calculatedColumnFormula>AK1776/AJ1776</calculatedColumnFormula>
    </tableColumn>
    <tableColumn id="26" xr3:uid="{AB14BF54-F609-49D7-B814-9BDF539D8C3C}" name="Silver Selections 2016" dataDxfId="39"/>
    <tableColumn id="40" xr3:uid="{B9ED4B85-7460-40D0-99C5-435A5BE61C04}" name="Silver Selections 2018" dataDxfId="38">
      <calculatedColumnFormula>INDEX([2]Graphs!#REF!,MATCH(HIX_SLCSP11[[#This Row],[Area Code]],[2]Graphs!#REF!,0))</calculatedColumnFormula>
    </tableColumn>
    <tableColumn id="39" xr3:uid="{41A3E3BC-9784-4496-B40B-1F0E24C3DFA8}" name="Silver Selections 2019" dataDxfId="37">
      <calculatedColumnFormula>INDEX([2]Graphs!#REF!,MATCH(HIX_SLCSP11[[#This Row],[Area Code]],[2]Graphs!#REF!,0))</calculatedColumnFormula>
    </tableColumn>
    <tableColumn id="38" xr3:uid="{42897BA6-A557-40DF-8C06-4AE208411997}" name="Silver Selections 2020" dataDxfId="36">
      <calculatedColumnFormula>INDEX([2]Graphs!#REF!,MATCH(HIX_SLCSP11[[#This Row],[Area Code]],[2]Graphs!#REF!,0))</calculatedColumnFormula>
    </tableColumn>
    <tableColumn id="41" xr3:uid="{D2024D48-FDFE-44A7-A26D-9D62BD580EE9}" name="Silver Selections 2021" dataDxfId="35">
      <calculatedColumnFormula>INDEX([2]Graphs!#REF!,MATCH(HIX_SLCSP11[[#This Row],[Area Code]],[2]Graphs!#REF!,0))</calculatedColumnFormula>
    </tableColumn>
    <tableColumn id="42" xr3:uid="{7FD58518-6964-4E45-87BD-50DBDC66D28A}" name="Silver Selections 2022" dataDxfId="34"/>
    <tableColumn id="59" xr3:uid="{A8E3FA3A-9ABA-4177-B531-38DCB9FE377C}" name="Silver Selections 2023" dataDxfId="33"/>
    <tableColumn id="21" xr3:uid="{6A23D9E5-06FE-4D4A-B465-049BA4175CA5}" name="QHP Selections 2016" dataDxfId="32"/>
    <tableColumn id="22" xr3:uid="{7EA55B01-3961-4C50-8CCF-8BF7DF9913AE}" name="Weighting Factor 2016" dataDxfId="31"/>
    <tableColumn id="47" xr3:uid="{69A9F953-BDBC-4B2A-A0CC-B11B092AD462}" name="QHP Selections 2018" dataDxfId="30">
      <calculatedColumnFormula>INDEX([2]Graphs!#REF!,MATCH(HIX_SLCSP11[[#This Row],[Area Code]],[2]Graphs!#REF!,0))</calculatedColumnFormula>
    </tableColumn>
    <tableColumn id="48" xr3:uid="{2AEB20FA-4A95-4EC7-8C38-AD1F0891612D}" name="Weighting Factor 2018" dataDxfId="29"/>
    <tableColumn id="49" xr3:uid="{1102679D-D736-41DB-AFDD-53E662226CAD}" name="QHP Selections 2019" dataDxfId="28">
      <calculatedColumnFormula>INDEX([2]Graphs!#REF!,MATCH(HIX_SLCSP11[[#This Row],[Area Code]],[2]Graphs!#REF!,0))</calculatedColumnFormula>
    </tableColumn>
    <tableColumn id="50" xr3:uid="{E08D5A08-1F66-4DD5-A265-846CB8060E10}" name="Weighting Factor 2019" dataDxfId="27">
      <calculatedColumnFormula>AX1776/AX$1776</calculatedColumnFormula>
    </tableColumn>
    <tableColumn id="51" xr3:uid="{7AB2BAD3-2A94-432A-977C-6923267DBD3E}" name="QHP Selections 2020" dataDxfId="26">
      <calculatedColumnFormula>INDEX([2]Graphs!#REF!,MATCH(HIX_SLCSP11[[#This Row],[Area Code]],[2]Graphs!#REF!,0))</calculatedColumnFormula>
    </tableColumn>
    <tableColumn id="52" xr3:uid="{18886C21-2913-46A2-8F16-4359BD193125}" name="Weighting Factor 2020" dataDxfId="25"/>
    <tableColumn id="53" xr3:uid="{0674DDE3-4552-4B02-9148-E43A3F7E1042}" name="QHP Selections 2021" dataDxfId="24">
      <calculatedColumnFormula>INDEX([2]Graphs!#REF!,MATCH(HIX_SLCSP11[[#This Row],[Area Code]],[2]Graphs!#REF!,0))</calculatedColumnFormula>
    </tableColumn>
    <tableColumn id="54" xr3:uid="{B0CA3D81-6A9A-41B9-AACE-DA87DF33B1A5}" name="Weighting Factor 2021" dataDxfId="23"/>
    <tableColumn id="55" xr3:uid="{EB8F0415-6B31-4AAE-8BD7-F64FD2C6B557}" name="QHP Selections 2022"/>
    <tableColumn id="56" xr3:uid="{A4765261-1196-4327-A100-B8C7979B2874}" name="Weighting Factor 2022" dataDxfId="22"/>
    <tableColumn id="60" xr3:uid="{CE0D4196-866E-4262-A1A4-A2B2812C17DC}" name="QHP Selections 2023" dataDxfId="21"/>
    <tableColumn id="61" xr3:uid="{73548128-B201-499A-A881-EC0DAE5203E4}" name="Weighting Factor 2023" dataDxfId="20">
      <calculatedColumnFormula>BF1776/BF$1776</calculatedColumnFormula>
    </tableColumn>
    <tableColumn id="23" xr3:uid="{73740630-F839-47DA-8240-FEB738E57A38}" name="W2018" dataDxfId="19"/>
    <tableColumn id="24" xr3:uid="{A929EAF6-D2C9-4AD6-B30E-BAA883262D4A}" name="W2019" dataDxfId="18"/>
    <tableColumn id="25" xr3:uid="{1BCD078F-E61D-41D6-A463-F31A06F8653A}" name="W2020" dataDxfId="17"/>
    <tableColumn id="33" xr3:uid="{12B85A90-92D3-4D92-8156-9B06B260642C}" name="W2021" dataDxfId="16"/>
    <tableColumn id="57" xr3:uid="{880F37C5-BFBF-4606-8A14-A27900C34955}" name="W2022" dataDxfId="15"/>
    <tableColumn id="62" xr3:uid="{09084B5F-54A4-4E2A-B4FA-D959A20C1F68}" name="W2023" dataDxfId="14">
      <calculatedColumnFormula>ROUND(HIX_SLCSP11[[#This Row],[Weighting Factor 2023]]*HIX_SLCSP11[[#This Row],[2023]],2)</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CE5CD5-48E0-4665-BEA1-38C1653BC4E5}" name="PTC_ApplicablePercentage12" displayName="PTC_ApplicablePercentage12" ref="L113:Q514" tableType="queryTable" totalsRowShown="0" headerRowDxfId="13" dataDxfId="12">
  <tableColumns count="6">
    <tableColumn id="1" xr3:uid="{18E7B3B1-A782-42D8-9A9E-8DA97CB17D67}" uniqueName="1" name="MAGI FPIG Range" queryTableFieldId="1" dataDxfId="11"/>
    <tableColumn id="5" xr3:uid="{20BA925B-DC46-4BAB-841D-11534CFD28D2}" uniqueName="5" name="2019" queryTableFieldId="5" dataDxfId="10"/>
    <tableColumn id="4" xr3:uid="{B7714F45-145C-477B-A492-8755D6C2E78B}" uniqueName="4" name="2020" queryTableFieldId="4" dataDxfId="9"/>
    <tableColumn id="3" xr3:uid="{91119F85-1728-465A-9E05-B7DF4D5E6EFB}" uniqueName="3" name="2021" queryTableFieldId="3" dataDxfId="8"/>
    <tableColumn id="2" xr3:uid="{6AFC9749-195F-4DEA-BE88-607C14D568D4}" uniqueName="2" name="2022" queryTableFieldId="2" dataDxfId="7"/>
    <tableColumn id="6" xr3:uid="{D691EE13-23A8-4E52-B042-7EF5989A88CC}" uniqueName="6" name="2023" queryTableFieldId="6" dataDxfId="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B84B98D-B743-4AD8-AE3D-AC69DA189AB5}" name="HIX_PTC_MAGI_Max13" displayName="HIX_PTC_MAGI_Max13" ref="S113:V118" tableType="queryTable" totalsRowShown="0" headerRowDxfId="5" dataDxfId="4">
  <tableColumns count="4">
    <tableColumn id="1" xr3:uid="{C924199F-F516-4F06-9161-4F5603E5E330}" uniqueName="1" name="Year" queryTableFieldId="1" dataDxfId="3"/>
    <tableColumn id="4" xr3:uid="{0CB3C6A7-5F0A-46D0-8870-8BCF63F38864}" uniqueName="4" name="Comment" queryTableFieldId="4" dataDxfId="2">
      <calculatedColumnFormula array="1">INDEX([2]!HIX_ApplicablePercentages[Comment],MATCH(_xlfn.MAXIFS([2]!HIX_ApplicablePercentages[Threshold],[2]!HIX_ApplicablePercentages[Year],HIX_PTC_MAGI_Max13[[#This Row],[Year]],[2]!HIX_ApplicablePercentages[Premium Percentage Group],"Final"),[2]!HIX_ApplicablePercentages[Threshold],0))</calculatedColumnFormula>
    </tableColumn>
    <tableColumn id="2" xr3:uid="{DC6D50B2-9D9D-46F9-BAD1-9D0B25658FBF}" uniqueName="2" name="MAGI Max" queryTableFieldId="2" dataDxfId="1"/>
    <tableColumn id="3" xr3:uid="{3C9DBC46-0F59-44FF-99A2-904ED6D17F0A}" uniqueName="3" name="Max PTC %" queryTableFieldId="3" dataDxfId="0">
      <calculatedColumnFormula array="1">INDEX(PTC_ApplicablePercentage12[],MATCH(HIX_PTC_MAGI_Max13[[#This Row],[MAGI Max]],PTC_ApplicablePercentage12[MAGI FPIG Range],0),MATCH(HIX_PTC_MAGI_Max13[[#This Row],[Year]],VALUE(PTC_ApplicablePercentage12[#Headers])))</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BAFCDF-4AC1-42EF-B083-292A37A081A4}" name="Table13" displayName="Table13" ref="A1:C3244" totalsRowShown="0">
  <autoFilter ref="A1:C3244" xr:uid="{2EBAFCDF-4AC1-42EF-B083-292A37A081A4}"/>
  <tableColumns count="3">
    <tableColumn id="1" xr3:uid="{A49FF6C9-3F65-44BE-B66C-D4260D97AAD1}" name="FIPS"/>
    <tableColumn id="2" xr3:uid="{5F384CA3-966B-4FCF-8016-A26AD6A95C88}" name="County"/>
    <tableColumn id="3" xr3:uid="{D7BC839E-2322-4A7E-8B32-D2206B3D0898}"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www.cms.gov/cciio/programs-and-initiatives/health-insurance-market-reforms/state-gra" TargetMode="External"/><Relationship Id="rId7" Type="http://schemas.openxmlformats.org/officeDocument/2006/relationships/table" Target="../tables/table2.xml"/><Relationship Id="rId2" Type="http://schemas.openxmlformats.org/officeDocument/2006/relationships/hyperlink" Target="https://www.irs.gov/irb/2019-32_IRB" TargetMode="External"/><Relationship Id="rId1" Type="http://schemas.openxmlformats.org/officeDocument/2006/relationships/hyperlink" Target="https://www.irs.gov/downloads/irs-irbs" TargetMode="External"/><Relationship Id="rId6" Type="http://schemas.openxmlformats.org/officeDocument/2006/relationships/table" Target="../tables/table1.xml"/><Relationship Id="rId11" Type="http://schemas.openxmlformats.org/officeDocument/2006/relationships/table" Target="../tables/table6.xml"/><Relationship Id="rId5" Type="http://schemas.openxmlformats.org/officeDocument/2006/relationships/printerSettings" Target="../printerSettings/printerSettings1.bin"/><Relationship Id="rId10" Type="http://schemas.openxmlformats.org/officeDocument/2006/relationships/table" Target="../tables/table5.xml"/><Relationship Id="rId4" Type="http://schemas.openxmlformats.org/officeDocument/2006/relationships/hyperlink" Target="https://www.cms.gov/CCIIO/Programs-and-Initiatives/Health-Insurance-Market-Reforms/state-rating" TargetMode="External"/><Relationship Id="rId9" Type="http://schemas.openxmlformats.org/officeDocument/2006/relationships/table" Target="../tables/table4.xml"/></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cms.gov/cciio/programs-and-initiatives/health-insurance-market-reforms/state-gra" TargetMode="External"/><Relationship Id="rId7" Type="http://schemas.openxmlformats.org/officeDocument/2006/relationships/table" Target="../tables/table8.xml"/><Relationship Id="rId2" Type="http://schemas.openxmlformats.org/officeDocument/2006/relationships/hyperlink" Target="https://www.irs.gov/irb/2019-32_IRB" TargetMode="External"/><Relationship Id="rId1" Type="http://schemas.openxmlformats.org/officeDocument/2006/relationships/hyperlink" Target="https://www.irs.gov/downloads/irs-irbs" TargetMode="Externa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printerSettings" Target="../printerSettings/printerSettings2.bin"/><Relationship Id="rId10" Type="http://schemas.openxmlformats.org/officeDocument/2006/relationships/table" Target="../tables/table11.xml"/><Relationship Id="rId4" Type="http://schemas.openxmlformats.org/officeDocument/2006/relationships/hyperlink" Target="https://www.cms.gov/CCIIO/Programs-and-Initiatives/Health-Insurance-Market-Reforms/state-rating" TargetMode="Externa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E6B1-59A8-4D80-9537-3CC2722F3CF0}">
  <sheetPr codeName="Sheet27"/>
  <dimension ref="A1:BV2131"/>
  <sheetViews>
    <sheetView tabSelected="1" zoomScale="60" zoomScaleNormal="60" workbookViewId="0">
      <selection activeCell="D2031" sqref="D2031:BV2031"/>
    </sheetView>
  </sheetViews>
  <sheetFormatPr defaultRowHeight="14.5" x14ac:dyDescent="0.35"/>
  <cols>
    <col min="4" max="4" width="21" customWidth="1"/>
    <col min="5" max="5" width="26.1796875" customWidth="1"/>
    <col min="6" max="6" width="14.54296875" customWidth="1"/>
    <col min="7" max="7" width="25.81640625" customWidth="1"/>
    <col min="8" max="8" width="12.453125" customWidth="1"/>
    <col min="9" max="9" width="18.453125" customWidth="1"/>
    <col min="10" max="10" width="22.453125" customWidth="1"/>
    <col min="11" max="11" width="8.81640625" customWidth="1"/>
    <col min="12" max="12" width="13.54296875" customWidth="1"/>
    <col min="13" max="16" width="13.54296875" style="24" customWidth="1"/>
    <col min="17" max="18" width="13.54296875" customWidth="1"/>
    <col min="19" max="19" width="14.81640625" customWidth="1"/>
    <col min="20" max="20" width="12.54296875" customWidth="1"/>
    <col min="21" max="21" width="12.26953125" customWidth="1"/>
    <col min="22" max="23" width="13.54296875" customWidth="1"/>
    <col min="24" max="24" width="13.453125" customWidth="1"/>
    <col min="25" max="25" width="19.54296875" customWidth="1"/>
    <col min="26" max="26" width="12" customWidth="1"/>
    <col min="27" max="28" width="11.453125" customWidth="1"/>
    <col min="29" max="33" width="8.7265625" customWidth="1"/>
    <col min="34" max="35" width="9.453125" customWidth="1"/>
    <col min="36" max="37" width="9.54296875" customWidth="1"/>
    <col min="38" max="38" width="8.453125" customWidth="1"/>
    <col min="39" max="39" width="10.453125" customWidth="1"/>
    <col min="40" max="40" width="10.1796875" customWidth="1"/>
    <col min="41" max="42" width="9.54296875" customWidth="1"/>
    <col min="43" max="43" width="7.81640625" customWidth="1"/>
    <col min="44" max="44" width="10.81640625" customWidth="1"/>
    <col min="45" max="46" width="9.453125" customWidth="1"/>
    <col min="47" max="47" width="10.1796875" customWidth="1"/>
    <col min="48" max="48" width="9.453125" customWidth="1"/>
    <col min="49" max="49" width="13.453125" bestFit="1" customWidth="1"/>
    <col min="50" max="50" width="12.453125" customWidth="1"/>
    <col min="51" max="51" width="10.26953125" customWidth="1"/>
    <col min="52" max="52" width="9.453125" customWidth="1"/>
    <col min="54" max="55" width="9.54296875" customWidth="1"/>
    <col min="56" max="56" width="9.7265625" customWidth="1"/>
    <col min="57" max="57" width="10.1796875" customWidth="1"/>
    <col min="58" max="58" width="10.54296875" customWidth="1"/>
    <col min="59" max="59" width="10.453125" customWidth="1"/>
    <col min="60" max="65" width="9.453125" customWidth="1"/>
    <col min="66" max="66" width="10.453125" customWidth="1"/>
    <col min="67" max="67" width="9.453125" customWidth="1"/>
    <col min="68" max="68" width="10.08984375" customWidth="1"/>
    <col min="69" max="69" width="11.90625" customWidth="1"/>
    <col min="70" max="70" width="10.54296875" customWidth="1"/>
    <col min="71" max="71" width="11.453125" customWidth="1"/>
    <col min="72" max="72" width="10.81640625" customWidth="1"/>
    <col min="73" max="73" width="11.36328125" customWidth="1"/>
    <col min="74" max="74" width="10.36328125" customWidth="1"/>
  </cols>
  <sheetData>
    <row r="1" spans="2:4" x14ac:dyDescent="0.35">
      <c r="B1" s="1" t="s">
        <v>0</v>
      </c>
      <c r="C1" s="1" t="s">
        <v>1</v>
      </c>
    </row>
    <row r="3" spans="2:4" x14ac:dyDescent="0.35">
      <c r="C3" s="2" t="s">
        <v>2</v>
      </c>
    </row>
    <row r="4" spans="2:4" x14ac:dyDescent="0.35">
      <c r="D4" t="s">
        <v>3</v>
      </c>
    </row>
    <row r="5" spans="2:4" x14ac:dyDescent="0.35">
      <c r="D5" t="s">
        <v>4</v>
      </c>
    </row>
    <row r="6" spans="2:4" x14ac:dyDescent="0.35">
      <c r="D6" t="s">
        <v>5</v>
      </c>
    </row>
    <row r="7" spans="2:4" x14ac:dyDescent="0.35">
      <c r="D7" t="s">
        <v>6</v>
      </c>
    </row>
    <row r="8" spans="2:4" x14ac:dyDescent="0.35">
      <c r="D8" t="s">
        <v>7</v>
      </c>
    </row>
    <row r="10" spans="2:4" x14ac:dyDescent="0.35">
      <c r="D10" t="s">
        <v>8</v>
      </c>
    </row>
    <row r="11" spans="2:4" x14ac:dyDescent="0.35">
      <c r="D11" t="s">
        <v>9</v>
      </c>
    </row>
    <row r="12" spans="2:4" x14ac:dyDescent="0.35">
      <c r="D12" s="3" t="s">
        <v>10</v>
      </c>
    </row>
    <row r="13" spans="2:4" x14ac:dyDescent="0.35">
      <c r="D13" t="s">
        <v>11</v>
      </c>
    </row>
    <row r="14" spans="2:4" x14ac:dyDescent="0.35">
      <c r="D14" s="4" t="s">
        <v>12</v>
      </c>
    </row>
    <row r="15" spans="2:4" x14ac:dyDescent="0.35">
      <c r="D15" s="5" t="s">
        <v>13</v>
      </c>
    </row>
    <row r="16" spans="2:4" x14ac:dyDescent="0.35">
      <c r="D16" s="4" t="s">
        <v>14</v>
      </c>
    </row>
    <row r="17" spans="4:7" x14ac:dyDescent="0.35">
      <c r="D17" s="3" t="s">
        <v>15</v>
      </c>
    </row>
    <row r="18" spans="4:7" x14ac:dyDescent="0.35">
      <c r="D18" s="3" t="s">
        <v>16</v>
      </c>
    </row>
    <row r="19" spans="4:7" x14ac:dyDescent="0.35">
      <c r="D19" s="5" t="s">
        <v>17</v>
      </c>
    </row>
    <row r="20" spans="4:7" x14ac:dyDescent="0.35">
      <c r="D20" s="5" t="s">
        <v>18</v>
      </c>
    </row>
    <row r="21" spans="4:7" x14ac:dyDescent="0.35">
      <c r="D21" s="4" t="s">
        <v>19</v>
      </c>
    </row>
    <row r="22" spans="4:7" x14ac:dyDescent="0.35">
      <c r="D22" s="3" t="s">
        <v>20</v>
      </c>
    </row>
    <row r="23" spans="4:7" x14ac:dyDescent="0.35">
      <c r="D23" s="5" t="s">
        <v>21</v>
      </c>
    </row>
    <row r="24" spans="4:7" ht="15" thickBot="1" x14ac:dyDescent="0.4">
      <c r="D24" s="6" t="s">
        <v>22</v>
      </c>
    </row>
    <row r="25" spans="4:7" ht="58" thickBot="1" x14ac:dyDescent="0.4">
      <c r="D25" s="3"/>
      <c r="E25" s="7" t="s">
        <v>23</v>
      </c>
      <c r="F25" s="7" t="s">
        <v>24</v>
      </c>
      <c r="G25" s="7" t="s">
        <v>25</v>
      </c>
    </row>
    <row r="26" spans="4:7" ht="15" thickBot="1" x14ac:dyDescent="0.4">
      <c r="D26" s="3"/>
      <c r="E26" s="8" t="s">
        <v>26</v>
      </c>
      <c r="F26" s="9">
        <v>0.02</v>
      </c>
      <c r="G26" s="10">
        <v>0.02</v>
      </c>
    </row>
    <row r="27" spans="4:7" ht="15" thickBot="1" x14ac:dyDescent="0.4">
      <c r="D27" s="3"/>
      <c r="E27" s="11" t="s">
        <v>27</v>
      </c>
      <c r="F27" s="12">
        <v>0.03</v>
      </c>
      <c r="G27" s="13">
        <v>0.04</v>
      </c>
    </row>
    <row r="28" spans="4:7" ht="15" thickBot="1" x14ac:dyDescent="0.4">
      <c r="D28" s="3"/>
      <c r="E28" s="8" t="s">
        <v>28</v>
      </c>
      <c r="F28" s="9">
        <v>0.04</v>
      </c>
      <c r="G28" s="10">
        <v>6.3E-2</v>
      </c>
    </row>
    <row r="29" spans="4:7" ht="15" thickBot="1" x14ac:dyDescent="0.4">
      <c r="D29" s="3"/>
      <c r="E29" s="11" t="s">
        <v>29</v>
      </c>
      <c r="F29" s="12">
        <v>6.3E-2</v>
      </c>
      <c r="G29" s="13">
        <v>8.0500000000000002E-2</v>
      </c>
    </row>
    <row r="30" spans="4:7" ht="15" thickBot="1" x14ac:dyDescent="0.4">
      <c r="D30" s="3"/>
      <c r="E30" s="8" t="s">
        <v>30</v>
      </c>
      <c r="F30" s="9">
        <v>8.0500000000000002E-2</v>
      </c>
      <c r="G30" s="10">
        <v>9.5000000000000001E-2</v>
      </c>
    </row>
    <row r="31" spans="4:7" ht="15" thickBot="1" x14ac:dyDescent="0.4">
      <c r="D31" s="3"/>
      <c r="E31" s="11" t="s">
        <v>31</v>
      </c>
      <c r="F31" s="12">
        <v>9.5000000000000001E-2</v>
      </c>
      <c r="G31" s="14" t="s">
        <v>32</v>
      </c>
    </row>
    <row r="32" spans="4:7" x14ac:dyDescent="0.35">
      <c r="D32" s="3" t="s">
        <v>33</v>
      </c>
    </row>
    <row r="33" spans="3:4" x14ac:dyDescent="0.35">
      <c r="D33" s="15" t="s">
        <v>34</v>
      </c>
    </row>
    <row r="34" spans="3:4" x14ac:dyDescent="0.35">
      <c r="D34" s="6" t="s">
        <v>35</v>
      </c>
    </row>
    <row r="35" spans="3:4" x14ac:dyDescent="0.35">
      <c r="D35" s="3" t="s">
        <v>36</v>
      </c>
    </row>
    <row r="36" spans="3:4" x14ac:dyDescent="0.35">
      <c r="D36" s="6" t="s">
        <v>37</v>
      </c>
    </row>
    <row r="37" spans="3:4" x14ac:dyDescent="0.35">
      <c r="D37" s="3" t="s">
        <v>38</v>
      </c>
    </row>
    <row r="38" spans="3:4" x14ac:dyDescent="0.35">
      <c r="D38" s="6" t="s">
        <v>39</v>
      </c>
    </row>
    <row r="39" spans="3:4" x14ac:dyDescent="0.35">
      <c r="D39" s="4" t="s">
        <v>40</v>
      </c>
    </row>
    <row r="40" spans="3:4" x14ac:dyDescent="0.35">
      <c r="D40" s="3" t="s">
        <v>41</v>
      </c>
    </row>
    <row r="41" spans="3:4" x14ac:dyDescent="0.35">
      <c r="D41" s="3" t="s">
        <v>42</v>
      </c>
    </row>
    <row r="42" spans="3:4" x14ac:dyDescent="0.35">
      <c r="D42" s="5" t="s">
        <v>43</v>
      </c>
    </row>
    <row r="43" spans="3:4" x14ac:dyDescent="0.35">
      <c r="D43" s="16" t="s">
        <v>44</v>
      </c>
    </row>
    <row r="44" spans="3:4" x14ac:dyDescent="0.35">
      <c r="D44" s="16" t="s">
        <v>45</v>
      </c>
    </row>
    <row r="45" spans="3:4" x14ac:dyDescent="0.35">
      <c r="D45" s="3" t="s">
        <v>46</v>
      </c>
    </row>
    <row r="46" spans="3:4" x14ac:dyDescent="0.35">
      <c r="D46" s="16" t="s">
        <v>47</v>
      </c>
    </row>
    <row r="47" spans="3:4" x14ac:dyDescent="0.35">
      <c r="D47" s="17" t="s">
        <v>48</v>
      </c>
    </row>
    <row r="48" spans="3:4" x14ac:dyDescent="0.35">
      <c r="C48" s="2" t="s">
        <v>49</v>
      </c>
      <c r="D48" s="3"/>
    </row>
    <row r="49" spans="3:7" x14ac:dyDescent="0.35">
      <c r="C49" s="2"/>
      <c r="D49" s="18" t="s">
        <v>50</v>
      </c>
    </row>
    <row r="50" spans="3:7" x14ac:dyDescent="0.35">
      <c r="C50" s="2"/>
      <c r="D50" t="s">
        <v>51</v>
      </c>
    </row>
    <row r="51" spans="3:7" x14ac:dyDescent="0.35">
      <c r="C51" s="2"/>
      <c r="D51" s="18" t="s">
        <v>52</v>
      </c>
    </row>
    <row r="52" spans="3:7" x14ac:dyDescent="0.35">
      <c r="C52" s="2"/>
      <c r="D52" s="18" t="s">
        <v>53</v>
      </c>
    </row>
    <row r="53" spans="3:7" x14ac:dyDescent="0.35">
      <c r="C53" s="2"/>
      <c r="D53" s="18" t="s">
        <v>54</v>
      </c>
    </row>
    <row r="54" spans="3:7" x14ac:dyDescent="0.35">
      <c r="C54" s="2"/>
      <c r="D54" s="3"/>
    </row>
    <row r="55" spans="3:7" x14ac:dyDescent="0.35">
      <c r="C55" s="2"/>
      <c r="D55" s="19" t="s">
        <v>55</v>
      </c>
      <c r="F55" t="s">
        <v>56</v>
      </c>
      <c r="G55" t="s">
        <v>57</v>
      </c>
    </row>
    <row r="56" spans="3:7" x14ac:dyDescent="0.35">
      <c r="C56" s="2"/>
      <c r="D56" s="18" t="s">
        <v>58</v>
      </c>
      <c r="E56" t="s">
        <v>59</v>
      </c>
      <c r="F56">
        <v>3</v>
      </c>
      <c r="G56" t="s">
        <v>60</v>
      </c>
    </row>
    <row r="57" spans="3:7" x14ac:dyDescent="0.35">
      <c r="C57" s="2"/>
      <c r="D57" s="18" t="s">
        <v>61</v>
      </c>
      <c r="E57" t="s">
        <v>62</v>
      </c>
      <c r="F57" s="20">
        <v>50200</v>
      </c>
    </row>
    <row r="58" spans="3:7" x14ac:dyDescent="0.35">
      <c r="C58" s="2"/>
      <c r="D58" s="3" t="s">
        <v>63</v>
      </c>
      <c r="E58" t="s">
        <v>64</v>
      </c>
      <c r="F58" s="20">
        <v>0</v>
      </c>
      <c r="G58" t="s">
        <v>65</v>
      </c>
    </row>
    <row r="59" spans="3:7" x14ac:dyDescent="0.35">
      <c r="C59" s="2"/>
      <c r="D59" s="18" t="s">
        <v>66</v>
      </c>
      <c r="E59" t="s">
        <v>67</v>
      </c>
      <c r="F59" s="20">
        <f>SUM(F57:F58)</f>
        <v>50200</v>
      </c>
    </row>
    <row r="60" spans="3:7" x14ac:dyDescent="0.35">
      <c r="C60" s="2"/>
      <c r="D60" s="18" t="s">
        <v>68</v>
      </c>
      <c r="E60" t="s">
        <v>69</v>
      </c>
      <c r="F60" s="20">
        <v>25100</v>
      </c>
      <c r="G60" s="1" t="s">
        <v>70</v>
      </c>
    </row>
    <row r="61" spans="3:7" x14ac:dyDescent="0.35">
      <c r="C61" s="2"/>
      <c r="D61" s="18" t="s">
        <v>71</v>
      </c>
      <c r="E61" t="s">
        <v>72</v>
      </c>
      <c r="F61" s="21">
        <f>F59/F60</f>
        <v>2</v>
      </c>
    </row>
    <row r="62" spans="3:7" x14ac:dyDescent="0.35">
      <c r="C62" s="2"/>
      <c r="D62" s="18" t="s">
        <v>73</v>
      </c>
      <c r="E62" t="s">
        <v>74</v>
      </c>
      <c r="F62" s="21"/>
      <c r="G62" t="s">
        <v>75</v>
      </c>
    </row>
    <row r="63" spans="3:7" x14ac:dyDescent="0.35">
      <c r="C63" s="2"/>
      <c r="D63" s="18" t="s">
        <v>76</v>
      </c>
      <c r="F63" s="21"/>
    </row>
    <row r="64" spans="3:7" x14ac:dyDescent="0.35">
      <c r="C64" s="2"/>
      <c r="D64" s="22" t="s">
        <v>77</v>
      </c>
      <c r="F64" s="21"/>
    </row>
    <row r="65" spans="3:7" x14ac:dyDescent="0.35">
      <c r="C65" s="2"/>
      <c r="D65" s="4" t="s">
        <v>78</v>
      </c>
      <c r="F65" s="21"/>
    </row>
    <row r="66" spans="3:7" x14ac:dyDescent="0.35">
      <c r="C66" s="2"/>
      <c r="D66" s="4" t="s">
        <v>79</v>
      </c>
      <c r="F66" s="21"/>
    </row>
    <row r="67" spans="3:7" x14ac:dyDescent="0.35">
      <c r="C67" s="2"/>
      <c r="D67" s="4" t="s">
        <v>80</v>
      </c>
      <c r="F67" s="21"/>
    </row>
    <row r="68" spans="3:7" x14ac:dyDescent="0.35">
      <c r="C68" s="2"/>
      <c r="D68" s="4" t="s">
        <v>81</v>
      </c>
      <c r="F68" s="21"/>
    </row>
    <row r="69" spans="3:7" x14ac:dyDescent="0.35">
      <c r="C69" s="2"/>
      <c r="D69" s="4" t="s">
        <v>82</v>
      </c>
      <c r="F69" s="21"/>
    </row>
    <row r="70" spans="3:7" x14ac:dyDescent="0.35">
      <c r="C70" s="2"/>
      <c r="D70" s="4" t="s">
        <v>83</v>
      </c>
      <c r="F70" s="21"/>
    </row>
    <row r="71" spans="3:7" x14ac:dyDescent="0.35">
      <c r="C71" s="2"/>
      <c r="D71" s="18" t="s">
        <v>84</v>
      </c>
      <c r="E71" t="s">
        <v>85</v>
      </c>
      <c r="F71" s="23">
        <v>6.54E-2</v>
      </c>
      <c r="G71" t="s">
        <v>86</v>
      </c>
    </row>
    <row r="72" spans="3:7" x14ac:dyDescent="0.35">
      <c r="C72" s="2"/>
      <c r="D72" s="18" t="s">
        <v>87</v>
      </c>
    </row>
    <row r="73" spans="3:7" x14ac:dyDescent="0.35">
      <c r="C73" s="2"/>
      <c r="D73" s="4" t="s">
        <v>88</v>
      </c>
      <c r="E73" t="s">
        <v>89</v>
      </c>
      <c r="F73" s="20">
        <f>ROUND(F71*F59,0)</f>
        <v>3283</v>
      </c>
      <c r="G73" t="s">
        <v>90</v>
      </c>
    </row>
    <row r="74" spans="3:7" x14ac:dyDescent="0.35">
      <c r="C74" s="2"/>
      <c r="D74" s="4" t="s">
        <v>91</v>
      </c>
      <c r="E74" t="s">
        <v>92</v>
      </c>
      <c r="F74" s="20">
        <f>ROUND(F73/12,0)</f>
        <v>274</v>
      </c>
      <c r="G74" t="s">
        <v>93</v>
      </c>
    </row>
    <row r="75" spans="3:7" x14ac:dyDescent="0.35">
      <c r="C75" s="2"/>
      <c r="D75" s="18" t="s">
        <v>94</v>
      </c>
      <c r="E75" t="s">
        <v>95</v>
      </c>
    </row>
    <row r="76" spans="3:7" x14ac:dyDescent="0.35">
      <c r="C76" s="2"/>
      <c r="D76" s="18" t="s">
        <v>96</v>
      </c>
      <c r="E76" t="s">
        <v>97</v>
      </c>
    </row>
    <row r="77" spans="3:7" x14ac:dyDescent="0.35">
      <c r="C77" s="2"/>
      <c r="D77" s="22" t="s">
        <v>98</v>
      </c>
    </row>
    <row r="78" spans="3:7" x14ac:dyDescent="0.35">
      <c r="C78" s="2"/>
      <c r="D78" s="4" t="s">
        <v>99</v>
      </c>
    </row>
    <row r="79" spans="3:7" x14ac:dyDescent="0.35">
      <c r="C79" s="2"/>
      <c r="D79" s="4" t="s">
        <v>100</v>
      </c>
    </row>
    <row r="80" spans="3:7" x14ac:dyDescent="0.35">
      <c r="C80" s="2"/>
      <c r="D80" s="4" t="s">
        <v>101</v>
      </c>
    </row>
    <row r="81" spans="3:7" x14ac:dyDescent="0.35">
      <c r="C81" s="2"/>
      <c r="D81" s="4" t="s">
        <v>102</v>
      </c>
    </row>
    <row r="82" spans="3:7" x14ac:dyDescent="0.35">
      <c r="C82" s="2"/>
      <c r="D82" s="18" t="s">
        <v>103</v>
      </c>
    </row>
    <row r="83" spans="3:7" x14ac:dyDescent="0.35">
      <c r="C83" s="2"/>
      <c r="D83" s="18" t="s">
        <v>104</v>
      </c>
      <c r="E83" t="s">
        <v>105</v>
      </c>
      <c r="F83" s="20">
        <f>1500*12</f>
        <v>18000</v>
      </c>
    </row>
    <row r="84" spans="3:7" x14ac:dyDescent="0.35">
      <c r="C84" s="2"/>
      <c r="D84" s="18" t="s">
        <v>106</v>
      </c>
      <c r="E84" t="s">
        <v>107</v>
      </c>
      <c r="F84" s="20">
        <f>1266*12</f>
        <v>15192</v>
      </c>
      <c r="G84" t="s">
        <v>108</v>
      </c>
    </row>
    <row r="85" spans="3:7" x14ac:dyDescent="0.35">
      <c r="C85" s="2"/>
      <c r="D85" s="18" t="s">
        <v>109</v>
      </c>
      <c r="E85" t="s">
        <v>110</v>
      </c>
      <c r="F85" s="20">
        <f>F73</f>
        <v>3283</v>
      </c>
      <c r="G85" t="s">
        <v>111</v>
      </c>
    </row>
    <row r="86" spans="3:7" x14ac:dyDescent="0.35">
      <c r="C86" s="2"/>
      <c r="D86" s="18" t="s">
        <v>112</v>
      </c>
      <c r="E86" t="s">
        <v>113</v>
      </c>
      <c r="F86" s="20">
        <f>F84-F85</f>
        <v>11909</v>
      </c>
      <c r="G86" t="s">
        <v>114</v>
      </c>
    </row>
    <row r="87" spans="3:7" x14ac:dyDescent="0.35">
      <c r="D87" s="18" t="s">
        <v>115</v>
      </c>
      <c r="E87" t="s">
        <v>116</v>
      </c>
      <c r="F87" s="20">
        <f>MIN(F86,F83)</f>
        <v>11909</v>
      </c>
      <c r="G87" t="s">
        <v>117</v>
      </c>
    </row>
    <row r="88" spans="3:7" x14ac:dyDescent="0.35">
      <c r="D88" s="18" t="s">
        <v>118</v>
      </c>
      <c r="E88" t="s">
        <v>119</v>
      </c>
      <c r="F88" s="20">
        <f>794*12</f>
        <v>9528</v>
      </c>
    </row>
    <row r="89" spans="3:7" x14ac:dyDescent="0.35">
      <c r="D89" s="18" t="s">
        <v>120</v>
      </c>
    </row>
    <row r="90" spans="3:7" x14ac:dyDescent="0.35">
      <c r="D90" s="18" t="s">
        <v>121</v>
      </c>
      <c r="E90" t="s">
        <v>122</v>
      </c>
      <c r="F90" s="20">
        <f>F87</f>
        <v>11909</v>
      </c>
      <c r="G90" t="s">
        <v>123</v>
      </c>
    </row>
    <row r="91" spans="3:7" x14ac:dyDescent="0.35">
      <c r="D91" s="18" t="s">
        <v>124</v>
      </c>
      <c r="E91" t="s">
        <v>125</v>
      </c>
      <c r="F91" s="20">
        <f>F88</f>
        <v>9528</v>
      </c>
      <c r="G91" t="s">
        <v>126</v>
      </c>
    </row>
    <row r="92" spans="3:7" x14ac:dyDescent="0.35">
      <c r="D92" s="18" t="s">
        <v>127</v>
      </c>
      <c r="F92" s="20">
        <f>F90-F91</f>
        <v>2381</v>
      </c>
      <c r="G92" t="s">
        <v>128</v>
      </c>
    </row>
    <row r="94" spans="3:7" x14ac:dyDescent="0.35">
      <c r="D94" s="19" t="s">
        <v>129</v>
      </c>
    </row>
    <row r="95" spans="3:7" x14ac:dyDescent="0.35">
      <c r="D95" s="18" t="s">
        <v>130</v>
      </c>
    </row>
    <row r="96" spans="3:7" x14ac:dyDescent="0.35">
      <c r="D96" s="18" t="s">
        <v>131</v>
      </c>
    </row>
    <row r="97" spans="3:18" x14ac:dyDescent="0.35">
      <c r="D97" t="s">
        <v>132</v>
      </c>
    </row>
    <row r="98" spans="3:18" x14ac:dyDescent="0.35">
      <c r="D98" t="s">
        <v>133</v>
      </c>
    </row>
    <row r="99" spans="3:18" x14ac:dyDescent="0.35">
      <c r="D99" t="s">
        <v>134</v>
      </c>
    </row>
    <row r="100" spans="3:18" x14ac:dyDescent="0.35">
      <c r="D100" t="s">
        <v>135</v>
      </c>
    </row>
    <row r="102" spans="3:18" x14ac:dyDescent="0.35">
      <c r="D102" s="1" t="s">
        <v>136</v>
      </c>
    </row>
    <row r="104" spans="3:18" x14ac:dyDescent="0.35">
      <c r="D104" t="s">
        <v>137</v>
      </c>
    </row>
    <row r="106" spans="3:18" x14ac:dyDescent="0.35">
      <c r="D106" s="1" t="s">
        <v>138</v>
      </c>
    </row>
    <row r="107" spans="3:18" x14ac:dyDescent="0.35">
      <c r="D107" t="s">
        <v>139</v>
      </c>
    </row>
    <row r="108" spans="3:18" x14ac:dyDescent="0.35">
      <c r="D108" t="s">
        <v>140</v>
      </c>
    </row>
    <row r="110" spans="3:18" x14ac:dyDescent="0.35">
      <c r="D110" t="s">
        <v>141</v>
      </c>
    </row>
    <row r="112" spans="3:18" x14ac:dyDescent="0.35">
      <c r="C112" s="2" t="s">
        <v>142</v>
      </c>
      <c r="L112" s="2" t="s">
        <v>143</v>
      </c>
      <c r="O112" s="25"/>
      <c r="P112" s="25"/>
      <c r="Q112" s="2"/>
      <c r="R112" s="2" t="s">
        <v>144</v>
      </c>
    </row>
    <row r="113" spans="4:22" ht="29" x14ac:dyDescent="0.35">
      <c r="D113" s="26" t="s">
        <v>145</v>
      </c>
      <c r="E113" s="26" t="s">
        <v>146</v>
      </c>
      <c r="F113" s="27" t="s">
        <v>147</v>
      </c>
      <c r="G113" s="28" t="s">
        <v>148</v>
      </c>
      <c r="H113" s="28" t="s">
        <v>149</v>
      </c>
      <c r="I113" s="28" t="s">
        <v>150</v>
      </c>
      <c r="J113" s="26" t="s">
        <v>151</v>
      </c>
      <c r="L113" s="26" t="s">
        <v>152</v>
      </c>
      <c r="M113" s="29" t="s">
        <v>153</v>
      </c>
      <c r="N113" s="29" t="s">
        <v>154</v>
      </c>
      <c r="O113" s="29" t="s">
        <v>155</v>
      </c>
      <c r="P113" s="29" t="s">
        <v>156</v>
      </c>
      <c r="Q113" s="26" t="s">
        <v>2701</v>
      </c>
      <c r="S113" s="23" t="s">
        <v>148</v>
      </c>
      <c r="T113" s="23" t="s">
        <v>149</v>
      </c>
      <c r="U113" s="23" t="s">
        <v>157</v>
      </c>
      <c r="V113" s="23" t="s">
        <v>158</v>
      </c>
    </row>
    <row r="114" spans="4:22" x14ac:dyDescent="0.35">
      <c r="D114" s="23" t="s">
        <v>159</v>
      </c>
      <c r="E114" s="23" t="s">
        <v>160</v>
      </c>
      <c r="F114" s="23" t="s">
        <v>161</v>
      </c>
      <c r="G114" s="23">
        <v>2018</v>
      </c>
      <c r="H114" s="30" t="s">
        <v>162</v>
      </c>
      <c r="I114" s="30">
        <v>0</v>
      </c>
      <c r="J114" s="31">
        <v>0</v>
      </c>
      <c r="L114" s="32">
        <v>0</v>
      </c>
      <c r="M114" s="33">
        <v>0</v>
      </c>
      <c r="N114" s="33">
        <v>0</v>
      </c>
      <c r="O114" s="33">
        <v>0</v>
      </c>
      <c r="P114" s="33">
        <v>0</v>
      </c>
      <c r="Q114" s="74">
        <v>0</v>
      </c>
      <c r="S114" s="23">
        <v>2019</v>
      </c>
      <c r="T114" s="23" t="s">
        <v>163</v>
      </c>
      <c r="U114" s="30">
        <f>_xlfn.MAXIFS(HIX_ApplicablePercentages[Threshold],HIX_ApplicablePercentages[Year],HIX_PTC_MAGI_Max[[#This Row],[Year]],HIX_ApplicablePercentages[Premium Percentage Group],"Final")</f>
        <v>4</v>
      </c>
      <c r="V114" s="34" cm="1">
        <f t="array" ref="V114">INDEX(PTC_ApplicablePercentage[],MATCH(HIX_PTC_MAGI_Max[[#This Row],[MAGI Max]],PTC_ApplicablePercentage[MAGI FPIG Range],0),MATCH(HIX_PTC_MAGI_Max[[#This Row],[Year]],VALUE(PTC_ApplicablePercentage[#Headers])))</f>
        <v>9.8599999999999993E-2</v>
      </c>
    </row>
    <row r="115" spans="4:22" x14ac:dyDescent="0.35">
      <c r="D115" s="23" t="s">
        <v>159</v>
      </c>
      <c r="E115" s="23" t="s">
        <v>164</v>
      </c>
      <c r="F115" s="23" t="s">
        <v>165</v>
      </c>
      <c r="G115" s="23">
        <v>2018</v>
      </c>
      <c r="H115" s="30" t="s">
        <v>162</v>
      </c>
      <c r="I115" s="30">
        <v>1</v>
      </c>
      <c r="J115" s="31">
        <v>2.01E-2</v>
      </c>
      <c r="L115" s="32">
        <v>0.01</v>
      </c>
      <c r="M115" s="33">
        <v>0</v>
      </c>
      <c r="N115" s="33">
        <v>0</v>
      </c>
      <c r="O115" s="33">
        <v>0</v>
      </c>
      <c r="P115" s="33">
        <v>0</v>
      </c>
      <c r="Q115" s="74">
        <v>1E-4</v>
      </c>
      <c r="S115" s="23">
        <v>2020</v>
      </c>
      <c r="T115" s="23" t="s">
        <v>163</v>
      </c>
      <c r="U115" s="30">
        <f t="array" ref="U115">_xlfn.MAXIFS(HIX_ApplicablePercentages[Threshold],HIX_ApplicablePercentages[Year],HIX_PTC_MAGI_Max[[#This Row],[Year]],HIX_ApplicablePercentages[Premium Percentage Group],"Final")</f>
        <v>4</v>
      </c>
      <c r="V115" s="34" cm="1">
        <f t="array" ref="V115">INDEX(PTC_ApplicablePercentage[],MATCH(HIX_PTC_MAGI_Max[[#This Row],[MAGI Max]],PTC_ApplicablePercentage[MAGI FPIG Range],0),MATCH(HIX_PTC_MAGI_Max[[#This Row],[Year]],VALUE(PTC_ApplicablePercentage[#Headers])))</f>
        <v>9.7799999999999998E-2</v>
      </c>
    </row>
    <row r="116" spans="4:22" x14ac:dyDescent="0.35">
      <c r="D116" s="23" t="s">
        <v>159</v>
      </c>
      <c r="E116" s="23" t="s">
        <v>27</v>
      </c>
      <c r="F116" s="23" t="s">
        <v>166</v>
      </c>
      <c r="G116" s="23">
        <v>2018</v>
      </c>
      <c r="H116" s="30" t="s">
        <v>162</v>
      </c>
      <c r="I116" s="30">
        <v>1.33</v>
      </c>
      <c r="J116" s="31">
        <v>3.0200000000000001E-2</v>
      </c>
      <c r="L116" s="32">
        <v>0.02</v>
      </c>
      <c r="M116" s="33">
        <v>0</v>
      </c>
      <c r="N116" s="33">
        <v>0</v>
      </c>
      <c r="O116" s="33">
        <v>0</v>
      </c>
      <c r="P116" s="33">
        <v>0</v>
      </c>
      <c r="Q116" s="74">
        <v>2.9999999999999997E-4</v>
      </c>
      <c r="S116" s="23">
        <v>2021</v>
      </c>
      <c r="T116" s="23" t="s">
        <v>167</v>
      </c>
      <c r="U116" s="30">
        <f t="array" ref="U116">_xlfn.MAXIFS(HIX_ApplicablePercentages[Threshold],HIX_ApplicablePercentages[Year],HIX_PTC_MAGI_Max[[#This Row],[Year]],HIX_ApplicablePercentages[Premium Percentage Group],"Final")</f>
        <v>4</v>
      </c>
      <c r="V116" s="34" cm="1">
        <f t="array" ref="V116">INDEX(PTC_ApplicablePercentage[],MATCH(HIX_PTC_MAGI_Max[[#This Row],[MAGI Max]],PTC_ApplicablePercentage[MAGI FPIG Range],0),MATCH(HIX_PTC_MAGI_Max[[#This Row],[Year]],VALUE(PTC_ApplicablePercentage[#Headers])))</f>
        <v>8.5000000000000006E-2</v>
      </c>
    </row>
    <row r="117" spans="4:22" x14ac:dyDescent="0.35">
      <c r="D117" s="23" t="s">
        <v>159</v>
      </c>
      <c r="E117" s="23" t="s">
        <v>28</v>
      </c>
      <c r="F117" s="23" t="s">
        <v>168</v>
      </c>
      <c r="G117" s="23">
        <v>2018</v>
      </c>
      <c r="H117" s="30" t="s">
        <v>162</v>
      </c>
      <c r="I117" s="30">
        <v>1.5</v>
      </c>
      <c r="J117" s="31">
        <v>4.0300000000000002E-2</v>
      </c>
      <c r="L117" s="32">
        <v>0.03</v>
      </c>
      <c r="M117" s="33">
        <v>0</v>
      </c>
      <c r="N117" s="33">
        <v>0</v>
      </c>
      <c r="O117" s="33">
        <v>0</v>
      </c>
      <c r="P117" s="33">
        <v>0</v>
      </c>
      <c r="Q117" s="74">
        <v>4.0000000000000002E-4</v>
      </c>
      <c r="S117" s="23">
        <v>2022</v>
      </c>
      <c r="T117" s="23" t="s">
        <v>167</v>
      </c>
      <c r="U117" s="30">
        <f t="array" ref="U117">_xlfn.MAXIFS(HIX_ApplicablePercentages[Threshold],HIX_ApplicablePercentages[Year],HIX_PTC_MAGI_Max[[#This Row],[Year]],HIX_ApplicablePercentages[Premium Percentage Group],"Final")</f>
        <v>4</v>
      </c>
      <c r="V117" s="34" cm="1">
        <f t="array" ref="V117">INDEX(PTC_ApplicablePercentage[],MATCH(HIX_PTC_MAGI_Max[[#This Row],[MAGI Max]],PTC_ApplicablePercentage[MAGI FPIG Range],0),MATCH(HIX_PTC_MAGI_Max[[#This Row],[Year]],VALUE(PTC_ApplicablePercentage[#Headers])))</f>
        <v>8.5000000000000006E-2</v>
      </c>
    </row>
    <row r="118" spans="4:22" x14ac:dyDescent="0.35">
      <c r="D118" s="23" t="s">
        <v>159</v>
      </c>
      <c r="E118" s="23" t="s">
        <v>29</v>
      </c>
      <c r="F118" s="23" t="s">
        <v>169</v>
      </c>
      <c r="G118" s="23">
        <v>2018</v>
      </c>
      <c r="H118" s="30" t="s">
        <v>162</v>
      </c>
      <c r="I118" s="30">
        <v>2</v>
      </c>
      <c r="J118" s="31">
        <v>6.3399999999999998E-2</v>
      </c>
      <c r="L118" s="32">
        <v>0.04</v>
      </c>
      <c r="M118" s="33">
        <v>0</v>
      </c>
      <c r="N118" s="33">
        <v>0</v>
      </c>
      <c r="O118" s="33">
        <v>0</v>
      </c>
      <c r="P118" s="33">
        <v>0</v>
      </c>
      <c r="Q118" s="74">
        <v>5.9999999999999995E-4</v>
      </c>
      <c r="S118" s="23">
        <v>2023</v>
      </c>
      <c r="T118" s="23" t="str">
        <f t="array" ref="T118">INDEX(HIX_ApplicablePercentages[Comment],MATCH(_xlfn.MAXIFS(HIX_ApplicablePercentages[Threshold],HIX_ApplicablePercentages[Year],HIX_PTC_MAGI_Max[[#This Row],[Year]],HIX_ApplicablePercentages[Premium Percentage Group],"Final"),HIX_ApplicablePercentages[Threshold],0))</f>
        <v>Equal to or Less Than</v>
      </c>
      <c r="U118" s="30">
        <f t="array" ref="U118">_xlfn.MAXIFS(HIX_ApplicablePercentages[Threshold],HIX_ApplicablePercentages[Year],HIX_PTC_MAGI_Max[[#This Row],[Year]],HIX_ApplicablePercentages[Premium Percentage Group],"Final")</f>
        <v>4</v>
      </c>
      <c r="V118" s="34">
        <f t="array" ref="V118">INDEX(PTC_ApplicablePercentage[],MATCH(HIX_PTC_MAGI_Max[[#This Row],[MAGI Max]],PTC_ApplicablePercentage[MAGI FPIG Range],0),MATCH(HIX_PTC_MAGI_Max[[#This Row],[Year]],VALUE(PTC_ApplicablePercentage[#Headers])))</f>
        <v>9.1200000000000003E-2</v>
      </c>
    </row>
    <row r="119" spans="4:22" x14ac:dyDescent="0.35">
      <c r="D119" s="23" t="s">
        <v>159</v>
      </c>
      <c r="E119" s="23" t="s">
        <v>30</v>
      </c>
      <c r="F119" s="23" t="s">
        <v>170</v>
      </c>
      <c r="G119" s="23">
        <v>2018</v>
      </c>
      <c r="H119" s="30" t="s">
        <v>162</v>
      </c>
      <c r="I119" s="30">
        <v>2.5</v>
      </c>
      <c r="J119" s="31">
        <v>8.1000000000000003E-2</v>
      </c>
      <c r="L119" s="32">
        <v>0.05</v>
      </c>
      <c r="M119" s="33">
        <v>0</v>
      </c>
      <c r="N119" s="33">
        <v>0</v>
      </c>
      <c r="O119" s="33">
        <v>0</v>
      </c>
      <c r="P119" s="33">
        <v>0</v>
      </c>
      <c r="Q119" s="74">
        <v>6.9999999999999999E-4</v>
      </c>
    </row>
    <row r="120" spans="4:22" x14ac:dyDescent="0.35">
      <c r="D120" s="23" t="s">
        <v>159</v>
      </c>
      <c r="E120" s="23" t="s">
        <v>31</v>
      </c>
      <c r="F120" s="23" t="s">
        <v>171</v>
      </c>
      <c r="G120" s="23">
        <v>2018</v>
      </c>
      <c r="H120" s="30" t="s">
        <v>162</v>
      </c>
      <c r="I120" s="30">
        <v>3</v>
      </c>
      <c r="J120" s="31">
        <v>9.5600000000000004E-2</v>
      </c>
      <c r="L120" s="32">
        <v>0.06</v>
      </c>
      <c r="M120" s="33">
        <v>0</v>
      </c>
      <c r="N120" s="33">
        <v>0</v>
      </c>
      <c r="O120" s="33">
        <v>0</v>
      </c>
      <c r="P120" s="33">
        <v>0</v>
      </c>
      <c r="Q120" s="74">
        <v>8.9999999999999998E-4</v>
      </c>
    </row>
    <row r="121" spans="4:22" x14ac:dyDescent="0.35">
      <c r="D121" s="23" t="s">
        <v>172</v>
      </c>
      <c r="E121" s="23" t="s">
        <v>160</v>
      </c>
      <c r="F121" s="23" t="s">
        <v>161</v>
      </c>
      <c r="G121" s="23">
        <v>2018</v>
      </c>
      <c r="H121" s="30" t="s">
        <v>173</v>
      </c>
      <c r="I121" s="30">
        <v>1</v>
      </c>
      <c r="J121" s="31">
        <v>0</v>
      </c>
      <c r="L121" s="32">
        <v>7.0000000000000007E-2</v>
      </c>
      <c r="M121" s="33">
        <v>0</v>
      </c>
      <c r="N121" s="33">
        <v>0</v>
      </c>
      <c r="O121" s="33">
        <v>0</v>
      </c>
      <c r="P121" s="33">
        <v>0</v>
      </c>
      <c r="Q121" s="74">
        <v>1E-3</v>
      </c>
    </row>
    <row r="122" spans="4:22" x14ac:dyDescent="0.35">
      <c r="D122" s="23" t="s">
        <v>172</v>
      </c>
      <c r="E122" s="23" t="s">
        <v>164</v>
      </c>
      <c r="F122" s="23" t="s">
        <v>165</v>
      </c>
      <c r="G122" s="23">
        <v>2018</v>
      </c>
      <c r="H122" s="30" t="s">
        <v>173</v>
      </c>
      <c r="I122" s="30">
        <v>1.33</v>
      </c>
      <c r="J122" s="31">
        <v>2.01E-2</v>
      </c>
      <c r="L122" s="32">
        <v>0.08</v>
      </c>
      <c r="M122" s="33">
        <v>0</v>
      </c>
      <c r="N122" s="33">
        <v>0</v>
      </c>
      <c r="O122" s="33">
        <v>0</v>
      </c>
      <c r="P122" s="33">
        <v>0</v>
      </c>
      <c r="Q122" s="74">
        <v>1.1999999999999999E-3</v>
      </c>
    </row>
    <row r="123" spans="4:22" x14ac:dyDescent="0.35">
      <c r="D123" s="23" t="s">
        <v>172</v>
      </c>
      <c r="E123" s="23" t="s">
        <v>27</v>
      </c>
      <c r="F123" s="23" t="s">
        <v>166</v>
      </c>
      <c r="G123" s="23">
        <v>2018</v>
      </c>
      <c r="H123" s="30" t="s">
        <v>173</v>
      </c>
      <c r="I123" s="30">
        <v>1.5</v>
      </c>
      <c r="J123" s="31">
        <v>4.0300000000000002E-2</v>
      </c>
      <c r="L123" s="32">
        <v>0.09</v>
      </c>
      <c r="M123" s="33">
        <v>0</v>
      </c>
      <c r="N123" s="33">
        <v>0</v>
      </c>
      <c r="O123" s="33">
        <v>0</v>
      </c>
      <c r="P123" s="33">
        <v>0</v>
      </c>
      <c r="Q123" s="74">
        <v>1.2999999999999999E-3</v>
      </c>
    </row>
    <row r="124" spans="4:22" x14ac:dyDescent="0.35">
      <c r="D124" s="23" t="s">
        <v>172</v>
      </c>
      <c r="E124" s="23" t="s">
        <v>28</v>
      </c>
      <c r="F124" s="23" t="s">
        <v>168</v>
      </c>
      <c r="G124" s="23">
        <v>2018</v>
      </c>
      <c r="H124" s="30" t="s">
        <v>173</v>
      </c>
      <c r="I124" s="30">
        <v>0.09</v>
      </c>
      <c r="J124" s="31">
        <v>6.3399999999999998E-2</v>
      </c>
      <c r="L124" s="32">
        <v>0.1</v>
      </c>
      <c r="M124" s="33">
        <v>0</v>
      </c>
      <c r="N124" s="33">
        <v>0</v>
      </c>
      <c r="O124" s="33">
        <v>0</v>
      </c>
      <c r="P124" s="33">
        <v>0</v>
      </c>
      <c r="Q124" s="74">
        <v>1.4E-3</v>
      </c>
    </row>
    <row r="125" spans="4:22" x14ac:dyDescent="0.35">
      <c r="D125" s="23" t="s">
        <v>172</v>
      </c>
      <c r="E125" s="23" t="s">
        <v>29</v>
      </c>
      <c r="F125" s="23" t="s">
        <v>169</v>
      </c>
      <c r="G125" s="23">
        <v>2018</v>
      </c>
      <c r="H125" s="30" t="s">
        <v>173</v>
      </c>
      <c r="I125" s="30">
        <v>2.5</v>
      </c>
      <c r="J125" s="31">
        <v>8.1000000000000003E-2</v>
      </c>
      <c r="L125" s="32">
        <v>0.11</v>
      </c>
      <c r="M125" s="33">
        <v>0</v>
      </c>
      <c r="N125" s="33">
        <v>0</v>
      </c>
      <c r="O125" s="33">
        <v>0</v>
      </c>
      <c r="P125" s="33">
        <v>0</v>
      </c>
      <c r="Q125" s="74">
        <v>1.6000000000000001E-3</v>
      </c>
    </row>
    <row r="126" spans="4:22" x14ac:dyDescent="0.35">
      <c r="D126" s="23" t="s">
        <v>172</v>
      </c>
      <c r="E126" s="30" t="s">
        <v>30</v>
      </c>
      <c r="F126" s="30" t="s">
        <v>170</v>
      </c>
      <c r="G126" s="23">
        <v>2018</v>
      </c>
      <c r="H126" s="30" t="s">
        <v>173</v>
      </c>
      <c r="I126" s="30">
        <v>3</v>
      </c>
      <c r="J126" s="31">
        <v>9.5600000000000004E-2</v>
      </c>
      <c r="L126" s="32">
        <v>0.12</v>
      </c>
      <c r="M126" s="33">
        <v>0</v>
      </c>
      <c r="N126" s="33">
        <v>0</v>
      </c>
      <c r="O126" s="33">
        <v>0</v>
      </c>
      <c r="P126" s="33">
        <v>0</v>
      </c>
      <c r="Q126" s="74">
        <v>1.6999999999999999E-3</v>
      </c>
    </row>
    <row r="127" spans="4:22" x14ac:dyDescent="0.35">
      <c r="D127" s="23" t="s">
        <v>172</v>
      </c>
      <c r="E127" s="30" t="s">
        <v>31</v>
      </c>
      <c r="F127" s="30" t="s">
        <v>171</v>
      </c>
      <c r="G127" s="23">
        <v>2018</v>
      </c>
      <c r="H127" s="30" t="s">
        <v>163</v>
      </c>
      <c r="I127" s="30">
        <v>4</v>
      </c>
      <c r="J127" s="31">
        <v>9.5600000000000004E-2</v>
      </c>
      <c r="L127" s="32">
        <v>0.13</v>
      </c>
      <c r="M127" s="33">
        <v>0</v>
      </c>
      <c r="N127" s="33">
        <v>0</v>
      </c>
      <c r="O127" s="33">
        <v>0</v>
      </c>
      <c r="P127" s="33">
        <v>0</v>
      </c>
      <c r="Q127" s="74">
        <v>1.9E-3</v>
      </c>
    </row>
    <row r="128" spans="4:22" x14ac:dyDescent="0.35">
      <c r="D128" s="23" t="s">
        <v>159</v>
      </c>
      <c r="E128" s="30" t="s">
        <v>160</v>
      </c>
      <c r="F128" s="30" t="s">
        <v>161</v>
      </c>
      <c r="G128" s="23">
        <v>2019</v>
      </c>
      <c r="H128" s="30" t="s">
        <v>162</v>
      </c>
      <c r="I128" s="30">
        <v>0</v>
      </c>
      <c r="J128" s="31">
        <v>0</v>
      </c>
      <c r="L128" s="32">
        <v>0.14000000000000001</v>
      </c>
      <c r="M128" s="33">
        <v>0</v>
      </c>
      <c r="N128" s="33">
        <v>0</v>
      </c>
      <c r="O128" s="33">
        <v>0</v>
      </c>
      <c r="P128" s="33">
        <v>0</v>
      </c>
      <c r="Q128" s="74">
        <v>2E-3</v>
      </c>
    </row>
    <row r="129" spans="4:17" x14ac:dyDescent="0.35">
      <c r="D129" s="23" t="s">
        <v>159</v>
      </c>
      <c r="E129" s="30" t="s">
        <v>164</v>
      </c>
      <c r="F129" s="30" t="s">
        <v>165</v>
      </c>
      <c r="G129" s="23">
        <v>2019</v>
      </c>
      <c r="H129" s="30" t="s">
        <v>162</v>
      </c>
      <c r="I129" s="30">
        <v>1</v>
      </c>
      <c r="J129" s="31">
        <v>2.0799999999999999E-2</v>
      </c>
      <c r="L129" s="32">
        <v>0.15</v>
      </c>
      <c r="M129" s="33">
        <v>0</v>
      </c>
      <c r="N129" s="33">
        <v>0</v>
      </c>
      <c r="O129" s="33">
        <v>0</v>
      </c>
      <c r="P129" s="33">
        <v>0</v>
      </c>
      <c r="Q129" s="74">
        <v>2.2000000000000001E-3</v>
      </c>
    </row>
    <row r="130" spans="4:17" x14ac:dyDescent="0.35">
      <c r="D130" s="23" t="s">
        <v>159</v>
      </c>
      <c r="E130" s="30" t="s">
        <v>27</v>
      </c>
      <c r="F130" s="30" t="s">
        <v>166</v>
      </c>
      <c r="G130" s="23">
        <v>2019</v>
      </c>
      <c r="H130" s="30" t="s">
        <v>162</v>
      </c>
      <c r="I130" s="30">
        <v>1.33</v>
      </c>
      <c r="J130" s="31">
        <v>3.1099999999999999E-2</v>
      </c>
      <c r="L130" s="32">
        <v>0.16</v>
      </c>
      <c r="M130" s="33">
        <v>0</v>
      </c>
      <c r="N130" s="33">
        <v>0</v>
      </c>
      <c r="O130" s="33">
        <v>0</v>
      </c>
      <c r="P130" s="33">
        <v>0</v>
      </c>
      <c r="Q130" s="74">
        <v>2.3E-3</v>
      </c>
    </row>
    <row r="131" spans="4:17" x14ac:dyDescent="0.35">
      <c r="D131" s="23" t="s">
        <v>159</v>
      </c>
      <c r="E131" s="30" t="s">
        <v>28</v>
      </c>
      <c r="F131" s="30" t="s">
        <v>168</v>
      </c>
      <c r="G131" s="23">
        <v>2019</v>
      </c>
      <c r="H131" s="30" t="s">
        <v>162</v>
      </c>
      <c r="I131" s="30">
        <v>1.5</v>
      </c>
      <c r="J131" s="31">
        <v>4.1500000000000002E-2</v>
      </c>
      <c r="L131" s="32">
        <v>0.17</v>
      </c>
      <c r="M131" s="33">
        <v>0</v>
      </c>
      <c r="N131" s="33">
        <v>0</v>
      </c>
      <c r="O131" s="33">
        <v>0</v>
      </c>
      <c r="P131" s="33">
        <v>0</v>
      </c>
      <c r="Q131" s="74">
        <v>2.5000000000000001E-3</v>
      </c>
    </row>
    <row r="132" spans="4:17" x14ac:dyDescent="0.35">
      <c r="D132" s="23" t="s">
        <v>159</v>
      </c>
      <c r="E132" s="30" t="s">
        <v>29</v>
      </c>
      <c r="F132" s="30" t="s">
        <v>169</v>
      </c>
      <c r="G132" s="23">
        <v>2019</v>
      </c>
      <c r="H132" s="30" t="s">
        <v>162</v>
      </c>
      <c r="I132" s="30">
        <v>2</v>
      </c>
      <c r="J132" s="31">
        <v>6.54E-2</v>
      </c>
      <c r="L132" s="32">
        <v>0.18</v>
      </c>
      <c r="M132" s="33">
        <v>0</v>
      </c>
      <c r="N132" s="33">
        <v>0</v>
      </c>
      <c r="O132" s="33">
        <v>0</v>
      </c>
      <c r="P132" s="33">
        <v>0</v>
      </c>
      <c r="Q132" s="74">
        <v>2.5999999999999999E-3</v>
      </c>
    </row>
    <row r="133" spans="4:17" x14ac:dyDescent="0.35">
      <c r="D133" s="23" t="s">
        <v>159</v>
      </c>
      <c r="E133" s="30" t="s">
        <v>30</v>
      </c>
      <c r="F133" s="30" t="s">
        <v>170</v>
      </c>
      <c r="G133" s="23">
        <v>2019</v>
      </c>
      <c r="H133" s="30" t="s">
        <v>162</v>
      </c>
      <c r="I133" s="30">
        <v>2.5</v>
      </c>
      <c r="J133" s="31">
        <v>8.3599999999999994E-2</v>
      </c>
      <c r="L133" s="32">
        <v>0.19</v>
      </c>
      <c r="M133" s="33">
        <v>0</v>
      </c>
      <c r="N133" s="33">
        <v>0</v>
      </c>
      <c r="O133" s="33">
        <v>0</v>
      </c>
      <c r="P133" s="33">
        <v>0</v>
      </c>
      <c r="Q133" s="74">
        <v>2.7000000000000001E-3</v>
      </c>
    </row>
    <row r="134" spans="4:17" x14ac:dyDescent="0.35">
      <c r="D134" s="23" t="s">
        <v>159</v>
      </c>
      <c r="E134" s="30" t="s">
        <v>31</v>
      </c>
      <c r="F134" s="30" t="s">
        <v>171</v>
      </c>
      <c r="G134" s="23">
        <v>2019</v>
      </c>
      <c r="H134" s="30" t="s">
        <v>162</v>
      </c>
      <c r="I134" s="30">
        <v>3</v>
      </c>
      <c r="J134" s="31">
        <v>9.8599999999999993E-2</v>
      </c>
      <c r="L134" s="32">
        <v>0.2</v>
      </c>
      <c r="M134" s="33">
        <v>0</v>
      </c>
      <c r="N134" s="33">
        <v>0</v>
      </c>
      <c r="O134" s="33">
        <v>0</v>
      </c>
      <c r="P134" s="33">
        <v>0</v>
      </c>
      <c r="Q134" s="74">
        <v>2.8999999999999998E-3</v>
      </c>
    </row>
    <row r="135" spans="4:17" x14ac:dyDescent="0.35">
      <c r="D135" s="23" t="s">
        <v>172</v>
      </c>
      <c r="E135" s="30" t="s">
        <v>160</v>
      </c>
      <c r="F135" s="30" t="s">
        <v>161</v>
      </c>
      <c r="G135" s="23">
        <v>2019</v>
      </c>
      <c r="H135" s="30" t="s">
        <v>173</v>
      </c>
      <c r="I135" s="30">
        <v>1</v>
      </c>
      <c r="J135" s="31">
        <v>0</v>
      </c>
      <c r="L135" s="32">
        <v>0.21</v>
      </c>
      <c r="M135" s="33">
        <v>0</v>
      </c>
      <c r="N135" s="33">
        <v>0</v>
      </c>
      <c r="O135" s="33">
        <v>0</v>
      </c>
      <c r="P135" s="33">
        <v>0</v>
      </c>
      <c r="Q135" s="74">
        <v>3.0000000000000001E-3</v>
      </c>
    </row>
    <row r="136" spans="4:17" x14ac:dyDescent="0.35">
      <c r="D136" s="23" t="s">
        <v>172</v>
      </c>
      <c r="E136" s="30" t="s">
        <v>164</v>
      </c>
      <c r="F136" s="30" t="s">
        <v>165</v>
      </c>
      <c r="G136" s="23">
        <v>2019</v>
      </c>
      <c r="H136" s="30" t="s">
        <v>173</v>
      </c>
      <c r="I136" s="30">
        <v>1.33</v>
      </c>
      <c r="J136" s="31">
        <v>2.0799999999999999E-2</v>
      </c>
      <c r="L136" s="32">
        <v>0.22</v>
      </c>
      <c r="M136" s="33">
        <v>0</v>
      </c>
      <c r="N136" s="33">
        <v>0</v>
      </c>
      <c r="O136" s="33">
        <v>0</v>
      </c>
      <c r="P136" s="33">
        <v>0</v>
      </c>
      <c r="Q136" s="74">
        <v>3.2000000000000002E-3</v>
      </c>
    </row>
    <row r="137" spans="4:17" x14ac:dyDescent="0.35">
      <c r="D137" s="23" t="s">
        <v>172</v>
      </c>
      <c r="E137" s="30" t="s">
        <v>27</v>
      </c>
      <c r="F137" s="30" t="s">
        <v>166</v>
      </c>
      <c r="G137" s="23">
        <v>2019</v>
      </c>
      <c r="H137" s="30" t="s">
        <v>173</v>
      </c>
      <c r="I137" s="30">
        <v>1.5</v>
      </c>
      <c r="J137" s="31">
        <v>4.1500000000000002E-2</v>
      </c>
      <c r="L137" s="32">
        <v>0.23</v>
      </c>
      <c r="M137" s="33">
        <v>0</v>
      </c>
      <c r="N137" s="33">
        <v>0</v>
      </c>
      <c r="O137" s="33">
        <v>0</v>
      </c>
      <c r="P137" s="33">
        <v>0</v>
      </c>
      <c r="Q137" s="74">
        <v>3.3E-3</v>
      </c>
    </row>
    <row r="138" spans="4:17" x14ac:dyDescent="0.35">
      <c r="D138" s="23" t="s">
        <v>172</v>
      </c>
      <c r="E138" s="30" t="s">
        <v>28</v>
      </c>
      <c r="F138" s="30" t="s">
        <v>168</v>
      </c>
      <c r="G138" s="23">
        <v>2019</v>
      </c>
      <c r="H138" s="30" t="s">
        <v>173</v>
      </c>
      <c r="I138" s="30">
        <v>2</v>
      </c>
      <c r="J138" s="31">
        <v>6.54E-2</v>
      </c>
      <c r="L138" s="32">
        <v>0.24</v>
      </c>
      <c r="M138" s="33">
        <v>0</v>
      </c>
      <c r="N138" s="33">
        <v>0</v>
      </c>
      <c r="O138" s="33">
        <v>0</v>
      </c>
      <c r="P138" s="33">
        <v>0</v>
      </c>
      <c r="Q138" s="74">
        <v>3.5000000000000001E-3</v>
      </c>
    </row>
    <row r="139" spans="4:17" x14ac:dyDescent="0.35">
      <c r="D139" s="23" t="s">
        <v>172</v>
      </c>
      <c r="E139" s="30" t="s">
        <v>29</v>
      </c>
      <c r="F139" s="30" t="s">
        <v>169</v>
      </c>
      <c r="G139" s="23">
        <v>2019</v>
      </c>
      <c r="H139" s="30" t="s">
        <v>173</v>
      </c>
      <c r="I139" s="30">
        <v>2.5</v>
      </c>
      <c r="J139" s="31">
        <v>8.3599999999999994E-2</v>
      </c>
      <c r="L139" s="32">
        <v>0.25</v>
      </c>
      <c r="M139" s="33">
        <v>0</v>
      </c>
      <c r="N139" s="33">
        <v>0</v>
      </c>
      <c r="O139" s="33">
        <v>0</v>
      </c>
      <c r="P139" s="33">
        <v>0</v>
      </c>
      <c r="Q139" s="74">
        <v>3.5999999999999999E-3</v>
      </c>
    </row>
    <row r="140" spans="4:17" x14ac:dyDescent="0.35">
      <c r="D140" s="23" t="s">
        <v>172</v>
      </c>
      <c r="E140" s="30" t="s">
        <v>30</v>
      </c>
      <c r="F140" s="30" t="s">
        <v>170</v>
      </c>
      <c r="G140" s="23">
        <v>2019</v>
      </c>
      <c r="H140" s="30" t="s">
        <v>173</v>
      </c>
      <c r="I140" s="30">
        <v>3</v>
      </c>
      <c r="J140" s="31">
        <v>9.8599999999999993E-2</v>
      </c>
      <c r="L140" s="32">
        <v>0.26</v>
      </c>
      <c r="M140" s="33">
        <v>0</v>
      </c>
      <c r="N140" s="33">
        <v>0</v>
      </c>
      <c r="O140" s="33">
        <v>0</v>
      </c>
      <c r="P140" s="33">
        <v>0</v>
      </c>
      <c r="Q140" s="74">
        <v>3.8E-3</v>
      </c>
    </row>
    <row r="141" spans="4:17" x14ac:dyDescent="0.35">
      <c r="D141" s="23" t="s">
        <v>172</v>
      </c>
      <c r="E141" s="30" t="s">
        <v>31</v>
      </c>
      <c r="F141" s="30" t="s">
        <v>171</v>
      </c>
      <c r="G141" s="23">
        <v>2019</v>
      </c>
      <c r="H141" s="30" t="s">
        <v>163</v>
      </c>
      <c r="I141" s="30">
        <v>4</v>
      </c>
      <c r="J141" s="31">
        <v>9.8599999999999993E-2</v>
      </c>
      <c r="L141" s="32">
        <v>0.27</v>
      </c>
      <c r="M141" s="33">
        <v>0</v>
      </c>
      <c r="N141" s="33">
        <v>0</v>
      </c>
      <c r="O141" s="33">
        <v>0</v>
      </c>
      <c r="P141" s="33">
        <v>0</v>
      </c>
      <c r="Q141" s="74">
        <v>3.8999999999999998E-3</v>
      </c>
    </row>
    <row r="142" spans="4:17" x14ac:dyDescent="0.35">
      <c r="D142" s="23" t="s">
        <v>159</v>
      </c>
      <c r="E142" s="30" t="s">
        <v>160</v>
      </c>
      <c r="F142" s="30" t="s">
        <v>161</v>
      </c>
      <c r="G142" s="23">
        <v>2020</v>
      </c>
      <c r="H142" s="30" t="s">
        <v>162</v>
      </c>
      <c r="I142" s="30">
        <v>0</v>
      </c>
      <c r="J142" s="31">
        <v>0</v>
      </c>
      <c r="L142" s="32">
        <v>0.28000000000000003</v>
      </c>
      <c r="M142" s="33">
        <v>0</v>
      </c>
      <c r="N142" s="33">
        <v>0</v>
      </c>
      <c r="O142" s="33">
        <v>0</v>
      </c>
      <c r="P142" s="33">
        <v>0</v>
      </c>
      <c r="Q142" s="74">
        <v>4.0000000000000001E-3</v>
      </c>
    </row>
    <row r="143" spans="4:17" x14ac:dyDescent="0.35">
      <c r="D143" s="23" t="s">
        <v>159</v>
      </c>
      <c r="E143" s="30" t="s">
        <v>164</v>
      </c>
      <c r="F143" s="30" t="s">
        <v>165</v>
      </c>
      <c r="G143" s="23">
        <v>2020</v>
      </c>
      <c r="H143" s="30" t="s">
        <v>162</v>
      </c>
      <c r="I143" s="30">
        <v>1</v>
      </c>
      <c r="J143" s="31">
        <v>2.06E-2</v>
      </c>
      <c r="L143" s="32">
        <v>0.28999999999999998</v>
      </c>
      <c r="M143" s="33">
        <v>0</v>
      </c>
      <c r="N143" s="33">
        <v>0</v>
      </c>
      <c r="O143" s="33">
        <v>0</v>
      </c>
      <c r="P143" s="33">
        <v>0</v>
      </c>
      <c r="Q143" s="74">
        <v>4.1999999999999997E-3</v>
      </c>
    </row>
    <row r="144" spans="4:17" x14ac:dyDescent="0.35">
      <c r="D144" s="23" t="s">
        <v>159</v>
      </c>
      <c r="E144" s="30" t="s">
        <v>27</v>
      </c>
      <c r="F144" s="30" t="s">
        <v>166</v>
      </c>
      <c r="G144" s="23">
        <v>2020</v>
      </c>
      <c r="H144" s="30" t="s">
        <v>162</v>
      </c>
      <c r="I144" s="30">
        <v>1.33</v>
      </c>
      <c r="J144" s="31">
        <v>3.09E-2</v>
      </c>
      <c r="L144" s="32">
        <v>0.3</v>
      </c>
      <c r="M144" s="33">
        <v>0</v>
      </c>
      <c r="N144" s="33">
        <v>0</v>
      </c>
      <c r="O144" s="33">
        <v>0</v>
      </c>
      <c r="P144" s="33">
        <v>0</v>
      </c>
      <c r="Q144" s="74">
        <v>4.3E-3</v>
      </c>
    </row>
    <row r="145" spans="4:17" x14ac:dyDescent="0.35">
      <c r="D145" s="23" t="s">
        <v>159</v>
      </c>
      <c r="E145" s="30" t="s">
        <v>28</v>
      </c>
      <c r="F145" s="30" t="s">
        <v>168</v>
      </c>
      <c r="G145" s="23">
        <v>2020</v>
      </c>
      <c r="H145" s="30" t="s">
        <v>162</v>
      </c>
      <c r="I145" s="30">
        <v>1.5</v>
      </c>
      <c r="J145" s="31">
        <v>4.1200000000000001E-2</v>
      </c>
      <c r="L145" s="32">
        <v>0.31</v>
      </c>
      <c r="M145" s="33">
        <v>0</v>
      </c>
      <c r="N145" s="33">
        <v>0</v>
      </c>
      <c r="O145" s="33">
        <v>0</v>
      </c>
      <c r="P145" s="33">
        <v>0</v>
      </c>
      <c r="Q145" s="74">
        <v>4.4999999999999997E-3</v>
      </c>
    </row>
    <row r="146" spans="4:17" x14ac:dyDescent="0.35">
      <c r="D146" s="23" t="s">
        <v>159</v>
      </c>
      <c r="E146" s="30" t="s">
        <v>29</v>
      </c>
      <c r="F146" s="30" t="s">
        <v>169</v>
      </c>
      <c r="G146" s="23">
        <v>2020</v>
      </c>
      <c r="H146" s="30" t="s">
        <v>162</v>
      </c>
      <c r="I146" s="30">
        <v>2</v>
      </c>
      <c r="J146" s="31">
        <v>6.4899999999999999E-2</v>
      </c>
      <c r="L146" s="32">
        <v>0.32</v>
      </c>
      <c r="M146" s="33">
        <v>0</v>
      </c>
      <c r="N146" s="33">
        <v>0</v>
      </c>
      <c r="O146" s="33">
        <v>0</v>
      </c>
      <c r="P146" s="33">
        <v>0</v>
      </c>
      <c r="Q146" s="74">
        <v>4.5999999999999999E-3</v>
      </c>
    </row>
    <row r="147" spans="4:17" x14ac:dyDescent="0.35">
      <c r="D147" s="23" t="s">
        <v>159</v>
      </c>
      <c r="E147" s="30" t="s">
        <v>30</v>
      </c>
      <c r="F147" s="30" t="s">
        <v>170</v>
      </c>
      <c r="G147" s="23">
        <v>2020</v>
      </c>
      <c r="H147" s="30" t="s">
        <v>162</v>
      </c>
      <c r="I147" s="30">
        <v>2.5</v>
      </c>
      <c r="J147" s="31">
        <v>8.2900000000000001E-2</v>
      </c>
      <c r="L147" s="32">
        <v>0.33</v>
      </c>
      <c r="M147" s="33">
        <v>0</v>
      </c>
      <c r="N147" s="33">
        <v>0</v>
      </c>
      <c r="O147" s="33">
        <v>0</v>
      </c>
      <c r="P147" s="33">
        <v>0</v>
      </c>
      <c r="Q147" s="74">
        <v>4.7999999999999996E-3</v>
      </c>
    </row>
    <row r="148" spans="4:17" x14ac:dyDescent="0.35">
      <c r="D148" s="23" t="s">
        <v>159</v>
      </c>
      <c r="E148" s="30" t="s">
        <v>31</v>
      </c>
      <c r="F148" s="30" t="s">
        <v>171</v>
      </c>
      <c r="G148" s="23">
        <v>2020</v>
      </c>
      <c r="H148" s="30" t="s">
        <v>162</v>
      </c>
      <c r="I148" s="30">
        <v>3</v>
      </c>
      <c r="J148" s="31">
        <v>9.7799999999999998E-2</v>
      </c>
      <c r="L148" s="32">
        <v>0.34</v>
      </c>
      <c r="M148" s="33">
        <v>0</v>
      </c>
      <c r="N148" s="33">
        <v>0</v>
      </c>
      <c r="O148" s="33">
        <v>0</v>
      </c>
      <c r="P148" s="33">
        <v>0</v>
      </c>
      <c r="Q148" s="74">
        <v>4.8999999999999998E-3</v>
      </c>
    </row>
    <row r="149" spans="4:17" x14ac:dyDescent="0.35">
      <c r="D149" s="23" t="s">
        <v>172</v>
      </c>
      <c r="E149" s="30" t="s">
        <v>160</v>
      </c>
      <c r="F149" s="30" t="s">
        <v>161</v>
      </c>
      <c r="G149" s="23">
        <v>2020</v>
      </c>
      <c r="H149" s="30" t="s">
        <v>173</v>
      </c>
      <c r="I149" s="30">
        <v>1</v>
      </c>
      <c r="J149" s="31">
        <v>0</v>
      </c>
      <c r="L149" s="32">
        <v>0.35</v>
      </c>
      <c r="M149" s="33">
        <v>0</v>
      </c>
      <c r="N149" s="33">
        <v>0</v>
      </c>
      <c r="O149" s="33">
        <v>0</v>
      </c>
      <c r="P149" s="33">
        <v>0</v>
      </c>
      <c r="Q149" s="74">
        <v>5.1000000000000004E-3</v>
      </c>
    </row>
    <row r="150" spans="4:17" x14ac:dyDescent="0.35">
      <c r="D150" s="23" t="s">
        <v>172</v>
      </c>
      <c r="E150" s="30" t="s">
        <v>164</v>
      </c>
      <c r="F150" s="30" t="s">
        <v>165</v>
      </c>
      <c r="G150" s="23">
        <v>2020</v>
      </c>
      <c r="H150" s="30" t="s">
        <v>173</v>
      </c>
      <c r="I150" s="30">
        <v>1.33</v>
      </c>
      <c r="J150" s="31">
        <v>2.06E-2</v>
      </c>
      <c r="L150" s="32">
        <v>0.36</v>
      </c>
      <c r="M150" s="33">
        <v>0</v>
      </c>
      <c r="N150" s="33">
        <v>0</v>
      </c>
      <c r="O150" s="33">
        <v>0</v>
      </c>
      <c r="P150" s="33">
        <v>0</v>
      </c>
      <c r="Q150" s="74">
        <v>5.1999999999999998E-3</v>
      </c>
    </row>
    <row r="151" spans="4:17" x14ac:dyDescent="0.35">
      <c r="D151" s="23" t="s">
        <v>172</v>
      </c>
      <c r="E151" s="30" t="s">
        <v>27</v>
      </c>
      <c r="F151" s="30" t="s">
        <v>166</v>
      </c>
      <c r="G151" s="23">
        <v>2020</v>
      </c>
      <c r="H151" s="30" t="s">
        <v>173</v>
      </c>
      <c r="I151" s="30">
        <v>1.5</v>
      </c>
      <c r="J151" s="31">
        <v>4.1200000000000001E-2</v>
      </c>
      <c r="L151" s="32">
        <v>0.37</v>
      </c>
      <c r="M151" s="33">
        <v>0</v>
      </c>
      <c r="N151" s="33">
        <v>0</v>
      </c>
      <c r="O151" s="33">
        <v>0</v>
      </c>
      <c r="P151" s="33">
        <v>0</v>
      </c>
      <c r="Q151" s="74">
        <v>5.3E-3</v>
      </c>
    </row>
    <row r="152" spans="4:17" x14ac:dyDescent="0.35">
      <c r="D152" s="23" t="s">
        <v>172</v>
      </c>
      <c r="E152" s="30" t="s">
        <v>28</v>
      </c>
      <c r="F152" s="30" t="s">
        <v>168</v>
      </c>
      <c r="G152" s="23">
        <v>2020</v>
      </c>
      <c r="H152" s="30" t="s">
        <v>173</v>
      </c>
      <c r="I152" s="30">
        <v>2</v>
      </c>
      <c r="J152" s="31">
        <v>6.4899999999999999E-2</v>
      </c>
      <c r="L152" s="32">
        <v>0.38</v>
      </c>
      <c r="M152" s="33">
        <v>0</v>
      </c>
      <c r="N152" s="33">
        <v>0</v>
      </c>
      <c r="O152" s="33">
        <v>0</v>
      </c>
      <c r="P152" s="33">
        <v>0</v>
      </c>
      <c r="Q152" s="74">
        <v>5.4999999999999997E-3</v>
      </c>
    </row>
    <row r="153" spans="4:17" x14ac:dyDescent="0.35">
      <c r="D153" s="23" t="s">
        <v>172</v>
      </c>
      <c r="E153" s="30" t="s">
        <v>29</v>
      </c>
      <c r="F153" s="30" t="s">
        <v>169</v>
      </c>
      <c r="G153" s="23">
        <v>2020</v>
      </c>
      <c r="H153" s="30" t="s">
        <v>173</v>
      </c>
      <c r="I153" s="30">
        <v>2.5</v>
      </c>
      <c r="J153" s="31">
        <v>8.2900000000000001E-2</v>
      </c>
      <c r="L153" s="32">
        <v>0.39</v>
      </c>
      <c r="M153" s="33">
        <v>0</v>
      </c>
      <c r="N153" s="33">
        <v>0</v>
      </c>
      <c r="O153" s="33">
        <v>0</v>
      </c>
      <c r="P153" s="33">
        <v>0</v>
      </c>
      <c r="Q153" s="74">
        <v>5.5999999999999999E-3</v>
      </c>
    </row>
    <row r="154" spans="4:17" x14ac:dyDescent="0.35">
      <c r="D154" s="23" t="s">
        <v>172</v>
      </c>
      <c r="E154" s="30" t="s">
        <v>30</v>
      </c>
      <c r="F154" s="30" t="s">
        <v>170</v>
      </c>
      <c r="G154" s="23">
        <v>2020</v>
      </c>
      <c r="H154" s="30" t="s">
        <v>173</v>
      </c>
      <c r="I154" s="30">
        <v>3</v>
      </c>
      <c r="J154" s="31">
        <v>9.7799999999999998E-2</v>
      </c>
      <c r="L154" s="32">
        <v>0.4</v>
      </c>
      <c r="M154" s="33">
        <v>0</v>
      </c>
      <c r="N154" s="33">
        <v>0</v>
      </c>
      <c r="O154" s="33">
        <v>0</v>
      </c>
      <c r="P154" s="33">
        <v>0</v>
      </c>
      <c r="Q154" s="74">
        <v>5.7999999999999996E-3</v>
      </c>
    </row>
    <row r="155" spans="4:17" x14ac:dyDescent="0.35">
      <c r="D155" s="23" t="s">
        <v>172</v>
      </c>
      <c r="E155" s="30" t="s">
        <v>31</v>
      </c>
      <c r="F155" s="30" t="s">
        <v>171</v>
      </c>
      <c r="G155" s="23">
        <v>2020</v>
      </c>
      <c r="H155" s="30" t="s">
        <v>163</v>
      </c>
      <c r="I155" s="30">
        <v>4</v>
      </c>
      <c r="J155" s="31">
        <v>9.7799999999999998E-2</v>
      </c>
      <c r="L155" s="32">
        <v>0.41</v>
      </c>
      <c r="M155" s="33">
        <v>0</v>
      </c>
      <c r="N155" s="33">
        <v>0</v>
      </c>
      <c r="O155" s="33">
        <v>0</v>
      </c>
      <c r="P155" s="33">
        <v>0</v>
      </c>
      <c r="Q155" s="74">
        <v>5.8999999999999999E-3</v>
      </c>
    </row>
    <row r="156" spans="4:17" x14ac:dyDescent="0.35">
      <c r="D156" s="23" t="s">
        <v>159</v>
      </c>
      <c r="E156" s="30" t="s">
        <v>160</v>
      </c>
      <c r="F156" s="30" t="s">
        <v>161</v>
      </c>
      <c r="G156" s="23">
        <v>2021</v>
      </c>
      <c r="H156" s="30" t="s">
        <v>162</v>
      </c>
      <c r="I156" s="30">
        <v>0</v>
      </c>
      <c r="J156" s="31">
        <v>0</v>
      </c>
      <c r="L156" s="32">
        <v>0.42</v>
      </c>
      <c r="M156" s="33">
        <v>0</v>
      </c>
      <c r="N156" s="33">
        <v>0</v>
      </c>
      <c r="O156" s="33">
        <v>0</v>
      </c>
      <c r="P156" s="33">
        <v>0</v>
      </c>
      <c r="Q156" s="74">
        <v>6.1000000000000004E-3</v>
      </c>
    </row>
    <row r="157" spans="4:17" x14ac:dyDescent="0.35">
      <c r="D157" s="23" t="s">
        <v>159</v>
      </c>
      <c r="E157" s="30" t="s">
        <v>174</v>
      </c>
      <c r="F157" s="30" t="s">
        <v>165</v>
      </c>
      <c r="G157" s="23">
        <v>2021</v>
      </c>
      <c r="H157" s="30" t="s">
        <v>162</v>
      </c>
      <c r="I157" s="30">
        <v>1</v>
      </c>
      <c r="J157" s="31">
        <v>0</v>
      </c>
      <c r="L157" s="32">
        <v>0.43</v>
      </c>
      <c r="M157" s="33">
        <v>0</v>
      </c>
      <c r="N157" s="33">
        <v>0</v>
      </c>
      <c r="O157" s="33">
        <v>0</v>
      </c>
      <c r="P157" s="33">
        <v>0</v>
      </c>
      <c r="Q157" s="74">
        <v>6.1999999999999998E-3</v>
      </c>
    </row>
    <row r="158" spans="4:17" x14ac:dyDescent="0.35">
      <c r="D158" s="23" t="s">
        <v>159</v>
      </c>
      <c r="E158" s="30" t="s">
        <v>28</v>
      </c>
      <c r="F158" s="30" t="s">
        <v>166</v>
      </c>
      <c r="G158" s="23">
        <v>2021</v>
      </c>
      <c r="H158" s="30" t="s">
        <v>162</v>
      </c>
      <c r="I158" s="30">
        <v>1.5</v>
      </c>
      <c r="J158" s="31">
        <v>0.02</v>
      </c>
      <c r="L158" s="32">
        <v>0.44</v>
      </c>
      <c r="M158" s="33">
        <v>0</v>
      </c>
      <c r="N158" s="33">
        <v>0</v>
      </c>
      <c r="O158" s="33">
        <v>0</v>
      </c>
      <c r="P158" s="33">
        <v>0</v>
      </c>
      <c r="Q158" s="74">
        <v>6.4000000000000003E-3</v>
      </c>
    </row>
    <row r="159" spans="4:17" x14ac:dyDescent="0.35">
      <c r="D159" s="23" t="s">
        <v>159</v>
      </c>
      <c r="E159" s="30" t="s">
        <v>29</v>
      </c>
      <c r="F159" s="30" t="s">
        <v>168</v>
      </c>
      <c r="G159" s="23">
        <v>2021</v>
      </c>
      <c r="H159" s="30" t="s">
        <v>162</v>
      </c>
      <c r="I159" s="30">
        <v>2</v>
      </c>
      <c r="J159" s="31">
        <v>0.04</v>
      </c>
      <c r="L159" s="32">
        <v>0.45</v>
      </c>
      <c r="M159" s="33">
        <v>0</v>
      </c>
      <c r="N159" s="33">
        <v>0</v>
      </c>
      <c r="O159" s="33">
        <v>0</v>
      </c>
      <c r="P159" s="33">
        <v>0</v>
      </c>
      <c r="Q159" s="74">
        <v>6.4999999999999997E-3</v>
      </c>
    </row>
    <row r="160" spans="4:17" x14ac:dyDescent="0.35">
      <c r="D160" s="23" t="s">
        <v>159</v>
      </c>
      <c r="E160" s="30" t="s">
        <v>30</v>
      </c>
      <c r="F160" s="30" t="s">
        <v>169</v>
      </c>
      <c r="G160" s="23">
        <v>2021</v>
      </c>
      <c r="H160" s="30" t="s">
        <v>162</v>
      </c>
      <c r="I160" s="30">
        <v>2.5</v>
      </c>
      <c r="J160" s="31">
        <v>0.06</v>
      </c>
      <c r="L160" s="32">
        <v>0.46</v>
      </c>
      <c r="M160" s="33">
        <v>0</v>
      </c>
      <c r="N160" s="33">
        <v>0</v>
      </c>
      <c r="O160" s="33">
        <v>0</v>
      </c>
      <c r="P160" s="33">
        <v>0</v>
      </c>
      <c r="Q160" s="74">
        <v>6.6E-3</v>
      </c>
    </row>
    <row r="161" spans="4:17" x14ac:dyDescent="0.35">
      <c r="D161" s="23" t="s">
        <v>159</v>
      </c>
      <c r="E161" s="30" t="s">
        <v>31</v>
      </c>
      <c r="F161" s="30" t="s">
        <v>170</v>
      </c>
      <c r="G161" s="23">
        <v>2021</v>
      </c>
      <c r="H161" s="30" t="s">
        <v>162</v>
      </c>
      <c r="I161" s="30">
        <v>3</v>
      </c>
      <c r="J161" s="31">
        <v>8.5000000000000006E-2</v>
      </c>
      <c r="L161" s="32">
        <v>0.47</v>
      </c>
      <c r="M161" s="33">
        <v>0</v>
      </c>
      <c r="N161" s="33">
        <v>0</v>
      </c>
      <c r="O161" s="33">
        <v>0</v>
      </c>
      <c r="P161" s="33">
        <v>0</v>
      </c>
      <c r="Q161" s="74">
        <v>6.7999999999999996E-3</v>
      </c>
    </row>
    <row r="162" spans="4:17" x14ac:dyDescent="0.35">
      <c r="D162" s="23" t="s">
        <v>159</v>
      </c>
      <c r="E162" s="30" t="s">
        <v>167</v>
      </c>
      <c r="F162" s="30" t="s">
        <v>171</v>
      </c>
      <c r="G162" s="23">
        <v>2021</v>
      </c>
      <c r="H162" s="30" t="s">
        <v>167</v>
      </c>
      <c r="I162" s="30">
        <v>4</v>
      </c>
      <c r="J162" s="31">
        <v>8.5000000000000006E-2</v>
      </c>
      <c r="L162" s="32">
        <v>0.48</v>
      </c>
      <c r="M162" s="33">
        <v>0</v>
      </c>
      <c r="N162" s="33">
        <v>0</v>
      </c>
      <c r="O162" s="33">
        <v>0</v>
      </c>
      <c r="P162" s="33">
        <v>0</v>
      </c>
      <c r="Q162" s="74">
        <v>6.8999999999999999E-3</v>
      </c>
    </row>
    <row r="163" spans="4:17" x14ac:dyDescent="0.35">
      <c r="D163" s="23" t="s">
        <v>172</v>
      </c>
      <c r="E163" s="30" t="s">
        <v>160</v>
      </c>
      <c r="F163" s="30" t="s">
        <v>161</v>
      </c>
      <c r="G163" s="23">
        <v>2021</v>
      </c>
      <c r="H163" s="30" t="s">
        <v>173</v>
      </c>
      <c r="I163" s="30">
        <v>1</v>
      </c>
      <c r="J163" s="31">
        <v>0</v>
      </c>
      <c r="L163" s="32">
        <v>0.49</v>
      </c>
      <c r="M163" s="33">
        <v>0</v>
      </c>
      <c r="N163" s="33">
        <v>0</v>
      </c>
      <c r="O163" s="33">
        <v>0</v>
      </c>
      <c r="P163" s="33">
        <v>0</v>
      </c>
      <c r="Q163" s="74">
        <v>7.1000000000000004E-3</v>
      </c>
    </row>
    <row r="164" spans="4:17" x14ac:dyDescent="0.35">
      <c r="D164" s="23" t="s">
        <v>172</v>
      </c>
      <c r="E164" s="30" t="s">
        <v>174</v>
      </c>
      <c r="F164" s="30" t="s">
        <v>165</v>
      </c>
      <c r="G164" s="23">
        <v>2021</v>
      </c>
      <c r="H164" s="30" t="s">
        <v>173</v>
      </c>
      <c r="I164" s="30">
        <v>1.5</v>
      </c>
      <c r="J164" s="31">
        <v>0</v>
      </c>
      <c r="L164" s="32">
        <v>0.5</v>
      </c>
      <c r="M164" s="33">
        <v>0</v>
      </c>
      <c r="N164" s="33">
        <v>0</v>
      </c>
      <c r="O164" s="33">
        <v>0</v>
      </c>
      <c r="P164" s="33">
        <v>0</v>
      </c>
      <c r="Q164" s="74">
        <v>7.1999999999999998E-3</v>
      </c>
    </row>
    <row r="165" spans="4:17" x14ac:dyDescent="0.35">
      <c r="D165" s="23" t="s">
        <v>172</v>
      </c>
      <c r="E165" s="30" t="s">
        <v>28</v>
      </c>
      <c r="F165" s="30" t="s">
        <v>166</v>
      </c>
      <c r="G165" s="23">
        <v>2021</v>
      </c>
      <c r="H165" s="30" t="s">
        <v>173</v>
      </c>
      <c r="I165" s="30">
        <v>2</v>
      </c>
      <c r="J165" s="31">
        <v>0.02</v>
      </c>
      <c r="L165" s="32">
        <v>0.51</v>
      </c>
      <c r="M165" s="33">
        <v>0</v>
      </c>
      <c r="N165" s="33">
        <v>0</v>
      </c>
      <c r="O165" s="33">
        <v>0</v>
      </c>
      <c r="P165" s="33">
        <v>0</v>
      </c>
      <c r="Q165" s="74">
        <v>7.4000000000000003E-3</v>
      </c>
    </row>
    <row r="166" spans="4:17" x14ac:dyDescent="0.35">
      <c r="D166" s="23" t="s">
        <v>172</v>
      </c>
      <c r="E166" s="30" t="s">
        <v>29</v>
      </c>
      <c r="F166" s="30" t="s">
        <v>168</v>
      </c>
      <c r="G166" s="23">
        <v>2021</v>
      </c>
      <c r="H166" s="30" t="s">
        <v>173</v>
      </c>
      <c r="I166" s="30">
        <v>2.5</v>
      </c>
      <c r="J166" s="31">
        <v>0.04</v>
      </c>
      <c r="L166" s="32">
        <v>0.52</v>
      </c>
      <c r="M166" s="33">
        <v>0</v>
      </c>
      <c r="N166" s="33">
        <v>0</v>
      </c>
      <c r="O166" s="33">
        <v>0</v>
      </c>
      <c r="P166" s="33">
        <v>0</v>
      </c>
      <c r="Q166" s="74">
        <v>7.4999999999999997E-3</v>
      </c>
    </row>
    <row r="167" spans="4:17" x14ac:dyDescent="0.35">
      <c r="D167" s="23" t="s">
        <v>172</v>
      </c>
      <c r="E167" s="30" t="s">
        <v>30</v>
      </c>
      <c r="F167" s="30" t="s">
        <v>169</v>
      </c>
      <c r="G167" s="23">
        <v>2021</v>
      </c>
      <c r="H167" s="30" t="s">
        <v>173</v>
      </c>
      <c r="I167" s="30">
        <v>3</v>
      </c>
      <c r="J167" s="31">
        <v>0.06</v>
      </c>
      <c r="L167" s="32">
        <v>0.53</v>
      </c>
      <c r="M167" s="33">
        <v>0</v>
      </c>
      <c r="N167" s="33">
        <v>0</v>
      </c>
      <c r="O167" s="33">
        <v>0</v>
      </c>
      <c r="P167" s="33">
        <v>0</v>
      </c>
      <c r="Q167" s="74">
        <v>7.7000000000000002E-3</v>
      </c>
    </row>
    <row r="168" spans="4:17" x14ac:dyDescent="0.35">
      <c r="D168" s="23" t="s">
        <v>172</v>
      </c>
      <c r="E168" s="30" t="s">
        <v>31</v>
      </c>
      <c r="F168" s="30" t="s">
        <v>170</v>
      </c>
      <c r="G168" s="23">
        <v>2021</v>
      </c>
      <c r="H168" s="30" t="s">
        <v>173</v>
      </c>
      <c r="I168" s="30">
        <v>4</v>
      </c>
      <c r="J168" s="31">
        <v>8.5000000000000006E-2</v>
      </c>
      <c r="L168" s="32">
        <v>0.54</v>
      </c>
      <c r="M168" s="33">
        <v>0</v>
      </c>
      <c r="N168" s="33">
        <v>0</v>
      </c>
      <c r="O168" s="33">
        <v>0</v>
      </c>
      <c r="P168" s="33">
        <v>0</v>
      </c>
      <c r="Q168" s="74">
        <v>7.7999999999999996E-3</v>
      </c>
    </row>
    <row r="169" spans="4:17" x14ac:dyDescent="0.35">
      <c r="D169" s="23" t="s">
        <v>172</v>
      </c>
      <c r="E169" s="30" t="s">
        <v>167</v>
      </c>
      <c r="F169" s="30" t="s">
        <v>171</v>
      </c>
      <c r="G169" s="23">
        <v>2021</v>
      </c>
      <c r="H169" s="30" t="s">
        <v>167</v>
      </c>
      <c r="I169" s="30">
        <v>4</v>
      </c>
      <c r="J169" s="31">
        <v>8.5000000000000006E-2</v>
      </c>
      <c r="L169" s="32">
        <v>0.55000000000000004</v>
      </c>
      <c r="M169" s="33">
        <v>0</v>
      </c>
      <c r="N169" s="33">
        <v>0</v>
      </c>
      <c r="O169" s="33">
        <v>0</v>
      </c>
      <c r="P169" s="33">
        <v>0</v>
      </c>
      <c r="Q169" s="74">
        <v>7.9000000000000008E-3</v>
      </c>
    </row>
    <row r="170" spans="4:17" x14ac:dyDescent="0.35">
      <c r="D170" s="23" t="s">
        <v>159</v>
      </c>
      <c r="E170" s="30" t="s">
        <v>160</v>
      </c>
      <c r="F170" s="30" t="s">
        <v>161</v>
      </c>
      <c r="G170" s="23">
        <v>2022</v>
      </c>
      <c r="H170" s="30" t="s">
        <v>162</v>
      </c>
      <c r="I170" s="30">
        <v>0</v>
      </c>
      <c r="J170" s="31">
        <v>0</v>
      </c>
      <c r="L170" s="32">
        <v>0.56000000000000005</v>
      </c>
      <c r="M170" s="33">
        <v>0</v>
      </c>
      <c r="N170" s="33">
        <v>0</v>
      </c>
      <c r="O170" s="33">
        <v>0</v>
      </c>
      <c r="P170" s="33">
        <v>0</v>
      </c>
      <c r="Q170" s="74">
        <v>8.0999999999999996E-3</v>
      </c>
    </row>
    <row r="171" spans="4:17" x14ac:dyDescent="0.35">
      <c r="D171" s="23" t="s">
        <v>159</v>
      </c>
      <c r="E171" s="30" t="s">
        <v>174</v>
      </c>
      <c r="F171" s="30" t="s">
        <v>165</v>
      </c>
      <c r="G171" s="23">
        <v>2022</v>
      </c>
      <c r="H171" s="30" t="s">
        <v>162</v>
      </c>
      <c r="I171" s="30">
        <v>1</v>
      </c>
      <c r="J171" s="31">
        <v>0</v>
      </c>
      <c r="L171" s="32">
        <v>0.56999999999999995</v>
      </c>
      <c r="M171" s="33">
        <v>0</v>
      </c>
      <c r="N171" s="33">
        <v>0</v>
      </c>
      <c r="O171" s="33">
        <v>0</v>
      </c>
      <c r="P171" s="33">
        <v>0</v>
      </c>
      <c r="Q171" s="74">
        <v>8.2000000000000007E-3</v>
      </c>
    </row>
    <row r="172" spans="4:17" x14ac:dyDescent="0.35">
      <c r="D172" s="23" t="s">
        <v>159</v>
      </c>
      <c r="E172" s="30" t="s">
        <v>28</v>
      </c>
      <c r="F172" s="30" t="s">
        <v>166</v>
      </c>
      <c r="G172" s="23">
        <v>2022</v>
      </c>
      <c r="H172" s="30" t="s">
        <v>162</v>
      </c>
      <c r="I172" s="30">
        <v>1.5</v>
      </c>
      <c r="J172" s="31">
        <v>0.02</v>
      </c>
      <c r="L172" s="32">
        <v>0.57999999999999996</v>
      </c>
      <c r="M172" s="33">
        <v>0</v>
      </c>
      <c r="N172" s="33">
        <v>0</v>
      </c>
      <c r="O172" s="33">
        <v>0</v>
      </c>
      <c r="P172" s="33">
        <v>0</v>
      </c>
      <c r="Q172" s="74">
        <v>8.3999999999999995E-3</v>
      </c>
    </row>
    <row r="173" spans="4:17" x14ac:dyDescent="0.35">
      <c r="D173" s="23" t="s">
        <v>159</v>
      </c>
      <c r="E173" s="30" t="s">
        <v>29</v>
      </c>
      <c r="F173" s="30" t="s">
        <v>168</v>
      </c>
      <c r="G173" s="23">
        <v>2022</v>
      </c>
      <c r="H173" s="30" t="s">
        <v>162</v>
      </c>
      <c r="I173" s="30">
        <v>2</v>
      </c>
      <c r="J173" s="31">
        <v>0.04</v>
      </c>
      <c r="L173" s="32">
        <v>0.59</v>
      </c>
      <c r="M173" s="33">
        <v>0</v>
      </c>
      <c r="N173" s="33">
        <v>0</v>
      </c>
      <c r="O173" s="33">
        <v>0</v>
      </c>
      <c r="P173" s="33">
        <v>0</v>
      </c>
      <c r="Q173" s="74">
        <v>8.5000000000000006E-3</v>
      </c>
    </row>
    <row r="174" spans="4:17" x14ac:dyDescent="0.35">
      <c r="D174" s="23" t="s">
        <v>159</v>
      </c>
      <c r="E174" s="30" t="s">
        <v>30</v>
      </c>
      <c r="F174" s="30" t="s">
        <v>169</v>
      </c>
      <c r="G174" s="23">
        <v>2022</v>
      </c>
      <c r="H174" s="30" t="s">
        <v>162</v>
      </c>
      <c r="I174" s="30">
        <v>2.5</v>
      </c>
      <c r="J174" s="31">
        <v>0.06</v>
      </c>
      <c r="L174" s="32">
        <v>0.6</v>
      </c>
      <c r="M174" s="33">
        <v>0</v>
      </c>
      <c r="N174" s="33">
        <v>0</v>
      </c>
      <c r="O174" s="33">
        <v>0</v>
      </c>
      <c r="P174" s="33">
        <v>0</v>
      </c>
      <c r="Q174" s="74">
        <v>8.6999999999999994E-3</v>
      </c>
    </row>
    <row r="175" spans="4:17" x14ac:dyDescent="0.35">
      <c r="D175" s="23" t="s">
        <v>159</v>
      </c>
      <c r="E175" s="30" t="s">
        <v>31</v>
      </c>
      <c r="F175" s="30" t="s">
        <v>170</v>
      </c>
      <c r="G175" s="23">
        <v>2022</v>
      </c>
      <c r="H175" s="30" t="s">
        <v>162</v>
      </c>
      <c r="I175" s="30">
        <v>3</v>
      </c>
      <c r="J175" s="31">
        <v>8.5000000000000006E-2</v>
      </c>
      <c r="L175" s="32">
        <v>0.61</v>
      </c>
      <c r="M175" s="33">
        <v>0</v>
      </c>
      <c r="N175" s="33">
        <v>0</v>
      </c>
      <c r="O175" s="33">
        <v>0</v>
      </c>
      <c r="P175" s="33">
        <v>0</v>
      </c>
      <c r="Q175" s="74">
        <v>8.8000000000000005E-3</v>
      </c>
    </row>
    <row r="176" spans="4:17" x14ac:dyDescent="0.35">
      <c r="D176" s="23" t="s">
        <v>159</v>
      </c>
      <c r="E176" s="30" t="s">
        <v>167</v>
      </c>
      <c r="F176" s="30" t="s">
        <v>171</v>
      </c>
      <c r="G176" s="23">
        <v>2022</v>
      </c>
      <c r="H176" s="30" t="s">
        <v>162</v>
      </c>
      <c r="I176" s="30">
        <v>4</v>
      </c>
      <c r="J176" s="31">
        <v>8.5000000000000006E-2</v>
      </c>
      <c r="L176" s="32">
        <v>0.62</v>
      </c>
      <c r="M176" s="33">
        <v>0</v>
      </c>
      <c r="N176" s="33">
        <v>0</v>
      </c>
      <c r="O176" s="33">
        <v>0</v>
      </c>
      <c r="P176" s="33">
        <v>0</v>
      </c>
      <c r="Q176" s="74">
        <v>8.9999999999999993E-3</v>
      </c>
    </row>
    <row r="177" spans="4:17" x14ac:dyDescent="0.35">
      <c r="D177" s="23" t="s">
        <v>172</v>
      </c>
      <c r="E177" s="30" t="s">
        <v>160</v>
      </c>
      <c r="F177" s="30" t="s">
        <v>161</v>
      </c>
      <c r="G177" s="23">
        <v>2022</v>
      </c>
      <c r="H177" s="30" t="s">
        <v>173</v>
      </c>
      <c r="I177" s="30">
        <v>1</v>
      </c>
      <c r="J177" s="31">
        <v>0</v>
      </c>
      <c r="L177" s="32">
        <v>0.63</v>
      </c>
      <c r="M177" s="33">
        <v>0</v>
      </c>
      <c r="N177" s="33">
        <v>0</v>
      </c>
      <c r="O177" s="33">
        <v>0</v>
      </c>
      <c r="P177" s="33">
        <v>0</v>
      </c>
      <c r="Q177" s="74">
        <v>9.1000000000000004E-3</v>
      </c>
    </row>
    <row r="178" spans="4:17" x14ac:dyDescent="0.35">
      <c r="D178" s="23" t="s">
        <v>172</v>
      </c>
      <c r="E178" s="30" t="s">
        <v>174</v>
      </c>
      <c r="F178" s="30" t="s">
        <v>165</v>
      </c>
      <c r="G178" s="23">
        <v>2022</v>
      </c>
      <c r="H178" s="30" t="s">
        <v>173</v>
      </c>
      <c r="I178" s="30">
        <v>1.5</v>
      </c>
      <c r="J178" s="31">
        <v>0</v>
      </c>
      <c r="L178" s="32">
        <v>0.64</v>
      </c>
      <c r="M178" s="33">
        <v>0</v>
      </c>
      <c r="N178" s="33">
        <v>0</v>
      </c>
      <c r="O178" s="33">
        <v>0</v>
      </c>
      <c r="P178" s="33">
        <v>0</v>
      </c>
      <c r="Q178" s="74">
        <v>9.1999999999999998E-3</v>
      </c>
    </row>
    <row r="179" spans="4:17" x14ac:dyDescent="0.35">
      <c r="D179" s="23" t="s">
        <v>172</v>
      </c>
      <c r="E179" s="30" t="s">
        <v>28</v>
      </c>
      <c r="F179" s="30" t="s">
        <v>166</v>
      </c>
      <c r="G179" s="23">
        <v>2022</v>
      </c>
      <c r="H179" s="30" t="s">
        <v>173</v>
      </c>
      <c r="I179" s="30">
        <v>2</v>
      </c>
      <c r="J179" s="31">
        <v>0.02</v>
      </c>
      <c r="L179" s="32">
        <v>0.65</v>
      </c>
      <c r="M179" s="33">
        <v>0</v>
      </c>
      <c r="N179" s="33">
        <v>0</v>
      </c>
      <c r="O179" s="33">
        <v>0</v>
      </c>
      <c r="P179" s="33">
        <v>0</v>
      </c>
      <c r="Q179" s="74">
        <v>9.4000000000000004E-3</v>
      </c>
    </row>
    <row r="180" spans="4:17" x14ac:dyDescent="0.35">
      <c r="D180" s="23" t="s">
        <v>172</v>
      </c>
      <c r="E180" s="30" t="s">
        <v>29</v>
      </c>
      <c r="F180" s="30" t="s">
        <v>168</v>
      </c>
      <c r="G180" s="23">
        <v>2022</v>
      </c>
      <c r="H180" s="30" t="s">
        <v>173</v>
      </c>
      <c r="I180" s="30">
        <v>2.5</v>
      </c>
      <c r="J180" s="31">
        <v>0.04</v>
      </c>
      <c r="L180" s="32">
        <v>0.66</v>
      </c>
      <c r="M180" s="33">
        <v>0</v>
      </c>
      <c r="N180" s="33">
        <v>0</v>
      </c>
      <c r="O180" s="33">
        <v>0</v>
      </c>
      <c r="P180" s="33">
        <v>0</v>
      </c>
      <c r="Q180" s="74">
        <v>9.4999999999999998E-3</v>
      </c>
    </row>
    <row r="181" spans="4:17" x14ac:dyDescent="0.35">
      <c r="D181" s="23" t="s">
        <v>172</v>
      </c>
      <c r="E181" s="30" t="s">
        <v>30</v>
      </c>
      <c r="F181" s="30" t="s">
        <v>169</v>
      </c>
      <c r="G181" s="23">
        <v>2022</v>
      </c>
      <c r="H181" s="30" t="s">
        <v>173</v>
      </c>
      <c r="I181" s="30">
        <v>3</v>
      </c>
      <c r="J181" s="31">
        <v>0.06</v>
      </c>
      <c r="L181" s="32">
        <v>0.67</v>
      </c>
      <c r="M181" s="33">
        <v>0</v>
      </c>
      <c r="N181" s="33">
        <v>0</v>
      </c>
      <c r="O181" s="33">
        <v>0</v>
      </c>
      <c r="P181" s="33">
        <v>0</v>
      </c>
      <c r="Q181" s="74">
        <v>9.7000000000000003E-3</v>
      </c>
    </row>
    <row r="182" spans="4:17" x14ac:dyDescent="0.35">
      <c r="D182" s="23" t="s">
        <v>172</v>
      </c>
      <c r="E182" s="30" t="s">
        <v>31</v>
      </c>
      <c r="F182" s="30" t="s">
        <v>170</v>
      </c>
      <c r="G182" s="23">
        <v>2022</v>
      </c>
      <c r="H182" s="30" t="s">
        <v>173</v>
      </c>
      <c r="I182" s="30">
        <v>4</v>
      </c>
      <c r="J182" s="31">
        <v>8.5000000000000006E-2</v>
      </c>
      <c r="L182" s="32">
        <v>0.68</v>
      </c>
      <c r="M182" s="33">
        <v>0</v>
      </c>
      <c r="N182" s="33">
        <v>0</v>
      </c>
      <c r="O182" s="33">
        <v>0</v>
      </c>
      <c r="P182" s="33">
        <v>0</v>
      </c>
      <c r="Q182" s="74">
        <v>9.7999999999999997E-3</v>
      </c>
    </row>
    <row r="183" spans="4:17" x14ac:dyDescent="0.35">
      <c r="D183" s="23" t="s">
        <v>172</v>
      </c>
      <c r="E183" s="30" t="s">
        <v>167</v>
      </c>
      <c r="F183" s="30" t="s">
        <v>171</v>
      </c>
      <c r="G183" s="23">
        <v>2022</v>
      </c>
      <c r="H183" s="30" t="s">
        <v>167</v>
      </c>
      <c r="I183" s="30">
        <v>4</v>
      </c>
      <c r="J183" s="31">
        <v>8.5000000000000006E-2</v>
      </c>
      <c r="L183" s="32">
        <v>0.69</v>
      </c>
      <c r="M183" s="33">
        <v>0</v>
      </c>
      <c r="N183" s="33">
        <v>0</v>
      </c>
      <c r="O183" s="33">
        <v>0</v>
      </c>
      <c r="P183" s="33">
        <v>0</v>
      </c>
      <c r="Q183" s="74">
        <v>0.01</v>
      </c>
    </row>
    <row r="184" spans="4:17" x14ac:dyDescent="0.35">
      <c r="D184" s="23" t="s">
        <v>159</v>
      </c>
      <c r="E184" s="30" t="s">
        <v>2700</v>
      </c>
      <c r="F184" s="30" t="s">
        <v>161</v>
      </c>
      <c r="G184" s="23">
        <v>2023</v>
      </c>
      <c r="H184" s="30" t="s">
        <v>162</v>
      </c>
      <c r="I184" s="30">
        <v>0</v>
      </c>
      <c r="J184" s="31">
        <v>1.9199999999999998E-2</v>
      </c>
      <c r="L184" s="32">
        <v>0.7</v>
      </c>
      <c r="M184" s="33">
        <v>0</v>
      </c>
      <c r="N184" s="33">
        <v>0</v>
      </c>
      <c r="O184" s="33">
        <v>0</v>
      </c>
      <c r="P184" s="33">
        <v>0</v>
      </c>
      <c r="Q184" s="74">
        <v>1.01E-2</v>
      </c>
    </row>
    <row r="185" spans="4:17" x14ac:dyDescent="0.35">
      <c r="D185" s="23" t="s">
        <v>159</v>
      </c>
      <c r="E185" s="30" t="s">
        <v>27</v>
      </c>
      <c r="F185" s="30" t="s">
        <v>165</v>
      </c>
      <c r="G185" s="23">
        <v>2023</v>
      </c>
      <c r="H185" s="30" t="s">
        <v>162</v>
      </c>
      <c r="I185" s="30">
        <v>1.33</v>
      </c>
      <c r="J185" s="31">
        <v>2.8799999999999999E-2</v>
      </c>
      <c r="L185" s="32">
        <v>0.71</v>
      </c>
      <c r="M185" s="33">
        <v>0</v>
      </c>
      <c r="N185" s="33">
        <v>0</v>
      </c>
      <c r="O185" s="33">
        <v>0</v>
      </c>
      <c r="P185" s="33">
        <v>0</v>
      </c>
      <c r="Q185" s="74">
        <v>1.0200000000000001E-2</v>
      </c>
    </row>
    <row r="186" spans="4:17" x14ac:dyDescent="0.35">
      <c r="D186" s="23" t="s">
        <v>159</v>
      </c>
      <c r="E186" s="30" t="s">
        <v>28</v>
      </c>
      <c r="F186" s="30" t="s">
        <v>166</v>
      </c>
      <c r="G186" s="23">
        <v>2023</v>
      </c>
      <c r="H186" s="30" t="s">
        <v>162</v>
      </c>
      <c r="I186" s="30">
        <v>1.5</v>
      </c>
      <c r="J186" s="31">
        <v>3.8399999999999997E-2</v>
      </c>
      <c r="L186" s="32">
        <v>0.72</v>
      </c>
      <c r="M186" s="33">
        <v>0</v>
      </c>
      <c r="N186" s="33">
        <v>0</v>
      </c>
      <c r="O186" s="33">
        <v>0</v>
      </c>
      <c r="P186" s="33">
        <v>0</v>
      </c>
      <c r="Q186" s="74">
        <v>1.04E-2</v>
      </c>
    </row>
    <row r="187" spans="4:17" x14ac:dyDescent="0.35">
      <c r="D187" s="23" t="s">
        <v>159</v>
      </c>
      <c r="E187" s="30" t="s">
        <v>29</v>
      </c>
      <c r="F187" s="30" t="s">
        <v>168</v>
      </c>
      <c r="G187" s="23">
        <v>2023</v>
      </c>
      <c r="H187" s="30" t="s">
        <v>162</v>
      </c>
      <c r="I187" s="30">
        <v>2</v>
      </c>
      <c r="J187" s="31">
        <v>6.0499999999999998E-2</v>
      </c>
      <c r="L187" s="32">
        <v>0.73</v>
      </c>
      <c r="M187" s="33">
        <v>0</v>
      </c>
      <c r="N187" s="33">
        <v>0</v>
      </c>
      <c r="O187" s="33">
        <v>0</v>
      </c>
      <c r="P187" s="33">
        <v>0</v>
      </c>
      <c r="Q187" s="74">
        <v>1.0500000000000001E-2</v>
      </c>
    </row>
    <row r="188" spans="4:17" x14ac:dyDescent="0.35">
      <c r="D188" s="23" t="s">
        <v>159</v>
      </c>
      <c r="E188" s="30" t="s">
        <v>30</v>
      </c>
      <c r="F188" s="30" t="s">
        <v>169</v>
      </c>
      <c r="G188" s="23">
        <v>2023</v>
      </c>
      <c r="H188" s="30" t="s">
        <v>162</v>
      </c>
      <c r="I188" s="30">
        <v>2.5</v>
      </c>
      <c r="J188" s="31">
        <v>7.7299999999999994E-2</v>
      </c>
      <c r="L188" s="32">
        <v>0.74</v>
      </c>
      <c r="M188" s="33">
        <v>0</v>
      </c>
      <c r="N188" s="33">
        <v>0</v>
      </c>
      <c r="O188" s="33">
        <v>0</v>
      </c>
      <c r="P188" s="33">
        <v>0</v>
      </c>
      <c r="Q188" s="74">
        <v>1.0699999999999999E-2</v>
      </c>
    </row>
    <row r="189" spans="4:17" x14ac:dyDescent="0.35">
      <c r="D189" s="23" t="s">
        <v>159</v>
      </c>
      <c r="E189" s="30" t="s">
        <v>31</v>
      </c>
      <c r="F189" s="30" t="s">
        <v>170</v>
      </c>
      <c r="G189" s="23">
        <v>2023</v>
      </c>
      <c r="H189" s="30" t="s">
        <v>162</v>
      </c>
      <c r="I189" s="30">
        <v>3</v>
      </c>
      <c r="J189" s="31">
        <v>9.1200000000000003E-2</v>
      </c>
      <c r="L189" s="32">
        <v>0.75</v>
      </c>
      <c r="M189" s="33">
        <v>0</v>
      </c>
      <c r="N189" s="33">
        <v>0</v>
      </c>
      <c r="O189" s="33">
        <v>0</v>
      </c>
      <c r="P189" s="33">
        <v>0</v>
      </c>
      <c r="Q189" s="74">
        <v>1.0800000000000001E-2</v>
      </c>
    </row>
    <row r="190" spans="4:17" x14ac:dyDescent="0.35">
      <c r="D190" s="23" t="s">
        <v>159</v>
      </c>
      <c r="E190" s="30" t="s">
        <v>167</v>
      </c>
      <c r="F190" s="30" t="s">
        <v>171</v>
      </c>
      <c r="G190" s="23">
        <v>2023</v>
      </c>
      <c r="H190" s="30" t="s">
        <v>162</v>
      </c>
      <c r="I190" s="30">
        <v>4</v>
      </c>
      <c r="J190" s="31">
        <v>9.1200000000000003E-2</v>
      </c>
      <c r="L190" s="32">
        <v>0.76</v>
      </c>
      <c r="M190" s="33">
        <v>0</v>
      </c>
      <c r="N190" s="33">
        <v>0</v>
      </c>
      <c r="O190" s="33">
        <v>0</v>
      </c>
      <c r="P190" s="33">
        <v>0</v>
      </c>
      <c r="Q190" s="74">
        <v>1.0999999999999999E-2</v>
      </c>
    </row>
    <row r="191" spans="4:17" x14ac:dyDescent="0.35">
      <c r="D191" s="23" t="s">
        <v>172</v>
      </c>
      <c r="E191" s="30" t="s">
        <v>2700</v>
      </c>
      <c r="F191" s="30" t="s">
        <v>161</v>
      </c>
      <c r="G191" s="23">
        <v>2023</v>
      </c>
      <c r="H191" s="30" t="s">
        <v>173</v>
      </c>
      <c r="I191" s="30">
        <v>1.33</v>
      </c>
      <c r="J191" s="31">
        <v>1.9199999999999998E-2</v>
      </c>
      <c r="L191" s="32">
        <v>0.77</v>
      </c>
      <c r="M191" s="33">
        <v>0</v>
      </c>
      <c r="N191" s="33">
        <v>0</v>
      </c>
      <c r="O191" s="33">
        <v>0</v>
      </c>
      <c r="P191" s="33">
        <v>0</v>
      </c>
      <c r="Q191" s="74">
        <v>1.11E-2</v>
      </c>
    </row>
    <row r="192" spans="4:17" x14ac:dyDescent="0.35">
      <c r="D192" s="23" t="s">
        <v>172</v>
      </c>
      <c r="E192" s="30" t="s">
        <v>27</v>
      </c>
      <c r="F192" s="30" t="s">
        <v>165</v>
      </c>
      <c r="G192" s="23">
        <v>2023</v>
      </c>
      <c r="H192" s="30" t="s">
        <v>173</v>
      </c>
      <c r="I192" s="30">
        <v>1.5</v>
      </c>
      <c r="J192" s="31">
        <v>2.8799999999999999E-2</v>
      </c>
      <c r="L192" s="32">
        <v>0.78</v>
      </c>
      <c r="M192" s="33">
        <v>0</v>
      </c>
      <c r="N192" s="33">
        <v>0</v>
      </c>
      <c r="O192" s="33">
        <v>0</v>
      </c>
      <c r="P192" s="33">
        <v>0</v>
      </c>
      <c r="Q192" s="74">
        <v>1.1299999999999999E-2</v>
      </c>
    </row>
    <row r="193" spans="4:17" x14ac:dyDescent="0.35">
      <c r="D193" s="23" t="s">
        <v>172</v>
      </c>
      <c r="E193" s="30" t="s">
        <v>28</v>
      </c>
      <c r="F193" s="30" t="s">
        <v>166</v>
      </c>
      <c r="G193" s="23">
        <v>2023</v>
      </c>
      <c r="H193" s="30" t="s">
        <v>173</v>
      </c>
      <c r="I193" s="30">
        <v>2</v>
      </c>
      <c r="J193" s="31">
        <v>3.8399999999999997E-2</v>
      </c>
      <c r="L193" s="32">
        <v>0.79</v>
      </c>
      <c r="M193" s="33">
        <v>0</v>
      </c>
      <c r="N193" s="33">
        <v>0</v>
      </c>
      <c r="O193" s="33">
        <v>0</v>
      </c>
      <c r="P193" s="33">
        <v>0</v>
      </c>
      <c r="Q193" s="74">
        <v>1.14E-2</v>
      </c>
    </row>
    <row r="194" spans="4:17" x14ac:dyDescent="0.35">
      <c r="D194" s="23" t="s">
        <v>172</v>
      </c>
      <c r="E194" s="30" t="s">
        <v>29</v>
      </c>
      <c r="F194" s="30" t="s">
        <v>168</v>
      </c>
      <c r="G194" s="23">
        <v>2023</v>
      </c>
      <c r="H194" s="30" t="s">
        <v>173</v>
      </c>
      <c r="I194" s="30">
        <v>2.5</v>
      </c>
      <c r="J194" s="31">
        <v>6.0499999999999998E-2</v>
      </c>
      <c r="L194" s="32">
        <v>0.8</v>
      </c>
      <c r="M194" s="33">
        <v>0</v>
      </c>
      <c r="N194" s="33">
        <v>0</v>
      </c>
      <c r="O194" s="33">
        <v>0</v>
      </c>
      <c r="P194" s="33">
        <v>0</v>
      </c>
      <c r="Q194" s="74">
        <v>1.15E-2</v>
      </c>
    </row>
    <row r="195" spans="4:17" x14ac:dyDescent="0.35">
      <c r="D195" s="23" t="s">
        <v>172</v>
      </c>
      <c r="E195" s="30" t="s">
        <v>30</v>
      </c>
      <c r="F195" s="30" t="s">
        <v>169</v>
      </c>
      <c r="G195" s="23">
        <v>2023</v>
      </c>
      <c r="H195" s="30" t="s">
        <v>173</v>
      </c>
      <c r="I195" s="30">
        <v>3</v>
      </c>
      <c r="J195" s="31">
        <v>7.7299999999999994E-2</v>
      </c>
      <c r="L195" s="32">
        <v>0.81</v>
      </c>
      <c r="M195" s="33">
        <v>0</v>
      </c>
      <c r="N195" s="33">
        <v>0</v>
      </c>
      <c r="O195" s="33">
        <v>0</v>
      </c>
      <c r="P195" s="33">
        <v>0</v>
      </c>
      <c r="Q195" s="74">
        <v>1.17E-2</v>
      </c>
    </row>
    <row r="196" spans="4:17" x14ac:dyDescent="0.35">
      <c r="D196" s="23" t="s">
        <v>172</v>
      </c>
      <c r="E196" s="30" t="s">
        <v>31</v>
      </c>
      <c r="F196" s="30" t="s">
        <v>170</v>
      </c>
      <c r="G196" s="23">
        <v>2023</v>
      </c>
      <c r="H196" s="30" t="s">
        <v>173</v>
      </c>
      <c r="I196" s="30">
        <v>4</v>
      </c>
      <c r="J196" s="31">
        <v>9.1200000000000003E-2</v>
      </c>
      <c r="L196" s="32">
        <v>0.82</v>
      </c>
      <c r="M196" s="33">
        <v>0</v>
      </c>
      <c r="N196" s="33">
        <v>0</v>
      </c>
      <c r="O196" s="33">
        <v>0</v>
      </c>
      <c r="P196" s="33">
        <v>0</v>
      </c>
      <c r="Q196" s="74">
        <v>1.18E-2</v>
      </c>
    </row>
    <row r="197" spans="4:17" x14ac:dyDescent="0.35">
      <c r="D197" s="23" t="s">
        <v>172</v>
      </c>
      <c r="E197" s="30" t="s">
        <v>167</v>
      </c>
      <c r="F197" s="30" t="s">
        <v>171</v>
      </c>
      <c r="G197" s="23">
        <v>2023</v>
      </c>
      <c r="H197" s="30" t="s">
        <v>167</v>
      </c>
      <c r="I197" s="30">
        <v>4</v>
      </c>
      <c r="J197" s="31">
        <v>9.1200000000000003E-2</v>
      </c>
      <c r="L197" s="32">
        <v>0.83</v>
      </c>
      <c r="M197" s="33">
        <v>0</v>
      </c>
      <c r="N197" s="33">
        <v>0</v>
      </c>
      <c r="O197" s="33">
        <v>0</v>
      </c>
      <c r="P197" s="33">
        <v>0</v>
      </c>
      <c r="Q197" s="74">
        <v>1.2E-2</v>
      </c>
    </row>
    <row r="198" spans="4:17" x14ac:dyDescent="0.35">
      <c r="D198" s="23"/>
      <c r="E198" s="30"/>
      <c r="F198" s="30"/>
      <c r="G198" s="23"/>
      <c r="H198" s="30"/>
      <c r="I198" s="30"/>
      <c r="J198" s="31"/>
      <c r="L198" s="32">
        <v>0.84</v>
      </c>
      <c r="M198" s="33">
        <v>0</v>
      </c>
      <c r="N198" s="33">
        <v>0</v>
      </c>
      <c r="O198" s="33">
        <v>0</v>
      </c>
      <c r="P198" s="33">
        <v>0</v>
      </c>
      <c r="Q198" s="74">
        <v>1.21E-2</v>
      </c>
    </row>
    <row r="199" spans="4:17" x14ac:dyDescent="0.35">
      <c r="D199" s="23"/>
      <c r="E199" s="30"/>
      <c r="F199" s="30"/>
      <c r="G199" s="23"/>
      <c r="H199" s="30"/>
      <c r="I199" s="30"/>
      <c r="J199" s="31"/>
      <c r="L199" s="32">
        <v>0.85</v>
      </c>
      <c r="M199" s="33">
        <v>0</v>
      </c>
      <c r="N199" s="33">
        <v>0</v>
      </c>
      <c r="O199" s="33">
        <v>0</v>
      </c>
      <c r="P199" s="33">
        <v>0</v>
      </c>
      <c r="Q199" s="74">
        <v>1.23E-2</v>
      </c>
    </row>
    <row r="200" spans="4:17" x14ac:dyDescent="0.35">
      <c r="D200" s="23"/>
      <c r="E200" s="30"/>
      <c r="F200" s="30"/>
      <c r="G200" s="23"/>
      <c r="H200" s="30"/>
      <c r="I200" s="30"/>
      <c r="J200" s="31"/>
      <c r="L200" s="32">
        <v>0.86</v>
      </c>
      <c r="M200" s="33">
        <v>0</v>
      </c>
      <c r="N200" s="33">
        <v>0</v>
      </c>
      <c r="O200" s="33">
        <v>0</v>
      </c>
      <c r="P200" s="33">
        <v>0</v>
      </c>
      <c r="Q200" s="74">
        <v>1.24E-2</v>
      </c>
    </row>
    <row r="201" spans="4:17" x14ac:dyDescent="0.35">
      <c r="D201" s="23"/>
      <c r="E201" s="30"/>
      <c r="F201" s="30"/>
      <c r="G201" s="23"/>
      <c r="H201" s="30"/>
      <c r="I201" s="30"/>
      <c r="J201" s="31"/>
      <c r="L201" s="32">
        <v>0.87</v>
      </c>
      <c r="M201" s="33">
        <v>0</v>
      </c>
      <c r="N201" s="33">
        <v>0</v>
      </c>
      <c r="O201" s="33">
        <v>0</v>
      </c>
      <c r="P201" s="33">
        <v>0</v>
      </c>
      <c r="Q201" s="74">
        <v>1.26E-2</v>
      </c>
    </row>
    <row r="202" spans="4:17" x14ac:dyDescent="0.35">
      <c r="D202" s="23"/>
      <c r="E202" s="30"/>
      <c r="F202" s="30"/>
      <c r="G202" s="23"/>
      <c r="H202" s="30"/>
      <c r="I202" s="30"/>
      <c r="J202" s="31"/>
      <c r="L202" s="32">
        <v>0.88</v>
      </c>
      <c r="M202" s="33">
        <v>0</v>
      </c>
      <c r="N202" s="33">
        <v>0</v>
      </c>
      <c r="O202" s="33">
        <v>0</v>
      </c>
      <c r="P202" s="33">
        <v>0</v>
      </c>
      <c r="Q202" s="74">
        <v>1.2699999999999999E-2</v>
      </c>
    </row>
    <row r="203" spans="4:17" x14ac:dyDescent="0.35">
      <c r="D203" s="23"/>
      <c r="E203" s="30"/>
      <c r="F203" s="30"/>
      <c r="G203" s="23"/>
      <c r="H203" s="30"/>
      <c r="I203" s="30"/>
      <c r="J203" s="31"/>
      <c r="L203" s="32">
        <v>0.89</v>
      </c>
      <c r="M203" s="33">
        <v>0</v>
      </c>
      <c r="N203" s="33">
        <v>0</v>
      </c>
      <c r="O203" s="33">
        <v>0</v>
      </c>
      <c r="P203" s="33">
        <v>0</v>
      </c>
      <c r="Q203" s="74">
        <v>1.2800000000000001E-2</v>
      </c>
    </row>
    <row r="204" spans="4:17" x14ac:dyDescent="0.35">
      <c r="D204" s="23"/>
      <c r="E204" s="30"/>
      <c r="F204" s="30"/>
      <c r="G204" s="23"/>
      <c r="H204" s="30"/>
      <c r="I204" s="30"/>
      <c r="J204" s="31"/>
      <c r="L204" s="32">
        <v>0.9</v>
      </c>
      <c r="M204" s="33">
        <v>0</v>
      </c>
      <c r="N204" s="33">
        <v>0</v>
      </c>
      <c r="O204" s="33">
        <v>0</v>
      </c>
      <c r="P204" s="33">
        <v>0</v>
      </c>
      <c r="Q204" s="74">
        <v>1.2999999999999999E-2</v>
      </c>
    </row>
    <row r="205" spans="4:17" x14ac:dyDescent="0.35">
      <c r="D205" s="23"/>
      <c r="E205" s="30"/>
      <c r="F205" s="30"/>
      <c r="G205" s="23"/>
      <c r="H205" s="30"/>
      <c r="I205" s="30"/>
      <c r="J205" s="31"/>
      <c r="L205" s="32">
        <v>0.91</v>
      </c>
      <c r="M205" s="33">
        <v>0</v>
      </c>
      <c r="N205" s="33">
        <v>0</v>
      </c>
      <c r="O205" s="33">
        <v>0</v>
      </c>
      <c r="P205" s="33">
        <v>0</v>
      </c>
      <c r="Q205" s="74">
        <v>1.3100000000000001E-2</v>
      </c>
    </row>
    <row r="206" spans="4:17" x14ac:dyDescent="0.35">
      <c r="D206" s="23"/>
      <c r="E206" s="30"/>
      <c r="F206" s="30"/>
      <c r="G206" s="23"/>
      <c r="H206" s="30"/>
      <c r="I206" s="30"/>
      <c r="J206" s="31"/>
      <c r="L206" s="32">
        <v>0.92</v>
      </c>
      <c r="M206" s="33">
        <v>0</v>
      </c>
      <c r="N206" s="33">
        <v>0</v>
      </c>
      <c r="O206" s="33">
        <v>0</v>
      </c>
      <c r="P206" s="33">
        <v>0</v>
      </c>
      <c r="Q206" s="74">
        <v>1.3299999999999999E-2</v>
      </c>
    </row>
    <row r="207" spans="4:17" x14ac:dyDescent="0.35">
      <c r="D207" s="23"/>
      <c r="E207" s="30"/>
      <c r="F207" s="30"/>
      <c r="G207" s="23"/>
      <c r="H207" s="30"/>
      <c r="I207" s="30"/>
      <c r="J207" s="31"/>
      <c r="L207" s="32">
        <v>0.93</v>
      </c>
      <c r="M207" s="33">
        <v>0</v>
      </c>
      <c r="N207" s="33">
        <v>0</v>
      </c>
      <c r="O207" s="33">
        <v>0</v>
      </c>
      <c r="P207" s="33">
        <v>0</v>
      </c>
      <c r="Q207" s="74">
        <v>1.34E-2</v>
      </c>
    </row>
    <row r="208" spans="4:17" x14ac:dyDescent="0.35">
      <c r="D208" s="23"/>
      <c r="E208" s="30"/>
      <c r="F208" s="30"/>
      <c r="G208" s="23"/>
      <c r="H208" s="30"/>
      <c r="I208" s="30"/>
      <c r="J208" s="31"/>
      <c r="L208" s="32">
        <v>0.94</v>
      </c>
      <c r="M208" s="33">
        <v>0</v>
      </c>
      <c r="N208" s="33">
        <v>0</v>
      </c>
      <c r="O208" s="33">
        <v>0</v>
      </c>
      <c r="P208" s="33">
        <v>0</v>
      </c>
      <c r="Q208" s="74">
        <v>1.3599999999999999E-2</v>
      </c>
    </row>
    <row r="209" spans="4:17" x14ac:dyDescent="0.35">
      <c r="D209" s="23"/>
      <c r="E209" s="30"/>
      <c r="F209" s="30"/>
      <c r="G209" s="23"/>
      <c r="H209" s="30"/>
      <c r="I209" s="30"/>
      <c r="J209" s="31"/>
      <c r="L209" s="32">
        <v>0.95</v>
      </c>
      <c r="M209" s="33">
        <v>0</v>
      </c>
      <c r="N209" s="33">
        <v>0</v>
      </c>
      <c r="O209" s="33">
        <v>0</v>
      </c>
      <c r="P209" s="33">
        <v>0</v>
      </c>
      <c r="Q209" s="74">
        <v>1.37E-2</v>
      </c>
    </row>
    <row r="210" spans="4:17" x14ac:dyDescent="0.35">
      <c r="D210" s="23"/>
      <c r="E210" s="30"/>
      <c r="F210" s="30"/>
      <c r="G210" s="23"/>
      <c r="H210" s="30"/>
      <c r="I210" s="30"/>
      <c r="J210" s="31"/>
      <c r="L210" s="32">
        <v>0.96</v>
      </c>
      <c r="M210" s="33">
        <v>0</v>
      </c>
      <c r="N210" s="33">
        <v>0</v>
      </c>
      <c r="O210" s="33">
        <v>0</v>
      </c>
      <c r="P210" s="33">
        <v>0</v>
      </c>
      <c r="Q210" s="74">
        <v>1.3899999999999999E-2</v>
      </c>
    </row>
    <row r="211" spans="4:17" x14ac:dyDescent="0.35">
      <c r="D211" s="23"/>
      <c r="E211" s="30"/>
      <c r="F211" s="30"/>
      <c r="G211" s="23"/>
      <c r="H211" s="30"/>
      <c r="I211" s="30"/>
      <c r="J211" s="31"/>
      <c r="L211" s="32">
        <v>0.97</v>
      </c>
      <c r="M211" s="33">
        <v>0</v>
      </c>
      <c r="N211" s="33">
        <v>0</v>
      </c>
      <c r="O211" s="33">
        <v>0</v>
      </c>
      <c r="P211" s="33">
        <v>0</v>
      </c>
      <c r="Q211" s="74">
        <v>1.4E-2</v>
      </c>
    </row>
    <row r="212" spans="4:17" x14ac:dyDescent="0.35">
      <c r="D212" s="23"/>
      <c r="E212" s="30"/>
      <c r="F212" s="30"/>
      <c r="G212" s="23"/>
      <c r="H212" s="30"/>
      <c r="I212" s="30"/>
      <c r="J212" s="31"/>
      <c r="L212" s="32">
        <v>0.98</v>
      </c>
      <c r="M212" s="33">
        <v>0</v>
      </c>
      <c r="N212" s="33">
        <v>0</v>
      </c>
      <c r="O212" s="33">
        <v>0</v>
      </c>
      <c r="P212" s="33">
        <v>0</v>
      </c>
      <c r="Q212" s="74">
        <v>1.41E-2</v>
      </c>
    </row>
    <row r="213" spans="4:17" x14ac:dyDescent="0.35">
      <c r="D213" s="23"/>
      <c r="E213" s="30"/>
      <c r="F213" s="30"/>
      <c r="G213" s="23"/>
      <c r="H213" s="30"/>
      <c r="I213" s="30"/>
      <c r="J213" s="31"/>
      <c r="L213" s="32">
        <v>0.99</v>
      </c>
      <c r="M213" s="33">
        <v>0</v>
      </c>
      <c r="N213" s="33">
        <v>0</v>
      </c>
      <c r="O213" s="33">
        <v>0</v>
      </c>
      <c r="P213" s="33">
        <v>0</v>
      </c>
      <c r="Q213" s="74">
        <v>1.43E-2</v>
      </c>
    </row>
    <row r="214" spans="4:17" x14ac:dyDescent="0.35">
      <c r="D214" s="23"/>
      <c r="E214" s="30"/>
      <c r="F214" s="30"/>
      <c r="G214" s="23"/>
      <c r="H214" s="30"/>
      <c r="I214" s="30"/>
      <c r="J214" s="31"/>
      <c r="L214" s="32">
        <v>1</v>
      </c>
      <c r="M214" s="33">
        <v>0</v>
      </c>
      <c r="N214" s="33">
        <v>0</v>
      </c>
      <c r="O214" s="33">
        <v>0</v>
      </c>
      <c r="P214" s="33">
        <v>0</v>
      </c>
      <c r="Q214" s="74">
        <v>1.44E-2</v>
      </c>
    </row>
    <row r="215" spans="4:17" x14ac:dyDescent="0.35">
      <c r="D215" s="23"/>
      <c r="E215" s="30"/>
      <c r="F215" s="30"/>
      <c r="G215" s="23"/>
      <c r="H215" s="30"/>
      <c r="I215" s="30"/>
      <c r="J215" s="31"/>
      <c r="L215" s="32">
        <v>1.01</v>
      </c>
      <c r="M215" s="33">
        <v>5.9999999999999995E-4</v>
      </c>
      <c r="N215" s="33">
        <v>5.9999999999999995E-4</v>
      </c>
      <c r="O215" s="33">
        <v>0</v>
      </c>
      <c r="P215" s="33">
        <v>0</v>
      </c>
      <c r="Q215" s="74">
        <v>1.46E-2</v>
      </c>
    </row>
    <row r="216" spans="4:17" x14ac:dyDescent="0.35">
      <c r="D216" s="23"/>
      <c r="E216" s="30"/>
      <c r="F216" s="30"/>
      <c r="G216" s="23"/>
      <c r="H216" s="30"/>
      <c r="I216" s="30"/>
      <c r="J216" s="31"/>
      <c r="L216" s="32">
        <v>1.02</v>
      </c>
      <c r="M216" s="33">
        <v>1.2999999999999999E-3</v>
      </c>
      <c r="N216" s="33">
        <v>1.1999999999999999E-3</v>
      </c>
      <c r="O216" s="33">
        <v>0</v>
      </c>
      <c r="P216" s="33">
        <v>0</v>
      </c>
      <c r="Q216" s="74">
        <v>1.47E-2</v>
      </c>
    </row>
    <row r="217" spans="4:17" x14ac:dyDescent="0.35">
      <c r="D217" s="23"/>
      <c r="E217" s="30"/>
      <c r="F217" s="30"/>
      <c r="G217" s="23"/>
      <c r="H217" s="30"/>
      <c r="I217" s="30"/>
      <c r="J217" s="31"/>
      <c r="L217" s="32">
        <v>1.03</v>
      </c>
      <c r="M217" s="33">
        <v>1.9E-3</v>
      </c>
      <c r="N217" s="33">
        <v>1.9E-3</v>
      </c>
      <c r="O217" s="33">
        <v>0</v>
      </c>
      <c r="P217" s="33">
        <v>0</v>
      </c>
      <c r="Q217" s="74">
        <v>1.49E-2</v>
      </c>
    </row>
    <row r="218" spans="4:17" x14ac:dyDescent="0.35">
      <c r="D218" s="23"/>
      <c r="E218" s="30"/>
      <c r="F218" s="30"/>
      <c r="G218" s="23"/>
      <c r="H218" s="30"/>
      <c r="I218" s="30"/>
      <c r="J218" s="31"/>
      <c r="L218" s="32">
        <v>1.04</v>
      </c>
      <c r="M218" s="33">
        <v>2.5000000000000001E-3</v>
      </c>
      <c r="N218" s="33">
        <v>2.5000000000000001E-3</v>
      </c>
      <c r="O218" s="33">
        <v>0</v>
      </c>
      <c r="P218" s="33">
        <v>0</v>
      </c>
      <c r="Q218" s="74">
        <v>1.4999999999999999E-2</v>
      </c>
    </row>
    <row r="219" spans="4:17" x14ac:dyDescent="0.35">
      <c r="D219" s="23"/>
      <c r="E219" s="30"/>
      <c r="F219" s="30"/>
      <c r="G219" s="23"/>
      <c r="H219" s="30"/>
      <c r="I219" s="30"/>
      <c r="J219" s="31"/>
      <c r="L219" s="32">
        <v>1.05</v>
      </c>
      <c r="M219" s="33">
        <v>3.2000000000000002E-3</v>
      </c>
      <c r="N219" s="33">
        <v>3.0999999999999999E-3</v>
      </c>
      <c r="O219" s="33">
        <v>0</v>
      </c>
      <c r="P219" s="33">
        <v>0</v>
      </c>
      <c r="Q219" s="74">
        <v>1.52E-2</v>
      </c>
    </row>
    <row r="220" spans="4:17" x14ac:dyDescent="0.35">
      <c r="D220" s="23"/>
      <c r="E220" s="30"/>
      <c r="F220" s="30"/>
      <c r="G220" s="23"/>
      <c r="H220" s="30"/>
      <c r="I220" s="30"/>
      <c r="J220" s="31"/>
      <c r="L220" s="32">
        <v>1.06</v>
      </c>
      <c r="M220" s="33">
        <v>3.8E-3</v>
      </c>
      <c r="N220" s="33">
        <v>3.7000000000000002E-3</v>
      </c>
      <c r="O220" s="33">
        <v>0</v>
      </c>
      <c r="P220" s="33">
        <v>0</v>
      </c>
      <c r="Q220" s="74">
        <v>1.5299999999999999E-2</v>
      </c>
    </row>
    <row r="221" spans="4:17" x14ac:dyDescent="0.35">
      <c r="D221" s="23"/>
      <c r="E221" s="30"/>
      <c r="F221" s="30"/>
      <c r="G221" s="23"/>
      <c r="H221" s="30"/>
      <c r="I221" s="30"/>
      <c r="J221" s="31"/>
      <c r="L221" s="32">
        <v>1.07</v>
      </c>
      <c r="M221" s="33">
        <v>4.4000000000000003E-3</v>
      </c>
      <c r="N221" s="33">
        <v>4.4000000000000003E-3</v>
      </c>
      <c r="O221" s="33">
        <v>0</v>
      </c>
      <c r="P221" s="33">
        <v>0</v>
      </c>
      <c r="Q221" s="74">
        <v>1.54E-2</v>
      </c>
    </row>
    <row r="222" spans="4:17" x14ac:dyDescent="0.35">
      <c r="D222" s="23"/>
      <c r="E222" s="30"/>
      <c r="F222" s="30"/>
      <c r="G222" s="23"/>
      <c r="H222" s="30"/>
      <c r="I222" s="30"/>
      <c r="J222" s="31"/>
      <c r="L222" s="32">
        <v>1.08</v>
      </c>
      <c r="M222" s="33">
        <v>5.0000000000000001E-3</v>
      </c>
      <c r="N222" s="33">
        <v>5.0000000000000001E-3</v>
      </c>
      <c r="O222" s="33">
        <v>0</v>
      </c>
      <c r="P222" s="33">
        <v>0</v>
      </c>
      <c r="Q222" s="74">
        <v>1.5599999999999999E-2</v>
      </c>
    </row>
    <row r="223" spans="4:17" x14ac:dyDescent="0.35">
      <c r="D223" s="23"/>
      <c r="E223" s="30"/>
      <c r="F223" s="30"/>
      <c r="G223" s="23"/>
      <c r="H223" s="30"/>
      <c r="I223" s="30"/>
      <c r="J223" s="31"/>
      <c r="L223" s="32">
        <v>1.0900000000000001</v>
      </c>
      <c r="M223" s="33">
        <v>5.7000000000000002E-3</v>
      </c>
      <c r="N223" s="33">
        <v>5.5999999999999999E-3</v>
      </c>
      <c r="O223" s="33">
        <v>0</v>
      </c>
      <c r="P223" s="33">
        <v>0</v>
      </c>
      <c r="Q223" s="74">
        <v>1.5699999999999999E-2</v>
      </c>
    </row>
    <row r="224" spans="4:17" x14ac:dyDescent="0.35">
      <c r="D224" s="23"/>
      <c r="E224" s="30"/>
      <c r="F224" s="30"/>
      <c r="G224" s="23"/>
      <c r="H224" s="30"/>
      <c r="I224" s="30"/>
      <c r="J224" s="31"/>
      <c r="L224" s="32">
        <v>1.1000000000000001</v>
      </c>
      <c r="M224" s="33">
        <v>6.3E-3</v>
      </c>
      <c r="N224" s="33">
        <v>6.1999999999999998E-3</v>
      </c>
      <c r="O224" s="33">
        <v>0</v>
      </c>
      <c r="P224" s="33">
        <v>0</v>
      </c>
      <c r="Q224" s="74">
        <v>1.5900000000000001E-2</v>
      </c>
    </row>
    <row r="225" spans="4:17" x14ac:dyDescent="0.35">
      <c r="D225" s="23"/>
      <c r="E225" s="30"/>
      <c r="F225" s="30"/>
      <c r="G225" s="23"/>
      <c r="H225" s="30"/>
      <c r="I225" s="30"/>
      <c r="J225" s="31"/>
      <c r="L225" s="32">
        <v>1.1100000000000001</v>
      </c>
      <c r="M225" s="33">
        <v>6.8999999999999999E-3</v>
      </c>
      <c r="N225" s="33">
        <v>6.8999999999999999E-3</v>
      </c>
      <c r="O225" s="33">
        <v>0</v>
      </c>
      <c r="P225" s="33">
        <v>0</v>
      </c>
      <c r="Q225" s="74">
        <v>1.6E-2</v>
      </c>
    </row>
    <row r="226" spans="4:17" x14ac:dyDescent="0.35">
      <c r="D226" s="23"/>
      <c r="E226" s="30"/>
      <c r="F226" s="30"/>
      <c r="G226" s="23"/>
      <c r="H226" s="30"/>
      <c r="I226" s="30"/>
      <c r="J226" s="31"/>
      <c r="L226" s="32">
        <v>1.1200000000000001</v>
      </c>
      <c r="M226" s="33">
        <v>7.6E-3</v>
      </c>
      <c r="N226" s="33">
        <v>7.4999999999999997E-3</v>
      </c>
      <c r="O226" s="33">
        <v>0</v>
      </c>
      <c r="P226" s="33">
        <v>0</v>
      </c>
      <c r="Q226" s="74">
        <v>1.6199999999999999E-2</v>
      </c>
    </row>
    <row r="227" spans="4:17" x14ac:dyDescent="0.35">
      <c r="D227" s="23"/>
      <c r="E227" s="30"/>
      <c r="F227" s="30"/>
      <c r="G227" s="23"/>
      <c r="H227" s="30"/>
      <c r="I227" s="30"/>
      <c r="J227" s="31"/>
      <c r="L227" s="32">
        <v>1.1299999999999999</v>
      </c>
      <c r="M227" s="33">
        <v>8.2000000000000007E-3</v>
      </c>
      <c r="N227" s="33">
        <v>8.0999999999999996E-3</v>
      </c>
      <c r="O227" s="33">
        <v>0</v>
      </c>
      <c r="P227" s="33">
        <v>0</v>
      </c>
      <c r="Q227" s="74">
        <v>1.6299999999999999E-2</v>
      </c>
    </row>
    <row r="228" spans="4:17" x14ac:dyDescent="0.35">
      <c r="D228" s="23"/>
      <c r="E228" s="30"/>
      <c r="F228" s="30"/>
      <c r="G228" s="23"/>
      <c r="H228" s="30"/>
      <c r="I228" s="30"/>
      <c r="J228" s="31"/>
      <c r="L228" s="32">
        <v>1.1399999999999999</v>
      </c>
      <c r="M228" s="33">
        <v>8.8000000000000005E-3</v>
      </c>
      <c r="N228" s="33">
        <v>8.6999999999999994E-3</v>
      </c>
      <c r="O228" s="33">
        <v>0</v>
      </c>
      <c r="P228" s="33">
        <v>0</v>
      </c>
      <c r="Q228" s="74">
        <v>1.6500000000000001E-2</v>
      </c>
    </row>
    <row r="229" spans="4:17" x14ac:dyDescent="0.35">
      <c r="D229" s="23"/>
      <c r="E229" s="30"/>
      <c r="F229" s="30"/>
      <c r="G229" s="23"/>
      <c r="H229" s="30"/>
      <c r="I229" s="30"/>
      <c r="J229" s="31"/>
      <c r="L229" s="32">
        <v>1.1499999999999999</v>
      </c>
      <c r="M229" s="33">
        <v>9.4999999999999998E-3</v>
      </c>
      <c r="N229" s="33">
        <v>9.4000000000000004E-3</v>
      </c>
      <c r="O229" s="33">
        <v>0</v>
      </c>
      <c r="P229" s="33">
        <v>0</v>
      </c>
      <c r="Q229" s="74">
        <v>1.66E-2</v>
      </c>
    </row>
    <row r="230" spans="4:17" x14ac:dyDescent="0.35">
      <c r="D230" s="23"/>
      <c r="E230" s="30"/>
      <c r="F230" s="30"/>
      <c r="G230" s="23"/>
      <c r="H230" s="30"/>
      <c r="I230" s="30"/>
      <c r="J230" s="31"/>
      <c r="L230" s="32">
        <v>1.1599999999999999</v>
      </c>
      <c r="M230" s="33">
        <v>1.01E-2</v>
      </c>
      <c r="N230" s="33">
        <v>0.01</v>
      </c>
      <c r="O230" s="33">
        <v>0</v>
      </c>
      <c r="P230" s="33">
        <v>0</v>
      </c>
      <c r="Q230" s="74">
        <v>1.67E-2</v>
      </c>
    </row>
    <row r="231" spans="4:17" x14ac:dyDescent="0.35">
      <c r="D231" s="23"/>
      <c r="E231" s="30"/>
      <c r="F231" s="30"/>
      <c r="G231" s="23"/>
      <c r="H231" s="30"/>
      <c r="I231" s="30"/>
      <c r="J231" s="31"/>
      <c r="L231" s="32">
        <v>1.17</v>
      </c>
      <c r="M231" s="33">
        <v>1.0699999999999999E-2</v>
      </c>
      <c r="N231" s="33">
        <v>1.06E-2</v>
      </c>
      <c r="O231" s="33">
        <v>0</v>
      </c>
      <c r="P231" s="33">
        <v>0</v>
      </c>
      <c r="Q231" s="74">
        <v>1.6899999999999998E-2</v>
      </c>
    </row>
    <row r="232" spans="4:17" x14ac:dyDescent="0.35">
      <c r="D232" s="23"/>
      <c r="E232" s="30"/>
      <c r="F232" s="30"/>
      <c r="G232" s="23"/>
      <c r="H232" s="30"/>
      <c r="I232" s="30"/>
      <c r="J232" s="31"/>
      <c r="L232" s="32">
        <v>1.18</v>
      </c>
      <c r="M232" s="33">
        <v>1.1299999999999999E-2</v>
      </c>
      <c r="N232" s="33">
        <v>1.12E-2</v>
      </c>
      <c r="O232" s="33">
        <v>0</v>
      </c>
      <c r="P232" s="33">
        <v>0</v>
      </c>
      <c r="Q232" s="74">
        <v>1.7000000000000001E-2</v>
      </c>
    </row>
    <row r="233" spans="4:17" x14ac:dyDescent="0.35">
      <c r="D233" s="23"/>
      <c r="E233" s="30"/>
      <c r="F233" s="30"/>
      <c r="G233" s="23"/>
      <c r="H233" s="30"/>
      <c r="I233" s="30"/>
      <c r="J233" s="31"/>
      <c r="L233" s="32">
        <v>1.19</v>
      </c>
      <c r="M233" s="33">
        <v>1.2E-2</v>
      </c>
      <c r="N233" s="33">
        <v>1.1900000000000001E-2</v>
      </c>
      <c r="O233" s="33">
        <v>0</v>
      </c>
      <c r="P233" s="33">
        <v>0</v>
      </c>
      <c r="Q233" s="74">
        <v>1.72E-2</v>
      </c>
    </row>
    <row r="234" spans="4:17" x14ac:dyDescent="0.35">
      <c r="D234" s="23"/>
      <c r="E234" s="30"/>
      <c r="F234" s="30"/>
      <c r="G234" s="23"/>
      <c r="H234" s="30"/>
      <c r="I234" s="30"/>
      <c r="J234" s="31"/>
      <c r="L234" s="32">
        <v>1.2</v>
      </c>
      <c r="M234" s="33">
        <v>1.26E-2</v>
      </c>
      <c r="N234" s="33">
        <v>1.2500000000000001E-2</v>
      </c>
      <c r="O234" s="33">
        <v>0</v>
      </c>
      <c r="P234" s="33">
        <v>0</v>
      </c>
      <c r="Q234" s="74">
        <v>1.7299999999999999E-2</v>
      </c>
    </row>
    <row r="235" spans="4:17" x14ac:dyDescent="0.35">
      <c r="D235" s="23"/>
      <c r="E235" s="30"/>
      <c r="F235" s="30"/>
      <c r="G235" s="23"/>
      <c r="H235" s="30"/>
      <c r="I235" s="30"/>
      <c r="J235" s="31"/>
      <c r="L235" s="32">
        <v>1.21</v>
      </c>
      <c r="M235" s="33">
        <v>1.32E-2</v>
      </c>
      <c r="N235" s="33">
        <v>1.3100000000000001E-2</v>
      </c>
      <c r="O235" s="33">
        <v>0</v>
      </c>
      <c r="P235" s="33">
        <v>0</v>
      </c>
      <c r="Q235" s="74">
        <v>1.7500000000000002E-2</v>
      </c>
    </row>
    <row r="236" spans="4:17" x14ac:dyDescent="0.35">
      <c r="D236" s="23"/>
      <c r="E236" s="30"/>
      <c r="F236" s="30"/>
      <c r="G236" s="23"/>
      <c r="H236" s="30"/>
      <c r="I236" s="30"/>
      <c r="J236" s="31"/>
      <c r="L236" s="32">
        <v>1.22</v>
      </c>
      <c r="M236" s="33">
        <v>1.3899999999999999E-2</v>
      </c>
      <c r="N236" s="33">
        <v>1.37E-2</v>
      </c>
      <c r="O236" s="33">
        <v>0</v>
      </c>
      <c r="P236" s="33">
        <v>0</v>
      </c>
      <c r="Q236" s="74">
        <v>1.7600000000000001E-2</v>
      </c>
    </row>
    <row r="237" spans="4:17" x14ac:dyDescent="0.35">
      <c r="D237" s="23"/>
      <c r="E237" s="30"/>
      <c r="F237" s="30"/>
      <c r="G237" s="23"/>
      <c r="H237" s="30"/>
      <c r="I237" s="30"/>
      <c r="J237" s="31"/>
      <c r="L237" s="32">
        <v>1.23</v>
      </c>
      <c r="M237" s="33">
        <v>1.4500000000000001E-2</v>
      </c>
      <c r="N237" s="33">
        <v>1.44E-2</v>
      </c>
      <c r="O237" s="33">
        <v>0</v>
      </c>
      <c r="P237" s="33">
        <v>0</v>
      </c>
      <c r="Q237" s="74">
        <v>1.78E-2</v>
      </c>
    </row>
    <row r="238" spans="4:17" x14ac:dyDescent="0.35">
      <c r="D238" s="23"/>
      <c r="E238" s="30"/>
      <c r="F238" s="30"/>
      <c r="G238" s="23"/>
      <c r="H238" s="30"/>
      <c r="I238" s="30"/>
      <c r="J238" s="31"/>
      <c r="L238" s="32">
        <v>1.24</v>
      </c>
      <c r="M238" s="33">
        <v>1.5100000000000001E-2</v>
      </c>
      <c r="N238" s="33">
        <v>1.4999999999999999E-2</v>
      </c>
      <c r="O238" s="33">
        <v>0</v>
      </c>
      <c r="P238" s="33">
        <v>0</v>
      </c>
      <c r="Q238" s="74">
        <v>1.7899999999999999E-2</v>
      </c>
    </row>
    <row r="239" spans="4:17" x14ac:dyDescent="0.35">
      <c r="D239" s="23"/>
      <c r="E239" s="30"/>
      <c r="F239" s="30"/>
      <c r="G239" s="23"/>
      <c r="H239" s="30"/>
      <c r="I239" s="30"/>
      <c r="J239" s="31"/>
      <c r="L239" s="32">
        <v>1.25</v>
      </c>
      <c r="M239" s="33">
        <v>1.5800000000000002E-2</v>
      </c>
      <c r="N239" s="33">
        <v>1.5599999999999999E-2</v>
      </c>
      <c r="O239" s="33">
        <v>0</v>
      </c>
      <c r="P239" s="33">
        <v>0</v>
      </c>
      <c r="Q239" s="74">
        <v>1.7999999999999999E-2</v>
      </c>
    </row>
    <row r="240" spans="4:17" x14ac:dyDescent="0.35">
      <c r="D240" s="23"/>
      <c r="E240" s="30"/>
      <c r="F240" s="30"/>
      <c r="G240" s="23"/>
      <c r="H240" s="30"/>
      <c r="I240" s="30"/>
      <c r="J240" s="31"/>
      <c r="L240" s="32">
        <v>1.26</v>
      </c>
      <c r="M240" s="33">
        <v>1.6400000000000001E-2</v>
      </c>
      <c r="N240" s="33">
        <v>1.6199999999999999E-2</v>
      </c>
      <c r="O240" s="33">
        <v>0</v>
      </c>
      <c r="P240" s="33">
        <v>0</v>
      </c>
      <c r="Q240" s="74">
        <v>1.8200000000000001E-2</v>
      </c>
    </row>
    <row r="241" spans="4:17" x14ac:dyDescent="0.35">
      <c r="D241" s="23"/>
      <c r="E241" s="30"/>
      <c r="F241" s="30"/>
      <c r="G241" s="23"/>
      <c r="H241" s="30"/>
      <c r="I241" s="30"/>
      <c r="J241" s="31"/>
      <c r="L241" s="32">
        <v>1.27</v>
      </c>
      <c r="M241" s="33">
        <v>1.7000000000000001E-2</v>
      </c>
      <c r="N241" s="33">
        <v>1.6899999999999998E-2</v>
      </c>
      <c r="O241" s="33">
        <v>0</v>
      </c>
      <c r="P241" s="33">
        <v>0</v>
      </c>
      <c r="Q241" s="74">
        <v>1.83E-2</v>
      </c>
    </row>
    <row r="242" spans="4:17" x14ac:dyDescent="0.35">
      <c r="D242" s="23"/>
      <c r="E242" s="30"/>
      <c r="F242" s="30"/>
      <c r="G242" s="23"/>
      <c r="H242" s="30"/>
      <c r="I242" s="30"/>
      <c r="J242" s="31"/>
      <c r="L242" s="32">
        <v>1.28</v>
      </c>
      <c r="M242" s="33">
        <v>1.7600000000000001E-2</v>
      </c>
      <c r="N242" s="33">
        <v>1.7500000000000002E-2</v>
      </c>
      <c r="O242" s="33">
        <v>0</v>
      </c>
      <c r="P242" s="33">
        <v>0</v>
      </c>
      <c r="Q242" s="74">
        <v>1.8499999999999999E-2</v>
      </c>
    </row>
    <row r="243" spans="4:17" x14ac:dyDescent="0.35">
      <c r="D243" s="23"/>
      <c r="E243" s="30"/>
      <c r="F243" s="30"/>
      <c r="G243" s="23"/>
      <c r="H243" s="30"/>
      <c r="I243" s="30"/>
      <c r="J243" s="31"/>
      <c r="L243" s="32">
        <v>1.29</v>
      </c>
      <c r="M243" s="33">
        <v>1.83E-2</v>
      </c>
      <c r="N243" s="33">
        <v>1.8100000000000002E-2</v>
      </c>
      <c r="O243" s="33">
        <v>0</v>
      </c>
      <c r="P243" s="33">
        <v>0</v>
      </c>
      <c r="Q243" s="74">
        <v>1.8599999999999998E-2</v>
      </c>
    </row>
    <row r="244" spans="4:17" x14ac:dyDescent="0.35">
      <c r="D244" s="23"/>
      <c r="E244" s="30"/>
      <c r="F244" s="30"/>
      <c r="G244" s="23"/>
      <c r="H244" s="30"/>
      <c r="I244" s="30"/>
      <c r="J244" s="31"/>
      <c r="L244" s="32">
        <v>1.3</v>
      </c>
      <c r="M244" s="33">
        <v>1.89E-2</v>
      </c>
      <c r="N244" s="33">
        <v>1.8700000000000001E-2</v>
      </c>
      <c r="O244" s="33">
        <v>0</v>
      </c>
      <c r="P244" s="33">
        <v>0</v>
      </c>
      <c r="Q244" s="74">
        <v>1.8800000000000001E-2</v>
      </c>
    </row>
    <row r="245" spans="4:17" x14ac:dyDescent="0.35">
      <c r="D245" s="23"/>
      <c r="E245" s="30"/>
      <c r="F245" s="30"/>
      <c r="G245" s="23"/>
      <c r="H245" s="30"/>
      <c r="I245" s="30"/>
      <c r="J245" s="31"/>
      <c r="L245" s="32">
        <v>1.31</v>
      </c>
      <c r="M245" s="33">
        <v>1.95E-2</v>
      </c>
      <c r="N245" s="33">
        <v>1.9400000000000001E-2</v>
      </c>
      <c r="O245" s="33">
        <v>0</v>
      </c>
      <c r="P245" s="33">
        <v>0</v>
      </c>
      <c r="Q245" s="74">
        <v>1.89E-2</v>
      </c>
    </row>
    <row r="246" spans="4:17" x14ac:dyDescent="0.35">
      <c r="D246" s="23"/>
      <c r="E246" s="30"/>
      <c r="F246" s="30"/>
      <c r="G246" s="23"/>
      <c r="H246" s="30"/>
      <c r="I246" s="30"/>
      <c r="J246" s="31"/>
      <c r="L246" s="32">
        <v>1.32</v>
      </c>
      <c r="M246" s="33">
        <v>2.0199999999999999E-2</v>
      </c>
      <c r="N246" s="33">
        <v>0.02</v>
      </c>
      <c r="O246" s="33">
        <v>0</v>
      </c>
      <c r="P246" s="33">
        <v>0</v>
      </c>
      <c r="Q246" s="74">
        <v>1.9199999999999998E-2</v>
      </c>
    </row>
    <row r="247" spans="4:17" x14ac:dyDescent="0.35">
      <c r="D247" s="23"/>
      <c r="E247" s="30"/>
      <c r="F247" s="30"/>
      <c r="G247" s="23"/>
      <c r="H247" s="30"/>
      <c r="I247" s="30"/>
      <c r="J247" s="31"/>
      <c r="L247" s="32">
        <v>1.33</v>
      </c>
      <c r="M247" s="33">
        <v>2.0799999999999999E-2</v>
      </c>
      <c r="N247" s="35">
        <v>2.06E-2</v>
      </c>
      <c r="O247" s="33">
        <v>0</v>
      </c>
      <c r="P247" s="33">
        <v>0</v>
      </c>
      <c r="Q247" s="74">
        <v>2.8799999999999999E-2</v>
      </c>
    </row>
    <row r="248" spans="4:17" x14ac:dyDescent="0.35">
      <c r="D248" s="23"/>
      <c r="E248" s="30"/>
      <c r="F248" s="30"/>
      <c r="G248" s="23"/>
      <c r="H248" s="30"/>
      <c r="I248" s="30"/>
      <c r="J248" s="31"/>
      <c r="L248" s="32">
        <v>1.34</v>
      </c>
      <c r="M248" s="33">
        <v>2.1399999999999999E-2</v>
      </c>
      <c r="N248" s="33">
        <v>2.12E-2</v>
      </c>
      <c r="O248" s="33">
        <v>0</v>
      </c>
      <c r="P248" s="33">
        <v>0</v>
      </c>
      <c r="Q248" s="74">
        <v>2.9399999999999999E-2</v>
      </c>
    </row>
    <row r="249" spans="4:17" x14ac:dyDescent="0.35">
      <c r="D249" s="23"/>
      <c r="E249" s="30"/>
      <c r="F249" s="30"/>
      <c r="G249" s="23"/>
      <c r="H249" s="30"/>
      <c r="I249" s="30"/>
      <c r="J249" s="31"/>
      <c r="L249" s="32">
        <v>1.35</v>
      </c>
      <c r="M249" s="33">
        <v>2.1999999999999999E-2</v>
      </c>
      <c r="N249" s="33">
        <v>2.18E-2</v>
      </c>
      <c r="O249" s="33">
        <v>0</v>
      </c>
      <c r="P249" s="33">
        <v>0</v>
      </c>
      <c r="Q249" s="74">
        <v>2.9899999999999999E-2</v>
      </c>
    </row>
    <row r="250" spans="4:17" x14ac:dyDescent="0.35">
      <c r="D250" s="23"/>
      <c r="E250" s="30"/>
      <c r="F250" s="30"/>
      <c r="G250" s="23"/>
      <c r="H250" s="30"/>
      <c r="I250" s="30"/>
      <c r="J250" s="31"/>
      <c r="L250" s="32">
        <v>1.36</v>
      </c>
      <c r="M250" s="33">
        <v>2.2599999999999999E-2</v>
      </c>
      <c r="N250" s="33">
        <v>2.24E-2</v>
      </c>
      <c r="O250" s="33">
        <v>0</v>
      </c>
      <c r="P250" s="33">
        <v>0</v>
      </c>
      <c r="Q250" s="74">
        <v>3.0499999999999999E-2</v>
      </c>
    </row>
    <row r="251" spans="4:17" x14ac:dyDescent="0.35">
      <c r="D251" s="23"/>
      <c r="E251" s="30"/>
      <c r="F251" s="30"/>
      <c r="G251" s="23"/>
      <c r="H251" s="30"/>
      <c r="I251" s="30"/>
      <c r="J251" s="31"/>
      <c r="L251" s="32">
        <v>1.37</v>
      </c>
      <c r="M251" s="33">
        <v>2.3199999999999998E-2</v>
      </c>
      <c r="N251" s="33">
        <v>2.3E-2</v>
      </c>
      <c r="O251" s="33">
        <v>0</v>
      </c>
      <c r="P251" s="33">
        <v>0</v>
      </c>
      <c r="Q251" s="74">
        <v>3.1099999999999999E-2</v>
      </c>
    </row>
    <row r="252" spans="4:17" x14ac:dyDescent="0.35">
      <c r="D252" s="23"/>
      <c r="E252" s="30"/>
      <c r="F252" s="30"/>
      <c r="G252" s="23"/>
      <c r="H252" s="30"/>
      <c r="I252" s="30"/>
      <c r="J252" s="31"/>
      <c r="L252" s="32">
        <v>1.38</v>
      </c>
      <c r="M252" s="33">
        <v>2.3800000000000002E-2</v>
      </c>
      <c r="N252" s="33">
        <v>2.3599999999999999E-2</v>
      </c>
      <c r="O252" s="33">
        <v>0</v>
      </c>
      <c r="P252" s="33">
        <v>0</v>
      </c>
      <c r="Q252" s="74">
        <v>3.1600000000000003E-2</v>
      </c>
    </row>
    <row r="253" spans="4:17" x14ac:dyDescent="0.35">
      <c r="D253" s="23"/>
      <c r="E253" s="30"/>
      <c r="F253" s="30"/>
      <c r="G253" s="23"/>
      <c r="H253" s="30"/>
      <c r="I253" s="30"/>
      <c r="J253" s="31"/>
      <c r="L253" s="32">
        <v>1.39</v>
      </c>
      <c r="M253" s="33">
        <v>2.4400000000000002E-2</v>
      </c>
      <c r="N253" s="33">
        <v>2.4199999999999999E-2</v>
      </c>
      <c r="O253" s="33">
        <v>0</v>
      </c>
      <c r="P253" s="33">
        <v>0</v>
      </c>
      <c r="Q253" s="74">
        <v>3.2199999999999999E-2</v>
      </c>
    </row>
    <row r="254" spans="4:17" x14ac:dyDescent="0.35">
      <c r="D254" s="23"/>
      <c r="E254" s="30"/>
      <c r="F254" s="30"/>
      <c r="G254" s="23"/>
      <c r="H254" s="30"/>
      <c r="I254" s="30"/>
      <c r="J254" s="31"/>
      <c r="L254" s="32">
        <v>1.4</v>
      </c>
      <c r="M254" s="33">
        <v>2.5000000000000001E-2</v>
      </c>
      <c r="N254" s="33">
        <v>2.4799999999999999E-2</v>
      </c>
      <c r="O254" s="33">
        <v>0</v>
      </c>
      <c r="P254" s="33">
        <v>0</v>
      </c>
      <c r="Q254" s="74">
        <v>3.2800000000000003E-2</v>
      </c>
    </row>
    <row r="255" spans="4:17" x14ac:dyDescent="0.35">
      <c r="D255" s="23"/>
      <c r="E255" s="30"/>
      <c r="F255" s="30"/>
      <c r="G255" s="23"/>
      <c r="H255" s="30"/>
      <c r="I255" s="30"/>
      <c r="J255" s="31"/>
      <c r="L255" s="32">
        <v>1.41</v>
      </c>
      <c r="M255" s="33">
        <v>2.5600000000000001E-2</v>
      </c>
      <c r="N255" s="33">
        <v>2.5399999999999999E-2</v>
      </c>
      <c r="O255" s="33">
        <v>0</v>
      </c>
      <c r="P255" s="33">
        <v>0</v>
      </c>
      <c r="Q255" s="74">
        <v>3.3300000000000003E-2</v>
      </c>
    </row>
    <row r="256" spans="4:17" x14ac:dyDescent="0.35">
      <c r="D256" s="23"/>
      <c r="E256" s="30"/>
      <c r="F256" s="30"/>
      <c r="G256" s="23"/>
      <c r="H256" s="30"/>
      <c r="I256" s="30"/>
      <c r="J256" s="31"/>
      <c r="L256" s="32">
        <v>1.42</v>
      </c>
      <c r="M256" s="33">
        <v>2.63E-2</v>
      </c>
      <c r="N256" s="33">
        <v>2.6100000000000002E-2</v>
      </c>
      <c r="O256" s="33">
        <v>0</v>
      </c>
      <c r="P256" s="33">
        <v>0</v>
      </c>
      <c r="Q256" s="74">
        <v>3.39E-2</v>
      </c>
    </row>
    <row r="257" spans="4:17" x14ac:dyDescent="0.35">
      <c r="D257" s="23"/>
      <c r="E257" s="30"/>
      <c r="F257" s="30"/>
      <c r="G257" s="23"/>
      <c r="H257" s="30"/>
      <c r="I257" s="30"/>
      <c r="J257" s="31"/>
      <c r="L257" s="32">
        <v>1.43</v>
      </c>
      <c r="M257" s="33">
        <v>2.69E-2</v>
      </c>
      <c r="N257" s="33">
        <v>2.6700000000000002E-2</v>
      </c>
      <c r="O257" s="33">
        <v>0</v>
      </c>
      <c r="P257" s="33">
        <v>0</v>
      </c>
      <c r="Q257" s="74">
        <v>3.44E-2</v>
      </c>
    </row>
    <row r="258" spans="4:17" x14ac:dyDescent="0.35">
      <c r="D258" s="23"/>
      <c r="E258" s="30"/>
      <c r="F258" s="30"/>
      <c r="G258" s="23"/>
      <c r="H258" s="30"/>
      <c r="I258" s="30"/>
      <c r="J258" s="31"/>
      <c r="L258" s="32">
        <v>1.44</v>
      </c>
      <c r="M258" s="33">
        <v>2.75E-2</v>
      </c>
      <c r="N258" s="33">
        <v>2.7300000000000001E-2</v>
      </c>
      <c r="O258" s="33">
        <v>0</v>
      </c>
      <c r="P258" s="33">
        <v>0</v>
      </c>
      <c r="Q258" s="74">
        <v>3.5000000000000003E-2</v>
      </c>
    </row>
    <row r="259" spans="4:17" x14ac:dyDescent="0.35">
      <c r="D259" s="23"/>
      <c r="E259" s="30"/>
      <c r="F259" s="30"/>
      <c r="G259" s="23"/>
      <c r="H259" s="30"/>
      <c r="I259" s="30"/>
      <c r="J259" s="31"/>
      <c r="L259" s="32">
        <v>1.45</v>
      </c>
      <c r="M259" s="33">
        <v>2.81E-2</v>
      </c>
      <c r="N259" s="33">
        <v>2.7900000000000001E-2</v>
      </c>
      <c r="O259" s="33">
        <v>0</v>
      </c>
      <c r="P259" s="33">
        <v>0</v>
      </c>
      <c r="Q259" s="74">
        <v>3.56E-2</v>
      </c>
    </row>
    <row r="260" spans="4:17" x14ac:dyDescent="0.35">
      <c r="D260" s="23"/>
      <c r="E260" s="30"/>
      <c r="F260" s="30"/>
      <c r="G260" s="23"/>
      <c r="H260" s="30"/>
      <c r="I260" s="30"/>
      <c r="J260" s="31"/>
      <c r="L260" s="32">
        <v>1.46</v>
      </c>
      <c r="M260" s="33">
        <v>2.87E-2</v>
      </c>
      <c r="N260" s="33">
        <v>2.8500000000000001E-2</v>
      </c>
      <c r="O260" s="33">
        <v>0</v>
      </c>
      <c r="P260" s="33">
        <v>0</v>
      </c>
      <c r="Q260" s="74">
        <v>3.61E-2</v>
      </c>
    </row>
    <row r="261" spans="4:17" x14ac:dyDescent="0.35">
      <c r="D261" s="23"/>
      <c r="E261" s="30"/>
      <c r="F261" s="30"/>
      <c r="G261" s="23"/>
      <c r="H261" s="30"/>
      <c r="I261" s="30"/>
      <c r="J261" s="31"/>
      <c r="L261" s="32">
        <v>1.47</v>
      </c>
      <c r="M261" s="33">
        <v>2.93E-2</v>
      </c>
      <c r="N261" s="33">
        <v>2.9100000000000001E-2</v>
      </c>
      <c r="O261" s="33">
        <v>0</v>
      </c>
      <c r="P261" s="33">
        <v>0</v>
      </c>
      <c r="Q261" s="74">
        <v>3.6700000000000003E-2</v>
      </c>
    </row>
    <row r="262" spans="4:17" x14ac:dyDescent="0.35">
      <c r="D262" s="23"/>
      <c r="E262" s="30"/>
      <c r="F262" s="30"/>
      <c r="G262" s="23"/>
      <c r="H262" s="30"/>
      <c r="I262" s="30"/>
      <c r="J262" s="31"/>
      <c r="L262" s="32">
        <v>1.48</v>
      </c>
      <c r="M262" s="33">
        <v>2.9899999999999999E-2</v>
      </c>
      <c r="N262" s="33">
        <v>2.9700000000000001E-2</v>
      </c>
      <c r="O262" s="33">
        <v>0</v>
      </c>
      <c r="P262" s="33">
        <v>0</v>
      </c>
      <c r="Q262" s="74">
        <v>3.73E-2</v>
      </c>
    </row>
    <row r="263" spans="4:17" x14ac:dyDescent="0.35">
      <c r="D263" s="23"/>
      <c r="E263" s="30"/>
      <c r="F263" s="30"/>
      <c r="G263" s="23"/>
      <c r="H263" s="30"/>
      <c r="I263" s="30"/>
      <c r="J263" s="31"/>
      <c r="L263" s="32">
        <v>1.49</v>
      </c>
      <c r="M263" s="33">
        <v>3.0499999999999999E-2</v>
      </c>
      <c r="N263" s="33">
        <v>3.0300000000000001E-2</v>
      </c>
      <c r="O263" s="33">
        <v>0</v>
      </c>
      <c r="P263" s="33">
        <v>0</v>
      </c>
      <c r="Q263" s="74">
        <v>3.78E-2</v>
      </c>
    </row>
    <row r="264" spans="4:17" x14ac:dyDescent="0.35">
      <c r="D264" s="23"/>
      <c r="E264" s="30"/>
      <c r="F264" s="30"/>
      <c r="G264" s="23"/>
      <c r="H264" s="30"/>
      <c r="I264" s="30"/>
      <c r="J264" s="31"/>
      <c r="L264" s="32">
        <v>1.5</v>
      </c>
      <c r="M264" s="36">
        <v>3.1099999999999999E-2</v>
      </c>
      <c r="N264" s="36">
        <v>3.09E-2</v>
      </c>
      <c r="O264" s="33">
        <v>0</v>
      </c>
      <c r="P264" s="33">
        <v>0</v>
      </c>
      <c r="Q264" s="74">
        <v>3.8399999999999997E-2</v>
      </c>
    </row>
    <row r="265" spans="4:17" x14ac:dyDescent="0.35">
      <c r="D265" s="23"/>
      <c r="E265" s="30"/>
      <c r="F265" s="30"/>
      <c r="G265" s="23"/>
      <c r="H265" s="30"/>
      <c r="I265" s="30"/>
      <c r="J265" s="31"/>
      <c r="L265" s="32">
        <v>1.51</v>
      </c>
      <c r="M265" s="33">
        <v>3.1300000000000001E-2</v>
      </c>
      <c r="N265" s="33">
        <v>3.1099999999999999E-2</v>
      </c>
      <c r="O265" s="33">
        <v>4.0000000000000002E-4</v>
      </c>
      <c r="P265" s="33">
        <v>4.0000000000000002E-4</v>
      </c>
      <c r="Q265" s="74">
        <v>3.8800000000000001E-2</v>
      </c>
    </row>
    <row r="266" spans="4:17" x14ac:dyDescent="0.35">
      <c r="D266" s="23"/>
      <c r="E266" s="30"/>
      <c r="F266" s="30"/>
      <c r="G266" s="23"/>
      <c r="H266" s="30"/>
      <c r="I266" s="30"/>
      <c r="J266" s="31"/>
      <c r="L266" s="32">
        <v>1.52</v>
      </c>
      <c r="M266" s="33">
        <v>3.15E-2</v>
      </c>
      <c r="N266" s="33">
        <v>3.1300000000000001E-2</v>
      </c>
      <c r="O266" s="33">
        <v>8.0000000000000004E-4</v>
      </c>
      <c r="P266" s="33">
        <v>8.0000000000000004E-4</v>
      </c>
      <c r="Q266" s="74">
        <v>3.9300000000000002E-2</v>
      </c>
    </row>
    <row r="267" spans="4:17" x14ac:dyDescent="0.35">
      <c r="D267" s="23"/>
      <c r="E267" s="30"/>
      <c r="F267" s="30"/>
      <c r="G267" s="23"/>
      <c r="H267" s="30"/>
      <c r="I267" s="30"/>
      <c r="J267" s="31"/>
      <c r="L267" s="32">
        <v>1.53</v>
      </c>
      <c r="M267" s="33">
        <v>3.1699999999999999E-2</v>
      </c>
      <c r="N267" s="33">
        <v>3.15E-2</v>
      </c>
      <c r="O267" s="33">
        <v>1.1999999999999999E-3</v>
      </c>
      <c r="P267" s="33">
        <v>1.1999999999999999E-3</v>
      </c>
      <c r="Q267" s="74">
        <v>3.9699999999999999E-2</v>
      </c>
    </row>
    <row r="268" spans="4:17" x14ac:dyDescent="0.35">
      <c r="D268" s="23"/>
      <c r="E268" s="30"/>
      <c r="F268" s="30"/>
      <c r="G268" s="23"/>
      <c r="H268" s="30"/>
      <c r="I268" s="30"/>
      <c r="J268" s="31"/>
      <c r="L268" s="32">
        <v>1.54</v>
      </c>
      <c r="M268" s="33">
        <v>3.1899999999999998E-2</v>
      </c>
      <c r="N268" s="33">
        <v>3.1699999999999999E-2</v>
      </c>
      <c r="O268" s="33">
        <v>1.6000000000000001E-3</v>
      </c>
      <c r="P268" s="33">
        <v>1.6000000000000001E-3</v>
      </c>
      <c r="Q268" s="74">
        <v>4.02E-2</v>
      </c>
    </row>
    <row r="269" spans="4:17" x14ac:dyDescent="0.35">
      <c r="D269" s="23"/>
      <c r="E269" s="30"/>
      <c r="F269" s="30"/>
      <c r="G269" s="23"/>
      <c r="H269" s="30"/>
      <c r="I269" s="30"/>
      <c r="J269" s="31"/>
      <c r="L269" s="32">
        <v>1.55</v>
      </c>
      <c r="M269" s="33">
        <v>3.2099999999999997E-2</v>
      </c>
      <c r="N269" s="33">
        <v>3.1899999999999998E-2</v>
      </c>
      <c r="O269" s="33">
        <v>2E-3</v>
      </c>
      <c r="P269" s="33">
        <v>2E-3</v>
      </c>
      <c r="Q269" s="74">
        <v>4.0599999999999997E-2</v>
      </c>
    </row>
    <row r="270" spans="4:17" x14ac:dyDescent="0.35">
      <c r="D270" s="23"/>
      <c r="E270" s="30"/>
      <c r="F270" s="30"/>
      <c r="G270" s="23"/>
      <c r="H270" s="30"/>
      <c r="I270" s="30"/>
      <c r="J270" s="31"/>
      <c r="L270" s="32">
        <v>1.56</v>
      </c>
      <c r="M270" s="33">
        <v>3.2300000000000002E-2</v>
      </c>
      <c r="N270" s="33">
        <v>3.2099999999999997E-2</v>
      </c>
      <c r="O270" s="33">
        <v>2.3999999999999998E-3</v>
      </c>
      <c r="P270" s="33">
        <v>2.3999999999999998E-3</v>
      </c>
      <c r="Q270" s="74">
        <v>4.1099999999999998E-2</v>
      </c>
    </row>
    <row r="271" spans="4:17" x14ac:dyDescent="0.35">
      <c r="D271" s="23"/>
      <c r="E271" s="30"/>
      <c r="F271" s="30"/>
      <c r="G271" s="23"/>
      <c r="H271" s="30"/>
      <c r="I271" s="30"/>
      <c r="J271" s="31"/>
      <c r="L271" s="32">
        <v>1.57</v>
      </c>
      <c r="M271" s="33">
        <v>3.2599999999999997E-2</v>
      </c>
      <c r="N271" s="33">
        <v>3.2300000000000002E-2</v>
      </c>
      <c r="O271" s="33">
        <v>2.8E-3</v>
      </c>
      <c r="P271" s="33">
        <v>2.8E-3</v>
      </c>
      <c r="Q271" s="74">
        <v>4.1500000000000002E-2</v>
      </c>
    </row>
    <row r="272" spans="4:17" x14ac:dyDescent="0.35">
      <c r="D272" s="23"/>
      <c r="E272" s="30"/>
      <c r="F272" s="30"/>
      <c r="G272" s="23"/>
      <c r="H272" s="30"/>
      <c r="I272" s="30"/>
      <c r="J272" s="31"/>
      <c r="L272" s="32">
        <v>1.58</v>
      </c>
      <c r="M272" s="33">
        <v>3.2800000000000003E-2</v>
      </c>
      <c r="N272" s="33">
        <v>3.2500000000000001E-2</v>
      </c>
      <c r="O272" s="33">
        <v>3.2000000000000002E-3</v>
      </c>
      <c r="P272" s="33">
        <v>3.2000000000000002E-3</v>
      </c>
      <c r="Q272" s="74">
        <v>4.19E-2</v>
      </c>
    </row>
    <row r="273" spans="4:17" x14ac:dyDescent="0.35">
      <c r="D273" s="23"/>
      <c r="E273" s="30"/>
      <c r="F273" s="30"/>
      <c r="G273" s="23"/>
      <c r="H273" s="30"/>
      <c r="I273" s="30"/>
      <c r="J273" s="31"/>
      <c r="L273" s="32">
        <v>1.59</v>
      </c>
      <c r="M273" s="33">
        <v>3.3000000000000002E-2</v>
      </c>
      <c r="N273" s="33">
        <v>3.2800000000000003E-2</v>
      </c>
      <c r="O273" s="33">
        <v>3.5999999999999999E-3</v>
      </c>
      <c r="P273" s="33">
        <v>3.5999999999999999E-3</v>
      </c>
      <c r="Q273" s="74">
        <v>4.24E-2</v>
      </c>
    </row>
    <row r="274" spans="4:17" x14ac:dyDescent="0.35">
      <c r="D274" s="23"/>
      <c r="E274" s="30"/>
      <c r="F274" s="30"/>
      <c r="G274" s="23"/>
      <c r="H274" s="30"/>
      <c r="I274" s="30"/>
      <c r="J274" s="31"/>
      <c r="L274" s="32">
        <v>1.6</v>
      </c>
      <c r="M274" s="33">
        <v>3.32E-2</v>
      </c>
      <c r="N274" s="33">
        <v>3.3000000000000002E-2</v>
      </c>
      <c r="O274" s="33">
        <v>4.0000000000000001E-3</v>
      </c>
      <c r="P274" s="33">
        <v>4.0000000000000001E-3</v>
      </c>
      <c r="Q274" s="74">
        <v>4.2799999999999998E-2</v>
      </c>
    </row>
    <row r="275" spans="4:17" x14ac:dyDescent="0.35">
      <c r="D275" s="23"/>
      <c r="E275" s="30"/>
      <c r="F275" s="30"/>
      <c r="G275" s="23"/>
      <c r="H275" s="30"/>
      <c r="I275" s="30"/>
      <c r="J275" s="31"/>
      <c r="L275" s="32">
        <v>1.61</v>
      </c>
      <c r="M275" s="33">
        <v>3.3399999999999999E-2</v>
      </c>
      <c r="N275" s="33">
        <v>3.32E-2</v>
      </c>
      <c r="O275" s="33">
        <v>4.4000000000000003E-3</v>
      </c>
      <c r="P275" s="33">
        <v>4.4000000000000003E-3</v>
      </c>
      <c r="Q275" s="74">
        <v>4.3299999999999998E-2</v>
      </c>
    </row>
    <row r="276" spans="4:17" x14ac:dyDescent="0.35">
      <c r="D276" s="23"/>
      <c r="E276" s="30"/>
      <c r="F276" s="30"/>
      <c r="G276" s="23"/>
      <c r="H276" s="30"/>
      <c r="I276" s="30"/>
      <c r="J276" s="31"/>
      <c r="L276" s="32">
        <v>1.62</v>
      </c>
      <c r="M276" s="33">
        <v>3.3599999999999998E-2</v>
      </c>
      <c r="N276" s="33">
        <v>3.3399999999999999E-2</v>
      </c>
      <c r="O276" s="33">
        <v>4.7999999999999996E-3</v>
      </c>
      <c r="P276" s="33">
        <v>4.7999999999999996E-3</v>
      </c>
      <c r="Q276" s="74">
        <v>4.3700000000000003E-2</v>
      </c>
    </row>
    <row r="277" spans="4:17" x14ac:dyDescent="0.35">
      <c r="D277" s="23"/>
      <c r="E277" s="30"/>
      <c r="F277" s="30"/>
      <c r="G277" s="23"/>
      <c r="H277" s="30"/>
      <c r="I277" s="30"/>
      <c r="J277" s="31"/>
      <c r="L277" s="32">
        <v>1.63</v>
      </c>
      <c r="M277" s="33">
        <v>3.3799999999999997E-2</v>
      </c>
      <c r="N277" s="33">
        <v>3.3599999999999998E-2</v>
      </c>
      <c r="O277" s="33">
        <v>5.1999999999999998E-3</v>
      </c>
      <c r="P277" s="33">
        <v>5.1999999999999998E-3</v>
      </c>
      <c r="Q277" s="74">
        <v>4.41E-2</v>
      </c>
    </row>
    <row r="278" spans="4:17" x14ac:dyDescent="0.35">
      <c r="D278" s="23"/>
      <c r="E278" s="30"/>
      <c r="F278" s="30"/>
      <c r="G278" s="23"/>
      <c r="H278" s="30"/>
      <c r="I278" s="30"/>
      <c r="J278" s="31"/>
      <c r="L278" s="32">
        <v>1.64</v>
      </c>
      <c r="M278" s="33">
        <v>3.4000000000000002E-2</v>
      </c>
      <c r="N278" s="33">
        <v>3.3799999999999997E-2</v>
      </c>
      <c r="O278" s="33">
        <v>5.5999999999999999E-3</v>
      </c>
      <c r="P278" s="33">
        <v>5.5999999999999999E-3</v>
      </c>
      <c r="Q278" s="74">
        <v>4.4600000000000001E-2</v>
      </c>
    </row>
    <row r="279" spans="4:17" x14ac:dyDescent="0.35">
      <c r="D279" s="23"/>
      <c r="E279" s="30"/>
      <c r="F279" s="30"/>
      <c r="G279" s="23"/>
      <c r="H279" s="30"/>
      <c r="I279" s="30"/>
      <c r="J279" s="31"/>
      <c r="L279" s="32">
        <v>1.65</v>
      </c>
      <c r="M279" s="33">
        <v>3.4200000000000001E-2</v>
      </c>
      <c r="N279" s="33">
        <v>3.4000000000000002E-2</v>
      </c>
      <c r="O279" s="33">
        <v>6.0000000000000001E-3</v>
      </c>
      <c r="P279" s="33">
        <v>6.0000000000000001E-3</v>
      </c>
      <c r="Q279" s="74">
        <v>4.4999999999999998E-2</v>
      </c>
    </row>
    <row r="280" spans="4:17" x14ac:dyDescent="0.35">
      <c r="D280" s="23"/>
      <c r="E280" s="30"/>
      <c r="F280" s="30"/>
      <c r="G280" s="23"/>
      <c r="H280" s="30"/>
      <c r="I280" s="30"/>
      <c r="J280" s="31"/>
      <c r="L280" s="32">
        <v>1.66</v>
      </c>
      <c r="M280" s="33">
        <v>3.44E-2</v>
      </c>
      <c r="N280" s="33">
        <v>3.4200000000000001E-2</v>
      </c>
      <c r="O280" s="33">
        <v>6.4000000000000003E-3</v>
      </c>
      <c r="P280" s="33">
        <v>6.4000000000000003E-3</v>
      </c>
      <c r="Q280" s="74">
        <v>4.5499999999999999E-2</v>
      </c>
    </row>
    <row r="281" spans="4:17" x14ac:dyDescent="0.35">
      <c r="D281" s="23"/>
      <c r="E281" s="30"/>
      <c r="F281" s="30"/>
      <c r="G281" s="23"/>
      <c r="H281" s="30"/>
      <c r="I281" s="30"/>
      <c r="J281" s="31"/>
      <c r="L281" s="32">
        <v>1.67</v>
      </c>
      <c r="M281" s="33">
        <v>3.4599999999999999E-2</v>
      </c>
      <c r="N281" s="33">
        <v>3.44E-2</v>
      </c>
      <c r="O281" s="33">
        <v>6.7999999999999996E-3</v>
      </c>
      <c r="P281" s="33">
        <v>6.7999999999999996E-3</v>
      </c>
      <c r="Q281" s="74">
        <v>4.5900000000000003E-2</v>
      </c>
    </row>
    <row r="282" spans="4:17" x14ac:dyDescent="0.35">
      <c r="D282" s="23"/>
      <c r="E282" s="30"/>
      <c r="F282" s="30"/>
      <c r="G282" s="23"/>
      <c r="H282" s="30"/>
      <c r="I282" s="30"/>
      <c r="J282" s="31"/>
      <c r="L282" s="32">
        <v>1.68</v>
      </c>
      <c r="M282" s="33">
        <v>3.4799999999999998E-2</v>
      </c>
      <c r="N282" s="33">
        <v>3.4599999999999999E-2</v>
      </c>
      <c r="O282" s="33">
        <v>7.1999999999999998E-3</v>
      </c>
      <c r="P282" s="33">
        <v>7.1999999999999998E-3</v>
      </c>
      <c r="Q282" s="74">
        <v>4.6399999999999997E-2</v>
      </c>
    </row>
    <row r="283" spans="4:17" x14ac:dyDescent="0.35">
      <c r="D283" s="23"/>
      <c r="E283" s="30"/>
      <c r="F283" s="30"/>
      <c r="G283" s="23"/>
      <c r="H283" s="30"/>
      <c r="I283" s="30"/>
      <c r="J283" s="31"/>
      <c r="L283" s="32">
        <v>1.69</v>
      </c>
      <c r="M283" s="33">
        <v>3.5099999999999999E-2</v>
      </c>
      <c r="N283" s="33">
        <v>3.4799999999999998E-2</v>
      </c>
      <c r="O283" s="33">
        <v>7.6E-3</v>
      </c>
      <c r="P283" s="33">
        <v>7.6E-3</v>
      </c>
      <c r="Q283" s="74">
        <v>4.6800000000000001E-2</v>
      </c>
    </row>
    <row r="284" spans="4:17" x14ac:dyDescent="0.35">
      <c r="D284" s="23"/>
      <c r="E284" s="30"/>
      <c r="F284" s="30"/>
      <c r="G284" s="23"/>
      <c r="H284" s="30"/>
      <c r="I284" s="30"/>
      <c r="J284" s="31"/>
      <c r="L284" s="32">
        <v>1.7</v>
      </c>
      <c r="M284" s="33">
        <v>3.5299999999999998E-2</v>
      </c>
      <c r="N284" s="33">
        <v>3.5000000000000003E-2</v>
      </c>
      <c r="O284" s="33">
        <v>8.0000000000000002E-3</v>
      </c>
      <c r="P284" s="33">
        <v>8.0000000000000002E-3</v>
      </c>
      <c r="Q284" s="74">
        <v>4.7199999999999999E-2</v>
      </c>
    </row>
    <row r="285" spans="4:17" x14ac:dyDescent="0.35">
      <c r="D285" s="23"/>
      <c r="E285" s="30"/>
      <c r="F285" s="30"/>
      <c r="G285" s="23"/>
      <c r="H285" s="30"/>
      <c r="I285" s="30"/>
      <c r="J285" s="31"/>
      <c r="L285" s="32">
        <v>1.71</v>
      </c>
      <c r="M285" s="33">
        <v>3.5499999999999997E-2</v>
      </c>
      <c r="N285" s="33">
        <v>3.5200000000000002E-2</v>
      </c>
      <c r="O285" s="33">
        <v>8.3999999999999995E-3</v>
      </c>
      <c r="P285" s="33">
        <v>8.3999999999999995E-3</v>
      </c>
      <c r="Q285" s="74">
        <v>4.7699999999999999E-2</v>
      </c>
    </row>
    <row r="286" spans="4:17" x14ac:dyDescent="0.35">
      <c r="D286" s="23"/>
      <c r="E286" s="30"/>
      <c r="F286" s="30"/>
      <c r="G286" s="23"/>
      <c r="H286" s="30"/>
      <c r="I286" s="30"/>
      <c r="J286" s="31"/>
      <c r="L286" s="32">
        <v>1.72</v>
      </c>
      <c r="M286" s="33">
        <v>3.5700000000000003E-2</v>
      </c>
      <c r="N286" s="33">
        <v>3.5400000000000001E-2</v>
      </c>
      <c r="O286" s="33">
        <v>8.8000000000000005E-3</v>
      </c>
      <c r="P286" s="33">
        <v>8.8000000000000005E-3</v>
      </c>
      <c r="Q286" s="74">
        <v>4.8099999999999997E-2</v>
      </c>
    </row>
    <row r="287" spans="4:17" x14ac:dyDescent="0.35">
      <c r="D287" s="23"/>
      <c r="E287" s="30"/>
      <c r="F287" s="30"/>
      <c r="G287" s="23"/>
      <c r="H287" s="30"/>
      <c r="I287" s="30"/>
      <c r="J287" s="31"/>
      <c r="L287" s="32">
        <v>1.73</v>
      </c>
      <c r="M287" s="33">
        <v>3.5900000000000001E-2</v>
      </c>
      <c r="N287" s="33">
        <v>3.56E-2</v>
      </c>
      <c r="O287" s="33">
        <v>9.1999999999999998E-3</v>
      </c>
      <c r="P287" s="33">
        <v>9.1999999999999998E-3</v>
      </c>
      <c r="Q287" s="74">
        <v>4.8599999999999997E-2</v>
      </c>
    </row>
    <row r="288" spans="4:17" x14ac:dyDescent="0.35">
      <c r="D288" s="23"/>
      <c r="E288" s="30"/>
      <c r="F288" s="30"/>
      <c r="G288" s="23"/>
      <c r="H288" s="30"/>
      <c r="I288" s="30"/>
      <c r="J288" s="31"/>
      <c r="L288" s="32">
        <v>1.74</v>
      </c>
      <c r="M288" s="33">
        <v>3.61E-2</v>
      </c>
      <c r="N288" s="33">
        <v>3.5799999999999998E-2</v>
      </c>
      <c r="O288" s="33">
        <v>9.5999999999999992E-3</v>
      </c>
      <c r="P288" s="33">
        <v>9.5999999999999992E-3</v>
      </c>
      <c r="Q288" s="74">
        <v>4.9000000000000002E-2</v>
      </c>
    </row>
    <row r="289" spans="4:17" x14ac:dyDescent="0.35">
      <c r="D289" s="23"/>
      <c r="E289" s="30"/>
      <c r="F289" s="30"/>
      <c r="G289" s="23"/>
      <c r="H289" s="30"/>
      <c r="I289" s="30"/>
      <c r="J289" s="31"/>
      <c r="L289" s="32">
        <v>1.75</v>
      </c>
      <c r="M289" s="33">
        <v>3.6299999999999999E-2</v>
      </c>
      <c r="N289" s="33">
        <v>3.61E-2</v>
      </c>
      <c r="O289" s="33">
        <v>0.01</v>
      </c>
      <c r="P289" s="33">
        <v>0.01</v>
      </c>
      <c r="Q289" s="74">
        <v>4.9399999999999999E-2</v>
      </c>
    </row>
    <row r="290" spans="4:17" x14ac:dyDescent="0.35">
      <c r="D290" s="23"/>
      <c r="E290" s="30"/>
      <c r="F290" s="30"/>
      <c r="G290" s="23"/>
      <c r="H290" s="30"/>
      <c r="I290" s="30"/>
      <c r="J290" s="31"/>
      <c r="L290" s="32">
        <v>1.76</v>
      </c>
      <c r="M290" s="33">
        <v>3.6499999999999998E-2</v>
      </c>
      <c r="N290" s="33">
        <v>3.6299999999999999E-2</v>
      </c>
      <c r="O290" s="33">
        <v>1.04E-2</v>
      </c>
      <c r="P290" s="33">
        <v>1.04E-2</v>
      </c>
      <c r="Q290" s="74">
        <v>4.99E-2</v>
      </c>
    </row>
    <row r="291" spans="4:17" x14ac:dyDescent="0.35">
      <c r="D291" s="23"/>
      <c r="E291" s="30"/>
      <c r="F291" s="30"/>
      <c r="G291" s="23"/>
      <c r="H291" s="30"/>
      <c r="I291" s="30"/>
      <c r="J291" s="31"/>
      <c r="L291" s="32">
        <v>1.77</v>
      </c>
      <c r="M291" s="33">
        <v>3.6700000000000003E-2</v>
      </c>
      <c r="N291" s="33">
        <v>3.6499999999999998E-2</v>
      </c>
      <c r="O291" s="33">
        <v>1.0800000000000001E-2</v>
      </c>
      <c r="P291" s="33">
        <v>1.0800000000000001E-2</v>
      </c>
      <c r="Q291" s="74">
        <v>5.0299999999999997E-2</v>
      </c>
    </row>
    <row r="292" spans="4:17" x14ac:dyDescent="0.35">
      <c r="D292" s="23"/>
      <c r="E292" s="30"/>
      <c r="F292" s="30"/>
      <c r="G292" s="23"/>
      <c r="H292" s="30"/>
      <c r="I292" s="30"/>
      <c r="J292" s="31"/>
      <c r="L292" s="32">
        <v>1.78</v>
      </c>
      <c r="M292" s="33">
        <v>3.6900000000000002E-2</v>
      </c>
      <c r="N292" s="33">
        <v>3.6700000000000003E-2</v>
      </c>
      <c r="O292" s="33">
        <v>1.12E-2</v>
      </c>
      <c r="P292" s="33">
        <v>1.12E-2</v>
      </c>
      <c r="Q292" s="74">
        <v>5.0799999999999998E-2</v>
      </c>
    </row>
    <row r="293" spans="4:17" x14ac:dyDescent="0.35">
      <c r="D293" s="23"/>
      <c r="E293" s="30"/>
      <c r="F293" s="30"/>
      <c r="G293" s="23"/>
      <c r="H293" s="30"/>
      <c r="I293" s="30"/>
      <c r="J293" s="31"/>
      <c r="L293" s="32">
        <v>1.79</v>
      </c>
      <c r="M293" s="33">
        <v>3.7100000000000001E-2</v>
      </c>
      <c r="N293" s="33">
        <v>3.6900000000000002E-2</v>
      </c>
      <c r="O293" s="33">
        <v>1.1599999999999999E-2</v>
      </c>
      <c r="P293" s="33">
        <v>1.1599999999999999E-2</v>
      </c>
      <c r="Q293" s="74">
        <v>5.1200000000000002E-2</v>
      </c>
    </row>
    <row r="294" spans="4:17" x14ac:dyDescent="0.35">
      <c r="D294" s="23"/>
      <c r="E294" s="30"/>
      <c r="F294" s="30"/>
      <c r="G294" s="23"/>
      <c r="H294" s="30"/>
      <c r="I294" s="30"/>
      <c r="J294" s="31"/>
      <c r="L294" s="32">
        <v>1.8</v>
      </c>
      <c r="M294" s="33">
        <v>3.73E-2</v>
      </c>
      <c r="N294" s="33">
        <v>3.7100000000000001E-2</v>
      </c>
      <c r="O294" s="33">
        <v>1.2E-2</v>
      </c>
      <c r="P294" s="33">
        <v>1.2E-2</v>
      </c>
      <c r="Q294" s="74">
        <v>5.1700000000000003E-2</v>
      </c>
    </row>
    <row r="295" spans="4:17" x14ac:dyDescent="0.35">
      <c r="D295" s="23"/>
      <c r="E295" s="30"/>
      <c r="F295" s="30"/>
      <c r="G295" s="23"/>
      <c r="H295" s="30"/>
      <c r="I295" s="30"/>
      <c r="J295" s="31"/>
      <c r="L295" s="32">
        <v>1.81</v>
      </c>
      <c r="M295" s="33">
        <v>3.7499999999999999E-2</v>
      </c>
      <c r="N295" s="33">
        <v>3.73E-2</v>
      </c>
      <c r="O295" s="33">
        <v>1.24E-2</v>
      </c>
      <c r="P295" s="33">
        <v>1.24E-2</v>
      </c>
      <c r="Q295" s="74">
        <v>5.21E-2</v>
      </c>
    </row>
    <row r="296" spans="4:17" x14ac:dyDescent="0.35">
      <c r="D296" s="23"/>
      <c r="E296" s="30"/>
      <c r="F296" s="30"/>
      <c r="G296" s="23"/>
      <c r="H296" s="30"/>
      <c r="I296" s="30"/>
      <c r="J296" s="31"/>
      <c r="L296" s="32">
        <v>1.82</v>
      </c>
      <c r="M296" s="33">
        <v>3.78E-2</v>
      </c>
      <c r="N296" s="33">
        <v>3.7499999999999999E-2</v>
      </c>
      <c r="O296" s="33">
        <v>1.2800000000000001E-2</v>
      </c>
      <c r="P296" s="33">
        <v>1.2800000000000001E-2</v>
      </c>
      <c r="Q296" s="74">
        <v>5.2499999999999998E-2</v>
      </c>
    </row>
    <row r="297" spans="4:17" x14ac:dyDescent="0.35">
      <c r="D297" s="23"/>
      <c r="E297" s="30"/>
      <c r="F297" s="30"/>
      <c r="G297" s="23"/>
      <c r="H297" s="30"/>
      <c r="I297" s="30"/>
      <c r="J297" s="31"/>
      <c r="L297" s="32">
        <v>1.83</v>
      </c>
      <c r="M297" s="33">
        <v>3.7999999999999999E-2</v>
      </c>
      <c r="N297" s="33">
        <v>3.7699999999999997E-2</v>
      </c>
      <c r="O297" s="33">
        <v>1.32E-2</v>
      </c>
      <c r="P297" s="33">
        <v>1.32E-2</v>
      </c>
      <c r="Q297" s="74">
        <v>5.2999999999999999E-2</v>
      </c>
    </row>
    <row r="298" spans="4:17" x14ac:dyDescent="0.35">
      <c r="D298" s="23"/>
      <c r="E298" s="30"/>
      <c r="F298" s="30"/>
      <c r="G298" s="23"/>
      <c r="H298" s="30"/>
      <c r="I298" s="30"/>
      <c r="J298" s="31"/>
      <c r="L298" s="32">
        <v>1.84</v>
      </c>
      <c r="M298" s="33">
        <v>3.8199999999999998E-2</v>
      </c>
      <c r="N298" s="33">
        <v>3.7900000000000003E-2</v>
      </c>
      <c r="O298" s="33">
        <v>1.3599999999999999E-2</v>
      </c>
      <c r="P298" s="33">
        <v>1.3599999999999999E-2</v>
      </c>
      <c r="Q298" s="74">
        <v>5.3400000000000003E-2</v>
      </c>
    </row>
    <row r="299" spans="4:17" x14ac:dyDescent="0.35">
      <c r="D299" s="23"/>
      <c r="E299" s="30"/>
      <c r="F299" s="30"/>
      <c r="G299" s="23"/>
      <c r="H299" s="30"/>
      <c r="I299" s="30"/>
      <c r="J299" s="31"/>
      <c r="L299" s="32">
        <v>1.85</v>
      </c>
      <c r="M299" s="33">
        <v>3.8399999999999997E-2</v>
      </c>
      <c r="N299" s="33">
        <v>3.8100000000000002E-2</v>
      </c>
      <c r="O299" s="33">
        <v>1.4E-2</v>
      </c>
      <c r="P299" s="33">
        <v>1.4E-2</v>
      </c>
      <c r="Q299" s="74">
        <v>5.3900000000000003E-2</v>
      </c>
    </row>
    <row r="300" spans="4:17" x14ac:dyDescent="0.35">
      <c r="D300" s="23"/>
      <c r="E300" s="30"/>
      <c r="F300" s="30"/>
      <c r="G300" s="23"/>
      <c r="H300" s="30"/>
      <c r="I300" s="30"/>
      <c r="J300" s="31"/>
      <c r="L300" s="32">
        <v>1.86</v>
      </c>
      <c r="M300" s="33">
        <v>3.8600000000000002E-2</v>
      </c>
      <c r="N300" s="33">
        <v>3.8300000000000001E-2</v>
      </c>
      <c r="O300" s="33">
        <v>1.44E-2</v>
      </c>
      <c r="P300" s="33">
        <v>1.44E-2</v>
      </c>
      <c r="Q300" s="74">
        <v>5.4300000000000001E-2</v>
      </c>
    </row>
    <row r="301" spans="4:17" x14ac:dyDescent="0.35">
      <c r="D301" s="23"/>
      <c r="E301" s="30"/>
      <c r="F301" s="30"/>
      <c r="G301" s="23"/>
      <c r="H301" s="30"/>
      <c r="I301" s="30"/>
      <c r="J301" s="31"/>
      <c r="L301" s="32">
        <v>1.87</v>
      </c>
      <c r="M301" s="33">
        <v>3.8800000000000001E-2</v>
      </c>
      <c r="N301" s="33">
        <v>3.85E-2</v>
      </c>
      <c r="O301" s="33">
        <v>1.4800000000000001E-2</v>
      </c>
      <c r="P301" s="33">
        <v>1.4800000000000001E-2</v>
      </c>
      <c r="Q301" s="74">
        <v>5.4800000000000001E-2</v>
      </c>
    </row>
    <row r="302" spans="4:17" x14ac:dyDescent="0.35">
      <c r="D302" s="23"/>
      <c r="E302" s="30"/>
      <c r="F302" s="30"/>
      <c r="G302" s="23"/>
      <c r="H302" s="30"/>
      <c r="I302" s="30"/>
      <c r="J302" s="31"/>
      <c r="L302" s="32">
        <v>1.88</v>
      </c>
      <c r="M302" s="33">
        <v>3.9E-2</v>
      </c>
      <c r="N302" s="33">
        <v>3.8699999999999998E-2</v>
      </c>
      <c r="O302" s="33">
        <v>1.52E-2</v>
      </c>
      <c r="P302" s="33">
        <v>1.52E-2</v>
      </c>
      <c r="Q302" s="74">
        <v>5.5199999999999999E-2</v>
      </c>
    </row>
    <row r="303" spans="4:17" x14ac:dyDescent="0.35">
      <c r="D303" s="23"/>
      <c r="E303" s="30"/>
      <c r="F303" s="30"/>
      <c r="G303" s="23"/>
      <c r="H303" s="30"/>
      <c r="I303" s="30"/>
      <c r="J303" s="31"/>
      <c r="L303" s="32">
        <v>1.89</v>
      </c>
      <c r="M303" s="33">
        <v>3.9199999999999999E-2</v>
      </c>
      <c r="N303" s="33">
        <v>3.8899999999999997E-2</v>
      </c>
      <c r="O303" s="33">
        <v>1.5599999999999999E-2</v>
      </c>
      <c r="P303" s="33">
        <v>1.5599999999999999E-2</v>
      </c>
      <c r="Q303" s="74">
        <v>5.5599999999999997E-2</v>
      </c>
    </row>
    <row r="304" spans="4:17" x14ac:dyDescent="0.35">
      <c r="D304" s="23"/>
      <c r="E304" s="30"/>
      <c r="F304" s="30"/>
      <c r="G304" s="23"/>
      <c r="H304" s="30"/>
      <c r="I304" s="30"/>
      <c r="J304" s="31"/>
      <c r="L304" s="32">
        <v>1.9</v>
      </c>
      <c r="M304" s="33">
        <v>3.9399999999999998E-2</v>
      </c>
      <c r="N304" s="33">
        <v>3.9100000000000003E-2</v>
      </c>
      <c r="O304" s="33">
        <v>1.6E-2</v>
      </c>
      <c r="P304" s="33">
        <v>1.6E-2</v>
      </c>
      <c r="Q304" s="74">
        <v>5.6099999999999997E-2</v>
      </c>
    </row>
    <row r="305" spans="4:17" x14ac:dyDescent="0.35">
      <c r="D305" s="23"/>
      <c r="E305" s="30"/>
      <c r="F305" s="30"/>
      <c r="G305" s="23"/>
      <c r="H305" s="30"/>
      <c r="I305" s="30"/>
      <c r="J305" s="31"/>
      <c r="L305" s="32">
        <v>1.91</v>
      </c>
      <c r="M305" s="33">
        <v>3.9600000000000003E-2</v>
      </c>
      <c r="N305" s="33">
        <v>3.9300000000000002E-2</v>
      </c>
      <c r="O305" s="33">
        <v>1.6400000000000001E-2</v>
      </c>
      <c r="P305" s="33">
        <v>1.6400000000000001E-2</v>
      </c>
      <c r="Q305" s="74">
        <v>5.6500000000000002E-2</v>
      </c>
    </row>
    <row r="306" spans="4:17" x14ac:dyDescent="0.35">
      <c r="D306" s="23"/>
      <c r="E306" s="30"/>
      <c r="F306" s="30"/>
      <c r="G306" s="23"/>
      <c r="H306" s="30"/>
      <c r="I306" s="30"/>
      <c r="J306" s="31"/>
      <c r="L306" s="32">
        <v>1.92</v>
      </c>
      <c r="M306" s="33">
        <v>3.9800000000000002E-2</v>
      </c>
      <c r="N306" s="33">
        <v>3.9600000000000003E-2</v>
      </c>
      <c r="O306" s="33">
        <v>1.6799999999999999E-2</v>
      </c>
      <c r="P306" s="33">
        <v>1.6799999999999999E-2</v>
      </c>
      <c r="Q306" s="74">
        <v>5.7000000000000002E-2</v>
      </c>
    </row>
    <row r="307" spans="4:17" x14ac:dyDescent="0.35">
      <c r="D307" s="23"/>
      <c r="E307" s="30"/>
      <c r="F307" s="30"/>
      <c r="G307" s="23"/>
      <c r="H307" s="30"/>
      <c r="I307" s="30"/>
      <c r="J307" s="31"/>
      <c r="L307" s="32">
        <v>1.93</v>
      </c>
      <c r="M307" s="33">
        <v>0.04</v>
      </c>
      <c r="N307" s="33">
        <v>3.9800000000000002E-2</v>
      </c>
      <c r="O307" s="33">
        <v>1.72E-2</v>
      </c>
      <c r="P307" s="33">
        <v>1.72E-2</v>
      </c>
      <c r="Q307" s="74">
        <v>5.74E-2</v>
      </c>
    </row>
    <row r="308" spans="4:17" x14ac:dyDescent="0.35">
      <c r="D308" s="23"/>
      <c r="E308" s="30"/>
      <c r="F308" s="30"/>
      <c r="G308" s="23"/>
      <c r="H308" s="30"/>
      <c r="I308" s="30"/>
      <c r="J308" s="31"/>
      <c r="L308" s="32">
        <v>1.94</v>
      </c>
      <c r="M308" s="33">
        <v>4.0300000000000002E-2</v>
      </c>
      <c r="N308" s="33">
        <v>0.04</v>
      </c>
      <c r="O308" s="33">
        <v>1.7600000000000001E-2</v>
      </c>
      <c r="P308" s="33">
        <v>1.7600000000000001E-2</v>
      </c>
      <c r="Q308" s="74">
        <v>5.7799999999999997E-2</v>
      </c>
    </row>
    <row r="309" spans="4:17" x14ac:dyDescent="0.35">
      <c r="D309" s="23"/>
      <c r="E309" s="30"/>
      <c r="F309" s="30"/>
      <c r="G309" s="23"/>
      <c r="H309" s="30"/>
      <c r="I309" s="30"/>
      <c r="J309" s="31"/>
      <c r="L309" s="32">
        <v>1.95</v>
      </c>
      <c r="M309" s="33">
        <v>4.0500000000000001E-2</v>
      </c>
      <c r="N309" s="33">
        <v>4.02E-2</v>
      </c>
      <c r="O309" s="33">
        <v>1.7999999999999999E-2</v>
      </c>
      <c r="P309" s="33">
        <v>1.7999999999999999E-2</v>
      </c>
      <c r="Q309" s="74">
        <v>5.8299999999999998E-2</v>
      </c>
    </row>
    <row r="310" spans="4:17" x14ac:dyDescent="0.35">
      <c r="D310" s="23"/>
      <c r="E310" s="30"/>
      <c r="F310" s="30"/>
      <c r="G310" s="23"/>
      <c r="H310" s="30"/>
      <c r="I310" s="30"/>
      <c r="J310" s="31"/>
      <c r="L310" s="32">
        <v>1.96</v>
      </c>
      <c r="M310" s="33">
        <v>4.07E-2</v>
      </c>
      <c r="N310" s="33">
        <v>4.0399999999999998E-2</v>
      </c>
      <c r="O310" s="33">
        <v>1.84E-2</v>
      </c>
      <c r="P310" s="33">
        <v>1.84E-2</v>
      </c>
      <c r="Q310" s="74">
        <v>5.8700000000000002E-2</v>
      </c>
    </row>
    <row r="311" spans="4:17" x14ac:dyDescent="0.35">
      <c r="D311" s="23"/>
      <c r="E311" s="30"/>
      <c r="F311" s="30"/>
      <c r="G311" s="23"/>
      <c r="H311" s="30"/>
      <c r="I311" s="30"/>
      <c r="J311" s="31"/>
      <c r="L311" s="32">
        <v>1.97</v>
      </c>
      <c r="M311" s="33">
        <v>4.0899999999999999E-2</v>
      </c>
      <c r="N311" s="33">
        <v>4.0599999999999997E-2</v>
      </c>
      <c r="O311" s="33">
        <v>1.8800000000000001E-2</v>
      </c>
      <c r="P311" s="33">
        <v>1.8800000000000001E-2</v>
      </c>
      <c r="Q311" s="74">
        <v>5.9200000000000003E-2</v>
      </c>
    </row>
    <row r="312" spans="4:17" x14ac:dyDescent="0.35">
      <c r="D312" s="23"/>
      <c r="E312" s="30"/>
      <c r="F312" s="30"/>
      <c r="G312" s="23"/>
      <c r="H312" s="30"/>
      <c r="I312" s="30"/>
      <c r="J312" s="31"/>
      <c r="L312" s="32">
        <v>1.98</v>
      </c>
      <c r="M312" s="33">
        <v>4.1099999999999998E-2</v>
      </c>
      <c r="N312" s="33">
        <v>4.0800000000000003E-2</v>
      </c>
      <c r="O312" s="33">
        <v>1.9199999999999998E-2</v>
      </c>
      <c r="P312" s="33">
        <v>1.9199999999999998E-2</v>
      </c>
      <c r="Q312" s="74">
        <v>5.96E-2</v>
      </c>
    </row>
    <row r="313" spans="4:17" x14ac:dyDescent="0.35">
      <c r="D313" s="23"/>
      <c r="E313" s="30"/>
      <c r="F313" s="30"/>
      <c r="G313" s="23"/>
      <c r="H313" s="30"/>
      <c r="I313" s="30"/>
      <c r="J313" s="31"/>
      <c r="L313" s="32">
        <v>1.99</v>
      </c>
      <c r="M313" s="33">
        <v>4.1300000000000003E-2</v>
      </c>
      <c r="N313" s="33">
        <v>4.1000000000000002E-2</v>
      </c>
      <c r="O313" s="33">
        <v>1.9599999999999999E-2</v>
      </c>
      <c r="P313" s="33">
        <v>1.9599999999999999E-2</v>
      </c>
      <c r="Q313" s="74">
        <v>6.0100000000000001E-2</v>
      </c>
    </row>
    <row r="314" spans="4:17" x14ac:dyDescent="0.35">
      <c r="D314" s="23"/>
      <c r="E314" s="30"/>
      <c r="F314" s="30"/>
      <c r="G314" s="23"/>
      <c r="H314" s="30"/>
      <c r="I314" s="30"/>
      <c r="J314" s="31"/>
      <c r="L314" s="32">
        <v>2</v>
      </c>
      <c r="M314" s="35">
        <v>4.1500000000000002E-2</v>
      </c>
      <c r="N314" s="35">
        <v>4.1200000000000001E-2</v>
      </c>
      <c r="O314" s="33">
        <v>0.02</v>
      </c>
      <c r="P314" s="33">
        <v>0.02</v>
      </c>
      <c r="Q314" s="74">
        <v>6.0499999999999998E-2</v>
      </c>
    </row>
    <row r="315" spans="4:17" x14ac:dyDescent="0.35">
      <c r="D315" s="23"/>
      <c r="E315" s="30"/>
      <c r="F315" s="30"/>
      <c r="G315" s="23"/>
      <c r="H315" s="30"/>
      <c r="I315" s="30"/>
      <c r="J315" s="31"/>
      <c r="L315" s="32">
        <v>2.0099999999999998</v>
      </c>
      <c r="M315" s="33">
        <v>4.2000000000000003E-2</v>
      </c>
      <c r="N315" s="33">
        <v>4.1700000000000001E-2</v>
      </c>
      <c r="O315" s="33">
        <v>2.0400000000000001E-2</v>
      </c>
      <c r="P315" s="33">
        <v>2.0400000000000001E-2</v>
      </c>
      <c r="Q315" s="74">
        <v>6.08E-2</v>
      </c>
    </row>
    <row r="316" spans="4:17" x14ac:dyDescent="0.35">
      <c r="D316" s="23"/>
      <c r="E316" s="30"/>
      <c r="F316" s="30"/>
      <c r="G316" s="23"/>
      <c r="H316" s="30"/>
      <c r="I316" s="30"/>
      <c r="J316" s="31"/>
      <c r="L316" s="32">
        <v>2.02</v>
      </c>
      <c r="M316" s="33">
        <v>4.2500000000000003E-2</v>
      </c>
      <c r="N316" s="33">
        <v>4.2099999999999999E-2</v>
      </c>
      <c r="O316" s="33">
        <v>2.0799999999999999E-2</v>
      </c>
      <c r="P316" s="33">
        <v>2.0799999999999999E-2</v>
      </c>
      <c r="Q316" s="74">
        <v>6.1199999999999997E-2</v>
      </c>
    </row>
    <row r="317" spans="4:17" x14ac:dyDescent="0.35">
      <c r="D317" s="23"/>
      <c r="E317" s="30"/>
      <c r="F317" s="30"/>
      <c r="G317" s="23"/>
      <c r="H317" s="30"/>
      <c r="I317" s="30"/>
      <c r="J317" s="31"/>
      <c r="L317" s="32">
        <v>2.0299999999999998</v>
      </c>
      <c r="M317" s="33">
        <v>4.2900000000000001E-2</v>
      </c>
      <c r="N317" s="33">
        <v>4.2599999999999999E-2</v>
      </c>
      <c r="O317" s="33">
        <v>2.12E-2</v>
      </c>
      <c r="P317" s="33">
        <v>2.12E-2</v>
      </c>
      <c r="Q317" s="74">
        <v>6.1499999999999999E-2</v>
      </c>
    </row>
    <row r="318" spans="4:17" x14ac:dyDescent="0.35">
      <c r="D318" s="23"/>
      <c r="E318" s="30"/>
      <c r="F318" s="30"/>
      <c r="G318" s="23"/>
      <c r="H318" s="30"/>
      <c r="I318" s="30"/>
      <c r="J318" s="31"/>
      <c r="L318" s="32">
        <v>2.04</v>
      </c>
      <c r="M318" s="33">
        <v>4.3400000000000001E-2</v>
      </c>
      <c r="N318" s="33">
        <v>4.3099999999999999E-2</v>
      </c>
      <c r="O318" s="33">
        <v>2.1600000000000001E-2</v>
      </c>
      <c r="P318" s="33">
        <v>2.1600000000000001E-2</v>
      </c>
      <c r="Q318" s="74">
        <v>6.1800000000000001E-2</v>
      </c>
    </row>
    <row r="319" spans="4:17" x14ac:dyDescent="0.35">
      <c r="D319" s="23"/>
      <c r="E319" s="30"/>
      <c r="F319" s="30"/>
      <c r="G319" s="23"/>
      <c r="H319" s="30"/>
      <c r="I319" s="30"/>
      <c r="J319" s="31"/>
      <c r="L319" s="32">
        <v>2.0499999999999998</v>
      </c>
      <c r="M319" s="33">
        <v>4.3900000000000002E-2</v>
      </c>
      <c r="N319" s="33">
        <v>4.36E-2</v>
      </c>
      <c r="O319" s="33">
        <v>2.1999999999999999E-2</v>
      </c>
      <c r="P319" s="33">
        <v>2.1999999999999999E-2</v>
      </c>
      <c r="Q319" s="74">
        <v>6.2199999999999998E-2</v>
      </c>
    </row>
    <row r="320" spans="4:17" x14ac:dyDescent="0.35">
      <c r="D320" s="23"/>
      <c r="E320" s="30"/>
      <c r="F320" s="30"/>
      <c r="G320" s="23"/>
      <c r="H320" s="30"/>
      <c r="I320" s="30"/>
      <c r="J320" s="31"/>
      <c r="L320" s="32">
        <v>2.06</v>
      </c>
      <c r="M320" s="33">
        <v>4.4400000000000002E-2</v>
      </c>
      <c r="N320" s="33">
        <v>4.3999999999999997E-2</v>
      </c>
      <c r="O320" s="33">
        <v>2.24E-2</v>
      </c>
      <c r="P320" s="33">
        <v>2.24E-2</v>
      </c>
      <c r="Q320" s="74">
        <v>6.25E-2</v>
      </c>
    </row>
    <row r="321" spans="4:17" x14ac:dyDescent="0.35">
      <c r="D321" s="23"/>
      <c r="E321" s="30"/>
      <c r="F321" s="30"/>
      <c r="G321" s="23"/>
      <c r="H321" s="30"/>
      <c r="I321" s="30"/>
      <c r="J321" s="31"/>
      <c r="L321" s="32">
        <v>2.0699999999999998</v>
      </c>
      <c r="M321" s="33">
        <v>4.48E-2</v>
      </c>
      <c r="N321" s="33">
        <v>4.4499999999999998E-2</v>
      </c>
      <c r="O321" s="33">
        <v>2.2800000000000001E-2</v>
      </c>
      <c r="P321" s="33">
        <v>2.2800000000000001E-2</v>
      </c>
      <c r="Q321" s="74">
        <v>6.2899999999999998E-2</v>
      </c>
    </row>
    <row r="322" spans="4:17" x14ac:dyDescent="0.35">
      <c r="D322" s="23"/>
      <c r="E322" s="30"/>
      <c r="F322" s="30"/>
      <c r="G322" s="23"/>
      <c r="H322" s="30"/>
      <c r="I322" s="30"/>
      <c r="J322" s="31"/>
      <c r="L322" s="32">
        <v>2.08</v>
      </c>
      <c r="M322" s="33">
        <v>4.53E-2</v>
      </c>
      <c r="N322" s="33">
        <v>4.4999999999999998E-2</v>
      </c>
      <c r="O322" s="33">
        <v>2.3199999999999998E-2</v>
      </c>
      <c r="P322" s="33">
        <v>2.3199999999999998E-2</v>
      </c>
      <c r="Q322" s="74">
        <v>6.3200000000000006E-2</v>
      </c>
    </row>
    <row r="323" spans="4:17" x14ac:dyDescent="0.35">
      <c r="D323" s="23"/>
      <c r="E323" s="30"/>
      <c r="F323" s="30"/>
      <c r="G323" s="23"/>
      <c r="H323" s="30"/>
      <c r="I323" s="30"/>
      <c r="J323" s="31"/>
      <c r="L323" s="32">
        <v>2.09</v>
      </c>
      <c r="M323" s="33">
        <v>4.58E-2</v>
      </c>
      <c r="N323" s="33">
        <v>4.5499999999999999E-2</v>
      </c>
      <c r="O323" s="33">
        <v>2.3599999999999999E-2</v>
      </c>
      <c r="P323" s="33">
        <v>2.3599999999999999E-2</v>
      </c>
      <c r="Q323" s="74">
        <v>6.3500000000000001E-2</v>
      </c>
    </row>
    <row r="324" spans="4:17" x14ac:dyDescent="0.35">
      <c r="D324" s="23"/>
      <c r="E324" s="30"/>
      <c r="F324" s="30"/>
      <c r="G324" s="23"/>
      <c r="H324" s="30"/>
      <c r="I324" s="30"/>
      <c r="J324" s="31"/>
      <c r="L324" s="32">
        <v>2.1</v>
      </c>
      <c r="M324" s="33">
        <v>4.6300000000000001E-2</v>
      </c>
      <c r="N324" s="33">
        <v>4.5900000000000003E-2</v>
      </c>
      <c r="O324" s="33">
        <v>2.4E-2</v>
      </c>
      <c r="P324" s="33">
        <v>2.4E-2</v>
      </c>
      <c r="Q324" s="74">
        <v>6.3899999999999998E-2</v>
      </c>
    </row>
    <row r="325" spans="4:17" x14ac:dyDescent="0.35">
      <c r="D325" s="23"/>
      <c r="E325" s="30"/>
      <c r="F325" s="30"/>
      <c r="G325" s="23"/>
      <c r="H325" s="30"/>
      <c r="I325" s="30"/>
      <c r="J325" s="31"/>
      <c r="L325" s="32">
        <v>2.11</v>
      </c>
      <c r="M325" s="33">
        <v>4.6800000000000001E-2</v>
      </c>
      <c r="N325" s="33">
        <v>4.6399999999999997E-2</v>
      </c>
      <c r="O325" s="33">
        <v>2.4400000000000002E-2</v>
      </c>
      <c r="P325" s="33">
        <v>2.4400000000000002E-2</v>
      </c>
      <c r="Q325" s="74">
        <v>6.4199999999999993E-2</v>
      </c>
    </row>
    <row r="326" spans="4:17" x14ac:dyDescent="0.35">
      <c r="D326" s="23"/>
      <c r="E326" s="30"/>
      <c r="F326" s="30"/>
      <c r="G326" s="23"/>
      <c r="H326" s="30"/>
      <c r="I326" s="30"/>
      <c r="J326" s="31"/>
      <c r="L326" s="32">
        <v>2.12</v>
      </c>
      <c r="M326" s="33">
        <v>4.7199999999999999E-2</v>
      </c>
      <c r="N326" s="33">
        <v>4.6899999999999997E-2</v>
      </c>
      <c r="O326" s="33">
        <v>2.4799999999999999E-2</v>
      </c>
      <c r="P326" s="33">
        <v>2.4799999999999999E-2</v>
      </c>
      <c r="Q326" s="74">
        <v>6.4500000000000002E-2</v>
      </c>
    </row>
    <row r="327" spans="4:17" x14ac:dyDescent="0.35">
      <c r="D327" s="23"/>
      <c r="E327" s="30"/>
      <c r="F327" s="30"/>
      <c r="G327" s="23"/>
      <c r="H327" s="30"/>
      <c r="I327" s="30"/>
      <c r="J327" s="31"/>
      <c r="L327" s="32">
        <v>2.13</v>
      </c>
      <c r="M327" s="33">
        <v>4.7699999999999999E-2</v>
      </c>
      <c r="N327" s="33">
        <v>4.7399999999999998E-2</v>
      </c>
      <c r="O327" s="33">
        <v>2.52E-2</v>
      </c>
      <c r="P327" s="33">
        <v>2.52E-2</v>
      </c>
      <c r="Q327" s="74">
        <v>6.4899999999999999E-2</v>
      </c>
    </row>
    <row r="328" spans="4:17" x14ac:dyDescent="0.35">
      <c r="D328" s="23"/>
      <c r="E328" s="30"/>
      <c r="F328" s="30"/>
      <c r="G328" s="23"/>
      <c r="H328" s="30"/>
      <c r="I328" s="30"/>
      <c r="J328" s="31"/>
      <c r="L328" s="32">
        <v>2.14</v>
      </c>
      <c r="M328" s="33">
        <v>4.82E-2</v>
      </c>
      <c r="N328" s="33">
        <v>4.7800000000000002E-2</v>
      </c>
      <c r="O328" s="33">
        <v>2.5600000000000001E-2</v>
      </c>
      <c r="P328" s="33">
        <v>2.5600000000000001E-2</v>
      </c>
      <c r="Q328" s="74">
        <v>6.5199999999999994E-2</v>
      </c>
    </row>
    <row r="329" spans="4:17" x14ac:dyDescent="0.35">
      <c r="D329" s="23"/>
      <c r="E329" s="30"/>
      <c r="F329" s="30"/>
      <c r="G329" s="23"/>
      <c r="H329" s="30"/>
      <c r="I329" s="30"/>
      <c r="J329" s="31"/>
      <c r="L329" s="32">
        <v>2.15</v>
      </c>
      <c r="M329" s="33">
        <v>4.87E-2</v>
      </c>
      <c r="N329" s="33">
        <v>4.8300000000000003E-2</v>
      </c>
      <c r="O329" s="33">
        <v>2.5999999999999999E-2</v>
      </c>
      <c r="P329" s="33">
        <v>2.5999999999999999E-2</v>
      </c>
      <c r="Q329" s="74">
        <v>6.5500000000000003E-2</v>
      </c>
    </row>
    <row r="330" spans="4:17" x14ac:dyDescent="0.35">
      <c r="D330" s="23"/>
      <c r="E330" s="30"/>
      <c r="F330" s="30"/>
      <c r="G330" s="23"/>
      <c r="H330" s="30"/>
      <c r="I330" s="30"/>
      <c r="J330" s="31"/>
      <c r="L330" s="32">
        <v>2.16</v>
      </c>
      <c r="M330" s="33">
        <v>4.9099999999999998E-2</v>
      </c>
      <c r="N330" s="33">
        <v>4.8800000000000003E-2</v>
      </c>
      <c r="O330" s="33">
        <v>2.64E-2</v>
      </c>
      <c r="P330" s="33">
        <v>2.64E-2</v>
      </c>
      <c r="Q330" s="74">
        <v>6.59E-2</v>
      </c>
    </row>
    <row r="331" spans="4:17" x14ac:dyDescent="0.35">
      <c r="D331" s="23"/>
      <c r="E331" s="30"/>
      <c r="F331" s="30"/>
      <c r="G331" s="23"/>
      <c r="H331" s="30"/>
      <c r="I331" s="30"/>
      <c r="J331" s="31"/>
      <c r="L331" s="32">
        <v>2.17</v>
      </c>
      <c r="M331" s="33">
        <v>4.9599999999999998E-2</v>
      </c>
      <c r="N331" s="33">
        <v>4.9299999999999997E-2</v>
      </c>
      <c r="O331" s="33">
        <v>2.6800000000000001E-2</v>
      </c>
      <c r="P331" s="33">
        <v>2.6800000000000001E-2</v>
      </c>
      <c r="Q331" s="74">
        <v>6.6199999999999995E-2</v>
      </c>
    </row>
    <row r="332" spans="4:17" x14ac:dyDescent="0.35">
      <c r="D332" s="23"/>
      <c r="E332" s="30"/>
      <c r="F332" s="30"/>
      <c r="G332" s="23"/>
      <c r="H332" s="30"/>
      <c r="I332" s="30"/>
      <c r="J332" s="31"/>
      <c r="L332" s="32">
        <v>2.1800000000000002</v>
      </c>
      <c r="M332" s="33">
        <v>5.0099999999999999E-2</v>
      </c>
      <c r="N332" s="33">
        <v>4.9700000000000001E-2</v>
      </c>
      <c r="O332" s="33">
        <v>2.7199999999999998E-2</v>
      </c>
      <c r="P332" s="33">
        <v>2.7199999999999998E-2</v>
      </c>
      <c r="Q332" s="74">
        <v>6.6500000000000004E-2</v>
      </c>
    </row>
    <row r="333" spans="4:17" x14ac:dyDescent="0.35">
      <c r="D333" s="23"/>
      <c r="E333" s="30"/>
      <c r="F333" s="30"/>
      <c r="G333" s="23"/>
      <c r="H333" s="30"/>
      <c r="I333" s="30"/>
      <c r="J333" s="31"/>
      <c r="L333" s="32">
        <v>2.19</v>
      </c>
      <c r="M333" s="33">
        <v>5.0599999999999999E-2</v>
      </c>
      <c r="N333" s="33">
        <v>5.0200000000000002E-2</v>
      </c>
      <c r="O333" s="33">
        <v>2.76E-2</v>
      </c>
      <c r="P333" s="33">
        <v>2.76E-2</v>
      </c>
      <c r="Q333" s="74">
        <v>6.6900000000000001E-2</v>
      </c>
    </row>
    <row r="334" spans="4:17" x14ac:dyDescent="0.35">
      <c r="D334" s="23"/>
      <c r="E334" s="30"/>
      <c r="F334" s="30"/>
      <c r="G334" s="23"/>
      <c r="H334" s="30"/>
      <c r="I334" s="30"/>
      <c r="J334" s="31"/>
      <c r="L334" s="32">
        <v>2.2000000000000002</v>
      </c>
      <c r="M334" s="33">
        <v>5.11E-2</v>
      </c>
      <c r="N334" s="33">
        <v>5.0700000000000002E-2</v>
      </c>
      <c r="O334" s="33">
        <v>2.8000000000000001E-2</v>
      </c>
      <c r="P334" s="33">
        <v>2.8000000000000001E-2</v>
      </c>
      <c r="Q334" s="74">
        <v>6.7199999999999996E-2</v>
      </c>
    </row>
    <row r="335" spans="4:17" x14ac:dyDescent="0.35">
      <c r="D335" s="23"/>
      <c r="E335" s="30"/>
      <c r="F335" s="30"/>
      <c r="G335" s="23"/>
      <c r="H335" s="30"/>
      <c r="I335" s="30"/>
      <c r="J335" s="31"/>
      <c r="L335" s="32">
        <v>2.21</v>
      </c>
      <c r="M335" s="33">
        <v>5.1499999999999997E-2</v>
      </c>
      <c r="N335" s="33">
        <v>5.1200000000000002E-2</v>
      </c>
      <c r="O335" s="33">
        <v>2.8400000000000002E-2</v>
      </c>
      <c r="P335" s="33">
        <v>2.8400000000000002E-2</v>
      </c>
      <c r="Q335" s="74">
        <v>6.7599999999999993E-2</v>
      </c>
    </row>
    <row r="336" spans="4:17" x14ac:dyDescent="0.35">
      <c r="D336" s="23"/>
      <c r="E336" s="30"/>
      <c r="F336" s="30"/>
      <c r="G336" s="23"/>
      <c r="H336" s="30"/>
      <c r="I336" s="30"/>
      <c r="J336" s="31"/>
      <c r="L336" s="32">
        <v>2.2200000000000002</v>
      </c>
      <c r="M336" s="33">
        <v>5.1999999999999998E-2</v>
      </c>
      <c r="N336" s="33">
        <v>5.16E-2</v>
      </c>
      <c r="O336" s="33">
        <v>2.8799999999999999E-2</v>
      </c>
      <c r="P336" s="33">
        <v>2.8799999999999999E-2</v>
      </c>
      <c r="Q336" s="74">
        <v>6.7900000000000002E-2</v>
      </c>
    </row>
    <row r="337" spans="4:17" x14ac:dyDescent="0.35">
      <c r="D337" s="23"/>
      <c r="E337" s="30"/>
      <c r="F337" s="30"/>
      <c r="G337" s="23"/>
      <c r="H337" s="30"/>
      <c r="I337" s="30"/>
      <c r="J337" s="31"/>
      <c r="L337" s="32">
        <v>2.23</v>
      </c>
      <c r="M337" s="33">
        <v>5.2499999999999998E-2</v>
      </c>
      <c r="N337" s="33">
        <v>5.21E-2</v>
      </c>
      <c r="O337" s="33">
        <v>2.92E-2</v>
      </c>
      <c r="P337" s="33">
        <v>2.92E-2</v>
      </c>
      <c r="Q337" s="74">
        <v>6.8199999999999997E-2</v>
      </c>
    </row>
    <row r="338" spans="4:17" x14ac:dyDescent="0.35">
      <c r="D338" s="23"/>
      <c r="E338" s="30"/>
      <c r="F338" s="30"/>
      <c r="G338" s="23"/>
      <c r="H338" s="30"/>
      <c r="I338" s="30"/>
      <c r="J338" s="31"/>
      <c r="L338" s="32">
        <v>2.2400000000000002</v>
      </c>
      <c r="M338" s="33">
        <v>5.2999999999999999E-2</v>
      </c>
      <c r="N338" s="33">
        <v>5.2600000000000001E-2</v>
      </c>
      <c r="O338" s="33">
        <v>2.9600000000000001E-2</v>
      </c>
      <c r="P338" s="33">
        <v>2.9600000000000001E-2</v>
      </c>
      <c r="Q338" s="74">
        <v>6.8599999999999994E-2</v>
      </c>
    </row>
    <row r="339" spans="4:17" x14ac:dyDescent="0.35">
      <c r="D339" s="23"/>
      <c r="E339" s="30"/>
      <c r="F339" s="30"/>
      <c r="G339" s="23"/>
      <c r="H339" s="30"/>
      <c r="I339" s="30"/>
      <c r="J339" s="31"/>
      <c r="L339" s="32">
        <v>2.25</v>
      </c>
      <c r="M339" s="33">
        <v>5.3499999999999999E-2</v>
      </c>
      <c r="N339" s="33">
        <v>5.3100000000000001E-2</v>
      </c>
      <c r="O339" s="33">
        <v>0.03</v>
      </c>
      <c r="P339" s="33">
        <v>0.03</v>
      </c>
      <c r="Q339" s="74">
        <v>6.8900000000000003E-2</v>
      </c>
    </row>
    <row r="340" spans="4:17" x14ac:dyDescent="0.35">
      <c r="D340" s="23"/>
      <c r="E340" s="30"/>
      <c r="F340" s="30"/>
      <c r="G340" s="23"/>
      <c r="H340" s="30"/>
      <c r="I340" s="30"/>
      <c r="J340" s="31"/>
      <c r="L340" s="32">
        <v>2.2599999999999998</v>
      </c>
      <c r="M340" s="33">
        <v>5.3900000000000003E-2</v>
      </c>
      <c r="N340" s="33">
        <v>5.3499999999999999E-2</v>
      </c>
      <c r="O340" s="33">
        <v>3.04E-2</v>
      </c>
      <c r="P340" s="33">
        <v>3.04E-2</v>
      </c>
      <c r="Q340" s="74">
        <v>6.9199999999999998E-2</v>
      </c>
    </row>
    <row r="341" spans="4:17" x14ac:dyDescent="0.35">
      <c r="D341" s="23"/>
      <c r="E341" s="30"/>
      <c r="F341" s="30"/>
      <c r="G341" s="23"/>
      <c r="H341" s="30"/>
      <c r="I341" s="30"/>
      <c r="J341" s="31"/>
      <c r="L341" s="32">
        <v>2.27</v>
      </c>
      <c r="M341" s="33">
        <v>5.4399999999999997E-2</v>
      </c>
      <c r="N341" s="33">
        <v>5.3999999999999999E-2</v>
      </c>
      <c r="O341" s="33">
        <v>3.0800000000000001E-2</v>
      </c>
      <c r="P341" s="33">
        <v>3.0800000000000001E-2</v>
      </c>
      <c r="Q341" s="74">
        <v>6.9599999999999995E-2</v>
      </c>
    </row>
    <row r="342" spans="4:17" x14ac:dyDescent="0.35">
      <c r="D342" s="23"/>
      <c r="E342" s="30"/>
      <c r="F342" s="30"/>
      <c r="G342" s="23"/>
      <c r="H342" s="30"/>
      <c r="I342" s="30"/>
      <c r="J342" s="31"/>
      <c r="L342" s="32">
        <v>2.2799999999999998</v>
      </c>
      <c r="M342" s="33">
        <v>5.4899999999999997E-2</v>
      </c>
      <c r="N342" s="33">
        <v>5.45E-2</v>
      </c>
      <c r="O342" s="33">
        <v>3.1199999999999999E-2</v>
      </c>
      <c r="P342" s="33">
        <v>3.1199999999999999E-2</v>
      </c>
      <c r="Q342" s="74">
        <v>6.9900000000000004E-2</v>
      </c>
    </row>
    <row r="343" spans="4:17" x14ac:dyDescent="0.35">
      <c r="D343" s="23"/>
      <c r="E343" s="30"/>
      <c r="F343" s="30"/>
      <c r="G343" s="23"/>
      <c r="H343" s="30"/>
      <c r="I343" s="30"/>
      <c r="J343" s="31"/>
      <c r="L343" s="32">
        <v>2.29</v>
      </c>
      <c r="M343" s="33">
        <v>5.5399999999999998E-2</v>
      </c>
      <c r="N343" s="33">
        <v>5.4899999999999997E-2</v>
      </c>
      <c r="O343" s="33">
        <v>3.1600000000000003E-2</v>
      </c>
      <c r="P343" s="33">
        <v>3.1600000000000003E-2</v>
      </c>
      <c r="Q343" s="74">
        <v>7.0199999999999999E-2</v>
      </c>
    </row>
    <row r="344" spans="4:17" x14ac:dyDescent="0.35">
      <c r="D344" s="23"/>
      <c r="E344" s="30"/>
      <c r="F344" s="30"/>
      <c r="G344" s="23"/>
      <c r="H344" s="30"/>
      <c r="I344" s="30"/>
      <c r="J344" s="31"/>
      <c r="L344" s="32">
        <v>2.2999999999999998</v>
      </c>
      <c r="M344" s="33">
        <v>5.5800000000000002E-2</v>
      </c>
      <c r="N344" s="33">
        <v>5.5399999999999998E-2</v>
      </c>
      <c r="O344" s="33">
        <v>3.2000000000000001E-2</v>
      </c>
      <c r="P344" s="33">
        <v>3.2000000000000001E-2</v>
      </c>
      <c r="Q344" s="74">
        <v>7.0599999999999996E-2</v>
      </c>
    </row>
    <row r="345" spans="4:17" x14ac:dyDescent="0.35">
      <c r="D345" s="23"/>
      <c r="E345" s="30"/>
      <c r="F345" s="30"/>
      <c r="G345" s="23"/>
      <c r="H345" s="30"/>
      <c r="I345" s="30"/>
      <c r="J345" s="31"/>
      <c r="L345" s="32">
        <v>2.31</v>
      </c>
      <c r="M345" s="33">
        <v>5.6300000000000003E-2</v>
      </c>
      <c r="N345" s="33">
        <v>5.5899999999999998E-2</v>
      </c>
      <c r="O345" s="33">
        <v>3.2399999999999998E-2</v>
      </c>
      <c r="P345" s="33">
        <v>3.2399999999999998E-2</v>
      </c>
      <c r="Q345" s="74">
        <v>7.0900000000000005E-2</v>
      </c>
    </row>
    <row r="346" spans="4:17" x14ac:dyDescent="0.35">
      <c r="D346" s="23"/>
      <c r="E346" s="30"/>
      <c r="F346" s="30"/>
      <c r="G346" s="23"/>
      <c r="H346" s="30"/>
      <c r="I346" s="30"/>
      <c r="J346" s="31"/>
      <c r="L346" s="32">
        <v>2.3199999999999998</v>
      </c>
      <c r="M346" s="33">
        <v>5.6800000000000003E-2</v>
      </c>
      <c r="N346" s="33">
        <v>5.6399999999999999E-2</v>
      </c>
      <c r="O346" s="33">
        <v>3.2800000000000003E-2</v>
      </c>
      <c r="P346" s="33">
        <v>3.2800000000000003E-2</v>
      </c>
      <c r="Q346" s="74">
        <v>7.1300000000000002E-2</v>
      </c>
    </row>
    <row r="347" spans="4:17" x14ac:dyDescent="0.35">
      <c r="D347" s="23"/>
      <c r="E347" s="30"/>
      <c r="F347" s="30"/>
      <c r="G347" s="23"/>
      <c r="H347" s="30"/>
      <c r="I347" s="30"/>
      <c r="J347" s="31"/>
      <c r="L347" s="32">
        <v>2.33</v>
      </c>
      <c r="M347" s="33">
        <v>5.7299999999999997E-2</v>
      </c>
      <c r="N347" s="33">
        <v>5.6800000000000003E-2</v>
      </c>
      <c r="O347" s="33">
        <v>3.32E-2</v>
      </c>
      <c r="P347" s="33">
        <v>3.32E-2</v>
      </c>
      <c r="Q347" s="74">
        <v>7.1599999999999997E-2</v>
      </c>
    </row>
    <row r="348" spans="4:17" x14ac:dyDescent="0.35">
      <c r="D348" s="23"/>
      <c r="E348" s="30"/>
      <c r="F348" s="30"/>
      <c r="G348" s="23"/>
      <c r="H348" s="30"/>
      <c r="I348" s="30"/>
      <c r="J348" s="31"/>
      <c r="L348" s="32">
        <v>2.34</v>
      </c>
      <c r="M348" s="33">
        <v>5.7799999999999997E-2</v>
      </c>
      <c r="N348" s="33">
        <v>5.7299999999999997E-2</v>
      </c>
      <c r="O348" s="33">
        <v>3.3599999999999998E-2</v>
      </c>
      <c r="P348" s="33">
        <v>3.3599999999999998E-2</v>
      </c>
      <c r="Q348" s="74">
        <v>7.1900000000000006E-2</v>
      </c>
    </row>
    <row r="349" spans="4:17" x14ac:dyDescent="0.35">
      <c r="D349" s="23"/>
      <c r="E349" s="30"/>
      <c r="F349" s="30"/>
      <c r="G349" s="23"/>
      <c r="H349" s="30"/>
      <c r="I349" s="30"/>
      <c r="J349" s="31"/>
      <c r="L349" s="32">
        <v>2.35</v>
      </c>
      <c r="M349" s="33">
        <v>5.8200000000000002E-2</v>
      </c>
      <c r="N349" s="33">
        <v>5.7799999999999997E-2</v>
      </c>
      <c r="O349" s="33">
        <v>3.4000000000000002E-2</v>
      </c>
      <c r="P349" s="33">
        <v>3.4000000000000002E-2</v>
      </c>
      <c r="Q349" s="74">
        <v>7.2300000000000003E-2</v>
      </c>
    </row>
    <row r="350" spans="4:17" x14ac:dyDescent="0.35">
      <c r="D350" s="23"/>
      <c r="E350" s="30"/>
      <c r="F350" s="30"/>
      <c r="G350" s="23"/>
      <c r="H350" s="30"/>
      <c r="I350" s="30"/>
      <c r="J350" s="31"/>
      <c r="L350" s="32">
        <v>2.36</v>
      </c>
      <c r="M350" s="33">
        <v>5.8700000000000002E-2</v>
      </c>
      <c r="N350" s="33">
        <v>5.8299999999999998E-2</v>
      </c>
      <c r="O350" s="33">
        <v>3.44E-2</v>
      </c>
      <c r="P350" s="33">
        <v>3.44E-2</v>
      </c>
      <c r="Q350" s="74">
        <v>7.2599999999999998E-2</v>
      </c>
    </row>
    <row r="351" spans="4:17" x14ac:dyDescent="0.35">
      <c r="D351" s="23"/>
      <c r="E351" s="30"/>
      <c r="F351" s="30"/>
      <c r="G351" s="23"/>
      <c r="H351" s="30"/>
      <c r="I351" s="30"/>
      <c r="J351" s="31"/>
      <c r="L351" s="32">
        <v>2.37</v>
      </c>
      <c r="M351" s="33">
        <v>5.9200000000000003E-2</v>
      </c>
      <c r="N351" s="33">
        <v>5.8700000000000002E-2</v>
      </c>
      <c r="O351" s="33">
        <v>3.4799999999999998E-2</v>
      </c>
      <c r="P351" s="33">
        <v>3.4799999999999998E-2</v>
      </c>
      <c r="Q351" s="74">
        <v>7.2900000000000006E-2</v>
      </c>
    </row>
    <row r="352" spans="4:17" x14ac:dyDescent="0.35">
      <c r="D352" s="23"/>
      <c r="E352" s="30"/>
      <c r="F352" s="30"/>
      <c r="G352" s="23"/>
      <c r="H352" s="30"/>
      <c r="I352" s="30"/>
      <c r="J352" s="31"/>
      <c r="L352" s="32">
        <v>2.38</v>
      </c>
      <c r="M352" s="33">
        <v>5.9700000000000003E-2</v>
      </c>
      <c r="N352" s="33">
        <v>5.9200000000000003E-2</v>
      </c>
      <c r="O352" s="33">
        <v>3.5200000000000002E-2</v>
      </c>
      <c r="P352" s="33">
        <v>3.5200000000000002E-2</v>
      </c>
      <c r="Q352" s="74">
        <v>7.3300000000000004E-2</v>
      </c>
    </row>
    <row r="353" spans="4:17" x14ac:dyDescent="0.35">
      <c r="D353" s="23"/>
      <c r="E353" s="30"/>
      <c r="F353" s="30"/>
      <c r="G353" s="23"/>
      <c r="H353" s="30"/>
      <c r="I353" s="30"/>
      <c r="J353" s="31"/>
      <c r="L353" s="32">
        <v>2.39</v>
      </c>
      <c r="M353" s="33">
        <v>6.0100000000000001E-2</v>
      </c>
      <c r="N353" s="33">
        <v>5.9700000000000003E-2</v>
      </c>
      <c r="O353" s="33">
        <v>3.56E-2</v>
      </c>
      <c r="P353" s="33">
        <v>3.56E-2</v>
      </c>
      <c r="Q353" s="74">
        <v>7.3599999999999999E-2</v>
      </c>
    </row>
    <row r="354" spans="4:17" x14ac:dyDescent="0.35">
      <c r="D354" s="23"/>
      <c r="E354" s="30"/>
      <c r="F354" s="30"/>
      <c r="G354" s="23"/>
      <c r="H354" s="30"/>
      <c r="I354" s="30"/>
      <c r="J354" s="31"/>
      <c r="L354" s="32">
        <v>2.4</v>
      </c>
      <c r="M354" s="33">
        <v>6.0600000000000001E-2</v>
      </c>
      <c r="N354" s="33">
        <v>6.0199999999999997E-2</v>
      </c>
      <c r="O354" s="33">
        <v>3.5999999999999997E-2</v>
      </c>
      <c r="P354" s="33">
        <v>3.5999999999999997E-2</v>
      </c>
      <c r="Q354" s="74">
        <v>7.3899999999999993E-2</v>
      </c>
    </row>
    <row r="355" spans="4:17" x14ac:dyDescent="0.35">
      <c r="D355" s="23"/>
      <c r="E355" s="30"/>
      <c r="F355" s="30"/>
      <c r="G355" s="23"/>
      <c r="H355" s="30"/>
      <c r="I355" s="30"/>
      <c r="J355" s="31"/>
      <c r="L355" s="32">
        <v>2.41</v>
      </c>
      <c r="M355" s="33">
        <v>6.1100000000000002E-2</v>
      </c>
      <c r="N355" s="33">
        <v>6.0600000000000001E-2</v>
      </c>
      <c r="O355" s="33">
        <v>3.6400000000000002E-2</v>
      </c>
      <c r="P355" s="33">
        <v>3.6400000000000002E-2</v>
      </c>
      <c r="Q355" s="74">
        <v>7.4300000000000005E-2</v>
      </c>
    </row>
    <row r="356" spans="4:17" x14ac:dyDescent="0.35">
      <c r="D356" s="23"/>
      <c r="E356" s="30"/>
      <c r="F356" s="30"/>
      <c r="G356" s="23"/>
      <c r="H356" s="30"/>
      <c r="I356" s="30"/>
      <c r="J356" s="31"/>
      <c r="L356" s="32">
        <v>2.42</v>
      </c>
      <c r="M356" s="33">
        <v>6.1600000000000002E-2</v>
      </c>
      <c r="N356" s="33">
        <v>6.1100000000000002E-2</v>
      </c>
      <c r="O356" s="33">
        <v>3.6799999999999999E-2</v>
      </c>
      <c r="P356" s="33">
        <v>3.6799999999999999E-2</v>
      </c>
      <c r="Q356" s="74">
        <v>7.46E-2</v>
      </c>
    </row>
    <row r="357" spans="4:17" x14ac:dyDescent="0.35">
      <c r="D357" s="23"/>
      <c r="E357" s="30"/>
      <c r="F357" s="30"/>
      <c r="G357" s="23"/>
      <c r="H357" s="30"/>
      <c r="I357" s="30"/>
      <c r="J357" s="31"/>
      <c r="L357" s="32">
        <v>2.4300000000000002</v>
      </c>
      <c r="M357" s="33">
        <v>6.2100000000000002E-2</v>
      </c>
      <c r="N357" s="33">
        <v>6.1600000000000002E-2</v>
      </c>
      <c r="O357" s="33">
        <v>3.7199999999999997E-2</v>
      </c>
      <c r="P357" s="33">
        <v>3.7199999999999997E-2</v>
      </c>
      <c r="Q357" s="74">
        <v>7.4899999999999994E-2</v>
      </c>
    </row>
    <row r="358" spans="4:17" x14ac:dyDescent="0.35">
      <c r="D358" s="23"/>
      <c r="E358" s="30"/>
      <c r="F358" s="30"/>
      <c r="G358" s="23"/>
      <c r="H358" s="30"/>
      <c r="I358" s="30"/>
      <c r="J358" s="31"/>
      <c r="L358" s="32">
        <v>2.44</v>
      </c>
      <c r="M358" s="33">
        <v>6.25E-2</v>
      </c>
      <c r="N358" s="33">
        <v>6.2100000000000002E-2</v>
      </c>
      <c r="O358" s="33">
        <v>3.7600000000000001E-2</v>
      </c>
      <c r="P358" s="33">
        <v>3.7600000000000001E-2</v>
      </c>
      <c r="Q358" s="74">
        <v>7.5300000000000006E-2</v>
      </c>
    </row>
    <row r="359" spans="4:17" x14ac:dyDescent="0.35">
      <c r="D359" s="23"/>
      <c r="E359" s="30"/>
      <c r="F359" s="30"/>
      <c r="G359" s="23"/>
      <c r="H359" s="30"/>
      <c r="I359" s="30"/>
      <c r="J359" s="31"/>
      <c r="L359" s="32">
        <v>2.4500000000000002</v>
      </c>
      <c r="M359" s="33">
        <v>6.3E-2</v>
      </c>
      <c r="N359" s="33">
        <v>6.25E-2</v>
      </c>
      <c r="O359" s="33">
        <v>3.7999999999999999E-2</v>
      </c>
      <c r="P359" s="33">
        <v>3.7999999999999999E-2</v>
      </c>
      <c r="Q359" s="74">
        <v>7.5600000000000001E-2</v>
      </c>
    </row>
    <row r="360" spans="4:17" x14ac:dyDescent="0.35">
      <c r="D360" s="23"/>
      <c r="E360" s="30"/>
      <c r="F360" s="30"/>
      <c r="G360" s="23"/>
      <c r="H360" s="30"/>
      <c r="I360" s="30"/>
      <c r="J360" s="31"/>
      <c r="L360" s="32">
        <v>2.46</v>
      </c>
      <c r="M360" s="33">
        <v>6.3500000000000001E-2</v>
      </c>
      <c r="N360" s="33">
        <v>6.3E-2</v>
      </c>
      <c r="O360" s="33">
        <v>3.8399999999999997E-2</v>
      </c>
      <c r="P360" s="33">
        <v>3.8399999999999997E-2</v>
      </c>
      <c r="Q360" s="74">
        <v>7.5999999999999998E-2</v>
      </c>
    </row>
    <row r="361" spans="4:17" x14ac:dyDescent="0.35">
      <c r="D361" s="23"/>
      <c r="E361" s="30"/>
      <c r="F361" s="30"/>
      <c r="G361" s="23"/>
      <c r="H361" s="30"/>
      <c r="I361" s="30"/>
      <c r="J361" s="31"/>
      <c r="L361" s="32">
        <v>2.4700000000000002</v>
      </c>
      <c r="M361" s="33">
        <v>6.4000000000000001E-2</v>
      </c>
      <c r="N361" s="33">
        <v>6.3500000000000001E-2</v>
      </c>
      <c r="O361" s="33">
        <v>3.8800000000000001E-2</v>
      </c>
      <c r="P361" s="33">
        <v>3.8800000000000001E-2</v>
      </c>
      <c r="Q361" s="74">
        <v>7.6300000000000007E-2</v>
      </c>
    </row>
    <row r="362" spans="4:17" x14ac:dyDescent="0.35">
      <c r="D362" s="23"/>
      <c r="E362" s="30"/>
      <c r="F362" s="30"/>
      <c r="G362" s="23"/>
      <c r="H362" s="30"/>
      <c r="I362" s="30"/>
      <c r="J362" s="31"/>
      <c r="L362" s="32">
        <v>2.48</v>
      </c>
      <c r="M362" s="33">
        <v>6.4399999999999999E-2</v>
      </c>
      <c r="N362" s="33">
        <v>6.4000000000000001E-2</v>
      </c>
      <c r="O362" s="33">
        <v>3.9199999999999999E-2</v>
      </c>
      <c r="P362" s="33">
        <v>3.9199999999999999E-2</v>
      </c>
      <c r="Q362" s="74">
        <v>7.6600000000000001E-2</v>
      </c>
    </row>
    <row r="363" spans="4:17" x14ac:dyDescent="0.35">
      <c r="D363" s="23"/>
      <c r="E363" s="30"/>
      <c r="F363" s="30"/>
      <c r="G363" s="23"/>
      <c r="H363" s="30"/>
      <c r="I363" s="30"/>
      <c r="J363" s="31"/>
      <c r="L363" s="32">
        <v>2.4900000000000002</v>
      </c>
      <c r="M363" s="33">
        <v>6.4899999999999999E-2</v>
      </c>
      <c r="N363" s="33">
        <v>6.4399999999999999E-2</v>
      </c>
      <c r="O363" s="33">
        <v>3.9600000000000003E-2</v>
      </c>
      <c r="P363" s="33">
        <v>3.9600000000000003E-2</v>
      </c>
      <c r="Q363" s="74">
        <v>7.6999999999999999E-2</v>
      </c>
    </row>
    <row r="364" spans="4:17" x14ac:dyDescent="0.35">
      <c r="D364" s="23"/>
      <c r="E364" s="30"/>
      <c r="F364" s="30"/>
      <c r="G364" s="23"/>
      <c r="H364" s="30"/>
      <c r="I364" s="30"/>
      <c r="J364" s="31"/>
      <c r="L364" s="32">
        <v>2.5</v>
      </c>
      <c r="M364" s="36">
        <v>6.54E-2</v>
      </c>
      <c r="N364" s="36">
        <v>6.4899999999999999E-2</v>
      </c>
      <c r="O364" s="33">
        <v>0.04</v>
      </c>
      <c r="P364" s="33">
        <v>0.04</v>
      </c>
      <c r="Q364" s="74">
        <v>7.7299999999999994E-2</v>
      </c>
    </row>
    <row r="365" spans="4:17" x14ac:dyDescent="0.35">
      <c r="D365" s="23"/>
      <c r="E365" s="30"/>
      <c r="F365" s="30"/>
      <c r="G365" s="23"/>
      <c r="H365" s="30"/>
      <c r="I365" s="30"/>
      <c r="J365" s="31"/>
      <c r="L365" s="32">
        <v>2.5099999999999998</v>
      </c>
      <c r="M365" s="33">
        <v>6.5799999999999997E-2</v>
      </c>
      <c r="N365" s="33">
        <v>6.5299999999999997E-2</v>
      </c>
      <c r="O365" s="33">
        <v>4.0399999999999998E-2</v>
      </c>
      <c r="P365" s="33">
        <v>4.0399999999999998E-2</v>
      </c>
      <c r="Q365" s="74">
        <v>7.7600000000000002E-2</v>
      </c>
    </row>
    <row r="366" spans="4:17" x14ac:dyDescent="0.35">
      <c r="D366" s="23"/>
      <c r="E366" s="30"/>
      <c r="F366" s="30"/>
      <c r="G366" s="23"/>
      <c r="H366" s="30"/>
      <c r="I366" s="30"/>
      <c r="J366" s="31"/>
      <c r="L366" s="32">
        <v>2.52</v>
      </c>
      <c r="M366" s="33">
        <v>6.6100000000000006E-2</v>
      </c>
      <c r="N366" s="33">
        <v>6.5600000000000006E-2</v>
      </c>
      <c r="O366" s="33">
        <v>4.0800000000000003E-2</v>
      </c>
      <c r="P366" s="33">
        <v>4.0800000000000003E-2</v>
      </c>
      <c r="Q366" s="74">
        <v>7.7899999999999997E-2</v>
      </c>
    </row>
    <row r="367" spans="4:17" x14ac:dyDescent="0.35">
      <c r="D367" s="23"/>
      <c r="E367" s="30"/>
      <c r="F367" s="30"/>
      <c r="G367" s="23"/>
      <c r="H367" s="30"/>
      <c r="I367" s="30"/>
      <c r="J367" s="31"/>
      <c r="L367" s="32">
        <v>2.5299999999999998</v>
      </c>
      <c r="M367" s="33">
        <v>6.6500000000000004E-2</v>
      </c>
      <c r="N367" s="33">
        <v>6.6000000000000003E-2</v>
      </c>
      <c r="O367" s="33">
        <v>4.1200000000000001E-2</v>
      </c>
      <c r="P367" s="33">
        <v>4.1200000000000001E-2</v>
      </c>
      <c r="Q367" s="74">
        <v>7.8100000000000003E-2</v>
      </c>
    </row>
    <row r="368" spans="4:17" x14ac:dyDescent="0.35">
      <c r="D368" s="23"/>
      <c r="E368" s="30"/>
      <c r="F368" s="30"/>
      <c r="G368" s="23"/>
      <c r="H368" s="30"/>
      <c r="I368" s="30"/>
      <c r="J368" s="31"/>
      <c r="L368" s="32">
        <v>2.54</v>
      </c>
      <c r="M368" s="33">
        <v>6.6900000000000001E-2</v>
      </c>
      <c r="N368" s="33">
        <v>6.6299999999999998E-2</v>
      </c>
      <c r="O368" s="33">
        <v>4.1599999999999998E-2</v>
      </c>
      <c r="P368" s="33">
        <v>4.1599999999999998E-2</v>
      </c>
      <c r="Q368" s="74">
        <v>7.8399999999999997E-2</v>
      </c>
    </row>
    <row r="369" spans="4:17" x14ac:dyDescent="0.35">
      <c r="D369" s="23"/>
      <c r="E369" s="30"/>
      <c r="F369" s="30"/>
      <c r="G369" s="23"/>
      <c r="H369" s="30"/>
      <c r="I369" s="30"/>
      <c r="J369" s="31"/>
      <c r="L369" s="32">
        <v>2.5499999999999998</v>
      </c>
      <c r="M369" s="33">
        <v>6.7199999999999996E-2</v>
      </c>
      <c r="N369" s="33">
        <v>6.6699999999999995E-2</v>
      </c>
      <c r="O369" s="33">
        <v>4.2000000000000003E-2</v>
      </c>
      <c r="P369" s="33">
        <v>4.2000000000000003E-2</v>
      </c>
      <c r="Q369" s="74">
        <v>7.8700000000000006E-2</v>
      </c>
    </row>
    <row r="370" spans="4:17" x14ac:dyDescent="0.35">
      <c r="D370" s="23"/>
      <c r="E370" s="30"/>
      <c r="F370" s="30"/>
      <c r="G370" s="23"/>
      <c r="H370" s="30"/>
      <c r="I370" s="30"/>
      <c r="J370" s="31"/>
      <c r="L370" s="32">
        <v>2.56</v>
      </c>
      <c r="M370" s="33">
        <v>6.7599999999999993E-2</v>
      </c>
      <c r="N370" s="33">
        <v>6.7100000000000007E-2</v>
      </c>
      <c r="O370" s="33">
        <v>4.24E-2</v>
      </c>
      <c r="P370" s="33">
        <v>4.24E-2</v>
      </c>
      <c r="Q370" s="74">
        <v>7.9000000000000001E-2</v>
      </c>
    </row>
    <row r="371" spans="4:17" x14ac:dyDescent="0.35">
      <c r="D371" s="23"/>
      <c r="E371" s="30"/>
      <c r="F371" s="30"/>
      <c r="G371" s="23"/>
      <c r="H371" s="30"/>
      <c r="I371" s="30"/>
      <c r="J371" s="31"/>
      <c r="L371" s="32">
        <v>2.57</v>
      </c>
      <c r="M371" s="33">
        <v>6.7900000000000002E-2</v>
      </c>
      <c r="N371" s="33">
        <v>6.7400000000000002E-2</v>
      </c>
      <c r="O371" s="33">
        <v>4.2799999999999998E-2</v>
      </c>
      <c r="P371" s="33">
        <v>4.2799999999999998E-2</v>
      </c>
      <c r="Q371" s="74">
        <v>7.9200000000000007E-2</v>
      </c>
    </row>
    <row r="372" spans="4:17" x14ac:dyDescent="0.35">
      <c r="D372" s="23"/>
      <c r="E372" s="30"/>
      <c r="F372" s="30"/>
      <c r="G372" s="23"/>
      <c r="H372" s="30"/>
      <c r="I372" s="30"/>
      <c r="J372" s="31"/>
      <c r="L372" s="32">
        <v>2.58</v>
      </c>
      <c r="M372" s="33">
        <v>6.83E-2</v>
      </c>
      <c r="N372" s="33">
        <v>6.7799999999999999E-2</v>
      </c>
      <c r="O372" s="33">
        <v>4.3200000000000002E-2</v>
      </c>
      <c r="P372" s="33">
        <v>4.3200000000000002E-2</v>
      </c>
      <c r="Q372" s="74">
        <v>7.9500000000000001E-2</v>
      </c>
    </row>
    <row r="373" spans="4:17" x14ac:dyDescent="0.35">
      <c r="D373" s="23"/>
      <c r="E373" s="30"/>
      <c r="F373" s="30"/>
      <c r="G373" s="23"/>
      <c r="H373" s="30"/>
      <c r="I373" s="30"/>
      <c r="J373" s="31"/>
      <c r="L373" s="32">
        <v>2.59</v>
      </c>
      <c r="M373" s="33">
        <v>6.8699999999999997E-2</v>
      </c>
      <c r="N373" s="33">
        <v>6.8099999999999994E-2</v>
      </c>
      <c r="O373" s="33">
        <v>4.36E-2</v>
      </c>
      <c r="P373" s="33">
        <v>4.36E-2</v>
      </c>
      <c r="Q373" s="74">
        <v>7.9799999999999996E-2</v>
      </c>
    </row>
    <row r="374" spans="4:17" x14ac:dyDescent="0.35">
      <c r="D374" s="23"/>
      <c r="E374" s="30"/>
      <c r="F374" s="30"/>
      <c r="G374" s="23"/>
      <c r="H374" s="30"/>
      <c r="I374" s="30"/>
      <c r="J374" s="31"/>
      <c r="L374" s="32">
        <v>2.6</v>
      </c>
      <c r="M374" s="33">
        <v>6.9000000000000006E-2</v>
      </c>
      <c r="N374" s="33">
        <v>6.8500000000000005E-2</v>
      </c>
      <c r="O374" s="33">
        <v>4.3999999999999997E-2</v>
      </c>
      <c r="P374" s="33">
        <v>4.3999999999999997E-2</v>
      </c>
      <c r="Q374" s="74">
        <v>8.0100000000000005E-2</v>
      </c>
    </row>
    <row r="375" spans="4:17" x14ac:dyDescent="0.35">
      <c r="D375" s="23"/>
      <c r="E375" s="30"/>
      <c r="F375" s="30"/>
      <c r="G375" s="23"/>
      <c r="H375" s="30"/>
      <c r="I375" s="30"/>
      <c r="J375" s="31"/>
      <c r="L375" s="32">
        <v>2.61</v>
      </c>
      <c r="M375" s="33">
        <v>6.9400000000000003E-2</v>
      </c>
      <c r="N375" s="33">
        <v>6.8900000000000003E-2</v>
      </c>
      <c r="O375" s="33">
        <v>4.4400000000000002E-2</v>
      </c>
      <c r="P375" s="33">
        <v>4.4400000000000002E-2</v>
      </c>
      <c r="Q375" s="74">
        <v>8.0399999999999999E-2</v>
      </c>
    </row>
    <row r="376" spans="4:17" x14ac:dyDescent="0.35">
      <c r="D376" s="23"/>
      <c r="E376" s="30"/>
      <c r="F376" s="30"/>
      <c r="G376" s="23"/>
      <c r="H376" s="30"/>
      <c r="I376" s="30"/>
      <c r="J376" s="31"/>
      <c r="L376" s="32">
        <v>2.62</v>
      </c>
      <c r="M376" s="33">
        <v>6.9800000000000001E-2</v>
      </c>
      <c r="N376" s="33">
        <v>6.9199999999999998E-2</v>
      </c>
      <c r="O376" s="33">
        <v>4.48E-2</v>
      </c>
      <c r="P376" s="33">
        <v>4.48E-2</v>
      </c>
      <c r="Q376" s="74">
        <v>8.0600000000000005E-2</v>
      </c>
    </row>
    <row r="377" spans="4:17" x14ac:dyDescent="0.35">
      <c r="D377" s="23"/>
      <c r="E377" s="30"/>
      <c r="F377" s="30"/>
      <c r="G377" s="23"/>
      <c r="H377" s="30"/>
      <c r="I377" s="30"/>
      <c r="J377" s="31"/>
      <c r="L377" s="32">
        <v>2.63</v>
      </c>
      <c r="M377" s="33">
        <v>7.0099999999999996E-2</v>
      </c>
      <c r="N377" s="33">
        <v>6.9599999999999995E-2</v>
      </c>
      <c r="O377" s="33">
        <v>4.5199999999999997E-2</v>
      </c>
      <c r="P377" s="33">
        <v>4.5199999999999997E-2</v>
      </c>
      <c r="Q377" s="74">
        <v>8.09E-2</v>
      </c>
    </row>
    <row r="378" spans="4:17" x14ac:dyDescent="0.35">
      <c r="D378" s="23"/>
      <c r="E378" s="30"/>
      <c r="F378" s="30"/>
      <c r="G378" s="23"/>
      <c r="H378" s="30"/>
      <c r="I378" s="30"/>
      <c r="J378" s="31"/>
      <c r="L378" s="32">
        <v>2.64</v>
      </c>
      <c r="M378" s="33">
        <v>7.0499999999999993E-2</v>
      </c>
      <c r="N378" s="33">
        <v>6.9900000000000004E-2</v>
      </c>
      <c r="O378" s="33">
        <v>4.5600000000000002E-2</v>
      </c>
      <c r="P378" s="33">
        <v>4.5600000000000002E-2</v>
      </c>
      <c r="Q378" s="74">
        <v>8.1199999999999994E-2</v>
      </c>
    </row>
    <row r="379" spans="4:17" x14ac:dyDescent="0.35">
      <c r="D379" s="23"/>
      <c r="E379" s="30"/>
      <c r="F379" s="30"/>
      <c r="G379" s="23"/>
      <c r="H379" s="30"/>
      <c r="I379" s="30"/>
      <c r="J379" s="31"/>
      <c r="L379" s="32">
        <v>2.65</v>
      </c>
      <c r="M379" s="33">
        <v>7.0900000000000005E-2</v>
      </c>
      <c r="N379" s="33">
        <v>7.0300000000000001E-2</v>
      </c>
      <c r="O379" s="33">
        <v>4.5999999999999999E-2</v>
      </c>
      <c r="P379" s="33">
        <v>4.5999999999999999E-2</v>
      </c>
      <c r="Q379" s="74">
        <v>8.1500000000000003E-2</v>
      </c>
    </row>
    <row r="380" spans="4:17" x14ac:dyDescent="0.35">
      <c r="D380" s="23"/>
      <c r="E380" s="30"/>
      <c r="F380" s="30"/>
      <c r="G380" s="23"/>
      <c r="H380" s="30"/>
      <c r="I380" s="30"/>
      <c r="J380" s="31"/>
      <c r="L380" s="32">
        <v>2.66</v>
      </c>
      <c r="M380" s="33">
        <v>7.1199999999999999E-2</v>
      </c>
      <c r="N380" s="33">
        <v>7.0699999999999999E-2</v>
      </c>
      <c r="O380" s="33">
        <v>4.6399999999999997E-2</v>
      </c>
      <c r="P380" s="33">
        <v>4.6399999999999997E-2</v>
      </c>
      <c r="Q380" s="74">
        <v>8.1699999999999995E-2</v>
      </c>
    </row>
    <row r="381" spans="4:17" x14ac:dyDescent="0.35">
      <c r="D381" s="23"/>
      <c r="E381" s="30"/>
      <c r="F381" s="30"/>
      <c r="G381" s="23"/>
      <c r="H381" s="30"/>
      <c r="I381" s="30"/>
      <c r="J381" s="31"/>
      <c r="L381" s="32">
        <v>2.67</v>
      </c>
      <c r="M381" s="33">
        <v>7.1599999999999997E-2</v>
      </c>
      <c r="N381" s="33">
        <v>7.0999999999999994E-2</v>
      </c>
      <c r="O381" s="33">
        <v>4.6800000000000001E-2</v>
      </c>
      <c r="P381" s="33">
        <v>4.6800000000000001E-2</v>
      </c>
      <c r="Q381" s="74">
        <v>8.2000000000000003E-2</v>
      </c>
    </row>
    <row r="382" spans="4:17" x14ac:dyDescent="0.35">
      <c r="D382" s="23"/>
      <c r="E382" s="30"/>
      <c r="F382" s="30"/>
      <c r="G382" s="23"/>
      <c r="H382" s="30"/>
      <c r="I382" s="30"/>
      <c r="J382" s="31"/>
      <c r="L382" s="32">
        <v>2.68</v>
      </c>
      <c r="M382" s="33">
        <v>7.1999999999999995E-2</v>
      </c>
      <c r="N382" s="33">
        <v>7.1400000000000005E-2</v>
      </c>
      <c r="O382" s="33">
        <v>4.7199999999999999E-2</v>
      </c>
      <c r="P382" s="33">
        <v>4.7199999999999999E-2</v>
      </c>
      <c r="Q382" s="74">
        <v>8.2299999999999998E-2</v>
      </c>
    </row>
    <row r="383" spans="4:17" x14ac:dyDescent="0.35">
      <c r="D383" s="23"/>
      <c r="E383" s="30"/>
      <c r="F383" s="30"/>
      <c r="G383" s="23"/>
      <c r="H383" s="30"/>
      <c r="I383" s="30"/>
      <c r="J383" s="31"/>
      <c r="L383" s="32">
        <v>2.69</v>
      </c>
      <c r="M383" s="33">
        <v>7.2300000000000003E-2</v>
      </c>
      <c r="N383" s="33">
        <v>7.17E-2</v>
      </c>
      <c r="O383" s="33">
        <v>4.7600000000000003E-2</v>
      </c>
      <c r="P383" s="33">
        <v>4.7600000000000003E-2</v>
      </c>
      <c r="Q383" s="74">
        <v>8.2600000000000007E-2</v>
      </c>
    </row>
    <row r="384" spans="4:17" x14ac:dyDescent="0.35">
      <c r="D384" s="23"/>
      <c r="E384" s="30"/>
      <c r="F384" s="30"/>
      <c r="G384" s="23"/>
      <c r="H384" s="30"/>
      <c r="I384" s="30"/>
      <c r="J384" s="31"/>
      <c r="L384" s="32">
        <v>2.7</v>
      </c>
      <c r="M384" s="33">
        <v>7.2700000000000001E-2</v>
      </c>
      <c r="N384" s="33">
        <v>7.2099999999999997E-2</v>
      </c>
      <c r="O384" s="33">
        <v>4.8000000000000001E-2</v>
      </c>
      <c r="P384" s="33">
        <v>4.8000000000000001E-2</v>
      </c>
      <c r="Q384" s="74">
        <v>8.2900000000000001E-2</v>
      </c>
    </row>
    <row r="385" spans="4:17" x14ac:dyDescent="0.35">
      <c r="D385" s="23"/>
      <c r="E385" s="30"/>
      <c r="F385" s="30"/>
      <c r="G385" s="23"/>
      <c r="H385" s="30"/>
      <c r="I385" s="30"/>
      <c r="J385" s="31"/>
      <c r="L385" s="32">
        <v>2.71</v>
      </c>
      <c r="M385" s="33">
        <v>7.2999999999999995E-2</v>
      </c>
      <c r="N385" s="33">
        <v>7.2499999999999995E-2</v>
      </c>
      <c r="O385" s="33">
        <v>4.8399999999999999E-2</v>
      </c>
      <c r="P385" s="33">
        <v>4.8399999999999999E-2</v>
      </c>
      <c r="Q385" s="74">
        <v>8.3099999999999993E-2</v>
      </c>
    </row>
    <row r="386" spans="4:17" x14ac:dyDescent="0.35">
      <c r="D386" s="23"/>
      <c r="E386" s="30"/>
      <c r="F386" s="30"/>
      <c r="G386" s="23"/>
      <c r="H386" s="30"/>
      <c r="I386" s="30"/>
      <c r="J386" s="31"/>
      <c r="L386" s="32">
        <v>2.72</v>
      </c>
      <c r="M386" s="33">
        <v>7.3400000000000007E-2</v>
      </c>
      <c r="N386" s="33">
        <v>7.2800000000000004E-2</v>
      </c>
      <c r="O386" s="33">
        <v>4.8800000000000003E-2</v>
      </c>
      <c r="P386" s="33">
        <v>4.8800000000000003E-2</v>
      </c>
      <c r="Q386" s="74">
        <v>8.3400000000000002E-2</v>
      </c>
    </row>
    <row r="387" spans="4:17" x14ac:dyDescent="0.35">
      <c r="D387" s="23"/>
      <c r="E387" s="30"/>
      <c r="F387" s="30"/>
      <c r="G387" s="23"/>
      <c r="H387" s="30"/>
      <c r="I387" s="30"/>
      <c r="J387" s="31"/>
      <c r="L387" s="32">
        <v>2.73</v>
      </c>
      <c r="M387" s="33">
        <v>7.3800000000000004E-2</v>
      </c>
      <c r="N387" s="33">
        <v>7.3200000000000001E-2</v>
      </c>
      <c r="O387" s="33">
        <v>4.9200000000000001E-2</v>
      </c>
      <c r="P387" s="33">
        <v>4.9200000000000001E-2</v>
      </c>
      <c r="Q387" s="74">
        <v>8.3699999999999997E-2</v>
      </c>
    </row>
    <row r="388" spans="4:17" x14ac:dyDescent="0.35">
      <c r="D388" s="23"/>
      <c r="E388" s="30"/>
      <c r="F388" s="30"/>
      <c r="G388" s="23"/>
      <c r="H388" s="30"/>
      <c r="I388" s="30"/>
      <c r="J388" s="31"/>
      <c r="L388" s="32">
        <v>2.74</v>
      </c>
      <c r="M388" s="33">
        <v>7.4099999999999999E-2</v>
      </c>
      <c r="N388" s="33">
        <v>7.3499999999999996E-2</v>
      </c>
      <c r="O388" s="33">
        <v>4.9599999999999998E-2</v>
      </c>
      <c r="P388" s="33">
        <v>4.9599999999999998E-2</v>
      </c>
      <c r="Q388" s="74">
        <v>8.4000000000000005E-2</v>
      </c>
    </row>
    <row r="389" spans="4:17" x14ac:dyDescent="0.35">
      <c r="D389" s="23"/>
      <c r="E389" s="30"/>
      <c r="F389" s="30"/>
      <c r="G389" s="23"/>
      <c r="H389" s="30"/>
      <c r="I389" s="30"/>
      <c r="J389" s="31"/>
      <c r="L389" s="32">
        <v>2.75</v>
      </c>
      <c r="M389" s="33">
        <v>7.4499999999999997E-2</v>
      </c>
      <c r="N389" s="33">
        <v>7.3899999999999993E-2</v>
      </c>
      <c r="O389" s="33">
        <v>0.05</v>
      </c>
      <c r="P389" s="33">
        <v>0.05</v>
      </c>
      <c r="Q389" s="74">
        <v>8.43E-2</v>
      </c>
    </row>
    <row r="390" spans="4:17" x14ac:dyDescent="0.35">
      <c r="D390" s="23"/>
      <c r="E390" s="30"/>
      <c r="F390" s="30"/>
      <c r="G390" s="23"/>
      <c r="H390" s="30"/>
      <c r="I390" s="30"/>
      <c r="J390" s="31"/>
      <c r="L390" s="32">
        <v>2.76</v>
      </c>
      <c r="M390" s="33">
        <v>7.4899999999999994E-2</v>
      </c>
      <c r="N390" s="33">
        <v>7.4300000000000005E-2</v>
      </c>
      <c r="O390" s="33">
        <v>5.04E-2</v>
      </c>
      <c r="P390" s="33">
        <v>5.04E-2</v>
      </c>
      <c r="Q390" s="74">
        <v>8.4500000000000006E-2</v>
      </c>
    </row>
    <row r="391" spans="4:17" x14ac:dyDescent="0.35">
      <c r="D391" s="23"/>
      <c r="E391" s="30"/>
      <c r="F391" s="30"/>
      <c r="G391" s="23"/>
      <c r="H391" s="30"/>
      <c r="I391" s="30"/>
      <c r="J391" s="31"/>
      <c r="L391" s="32">
        <v>2.77</v>
      </c>
      <c r="M391" s="33">
        <v>7.5200000000000003E-2</v>
      </c>
      <c r="N391" s="33">
        <v>7.46E-2</v>
      </c>
      <c r="O391" s="33">
        <v>5.0799999999999998E-2</v>
      </c>
      <c r="P391" s="33">
        <v>5.0799999999999998E-2</v>
      </c>
      <c r="Q391" s="74">
        <v>8.48E-2</v>
      </c>
    </row>
    <row r="392" spans="4:17" x14ac:dyDescent="0.35">
      <c r="D392" s="23"/>
      <c r="E392" s="30"/>
      <c r="F392" s="30"/>
      <c r="G392" s="23"/>
      <c r="H392" s="30"/>
      <c r="I392" s="30"/>
      <c r="J392" s="31"/>
      <c r="L392" s="32">
        <v>2.78</v>
      </c>
      <c r="M392" s="33">
        <v>7.5600000000000001E-2</v>
      </c>
      <c r="N392" s="33">
        <v>7.4999999999999997E-2</v>
      </c>
      <c r="O392" s="33">
        <v>5.1200000000000002E-2</v>
      </c>
      <c r="P392" s="33">
        <v>5.1200000000000002E-2</v>
      </c>
      <c r="Q392" s="74">
        <v>8.5099999999999995E-2</v>
      </c>
    </row>
    <row r="393" spans="4:17" x14ac:dyDescent="0.35">
      <c r="D393" s="23"/>
      <c r="E393" s="30"/>
      <c r="F393" s="30"/>
      <c r="G393" s="23"/>
      <c r="H393" s="30"/>
      <c r="I393" s="30"/>
      <c r="J393" s="31"/>
      <c r="L393" s="32">
        <v>2.79</v>
      </c>
      <c r="M393" s="33">
        <v>7.5999999999999998E-2</v>
      </c>
      <c r="N393" s="33">
        <v>7.5300000000000006E-2</v>
      </c>
      <c r="O393" s="33">
        <v>5.16E-2</v>
      </c>
      <c r="P393" s="33">
        <v>5.16E-2</v>
      </c>
      <c r="Q393" s="74">
        <v>8.5400000000000004E-2</v>
      </c>
    </row>
    <row r="394" spans="4:17" x14ac:dyDescent="0.35">
      <c r="D394" s="23"/>
      <c r="E394" s="30"/>
      <c r="F394" s="30"/>
      <c r="G394" s="23"/>
      <c r="H394" s="30"/>
      <c r="I394" s="30"/>
      <c r="J394" s="31"/>
      <c r="L394" s="32">
        <v>2.8</v>
      </c>
      <c r="M394" s="33">
        <v>7.6300000000000007E-2</v>
      </c>
      <c r="N394" s="33">
        <v>7.5700000000000003E-2</v>
      </c>
      <c r="O394" s="33">
        <v>5.1999999999999998E-2</v>
      </c>
      <c r="P394" s="33">
        <v>5.1999999999999998E-2</v>
      </c>
      <c r="Q394" s="74">
        <v>8.5599999999999996E-2</v>
      </c>
    </row>
    <row r="395" spans="4:17" x14ac:dyDescent="0.35">
      <c r="D395" s="23"/>
      <c r="E395" s="30"/>
      <c r="F395" s="30"/>
      <c r="G395" s="23"/>
      <c r="H395" s="30"/>
      <c r="I395" s="30"/>
      <c r="J395" s="31"/>
      <c r="L395" s="32">
        <v>2.81</v>
      </c>
      <c r="M395" s="33">
        <v>7.6700000000000004E-2</v>
      </c>
      <c r="N395" s="33">
        <v>7.6100000000000001E-2</v>
      </c>
      <c r="O395" s="33">
        <v>5.2400000000000002E-2</v>
      </c>
      <c r="P395" s="33">
        <v>5.2400000000000002E-2</v>
      </c>
      <c r="Q395" s="74">
        <v>8.5900000000000004E-2</v>
      </c>
    </row>
    <row r="396" spans="4:17" x14ac:dyDescent="0.35">
      <c r="D396" s="23"/>
      <c r="E396" s="30"/>
      <c r="F396" s="30"/>
      <c r="G396" s="23"/>
      <c r="H396" s="30"/>
      <c r="I396" s="30"/>
      <c r="J396" s="31"/>
      <c r="L396" s="32">
        <v>2.82</v>
      </c>
      <c r="M396" s="33">
        <v>7.6999999999999999E-2</v>
      </c>
      <c r="N396" s="33">
        <v>7.6399999999999996E-2</v>
      </c>
      <c r="O396" s="33">
        <v>5.28E-2</v>
      </c>
      <c r="P396" s="33">
        <v>5.28E-2</v>
      </c>
      <c r="Q396" s="74">
        <v>8.6199999999999999E-2</v>
      </c>
    </row>
    <row r="397" spans="4:17" x14ac:dyDescent="0.35">
      <c r="D397" s="23"/>
      <c r="E397" s="30"/>
      <c r="F397" s="30"/>
      <c r="G397" s="23"/>
      <c r="H397" s="30"/>
      <c r="I397" s="30"/>
      <c r="J397" s="31"/>
      <c r="L397" s="32">
        <v>2.83</v>
      </c>
      <c r="M397" s="33">
        <v>7.7399999999999997E-2</v>
      </c>
      <c r="N397" s="33">
        <v>7.6799999999999993E-2</v>
      </c>
      <c r="O397" s="33">
        <v>5.3199999999999997E-2</v>
      </c>
      <c r="P397" s="33">
        <v>5.3199999999999997E-2</v>
      </c>
      <c r="Q397" s="74">
        <v>8.6499999999999994E-2</v>
      </c>
    </row>
    <row r="398" spans="4:17" x14ac:dyDescent="0.35">
      <c r="D398" s="23"/>
      <c r="E398" s="30"/>
      <c r="F398" s="30"/>
      <c r="G398" s="23"/>
      <c r="H398" s="30"/>
      <c r="I398" s="30"/>
      <c r="J398" s="31"/>
      <c r="L398" s="32">
        <v>2.84</v>
      </c>
      <c r="M398" s="33">
        <v>7.7799999999999994E-2</v>
      </c>
      <c r="N398" s="33">
        <v>7.7100000000000002E-2</v>
      </c>
      <c r="O398" s="33">
        <v>5.3600000000000002E-2</v>
      </c>
      <c r="P398" s="33">
        <v>5.3600000000000002E-2</v>
      </c>
      <c r="Q398" s="74">
        <v>8.6800000000000002E-2</v>
      </c>
    </row>
    <row r="399" spans="4:17" x14ac:dyDescent="0.35">
      <c r="D399" s="23"/>
      <c r="E399" s="30"/>
      <c r="F399" s="30"/>
      <c r="G399" s="23"/>
      <c r="H399" s="30"/>
      <c r="I399" s="30"/>
      <c r="J399" s="31"/>
      <c r="L399" s="32">
        <v>2.85</v>
      </c>
      <c r="M399" s="33">
        <v>7.8100000000000003E-2</v>
      </c>
      <c r="N399" s="33">
        <v>7.7499999999999999E-2</v>
      </c>
      <c r="O399" s="33">
        <v>5.3999999999999999E-2</v>
      </c>
      <c r="P399" s="33">
        <v>5.3999999999999999E-2</v>
      </c>
      <c r="Q399" s="74">
        <v>8.6999999999999994E-2</v>
      </c>
    </row>
    <row r="400" spans="4:17" x14ac:dyDescent="0.35">
      <c r="D400" s="23"/>
      <c r="E400" s="30"/>
      <c r="F400" s="30"/>
      <c r="G400" s="23"/>
      <c r="H400" s="30"/>
      <c r="I400" s="30"/>
      <c r="J400" s="31"/>
      <c r="L400" s="32">
        <v>2.86</v>
      </c>
      <c r="M400" s="33">
        <v>7.85E-2</v>
      </c>
      <c r="N400" s="33">
        <v>7.7899999999999997E-2</v>
      </c>
      <c r="O400" s="33">
        <v>5.4399999999999997E-2</v>
      </c>
      <c r="P400" s="33">
        <v>5.4399999999999997E-2</v>
      </c>
      <c r="Q400" s="74">
        <v>8.7300000000000003E-2</v>
      </c>
    </row>
    <row r="401" spans="4:17" x14ac:dyDescent="0.35">
      <c r="D401" s="23"/>
      <c r="E401" s="30"/>
      <c r="F401" s="30"/>
      <c r="G401" s="23"/>
      <c r="H401" s="30"/>
      <c r="I401" s="30"/>
      <c r="J401" s="31"/>
      <c r="L401" s="32">
        <v>2.87</v>
      </c>
      <c r="M401" s="33">
        <v>7.8899999999999998E-2</v>
      </c>
      <c r="N401" s="33">
        <v>7.8200000000000006E-2</v>
      </c>
      <c r="O401" s="33">
        <v>5.4800000000000001E-2</v>
      </c>
      <c r="P401" s="33">
        <v>5.4800000000000001E-2</v>
      </c>
      <c r="Q401" s="74">
        <v>8.7599999999999997E-2</v>
      </c>
    </row>
    <row r="402" spans="4:17" x14ac:dyDescent="0.35">
      <c r="D402" s="23"/>
      <c r="E402" s="30"/>
      <c r="F402" s="30"/>
      <c r="G402" s="23"/>
      <c r="H402" s="30"/>
      <c r="I402" s="30"/>
      <c r="J402" s="31"/>
      <c r="L402" s="32">
        <v>2.88</v>
      </c>
      <c r="M402" s="33">
        <v>7.9200000000000007E-2</v>
      </c>
      <c r="N402" s="33">
        <v>7.8600000000000003E-2</v>
      </c>
      <c r="O402" s="33">
        <v>5.5199999999999999E-2</v>
      </c>
      <c r="P402" s="33">
        <v>5.5199999999999999E-2</v>
      </c>
      <c r="Q402" s="74">
        <v>8.7900000000000006E-2</v>
      </c>
    </row>
    <row r="403" spans="4:17" x14ac:dyDescent="0.35">
      <c r="D403" s="23"/>
      <c r="E403" s="30"/>
      <c r="F403" s="30"/>
      <c r="G403" s="23"/>
      <c r="H403" s="30"/>
      <c r="I403" s="30"/>
      <c r="J403" s="31"/>
      <c r="L403" s="32">
        <v>2.89</v>
      </c>
      <c r="M403" s="33">
        <v>7.9600000000000004E-2</v>
      </c>
      <c r="N403" s="33">
        <v>7.8899999999999998E-2</v>
      </c>
      <c r="O403" s="33">
        <v>5.5599999999999997E-2</v>
      </c>
      <c r="P403" s="33">
        <v>5.5599999999999997E-2</v>
      </c>
      <c r="Q403" s="74">
        <v>8.8099999999999998E-2</v>
      </c>
    </row>
    <row r="404" spans="4:17" x14ac:dyDescent="0.35">
      <c r="D404" s="23"/>
      <c r="E404" s="30"/>
      <c r="F404" s="30"/>
      <c r="G404" s="23"/>
      <c r="H404" s="30"/>
      <c r="I404" s="30"/>
      <c r="J404" s="31"/>
      <c r="L404" s="32">
        <v>2.9</v>
      </c>
      <c r="M404" s="33">
        <v>0.08</v>
      </c>
      <c r="N404" s="33">
        <v>7.9299999999999995E-2</v>
      </c>
      <c r="O404" s="33">
        <v>5.6000000000000001E-2</v>
      </c>
      <c r="P404" s="33">
        <v>5.6000000000000001E-2</v>
      </c>
      <c r="Q404" s="74">
        <v>8.8400000000000006E-2</v>
      </c>
    </row>
    <row r="405" spans="4:17" x14ac:dyDescent="0.35">
      <c r="D405" s="23"/>
      <c r="E405" s="30"/>
      <c r="F405" s="30"/>
      <c r="G405" s="23"/>
      <c r="H405" s="30"/>
      <c r="I405" s="30"/>
      <c r="J405" s="31"/>
      <c r="L405" s="32">
        <v>2.91</v>
      </c>
      <c r="M405" s="33">
        <v>8.0299999999999996E-2</v>
      </c>
      <c r="N405" s="33">
        <v>7.9699999999999993E-2</v>
      </c>
      <c r="O405" s="33">
        <v>5.6399999999999999E-2</v>
      </c>
      <c r="P405" s="33">
        <v>5.6399999999999999E-2</v>
      </c>
      <c r="Q405" s="74">
        <v>8.8700000000000001E-2</v>
      </c>
    </row>
    <row r="406" spans="4:17" x14ac:dyDescent="0.35">
      <c r="D406" s="23"/>
      <c r="E406" s="30"/>
      <c r="F406" s="30"/>
      <c r="G406" s="23"/>
      <c r="H406" s="30"/>
      <c r="I406" s="30"/>
      <c r="J406" s="31"/>
      <c r="L406" s="32">
        <v>2.92</v>
      </c>
      <c r="M406" s="33">
        <v>8.0699999999999994E-2</v>
      </c>
      <c r="N406" s="33">
        <v>0.08</v>
      </c>
      <c r="O406" s="33">
        <v>5.6800000000000003E-2</v>
      </c>
      <c r="P406" s="33">
        <v>5.6800000000000003E-2</v>
      </c>
      <c r="Q406" s="74">
        <v>8.8999999999999996E-2</v>
      </c>
    </row>
    <row r="407" spans="4:17" x14ac:dyDescent="0.35">
      <c r="D407" s="23"/>
      <c r="E407" s="30"/>
      <c r="F407" s="30"/>
      <c r="G407" s="23"/>
      <c r="H407" s="30"/>
      <c r="I407" s="30"/>
      <c r="J407" s="31"/>
      <c r="L407" s="32">
        <v>2.93</v>
      </c>
      <c r="M407" s="33">
        <v>8.1100000000000005E-2</v>
      </c>
      <c r="N407" s="33">
        <v>8.0399999999999999E-2</v>
      </c>
      <c r="O407" s="33">
        <v>5.7200000000000001E-2</v>
      </c>
      <c r="P407" s="33">
        <v>5.7200000000000001E-2</v>
      </c>
      <c r="Q407" s="74">
        <v>8.9300000000000004E-2</v>
      </c>
    </row>
    <row r="408" spans="4:17" x14ac:dyDescent="0.35">
      <c r="D408" s="23"/>
      <c r="E408" s="30"/>
      <c r="F408" s="30"/>
      <c r="G408" s="23"/>
      <c r="H408" s="30"/>
      <c r="I408" s="30"/>
      <c r="J408" s="31"/>
      <c r="L408" s="32">
        <v>2.94</v>
      </c>
      <c r="M408" s="33">
        <v>8.14E-2</v>
      </c>
      <c r="N408" s="33">
        <v>8.0699999999999994E-2</v>
      </c>
      <c r="O408" s="33">
        <v>5.7599999999999998E-2</v>
      </c>
      <c r="P408" s="33">
        <v>5.7599999999999998E-2</v>
      </c>
      <c r="Q408" s="74">
        <v>8.9499999999999996E-2</v>
      </c>
    </row>
    <row r="409" spans="4:17" x14ac:dyDescent="0.35">
      <c r="D409" s="23"/>
      <c r="E409" s="30"/>
      <c r="F409" s="30"/>
      <c r="G409" s="23"/>
      <c r="H409" s="30"/>
      <c r="I409" s="30"/>
      <c r="J409" s="31"/>
      <c r="L409" s="32">
        <v>2.95</v>
      </c>
      <c r="M409" s="33">
        <v>8.1799999999999998E-2</v>
      </c>
      <c r="N409" s="33">
        <v>8.1100000000000005E-2</v>
      </c>
      <c r="O409" s="33">
        <v>5.8000000000000003E-2</v>
      </c>
      <c r="P409" s="33">
        <v>5.8000000000000003E-2</v>
      </c>
      <c r="Q409" s="74">
        <v>8.9800000000000005E-2</v>
      </c>
    </row>
    <row r="410" spans="4:17" x14ac:dyDescent="0.35">
      <c r="D410" s="23"/>
      <c r="E410" s="30"/>
      <c r="F410" s="30"/>
      <c r="G410" s="23"/>
      <c r="H410" s="30"/>
      <c r="I410" s="30"/>
      <c r="J410" s="31"/>
      <c r="L410" s="32">
        <v>2.96</v>
      </c>
      <c r="M410" s="33">
        <v>8.2100000000000006E-2</v>
      </c>
      <c r="N410" s="33">
        <v>8.1500000000000003E-2</v>
      </c>
      <c r="O410" s="33">
        <v>5.8400000000000001E-2</v>
      </c>
      <c r="P410" s="33">
        <v>5.8400000000000001E-2</v>
      </c>
      <c r="Q410" s="74">
        <v>9.01E-2</v>
      </c>
    </row>
    <row r="411" spans="4:17" x14ac:dyDescent="0.35">
      <c r="D411" s="23"/>
      <c r="E411" s="30"/>
      <c r="F411" s="30"/>
      <c r="G411" s="23"/>
      <c r="H411" s="30"/>
      <c r="I411" s="30"/>
      <c r="J411" s="31"/>
      <c r="L411" s="32">
        <v>2.97</v>
      </c>
      <c r="M411" s="33">
        <v>8.2500000000000004E-2</v>
      </c>
      <c r="N411" s="33">
        <v>8.1799999999999998E-2</v>
      </c>
      <c r="O411" s="33">
        <v>5.8799999999999998E-2</v>
      </c>
      <c r="P411" s="33">
        <v>5.8799999999999998E-2</v>
      </c>
      <c r="Q411" s="74">
        <v>9.0399999999999994E-2</v>
      </c>
    </row>
    <row r="412" spans="4:17" x14ac:dyDescent="0.35">
      <c r="D412" s="23"/>
      <c r="E412" s="30"/>
      <c r="F412" s="30"/>
      <c r="G412" s="23"/>
      <c r="H412" s="30"/>
      <c r="I412" s="30"/>
      <c r="J412" s="31"/>
      <c r="L412" s="32">
        <v>2.98</v>
      </c>
      <c r="M412" s="33">
        <v>8.2900000000000001E-2</v>
      </c>
      <c r="N412" s="33">
        <v>8.2199999999999995E-2</v>
      </c>
      <c r="O412" s="33">
        <v>5.9200000000000003E-2</v>
      </c>
      <c r="P412" s="33">
        <v>5.9200000000000003E-2</v>
      </c>
      <c r="Q412" s="74">
        <v>9.06E-2</v>
      </c>
    </row>
    <row r="413" spans="4:17" x14ac:dyDescent="0.35">
      <c r="D413" s="23"/>
      <c r="E413" s="30"/>
      <c r="F413" s="30"/>
      <c r="G413" s="23"/>
      <c r="H413" s="30"/>
      <c r="I413" s="30"/>
      <c r="J413" s="31"/>
      <c r="L413" s="32">
        <v>2.99</v>
      </c>
      <c r="M413" s="33">
        <v>8.3199999999999996E-2</v>
      </c>
      <c r="N413" s="33">
        <v>8.2500000000000004E-2</v>
      </c>
      <c r="O413" s="33">
        <v>5.96E-2</v>
      </c>
      <c r="P413" s="33">
        <v>5.96E-2</v>
      </c>
      <c r="Q413" s="74">
        <v>9.0899999999999995E-2</v>
      </c>
    </row>
    <row r="414" spans="4:17" x14ac:dyDescent="0.35">
      <c r="D414" s="23"/>
      <c r="E414" s="30"/>
      <c r="F414" s="30"/>
      <c r="G414" s="23"/>
      <c r="H414" s="30"/>
      <c r="I414" s="30"/>
      <c r="J414" s="31"/>
      <c r="L414" s="32">
        <v>3</v>
      </c>
      <c r="M414" s="35">
        <v>8.3599999999999994E-2</v>
      </c>
      <c r="N414" s="35">
        <v>8.2900000000000001E-2</v>
      </c>
      <c r="O414" s="33">
        <v>0.06</v>
      </c>
      <c r="P414" s="33">
        <v>0.06</v>
      </c>
      <c r="Q414" s="74">
        <v>9.1200000000000003E-2</v>
      </c>
    </row>
    <row r="415" spans="4:17" x14ac:dyDescent="0.35">
      <c r="D415" s="23"/>
      <c r="E415" s="30"/>
      <c r="F415" s="30"/>
      <c r="G415" s="23"/>
      <c r="H415" s="30"/>
      <c r="I415" s="30"/>
      <c r="J415" s="31"/>
      <c r="L415" s="32">
        <v>3.01</v>
      </c>
      <c r="M415" s="33">
        <v>8.3799999999999999E-2</v>
      </c>
      <c r="N415" s="33">
        <v>8.3000000000000004E-2</v>
      </c>
      <c r="O415" s="33">
        <v>6.0299999999999999E-2</v>
      </c>
      <c r="P415" s="33">
        <v>6.0299999999999999E-2</v>
      </c>
      <c r="Q415" s="74">
        <v>9.1200000000000003E-2</v>
      </c>
    </row>
    <row r="416" spans="4:17" x14ac:dyDescent="0.35">
      <c r="D416" s="23"/>
      <c r="E416" s="30"/>
      <c r="F416" s="30"/>
      <c r="G416" s="23"/>
      <c r="H416" s="30"/>
      <c r="I416" s="30"/>
      <c r="J416" s="31"/>
      <c r="L416" s="32">
        <v>3.02</v>
      </c>
      <c r="M416" s="33">
        <v>8.3900000000000002E-2</v>
      </c>
      <c r="N416" s="33">
        <v>8.3199999999999996E-2</v>
      </c>
      <c r="O416" s="33">
        <v>6.0499999999999998E-2</v>
      </c>
      <c r="P416" s="33">
        <v>6.0499999999999998E-2</v>
      </c>
      <c r="Q416" s="74">
        <v>9.1200000000000003E-2</v>
      </c>
    </row>
    <row r="417" spans="4:17" x14ac:dyDescent="0.35">
      <c r="D417" s="23"/>
      <c r="E417" s="30"/>
      <c r="F417" s="30"/>
      <c r="G417" s="23"/>
      <c r="H417" s="30"/>
      <c r="I417" s="30"/>
      <c r="J417" s="31"/>
      <c r="L417" s="32">
        <v>3.03</v>
      </c>
      <c r="M417" s="33">
        <v>8.4099999999999994E-2</v>
      </c>
      <c r="N417" s="33">
        <v>8.3299999999999999E-2</v>
      </c>
      <c r="O417" s="33">
        <v>6.08E-2</v>
      </c>
      <c r="P417" s="33">
        <v>6.08E-2</v>
      </c>
      <c r="Q417" s="74">
        <v>9.1200000000000003E-2</v>
      </c>
    </row>
    <row r="418" spans="4:17" x14ac:dyDescent="0.35">
      <c r="D418" s="23"/>
      <c r="E418" s="30"/>
      <c r="F418" s="30"/>
      <c r="G418" s="23"/>
      <c r="H418" s="30"/>
      <c r="I418" s="30"/>
      <c r="J418" s="31"/>
      <c r="L418" s="32">
        <v>3.04</v>
      </c>
      <c r="M418" s="33">
        <v>8.4199999999999997E-2</v>
      </c>
      <c r="N418" s="33">
        <v>8.3500000000000005E-2</v>
      </c>
      <c r="O418" s="33">
        <v>6.0999999999999999E-2</v>
      </c>
      <c r="P418" s="33">
        <v>6.0999999999999999E-2</v>
      </c>
      <c r="Q418" s="74">
        <v>9.1200000000000003E-2</v>
      </c>
    </row>
    <row r="419" spans="4:17" x14ac:dyDescent="0.35">
      <c r="D419" s="23"/>
      <c r="E419" s="30"/>
      <c r="F419" s="30"/>
      <c r="G419" s="23"/>
      <c r="H419" s="30"/>
      <c r="I419" s="30"/>
      <c r="J419" s="31"/>
      <c r="L419" s="32">
        <v>3.05</v>
      </c>
      <c r="M419" s="33">
        <v>8.4400000000000003E-2</v>
      </c>
      <c r="N419" s="33">
        <v>8.3599999999999994E-2</v>
      </c>
      <c r="O419" s="33">
        <v>6.13E-2</v>
      </c>
      <c r="P419" s="33">
        <v>6.13E-2</v>
      </c>
      <c r="Q419" s="74">
        <v>9.1200000000000003E-2</v>
      </c>
    </row>
    <row r="420" spans="4:17" x14ac:dyDescent="0.35">
      <c r="D420" s="23"/>
      <c r="E420" s="30"/>
      <c r="F420" s="30"/>
      <c r="G420" s="23"/>
      <c r="H420" s="30"/>
      <c r="I420" s="30"/>
      <c r="J420" s="31"/>
      <c r="L420" s="32">
        <v>3.06</v>
      </c>
      <c r="M420" s="33">
        <v>8.4500000000000006E-2</v>
      </c>
      <c r="N420" s="33">
        <v>8.3799999999999999E-2</v>
      </c>
      <c r="O420" s="33">
        <v>6.1499999999999999E-2</v>
      </c>
      <c r="P420" s="33">
        <v>6.1499999999999999E-2</v>
      </c>
      <c r="Q420" s="74">
        <v>9.1200000000000003E-2</v>
      </c>
    </row>
    <row r="421" spans="4:17" x14ac:dyDescent="0.35">
      <c r="D421" s="23"/>
      <c r="E421" s="30"/>
      <c r="F421" s="30"/>
      <c r="G421" s="23"/>
      <c r="H421" s="30"/>
      <c r="I421" s="30"/>
      <c r="J421" s="31"/>
      <c r="L421" s="32">
        <v>3.07</v>
      </c>
      <c r="M421" s="33">
        <v>8.4699999999999998E-2</v>
      </c>
      <c r="N421" s="33">
        <v>8.3900000000000002E-2</v>
      </c>
      <c r="O421" s="33">
        <v>6.1800000000000001E-2</v>
      </c>
      <c r="P421" s="33">
        <v>6.1800000000000001E-2</v>
      </c>
      <c r="Q421" s="74">
        <v>9.1200000000000003E-2</v>
      </c>
    </row>
    <row r="422" spans="4:17" x14ac:dyDescent="0.35">
      <c r="D422" s="23"/>
      <c r="E422" s="30"/>
      <c r="F422" s="30"/>
      <c r="G422" s="23"/>
      <c r="H422" s="30"/>
      <c r="I422" s="30"/>
      <c r="J422" s="31"/>
      <c r="L422" s="32">
        <v>3.08</v>
      </c>
      <c r="M422" s="33">
        <v>8.48E-2</v>
      </c>
      <c r="N422" s="33">
        <v>8.4099999999999994E-2</v>
      </c>
      <c r="O422" s="33">
        <v>6.2E-2</v>
      </c>
      <c r="P422" s="33">
        <v>6.2E-2</v>
      </c>
      <c r="Q422" s="74">
        <v>9.1200000000000003E-2</v>
      </c>
    </row>
    <row r="423" spans="4:17" x14ac:dyDescent="0.35">
      <c r="D423" s="23"/>
      <c r="E423" s="30"/>
      <c r="F423" s="30"/>
      <c r="G423" s="23"/>
      <c r="H423" s="30"/>
      <c r="I423" s="30"/>
      <c r="J423" s="31"/>
      <c r="L423" s="32">
        <v>3.09</v>
      </c>
      <c r="M423" s="33">
        <v>8.5000000000000006E-2</v>
      </c>
      <c r="N423" s="33">
        <v>8.4199999999999997E-2</v>
      </c>
      <c r="O423" s="33">
        <v>6.2300000000000001E-2</v>
      </c>
      <c r="P423" s="33">
        <v>6.2300000000000001E-2</v>
      </c>
      <c r="Q423" s="74">
        <v>9.1200000000000003E-2</v>
      </c>
    </row>
    <row r="424" spans="4:17" x14ac:dyDescent="0.35">
      <c r="D424" s="23"/>
      <c r="E424" s="30"/>
      <c r="F424" s="30"/>
      <c r="G424" s="23"/>
      <c r="H424" s="30"/>
      <c r="I424" s="30"/>
      <c r="J424" s="31"/>
      <c r="L424" s="32">
        <v>3.1</v>
      </c>
      <c r="M424" s="33">
        <v>8.5099999999999995E-2</v>
      </c>
      <c r="N424" s="33">
        <v>8.4400000000000003E-2</v>
      </c>
      <c r="O424" s="33">
        <v>6.25E-2</v>
      </c>
      <c r="P424" s="33">
        <v>6.25E-2</v>
      </c>
      <c r="Q424" s="74">
        <v>9.1200000000000003E-2</v>
      </c>
    </row>
    <row r="425" spans="4:17" x14ac:dyDescent="0.35">
      <c r="D425" s="23"/>
      <c r="E425" s="30"/>
      <c r="F425" s="30"/>
      <c r="G425" s="23"/>
      <c r="H425" s="30"/>
      <c r="I425" s="30"/>
      <c r="J425" s="31"/>
      <c r="L425" s="32">
        <v>3.11</v>
      </c>
      <c r="M425" s="33">
        <v>8.5300000000000001E-2</v>
      </c>
      <c r="N425" s="33">
        <v>8.4500000000000006E-2</v>
      </c>
      <c r="O425" s="33">
        <v>6.2799999999999995E-2</v>
      </c>
      <c r="P425" s="33">
        <v>6.2799999999999995E-2</v>
      </c>
      <c r="Q425" s="74">
        <v>9.1200000000000003E-2</v>
      </c>
    </row>
    <row r="426" spans="4:17" x14ac:dyDescent="0.35">
      <c r="D426" s="23"/>
      <c r="E426" s="30"/>
      <c r="F426" s="30"/>
      <c r="G426" s="23"/>
      <c r="H426" s="30"/>
      <c r="I426" s="30"/>
      <c r="J426" s="31"/>
      <c r="L426" s="32">
        <v>3.12</v>
      </c>
      <c r="M426" s="33">
        <v>8.5400000000000004E-2</v>
      </c>
      <c r="N426" s="33">
        <v>8.4699999999999998E-2</v>
      </c>
      <c r="O426" s="33">
        <v>6.3E-2</v>
      </c>
      <c r="P426" s="33">
        <v>6.3E-2</v>
      </c>
      <c r="Q426" s="74">
        <v>9.1200000000000003E-2</v>
      </c>
    </row>
    <row r="427" spans="4:17" x14ac:dyDescent="0.35">
      <c r="D427" s="23"/>
      <c r="E427" s="30"/>
      <c r="F427" s="30"/>
      <c r="G427" s="23"/>
      <c r="H427" s="30"/>
      <c r="I427" s="30"/>
      <c r="J427" s="31"/>
      <c r="L427" s="32">
        <v>3.13</v>
      </c>
      <c r="M427" s="33">
        <v>8.5599999999999996E-2</v>
      </c>
      <c r="N427" s="33">
        <v>8.48E-2</v>
      </c>
      <c r="O427" s="33">
        <v>6.3299999999999995E-2</v>
      </c>
      <c r="P427" s="33">
        <v>6.3299999999999995E-2</v>
      </c>
      <c r="Q427" s="74">
        <v>9.1200000000000003E-2</v>
      </c>
    </row>
    <row r="428" spans="4:17" x14ac:dyDescent="0.35">
      <c r="D428" s="23"/>
      <c r="E428" s="30"/>
      <c r="F428" s="30"/>
      <c r="G428" s="23"/>
      <c r="H428" s="30"/>
      <c r="I428" s="30"/>
      <c r="J428" s="31"/>
      <c r="L428" s="32">
        <v>3.14</v>
      </c>
      <c r="M428" s="33">
        <v>8.5699999999999998E-2</v>
      </c>
      <c r="N428" s="33">
        <v>8.5000000000000006E-2</v>
      </c>
      <c r="O428" s="33">
        <v>6.3500000000000001E-2</v>
      </c>
      <c r="P428" s="33">
        <v>6.3500000000000001E-2</v>
      </c>
      <c r="Q428" s="74">
        <v>9.1200000000000003E-2</v>
      </c>
    </row>
    <row r="429" spans="4:17" x14ac:dyDescent="0.35">
      <c r="D429" s="23"/>
      <c r="E429" s="30"/>
      <c r="F429" s="30"/>
      <c r="G429" s="23"/>
      <c r="H429" s="30"/>
      <c r="I429" s="30"/>
      <c r="J429" s="31"/>
      <c r="L429" s="32">
        <v>3.15</v>
      </c>
      <c r="M429" s="33">
        <v>8.5900000000000004E-2</v>
      </c>
      <c r="N429" s="33">
        <v>8.5099999999999995E-2</v>
      </c>
      <c r="O429" s="33">
        <v>6.3799999999999996E-2</v>
      </c>
      <c r="P429" s="33">
        <v>6.3799999999999996E-2</v>
      </c>
      <c r="Q429" s="74">
        <v>9.1200000000000003E-2</v>
      </c>
    </row>
    <row r="430" spans="4:17" x14ac:dyDescent="0.35">
      <c r="D430" s="23"/>
      <c r="E430" s="30"/>
      <c r="F430" s="30"/>
      <c r="G430" s="23"/>
      <c r="H430" s="30"/>
      <c r="I430" s="30"/>
      <c r="J430" s="31"/>
      <c r="L430" s="32">
        <v>3.16</v>
      </c>
      <c r="M430" s="33">
        <v>8.5999999999999993E-2</v>
      </c>
      <c r="N430" s="33">
        <v>8.5300000000000001E-2</v>
      </c>
      <c r="O430" s="33">
        <v>6.4000000000000001E-2</v>
      </c>
      <c r="P430" s="33">
        <v>6.4000000000000001E-2</v>
      </c>
      <c r="Q430" s="74">
        <v>9.1200000000000003E-2</v>
      </c>
    </row>
    <row r="431" spans="4:17" x14ac:dyDescent="0.35">
      <c r="D431" s="23"/>
      <c r="E431" s="30"/>
      <c r="F431" s="30"/>
      <c r="G431" s="23"/>
      <c r="H431" s="30"/>
      <c r="I431" s="30"/>
      <c r="J431" s="31"/>
      <c r="L431" s="32">
        <v>3.17</v>
      </c>
      <c r="M431" s="33">
        <v>8.6099999999999996E-2</v>
      </c>
      <c r="N431" s="33">
        <v>8.5400000000000004E-2</v>
      </c>
      <c r="O431" s="33">
        <v>6.4299999999999996E-2</v>
      </c>
      <c r="P431" s="33">
        <v>6.4299999999999996E-2</v>
      </c>
      <c r="Q431" s="74">
        <v>9.1200000000000003E-2</v>
      </c>
    </row>
    <row r="432" spans="4:17" x14ac:dyDescent="0.35">
      <c r="D432" s="23"/>
      <c r="E432" s="30"/>
      <c r="F432" s="30"/>
      <c r="G432" s="23"/>
      <c r="H432" s="30"/>
      <c r="I432" s="30"/>
      <c r="J432" s="31"/>
      <c r="L432" s="32">
        <v>3.18</v>
      </c>
      <c r="M432" s="33">
        <v>8.6300000000000002E-2</v>
      </c>
      <c r="N432" s="33">
        <v>8.5599999999999996E-2</v>
      </c>
      <c r="O432" s="33">
        <v>6.4500000000000002E-2</v>
      </c>
      <c r="P432" s="33">
        <v>6.4500000000000002E-2</v>
      </c>
      <c r="Q432" s="74">
        <v>9.1200000000000003E-2</v>
      </c>
    </row>
    <row r="433" spans="4:17" x14ac:dyDescent="0.35">
      <c r="D433" s="23"/>
      <c r="E433" s="30"/>
      <c r="F433" s="30"/>
      <c r="G433" s="23"/>
      <c r="H433" s="30"/>
      <c r="I433" s="30"/>
      <c r="J433" s="31"/>
      <c r="L433" s="32">
        <v>3.19</v>
      </c>
      <c r="M433" s="33">
        <v>8.6400000000000005E-2</v>
      </c>
      <c r="N433" s="33">
        <v>8.5699999999999998E-2</v>
      </c>
      <c r="O433" s="33">
        <v>6.4799999999999996E-2</v>
      </c>
      <c r="P433" s="33">
        <v>6.4799999999999996E-2</v>
      </c>
      <c r="Q433" s="74">
        <v>9.1200000000000003E-2</v>
      </c>
    </row>
    <row r="434" spans="4:17" x14ac:dyDescent="0.35">
      <c r="D434" s="23"/>
      <c r="E434" s="30"/>
      <c r="F434" s="30"/>
      <c r="G434" s="23"/>
      <c r="H434" s="30"/>
      <c r="I434" s="30"/>
      <c r="J434" s="31"/>
      <c r="L434" s="32">
        <v>3.2</v>
      </c>
      <c r="M434" s="33">
        <v>8.6599999999999996E-2</v>
      </c>
      <c r="N434" s="33">
        <v>8.5900000000000004E-2</v>
      </c>
      <c r="O434" s="33">
        <v>6.5000000000000002E-2</v>
      </c>
      <c r="P434" s="33">
        <v>6.5000000000000002E-2</v>
      </c>
      <c r="Q434" s="74">
        <v>9.1200000000000003E-2</v>
      </c>
    </row>
    <row r="435" spans="4:17" x14ac:dyDescent="0.35">
      <c r="D435" s="23"/>
      <c r="E435" s="30"/>
      <c r="F435" s="30"/>
      <c r="G435" s="23"/>
      <c r="H435" s="30"/>
      <c r="I435" s="30"/>
      <c r="J435" s="31"/>
      <c r="L435" s="32">
        <v>3.21</v>
      </c>
      <c r="M435" s="33">
        <v>8.6699999999999999E-2</v>
      </c>
      <c r="N435" s="33">
        <v>8.5999999999999993E-2</v>
      </c>
      <c r="O435" s="33">
        <v>6.5299999999999997E-2</v>
      </c>
      <c r="P435" s="33">
        <v>6.5299999999999997E-2</v>
      </c>
      <c r="Q435" s="74">
        <v>9.1200000000000003E-2</v>
      </c>
    </row>
    <row r="436" spans="4:17" x14ac:dyDescent="0.35">
      <c r="D436" s="23"/>
      <c r="E436" s="30"/>
      <c r="F436" s="30"/>
      <c r="G436" s="23"/>
      <c r="H436" s="30"/>
      <c r="I436" s="30"/>
      <c r="J436" s="31"/>
      <c r="L436" s="32">
        <v>3.22</v>
      </c>
      <c r="M436" s="33">
        <v>8.6900000000000005E-2</v>
      </c>
      <c r="N436" s="33">
        <v>8.6199999999999999E-2</v>
      </c>
      <c r="O436" s="33">
        <v>6.5500000000000003E-2</v>
      </c>
      <c r="P436" s="33">
        <v>6.5500000000000003E-2</v>
      </c>
      <c r="Q436" s="74">
        <v>9.1200000000000003E-2</v>
      </c>
    </row>
    <row r="437" spans="4:17" x14ac:dyDescent="0.35">
      <c r="D437" s="23"/>
      <c r="E437" s="30"/>
      <c r="F437" s="30"/>
      <c r="G437" s="23"/>
      <c r="H437" s="30"/>
      <c r="I437" s="30"/>
      <c r="J437" s="31"/>
      <c r="L437" s="32">
        <v>3.23</v>
      </c>
      <c r="M437" s="33">
        <v>8.6999999999999994E-2</v>
      </c>
      <c r="N437" s="33">
        <v>8.6300000000000002E-2</v>
      </c>
      <c r="O437" s="33">
        <v>6.5799999999999997E-2</v>
      </c>
      <c r="P437" s="33">
        <v>6.5799999999999997E-2</v>
      </c>
      <c r="Q437" s="74">
        <v>9.1200000000000003E-2</v>
      </c>
    </row>
    <row r="438" spans="4:17" x14ac:dyDescent="0.35">
      <c r="D438" s="23"/>
      <c r="E438" s="30"/>
      <c r="F438" s="30"/>
      <c r="G438" s="23"/>
      <c r="H438" s="30"/>
      <c r="I438" s="30"/>
      <c r="J438" s="31"/>
      <c r="L438" s="32">
        <v>3.24</v>
      </c>
      <c r="M438" s="33">
        <v>8.72E-2</v>
      </c>
      <c r="N438" s="33">
        <v>8.6499999999999994E-2</v>
      </c>
      <c r="O438" s="33">
        <v>6.6000000000000003E-2</v>
      </c>
      <c r="P438" s="33">
        <v>6.6000000000000003E-2</v>
      </c>
      <c r="Q438" s="74">
        <v>9.1200000000000003E-2</v>
      </c>
    </row>
    <row r="439" spans="4:17" x14ac:dyDescent="0.35">
      <c r="D439" s="23"/>
      <c r="E439" s="30"/>
      <c r="F439" s="30"/>
      <c r="G439" s="23"/>
      <c r="H439" s="30"/>
      <c r="I439" s="30"/>
      <c r="J439" s="31"/>
      <c r="L439" s="32">
        <v>3.25</v>
      </c>
      <c r="M439" s="33">
        <v>8.7300000000000003E-2</v>
      </c>
      <c r="N439" s="33">
        <v>8.6599999999999996E-2</v>
      </c>
      <c r="O439" s="33">
        <v>6.6299999999999998E-2</v>
      </c>
      <c r="P439" s="33">
        <v>6.6299999999999998E-2</v>
      </c>
      <c r="Q439" s="74">
        <v>9.1200000000000003E-2</v>
      </c>
    </row>
    <row r="440" spans="4:17" x14ac:dyDescent="0.35">
      <c r="D440" s="23"/>
      <c r="E440" s="30"/>
      <c r="F440" s="30"/>
      <c r="G440" s="23"/>
      <c r="H440" s="30"/>
      <c r="I440" s="30"/>
      <c r="J440" s="31"/>
      <c r="L440" s="32">
        <v>3.26</v>
      </c>
      <c r="M440" s="33">
        <v>8.7499999999999994E-2</v>
      </c>
      <c r="N440" s="33">
        <v>8.6800000000000002E-2</v>
      </c>
      <c r="O440" s="33">
        <v>6.6500000000000004E-2</v>
      </c>
      <c r="P440" s="33">
        <v>6.6500000000000004E-2</v>
      </c>
      <c r="Q440" s="74">
        <v>9.1200000000000003E-2</v>
      </c>
    </row>
    <row r="441" spans="4:17" x14ac:dyDescent="0.35">
      <c r="D441" s="23"/>
      <c r="E441" s="30"/>
      <c r="F441" s="30"/>
      <c r="G441" s="23"/>
      <c r="H441" s="30"/>
      <c r="I441" s="30"/>
      <c r="J441" s="31"/>
      <c r="L441" s="32">
        <v>3.27</v>
      </c>
      <c r="M441" s="33">
        <v>8.7599999999999997E-2</v>
      </c>
      <c r="N441" s="33">
        <v>8.6900000000000005E-2</v>
      </c>
      <c r="O441" s="33">
        <v>6.6799999999999998E-2</v>
      </c>
      <c r="P441" s="33">
        <v>6.6799999999999998E-2</v>
      </c>
      <c r="Q441" s="74">
        <v>9.1200000000000003E-2</v>
      </c>
    </row>
    <row r="442" spans="4:17" x14ac:dyDescent="0.35">
      <c r="D442" s="23"/>
      <c r="E442" s="30"/>
      <c r="F442" s="30"/>
      <c r="G442" s="23"/>
      <c r="H442" s="30"/>
      <c r="I442" s="30"/>
      <c r="J442" s="31"/>
      <c r="L442" s="32">
        <v>3.28</v>
      </c>
      <c r="M442" s="33">
        <v>8.7800000000000003E-2</v>
      </c>
      <c r="N442" s="33">
        <v>8.7099999999999997E-2</v>
      </c>
      <c r="O442" s="33">
        <v>6.7000000000000004E-2</v>
      </c>
      <c r="P442" s="33">
        <v>6.7000000000000004E-2</v>
      </c>
      <c r="Q442" s="74">
        <v>9.1200000000000003E-2</v>
      </c>
    </row>
    <row r="443" spans="4:17" x14ac:dyDescent="0.35">
      <c r="D443" s="23"/>
      <c r="E443" s="30"/>
      <c r="F443" s="30"/>
      <c r="G443" s="23"/>
      <c r="H443" s="30"/>
      <c r="I443" s="30"/>
      <c r="J443" s="31"/>
      <c r="L443" s="32">
        <v>3.29</v>
      </c>
      <c r="M443" s="33">
        <v>8.7900000000000006E-2</v>
      </c>
      <c r="N443" s="33">
        <v>8.72E-2</v>
      </c>
      <c r="O443" s="33">
        <v>6.7299999999999999E-2</v>
      </c>
      <c r="P443" s="33">
        <v>6.7299999999999999E-2</v>
      </c>
      <c r="Q443" s="74">
        <v>9.1200000000000003E-2</v>
      </c>
    </row>
    <row r="444" spans="4:17" x14ac:dyDescent="0.35">
      <c r="D444" s="23"/>
      <c r="E444" s="30"/>
      <c r="F444" s="30"/>
      <c r="G444" s="23"/>
      <c r="H444" s="30"/>
      <c r="I444" s="30"/>
      <c r="J444" s="31"/>
      <c r="L444" s="32">
        <v>3.3</v>
      </c>
      <c r="M444" s="33">
        <v>8.8099999999999998E-2</v>
      </c>
      <c r="N444" s="33">
        <v>8.7400000000000005E-2</v>
      </c>
      <c r="O444" s="33">
        <v>6.7500000000000004E-2</v>
      </c>
      <c r="P444" s="33">
        <v>6.7500000000000004E-2</v>
      </c>
      <c r="Q444" s="74">
        <v>9.1200000000000003E-2</v>
      </c>
    </row>
    <row r="445" spans="4:17" x14ac:dyDescent="0.35">
      <c r="D445" s="23"/>
      <c r="E445" s="30"/>
      <c r="F445" s="30"/>
      <c r="G445" s="23"/>
      <c r="H445" s="30"/>
      <c r="I445" s="30"/>
      <c r="J445" s="31"/>
      <c r="L445" s="32">
        <v>3.31</v>
      </c>
      <c r="M445" s="33">
        <v>8.8200000000000001E-2</v>
      </c>
      <c r="N445" s="33">
        <v>8.7499999999999994E-2</v>
      </c>
      <c r="O445" s="33">
        <v>6.7799999999999999E-2</v>
      </c>
      <c r="P445" s="33">
        <v>6.7799999999999999E-2</v>
      </c>
      <c r="Q445" s="74">
        <v>9.1200000000000003E-2</v>
      </c>
    </row>
    <row r="446" spans="4:17" x14ac:dyDescent="0.35">
      <c r="D446" s="23"/>
      <c r="E446" s="30"/>
      <c r="F446" s="30"/>
      <c r="G446" s="23"/>
      <c r="H446" s="30"/>
      <c r="I446" s="30"/>
      <c r="J446" s="31"/>
      <c r="L446" s="32">
        <v>3.32</v>
      </c>
      <c r="M446" s="33">
        <v>8.8400000000000006E-2</v>
      </c>
      <c r="N446" s="33">
        <v>8.77E-2</v>
      </c>
      <c r="O446" s="33">
        <v>6.8000000000000005E-2</v>
      </c>
      <c r="P446" s="33">
        <v>6.8000000000000005E-2</v>
      </c>
      <c r="Q446" s="74">
        <v>9.1200000000000003E-2</v>
      </c>
    </row>
    <row r="447" spans="4:17" x14ac:dyDescent="0.35">
      <c r="D447" s="23"/>
      <c r="E447" s="30"/>
      <c r="F447" s="30"/>
      <c r="G447" s="23"/>
      <c r="H447" s="30"/>
      <c r="I447" s="30"/>
      <c r="J447" s="31"/>
      <c r="L447" s="32">
        <v>3.33</v>
      </c>
      <c r="M447" s="33">
        <v>8.8499999999999995E-2</v>
      </c>
      <c r="N447" s="33">
        <v>8.7800000000000003E-2</v>
      </c>
      <c r="O447" s="33">
        <v>6.83E-2</v>
      </c>
      <c r="P447" s="33">
        <v>6.83E-2</v>
      </c>
      <c r="Q447" s="74">
        <v>9.1200000000000003E-2</v>
      </c>
    </row>
    <row r="448" spans="4:17" x14ac:dyDescent="0.35">
      <c r="D448" s="23"/>
      <c r="E448" s="30"/>
      <c r="F448" s="30"/>
      <c r="G448" s="23"/>
      <c r="H448" s="30"/>
      <c r="I448" s="30"/>
      <c r="J448" s="31"/>
      <c r="L448" s="32">
        <v>3.34</v>
      </c>
      <c r="M448" s="33">
        <v>8.8700000000000001E-2</v>
      </c>
      <c r="N448" s="33">
        <v>8.7999999999999995E-2</v>
      </c>
      <c r="O448" s="33">
        <v>6.8500000000000005E-2</v>
      </c>
      <c r="P448" s="33">
        <v>6.8500000000000005E-2</v>
      </c>
      <c r="Q448" s="74">
        <v>9.1200000000000003E-2</v>
      </c>
    </row>
    <row r="449" spans="4:17" x14ac:dyDescent="0.35">
      <c r="D449" s="23"/>
      <c r="E449" s="30"/>
      <c r="F449" s="30"/>
      <c r="G449" s="23"/>
      <c r="H449" s="30"/>
      <c r="I449" s="30"/>
      <c r="J449" s="31"/>
      <c r="L449" s="32">
        <v>3.35</v>
      </c>
      <c r="M449" s="33">
        <v>8.8800000000000004E-2</v>
      </c>
      <c r="N449" s="33">
        <v>8.8099999999999998E-2</v>
      </c>
      <c r="O449" s="33">
        <v>6.88E-2</v>
      </c>
      <c r="P449" s="33">
        <v>6.88E-2</v>
      </c>
      <c r="Q449" s="74">
        <v>9.1200000000000003E-2</v>
      </c>
    </row>
    <row r="450" spans="4:17" x14ac:dyDescent="0.35">
      <c r="D450" s="23"/>
      <c r="E450" s="30"/>
      <c r="F450" s="30"/>
      <c r="G450" s="23"/>
      <c r="H450" s="30"/>
      <c r="I450" s="30"/>
      <c r="J450" s="31"/>
      <c r="L450" s="32">
        <v>3.36</v>
      </c>
      <c r="M450" s="33">
        <v>8.8999999999999996E-2</v>
      </c>
      <c r="N450" s="33">
        <v>8.8300000000000003E-2</v>
      </c>
      <c r="O450" s="33">
        <v>6.9000000000000006E-2</v>
      </c>
      <c r="P450" s="33">
        <v>6.9000000000000006E-2</v>
      </c>
      <c r="Q450" s="74">
        <v>9.1200000000000003E-2</v>
      </c>
    </row>
    <row r="451" spans="4:17" x14ac:dyDescent="0.35">
      <c r="D451" s="23"/>
      <c r="E451" s="30"/>
      <c r="F451" s="30"/>
      <c r="G451" s="23"/>
      <c r="H451" s="30"/>
      <c r="I451" s="30"/>
      <c r="J451" s="31"/>
      <c r="L451" s="32">
        <v>3.37</v>
      </c>
      <c r="M451" s="33">
        <v>8.9099999999999999E-2</v>
      </c>
      <c r="N451" s="33">
        <v>8.8400000000000006E-2</v>
      </c>
      <c r="O451" s="33">
        <v>6.93E-2</v>
      </c>
      <c r="P451" s="33">
        <v>6.93E-2</v>
      </c>
      <c r="Q451" s="74">
        <v>9.1200000000000003E-2</v>
      </c>
    </row>
    <row r="452" spans="4:17" x14ac:dyDescent="0.35">
      <c r="D452" s="23"/>
      <c r="E452" s="30"/>
      <c r="F452" s="30"/>
      <c r="G452" s="23"/>
      <c r="H452" s="30"/>
      <c r="I452" s="30"/>
      <c r="J452" s="31"/>
      <c r="L452" s="32">
        <v>3.38</v>
      </c>
      <c r="M452" s="33">
        <v>8.9300000000000004E-2</v>
      </c>
      <c r="N452" s="33">
        <v>8.8599999999999998E-2</v>
      </c>
      <c r="O452" s="33">
        <v>6.9500000000000006E-2</v>
      </c>
      <c r="P452" s="33">
        <v>6.9500000000000006E-2</v>
      </c>
      <c r="Q452" s="74">
        <v>9.1200000000000003E-2</v>
      </c>
    </row>
    <row r="453" spans="4:17" x14ac:dyDescent="0.35">
      <c r="D453" s="23"/>
      <c r="E453" s="30"/>
      <c r="F453" s="30"/>
      <c r="G453" s="23"/>
      <c r="H453" s="30"/>
      <c r="I453" s="30"/>
      <c r="J453" s="31"/>
      <c r="L453" s="32">
        <v>3.39</v>
      </c>
      <c r="M453" s="33">
        <v>8.9399999999999993E-2</v>
      </c>
      <c r="N453" s="33">
        <v>8.8700000000000001E-2</v>
      </c>
      <c r="O453" s="33">
        <v>6.9800000000000001E-2</v>
      </c>
      <c r="P453" s="33">
        <v>6.9800000000000001E-2</v>
      </c>
      <c r="Q453" s="74">
        <v>9.1200000000000003E-2</v>
      </c>
    </row>
    <row r="454" spans="4:17" x14ac:dyDescent="0.35">
      <c r="D454" s="23"/>
      <c r="E454" s="30"/>
      <c r="F454" s="30"/>
      <c r="G454" s="23"/>
      <c r="H454" s="30"/>
      <c r="I454" s="30"/>
      <c r="J454" s="31"/>
      <c r="L454" s="32">
        <v>3.4</v>
      </c>
      <c r="M454" s="33">
        <v>8.9599999999999999E-2</v>
      </c>
      <c r="N454" s="33">
        <v>8.8900000000000007E-2</v>
      </c>
      <c r="O454" s="33">
        <v>7.0000000000000007E-2</v>
      </c>
      <c r="P454" s="33">
        <v>7.0000000000000007E-2</v>
      </c>
      <c r="Q454" s="74">
        <v>9.1200000000000003E-2</v>
      </c>
    </row>
    <row r="455" spans="4:17" x14ac:dyDescent="0.35">
      <c r="D455" s="23"/>
      <c r="E455" s="30"/>
      <c r="F455" s="30"/>
      <c r="G455" s="23"/>
      <c r="H455" s="30"/>
      <c r="I455" s="30"/>
      <c r="J455" s="31"/>
      <c r="L455" s="32">
        <v>3.41</v>
      </c>
      <c r="M455" s="33">
        <v>8.9700000000000002E-2</v>
      </c>
      <c r="N455" s="33">
        <v>8.8999999999999996E-2</v>
      </c>
      <c r="O455" s="33">
        <v>7.0300000000000001E-2</v>
      </c>
      <c r="P455" s="33">
        <v>7.0300000000000001E-2</v>
      </c>
      <c r="Q455" s="74">
        <v>9.1200000000000003E-2</v>
      </c>
    </row>
    <row r="456" spans="4:17" x14ac:dyDescent="0.35">
      <c r="D456" s="23"/>
      <c r="E456" s="30"/>
      <c r="F456" s="30"/>
      <c r="G456" s="23"/>
      <c r="H456" s="30"/>
      <c r="I456" s="30"/>
      <c r="J456" s="31"/>
      <c r="L456" s="32">
        <v>3.42</v>
      </c>
      <c r="M456" s="33">
        <v>8.9899999999999994E-2</v>
      </c>
      <c r="N456" s="33">
        <v>8.9200000000000002E-2</v>
      </c>
      <c r="O456" s="33">
        <v>7.0499999999999993E-2</v>
      </c>
      <c r="P456" s="33">
        <v>7.0499999999999993E-2</v>
      </c>
      <c r="Q456" s="74">
        <v>9.1200000000000003E-2</v>
      </c>
    </row>
    <row r="457" spans="4:17" x14ac:dyDescent="0.35">
      <c r="D457" s="23"/>
      <c r="E457" s="30"/>
      <c r="F457" s="30"/>
      <c r="G457" s="23"/>
      <c r="H457" s="30"/>
      <c r="I457" s="30"/>
      <c r="J457" s="31"/>
      <c r="L457" s="32">
        <v>3.43</v>
      </c>
      <c r="M457" s="33">
        <v>0.09</v>
      </c>
      <c r="N457" s="33">
        <v>8.9300000000000004E-2</v>
      </c>
      <c r="O457" s="33">
        <v>7.0800000000000002E-2</v>
      </c>
      <c r="P457" s="33">
        <v>7.0800000000000002E-2</v>
      </c>
      <c r="Q457" s="74">
        <v>9.1200000000000003E-2</v>
      </c>
    </row>
    <row r="458" spans="4:17" x14ac:dyDescent="0.35">
      <c r="D458" s="23"/>
      <c r="E458" s="30"/>
      <c r="F458" s="30"/>
      <c r="G458" s="23"/>
      <c r="H458" s="30"/>
      <c r="I458" s="30"/>
      <c r="J458" s="31"/>
      <c r="L458" s="32">
        <v>3.44</v>
      </c>
      <c r="M458" s="33">
        <v>9.0200000000000002E-2</v>
      </c>
      <c r="N458" s="33">
        <v>8.9499999999999996E-2</v>
      </c>
      <c r="O458" s="33">
        <v>7.0999999999999994E-2</v>
      </c>
      <c r="P458" s="33">
        <v>7.0999999999999994E-2</v>
      </c>
      <c r="Q458" s="74">
        <v>9.1200000000000003E-2</v>
      </c>
    </row>
    <row r="459" spans="4:17" x14ac:dyDescent="0.35">
      <c r="D459" s="23"/>
      <c r="E459" s="30"/>
      <c r="F459" s="30"/>
      <c r="G459" s="23"/>
      <c r="H459" s="30"/>
      <c r="I459" s="30"/>
      <c r="J459" s="31"/>
      <c r="L459" s="32">
        <v>3.45</v>
      </c>
      <c r="M459" s="33">
        <v>9.0300000000000005E-2</v>
      </c>
      <c r="N459" s="33">
        <v>8.9599999999999999E-2</v>
      </c>
      <c r="O459" s="33">
        <v>7.1300000000000002E-2</v>
      </c>
      <c r="P459" s="33">
        <v>7.1300000000000002E-2</v>
      </c>
      <c r="Q459" s="74">
        <v>9.1200000000000003E-2</v>
      </c>
    </row>
    <row r="460" spans="4:17" x14ac:dyDescent="0.35">
      <c r="D460" s="23"/>
      <c r="E460" s="30"/>
      <c r="F460" s="30"/>
      <c r="G460" s="23"/>
      <c r="H460" s="30"/>
      <c r="I460" s="30"/>
      <c r="J460" s="31"/>
      <c r="L460" s="32">
        <v>3.46</v>
      </c>
      <c r="M460" s="33">
        <v>9.0499999999999997E-2</v>
      </c>
      <c r="N460" s="33">
        <v>8.9800000000000005E-2</v>
      </c>
      <c r="O460" s="33">
        <v>7.1499999999999994E-2</v>
      </c>
      <c r="P460" s="33">
        <v>7.1499999999999994E-2</v>
      </c>
      <c r="Q460" s="74">
        <v>9.1200000000000003E-2</v>
      </c>
    </row>
    <row r="461" spans="4:17" x14ac:dyDescent="0.35">
      <c r="D461" s="23"/>
      <c r="E461" s="30"/>
      <c r="F461" s="30"/>
      <c r="G461" s="23"/>
      <c r="H461" s="30"/>
      <c r="I461" s="30"/>
      <c r="J461" s="31"/>
      <c r="L461" s="32">
        <v>3.47</v>
      </c>
      <c r="M461" s="33">
        <v>9.06E-2</v>
      </c>
      <c r="N461" s="33">
        <v>8.9899999999999994E-2</v>
      </c>
      <c r="O461" s="33">
        <v>7.1800000000000003E-2</v>
      </c>
      <c r="P461" s="33">
        <v>7.1800000000000003E-2</v>
      </c>
      <c r="Q461" s="74">
        <v>9.1200000000000003E-2</v>
      </c>
    </row>
    <row r="462" spans="4:17" x14ac:dyDescent="0.35">
      <c r="D462" s="23"/>
      <c r="E462" s="30"/>
      <c r="F462" s="30"/>
      <c r="G462" s="23"/>
      <c r="H462" s="30"/>
      <c r="I462" s="30"/>
      <c r="J462" s="31"/>
      <c r="L462" s="32">
        <v>3.48</v>
      </c>
      <c r="M462" s="33">
        <v>9.0800000000000006E-2</v>
      </c>
      <c r="N462" s="33">
        <v>9.01E-2</v>
      </c>
      <c r="O462" s="33">
        <v>7.1999999999999995E-2</v>
      </c>
      <c r="P462" s="33">
        <v>7.1999999999999995E-2</v>
      </c>
      <c r="Q462" s="74">
        <v>9.1200000000000003E-2</v>
      </c>
    </row>
    <row r="463" spans="4:17" x14ac:dyDescent="0.35">
      <c r="D463" s="23"/>
      <c r="E463" s="30"/>
      <c r="F463" s="30"/>
      <c r="G463" s="23"/>
      <c r="H463" s="30"/>
      <c r="I463" s="30"/>
      <c r="J463" s="31"/>
      <c r="L463" s="32">
        <v>3.49</v>
      </c>
      <c r="M463" s="33">
        <v>9.0899999999999995E-2</v>
      </c>
      <c r="N463" s="33">
        <v>9.0200000000000002E-2</v>
      </c>
      <c r="O463" s="33">
        <v>7.2300000000000003E-2</v>
      </c>
      <c r="P463" s="33">
        <v>7.2300000000000003E-2</v>
      </c>
      <c r="Q463" s="74">
        <v>9.1200000000000003E-2</v>
      </c>
    </row>
    <row r="464" spans="4:17" x14ac:dyDescent="0.35">
      <c r="D464" s="23"/>
      <c r="E464" s="30"/>
      <c r="F464" s="30"/>
      <c r="G464" s="23"/>
      <c r="H464" s="30"/>
      <c r="I464" s="30"/>
      <c r="J464" s="31"/>
      <c r="L464" s="32">
        <v>3.5</v>
      </c>
      <c r="M464" s="33">
        <v>9.11E-2</v>
      </c>
      <c r="N464" s="33">
        <v>9.0300000000000005E-2</v>
      </c>
      <c r="O464" s="33">
        <v>7.2499999999999995E-2</v>
      </c>
      <c r="P464" s="33">
        <v>7.2499999999999995E-2</v>
      </c>
      <c r="Q464" s="74">
        <v>9.1200000000000003E-2</v>
      </c>
    </row>
    <row r="465" spans="4:17" x14ac:dyDescent="0.35">
      <c r="D465" s="23"/>
      <c r="E465" s="30"/>
      <c r="F465" s="30"/>
      <c r="G465" s="23"/>
      <c r="H465" s="30"/>
      <c r="I465" s="30"/>
      <c r="J465" s="31"/>
      <c r="L465" s="32">
        <v>3.51</v>
      </c>
      <c r="M465" s="33">
        <v>9.1200000000000003E-2</v>
      </c>
      <c r="N465" s="33">
        <v>9.0499999999999997E-2</v>
      </c>
      <c r="O465" s="33">
        <v>7.2800000000000004E-2</v>
      </c>
      <c r="P465" s="33">
        <v>7.2800000000000004E-2</v>
      </c>
      <c r="Q465" s="74">
        <v>9.1200000000000003E-2</v>
      </c>
    </row>
    <row r="466" spans="4:17" x14ac:dyDescent="0.35">
      <c r="D466" s="23"/>
      <c r="E466" s="30"/>
      <c r="F466" s="30"/>
      <c r="G466" s="23"/>
      <c r="H466" s="30"/>
      <c r="I466" s="30"/>
      <c r="J466" s="31"/>
      <c r="L466" s="32">
        <v>3.52</v>
      </c>
      <c r="M466" s="33">
        <v>9.1399999999999995E-2</v>
      </c>
      <c r="N466" s="33">
        <v>9.06E-2</v>
      </c>
      <c r="O466" s="33">
        <v>7.2999999999999995E-2</v>
      </c>
      <c r="P466" s="33">
        <v>7.2999999999999995E-2</v>
      </c>
      <c r="Q466" s="74">
        <v>9.1200000000000003E-2</v>
      </c>
    </row>
    <row r="467" spans="4:17" x14ac:dyDescent="0.35">
      <c r="D467" s="23"/>
      <c r="E467" s="30"/>
      <c r="F467" s="30"/>
      <c r="G467" s="23"/>
      <c r="H467" s="30"/>
      <c r="I467" s="30"/>
      <c r="J467" s="31"/>
      <c r="L467" s="32">
        <v>3.53</v>
      </c>
      <c r="M467" s="33">
        <v>9.1499999999999998E-2</v>
      </c>
      <c r="N467" s="33">
        <v>9.0800000000000006E-2</v>
      </c>
      <c r="O467" s="33">
        <v>7.3300000000000004E-2</v>
      </c>
      <c r="P467" s="33">
        <v>7.3300000000000004E-2</v>
      </c>
      <c r="Q467" s="74">
        <v>9.1200000000000003E-2</v>
      </c>
    </row>
    <row r="468" spans="4:17" x14ac:dyDescent="0.35">
      <c r="D468" s="23"/>
      <c r="E468" s="30"/>
      <c r="F468" s="30"/>
      <c r="G468" s="23"/>
      <c r="H468" s="30"/>
      <c r="I468" s="30"/>
      <c r="J468" s="31"/>
      <c r="L468" s="32">
        <v>3.54</v>
      </c>
      <c r="M468" s="33">
        <v>9.1700000000000004E-2</v>
      </c>
      <c r="N468" s="33">
        <v>9.0899999999999995E-2</v>
      </c>
      <c r="O468" s="33">
        <v>7.3499999999999996E-2</v>
      </c>
      <c r="P468" s="33">
        <v>7.3499999999999996E-2</v>
      </c>
      <c r="Q468" s="74">
        <v>9.1200000000000003E-2</v>
      </c>
    </row>
    <row r="469" spans="4:17" x14ac:dyDescent="0.35">
      <c r="D469" s="23"/>
      <c r="E469" s="30"/>
      <c r="F469" s="30"/>
      <c r="G469" s="23"/>
      <c r="H469" s="30"/>
      <c r="I469" s="30"/>
      <c r="J469" s="31"/>
      <c r="L469" s="32">
        <v>3.55</v>
      </c>
      <c r="M469" s="33">
        <v>9.1800000000000007E-2</v>
      </c>
      <c r="N469" s="33">
        <v>9.11E-2</v>
      </c>
      <c r="O469" s="33">
        <v>7.3800000000000004E-2</v>
      </c>
      <c r="P469" s="33">
        <v>7.3800000000000004E-2</v>
      </c>
      <c r="Q469" s="74">
        <v>9.1200000000000003E-2</v>
      </c>
    </row>
    <row r="470" spans="4:17" x14ac:dyDescent="0.35">
      <c r="D470" s="23"/>
      <c r="E470" s="30"/>
      <c r="F470" s="30"/>
      <c r="G470" s="23"/>
      <c r="H470" s="30"/>
      <c r="I470" s="30"/>
      <c r="J470" s="31"/>
      <c r="L470" s="32">
        <v>3.56</v>
      </c>
      <c r="M470" s="33">
        <v>9.1999999999999998E-2</v>
      </c>
      <c r="N470" s="33">
        <v>9.1200000000000003E-2</v>
      </c>
      <c r="O470" s="33">
        <v>7.3999999999999996E-2</v>
      </c>
      <c r="P470" s="33">
        <v>7.3999999999999996E-2</v>
      </c>
      <c r="Q470" s="74">
        <v>9.1200000000000003E-2</v>
      </c>
    </row>
    <row r="471" spans="4:17" x14ac:dyDescent="0.35">
      <c r="D471" s="23"/>
      <c r="E471" s="30"/>
      <c r="F471" s="30"/>
      <c r="G471" s="23"/>
      <c r="H471" s="30"/>
      <c r="I471" s="30"/>
      <c r="J471" s="31"/>
      <c r="L471" s="32">
        <v>3.57</v>
      </c>
      <c r="M471" s="33">
        <v>9.2100000000000001E-2</v>
      </c>
      <c r="N471" s="33">
        <v>9.1399999999999995E-2</v>
      </c>
      <c r="O471" s="33">
        <v>7.4300000000000005E-2</v>
      </c>
      <c r="P471" s="33">
        <v>7.4300000000000005E-2</v>
      </c>
      <c r="Q471" s="74">
        <v>9.1200000000000003E-2</v>
      </c>
    </row>
    <row r="472" spans="4:17" x14ac:dyDescent="0.35">
      <c r="D472" s="23"/>
      <c r="E472" s="30"/>
      <c r="F472" s="30"/>
      <c r="G472" s="23"/>
      <c r="H472" s="30"/>
      <c r="I472" s="30"/>
      <c r="J472" s="31"/>
      <c r="L472" s="32">
        <v>3.58</v>
      </c>
      <c r="M472" s="33">
        <v>9.2299999999999993E-2</v>
      </c>
      <c r="N472" s="33">
        <v>9.1499999999999998E-2</v>
      </c>
      <c r="O472" s="33">
        <v>7.4499999999999997E-2</v>
      </c>
      <c r="P472" s="33">
        <v>7.4499999999999997E-2</v>
      </c>
      <c r="Q472" s="74">
        <v>9.1200000000000003E-2</v>
      </c>
    </row>
    <row r="473" spans="4:17" x14ac:dyDescent="0.35">
      <c r="D473" s="23"/>
      <c r="E473" s="30"/>
      <c r="F473" s="30"/>
      <c r="G473" s="23"/>
      <c r="H473" s="30"/>
      <c r="I473" s="30"/>
      <c r="J473" s="31"/>
      <c r="L473" s="32">
        <v>3.59</v>
      </c>
      <c r="M473" s="33">
        <v>9.2399999999999996E-2</v>
      </c>
      <c r="N473" s="33">
        <v>9.1700000000000004E-2</v>
      </c>
      <c r="O473" s="33">
        <v>7.4800000000000005E-2</v>
      </c>
      <c r="P473" s="33">
        <v>7.4800000000000005E-2</v>
      </c>
      <c r="Q473" s="74">
        <v>9.1200000000000003E-2</v>
      </c>
    </row>
    <row r="474" spans="4:17" x14ac:dyDescent="0.35">
      <c r="D474" s="23"/>
      <c r="E474" s="30"/>
      <c r="F474" s="30"/>
      <c r="G474" s="23"/>
      <c r="H474" s="30"/>
      <c r="I474" s="30"/>
      <c r="J474" s="31"/>
      <c r="L474" s="32">
        <v>3.6</v>
      </c>
      <c r="M474" s="33">
        <v>9.2600000000000002E-2</v>
      </c>
      <c r="N474" s="33">
        <v>9.1800000000000007E-2</v>
      </c>
      <c r="O474" s="33">
        <v>7.4999999999999997E-2</v>
      </c>
      <c r="P474" s="33">
        <v>7.4999999999999997E-2</v>
      </c>
      <c r="Q474" s="74">
        <v>9.1200000000000003E-2</v>
      </c>
    </row>
    <row r="475" spans="4:17" x14ac:dyDescent="0.35">
      <c r="D475" s="23"/>
      <c r="E475" s="30"/>
      <c r="F475" s="30"/>
      <c r="G475" s="23"/>
      <c r="H475" s="30"/>
      <c r="I475" s="30"/>
      <c r="J475" s="31"/>
      <c r="L475" s="32">
        <v>3.61</v>
      </c>
      <c r="M475" s="33">
        <v>9.2700000000000005E-2</v>
      </c>
      <c r="N475" s="33">
        <v>9.1999999999999998E-2</v>
      </c>
      <c r="O475" s="33">
        <v>7.5300000000000006E-2</v>
      </c>
      <c r="P475" s="33">
        <v>7.5300000000000006E-2</v>
      </c>
      <c r="Q475" s="74">
        <v>9.1200000000000003E-2</v>
      </c>
    </row>
    <row r="476" spans="4:17" x14ac:dyDescent="0.35">
      <c r="D476" s="23"/>
      <c r="E476" s="30"/>
      <c r="F476" s="30"/>
      <c r="G476" s="23"/>
      <c r="H476" s="30"/>
      <c r="I476" s="30"/>
      <c r="J476" s="31"/>
      <c r="L476" s="32">
        <v>3.62</v>
      </c>
      <c r="M476" s="33">
        <v>9.2899999999999996E-2</v>
      </c>
      <c r="N476" s="33">
        <v>9.2100000000000001E-2</v>
      </c>
      <c r="O476" s="33">
        <v>7.5499999999999998E-2</v>
      </c>
      <c r="P476" s="33">
        <v>7.5499999999999998E-2</v>
      </c>
      <c r="Q476" s="74">
        <v>9.1200000000000003E-2</v>
      </c>
    </row>
    <row r="477" spans="4:17" x14ac:dyDescent="0.35">
      <c r="D477" s="23"/>
      <c r="E477" s="30"/>
      <c r="F477" s="30"/>
      <c r="G477" s="23"/>
      <c r="H477" s="30"/>
      <c r="I477" s="30"/>
      <c r="J477" s="31"/>
      <c r="L477" s="32">
        <v>3.63</v>
      </c>
      <c r="M477" s="33">
        <v>9.2999999999999999E-2</v>
      </c>
      <c r="N477" s="33">
        <v>9.2299999999999993E-2</v>
      </c>
      <c r="O477" s="33">
        <v>7.5800000000000006E-2</v>
      </c>
      <c r="P477" s="33">
        <v>7.5800000000000006E-2</v>
      </c>
      <c r="Q477" s="74">
        <v>9.1200000000000003E-2</v>
      </c>
    </row>
    <row r="478" spans="4:17" x14ac:dyDescent="0.35">
      <c r="D478" s="23"/>
      <c r="E478" s="30"/>
      <c r="F478" s="30"/>
      <c r="G478" s="23"/>
      <c r="H478" s="30"/>
      <c r="I478" s="30"/>
      <c r="J478" s="31"/>
      <c r="L478" s="32">
        <v>3.64</v>
      </c>
      <c r="M478" s="33">
        <v>9.3200000000000005E-2</v>
      </c>
      <c r="N478" s="33">
        <v>9.2399999999999996E-2</v>
      </c>
      <c r="O478" s="33">
        <v>7.5999999999999998E-2</v>
      </c>
      <c r="P478" s="33">
        <v>7.5999999999999998E-2</v>
      </c>
      <c r="Q478" s="74">
        <v>9.1200000000000003E-2</v>
      </c>
    </row>
    <row r="479" spans="4:17" x14ac:dyDescent="0.35">
      <c r="D479" s="23"/>
      <c r="E479" s="30"/>
      <c r="F479" s="30"/>
      <c r="G479" s="23"/>
      <c r="H479" s="30"/>
      <c r="I479" s="30"/>
      <c r="J479" s="31"/>
      <c r="L479" s="32">
        <v>3.65</v>
      </c>
      <c r="M479" s="33">
        <v>9.3299999999999994E-2</v>
      </c>
      <c r="N479" s="33">
        <v>9.2600000000000002E-2</v>
      </c>
      <c r="O479" s="33">
        <v>7.6300000000000007E-2</v>
      </c>
      <c r="P479" s="33">
        <v>7.6300000000000007E-2</v>
      </c>
      <c r="Q479" s="74">
        <v>9.1200000000000003E-2</v>
      </c>
    </row>
    <row r="480" spans="4:17" x14ac:dyDescent="0.35">
      <c r="D480" s="23"/>
      <c r="E480" s="30"/>
      <c r="F480" s="30"/>
      <c r="G480" s="23"/>
      <c r="H480" s="30"/>
      <c r="I480" s="30"/>
      <c r="J480" s="31"/>
      <c r="L480" s="32">
        <v>3.66</v>
      </c>
      <c r="M480" s="33">
        <v>9.35E-2</v>
      </c>
      <c r="N480" s="33">
        <v>9.2700000000000005E-2</v>
      </c>
      <c r="O480" s="33">
        <v>7.6499999999999999E-2</v>
      </c>
      <c r="P480" s="33">
        <v>7.6499999999999999E-2</v>
      </c>
      <c r="Q480" s="74">
        <v>9.1200000000000003E-2</v>
      </c>
    </row>
    <row r="481" spans="4:17" x14ac:dyDescent="0.35">
      <c r="D481" s="23"/>
      <c r="E481" s="30"/>
      <c r="F481" s="30"/>
      <c r="G481" s="23"/>
      <c r="H481" s="30"/>
      <c r="I481" s="30"/>
      <c r="J481" s="31"/>
      <c r="L481" s="32">
        <v>3.67</v>
      </c>
      <c r="M481" s="33">
        <v>9.3600000000000003E-2</v>
      </c>
      <c r="N481" s="33">
        <v>9.2899999999999996E-2</v>
      </c>
      <c r="O481" s="33">
        <v>7.6799999999999993E-2</v>
      </c>
      <c r="P481" s="33">
        <v>7.6799999999999993E-2</v>
      </c>
      <c r="Q481" s="74">
        <v>9.1200000000000003E-2</v>
      </c>
    </row>
    <row r="482" spans="4:17" x14ac:dyDescent="0.35">
      <c r="D482" s="23"/>
      <c r="E482" s="30"/>
      <c r="F482" s="30"/>
      <c r="G482" s="23"/>
      <c r="H482" s="30"/>
      <c r="I482" s="30"/>
      <c r="J482" s="31"/>
      <c r="L482" s="32">
        <v>3.68</v>
      </c>
      <c r="M482" s="33">
        <v>9.3799999999999994E-2</v>
      </c>
      <c r="N482" s="33">
        <v>9.2999999999999999E-2</v>
      </c>
      <c r="O482" s="33">
        <v>7.6999999999999999E-2</v>
      </c>
      <c r="P482" s="33">
        <v>7.6999999999999999E-2</v>
      </c>
      <c r="Q482" s="74">
        <v>9.1200000000000003E-2</v>
      </c>
    </row>
    <row r="483" spans="4:17" x14ac:dyDescent="0.35">
      <c r="D483" s="23"/>
      <c r="E483" s="30"/>
      <c r="F483" s="30"/>
      <c r="G483" s="23"/>
      <c r="H483" s="30"/>
      <c r="I483" s="30"/>
      <c r="J483" s="31"/>
      <c r="L483" s="32">
        <v>3.69</v>
      </c>
      <c r="M483" s="33">
        <v>9.3899999999999997E-2</v>
      </c>
      <c r="N483" s="33">
        <v>9.3200000000000005E-2</v>
      </c>
      <c r="O483" s="33">
        <v>7.7299999999999994E-2</v>
      </c>
      <c r="P483" s="33">
        <v>7.7299999999999994E-2</v>
      </c>
      <c r="Q483" s="74">
        <v>9.1200000000000003E-2</v>
      </c>
    </row>
    <row r="484" spans="4:17" x14ac:dyDescent="0.35">
      <c r="D484" s="23"/>
      <c r="E484" s="30"/>
      <c r="F484" s="30"/>
      <c r="G484" s="23"/>
      <c r="H484" s="30"/>
      <c r="I484" s="30"/>
      <c r="J484" s="31"/>
      <c r="L484" s="32">
        <v>3.7</v>
      </c>
      <c r="M484" s="33">
        <v>9.4100000000000003E-2</v>
      </c>
      <c r="N484" s="33">
        <v>9.3299999999999994E-2</v>
      </c>
      <c r="O484" s="33">
        <v>7.7499999999999999E-2</v>
      </c>
      <c r="P484" s="33">
        <v>7.7499999999999999E-2</v>
      </c>
      <c r="Q484" s="74">
        <v>9.1200000000000003E-2</v>
      </c>
    </row>
    <row r="485" spans="4:17" x14ac:dyDescent="0.35">
      <c r="D485" s="23"/>
      <c r="E485" s="30"/>
      <c r="F485" s="30"/>
      <c r="G485" s="23"/>
      <c r="H485" s="30"/>
      <c r="I485" s="30"/>
      <c r="J485" s="31"/>
      <c r="L485" s="32">
        <v>3.71</v>
      </c>
      <c r="M485" s="33">
        <v>9.4200000000000006E-2</v>
      </c>
      <c r="N485" s="33">
        <v>9.35E-2</v>
      </c>
      <c r="O485" s="33">
        <v>7.7799999999999994E-2</v>
      </c>
      <c r="P485" s="33">
        <v>7.7799999999999994E-2</v>
      </c>
      <c r="Q485" s="74">
        <v>9.1200000000000003E-2</v>
      </c>
    </row>
    <row r="486" spans="4:17" x14ac:dyDescent="0.35">
      <c r="D486" s="23"/>
      <c r="E486" s="30"/>
      <c r="F486" s="30"/>
      <c r="G486" s="23"/>
      <c r="H486" s="30"/>
      <c r="I486" s="30"/>
      <c r="J486" s="31"/>
      <c r="L486" s="32">
        <v>3.72</v>
      </c>
      <c r="M486" s="33">
        <v>9.4399999999999998E-2</v>
      </c>
      <c r="N486" s="33">
        <v>9.3600000000000003E-2</v>
      </c>
      <c r="O486" s="33">
        <v>7.8E-2</v>
      </c>
      <c r="P486" s="33">
        <v>7.8E-2</v>
      </c>
      <c r="Q486" s="74">
        <v>9.1200000000000003E-2</v>
      </c>
    </row>
    <row r="487" spans="4:17" x14ac:dyDescent="0.35">
      <c r="D487" s="23"/>
      <c r="E487" s="30"/>
      <c r="F487" s="30"/>
      <c r="G487" s="23"/>
      <c r="H487" s="30"/>
      <c r="I487" s="30"/>
      <c r="J487" s="31"/>
      <c r="L487" s="32">
        <v>3.73</v>
      </c>
      <c r="M487" s="33">
        <v>9.4500000000000001E-2</v>
      </c>
      <c r="N487" s="33">
        <v>9.3799999999999994E-2</v>
      </c>
      <c r="O487" s="33">
        <v>7.8299999999999995E-2</v>
      </c>
      <c r="P487" s="33">
        <v>7.8299999999999995E-2</v>
      </c>
      <c r="Q487" s="74">
        <v>9.1200000000000003E-2</v>
      </c>
    </row>
    <row r="488" spans="4:17" x14ac:dyDescent="0.35">
      <c r="D488" s="23"/>
      <c r="E488" s="30"/>
      <c r="F488" s="30"/>
      <c r="G488" s="23"/>
      <c r="H488" s="30"/>
      <c r="I488" s="30"/>
      <c r="J488" s="31"/>
      <c r="L488" s="32">
        <v>3.74</v>
      </c>
      <c r="M488" s="33">
        <v>9.4700000000000006E-2</v>
      </c>
      <c r="N488" s="33">
        <v>9.3899999999999997E-2</v>
      </c>
      <c r="O488" s="33">
        <v>7.85E-2</v>
      </c>
      <c r="P488" s="33">
        <v>7.85E-2</v>
      </c>
      <c r="Q488" s="74">
        <v>9.1200000000000003E-2</v>
      </c>
    </row>
    <row r="489" spans="4:17" x14ac:dyDescent="0.35">
      <c r="D489" s="23"/>
      <c r="E489" s="30"/>
      <c r="F489" s="30"/>
      <c r="G489" s="23"/>
      <c r="H489" s="30"/>
      <c r="I489" s="30"/>
      <c r="J489" s="31"/>
      <c r="L489" s="32">
        <v>3.75</v>
      </c>
      <c r="M489" s="33">
        <v>9.4799999999999995E-2</v>
      </c>
      <c r="N489" s="33">
        <v>9.4100000000000003E-2</v>
      </c>
      <c r="O489" s="33">
        <v>7.8799999999999995E-2</v>
      </c>
      <c r="P489" s="33">
        <v>7.8799999999999995E-2</v>
      </c>
      <c r="Q489" s="74">
        <v>9.1200000000000003E-2</v>
      </c>
    </row>
    <row r="490" spans="4:17" x14ac:dyDescent="0.35">
      <c r="D490" s="23"/>
      <c r="E490" s="30"/>
      <c r="F490" s="30"/>
      <c r="G490" s="23"/>
      <c r="H490" s="30"/>
      <c r="I490" s="30"/>
      <c r="J490" s="31"/>
      <c r="L490" s="32">
        <v>3.76</v>
      </c>
      <c r="M490" s="33">
        <v>9.5000000000000001E-2</v>
      </c>
      <c r="N490" s="33">
        <v>9.4200000000000006E-2</v>
      </c>
      <c r="O490" s="33">
        <v>7.9000000000000001E-2</v>
      </c>
      <c r="P490" s="33">
        <v>7.9000000000000001E-2</v>
      </c>
      <c r="Q490" s="74">
        <v>9.1200000000000003E-2</v>
      </c>
    </row>
    <row r="491" spans="4:17" x14ac:dyDescent="0.35">
      <c r="D491" s="23"/>
      <c r="E491" s="30"/>
      <c r="F491" s="30"/>
      <c r="G491" s="23"/>
      <c r="H491" s="30"/>
      <c r="I491" s="30"/>
      <c r="J491" s="31"/>
      <c r="L491" s="32">
        <v>3.77</v>
      </c>
      <c r="M491" s="33">
        <v>9.5100000000000004E-2</v>
      </c>
      <c r="N491" s="33">
        <v>9.4399999999999998E-2</v>
      </c>
      <c r="O491" s="33">
        <v>7.9299999999999995E-2</v>
      </c>
      <c r="P491" s="33">
        <v>7.9299999999999995E-2</v>
      </c>
      <c r="Q491" s="74">
        <v>9.1200000000000003E-2</v>
      </c>
    </row>
    <row r="492" spans="4:17" x14ac:dyDescent="0.35">
      <c r="D492" s="23"/>
      <c r="E492" s="30"/>
      <c r="F492" s="30"/>
      <c r="G492" s="23"/>
      <c r="H492" s="30"/>
      <c r="I492" s="30"/>
      <c r="J492" s="31"/>
      <c r="L492" s="32">
        <v>3.78</v>
      </c>
      <c r="M492" s="33">
        <v>9.5299999999999996E-2</v>
      </c>
      <c r="N492" s="33">
        <v>9.4500000000000001E-2</v>
      </c>
      <c r="O492" s="33">
        <v>7.9500000000000001E-2</v>
      </c>
      <c r="P492" s="33">
        <v>7.9500000000000001E-2</v>
      </c>
      <c r="Q492" s="74">
        <v>9.1200000000000003E-2</v>
      </c>
    </row>
    <row r="493" spans="4:17" x14ac:dyDescent="0.35">
      <c r="D493" s="23"/>
      <c r="E493" s="30"/>
      <c r="F493" s="30"/>
      <c r="G493" s="23"/>
      <c r="H493" s="30"/>
      <c r="I493" s="30"/>
      <c r="J493" s="31"/>
      <c r="L493" s="32">
        <v>3.79</v>
      </c>
      <c r="M493" s="33">
        <v>9.5399999999999999E-2</v>
      </c>
      <c r="N493" s="33">
        <v>9.4700000000000006E-2</v>
      </c>
      <c r="O493" s="33">
        <v>7.9799999999999996E-2</v>
      </c>
      <c r="P493" s="33">
        <v>7.9799999999999996E-2</v>
      </c>
      <c r="Q493" s="74">
        <v>9.1200000000000003E-2</v>
      </c>
    </row>
    <row r="494" spans="4:17" x14ac:dyDescent="0.35">
      <c r="D494" s="23"/>
      <c r="E494" s="30"/>
      <c r="F494" s="30"/>
      <c r="G494" s="23"/>
      <c r="H494" s="30"/>
      <c r="I494" s="30"/>
      <c r="J494" s="31"/>
      <c r="L494" s="32">
        <v>3.8</v>
      </c>
      <c r="M494" s="33">
        <v>9.5600000000000004E-2</v>
      </c>
      <c r="N494" s="33">
        <v>9.4799999999999995E-2</v>
      </c>
      <c r="O494" s="33">
        <v>0.08</v>
      </c>
      <c r="P494" s="33">
        <v>0.08</v>
      </c>
      <c r="Q494" s="74">
        <v>9.1200000000000003E-2</v>
      </c>
    </row>
    <row r="495" spans="4:17" x14ac:dyDescent="0.35">
      <c r="D495" s="23"/>
      <c r="E495" s="30"/>
      <c r="F495" s="30"/>
      <c r="G495" s="23"/>
      <c r="H495" s="30"/>
      <c r="I495" s="30"/>
      <c r="J495" s="31"/>
      <c r="L495" s="32">
        <v>3.81</v>
      </c>
      <c r="M495" s="33">
        <v>9.5699999999999993E-2</v>
      </c>
      <c r="N495" s="33">
        <v>9.5000000000000001E-2</v>
      </c>
      <c r="O495" s="33">
        <v>8.0299999999999996E-2</v>
      </c>
      <c r="P495" s="33">
        <v>8.0299999999999996E-2</v>
      </c>
      <c r="Q495" s="74">
        <v>9.1200000000000003E-2</v>
      </c>
    </row>
    <row r="496" spans="4:17" x14ac:dyDescent="0.35">
      <c r="D496" s="23"/>
      <c r="E496" s="30"/>
      <c r="F496" s="30"/>
      <c r="G496" s="23"/>
      <c r="H496" s="30"/>
      <c r="I496" s="30"/>
      <c r="J496" s="31"/>
      <c r="L496" s="32">
        <v>3.82</v>
      </c>
      <c r="M496" s="33">
        <v>9.5899999999999999E-2</v>
      </c>
      <c r="N496" s="33">
        <v>9.5100000000000004E-2</v>
      </c>
      <c r="O496" s="33">
        <v>8.0500000000000002E-2</v>
      </c>
      <c r="P496" s="33">
        <v>8.0500000000000002E-2</v>
      </c>
      <c r="Q496" s="74">
        <v>9.1200000000000003E-2</v>
      </c>
    </row>
    <row r="497" spans="4:17" x14ac:dyDescent="0.35">
      <c r="D497" s="23"/>
      <c r="E497" s="30"/>
      <c r="F497" s="30"/>
      <c r="G497" s="23"/>
      <c r="H497" s="30"/>
      <c r="I497" s="30"/>
      <c r="J497" s="31"/>
      <c r="L497" s="32">
        <v>3.83</v>
      </c>
      <c r="M497" s="33">
        <v>9.6000000000000002E-2</v>
      </c>
      <c r="N497" s="33">
        <v>9.5299999999999996E-2</v>
      </c>
      <c r="O497" s="33">
        <v>8.0799999999999997E-2</v>
      </c>
      <c r="P497" s="33">
        <v>8.0799999999999997E-2</v>
      </c>
      <c r="Q497" s="74">
        <v>9.1200000000000003E-2</v>
      </c>
    </row>
    <row r="498" spans="4:17" x14ac:dyDescent="0.35">
      <c r="D498" s="23"/>
      <c r="E498" s="30"/>
      <c r="F498" s="30"/>
      <c r="G498" s="23"/>
      <c r="H498" s="30"/>
      <c r="I498" s="30"/>
      <c r="J498" s="31"/>
      <c r="L498" s="32">
        <v>3.84</v>
      </c>
      <c r="M498" s="33">
        <v>9.6199999999999994E-2</v>
      </c>
      <c r="N498" s="33">
        <v>9.5399999999999999E-2</v>
      </c>
      <c r="O498" s="33">
        <v>8.1000000000000003E-2</v>
      </c>
      <c r="P498" s="33">
        <v>8.1000000000000003E-2</v>
      </c>
      <c r="Q498" s="74">
        <v>9.1200000000000003E-2</v>
      </c>
    </row>
    <row r="499" spans="4:17" x14ac:dyDescent="0.35">
      <c r="D499" s="23"/>
      <c r="E499" s="30"/>
      <c r="F499" s="30"/>
      <c r="G499" s="23"/>
      <c r="H499" s="30"/>
      <c r="I499" s="30"/>
      <c r="J499" s="31"/>
      <c r="L499" s="32">
        <v>3.85</v>
      </c>
      <c r="M499" s="33">
        <v>9.6299999999999997E-2</v>
      </c>
      <c r="N499" s="33">
        <v>9.5600000000000004E-2</v>
      </c>
      <c r="O499" s="33">
        <v>8.1299999999999997E-2</v>
      </c>
      <c r="P499" s="33">
        <v>8.1299999999999997E-2</v>
      </c>
      <c r="Q499" s="74">
        <v>9.1200000000000003E-2</v>
      </c>
    </row>
    <row r="500" spans="4:17" x14ac:dyDescent="0.35">
      <c r="D500" s="23"/>
      <c r="E500" s="30"/>
      <c r="F500" s="30"/>
      <c r="G500" s="23"/>
      <c r="H500" s="30"/>
      <c r="I500" s="30"/>
      <c r="J500" s="31"/>
      <c r="L500" s="32">
        <v>3.86</v>
      </c>
      <c r="M500" s="33">
        <v>9.6500000000000002E-2</v>
      </c>
      <c r="N500" s="33">
        <v>9.5699999999999993E-2</v>
      </c>
      <c r="O500" s="33">
        <v>8.1500000000000003E-2</v>
      </c>
      <c r="P500" s="33">
        <v>8.1500000000000003E-2</v>
      </c>
      <c r="Q500" s="74">
        <v>9.1200000000000003E-2</v>
      </c>
    </row>
    <row r="501" spans="4:17" x14ac:dyDescent="0.35">
      <c r="D501" s="23"/>
      <c r="E501" s="30"/>
      <c r="F501" s="30"/>
      <c r="G501" s="23"/>
      <c r="H501" s="30"/>
      <c r="I501" s="30"/>
      <c r="J501" s="31"/>
      <c r="L501" s="32">
        <v>3.87</v>
      </c>
      <c r="M501" s="33">
        <v>9.6600000000000005E-2</v>
      </c>
      <c r="N501" s="33">
        <v>9.5899999999999999E-2</v>
      </c>
      <c r="O501" s="33">
        <v>8.1799999999999998E-2</v>
      </c>
      <c r="P501" s="33">
        <v>8.1799999999999998E-2</v>
      </c>
      <c r="Q501" s="74">
        <v>9.1200000000000003E-2</v>
      </c>
    </row>
    <row r="502" spans="4:17" x14ac:dyDescent="0.35">
      <c r="D502" s="23"/>
      <c r="E502" s="30"/>
      <c r="F502" s="30"/>
      <c r="G502" s="23"/>
      <c r="H502" s="30"/>
      <c r="I502" s="30"/>
      <c r="J502" s="31"/>
      <c r="L502" s="32">
        <v>3.88</v>
      </c>
      <c r="M502" s="33">
        <v>9.6799999999999997E-2</v>
      </c>
      <c r="N502" s="33">
        <v>9.6000000000000002E-2</v>
      </c>
      <c r="O502" s="33">
        <v>8.2000000000000003E-2</v>
      </c>
      <c r="P502" s="33">
        <v>8.2000000000000003E-2</v>
      </c>
      <c r="Q502" s="74">
        <v>9.1200000000000003E-2</v>
      </c>
    </row>
    <row r="503" spans="4:17" x14ac:dyDescent="0.35">
      <c r="D503" s="23"/>
      <c r="E503" s="30"/>
      <c r="F503" s="30"/>
      <c r="G503" s="23"/>
      <c r="H503" s="30"/>
      <c r="I503" s="30"/>
      <c r="J503" s="31"/>
      <c r="L503" s="32">
        <v>3.89</v>
      </c>
      <c r="M503" s="33">
        <v>9.69E-2</v>
      </c>
      <c r="N503" s="33">
        <v>9.6199999999999994E-2</v>
      </c>
      <c r="O503" s="33">
        <v>8.2299999999999998E-2</v>
      </c>
      <c r="P503" s="33">
        <v>8.2299999999999998E-2</v>
      </c>
      <c r="Q503" s="74">
        <v>9.1200000000000003E-2</v>
      </c>
    </row>
    <row r="504" spans="4:17" x14ac:dyDescent="0.35">
      <c r="D504" s="23"/>
      <c r="E504" s="30"/>
      <c r="F504" s="30"/>
      <c r="G504" s="23"/>
      <c r="H504" s="30"/>
      <c r="I504" s="30"/>
      <c r="J504" s="31"/>
      <c r="L504" s="32">
        <v>3.9</v>
      </c>
      <c r="M504" s="33">
        <v>9.7100000000000006E-2</v>
      </c>
      <c r="N504" s="33">
        <v>9.6299999999999997E-2</v>
      </c>
      <c r="O504" s="33">
        <v>8.2500000000000004E-2</v>
      </c>
      <c r="P504" s="33">
        <v>8.2500000000000004E-2</v>
      </c>
      <c r="Q504" s="74">
        <v>9.1200000000000003E-2</v>
      </c>
    </row>
    <row r="505" spans="4:17" x14ac:dyDescent="0.35">
      <c r="D505" s="23"/>
      <c r="E505" s="30"/>
      <c r="F505" s="30"/>
      <c r="G505" s="23"/>
      <c r="H505" s="30"/>
      <c r="I505" s="30"/>
      <c r="J505" s="31"/>
      <c r="L505" s="32">
        <v>3.91</v>
      </c>
      <c r="M505" s="33">
        <v>9.7199999999999995E-2</v>
      </c>
      <c r="N505" s="33">
        <v>9.6500000000000002E-2</v>
      </c>
      <c r="O505" s="33">
        <v>8.2799999999999999E-2</v>
      </c>
      <c r="P505" s="33">
        <v>8.2799999999999999E-2</v>
      </c>
      <c r="Q505" s="74">
        <v>9.1200000000000003E-2</v>
      </c>
    </row>
    <row r="506" spans="4:17" x14ac:dyDescent="0.35">
      <c r="D506" s="23"/>
      <c r="E506" s="30"/>
      <c r="F506" s="30"/>
      <c r="G506" s="23"/>
      <c r="H506" s="30"/>
      <c r="I506" s="30"/>
      <c r="J506" s="31"/>
      <c r="L506" s="32">
        <v>3.92</v>
      </c>
      <c r="M506" s="33">
        <v>9.74E-2</v>
      </c>
      <c r="N506" s="33">
        <v>9.6600000000000005E-2</v>
      </c>
      <c r="O506" s="33">
        <v>8.3000000000000004E-2</v>
      </c>
      <c r="P506" s="33">
        <v>8.3000000000000004E-2</v>
      </c>
      <c r="Q506" s="74">
        <v>9.1200000000000003E-2</v>
      </c>
    </row>
    <row r="507" spans="4:17" x14ac:dyDescent="0.35">
      <c r="D507" s="23"/>
      <c r="E507" s="30"/>
      <c r="F507" s="30"/>
      <c r="G507" s="23"/>
      <c r="H507" s="30"/>
      <c r="I507" s="30"/>
      <c r="J507" s="31"/>
      <c r="L507" s="32">
        <v>3.93</v>
      </c>
      <c r="M507" s="33">
        <v>9.7500000000000003E-2</v>
      </c>
      <c r="N507" s="33">
        <v>9.6799999999999997E-2</v>
      </c>
      <c r="O507" s="33">
        <v>8.3299999999999999E-2</v>
      </c>
      <c r="P507" s="33">
        <v>8.3299999999999999E-2</v>
      </c>
      <c r="Q507" s="74">
        <v>9.1200000000000003E-2</v>
      </c>
    </row>
    <row r="508" spans="4:17" x14ac:dyDescent="0.35">
      <c r="D508" s="23"/>
      <c r="E508" s="30"/>
      <c r="F508" s="30"/>
      <c r="G508" s="23"/>
      <c r="H508" s="30"/>
      <c r="I508" s="30"/>
      <c r="J508" s="31"/>
      <c r="L508" s="32">
        <v>3.94</v>
      </c>
      <c r="M508" s="33">
        <v>9.7699999999999995E-2</v>
      </c>
      <c r="N508" s="33">
        <v>9.69E-2</v>
      </c>
      <c r="O508" s="33">
        <v>8.3500000000000005E-2</v>
      </c>
      <c r="P508" s="33">
        <v>8.3500000000000005E-2</v>
      </c>
      <c r="Q508" s="74">
        <v>9.1200000000000003E-2</v>
      </c>
    </row>
    <row r="509" spans="4:17" x14ac:dyDescent="0.35">
      <c r="D509" s="23"/>
      <c r="E509" s="30"/>
      <c r="F509" s="30"/>
      <c r="G509" s="23"/>
      <c r="H509" s="30"/>
      <c r="I509" s="30"/>
      <c r="J509" s="31"/>
      <c r="L509" s="32">
        <v>3.95</v>
      </c>
      <c r="M509" s="33">
        <v>9.7799999999999998E-2</v>
      </c>
      <c r="N509" s="33">
        <v>9.7100000000000006E-2</v>
      </c>
      <c r="O509" s="33">
        <v>8.3799999999999999E-2</v>
      </c>
      <c r="P509" s="33">
        <v>8.3799999999999999E-2</v>
      </c>
      <c r="Q509" s="74">
        <v>9.1200000000000003E-2</v>
      </c>
    </row>
    <row r="510" spans="4:17" x14ac:dyDescent="0.35">
      <c r="D510" s="23"/>
      <c r="E510" s="30"/>
      <c r="F510" s="30"/>
      <c r="G510" s="23"/>
      <c r="H510" s="30"/>
      <c r="I510" s="30"/>
      <c r="J510" s="31"/>
      <c r="L510" s="32">
        <v>3.96</v>
      </c>
      <c r="M510" s="33">
        <v>9.8000000000000004E-2</v>
      </c>
      <c r="N510" s="33">
        <v>9.7199999999999995E-2</v>
      </c>
      <c r="O510" s="33">
        <v>8.4000000000000005E-2</v>
      </c>
      <c r="P510" s="33">
        <v>8.4000000000000005E-2</v>
      </c>
      <c r="Q510" s="74">
        <v>9.1200000000000003E-2</v>
      </c>
    </row>
    <row r="511" spans="4:17" x14ac:dyDescent="0.35">
      <c r="D511" s="23"/>
      <c r="E511" s="30"/>
      <c r="F511" s="30"/>
      <c r="G511" s="23"/>
      <c r="H511" s="30"/>
      <c r="I511" s="30"/>
      <c r="J511" s="31"/>
      <c r="L511" s="32">
        <v>3.97</v>
      </c>
      <c r="M511" s="33">
        <v>9.8100000000000007E-2</v>
      </c>
      <c r="N511" s="33">
        <v>9.74E-2</v>
      </c>
      <c r="O511" s="33">
        <v>8.43E-2</v>
      </c>
      <c r="P511" s="33">
        <v>8.43E-2</v>
      </c>
      <c r="Q511" s="74">
        <v>9.1200000000000003E-2</v>
      </c>
    </row>
    <row r="512" spans="4:17" x14ac:dyDescent="0.35">
      <c r="D512" s="23"/>
      <c r="E512" s="30"/>
      <c r="F512" s="30"/>
      <c r="G512" s="23"/>
      <c r="H512" s="30"/>
      <c r="I512" s="30"/>
      <c r="J512" s="31"/>
      <c r="L512" s="32">
        <v>3.98</v>
      </c>
      <c r="M512" s="33">
        <v>9.8299999999999998E-2</v>
      </c>
      <c r="N512" s="33">
        <v>9.7500000000000003E-2</v>
      </c>
      <c r="O512" s="33">
        <v>8.4500000000000006E-2</v>
      </c>
      <c r="P512" s="33">
        <v>8.4500000000000006E-2</v>
      </c>
      <c r="Q512" s="74">
        <v>9.1200000000000003E-2</v>
      </c>
    </row>
    <row r="513" spans="3:17" x14ac:dyDescent="0.35">
      <c r="D513" s="23"/>
      <c r="E513" s="30"/>
      <c r="F513" s="30"/>
      <c r="G513" s="23"/>
      <c r="H513" s="30"/>
      <c r="I513" s="30"/>
      <c r="J513" s="31"/>
      <c r="L513" s="32">
        <v>3.99</v>
      </c>
      <c r="M513" s="33">
        <v>9.8400000000000001E-2</v>
      </c>
      <c r="N513" s="33">
        <v>9.7699999999999995E-2</v>
      </c>
      <c r="O513" s="33">
        <v>8.48E-2</v>
      </c>
      <c r="P513" s="33">
        <v>8.48E-2</v>
      </c>
      <c r="Q513" s="74">
        <v>9.1200000000000003E-2</v>
      </c>
    </row>
    <row r="514" spans="3:17" x14ac:dyDescent="0.35">
      <c r="D514" s="23"/>
      <c r="E514" s="30"/>
      <c r="F514" s="30"/>
      <c r="G514" s="23"/>
      <c r="H514" s="30"/>
      <c r="I514" s="30"/>
      <c r="J514" s="31"/>
      <c r="L514" s="32">
        <v>4</v>
      </c>
      <c r="M514" s="36">
        <v>9.8599999999999993E-2</v>
      </c>
      <c r="N514" s="36">
        <v>9.7799999999999998E-2</v>
      </c>
      <c r="O514" s="33">
        <v>8.5000000000000006E-2</v>
      </c>
      <c r="P514" s="33">
        <v>8.5000000000000006E-2</v>
      </c>
      <c r="Q514" s="74">
        <v>9.1200000000000003E-2</v>
      </c>
    </row>
    <row r="515" spans="3:17" x14ac:dyDescent="0.35">
      <c r="D515" s="23"/>
      <c r="E515" s="30"/>
      <c r="F515" s="30"/>
      <c r="G515" s="23"/>
      <c r="H515" s="30"/>
      <c r="I515" s="30"/>
      <c r="J515" s="31"/>
    </row>
    <row r="516" spans="3:17" x14ac:dyDescent="0.35">
      <c r="C516" s="2" t="s">
        <v>175</v>
      </c>
    </row>
    <row r="517" spans="3:17" x14ac:dyDescent="0.35">
      <c r="D517" t="s">
        <v>176</v>
      </c>
      <c r="E517" t="s">
        <v>177</v>
      </c>
    </row>
    <row r="518" spans="3:17" x14ac:dyDescent="0.35">
      <c r="E518" s="37" t="s">
        <v>178</v>
      </c>
      <c r="F518" s="23" t="s">
        <v>159</v>
      </c>
    </row>
    <row r="519" spans="3:17" x14ac:dyDescent="0.35">
      <c r="E519" s="37" t="s">
        <v>179</v>
      </c>
      <c r="F519" s="32">
        <v>3</v>
      </c>
    </row>
    <row r="520" spans="3:17" x14ac:dyDescent="0.35">
      <c r="E520" s="37" t="s">
        <v>180</v>
      </c>
      <c r="F520">
        <v>2022</v>
      </c>
    </row>
    <row r="521" spans="3:17" x14ac:dyDescent="0.35">
      <c r="E521" s="38" t="s">
        <v>181</v>
      </c>
      <c r="F521" s="39">
        <f t="array" ref="F521">INDEX(HIX_ApplicablePercentages[Premium Tax Credit Applicable Percentage],MATCH(1,(HIX_ApplicablePercentages[Premium Percentage Group]=$F$518)*(HIX_ApplicablePercentages[Threshold]=$F$519)*(HIX_ApplicablePercentages[Year]=$F$520),0))</f>
        <v>8.5000000000000006E-2</v>
      </c>
    </row>
    <row r="522" spans="3:17" x14ac:dyDescent="0.35">
      <c r="E522" s="38"/>
    </row>
    <row r="523" spans="3:17" x14ac:dyDescent="0.35">
      <c r="C523" s="2" t="s">
        <v>182</v>
      </c>
      <c r="E523" s="38"/>
    </row>
    <row r="524" spans="3:17" x14ac:dyDescent="0.35">
      <c r="D524" t="s">
        <v>183</v>
      </c>
      <c r="E524" s="38"/>
    </row>
    <row r="525" spans="3:17" x14ac:dyDescent="0.35">
      <c r="F525" s="30" t="s">
        <v>184</v>
      </c>
      <c r="G525" t="s">
        <v>185</v>
      </c>
      <c r="H525" t="s">
        <v>186</v>
      </c>
      <c r="J525" t="s">
        <v>185</v>
      </c>
      <c r="K525" t="s">
        <v>186</v>
      </c>
    </row>
    <row r="526" spans="3:17" x14ac:dyDescent="0.35">
      <c r="E526" t="s">
        <v>187</v>
      </c>
      <c r="F526" s="30">
        <v>1.33</v>
      </c>
      <c r="G526" s="31">
        <v>3.1099999999999999E-2</v>
      </c>
      <c r="I526" s="32">
        <v>1.5</v>
      </c>
      <c r="J526" s="31">
        <v>4.1500000000000002E-2</v>
      </c>
    </row>
    <row r="527" spans="3:17" x14ac:dyDescent="0.35">
      <c r="E527" t="s">
        <v>188</v>
      </c>
      <c r="F527" s="30">
        <v>1.5</v>
      </c>
      <c r="G527" s="31">
        <v>4.1500000000000002E-2</v>
      </c>
      <c r="I527" s="32">
        <v>2</v>
      </c>
      <c r="J527" s="31">
        <v>6.54E-2</v>
      </c>
    </row>
    <row r="528" spans="3:17" x14ac:dyDescent="0.35">
      <c r="E528" t="s">
        <v>189</v>
      </c>
      <c r="F528" s="40">
        <f>(F527-F526)*100</f>
        <v>16.999999999999993</v>
      </c>
      <c r="G528" s="31">
        <f>G527-G526</f>
        <v>1.0400000000000003E-2</v>
      </c>
      <c r="H528" s="41">
        <f>G528/F528</f>
        <v>6.1176470588235332E-4</v>
      </c>
      <c r="I528" s="40">
        <f>(I527-I526)*100</f>
        <v>50</v>
      </c>
      <c r="J528" s="31">
        <f>J527-J526</f>
        <v>2.3899999999999998E-2</v>
      </c>
      <c r="K528" s="41">
        <f>J528/I528</f>
        <v>4.7799999999999996E-4</v>
      </c>
    </row>
    <row r="530" spans="3:17" x14ac:dyDescent="0.35">
      <c r="F530" s="30">
        <v>1.33</v>
      </c>
      <c r="G530" s="23">
        <v>0</v>
      </c>
      <c r="H530" s="42">
        <f>ROUND(G$39+G530*H$41,4)</f>
        <v>0</v>
      </c>
      <c r="I530" s="32">
        <v>1.5</v>
      </c>
      <c r="J530" s="23">
        <f t="shared" ref="J530:J535" si="0">I530*100-150</f>
        <v>0</v>
      </c>
      <c r="K530" s="42">
        <f t="shared" ref="K530:K535" si="1">ROUND(J$39+J530*K$41,4)</f>
        <v>0</v>
      </c>
    </row>
    <row r="531" spans="3:17" x14ac:dyDescent="0.35">
      <c r="F531" s="30">
        <v>1.34</v>
      </c>
      <c r="G531" s="23">
        <v>1</v>
      </c>
      <c r="H531" s="42">
        <f>ROUND($E$39+G531*H$41,4)</f>
        <v>0</v>
      </c>
      <c r="I531" s="32">
        <v>1.51</v>
      </c>
      <c r="J531" s="23">
        <f t="shared" si="0"/>
        <v>1</v>
      </c>
      <c r="K531" s="42">
        <f t="shared" si="1"/>
        <v>0</v>
      </c>
    </row>
    <row r="532" spans="3:17" x14ac:dyDescent="0.35">
      <c r="F532" s="30">
        <v>1.35</v>
      </c>
      <c r="G532" s="23">
        <v>2</v>
      </c>
      <c r="H532" s="42">
        <f>ROUND($E$39+G532*H$41,4)</f>
        <v>0</v>
      </c>
      <c r="I532" s="32">
        <v>1.52</v>
      </c>
      <c r="J532" s="23">
        <f t="shared" si="0"/>
        <v>2</v>
      </c>
      <c r="K532" s="42">
        <f t="shared" si="1"/>
        <v>0</v>
      </c>
    </row>
    <row r="533" spans="3:17" x14ac:dyDescent="0.35">
      <c r="F533" s="30">
        <v>1.36</v>
      </c>
      <c r="G533" s="23">
        <v>3</v>
      </c>
      <c r="H533" s="42">
        <f>ROUND($E$39+G533*H$41,4)</f>
        <v>0</v>
      </c>
      <c r="I533" s="32">
        <v>1.53</v>
      </c>
      <c r="J533" s="23">
        <f t="shared" si="0"/>
        <v>3</v>
      </c>
      <c r="K533" s="42">
        <f t="shared" si="1"/>
        <v>0</v>
      </c>
    </row>
    <row r="534" spans="3:17" x14ac:dyDescent="0.35">
      <c r="F534" s="30">
        <v>1.37</v>
      </c>
      <c r="G534" s="23">
        <v>4</v>
      </c>
      <c r="H534" s="42">
        <f>ROUND($E$39+G534*H$41,4)</f>
        <v>0</v>
      </c>
      <c r="I534" s="32">
        <v>1.54</v>
      </c>
      <c r="J534" s="23">
        <f t="shared" si="0"/>
        <v>4</v>
      </c>
      <c r="K534" s="42">
        <f t="shared" si="1"/>
        <v>0</v>
      </c>
    </row>
    <row r="535" spans="3:17" x14ac:dyDescent="0.35">
      <c r="F535" s="30">
        <v>1.38</v>
      </c>
      <c r="G535" s="23">
        <v>5</v>
      </c>
      <c r="H535" s="42">
        <f>ROUND($E$39+G535*H$41,4)</f>
        <v>0</v>
      </c>
      <c r="I535" s="32">
        <v>1.55</v>
      </c>
      <c r="J535" s="23">
        <f t="shared" si="0"/>
        <v>5</v>
      </c>
      <c r="K535" s="42">
        <f t="shared" si="1"/>
        <v>0</v>
      </c>
    </row>
    <row r="536" spans="3:17" x14ac:dyDescent="0.35">
      <c r="F536" s="30"/>
      <c r="G536" s="23"/>
      <c r="H536" s="42"/>
      <c r="I536" s="32"/>
      <c r="J536" s="23"/>
      <c r="K536" s="42"/>
    </row>
    <row r="537" spans="3:17" x14ac:dyDescent="0.35">
      <c r="C537" s="2" t="s">
        <v>190</v>
      </c>
    </row>
    <row r="538" spans="3:17" x14ac:dyDescent="0.35">
      <c r="E538" t="s">
        <v>191</v>
      </c>
      <c r="F538" t="s">
        <v>192</v>
      </c>
      <c r="G538" s="43" t="s">
        <v>193</v>
      </c>
      <c r="L538" t="s">
        <v>192</v>
      </c>
      <c r="Q538" t="s">
        <v>194</v>
      </c>
    </row>
    <row r="539" spans="3:17" x14ac:dyDescent="0.35">
      <c r="D539">
        <v>2018</v>
      </c>
      <c r="E539" t="s">
        <v>195</v>
      </c>
      <c r="F539" t="s">
        <v>196</v>
      </c>
      <c r="G539" t="s">
        <v>197</v>
      </c>
      <c r="L539" t="s">
        <v>198</v>
      </c>
      <c r="Q539" t="s">
        <v>199</v>
      </c>
    </row>
    <row r="540" spans="3:17" x14ac:dyDescent="0.35">
      <c r="D540">
        <v>2019</v>
      </c>
      <c r="E540" t="s">
        <v>200</v>
      </c>
      <c r="F540" t="s">
        <v>201</v>
      </c>
      <c r="G540" t="s">
        <v>202</v>
      </c>
      <c r="L540" t="s">
        <v>203</v>
      </c>
      <c r="Q540" t="s">
        <v>204</v>
      </c>
    </row>
    <row r="541" spans="3:17" x14ac:dyDescent="0.35">
      <c r="D541">
        <v>2020</v>
      </c>
      <c r="E541" t="s">
        <v>205</v>
      </c>
      <c r="F541" t="s">
        <v>206</v>
      </c>
      <c r="G541" s="43" t="s">
        <v>207</v>
      </c>
      <c r="L541" t="s">
        <v>208</v>
      </c>
      <c r="Q541" t="s">
        <v>209</v>
      </c>
    </row>
    <row r="542" spans="3:17" x14ac:dyDescent="0.35">
      <c r="F542" s="30"/>
      <c r="G542" s="23"/>
      <c r="H542" s="42"/>
      <c r="I542" s="32"/>
      <c r="J542" s="23"/>
      <c r="K542" s="42"/>
    </row>
    <row r="543" spans="3:17" x14ac:dyDescent="0.35">
      <c r="F543" s="30"/>
      <c r="G543" s="23"/>
      <c r="H543" s="42"/>
      <c r="I543" s="32"/>
      <c r="J543" s="23"/>
      <c r="K543" s="42"/>
    </row>
    <row r="545" spans="2:24" x14ac:dyDescent="0.35">
      <c r="C545" s="2" t="s">
        <v>210</v>
      </c>
      <c r="U545" t="s">
        <v>2712</v>
      </c>
    </row>
    <row r="546" spans="2:24" ht="43.5" x14ac:dyDescent="0.35">
      <c r="B546" s="23" t="s">
        <v>211</v>
      </c>
      <c r="D546" t="s">
        <v>212</v>
      </c>
      <c r="E546" t="s">
        <v>213</v>
      </c>
      <c r="F546" t="s">
        <v>211</v>
      </c>
      <c r="G546" t="s">
        <v>214</v>
      </c>
      <c r="H546" t="s">
        <v>215</v>
      </c>
      <c r="I546" t="s">
        <v>216</v>
      </c>
      <c r="J546" t="s">
        <v>217</v>
      </c>
      <c r="K546" s="44" t="s">
        <v>218</v>
      </c>
      <c r="L546" s="44" t="s">
        <v>219</v>
      </c>
      <c r="M546" s="45" t="s">
        <v>220</v>
      </c>
      <c r="N546" s="45" t="s">
        <v>221</v>
      </c>
      <c r="O546" s="45" t="s">
        <v>222</v>
      </c>
      <c r="P546" s="45" t="s">
        <v>223</v>
      </c>
      <c r="Q546" s="44" t="s">
        <v>224</v>
      </c>
      <c r="R546" s="44" t="s">
        <v>225</v>
      </c>
      <c r="S546" s="44" t="s">
        <v>226</v>
      </c>
      <c r="T546" s="44" t="s">
        <v>227</v>
      </c>
      <c r="U546" s="44" t="s">
        <v>2703</v>
      </c>
      <c r="V546" s="44" t="s">
        <v>2702</v>
      </c>
      <c r="W546" s="44" t="s">
        <v>2829</v>
      </c>
      <c r="X546" s="44" t="s">
        <v>2828</v>
      </c>
    </row>
    <row r="547" spans="2:24" x14ac:dyDescent="0.35">
      <c r="B547" s="46" t="s">
        <v>228</v>
      </c>
      <c r="D547" t="s">
        <v>229</v>
      </c>
      <c r="E547" t="s">
        <v>230</v>
      </c>
      <c r="F547" s="46" t="s">
        <v>292</v>
      </c>
      <c r="G547" t="s">
        <v>293</v>
      </c>
      <c r="H547" s="23">
        <v>11</v>
      </c>
      <c r="I547" s="23" t="s">
        <v>294</v>
      </c>
      <c r="J547" t="s">
        <v>295</v>
      </c>
      <c r="K547">
        <v>1399</v>
      </c>
      <c r="L547">
        <v>1681</v>
      </c>
      <c r="M547" s="24">
        <v>1424</v>
      </c>
      <c r="N547" s="24">
        <v>1722</v>
      </c>
      <c r="O547" s="24">
        <v>1367</v>
      </c>
      <c r="P547" s="24">
        <v>1658</v>
      </c>
      <c r="Q547">
        <v>1519</v>
      </c>
      <c r="R547">
        <v>1830</v>
      </c>
      <c r="S547">
        <v>1928</v>
      </c>
      <c r="T547">
        <v>2333</v>
      </c>
      <c r="U547">
        <v>2142</v>
      </c>
      <c r="V547">
        <v>2694</v>
      </c>
      <c r="W547">
        <v>2493</v>
      </c>
      <c r="X547">
        <v>3216</v>
      </c>
    </row>
    <row r="548" spans="2:24" x14ac:dyDescent="0.35">
      <c r="B548" s="23" t="s">
        <v>234</v>
      </c>
      <c r="D548" t="s">
        <v>229</v>
      </c>
      <c r="E548" t="s">
        <v>230</v>
      </c>
      <c r="F548" s="46" t="s">
        <v>310</v>
      </c>
      <c r="G548" t="s">
        <v>311</v>
      </c>
      <c r="H548" s="23">
        <v>13</v>
      </c>
      <c r="I548" s="23" t="s">
        <v>312</v>
      </c>
      <c r="J548" t="s">
        <v>313</v>
      </c>
      <c r="K548">
        <v>8956</v>
      </c>
      <c r="L548">
        <v>11173</v>
      </c>
      <c r="M548" s="24">
        <v>8746</v>
      </c>
      <c r="N548" s="24">
        <v>10989</v>
      </c>
      <c r="O548" s="24">
        <v>8570</v>
      </c>
      <c r="P548" s="24">
        <v>10765</v>
      </c>
      <c r="Q548">
        <v>9320</v>
      </c>
      <c r="R548">
        <v>11716</v>
      </c>
      <c r="S548">
        <v>12347</v>
      </c>
      <c r="T548">
        <v>15550</v>
      </c>
      <c r="U548">
        <v>13094</v>
      </c>
      <c r="V548">
        <v>18150</v>
      </c>
      <c r="W548">
        <v>15824</v>
      </c>
      <c r="X548">
        <v>22871</v>
      </c>
    </row>
    <row r="549" spans="2:24" x14ac:dyDescent="0.35">
      <c r="B549" s="23" t="s">
        <v>238</v>
      </c>
      <c r="D549" t="s">
        <v>229</v>
      </c>
      <c r="E549" t="s">
        <v>230</v>
      </c>
      <c r="F549" s="46" t="s">
        <v>314</v>
      </c>
      <c r="G549" t="s">
        <v>311</v>
      </c>
      <c r="H549" s="23">
        <v>13</v>
      </c>
      <c r="I549" s="23" t="s">
        <v>312</v>
      </c>
      <c r="J549" t="s">
        <v>315</v>
      </c>
      <c r="K549">
        <v>596</v>
      </c>
      <c r="L549">
        <v>702</v>
      </c>
      <c r="M549" s="24">
        <v>544</v>
      </c>
      <c r="N549" s="24">
        <v>660</v>
      </c>
      <c r="O549" s="24">
        <v>527</v>
      </c>
      <c r="P549" s="24">
        <v>642</v>
      </c>
      <c r="Q549">
        <v>523</v>
      </c>
      <c r="R549">
        <v>634</v>
      </c>
      <c r="S549">
        <v>703</v>
      </c>
      <c r="T549">
        <v>845</v>
      </c>
      <c r="U549">
        <v>901</v>
      </c>
      <c r="V549">
        <v>1107</v>
      </c>
      <c r="W549">
        <v>1643</v>
      </c>
      <c r="X549">
        <v>2221</v>
      </c>
    </row>
    <row r="550" spans="2:24" x14ac:dyDescent="0.35">
      <c r="B550" s="23" t="s">
        <v>242</v>
      </c>
      <c r="D550" t="s">
        <v>229</v>
      </c>
      <c r="E550" t="s">
        <v>230</v>
      </c>
      <c r="F550" s="46" t="s">
        <v>238</v>
      </c>
      <c r="G550" t="s">
        <v>239</v>
      </c>
      <c r="H550" s="23">
        <v>3</v>
      </c>
      <c r="I550" s="23" t="s">
        <v>240</v>
      </c>
      <c r="J550" t="s">
        <v>241</v>
      </c>
      <c r="K550">
        <v>411</v>
      </c>
      <c r="L550">
        <v>473</v>
      </c>
      <c r="M550" s="24">
        <v>411</v>
      </c>
      <c r="N550" s="24">
        <v>475</v>
      </c>
      <c r="O550" s="24">
        <v>409</v>
      </c>
      <c r="P550" s="24">
        <v>487</v>
      </c>
      <c r="Q550">
        <v>406</v>
      </c>
      <c r="R550">
        <v>479</v>
      </c>
      <c r="S550">
        <v>530</v>
      </c>
      <c r="T550">
        <v>628</v>
      </c>
      <c r="U550">
        <v>507</v>
      </c>
      <c r="V550">
        <v>765</v>
      </c>
      <c r="W550">
        <v>1269</v>
      </c>
      <c r="X550">
        <v>1703</v>
      </c>
    </row>
    <row r="551" spans="2:24" x14ac:dyDescent="0.35">
      <c r="B551" s="23" t="s">
        <v>244</v>
      </c>
      <c r="D551" t="s">
        <v>229</v>
      </c>
      <c r="E551" t="s">
        <v>230</v>
      </c>
      <c r="F551" s="46" t="s">
        <v>242</v>
      </c>
      <c r="G551" t="s">
        <v>239</v>
      </c>
      <c r="H551" s="23">
        <v>3</v>
      </c>
      <c r="I551" s="23" t="s">
        <v>240</v>
      </c>
      <c r="J551" t="s">
        <v>243</v>
      </c>
      <c r="K551">
        <v>1736</v>
      </c>
      <c r="L551">
        <v>2005</v>
      </c>
      <c r="M551" s="24">
        <v>1630</v>
      </c>
      <c r="N551" s="24">
        <v>1939</v>
      </c>
      <c r="O551" s="24">
        <v>1604</v>
      </c>
      <c r="P551" s="24">
        <v>1871</v>
      </c>
      <c r="Q551">
        <v>1627</v>
      </c>
      <c r="R551">
        <v>1917</v>
      </c>
      <c r="S551">
        <v>1909</v>
      </c>
      <c r="T551">
        <v>2403</v>
      </c>
      <c r="U551">
        <v>2055</v>
      </c>
      <c r="V551">
        <v>3008</v>
      </c>
      <c r="W551">
        <v>3698</v>
      </c>
      <c r="X551">
        <v>4828</v>
      </c>
    </row>
    <row r="552" spans="2:24" x14ac:dyDescent="0.35">
      <c r="B552" s="23" t="s">
        <v>246</v>
      </c>
      <c r="D552" t="s">
        <v>229</v>
      </c>
      <c r="E552" t="s">
        <v>230</v>
      </c>
      <c r="F552" s="46" t="s">
        <v>316</v>
      </c>
      <c r="G552" t="s">
        <v>311</v>
      </c>
      <c r="H552" s="23">
        <v>13</v>
      </c>
      <c r="I552" s="23" t="s">
        <v>312</v>
      </c>
      <c r="J552" t="s">
        <v>317</v>
      </c>
      <c r="K552">
        <v>269</v>
      </c>
      <c r="L552">
        <v>304</v>
      </c>
      <c r="M552" s="24">
        <v>255</v>
      </c>
      <c r="N552" s="24">
        <v>280</v>
      </c>
      <c r="O552" s="24">
        <v>258</v>
      </c>
      <c r="P552" s="24">
        <v>286</v>
      </c>
      <c r="Q552">
        <v>266</v>
      </c>
      <c r="R552">
        <v>296</v>
      </c>
      <c r="S552">
        <v>360</v>
      </c>
      <c r="T552">
        <v>401</v>
      </c>
      <c r="U552">
        <v>470</v>
      </c>
      <c r="V552">
        <v>557</v>
      </c>
      <c r="W552">
        <v>1005</v>
      </c>
      <c r="X552">
        <v>1313</v>
      </c>
    </row>
    <row r="553" spans="2:24" x14ac:dyDescent="0.35">
      <c r="B553" s="23" t="s">
        <v>248</v>
      </c>
      <c r="D553" t="s">
        <v>229</v>
      </c>
      <c r="E553" t="s">
        <v>230</v>
      </c>
      <c r="F553" s="46" t="s">
        <v>318</v>
      </c>
      <c r="G553" t="s">
        <v>311</v>
      </c>
      <c r="H553" s="23">
        <v>13</v>
      </c>
      <c r="I553" s="23" t="s">
        <v>312</v>
      </c>
      <c r="J553" t="s">
        <v>319</v>
      </c>
      <c r="K553">
        <v>589</v>
      </c>
      <c r="L553">
        <v>690</v>
      </c>
      <c r="M553" s="24">
        <v>560</v>
      </c>
      <c r="N553" s="24">
        <v>635</v>
      </c>
      <c r="O553" s="24">
        <v>523</v>
      </c>
      <c r="P553" s="24">
        <v>614</v>
      </c>
      <c r="Q553">
        <v>553</v>
      </c>
      <c r="R553">
        <v>636</v>
      </c>
      <c r="S553">
        <v>695</v>
      </c>
      <c r="T553">
        <v>781</v>
      </c>
      <c r="U553">
        <v>745</v>
      </c>
      <c r="V553">
        <v>892</v>
      </c>
      <c r="W553">
        <v>897</v>
      </c>
      <c r="X553">
        <v>1087</v>
      </c>
    </row>
    <row r="554" spans="2:24" x14ac:dyDescent="0.35">
      <c r="B554" s="23" t="s">
        <v>250</v>
      </c>
      <c r="D554" t="s">
        <v>229</v>
      </c>
      <c r="E554" t="s">
        <v>230</v>
      </c>
      <c r="F554" s="46" t="s">
        <v>228</v>
      </c>
      <c r="G554" t="s">
        <v>231</v>
      </c>
      <c r="H554" s="23">
        <v>1</v>
      </c>
      <c r="I554" s="23" t="s">
        <v>232</v>
      </c>
      <c r="J554" t="s">
        <v>233</v>
      </c>
      <c r="K554">
        <v>2854</v>
      </c>
      <c r="L554">
        <v>3445</v>
      </c>
      <c r="M554" s="24">
        <v>2881</v>
      </c>
      <c r="N554" s="24">
        <v>3472</v>
      </c>
      <c r="O554" s="24">
        <v>2831</v>
      </c>
      <c r="P554" s="24">
        <v>3375</v>
      </c>
      <c r="Q554">
        <v>2946</v>
      </c>
      <c r="R554">
        <v>3565</v>
      </c>
      <c r="S554">
        <v>3839</v>
      </c>
      <c r="T554">
        <v>4537</v>
      </c>
      <c r="U554">
        <v>4205</v>
      </c>
      <c r="V554">
        <v>5158</v>
      </c>
      <c r="W554">
        <v>6380</v>
      </c>
      <c r="X554">
        <v>8113</v>
      </c>
    </row>
    <row r="555" spans="2:24" x14ac:dyDescent="0.35">
      <c r="B555" s="23" t="s">
        <v>252</v>
      </c>
      <c r="D555" t="s">
        <v>229</v>
      </c>
      <c r="E555" t="s">
        <v>230</v>
      </c>
      <c r="F555" s="46" t="s">
        <v>320</v>
      </c>
      <c r="G555" t="s">
        <v>311</v>
      </c>
      <c r="H555" s="23">
        <v>13</v>
      </c>
      <c r="I555" s="23" t="s">
        <v>312</v>
      </c>
      <c r="J555" t="s">
        <v>321</v>
      </c>
      <c r="K555">
        <v>852</v>
      </c>
      <c r="L555">
        <v>973</v>
      </c>
      <c r="M555" s="24">
        <v>831</v>
      </c>
      <c r="N555" s="24">
        <v>963</v>
      </c>
      <c r="O555" s="24">
        <v>785</v>
      </c>
      <c r="P555" s="24">
        <v>937</v>
      </c>
      <c r="Q555">
        <v>855</v>
      </c>
      <c r="R555">
        <v>1003</v>
      </c>
      <c r="S555">
        <v>1301</v>
      </c>
      <c r="T555">
        <v>1486</v>
      </c>
      <c r="U555">
        <v>1892</v>
      </c>
      <c r="V555">
        <v>2225</v>
      </c>
      <c r="W555">
        <v>3556</v>
      </c>
      <c r="X555">
        <v>4841</v>
      </c>
    </row>
    <row r="556" spans="2:24" x14ac:dyDescent="0.35">
      <c r="B556" s="23" t="s">
        <v>254</v>
      </c>
      <c r="D556" t="s">
        <v>229</v>
      </c>
      <c r="E556" t="s">
        <v>230</v>
      </c>
      <c r="F556" s="46" t="s">
        <v>322</v>
      </c>
      <c r="G556" t="s">
        <v>311</v>
      </c>
      <c r="H556" s="23">
        <v>13</v>
      </c>
      <c r="I556" s="23" t="s">
        <v>312</v>
      </c>
      <c r="J556" t="s">
        <v>323</v>
      </c>
      <c r="K556">
        <v>705</v>
      </c>
      <c r="L556">
        <v>827</v>
      </c>
      <c r="M556" s="24">
        <v>723</v>
      </c>
      <c r="N556" s="24">
        <v>831</v>
      </c>
      <c r="O556" s="24">
        <v>712</v>
      </c>
      <c r="P556" s="24">
        <v>821</v>
      </c>
      <c r="Q556">
        <v>783</v>
      </c>
      <c r="R556">
        <v>914</v>
      </c>
      <c r="S556">
        <v>1046</v>
      </c>
      <c r="T556">
        <v>1204</v>
      </c>
      <c r="U556">
        <v>1187</v>
      </c>
      <c r="V556">
        <v>1460</v>
      </c>
      <c r="W556">
        <v>1724</v>
      </c>
      <c r="X556">
        <v>2263</v>
      </c>
    </row>
    <row r="557" spans="2:24" x14ac:dyDescent="0.35">
      <c r="B557" s="23" t="s">
        <v>258</v>
      </c>
      <c r="D557" t="s">
        <v>229</v>
      </c>
      <c r="E557" t="s">
        <v>230</v>
      </c>
      <c r="F557" s="46" t="s">
        <v>244</v>
      </c>
      <c r="G557" t="s">
        <v>239</v>
      </c>
      <c r="H557" s="23">
        <v>3</v>
      </c>
      <c r="I557" s="23" t="s">
        <v>240</v>
      </c>
      <c r="J557" t="s">
        <v>245</v>
      </c>
      <c r="K557">
        <v>1379</v>
      </c>
      <c r="L557">
        <v>1609</v>
      </c>
      <c r="M557" s="24">
        <v>1318</v>
      </c>
      <c r="N557" s="24">
        <v>1557</v>
      </c>
      <c r="O557" s="24">
        <v>1267</v>
      </c>
      <c r="P557" s="24">
        <v>1524</v>
      </c>
      <c r="Q557">
        <v>1203</v>
      </c>
      <c r="R557">
        <v>1494</v>
      </c>
      <c r="S557">
        <v>1537</v>
      </c>
      <c r="T557">
        <v>1979</v>
      </c>
      <c r="U557">
        <v>1588</v>
      </c>
      <c r="V557">
        <v>2264</v>
      </c>
      <c r="W557">
        <v>2662</v>
      </c>
      <c r="X557">
        <v>3472</v>
      </c>
    </row>
    <row r="558" spans="2:24" x14ac:dyDescent="0.35">
      <c r="B558" s="23" t="s">
        <v>262</v>
      </c>
      <c r="D558" t="s">
        <v>229</v>
      </c>
      <c r="E558" t="s">
        <v>230</v>
      </c>
      <c r="F558" s="46" t="s">
        <v>324</v>
      </c>
      <c r="G558" t="s">
        <v>311</v>
      </c>
      <c r="H558" s="23">
        <v>13</v>
      </c>
      <c r="I558" s="23" t="s">
        <v>312</v>
      </c>
      <c r="J558" t="s">
        <v>325</v>
      </c>
      <c r="K558">
        <v>453</v>
      </c>
      <c r="L558">
        <v>531</v>
      </c>
      <c r="M558" s="24">
        <v>438</v>
      </c>
      <c r="N558" s="24">
        <v>504</v>
      </c>
      <c r="O558" s="24">
        <v>384</v>
      </c>
      <c r="P558" s="24">
        <v>435</v>
      </c>
      <c r="Q558">
        <v>392</v>
      </c>
      <c r="R558">
        <v>443</v>
      </c>
      <c r="S558">
        <v>501</v>
      </c>
      <c r="T558">
        <v>581</v>
      </c>
      <c r="U558">
        <v>563</v>
      </c>
      <c r="V558">
        <v>709</v>
      </c>
      <c r="W558">
        <v>944</v>
      </c>
      <c r="X558">
        <v>1154</v>
      </c>
    </row>
    <row r="559" spans="2:24" x14ac:dyDescent="0.35">
      <c r="B559" s="23" t="s">
        <v>264</v>
      </c>
      <c r="D559" t="s">
        <v>229</v>
      </c>
      <c r="E559" t="s">
        <v>230</v>
      </c>
      <c r="F559" s="46" t="s">
        <v>326</v>
      </c>
      <c r="G559" t="s">
        <v>311</v>
      </c>
      <c r="H559" s="23">
        <v>13</v>
      </c>
      <c r="I559" s="23" t="s">
        <v>312</v>
      </c>
      <c r="J559" t="s">
        <v>327</v>
      </c>
      <c r="K559">
        <v>905</v>
      </c>
      <c r="L559">
        <v>1054</v>
      </c>
      <c r="M559" s="24">
        <v>852</v>
      </c>
      <c r="N559" s="24">
        <v>982</v>
      </c>
      <c r="O559" s="24">
        <v>786</v>
      </c>
      <c r="P559" s="24">
        <v>898</v>
      </c>
      <c r="Q559">
        <v>752</v>
      </c>
      <c r="R559">
        <v>901</v>
      </c>
      <c r="S559">
        <v>993</v>
      </c>
      <c r="T559">
        <v>1152</v>
      </c>
      <c r="U559">
        <v>1078</v>
      </c>
      <c r="V559">
        <v>1281</v>
      </c>
      <c r="W559">
        <v>1649</v>
      </c>
      <c r="X559">
        <v>2036</v>
      </c>
    </row>
    <row r="560" spans="2:24" x14ac:dyDescent="0.35">
      <c r="B560" s="23" t="s">
        <v>268</v>
      </c>
      <c r="D560" t="s">
        <v>229</v>
      </c>
      <c r="E560" t="s">
        <v>230</v>
      </c>
      <c r="F560" s="46" t="s">
        <v>328</v>
      </c>
      <c r="G560" t="s">
        <v>311</v>
      </c>
      <c r="H560" s="23">
        <v>13</v>
      </c>
      <c r="I560" s="23" t="s">
        <v>312</v>
      </c>
      <c r="J560" t="s">
        <v>329</v>
      </c>
      <c r="K560">
        <v>329</v>
      </c>
      <c r="L560">
        <v>409</v>
      </c>
      <c r="M560" s="24">
        <v>326</v>
      </c>
      <c r="N560" s="24">
        <v>404</v>
      </c>
      <c r="O560" s="24">
        <v>348</v>
      </c>
      <c r="P560" s="24">
        <v>417</v>
      </c>
      <c r="Q560">
        <v>328</v>
      </c>
      <c r="R560">
        <v>393</v>
      </c>
      <c r="S560">
        <v>428</v>
      </c>
      <c r="T560">
        <v>502</v>
      </c>
      <c r="U560">
        <v>524</v>
      </c>
      <c r="V560">
        <v>612</v>
      </c>
      <c r="W560">
        <v>842</v>
      </c>
      <c r="X560">
        <v>1049</v>
      </c>
    </row>
    <row r="561" spans="2:24" x14ac:dyDescent="0.35">
      <c r="B561" s="23" t="s">
        <v>270</v>
      </c>
      <c r="D561" t="s">
        <v>229</v>
      </c>
      <c r="E561" t="s">
        <v>230</v>
      </c>
      <c r="F561" s="46" t="s">
        <v>330</v>
      </c>
      <c r="G561" t="s">
        <v>311</v>
      </c>
      <c r="H561" s="23">
        <v>13</v>
      </c>
      <c r="I561" s="23" t="s">
        <v>312</v>
      </c>
      <c r="J561" t="s">
        <v>331</v>
      </c>
      <c r="K561">
        <v>434</v>
      </c>
      <c r="L561">
        <v>522</v>
      </c>
      <c r="M561" s="24">
        <v>407</v>
      </c>
      <c r="N561" s="24">
        <v>497</v>
      </c>
      <c r="O561" s="24">
        <v>384</v>
      </c>
      <c r="P561" s="24">
        <v>461</v>
      </c>
      <c r="Q561">
        <v>381</v>
      </c>
      <c r="R561">
        <v>480</v>
      </c>
      <c r="S561">
        <v>513</v>
      </c>
      <c r="T561">
        <v>633</v>
      </c>
      <c r="U561">
        <v>582</v>
      </c>
      <c r="V561">
        <v>799</v>
      </c>
      <c r="W561">
        <v>968</v>
      </c>
      <c r="X561">
        <v>1393</v>
      </c>
    </row>
    <row r="562" spans="2:24" x14ac:dyDescent="0.35">
      <c r="B562" s="23" t="s">
        <v>272</v>
      </c>
      <c r="D562" t="s">
        <v>229</v>
      </c>
      <c r="E562" t="s">
        <v>230</v>
      </c>
      <c r="F562" s="46" t="s">
        <v>332</v>
      </c>
      <c r="G562" t="s">
        <v>311</v>
      </c>
      <c r="H562" s="23">
        <v>13</v>
      </c>
      <c r="I562" s="23" t="s">
        <v>312</v>
      </c>
      <c r="J562" t="s">
        <v>333</v>
      </c>
      <c r="K562">
        <v>1110</v>
      </c>
      <c r="L562">
        <v>1340</v>
      </c>
      <c r="M562" s="24">
        <v>1067</v>
      </c>
      <c r="N562" s="24">
        <v>1293</v>
      </c>
      <c r="O562" s="24">
        <v>1039</v>
      </c>
      <c r="P562" s="24">
        <v>1260</v>
      </c>
      <c r="Q562">
        <v>1149</v>
      </c>
      <c r="R562">
        <v>1385</v>
      </c>
      <c r="S562">
        <v>1505</v>
      </c>
      <c r="T562">
        <v>1825</v>
      </c>
      <c r="U562">
        <v>1775</v>
      </c>
      <c r="V562">
        <v>2318</v>
      </c>
      <c r="W562">
        <v>2994</v>
      </c>
      <c r="X562">
        <v>4267</v>
      </c>
    </row>
    <row r="563" spans="2:24" x14ac:dyDescent="0.35">
      <c r="B563" s="23" t="s">
        <v>276</v>
      </c>
      <c r="D563" t="s">
        <v>229</v>
      </c>
      <c r="E563" t="s">
        <v>230</v>
      </c>
      <c r="F563" s="46" t="s">
        <v>272</v>
      </c>
      <c r="G563" t="s">
        <v>273</v>
      </c>
      <c r="H563" s="23">
        <v>7</v>
      </c>
      <c r="I563" s="23" t="s">
        <v>274</v>
      </c>
      <c r="J563" t="s">
        <v>275</v>
      </c>
      <c r="K563">
        <v>1709</v>
      </c>
      <c r="L563">
        <v>1988</v>
      </c>
      <c r="M563" s="24">
        <v>1565</v>
      </c>
      <c r="N563" s="24">
        <v>1870</v>
      </c>
      <c r="O563" s="24">
        <v>1535</v>
      </c>
      <c r="P563" s="24">
        <v>1834</v>
      </c>
      <c r="Q563">
        <v>1607</v>
      </c>
      <c r="R563">
        <v>1912</v>
      </c>
      <c r="S563">
        <v>2178</v>
      </c>
      <c r="T563">
        <v>2524</v>
      </c>
      <c r="U563">
        <v>2382</v>
      </c>
      <c r="V563">
        <v>3047</v>
      </c>
      <c r="W563">
        <v>3550</v>
      </c>
      <c r="X563">
        <v>4916</v>
      </c>
    </row>
    <row r="564" spans="2:24" x14ac:dyDescent="0.35">
      <c r="B564" s="23" t="s">
        <v>278</v>
      </c>
      <c r="D564" t="s">
        <v>229</v>
      </c>
      <c r="E564" t="s">
        <v>230</v>
      </c>
      <c r="F564" s="46" t="s">
        <v>334</v>
      </c>
      <c r="G564" t="s">
        <v>311</v>
      </c>
      <c r="H564" s="23">
        <v>13</v>
      </c>
      <c r="I564" s="23" t="s">
        <v>312</v>
      </c>
      <c r="J564" t="s">
        <v>335</v>
      </c>
      <c r="K564">
        <v>395</v>
      </c>
      <c r="L564">
        <v>444</v>
      </c>
      <c r="M564" s="24">
        <v>369</v>
      </c>
      <c r="N564" s="24">
        <v>445</v>
      </c>
      <c r="O564" s="24">
        <v>342</v>
      </c>
      <c r="P564" s="24">
        <v>406</v>
      </c>
      <c r="Q564">
        <v>376</v>
      </c>
      <c r="R564">
        <v>422</v>
      </c>
      <c r="S564">
        <v>423</v>
      </c>
      <c r="T564">
        <v>487</v>
      </c>
      <c r="U564">
        <v>539</v>
      </c>
      <c r="V564">
        <v>642</v>
      </c>
      <c r="W564">
        <v>1115</v>
      </c>
      <c r="X564">
        <v>1367</v>
      </c>
    </row>
    <row r="565" spans="2:24" x14ac:dyDescent="0.35">
      <c r="B565" s="23" t="s">
        <v>282</v>
      </c>
      <c r="D565" t="s">
        <v>229</v>
      </c>
      <c r="E565" t="s">
        <v>230</v>
      </c>
      <c r="F565" s="46" t="s">
        <v>336</v>
      </c>
      <c r="G565" t="s">
        <v>311</v>
      </c>
      <c r="H565" s="23">
        <v>13</v>
      </c>
      <c r="I565" s="23" t="s">
        <v>312</v>
      </c>
      <c r="J565" t="s">
        <v>337</v>
      </c>
      <c r="K565">
        <v>249</v>
      </c>
      <c r="L565">
        <v>296</v>
      </c>
      <c r="M565" s="24">
        <v>233</v>
      </c>
      <c r="N565" s="24">
        <v>273</v>
      </c>
      <c r="O565" s="24">
        <v>218</v>
      </c>
      <c r="P565" s="24">
        <v>259</v>
      </c>
      <c r="Q565">
        <v>255</v>
      </c>
      <c r="R565">
        <v>296</v>
      </c>
      <c r="S565">
        <v>373</v>
      </c>
      <c r="T565">
        <v>434</v>
      </c>
      <c r="U565">
        <v>445</v>
      </c>
      <c r="V565">
        <v>646</v>
      </c>
      <c r="W565">
        <v>1086</v>
      </c>
      <c r="X565">
        <v>1405</v>
      </c>
    </row>
    <row r="566" spans="2:24" x14ac:dyDescent="0.35">
      <c r="B566" s="23" t="s">
        <v>286</v>
      </c>
      <c r="D566" t="s">
        <v>229</v>
      </c>
      <c r="E566" t="s">
        <v>230</v>
      </c>
      <c r="F566" s="46" t="s">
        <v>338</v>
      </c>
      <c r="G566" t="s">
        <v>311</v>
      </c>
      <c r="H566" s="23">
        <v>13</v>
      </c>
      <c r="I566" s="23" t="s">
        <v>312</v>
      </c>
      <c r="J566" t="s">
        <v>339</v>
      </c>
      <c r="K566">
        <v>1112</v>
      </c>
      <c r="L566">
        <v>1283</v>
      </c>
      <c r="M566" s="24">
        <v>1134</v>
      </c>
      <c r="N566" s="24">
        <v>1326</v>
      </c>
      <c r="O566" s="24">
        <v>1038</v>
      </c>
      <c r="P566" s="24">
        <v>1225</v>
      </c>
      <c r="Q566">
        <v>1053</v>
      </c>
      <c r="R566">
        <v>1259</v>
      </c>
      <c r="S566">
        <v>1417</v>
      </c>
      <c r="T566">
        <v>1634</v>
      </c>
      <c r="U566">
        <v>1496</v>
      </c>
      <c r="V566">
        <v>1910</v>
      </c>
      <c r="W566">
        <v>2502</v>
      </c>
      <c r="X566">
        <v>3147</v>
      </c>
    </row>
    <row r="567" spans="2:24" x14ac:dyDescent="0.35">
      <c r="B567" s="23" t="s">
        <v>288</v>
      </c>
      <c r="D567" t="s">
        <v>229</v>
      </c>
      <c r="E567" t="s">
        <v>230</v>
      </c>
      <c r="F567" s="46" t="s">
        <v>340</v>
      </c>
      <c r="G567" t="s">
        <v>311</v>
      </c>
      <c r="H567" s="23">
        <v>13</v>
      </c>
      <c r="I567" s="23" t="s">
        <v>312</v>
      </c>
      <c r="J567" t="s">
        <v>341</v>
      </c>
      <c r="K567">
        <v>389</v>
      </c>
      <c r="L567">
        <v>432</v>
      </c>
      <c r="M567" s="24">
        <v>390</v>
      </c>
      <c r="N567" s="24">
        <v>452</v>
      </c>
      <c r="O567" s="24">
        <v>372</v>
      </c>
      <c r="P567" s="24">
        <v>437</v>
      </c>
      <c r="Q567">
        <v>370</v>
      </c>
      <c r="R567">
        <v>440</v>
      </c>
      <c r="S567">
        <v>450</v>
      </c>
      <c r="T567">
        <v>523</v>
      </c>
      <c r="U567">
        <v>496</v>
      </c>
      <c r="V567">
        <v>609</v>
      </c>
      <c r="W567">
        <v>630</v>
      </c>
      <c r="X567">
        <v>777</v>
      </c>
    </row>
    <row r="568" spans="2:24" x14ac:dyDescent="0.35">
      <c r="B568" s="23" t="s">
        <v>292</v>
      </c>
      <c r="D568" t="s">
        <v>229</v>
      </c>
      <c r="E568" t="s">
        <v>230</v>
      </c>
      <c r="F568" s="46" t="s">
        <v>342</v>
      </c>
      <c r="G568" t="s">
        <v>311</v>
      </c>
      <c r="H568" s="23">
        <v>13</v>
      </c>
      <c r="I568" s="23" t="s">
        <v>312</v>
      </c>
      <c r="J568" t="s">
        <v>343</v>
      </c>
      <c r="K568">
        <v>2634</v>
      </c>
      <c r="L568">
        <v>3127</v>
      </c>
      <c r="M568" s="24">
        <v>2651</v>
      </c>
      <c r="N568" s="24">
        <v>3159</v>
      </c>
      <c r="O568" s="24">
        <v>2546</v>
      </c>
      <c r="P568" s="24">
        <v>3059</v>
      </c>
      <c r="Q568">
        <v>2620</v>
      </c>
      <c r="R568">
        <v>3138</v>
      </c>
      <c r="S568">
        <v>3270</v>
      </c>
      <c r="T568">
        <v>3914</v>
      </c>
      <c r="U568">
        <v>3558</v>
      </c>
      <c r="V568">
        <v>4618</v>
      </c>
      <c r="W568">
        <v>5127</v>
      </c>
      <c r="X568">
        <v>7024</v>
      </c>
    </row>
    <row r="569" spans="2:24" x14ac:dyDescent="0.35">
      <c r="B569" s="23" t="s">
        <v>296</v>
      </c>
      <c r="D569" t="s">
        <v>229</v>
      </c>
      <c r="E569" t="s">
        <v>230</v>
      </c>
      <c r="F569" s="46" t="s">
        <v>344</v>
      </c>
      <c r="G569" t="s">
        <v>311</v>
      </c>
      <c r="H569" s="23">
        <v>13</v>
      </c>
      <c r="I569" s="23" t="s">
        <v>312</v>
      </c>
      <c r="J569" t="s">
        <v>345</v>
      </c>
      <c r="K569">
        <v>1106</v>
      </c>
      <c r="L569">
        <v>1277</v>
      </c>
      <c r="M569" s="24">
        <v>1020</v>
      </c>
      <c r="N569" s="24">
        <v>1188</v>
      </c>
      <c r="O569" s="24">
        <v>1034</v>
      </c>
      <c r="P569" s="24">
        <v>1218</v>
      </c>
      <c r="Q569">
        <v>1057</v>
      </c>
      <c r="R569">
        <v>1278</v>
      </c>
      <c r="S569">
        <v>1488</v>
      </c>
      <c r="T569">
        <v>1730</v>
      </c>
      <c r="U569">
        <v>1824</v>
      </c>
      <c r="V569">
        <v>2166</v>
      </c>
      <c r="W569">
        <v>2887</v>
      </c>
      <c r="X569">
        <v>3632</v>
      </c>
    </row>
    <row r="570" spans="2:24" x14ac:dyDescent="0.35">
      <c r="B570" s="23" t="s">
        <v>298</v>
      </c>
      <c r="D570" t="s">
        <v>229</v>
      </c>
      <c r="E570" t="s">
        <v>230</v>
      </c>
      <c r="F570" s="46" t="s">
        <v>346</v>
      </c>
      <c r="G570" t="s">
        <v>311</v>
      </c>
      <c r="H570" s="23">
        <v>13</v>
      </c>
      <c r="I570" s="23" t="s">
        <v>312</v>
      </c>
      <c r="J570" t="s">
        <v>347</v>
      </c>
      <c r="K570">
        <v>1054</v>
      </c>
      <c r="L570">
        <v>1214</v>
      </c>
      <c r="M570" s="24">
        <v>1058</v>
      </c>
      <c r="N570" s="24">
        <v>1204</v>
      </c>
      <c r="O570" s="24">
        <v>997</v>
      </c>
      <c r="P570" s="24">
        <v>1131</v>
      </c>
      <c r="Q570">
        <v>1040</v>
      </c>
      <c r="R570">
        <v>1191</v>
      </c>
      <c r="S570">
        <v>1293</v>
      </c>
      <c r="T570">
        <v>1478</v>
      </c>
      <c r="U570">
        <v>1739</v>
      </c>
      <c r="V570">
        <v>2033</v>
      </c>
      <c r="W570">
        <v>3406</v>
      </c>
      <c r="X570">
        <v>3959</v>
      </c>
    </row>
    <row r="571" spans="2:24" x14ac:dyDescent="0.35">
      <c r="B571" s="23" t="s">
        <v>300</v>
      </c>
      <c r="D571" t="s">
        <v>229</v>
      </c>
      <c r="E571" t="s">
        <v>230</v>
      </c>
      <c r="F571" s="46" t="s">
        <v>348</v>
      </c>
      <c r="G571" t="s">
        <v>311</v>
      </c>
      <c r="H571" s="23">
        <v>13</v>
      </c>
      <c r="I571" s="23" t="s">
        <v>312</v>
      </c>
      <c r="J571" t="s">
        <v>349</v>
      </c>
      <c r="K571">
        <v>2389</v>
      </c>
      <c r="L571">
        <v>2755</v>
      </c>
      <c r="M571" s="24">
        <v>2348</v>
      </c>
      <c r="N571" s="24">
        <v>2717</v>
      </c>
      <c r="O571" s="24">
        <v>2336</v>
      </c>
      <c r="P571" s="24">
        <v>2681</v>
      </c>
      <c r="Q571">
        <v>2407</v>
      </c>
      <c r="R571">
        <v>2780</v>
      </c>
      <c r="S571">
        <v>2841</v>
      </c>
      <c r="T571">
        <v>3277</v>
      </c>
      <c r="U571">
        <v>3165</v>
      </c>
      <c r="V571">
        <v>3756</v>
      </c>
      <c r="W571">
        <v>4042</v>
      </c>
      <c r="X571">
        <v>5177</v>
      </c>
    </row>
    <row r="572" spans="2:24" x14ac:dyDescent="0.35">
      <c r="B572" s="23" t="s">
        <v>302</v>
      </c>
      <c r="D572" t="s">
        <v>229</v>
      </c>
      <c r="E572" t="s">
        <v>230</v>
      </c>
      <c r="F572" s="46" t="s">
        <v>296</v>
      </c>
      <c r="G572" t="s">
        <v>293</v>
      </c>
      <c r="H572" s="23">
        <v>11</v>
      </c>
      <c r="I572" s="23" t="s">
        <v>294</v>
      </c>
      <c r="J572" t="s">
        <v>297</v>
      </c>
      <c r="K572">
        <v>1965</v>
      </c>
      <c r="L572">
        <v>2400</v>
      </c>
      <c r="M572" s="24">
        <v>1949</v>
      </c>
      <c r="N572" s="24">
        <v>2385</v>
      </c>
      <c r="O572" s="24">
        <v>1938</v>
      </c>
      <c r="P572" s="24">
        <v>2381</v>
      </c>
      <c r="Q572">
        <v>2078</v>
      </c>
      <c r="R572">
        <v>2547</v>
      </c>
      <c r="S572">
        <v>2769</v>
      </c>
      <c r="T572">
        <v>3297</v>
      </c>
      <c r="U572">
        <v>3009</v>
      </c>
      <c r="V572">
        <v>3717</v>
      </c>
      <c r="W572">
        <v>3423</v>
      </c>
      <c r="X572">
        <v>4386</v>
      </c>
    </row>
    <row r="573" spans="2:24" x14ac:dyDescent="0.35">
      <c r="B573" s="23" t="s">
        <v>306</v>
      </c>
      <c r="D573" t="s">
        <v>229</v>
      </c>
      <c r="E573" t="s">
        <v>230</v>
      </c>
      <c r="F573" s="46" t="s">
        <v>350</v>
      </c>
      <c r="G573" t="s">
        <v>311</v>
      </c>
      <c r="H573" s="23">
        <v>13</v>
      </c>
      <c r="I573" s="23" t="s">
        <v>312</v>
      </c>
      <c r="J573" t="s">
        <v>351</v>
      </c>
      <c r="K573">
        <v>911</v>
      </c>
      <c r="L573">
        <v>1172</v>
      </c>
      <c r="M573" s="24">
        <v>864</v>
      </c>
      <c r="N573" s="24">
        <v>1117</v>
      </c>
      <c r="O573" s="24">
        <v>817</v>
      </c>
      <c r="P573" s="24">
        <v>1078</v>
      </c>
      <c r="Q573">
        <v>824</v>
      </c>
      <c r="R573">
        <v>1113</v>
      </c>
      <c r="S573">
        <v>1159</v>
      </c>
      <c r="T573">
        <v>1461</v>
      </c>
      <c r="U573">
        <v>1293</v>
      </c>
      <c r="V573">
        <v>1698</v>
      </c>
      <c r="W573">
        <v>1953</v>
      </c>
      <c r="X573">
        <v>2779</v>
      </c>
    </row>
    <row r="574" spans="2:24" x14ac:dyDescent="0.35">
      <c r="B574" s="23" t="s">
        <v>308</v>
      </c>
      <c r="D574" t="s">
        <v>229</v>
      </c>
      <c r="E574" t="s">
        <v>230</v>
      </c>
      <c r="F574" s="46" t="s">
        <v>278</v>
      </c>
      <c r="G574" t="s">
        <v>279</v>
      </c>
      <c r="H574" s="23">
        <v>8</v>
      </c>
      <c r="I574" s="23" t="s">
        <v>280</v>
      </c>
      <c r="J574" t="s">
        <v>281</v>
      </c>
      <c r="K574">
        <v>3617</v>
      </c>
      <c r="L574">
        <v>4127</v>
      </c>
      <c r="M574" s="24">
        <v>3474</v>
      </c>
      <c r="N574" s="24">
        <v>4026</v>
      </c>
      <c r="O574" s="24">
        <v>3415</v>
      </c>
      <c r="P574" s="24">
        <v>3932</v>
      </c>
      <c r="Q574">
        <v>3617</v>
      </c>
      <c r="R574">
        <v>4183</v>
      </c>
      <c r="S574">
        <v>4338</v>
      </c>
      <c r="T574">
        <v>5042</v>
      </c>
      <c r="U574">
        <v>4590</v>
      </c>
      <c r="V574">
        <v>5979</v>
      </c>
      <c r="W574">
        <v>6638</v>
      </c>
      <c r="X574">
        <v>8812</v>
      </c>
    </row>
    <row r="575" spans="2:24" x14ac:dyDescent="0.35">
      <c r="B575" s="23" t="s">
        <v>310</v>
      </c>
      <c r="D575" t="s">
        <v>229</v>
      </c>
      <c r="E575" t="s">
        <v>230</v>
      </c>
      <c r="F575" s="46" t="s">
        <v>352</v>
      </c>
      <c r="G575" t="s">
        <v>311</v>
      </c>
      <c r="H575" s="23">
        <v>13</v>
      </c>
      <c r="I575" s="23" t="s">
        <v>312</v>
      </c>
      <c r="J575" t="s">
        <v>353</v>
      </c>
      <c r="K575">
        <v>398</v>
      </c>
      <c r="L575">
        <v>463</v>
      </c>
      <c r="M575" s="24">
        <v>378</v>
      </c>
      <c r="N575" s="24">
        <v>447</v>
      </c>
      <c r="O575" s="24">
        <v>384</v>
      </c>
      <c r="P575" s="24">
        <v>457</v>
      </c>
      <c r="Q575">
        <v>383</v>
      </c>
      <c r="R575">
        <v>448</v>
      </c>
      <c r="S575">
        <v>447</v>
      </c>
      <c r="T575">
        <v>541</v>
      </c>
      <c r="U575">
        <v>531</v>
      </c>
      <c r="V575">
        <v>668</v>
      </c>
      <c r="W575">
        <v>775</v>
      </c>
      <c r="X575">
        <v>974</v>
      </c>
    </row>
    <row r="576" spans="2:24" x14ac:dyDescent="0.35">
      <c r="B576" s="23" t="s">
        <v>314</v>
      </c>
      <c r="D576" t="s">
        <v>229</v>
      </c>
      <c r="E576" t="s">
        <v>230</v>
      </c>
      <c r="F576" s="46" t="s">
        <v>354</v>
      </c>
      <c r="G576" t="s">
        <v>311</v>
      </c>
      <c r="H576" s="23">
        <v>13</v>
      </c>
      <c r="I576" s="23" t="s">
        <v>312</v>
      </c>
      <c r="J576" t="s">
        <v>355</v>
      </c>
      <c r="K576">
        <v>794</v>
      </c>
      <c r="L576">
        <v>933</v>
      </c>
      <c r="M576" s="24">
        <v>718</v>
      </c>
      <c r="N576" s="24">
        <v>859</v>
      </c>
      <c r="O576" s="24">
        <v>726</v>
      </c>
      <c r="P576" s="24">
        <v>825</v>
      </c>
      <c r="Q576">
        <v>776</v>
      </c>
      <c r="R576">
        <v>880</v>
      </c>
      <c r="S576">
        <v>961</v>
      </c>
      <c r="T576">
        <v>1103</v>
      </c>
      <c r="U576">
        <v>1036</v>
      </c>
      <c r="V576">
        <v>1224</v>
      </c>
      <c r="W576">
        <v>1510</v>
      </c>
      <c r="X576">
        <v>1930</v>
      </c>
    </row>
    <row r="577" spans="2:24" x14ac:dyDescent="0.35">
      <c r="B577" s="23" t="s">
        <v>316</v>
      </c>
      <c r="D577" t="s">
        <v>229</v>
      </c>
      <c r="E577" t="s">
        <v>230</v>
      </c>
      <c r="F577" s="46" t="s">
        <v>264</v>
      </c>
      <c r="G577" t="s">
        <v>265</v>
      </c>
      <c r="H577" s="23">
        <v>6</v>
      </c>
      <c r="I577" s="23" t="s">
        <v>266</v>
      </c>
      <c r="J577" t="s">
        <v>267</v>
      </c>
      <c r="K577">
        <v>705</v>
      </c>
      <c r="L577">
        <v>794</v>
      </c>
      <c r="M577" s="24">
        <v>712</v>
      </c>
      <c r="N577" s="24">
        <v>823</v>
      </c>
      <c r="O577" s="24">
        <v>685</v>
      </c>
      <c r="P577" s="24">
        <v>804</v>
      </c>
      <c r="Q577">
        <v>735</v>
      </c>
      <c r="R577">
        <v>863</v>
      </c>
      <c r="S577">
        <v>1014</v>
      </c>
      <c r="T577">
        <v>1172</v>
      </c>
      <c r="U577">
        <v>1135</v>
      </c>
      <c r="V577">
        <v>1751</v>
      </c>
      <c r="W577">
        <v>1941</v>
      </c>
      <c r="X577">
        <v>3060</v>
      </c>
    </row>
    <row r="578" spans="2:24" x14ac:dyDescent="0.35">
      <c r="B578" s="23" t="s">
        <v>318</v>
      </c>
      <c r="D578" t="s">
        <v>229</v>
      </c>
      <c r="E578" t="s">
        <v>230</v>
      </c>
      <c r="F578" s="46" t="s">
        <v>302</v>
      </c>
      <c r="G578" t="s">
        <v>303</v>
      </c>
      <c r="H578" s="23">
        <v>12</v>
      </c>
      <c r="I578" s="23" t="s">
        <v>304</v>
      </c>
      <c r="J578" t="s">
        <v>305</v>
      </c>
      <c r="K578">
        <v>228</v>
      </c>
      <c r="L578">
        <v>260</v>
      </c>
      <c r="M578" s="24">
        <v>227</v>
      </c>
      <c r="N578" s="24">
        <v>255</v>
      </c>
      <c r="O578" s="24">
        <v>202</v>
      </c>
      <c r="P578" s="24">
        <v>223</v>
      </c>
      <c r="Q578">
        <v>199</v>
      </c>
      <c r="R578">
        <v>226</v>
      </c>
      <c r="S578">
        <v>256</v>
      </c>
      <c r="T578">
        <v>293</v>
      </c>
      <c r="U578">
        <v>272</v>
      </c>
      <c r="V578">
        <v>321</v>
      </c>
      <c r="W578">
        <v>559</v>
      </c>
      <c r="X578">
        <v>663</v>
      </c>
    </row>
    <row r="579" spans="2:24" x14ac:dyDescent="0.35">
      <c r="B579" s="23" t="s">
        <v>320</v>
      </c>
      <c r="D579" t="s">
        <v>229</v>
      </c>
      <c r="E579" t="s">
        <v>230</v>
      </c>
      <c r="F579" s="46" t="s">
        <v>306</v>
      </c>
      <c r="G579" t="s">
        <v>303</v>
      </c>
      <c r="H579" s="23">
        <v>12</v>
      </c>
      <c r="I579" s="23" t="s">
        <v>304</v>
      </c>
      <c r="J579" t="s">
        <v>307</v>
      </c>
      <c r="K579">
        <v>392</v>
      </c>
      <c r="L579">
        <v>461</v>
      </c>
      <c r="M579" s="24">
        <v>366</v>
      </c>
      <c r="N579" s="24">
        <v>420</v>
      </c>
      <c r="O579" s="24">
        <v>391</v>
      </c>
      <c r="P579" s="24">
        <v>442</v>
      </c>
      <c r="Q579">
        <v>411</v>
      </c>
      <c r="R579">
        <v>483</v>
      </c>
      <c r="S579">
        <v>545</v>
      </c>
      <c r="T579">
        <v>620</v>
      </c>
      <c r="U579">
        <v>622</v>
      </c>
      <c r="V579">
        <v>736</v>
      </c>
      <c r="W579">
        <v>1021</v>
      </c>
      <c r="X579">
        <v>1280</v>
      </c>
    </row>
    <row r="580" spans="2:24" x14ac:dyDescent="0.35">
      <c r="B580" s="23" t="s">
        <v>322</v>
      </c>
      <c r="D580" t="s">
        <v>229</v>
      </c>
      <c r="E580" t="s">
        <v>230</v>
      </c>
      <c r="F580" s="46" t="s">
        <v>268</v>
      </c>
      <c r="G580" t="s">
        <v>265</v>
      </c>
      <c r="H580" s="23">
        <v>6</v>
      </c>
      <c r="I580" s="23" t="s">
        <v>266</v>
      </c>
      <c r="J580" t="s">
        <v>269</v>
      </c>
      <c r="K580">
        <v>503</v>
      </c>
      <c r="L580">
        <v>596</v>
      </c>
      <c r="M580" s="24">
        <v>506</v>
      </c>
      <c r="N580" s="24">
        <v>615</v>
      </c>
      <c r="O580" s="24">
        <v>508</v>
      </c>
      <c r="P580" s="24">
        <v>605</v>
      </c>
      <c r="Q580">
        <v>512</v>
      </c>
      <c r="R580">
        <v>601</v>
      </c>
      <c r="S580">
        <v>682</v>
      </c>
      <c r="T580">
        <v>824</v>
      </c>
      <c r="U580">
        <v>672</v>
      </c>
      <c r="V580">
        <v>995</v>
      </c>
      <c r="W580">
        <v>1004</v>
      </c>
      <c r="X580">
        <v>1461</v>
      </c>
    </row>
    <row r="581" spans="2:24" x14ac:dyDescent="0.35">
      <c r="B581" s="23" t="s">
        <v>324</v>
      </c>
      <c r="D581" t="s">
        <v>229</v>
      </c>
      <c r="E581" t="s">
        <v>230</v>
      </c>
      <c r="F581" s="46" t="s">
        <v>270</v>
      </c>
      <c r="G581" t="s">
        <v>265</v>
      </c>
      <c r="H581" s="23">
        <v>6</v>
      </c>
      <c r="I581" s="23" t="s">
        <v>266</v>
      </c>
      <c r="J581" t="s">
        <v>271</v>
      </c>
      <c r="K581">
        <v>3024</v>
      </c>
      <c r="L581">
        <v>3628</v>
      </c>
      <c r="M581" s="24">
        <v>3000</v>
      </c>
      <c r="N581" s="24">
        <v>3642</v>
      </c>
      <c r="O581" s="24">
        <v>2919</v>
      </c>
      <c r="P581" s="24">
        <v>3561</v>
      </c>
      <c r="Q581">
        <v>3050</v>
      </c>
      <c r="R581">
        <v>3711</v>
      </c>
      <c r="S581">
        <v>4185</v>
      </c>
      <c r="T581">
        <v>5027</v>
      </c>
      <c r="U581">
        <v>4279</v>
      </c>
      <c r="V581">
        <v>5983</v>
      </c>
      <c r="W581">
        <v>6175</v>
      </c>
      <c r="X581">
        <v>8890</v>
      </c>
    </row>
    <row r="582" spans="2:24" x14ac:dyDescent="0.35">
      <c r="B582" s="23" t="s">
        <v>326</v>
      </c>
      <c r="D582" t="s">
        <v>229</v>
      </c>
      <c r="E582" t="s">
        <v>230</v>
      </c>
      <c r="F582" s="46" t="s">
        <v>356</v>
      </c>
      <c r="G582" t="s">
        <v>311</v>
      </c>
      <c r="H582" s="23">
        <v>13</v>
      </c>
      <c r="I582" s="23" t="s">
        <v>312</v>
      </c>
      <c r="J582" t="s">
        <v>357</v>
      </c>
      <c r="K582">
        <v>1523</v>
      </c>
      <c r="L582">
        <v>1831</v>
      </c>
      <c r="M582" s="24">
        <v>1476</v>
      </c>
      <c r="N582" s="24">
        <v>1758</v>
      </c>
      <c r="O582" s="24">
        <v>1428</v>
      </c>
      <c r="P582" s="24">
        <v>1725</v>
      </c>
      <c r="Q582">
        <v>1462</v>
      </c>
      <c r="R582">
        <v>1766</v>
      </c>
      <c r="S582">
        <v>1901</v>
      </c>
      <c r="T582">
        <v>2261</v>
      </c>
      <c r="U582">
        <v>2018</v>
      </c>
      <c r="V582">
        <v>2560</v>
      </c>
      <c r="W582">
        <v>2795</v>
      </c>
      <c r="X582">
        <v>3639</v>
      </c>
    </row>
    <row r="583" spans="2:24" x14ac:dyDescent="0.35">
      <c r="B583" s="23" t="s">
        <v>328</v>
      </c>
      <c r="D583" t="s">
        <v>229</v>
      </c>
      <c r="E583" t="s">
        <v>230</v>
      </c>
      <c r="F583" s="46" t="s">
        <v>246</v>
      </c>
      <c r="G583" t="s">
        <v>239</v>
      </c>
      <c r="H583" s="23">
        <v>3</v>
      </c>
      <c r="I583" s="23" t="s">
        <v>240</v>
      </c>
      <c r="J583" t="s">
        <v>247</v>
      </c>
      <c r="K583">
        <v>16942</v>
      </c>
      <c r="L583">
        <v>21799</v>
      </c>
      <c r="M583" s="24">
        <v>15230</v>
      </c>
      <c r="N583" s="24">
        <v>20070</v>
      </c>
      <c r="O583" s="24">
        <v>13944</v>
      </c>
      <c r="P583" s="24">
        <v>18879</v>
      </c>
      <c r="Q583">
        <v>14917</v>
      </c>
      <c r="R583">
        <v>20036</v>
      </c>
      <c r="S583">
        <v>19655</v>
      </c>
      <c r="T583">
        <v>26662</v>
      </c>
      <c r="U583">
        <v>19517</v>
      </c>
      <c r="V583">
        <v>30706</v>
      </c>
      <c r="W583">
        <v>38517</v>
      </c>
      <c r="X583">
        <v>51954</v>
      </c>
    </row>
    <row r="584" spans="2:24" x14ac:dyDescent="0.35">
      <c r="B584" s="23" t="s">
        <v>330</v>
      </c>
      <c r="D584" t="s">
        <v>229</v>
      </c>
      <c r="E584" t="s">
        <v>230</v>
      </c>
      <c r="F584" s="46" t="s">
        <v>358</v>
      </c>
      <c r="G584" t="s">
        <v>311</v>
      </c>
      <c r="H584" s="23">
        <v>13</v>
      </c>
      <c r="I584" s="23" t="s">
        <v>312</v>
      </c>
      <c r="J584" t="s">
        <v>359</v>
      </c>
      <c r="K584">
        <v>359</v>
      </c>
      <c r="L584">
        <v>411</v>
      </c>
      <c r="M584" s="24">
        <v>365</v>
      </c>
      <c r="N584" s="24">
        <v>425</v>
      </c>
      <c r="O584" s="24">
        <v>366</v>
      </c>
      <c r="P584" s="24">
        <v>421</v>
      </c>
      <c r="Q584">
        <v>359</v>
      </c>
      <c r="R584">
        <v>420</v>
      </c>
      <c r="S584">
        <v>483</v>
      </c>
      <c r="T584">
        <v>540</v>
      </c>
      <c r="U584">
        <v>583</v>
      </c>
      <c r="V584">
        <v>666</v>
      </c>
      <c r="W584">
        <v>668</v>
      </c>
      <c r="X584">
        <v>783</v>
      </c>
    </row>
    <row r="585" spans="2:24" x14ac:dyDescent="0.35">
      <c r="B585" s="23" t="s">
        <v>332</v>
      </c>
      <c r="D585" t="s">
        <v>229</v>
      </c>
      <c r="E585" t="s">
        <v>230</v>
      </c>
      <c r="F585" s="46" t="s">
        <v>276</v>
      </c>
      <c r="G585" t="s">
        <v>273</v>
      </c>
      <c r="H585" s="23">
        <v>7</v>
      </c>
      <c r="I585" s="23" t="s">
        <v>274</v>
      </c>
      <c r="J585" t="s">
        <v>277</v>
      </c>
      <c r="K585">
        <v>3041</v>
      </c>
      <c r="L585">
        <v>3696</v>
      </c>
      <c r="M585" s="24">
        <v>2943</v>
      </c>
      <c r="N585" s="24">
        <v>3554</v>
      </c>
      <c r="O585" s="24">
        <v>2878</v>
      </c>
      <c r="P585" s="24">
        <v>3435</v>
      </c>
      <c r="Q585">
        <v>2933</v>
      </c>
      <c r="R585">
        <v>3540</v>
      </c>
      <c r="S585">
        <v>3726</v>
      </c>
      <c r="T585">
        <v>4473</v>
      </c>
      <c r="U585">
        <v>3899</v>
      </c>
      <c r="V585">
        <v>5104</v>
      </c>
      <c r="W585">
        <v>5127</v>
      </c>
      <c r="X585">
        <v>7122</v>
      </c>
    </row>
    <row r="586" spans="2:24" x14ac:dyDescent="0.35">
      <c r="B586" s="23" t="s">
        <v>334</v>
      </c>
      <c r="D586" t="s">
        <v>229</v>
      </c>
      <c r="E586" t="s">
        <v>230</v>
      </c>
      <c r="F586" s="46" t="s">
        <v>258</v>
      </c>
      <c r="G586" t="s">
        <v>259</v>
      </c>
      <c r="H586" s="23">
        <v>5</v>
      </c>
      <c r="I586" s="23" t="s">
        <v>260</v>
      </c>
      <c r="J586" t="s">
        <v>261</v>
      </c>
      <c r="K586">
        <v>1118</v>
      </c>
      <c r="L586">
        <v>1323</v>
      </c>
      <c r="M586" s="24">
        <v>1082</v>
      </c>
      <c r="N586" s="24">
        <v>1260</v>
      </c>
      <c r="O586" s="24">
        <v>1022</v>
      </c>
      <c r="P586" s="24">
        <v>1211</v>
      </c>
      <c r="Q586">
        <v>992</v>
      </c>
      <c r="R586">
        <v>1207</v>
      </c>
      <c r="S586">
        <v>1198</v>
      </c>
      <c r="T586">
        <v>1433</v>
      </c>
      <c r="U586">
        <v>1332</v>
      </c>
      <c r="V586">
        <v>1769</v>
      </c>
      <c r="W586">
        <v>2121</v>
      </c>
      <c r="X586">
        <v>2800</v>
      </c>
    </row>
    <row r="587" spans="2:24" x14ac:dyDescent="0.35">
      <c r="B587" s="23" t="s">
        <v>336</v>
      </c>
      <c r="D587" t="s">
        <v>229</v>
      </c>
      <c r="E587" t="s">
        <v>230</v>
      </c>
      <c r="F587" s="46" t="s">
        <v>234</v>
      </c>
      <c r="G587" t="s">
        <v>235</v>
      </c>
      <c r="H587" s="23">
        <v>2</v>
      </c>
      <c r="I587" s="23" t="s">
        <v>236</v>
      </c>
      <c r="J587" t="s">
        <v>237</v>
      </c>
      <c r="K587">
        <v>4049</v>
      </c>
      <c r="L587">
        <v>4998</v>
      </c>
      <c r="M587" s="24">
        <v>4108</v>
      </c>
      <c r="N587" s="24">
        <v>5051</v>
      </c>
      <c r="O587" s="24">
        <v>4009</v>
      </c>
      <c r="P587" s="24">
        <v>4929</v>
      </c>
      <c r="Q587">
        <v>4321</v>
      </c>
      <c r="R587">
        <v>5318</v>
      </c>
      <c r="S587">
        <v>5630</v>
      </c>
      <c r="T587">
        <v>6844</v>
      </c>
      <c r="U587">
        <v>6016</v>
      </c>
      <c r="V587">
        <v>8052</v>
      </c>
      <c r="W587">
        <v>7873</v>
      </c>
      <c r="X587">
        <v>11416</v>
      </c>
    </row>
    <row r="588" spans="2:24" x14ac:dyDescent="0.35">
      <c r="B588" s="23" t="s">
        <v>338</v>
      </c>
      <c r="D588" t="s">
        <v>229</v>
      </c>
      <c r="E588" t="s">
        <v>230</v>
      </c>
      <c r="F588" s="46" t="s">
        <v>282</v>
      </c>
      <c r="G588" t="s">
        <v>283</v>
      </c>
      <c r="H588" s="23">
        <v>9</v>
      </c>
      <c r="I588" s="23" t="s">
        <v>284</v>
      </c>
      <c r="J588" t="s">
        <v>285</v>
      </c>
      <c r="K588">
        <v>2308</v>
      </c>
      <c r="L588">
        <v>2840</v>
      </c>
      <c r="M588" s="24">
        <v>2341</v>
      </c>
      <c r="N588" s="24">
        <v>2920</v>
      </c>
      <c r="O588" s="24">
        <v>2336</v>
      </c>
      <c r="P588" s="24">
        <v>2831</v>
      </c>
      <c r="Q588">
        <v>2522</v>
      </c>
      <c r="R588">
        <v>3097</v>
      </c>
      <c r="S588">
        <v>3336</v>
      </c>
      <c r="T588">
        <v>4059</v>
      </c>
      <c r="U588">
        <v>3504</v>
      </c>
      <c r="V588">
        <v>5048</v>
      </c>
      <c r="W588">
        <v>3732</v>
      </c>
      <c r="X588">
        <v>7078</v>
      </c>
    </row>
    <row r="589" spans="2:24" x14ac:dyDescent="0.35">
      <c r="B589" s="23" t="s">
        <v>340</v>
      </c>
      <c r="D589" t="s">
        <v>229</v>
      </c>
      <c r="E589" t="s">
        <v>230</v>
      </c>
      <c r="F589" s="46" t="s">
        <v>298</v>
      </c>
      <c r="G589" t="s">
        <v>293</v>
      </c>
      <c r="H589" s="23">
        <v>11</v>
      </c>
      <c r="I589" s="23" t="s">
        <v>294</v>
      </c>
      <c r="J589" t="s">
        <v>299</v>
      </c>
      <c r="K589">
        <v>287</v>
      </c>
      <c r="L589">
        <v>330</v>
      </c>
      <c r="M589" s="24">
        <v>281</v>
      </c>
      <c r="N589" s="24">
        <v>321</v>
      </c>
      <c r="O589" s="24">
        <v>266</v>
      </c>
      <c r="P589" s="24">
        <v>307</v>
      </c>
      <c r="Q589">
        <v>276</v>
      </c>
      <c r="R589">
        <v>334</v>
      </c>
      <c r="S589">
        <v>378</v>
      </c>
      <c r="T589">
        <v>439</v>
      </c>
      <c r="U589">
        <v>414</v>
      </c>
      <c r="V589">
        <v>517</v>
      </c>
      <c r="W589">
        <v>848</v>
      </c>
      <c r="X589">
        <v>1063</v>
      </c>
    </row>
    <row r="590" spans="2:24" x14ac:dyDescent="0.35">
      <c r="B590" s="23" t="s">
        <v>342</v>
      </c>
      <c r="D590" t="s">
        <v>229</v>
      </c>
      <c r="E590" t="s">
        <v>230</v>
      </c>
      <c r="F590" s="46" t="s">
        <v>360</v>
      </c>
      <c r="G590" t="s">
        <v>311</v>
      </c>
      <c r="H590" s="23">
        <v>13</v>
      </c>
      <c r="I590" s="23" t="s">
        <v>312</v>
      </c>
      <c r="J590" t="s">
        <v>361</v>
      </c>
      <c r="K590">
        <v>462</v>
      </c>
      <c r="L590">
        <v>526</v>
      </c>
      <c r="M590" s="24">
        <v>452</v>
      </c>
      <c r="N590" s="24">
        <v>519</v>
      </c>
      <c r="O590" s="24">
        <v>420</v>
      </c>
      <c r="P590" s="24">
        <v>479</v>
      </c>
      <c r="Q590">
        <v>424</v>
      </c>
      <c r="R590">
        <v>500</v>
      </c>
      <c r="S590">
        <v>605</v>
      </c>
      <c r="T590">
        <v>697</v>
      </c>
      <c r="U590">
        <v>667</v>
      </c>
      <c r="V590">
        <v>772</v>
      </c>
      <c r="W590">
        <v>1275</v>
      </c>
      <c r="X590">
        <v>1550</v>
      </c>
    </row>
    <row r="591" spans="2:24" x14ac:dyDescent="0.35">
      <c r="B591" s="23" t="s">
        <v>344</v>
      </c>
      <c r="D591" t="s">
        <v>229</v>
      </c>
      <c r="E591" t="s">
        <v>230</v>
      </c>
      <c r="F591" s="46" t="s">
        <v>286</v>
      </c>
      <c r="G591" t="s">
        <v>283</v>
      </c>
      <c r="H591" s="23">
        <v>9</v>
      </c>
      <c r="I591" s="23" t="s">
        <v>284</v>
      </c>
      <c r="J591" t="s">
        <v>287</v>
      </c>
      <c r="K591">
        <v>11367</v>
      </c>
      <c r="L591">
        <v>14152</v>
      </c>
      <c r="M591" s="24">
        <v>11398</v>
      </c>
      <c r="N591" s="24">
        <v>14195</v>
      </c>
      <c r="O591" s="24">
        <v>11035</v>
      </c>
      <c r="P591" s="24">
        <v>13668</v>
      </c>
      <c r="Q591">
        <v>11462</v>
      </c>
      <c r="R591">
        <v>14418</v>
      </c>
      <c r="S591">
        <v>14614</v>
      </c>
      <c r="T591">
        <v>18060</v>
      </c>
      <c r="U591">
        <v>14691</v>
      </c>
      <c r="V591">
        <v>20976</v>
      </c>
      <c r="W591">
        <v>15101</v>
      </c>
      <c r="X591">
        <v>28106</v>
      </c>
    </row>
    <row r="592" spans="2:24" x14ac:dyDescent="0.35">
      <c r="B592" s="23" t="s">
        <v>346</v>
      </c>
      <c r="D592" t="s">
        <v>229</v>
      </c>
      <c r="E592" t="s">
        <v>230</v>
      </c>
      <c r="F592" s="46" t="s">
        <v>362</v>
      </c>
      <c r="G592" t="s">
        <v>311</v>
      </c>
      <c r="H592" s="23">
        <v>13</v>
      </c>
      <c r="I592" s="23" t="s">
        <v>312</v>
      </c>
      <c r="J592" t="s">
        <v>363</v>
      </c>
      <c r="K592">
        <v>590</v>
      </c>
      <c r="L592">
        <v>686</v>
      </c>
      <c r="M592" s="24">
        <v>545</v>
      </c>
      <c r="N592" s="24">
        <v>639</v>
      </c>
      <c r="O592" s="24">
        <v>509</v>
      </c>
      <c r="P592" s="24">
        <v>595</v>
      </c>
      <c r="Q592">
        <v>496</v>
      </c>
      <c r="R592">
        <v>577</v>
      </c>
      <c r="S592">
        <v>626</v>
      </c>
      <c r="T592">
        <v>731</v>
      </c>
      <c r="U592">
        <v>696</v>
      </c>
      <c r="V592">
        <v>854</v>
      </c>
      <c r="W592">
        <v>1081</v>
      </c>
      <c r="X592">
        <v>1361</v>
      </c>
    </row>
    <row r="593" spans="2:24" x14ac:dyDescent="0.35">
      <c r="B593" s="23" t="s">
        <v>348</v>
      </c>
      <c r="D593" t="s">
        <v>229</v>
      </c>
      <c r="E593" t="s">
        <v>230</v>
      </c>
      <c r="F593" s="46" t="s">
        <v>364</v>
      </c>
      <c r="G593" t="s">
        <v>311</v>
      </c>
      <c r="H593" s="23">
        <v>13</v>
      </c>
      <c r="I593" s="23" t="s">
        <v>312</v>
      </c>
      <c r="J593" t="s">
        <v>365</v>
      </c>
      <c r="K593">
        <v>828</v>
      </c>
      <c r="L593">
        <v>957</v>
      </c>
      <c r="M593" s="24">
        <v>766</v>
      </c>
      <c r="N593" s="24">
        <v>902</v>
      </c>
      <c r="O593" s="24">
        <v>795</v>
      </c>
      <c r="P593" s="24">
        <v>939</v>
      </c>
      <c r="Q593">
        <v>798</v>
      </c>
      <c r="R593">
        <v>953</v>
      </c>
      <c r="S593">
        <v>1012</v>
      </c>
      <c r="T593">
        <v>1154</v>
      </c>
      <c r="U593">
        <v>1198</v>
      </c>
      <c r="V593">
        <v>1467</v>
      </c>
      <c r="W593">
        <v>2125</v>
      </c>
      <c r="X593">
        <v>2734</v>
      </c>
    </row>
    <row r="594" spans="2:24" x14ac:dyDescent="0.35">
      <c r="B594" s="23" t="s">
        <v>350</v>
      </c>
      <c r="D594" t="s">
        <v>229</v>
      </c>
      <c r="E594" t="s">
        <v>230</v>
      </c>
      <c r="F594" s="46" t="s">
        <v>366</v>
      </c>
      <c r="G594" t="s">
        <v>311</v>
      </c>
      <c r="H594" s="23">
        <v>13</v>
      </c>
      <c r="I594" s="23" t="s">
        <v>312</v>
      </c>
      <c r="J594" t="s">
        <v>367</v>
      </c>
      <c r="K594">
        <v>2890</v>
      </c>
      <c r="L594">
        <v>3428</v>
      </c>
      <c r="M594" s="24">
        <v>2908</v>
      </c>
      <c r="N594" s="24">
        <v>3480</v>
      </c>
      <c r="O594" s="24">
        <v>2911</v>
      </c>
      <c r="P594" s="24">
        <v>3460</v>
      </c>
      <c r="Q594">
        <v>2901</v>
      </c>
      <c r="R594">
        <v>3512</v>
      </c>
      <c r="S594">
        <v>3701</v>
      </c>
      <c r="T594">
        <v>4425</v>
      </c>
      <c r="U594">
        <v>3915</v>
      </c>
      <c r="V594">
        <v>4856</v>
      </c>
      <c r="W594">
        <v>5155</v>
      </c>
      <c r="X594">
        <v>6813</v>
      </c>
    </row>
    <row r="595" spans="2:24" x14ac:dyDescent="0.35">
      <c r="B595" s="23" t="s">
        <v>352</v>
      </c>
      <c r="D595" t="s">
        <v>229</v>
      </c>
      <c r="E595" t="s">
        <v>230</v>
      </c>
      <c r="F595" s="46" t="s">
        <v>288</v>
      </c>
      <c r="G595" t="s">
        <v>289</v>
      </c>
      <c r="H595" s="23">
        <v>10</v>
      </c>
      <c r="I595" s="23" t="s">
        <v>290</v>
      </c>
      <c r="J595" t="s">
        <v>291</v>
      </c>
      <c r="K595">
        <v>14278</v>
      </c>
      <c r="L595">
        <v>16813</v>
      </c>
      <c r="M595" s="24">
        <v>14277</v>
      </c>
      <c r="N595" s="24">
        <v>16833</v>
      </c>
      <c r="O595" s="24">
        <v>14195</v>
      </c>
      <c r="P595" s="24">
        <v>16676</v>
      </c>
      <c r="Q595">
        <v>15137</v>
      </c>
      <c r="R595">
        <v>17855</v>
      </c>
      <c r="S595">
        <v>20110</v>
      </c>
      <c r="T595">
        <v>23642</v>
      </c>
      <c r="U595">
        <v>23621</v>
      </c>
      <c r="V595">
        <v>30185</v>
      </c>
      <c r="W595">
        <v>35142</v>
      </c>
      <c r="X595">
        <v>44676</v>
      </c>
    </row>
    <row r="596" spans="2:24" x14ac:dyDescent="0.35">
      <c r="B596" s="23" t="s">
        <v>354</v>
      </c>
      <c r="D596" t="s">
        <v>229</v>
      </c>
      <c r="E596" t="s">
        <v>230</v>
      </c>
      <c r="F596" s="46" t="s">
        <v>368</v>
      </c>
      <c r="G596" t="s">
        <v>311</v>
      </c>
      <c r="H596" s="23">
        <v>13</v>
      </c>
      <c r="I596" s="23" t="s">
        <v>312</v>
      </c>
      <c r="J596" t="s">
        <v>369</v>
      </c>
      <c r="K596">
        <v>715</v>
      </c>
      <c r="L596">
        <v>815</v>
      </c>
      <c r="M596" s="24">
        <v>648</v>
      </c>
      <c r="N596" s="24">
        <v>765</v>
      </c>
      <c r="O596" s="24">
        <v>650</v>
      </c>
      <c r="P596" s="24">
        <v>750</v>
      </c>
      <c r="Q596">
        <v>713</v>
      </c>
      <c r="R596">
        <v>817</v>
      </c>
      <c r="S596">
        <v>917</v>
      </c>
      <c r="T596">
        <v>1043</v>
      </c>
      <c r="U596">
        <v>1004</v>
      </c>
      <c r="V596">
        <v>1217</v>
      </c>
      <c r="W596">
        <v>1130</v>
      </c>
      <c r="X596">
        <v>1366</v>
      </c>
    </row>
    <row r="597" spans="2:24" x14ac:dyDescent="0.35">
      <c r="B597" s="23" t="s">
        <v>356</v>
      </c>
      <c r="D597" t="s">
        <v>229</v>
      </c>
      <c r="E597" t="s">
        <v>230</v>
      </c>
      <c r="F597" s="46" t="s">
        <v>300</v>
      </c>
      <c r="G597" t="s">
        <v>293</v>
      </c>
      <c r="H597" s="23">
        <v>11</v>
      </c>
      <c r="I597" s="23" t="s">
        <v>294</v>
      </c>
      <c r="J597" t="s">
        <v>301</v>
      </c>
      <c r="K597">
        <v>5885</v>
      </c>
      <c r="L597">
        <v>7095</v>
      </c>
      <c r="M597" s="24">
        <v>5719</v>
      </c>
      <c r="N597" s="24">
        <v>6987</v>
      </c>
      <c r="O597" s="24">
        <v>5651</v>
      </c>
      <c r="P597" s="24">
        <v>6771</v>
      </c>
      <c r="Q597">
        <v>5995</v>
      </c>
      <c r="R597">
        <v>7227</v>
      </c>
      <c r="S597">
        <v>8280</v>
      </c>
      <c r="T597">
        <v>9708</v>
      </c>
      <c r="U597">
        <v>8854</v>
      </c>
      <c r="V597">
        <v>10725</v>
      </c>
      <c r="W597">
        <v>10668</v>
      </c>
      <c r="X597">
        <v>13177</v>
      </c>
    </row>
    <row r="598" spans="2:24" x14ac:dyDescent="0.35">
      <c r="B598" s="23" t="s">
        <v>358</v>
      </c>
      <c r="D598" t="s">
        <v>229</v>
      </c>
      <c r="E598" t="s">
        <v>230</v>
      </c>
      <c r="F598" s="46" t="s">
        <v>262</v>
      </c>
      <c r="G598" t="s">
        <v>259</v>
      </c>
      <c r="H598" s="23">
        <v>5</v>
      </c>
      <c r="I598" s="23" t="s">
        <v>260</v>
      </c>
      <c r="J598" t="s">
        <v>263</v>
      </c>
      <c r="K598">
        <v>3935</v>
      </c>
      <c r="L598">
        <v>4686</v>
      </c>
      <c r="M598" s="24">
        <v>3711</v>
      </c>
      <c r="N598" s="24">
        <v>4470</v>
      </c>
      <c r="O598" s="24">
        <v>3527</v>
      </c>
      <c r="P598" s="24">
        <v>4233</v>
      </c>
      <c r="Q598">
        <v>3534</v>
      </c>
      <c r="R598">
        <v>4286</v>
      </c>
      <c r="S598">
        <v>4596</v>
      </c>
      <c r="T598">
        <v>5451</v>
      </c>
      <c r="U598">
        <v>4829</v>
      </c>
      <c r="V598">
        <v>6311</v>
      </c>
      <c r="W598">
        <v>6708</v>
      </c>
      <c r="X598">
        <v>9011</v>
      </c>
    </row>
    <row r="599" spans="2:24" x14ac:dyDescent="0.35">
      <c r="B599" s="23" t="s">
        <v>360</v>
      </c>
      <c r="D599" t="s">
        <v>229</v>
      </c>
      <c r="E599" t="s">
        <v>230</v>
      </c>
      <c r="F599" s="46" t="s">
        <v>370</v>
      </c>
      <c r="G599" t="s">
        <v>311</v>
      </c>
      <c r="H599" s="23">
        <v>13</v>
      </c>
      <c r="I599" s="23" t="s">
        <v>312</v>
      </c>
      <c r="J599" t="s">
        <v>371</v>
      </c>
      <c r="K599">
        <v>223</v>
      </c>
      <c r="L599">
        <v>249</v>
      </c>
      <c r="M599" s="24">
        <v>192</v>
      </c>
      <c r="N599" s="24">
        <v>224</v>
      </c>
      <c r="O599" s="24">
        <v>184</v>
      </c>
      <c r="P599" s="24">
        <v>212</v>
      </c>
      <c r="Q599">
        <v>191</v>
      </c>
      <c r="R599">
        <v>218</v>
      </c>
      <c r="S599">
        <v>250</v>
      </c>
      <c r="T599">
        <v>285</v>
      </c>
      <c r="U599">
        <v>300</v>
      </c>
      <c r="V599">
        <v>362</v>
      </c>
      <c r="W599">
        <v>635</v>
      </c>
      <c r="X599">
        <v>834</v>
      </c>
    </row>
    <row r="600" spans="2:24" x14ac:dyDescent="0.35">
      <c r="B600" s="23" t="s">
        <v>362</v>
      </c>
      <c r="D600" t="s">
        <v>229</v>
      </c>
      <c r="E600" t="s">
        <v>230</v>
      </c>
      <c r="F600" s="46" t="s">
        <v>372</v>
      </c>
      <c r="G600" t="s">
        <v>311</v>
      </c>
      <c r="H600" s="23">
        <v>13</v>
      </c>
      <c r="I600" s="23" t="s">
        <v>312</v>
      </c>
      <c r="J600" t="s">
        <v>373</v>
      </c>
      <c r="K600">
        <v>462</v>
      </c>
      <c r="L600">
        <v>558</v>
      </c>
      <c r="M600" s="24">
        <v>443</v>
      </c>
      <c r="N600" s="24">
        <v>524</v>
      </c>
      <c r="O600" s="24">
        <v>437</v>
      </c>
      <c r="P600" s="24">
        <v>503</v>
      </c>
      <c r="Q600">
        <v>416</v>
      </c>
      <c r="R600">
        <v>476</v>
      </c>
      <c r="S600">
        <v>568</v>
      </c>
      <c r="T600">
        <v>651</v>
      </c>
      <c r="U600">
        <v>643</v>
      </c>
      <c r="V600">
        <v>800</v>
      </c>
      <c r="W600">
        <v>997</v>
      </c>
      <c r="X600">
        <v>1369</v>
      </c>
    </row>
    <row r="601" spans="2:24" x14ac:dyDescent="0.35">
      <c r="B601" s="23" t="s">
        <v>364</v>
      </c>
      <c r="D601" t="s">
        <v>229</v>
      </c>
      <c r="E601" t="s">
        <v>230</v>
      </c>
      <c r="F601" s="46" t="s">
        <v>374</v>
      </c>
      <c r="G601" t="s">
        <v>311</v>
      </c>
      <c r="H601" s="23">
        <v>13</v>
      </c>
      <c r="I601" s="23" t="s">
        <v>312</v>
      </c>
      <c r="J601" t="s">
        <v>375</v>
      </c>
      <c r="K601">
        <v>755</v>
      </c>
      <c r="L601">
        <v>946</v>
      </c>
      <c r="M601" s="24">
        <v>762</v>
      </c>
      <c r="N601" s="24">
        <v>938</v>
      </c>
      <c r="O601" s="24">
        <v>719</v>
      </c>
      <c r="P601" s="24">
        <v>864</v>
      </c>
      <c r="Q601">
        <v>721</v>
      </c>
      <c r="R601">
        <v>861</v>
      </c>
      <c r="S601">
        <v>924</v>
      </c>
      <c r="T601">
        <v>1109</v>
      </c>
      <c r="U601">
        <v>1017</v>
      </c>
      <c r="V601">
        <v>1204</v>
      </c>
      <c r="W601">
        <v>1601</v>
      </c>
      <c r="X601">
        <v>1989</v>
      </c>
    </row>
    <row r="602" spans="2:24" x14ac:dyDescent="0.35">
      <c r="B602" s="23" t="s">
        <v>366</v>
      </c>
      <c r="D602" t="s">
        <v>229</v>
      </c>
      <c r="E602" t="s">
        <v>230</v>
      </c>
      <c r="F602" s="46" t="s">
        <v>376</v>
      </c>
      <c r="G602" t="s">
        <v>311</v>
      </c>
      <c r="H602" s="23">
        <v>13</v>
      </c>
      <c r="I602" s="23" t="s">
        <v>312</v>
      </c>
      <c r="J602" t="s">
        <v>377</v>
      </c>
      <c r="K602">
        <v>668</v>
      </c>
      <c r="L602">
        <v>778</v>
      </c>
      <c r="M602" s="24">
        <v>686</v>
      </c>
      <c r="N602" s="24">
        <v>800</v>
      </c>
      <c r="O602" s="24">
        <v>620</v>
      </c>
      <c r="P602" s="24">
        <v>732</v>
      </c>
      <c r="Q602">
        <v>651</v>
      </c>
      <c r="R602">
        <v>758</v>
      </c>
      <c r="S602">
        <v>784</v>
      </c>
      <c r="T602">
        <v>910</v>
      </c>
      <c r="U602">
        <v>863</v>
      </c>
      <c r="V602">
        <v>1087</v>
      </c>
      <c r="W602">
        <v>1253</v>
      </c>
      <c r="X602">
        <v>1779</v>
      </c>
    </row>
    <row r="603" spans="2:24" x14ac:dyDescent="0.35">
      <c r="B603" s="23" t="s">
        <v>368</v>
      </c>
      <c r="D603" t="s">
        <v>229</v>
      </c>
      <c r="E603" t="s">
        <v>230</v>
      </c>
      <c r="F603" s="46" t="s">
        <v>254</v>
      </c>
      <c r="G603" t="s">
        <v>255</v>
      </c>
      <c r="H603" s="23">
        <v>4</v>
      </c>
      <c r="I603" s="23" t="s">
        <v>256</v>
      </c>
      <c r="J603" t="s">
        <v>257</v>
      </c>
      <c r="K603">
        <v>1408</v>
      </c>
      <c r="L603">
        <v>1628</v>
      </c>
      <c r="M603" s="24">
        <v>1350</v>
      </c>
      <c r="N603" s="24">
        <v>1567</v>
      </c>
      <c r="O603" s="24">
        <v>1299</v>
      </c>
      <c r="P603" s="24">
        <v>1507</v>
      </c>
      <c r="Q603">
        <v>1334</v>
      </c>
      <c r="R603">
        <v>1540</v>
      </c>
      <c r="S603">
        <v>1871</v>
      </c>
      <c r="T603">
        <v>2118</v>
      </c>
      <c r="U603">
        <v>1970</v>
      </c>
      <c r="V603">
        <v>2543</v>
      </c>
      <c r="W603">
        <v>3520</v>
      </c>
      <c r="X603">
        <v>4829</v>
      </c>
    </row>
    <row r="604" spans="2:24" x14ac:dyDescent="0.35">
      <c r="B604" s="23" t="s">
        <v>370</v>
      </c>
      <c r="D604" t="s">
        <v>229</v>
      </c>
      <c r="E604" t="s">
        <v>230</v>
      </c>
      <c r="F604" s="46" t="s">
        <v>250</v>
      </c>
      <c r="G604" t="s">
        <v>239</v>
      </c>
      <c r="H604" s="23">
        <v>3</v>
      </c>
      <c r="I604" s="23" t="s">
        <v>240</v>
      </c>
      <c r="J604" t="s">
        <v>251</v>
      </c>
      <c r="K604">
        <v>2457</v>
      </c>
      <c r="L604">
        <v>2939</v>
      </c>
      <c r="M604" s="24">
        <v>2503</v>
      </c>
      <c r="N604" s="24">
        <v>3040</v>
      </c>
      <c r="O604" s="24">
        <v>2411</v>
      </c>
      <c r="P604" s="24">
        <v>2886</v>
      </c>
      <c r="Q604">
        <v>2599</v>
      </c>
      <c r="R604">
        <v>3110</v>
      </c>
      <c r="S604">
        <v>3165</v>
      </c>
      <c r="T604">
        <v>4007</v>
      </c>
      <c r="U604">
        <v>3191</v>
      </c>
      <c r="V604">
        <v>4381</v>
      </c>
      <c r="W604">
        <v>4575</v>
      </c>
      <c r="X604">
        <v>6096</v>
      </c>
    </row>
    <row r="605" spans="2:24" x14ac:dyDescent="0.35">
      <c r="B605" s="23" t="s">
        <v>372</v>
      </c>
      <c r="D605" t="s">
        <v>229</v>
      </c>
      <c r="E605" t="s">
        <v>230</v>
      </c>
      <c r="F605" s="46" t="s">
        <v>248</v>
      </c>
      <c r="G605" t="s">
        <v>239</v>
      </c>
      <c r="H605" s="23">
        <v>3</v>
      </c>
      <c r="I605" s="23" t="s">
        <v>240</v>
      </c>
      <c r="J605" t="s">
        <v>249</v>
      </c>
      <c r="K605">
        <v>6112</v>
      </c>
      <c r="L605">
        <v>7950</v>
      </c>
      <c r="M605" s="24">
        <v>5715</v>
      </c>
      <c r="N605" s="24">
        <v>7741</v>
      </c>
      <c r="O605" s="24">
        <v>5383</v>
      </c>
      <c r="P605" s="24">
        <v>7288</v>
      </c>
      <c r="Q605">
        <v>5754</v>
      </c>
      <c r="R605">
        <v>7725</v>
      </c>
      <c r="S605">
        <v>7081</v>
      </c>
      <c r="T605">
        <v>9771</v>
      </c>
      <c r="U605">
        <v>7219</v>
      </c>
      <c r="V605">
        <v>10546</v>
      </c>
      <c r="W605">
        <v>9323</v>
      </c>
      <c r="X605">
        <v>13103</v>
      </c>
    </row>
    <row r="606" spans="2:24" x14ac:dyDescent="0.35">
      <c r="B606" s="23" t="s">
        <v>374</v>
      </c>
      <c r="D606" t="s">
        <v>229</v>
      </c>
      <c r="E606" t="s">
        <v>230</v>
      </c>
      <c r="F606" s="46" t="s">
        <v>378</v>
      </c>
      <c r="G606" t="s">
        <v>311</v>
      </c>
      <c r="H606" s="23">
        <v>13</v>
      </c>
      <c r="I606" s="23" t="s">
        <v>312</v>
      </c>
      <c r="J606" t="s">
        <v>379</v>
      </c>
      <c r="K606">
        <v>337</v>
      </c>
      <c r="L606">
        <v>383</v>
      </c>
      <c r="M606" s="24">
        <v>322</v>
      </c>
      <c r="N606" s="24">
        <v>355</v>
      </c>
      <c r="O606" s="24">
        <v>308</v>
      </c>
      <c r="P606" s="24">
        <v>346</v>
      </c>
      <c r="Q606">
        <v>298</v>
      </c>
      <c r="R606">
        <v>335</v>
      </c>
      <c r="S606">
        <v>373</v>
      </c>
      <c r="T606">
        <v>424</v>
      </c>
      <c r="U606">
        <v>440</v>
      </c>
      <c r="V606">
        <v>532</v>
      </c>
      <c r="W606">
        <v>892</v>
      </c>
      <c r="X606">
        <v>1051</v>
      </c>
    </row>
    <row r="607" spans="2:24" x14ac:dyDescent="0.35">
      <c r="B607" s="23" t="s">
        <v>376</v>
      </c>
      <c r="D607" t="s">
        <v>229</v>
      </c>
      <c r="E607" t="s">
        <v>230</v>
      </c>
      <c r="F607" s="46" t="s">
        <v>380</v>
      </c>
      <c r="G607" t="s">
        <v>311</v>
      </c>
      <c r="H607" s="23">
        <v>13</v>
      </c>
      <c r="I607" s="23" t="s">
        <v>312</v>
      </c>
      <c r="J607" t="s">
        <v>381</v>
      </c>
      <c r="K607">
        <v>1826</v>
      </c>
      <c r="L607">
        <v>2160</v>
      </c>
      <c r="M607" s="24">
        <v>1804</v>
      </c>
      <c r="N607" s="24">
        <v>2162</v>
      </c>
      <c r="O607" s="24">
        <v>1738</v>
      </c>
      <c r="P607" s="24">
        <v>2051</v>
      </c>
      <c r="Q607">
        <v>1805</v>
      </c>
      <c r="R607">
        <v>2158</v>
      </c>
      <c r="S607">
        <v>2402</v>
      </c>
      <c r="T607">
        <v>2822</v>
      </c>
      <c r="U607">
        <v>2608</v>
      </c>
      <c r="V607">
        <v>3426</v>
      </c>
      <c r="W607">
        <v>4440</v>
      </c>
      <c r="X607">
        <v>5910</v>
      </c>
    </row>
    <row r="608" spans="2:24" x14ac:dyDescent="0.35">
      <c r="B608" s="23" t="s">
        <v>378</v>
      </c>
      <c r="D608" t="s">
        <v>229</v>
      </c>
      <c r="E608" t="s">
        <v>230</v>
      </c>
      <c r="F608" s="46" t="s">
        <v>382</v>
      </c>
      <c r="G608" t="s">
        <v>311</v>
      </c>
      <c r="H608" s="23">
        <v>13</v>
      </c>
      <c r="I608" s="23" t="s">
        <v>312</v>
      </c>
      <c r="J608" t="s">
        <v>383</v>
      </c>
      <c r="K608">
        <v>1212</v>
      </c>
      <c r="L608">
        <v>1427</v>
      </c>
      <c r="M608" s="24">
        <v>1122</v>
      </c>
      <c r="N608" s="24">
        <v>1331</v>
      </c>
      <c r="O608" s="24">
        <v>1052</v>
      </c>
      <c r="P608" s="24">
        <v>1234</v>
      </c>
      <c r="Q608">
        <v>1111</v>
      </c>
      <c r="R608">
        <v>1305</v>
      </c>
      <c r="S608">
        <v>1435</v>
      </c>
      <c r="T608">
        <v>1708</v>
      </c>
      <c r="U608">
        <v>1571</v>
      </c>
      <c r="V608">
        <v>1884</v>
      </c>
      <c r="W608">
        <v>2131</v>
      </c>
      <c r="X608">
        <v>2732</v>
      </c>
    </row>
    <row r="609" spans="2:24" x14ac:dyDescent="0.35">
      <c r="B609" s="23" t="s">
        <v>380</v>
      </c>
      <c r="D609" t="s">
        <v>229</v>
      </c>
      <c r="E609" t="s">
        <v>230</v>
      </c>
      <c r="F609" s="46" t="s">
        <v>308</v>
      </c>
      <c r="G609" t="s">
        <v>303</v>
      </c>
      <c r="H609" s="23">
        <v>12</v>
      </c>
      <c r="I609" s="23" t="s">
        <v>304</v>
      </c>
      <c r="J609" t="s">
        <v>309</v>
      </c>
      <c r="K609">
        <v>4647</v>
      </c>
      <c r="L609">
        <v>5734</v>
      </c>
      <c r="M609" s="24">
        <v>4318</v>
      </c>
      <c r="N609" s="24">
        <v>5367</v>
      </c>
      <c r="O609" s="24">
        <v>4145</v>
      </c>
      <c r="P609" s="24">
        <v>5142</v>
      </c>
      <c r="Q609">
        <v>4284</v>
      </c>
      <c r="R609">
        <v>5346</v>
      </c>
      <c r="S609">
        <v>5734</v>
      </c>
      <c r="T609">
        <v>7064</v>
      </c>
      <c r="U609">
        <v>6278</v>
      </c>
      <c r="V609">
        <v>7928</v>
      </c>
      <c r="W609">
        <v>9156</v>
      </c>
      <c r="X609">
        <v>11966</v>
      </c>
    </row>
    <row r="610" spans="2:24" x14ac:dyDescent="0.35">
      <c r="B610" s="23" t="s">
        <v>382</v>
      </c>
      <c r="D610" t="s">
        <v>229</v>
      </c>
      <c r="E610" t="s">
        <v>230</v>
      </c>
      <c r="F610" s="46" t="s">
        <v>252</v>
      </c>
      <c r="G610" t="s">
        <v>239</v>
      </c>
      <c r="H610" s="23">
        <v>3</v>
      </c>
      <c r="I610" s="23" t="s">
        <v>240</v>
      </c>
      <c r="J610" t="s">
        <v>253</v>
      </c>
      <c r="K610">
        <v>1578</v>
      </c>
      <c r="L610">
        <v>1873</v>
      </c>
      <c r="M610" s="24">
        <v>1461</v>
      </c>
      <c r="N610" s="24">
        <v>1782</v>
      </c>
      <c r="O610" s="24">
        <v>1297</v>
      </c>
      <c r="P610" s="24">
        <v>1661</v>
      </c>
      <c r="Q610">
        <v>1421</v>
      </c>
      <c r="R610">
        <v>1791</v>
      </c>
      <c r="S610">
        <v>1830</v>
      </c>
      <c r="T610">
        <v>2364</v>
      </c>
      <c r="U610">
        <v>1815</v>
      </c>
      <c r="V610">
        <v>2843</v>
      </c>
      <c r="W610">
        <v>3691</v>
      </c>
      <c r="X610">
        <v>4761</v>
      </c>
    </row>
    <row r="611" spans="2:24" x14ac:dyDescent="0.35">
      <c r="B611" s="23" t="s">
        <v>384</v>
      </c>
      <c r="D611" t="s">
        <v>229</v>
      </c>
      <c r="E611" t="s">
        <v>230</v>
      </c>
      <c r="F611" s="46" t="s">
        <v>384</v>
      </c>
      <c r="G611" t="s">
        <v>311</v>
      </c>
      <c r="H611" s="23">
        <v>13</v>
      </c>
      <c r="I611" s="23" t="s">
        <v>312</v>
      </c>
      <c r="J611" t="s">
        <v>385</v>
      </c>
      <c r="K611">
        <v>513</v>
      </c>
      <c r="L611">
        <v>604</v>
      </c>
      <c r="M611" s="24">
        <v>506</v>
      </c>
      <c r="N611" s="24">
        <v>578</v>
      </c>
      <c r="O611" s="24">
        <v>488</v>
      </c>
      <c r="P611" s="24">
        <v>570</v>
      </c>
      <c r="Q611">
        <v>529</v>
      </c>
      <c r="R611">
        <v>611</v>
      </c>
      <c r="S611">
        <v>661</v>
      </c>
      <c r="T611">
        <v>760</v>
      </c>
      <c r="U611">
        <v>744</v>
      </c>
      <c r="V611">
        <v>895</v>
      </c>
      <c r="W611">
        <v>1056</v>
      </c>
      <c r="X611">
        <v>1395</v>
      </c>
    </row>
    <row r="612" spans="2:24" x14ac:dyDescent="0.35">
      <c r="B612" s="23" t="s">
        <v>386</v>
      </c>
      <c r="D612" t="s">
        <v>229</v>
      </c>
      <c r="E612" t="s">
        <v>230</v>
      </c>
      <c r="F612" s="46" t="s">
        <v>386</v>
      </c>
      <c r="G612" t="s">
        <v>311</v>
      </c>
      <c r="H612" s="23">
        <v>13</v>
      </c>
      <c r="I612" s="23" t="s">
        <v>312</v>
      </c>
      <c r="J612" t="s">
        <v>387</v>
      </c>
      <c r="K612">
        <v>303</v>
      </c>
      <c r="L612">
        <v>361</v>
      </c>
      <c r="M612" s="24">
        <v>299</v>
      </c>
      <c r="N612" s="24">
        <v>349</v>
      </c>
      <c r="O612" s="24">
        <v>292</v>
      </c>
      <c r="P612" s="24">
        <v>324</v>
      </c>
      <c r="Q612">
        <v>298</v>
      </c>
      <c r="R612">
        <v>335</v>
      </c>
      <c r="S612">
        <v>378</v>
      </c>
      <c r="T612">
        <v>428</v>
      </c>
      <c r="U612">
        <v>427</v>
      </c>
      <c r="V612">
        <v>497</v>
      </c>
      <c r="W612">
        <v>536</v>
      </c>
      <c r="X612">
        <v>643</v>
      </c>
    </row>
    <row r="613" spans="2:24" x14ac:dyDescent="0.35">
      <c r="B613" s="23" t="s">
        <v>388</v>
      </c>
      <c r="D613" t="s">
        <v>229</v>
      </c>
      <c r="E613" t="s">
        <v>230</v>
      </c>
      <c r="F613" s="46" t="s">
        <v>388</v>
      </c>
      <c r="G613" t="s">
        <v>311</v>
      </c>
      <c r="H613" s="23">
        <v>13</v>
      </c>
      <c r="I613" s="23" t="s">
        <v>312</v>
      </c>
      <c r="J613" t="s">
        <v>389</v>
      </c>
      <c r="K613">
        <v>721</v>
      </c>
      <c r="L613">
        <v>847</v>
      </c>
      <c r="M613" s="24">
        <v>690</v>
      </c>
      <c r="N613" s="24">
        <v>795</v>
      </c>
      <c r="O613" s="24">
        <v>682</v>
      </c>
      <c r="P613" s="24">
        <v>791</v>
      </c>
      <c r="Q613">
        <v>707</v>
      </c>
      <c r="R613">
        <v>830</v>
      </c>
      <c r="S613">
        <v>883</v>
      </c>
      <c r="T613">
        <v>1050</v>
      </c>
      <c r="U613">
        <v>927</v>
      </c>
      <c r="V613">
        <v>1116</v>
      </c>
      <c r="W613">
        <v>1298</v>
      </c>
      <c r="X613">
        <v>1623</v>
      </c>
    </row>
    <row r="614" spans="2:24" x14ac:dyDescent="0.35">
      <c r="B614" s="23" t="s">
        <v>390</v>
      </c>
      <c r="D614" t="s">
        <v>391</v>
      </c>
      <c r="E614" t="s">
        <v>392</v>
      </c>
      <c r="F614" s="46" t="s">
        <v>476</v>
      </c>
      <c r="G614" t="s">
        <v>259</v>
      </c>
      <c r="H614" s="47" t="s">
        <v>477</v>
      </c>
      <c r="I614" s="47" t="s">
        <v>478</v>
      </c>
      <c r="J614" t="s">
        <v>479</v>
      </c>
      <c r="K614">
        <v>309</v>
      </c>
      <c r="L614">
        <v>418</v>
      </c>
      <c r="M614" s="24">
        <v>283</v>
      </c>
      <c r="N614" s="24">
        <v>389</v>
      </c>
      <c r="O614" s="24">
        <v>289</v>
      </c>
      <c r="P614" s="24">
        <v>374</v>
      </c>
      <c r="Q614">
        <v>267</v>
      </c>
      <c r="R614">
        <v>380</v>
      </c>
      <c r="S614">
        <v>421</v>
      </c>
      <c r="T614">
        <v>565</v>
      </c>
      <c r="U614">
        <v>483</v>
      </c>
      <c r="V614">
        <v>678</v>
      </c>
      <c r="W614">
        <v>759</v>
      </c>
      <c r="X614">
        <v>1010</v>
      </c>
    </row>
    <row r="615" spans="2:24" x14ac:dyDescent="0.35">
      <c r="B615" s="23" t="s">
        <v>395</v>
      </c>
      <c r="D615" t="s">
        <v>391</v>
      </c>
      <c r="E615" t="s">
        <v>392</v>
      </c>
      <c r="F615" s="46" t="s">
        <v>485</v>
      </c>
      <c r="G615" t="s">
        <v>259</v>
      </c>
      <c r="H615" s="47" t="s">
        <v>477</v>
      </c>
      <c r="I615" s="47" t="s">
        <v>478</v>
      </c>
      <c r="J615" t="s">
        <v>486</v>
      </c>
      <c r="K615">
        <v>347</v>
      </c>
      <c r="L615">
        <v>457</v>
      </c>
      <c r="M615" s="24">
        <v>353</v>
      </c>
      <c r="N615" s="24">
        <v>463</v>
      </c>
      <c r="O615" s="24">
        <v>304</v>
      </c>
      <c r="P615" s="24">
        <v>424</v>
      </c>
      <c r="Q615">
        <v>289</v>
      </c>
      <c r="R615">
        <v>427</v>
      </c>
      <c r="S615">
        <v>414</v>
      </c>
      <c r="T615">
        <v>562</v>
      </c>
      <c r="U615">
        <v>477</v>
      </c>
      <c r="V615">
        <v>660</v>
      </c>
      <c r="W615">
        <v>813</v>
      </c>
      <c r="X615">
        <v>1048</v>
      </c>
    </row>
    <row r="616" spans="2:24" x14ac:dyDescent="0.35">
      <c r="B616" s="23" t="s">
        <v>397</v>
      </c>
      <c r="D616" t="s">
        <v>391</v>
      </c>
      <c r="E616" t="s">
        <v>392</v>
      </c>
      <c r="F616" s="46" t="s">
        <v>449</v>
      </c>
      <c r="G616" t="s">
        <v>239</v>
      </c>
      <c r="H616" s="47" t="s">
        <v>450</v>
      </c>
      <c r="I616" s="47" t="s">
        <v>451</v>
      </c>
      <c r="J616" t="s">
        <v>452</v>
      </c>
      <c r="K616">
        <v>934</v>
      </c>
      <c r="L616">
        <v>1277</v>
      </c>
      <c r="M616" s="24">
        <v>928</v>
      </c>
      <c r="N616" s="24">
        <v>1192</v>
      </c>
      <c r="O616" s="24">
        <v>890</v>
      </c>
      <c r="P616" s="24">
        <v>1203</v>
      </c>
      <c r="Q616">
        <v>901</v>
      </c>
      <c r="R616">
        <v>1230</v>
      </c>
      <c r="S616">
        <v>1059</v>
      </c>
      <c r="T616">
        <v>1523</v>
      </c>
      <c r="U616">
        <v>1098</v>
      </c>
      <c r="V616">
        <v>1690</v>
      </c>
      <c r="W616">
        <v>1633</v>
      </c>
      <c r="X616">
        <v>2380</v>
      </c>
    </row>
    <row r="617" spans="2:24" x14ac:dyDescent="0.35">
      <c r="B617" s="23" t="s">
        <v>399</v>
      </c>
      <c r="D617" t="s">
        <v>391</v>
      </c>
      <c r="E617" t="s">
        <v>392</v>
      </c>
      <c r="F617" s="46" t="s">
        <v>455</v>
      </c>
      <c r="G617" t="s">
        <v>239</v>
      </c>
      <c r="H617" s="47" t="s">
        <v>450</v>
      </c>
      <c r="I617" s="47" t="s">
        <v>451</v>
      </c>
      <c r="J617" t="s">
        <v>456</v>
      </c>
      <c r="K617">
        <v>4697</v>
      </c>
      <c r="L617">
        <v>6968</v>
      </c>
      <c r="M617" s="24">
        <v>4867</v>
      </c>
      <c r="N617" s="24">
        <v>6966</v>
      </c>
      <c r="O617" s="24">
        <v>4533</v>
      </c>
      <c r="P617" s="24">
        <v>6804</v>
      </c>
      <c r="Q617">
        <v>4723</v>
      </c>
      <c r="R617">
        <v>7230</v>
      </c>
      <c r="S617">
        <v>6189</v>
      </c>
      <c r="T617">
        <v>10156</v>
      </c>
      <c r="U617">
        <v>6829</v>
      </c>
      <c r="V617">
        <v>11560</v>
      </c>
      <c r="W617">
        <v>9902</v>
      </c>
      <c r="X617">
        <v>15607</v>
      </c>
    </row>
    <row r="618" spans="2:24" x14ac:dyDescent="0.35">
      <c r="B618" s="23" t="s">
        <v>401</v>
      </c>
      <c r="D618" t="s">
        <v>391</v>
      </c>
      <c r="E618" t="s">
        <v>392</v>
      </c>
      <c r="F618" s="46" t="s">
        <v>458</v>
      </c>
      <c r="G618" t="s">
        <v>239</v>
      </c>
      <c r="H618" s="47" t="s">
        <v>450</v>
      </c>
      <c r="I618" s="47" t="s">
        <v>451</v>
      </c>
      <c r="J618" t="s">
        <v>459</v>
      </c>
      <c r="K618">
        <v>696</v>
      </c>
      <c r="L618">
        <v>949</v>
      </c>
      <c r="M618" s="24">
        <v>699</v>
      </c>
      <c r="N618" s="24">
        <v>946</v>
      </c>
      <c r="O618" s="24">
        <v>671</v>
      </c>
      <c r="P618" s="24">
        <v>884</v>
      </c>
      <c r="Q618">
        <v>704</v>
      </c>
      <c r="R618">
        <v>972</v>
      </c>
      <c r="S618">
        <v>891</v>
      </c>
      <c r="T618">
        <v>1306</v>
      </c>
      <c r="U618">
        <v>993</v>
      </c>
      <c r="V618">
        <v>1511</v>
      </c>
      <c r="W618">
        <v>1499</v>
      </c>
      <c r="X618">
        <v>2148</v>
      </c>
    </row>
    <row r="619" spans="2:24" x14ac:dyDescent="0.35">
      <c r="B619" s="23" t="s">
        <v>403</v>
      </c>
      <c r="D619" t="s">
        <v>391</v>
      </c>
      <c r="E619" t="s">
        <v>392</v>
      </c>
      <c r="F619" s="46" t="s">
        <v>489</v>
      </c>
      <c r="G619" t="s">
        <v>259</v>
      </c>
      <c r="H619" s="47" t="s">
        <v>477</v>
      </c>
      <c r="I619" s="47" t="s">
        <v>478</v>
      </c>
      <c r="J619" t="s">
        <v>490</v>
      </c>
      <c r="K619">
        <v>169</v>
      </c>
      <c r="L619">
        <v>234</v>
      </c>
      <c r="M619" s="24">
        <v>173</v>
      </c>
      <c r="N619" s="24">
        <v>226</v>
      </c>
      <c r="O619" s="24">
        <v>161</v>
      </c>
      <c r="P619" s="24">
        <v>213</v>
      </c>
      <c r="Q619">
        <v>126</v>
      </c>
      <c r="R619">
        <v>174</v>
      </c>
      <c r="S619">
        <v>168</v>
      </c>
      <c r="T619">
        <v>220</v>
      </c>
      <c r="U619">
        <v>176</v>
      </c>
      <c r="V619">
        <v>244</v>
      </c>
      <c r="W619">
        <v>359</v>
      </c>
      <c r="X619">
        <v>481</v>
      </c>
    </row>
    <row r="620" spans="2:24" x14ac:dyDescent="0.35">
      <c r="B620" s="23" t="s">
        <v>404</v>
      </c>
      <c r="D620" t="s">
        <v>391</v>
      </c>
      <c r="E620" t="s">
        <v>392</v>
      </c>
      <c r="F620" s="46" t="s">
        <v>500</v>
      </c>
      <c r="G620" t="s">
        <v>265</v>
      </c>
      <c r="H620" s="47" t="s">
        <v>501</v>
      </c>
      <c r="I620" s="47" t="s">
        <v>502</v>
      </c>
      <c r="J620" t="s">
        <v>233</v>
      </c>
      <c r="K620">
        <v>65</v>
      </c>
      <c r="L620">
        <v>85</v>
      </c>
      <c r="M620" s="24">
        <v>68</v>
      </c>
      <c r="N620" s="24">
        <v>82</v>
      </c>
      <c r="O620" s="24">
        <v>59</v>
      </c>
      <c r="P620" s="24">
        <v>75</v>
      </c>
      <c r="Q620">
        <v>56</v>
      </c>
      <c r="R620">
        <v>81</v>
      </c>
      <c r="S620">
        <v>91</v>
      </c>
      <c r="T620">
        <v>122</v>
      </c>
      <c r="U620">
        <v>117</v>
      </c>
      <c r="V620">
        <v>157</v>
      </c>
      <c r="W620">
        <v>269</v>
      </c>
      <c r="X620">
        <v>333</v>
      </c>
    </row>
    <row r="621" spans="2:24" x14ac:dyDescent="0.35">
      <c r="B621" s="23" t="s">
        <v>406</v>
      </c>
      <c r="D621" t="s">
        <v>391</v>
      </c>
      <c r="E621" t="s">
        <v>392</v>
      </c>
      <c r="F621" s="46" t="s">
        <v>462</v>
      </c>
      <c r="G621" t="s">
        <v>239</v>
      </c>
      <c r="H621" s="47" t="s">
        <v>450</v>
      </c>
      <c r="I621" s="47" t="s">
        <v>451</v>
      </c>
      <c r="J621" t="s">
        <v>463</v>
      </c>
      <c r="K621">
        <v>713</v>
      </c>
      <c r="L621">
        <v>965</v>
      </c>
      <c r="M621" s="24">
        <v>711</v>
      </c>
      <c r="N621" s="24">
        <v>1003</v>
      </c>
      <c r="O621" s="24">
        <v>616</v>
      </c>
      <c r="P621" s="24">
        <v>906</v>
      </c>
      <c r="Q621">
        <v>617</v>
      </c>
      <c r="R621">
        <v>939</v>
      </c>
      <c r="S621">
        <v>769</v>
      </c>
      <c r="T621">
        <v>1187</v>
      </c>
      <c r="U621">
        <v>849</v>
      </c>
      <c r="V621">
        <v>1334</v>
      </c>
      <c r="W621">
        <v>1191</v>
      </c>
      <c r="X621">
        <v>1784</v>
      </c>
    </row>
    <row r="622" spans="2:24" x14ac:dyDescent="0.35">
      <c r="B622" s="23" t="s">
        <v>408</v>
      </c>
      <c r="D622" t="s">
        <v>391</v>
      </c>
      <c r="E622" t="s">
        <v>392</v>
      </c>
      <c r="F622" s="46" t="s">
        <v>495</v>
      </c>
      <c r="G622" t="s">
        <v>259</v>
      </c>
      <c r="H622" s="47" t="s">
        <v>477</v>
      </c>
      <c r="I622" s="47" t="s">
        <v>478</v>
      </c>
      <c r="J622" t="s">
        <v>496</v>
      </c>
      <c r="K622">
        <v>144</v>
      </c>
      <c r="L622">
        <v>187</v>
      </c>
      <c r="M622" s="24">
        <v>142</v>
      </c>
      <c r="N622" s="24">
        <v>174</v>
      </c>
      <c r="O622" s="24">
        <v>134</v>
      </c>
      <c r="P622" s="24">
        <v>181</v>
      </c>
      <c r="Q622">
        <v>144</v>
      </c>
      <c r="R622">
        <v>195</v>
      </c>
      <c r="S622">
        <v>168</v>
      </c>
      <c r="T622">
        <v>218</v>
      </c>
      <c r="U622">
        <v>227</v>
      </c>
      <c r="V622">
        <v>280</v>
      </c>
      <c r="W622">
        <v>410</v>
      </c>
      <c r="X622">
        <v>483</v>
      </c>
    </row>
    <row r="623" spans="2:24" x14ac:dyDescent="0.35">
      <c r="B623" s="23" t="s">
        <v>410</v>
      </c>
      <c r="D623" t="s">
        <v>391</v>
      </c>
      <c r="E623" t="s">
        <v>392</v>
      </c>
      <c r="F623" s="46" t="s">
        <v>466</v>
      </c>
      <c r="G623" t="s">
        <v>255</v>
      </c>
      <c r="H623" s="47" t="s">
        <v>467</v>
      </c>
      <c r="I623" s="47" t="s">
        <v>468</v>
      </c>
      <c r="J623" t="s">
        <v>469</v>
      </c>
      <c r="K623">
        <v>336</v>
      </c>
      <c r="L623">
        <v>437</v>
      </c>
      <c r="M623" s="24">
        <v>359</v>
      </c>
      <c r="N623" s="24">
        <v>447</v>
      </c>
      <c r="O623" s="24">
        <v>326</v>
      </c>
      <c r="P623" s="24">
        <v>419</v>
      </c>
      <c r="Q623">
        <v>314</v>
      </c>
      <c r="R623">
        <v>432</v>
      </c>
      <c r="S623">
        <v>394</v>
      </c>
      <c r="T623">
        <v>565</v>
      </c>
      <c r="U623">
        <v>475</v>
      </c>
      <c r="V623">
        <v>670</v>
      </c>
      <c r="W623">
        <v>870</v>
      </c>
      <c r="X623">
        <v>1120</v>
      </c>
    </row>
    <row r="624" spans="2:24" x14ac:dyDescent="0.35">
      <c r="B624" s="23" t="s">
        <v>412</v>
      </c>
      <c r="D624" t="s">
        <v>391</v>
      </c>
      <c r="E624" t="s">
        <v>392</v>
      </c>
      <c r="F624" s="46" t="s">
        <v>418</v>
      </c>
      <c r="G624" t="s">
        <v>235</v>
      </c>
      <c r="H624" s="47" t="s">
        <v>419</v>
      </c>
      <c r="I624" s="47" t="s">
        <v>420</v>
      </c>
      <c r="J624" t="s">
        <v>329</v>
      </c>
      <c r="K624">
        <v>266</v>
      </c>
      <c r="L624">
        <v>324</v>
      </c>
      <c r="M624" s="24">
        <v>256</v>
      </c>
      <c r="N624" s="24">
        <v>314</v>
      </c>
      <c r="O624" s="24">
        <v>249</v>
      </c>
      <c r="P624" s="24">
        <v>304</v>
      </c>
      <c r="Q624">
        <v>238</v>
      </c>
      <c r="R624">
        <v>319</v>
      </c>
      <c r="S624">
        <v>318</v>
      </c>
      <c r="T624">
        <v>419</v>
      </c>
      <c r="U624">
        <v>353</v>
      </c>
      <c r="V624">
        <v>509</v>
      </c>
      <c r="W624">
        <v>620</v>
      </c>
      <c r="X624">
        <v>822</v>
      </c>
    </row>
    <row r="625" spans="2:24" x14ac:dyDescent="0.35">
      <c r="B625" s="23" t="s">
        <v>414</v>
      </c>
      <c r="D625" t="s">
        <v>391</v>
      </c>
      <c r="E625" t="s">
        <v>392</v>
      </c>
      <c r="F625" s="46" t="s">
        <v>390</v>
      </c>
      <c r="G625" t="s">
        <v>231</v>
      </c>
      <c r="H625" s="47" t="s">
        <v>393</v>
      </c>
      <c r="I625" s="47" t="s">
        <v>394</v>
      </c>
      <c r="J625" t="s">
        <v>331</v>
      </c>
      <c r="K625">
        <v>580</v>
      </c>
      <c r="L625">
        <v>807</v>
      </c>
      <c r="M625" s="24">
        <v>592</v>
      </c>
      <c r="N625" s="24">
        <v>775</v>
      </c>
      <c r="O625" s="24">
        <v>530</v>
      </c>
      <c r="P625" s="24">
        <v>710</v>
      </c>
      <c r="Q625">
        <v>535</v>
      </c>
      <c r="R625">
        <v>750</v>
      </c>
      <c r="S625">
        <v>681</v>
      </c>
      <c r="T625">
        <v>967</v>
      </c>
      <c r="U625">
        <v>811</v>
      </c>
      <c r="V625">
        <v>1159</v>
      </c>
      <c r="W625">
        <v>1262</v>
      </c>
      <c r="X625">
        <v>1730</v>
      </c>
    </row>
    <row r="626" spans="2:24" x14ac:dyDescent="0.35">
      <c r="B626" s="23" t="s">
        <v>416</v>
      </c>
      <c r="D626" t="s">
        <v>391</v>
      </c>
      <c r="E626" t="s">
        <v>392</v>
      </c>
      <c r="F626" s="46" t="s">
        <v>480</v>
      </c>
      <c r="G626" t="s">
        <v>259</v>
      </c>
      <c r="H626" s="47" t="s">
        <v>477</v>
      </c>
      <c r="I626" s="47" t="s">
        <v>478</v>
      </c>
      <c r="J626" t="s">
        <v>481</v>
      </c>
      <c r="K626">
        <v>117</v>
      </c>
      <c r="L626">
        <v>144</v>
      </c>
      <c r="M626" s="24">
        <v>144</v>
      </c>
      <c r="N626" s="24">
        <v>178</v>
      </c>
      <c r="O626" s="24">
        <v>123</v>
      </c>
      <c r="P626" s="24">
        <v>152</v>
      </c>
      <c r="Q626">
        <v>107</v>
      </c>
      <c r="R626">
        <v>139</v>
      </c>
      <c r="S626">
        <v>166</v>
      </c>
      <c r="T626">
        <v>206</v>
      </c>
      <c r="U626">
        <v>203</v>
      </c>
      <c r="V626">
        <v>281</v>
      </c>
      <c r="W626">
        <v>476</v>
      </c>
      <c r="X626">
        <v>558</v>
      </c>
    </row>
    <row r="627" spans="2:24" x14ac:dyDescent="0.35">
      <c r="B627" s="23" t="s">
        <v>418</v>
      </c>
      <c r="D627" t="s">
        <v>391</v>
      </c>
      <c r="E627" t="s">
        <v>392</v>
      </c>
      <c r="F627" s="46" t="s">
        <v>507</v>
      </c>
      <c r="G627" t="s">
        <v>265</v>
      </c>
      <c r="H627" s="47" t="s">
        <v>501</v>
      </c>
      <c r="I627" s="47" t="s">
        <v>502</v>
      </c>
      <c r="J627" t="s">
        <v>508</v>
      </c>
      <c r="K627">
        <v>275</v>
      </c>
      <c r="L627">
        <v>402</v>
      </c>
      <c r="M627" s="24">
        <v>279</v>
      </c>
      <c r="N627" s="24">
        <v>407</v>
      </c>
      <c r="O627" s="24">
        <v>280</v>
      </c>
      <c r="P627" s="24">
        <v>391</v>
      </c>
      <c r="Q627">
        <v>277</v>
      </c>
      <c r="R627">
        <v>392</v>
      </c>
      <c r="S627">
        <v>487</v>
      </c>
      <c r="T627">
        <v>639</v>
      </c>
      <c r="U627">
        <v>570</v>
      </c>
      <c r="V627">
        <v>754</v>
      </c>
      <c r="W627">
        <v>925</v>
      </c>
      <c r="X627">
        <v>1192</v>
      </c>
    </row>
    <row r="628" spans="2:24" x14ac:dyDescent="0.35">
      <c r="B628" s="23" t="s">
        <v>421</v>
      </c>
      <c r="D628" t="s">
        <v>391</v>
      </c>
      <c r="E628" t="s">
        <v>392</v>
      </c>
      <c r="F628" s="46" t="s">
        <v>401</v>
      </c>
      <c r="G628" t="s">
        <v>231</v>
      </c>
      <c r="H628" s="47" t="s">
        <v>393</v>
      </c>
      <c r="I628" s="47" t="s">
        <v>394</v>
      </c>
      <c r="J628" t="s">
        <v>402</v>
      </c>
      <c r="K628">
        <v>335</v>
      </c>
      <c r="L628">
        <v>452</v>
      </c>
      <c r="M628" s="24">
        <v>299</v>
      </c>
      <c r="N628" s="24">
        <v>412</v>
      </c>
      <c r="O628" s="24">
        <v>310</v>
      </c>
      <c r="P628" s="24">
        <v>412</v>
      </c>
      <c r="Q628">
        <v>311</v>
      </c>
      <c r="R628">
        <v>441</v>
      </c>
      <c r="S628">
        <v>434</v>
      </c>
      <c r="T628">
        <v>586</v>
      </c>
      <c r="U628">
        <v>487</v>
      </c>
      <c r="V628">
        <v>702</v>
      </c>
      <c r="W628">
        <v>964</v>
      </c>
      <c r="X628">
        <v>1221</v>
      </c>
    </row>
    <row r="629" spans="2:24" x14ac:dyDescent="0.35">
      <c r="B629" s="23" t="s">
        <v>423</v>
      </c>
      <c r="D629" t="s">
        <v>391</v>
      </c>
      <c r="E629" t="s">
        <v>392</v>
      </c>
      <c r="F629" s="46" t="s">
        <v>427</v>
      </c>
      <c r="G629" t="s">
        <v>235</v>
      </c>
      <c r="H629" s="47" t="s">
        <v>419</v>
      </c>
      <c r="I629" s="47" t="s">
        <v>420</v>
      </c>
      <c r="J629" t="s">
        <v>428</v>
      </c>
      <c r="K629">
        <v>1648</v>
      </c>
      <c r="L629">
        <v>2289</v>
      </c>
      <c r="M629" s="24">
        <v>1772</v>
      </c>
      <c r="N629" s="24">
        <v>2335</v>
      </c>
      <c r="O629" s="24">
        <v>1589</v>
      </c>
      <c r="P629" s="24">
        <v>2228</v>
      </c>
      <c r="Q629">
        <v>1527</v>
      </c>
      <c r="R629">
        <v>2245</v>
      </c>
      <c r="S629">
        <v>2193</v>
      </c>
      <c r="T629">
        <v>3196</v>
      </c>
      <c r="U629">
        <v>2452</v>
      </c>
      <c r="V629">
        <v>3660</v>
      </c>
      <c r="W629">
        <v>4180</v>
      </c>
      <c r="X629">
        <v>5872</v>
      </c>
    </row>
    <row r="630" spans="2:24" x14ac:dyDescent="0.35">
      <c r="B630" s="23" t="s">
        <v>424</v>
      </c>
      <c r="D630" t="s">
        <v>391</v>
      </c>
      <c r="E630" t="s">
        <v>392</v>
      </c>
      <c r="F630" s="46" t="s">
        <v>523</v>
      </c>
      <c r="G630" t="s">
        <v>273</v>
      </c>
      <c r="H630" s="47" t="s">
        <v>524</v>
      </c>
      <c r="I630" s="47" t="s">
        <v>525</v>
      </c>
      <c r="J630" t="s">
        <v>526</v>
      </c>
      <c r="K630">
        <v>1012</v>
      </c>
      <c r="L630">
        <v>1402</v>
      </c>
      <c r="M630" s="24">
        <v>998</v>
      </c>
      <c r="N630" s="24">
        <v>1338</v>
      </c>
      <c r="O630" s="24">
        <v>908</v>
      </c>
      <c r="P630" s="24">
        <v>1296</v>
      </c>
      <c r="Q630">
        <v>858</v>
      </c>
      <c r="R630">
        <v>1301</v>
      </c>
      <c r="S630">
        <v>1065</v>
      </c>
      <c r="T630">
        <v>1682</v>
      </c>
      <c r="U630">
        <v>1140</v>
      </c>
      <c r="V630">
        <v>1913</v>
      </c>
      <c r="W630">
        <v>2051</v>
      </c>
      <c r="X630">
        <v>2961</v>
      </c>
    </row>
    <row r="631" spans="2:24" x14ac:dyDescent="0.35">
      <c r="B631" s="23" t="s">
        <v>425</v>
      </c>
      <c r="D631" t="s">
        <v>391</v>
      </c>
      <c r="E631" t="s">
        <v>392</v>
      </c>
      <c r="F631" s="46" t="s">
        <v>433</v>
      </c>
      <c r="G631" t="s">
        <v>235</v>
      </c>
      <c r="H631" s="47" t="s">
        <v>419</v>
      </c>
      <c r="I631" s="47" t="s">
        <v>420</v>
      </c>
      <c r="J631" t="s">
        <v>434</v>
      </c>
      <c r="K631">
        <v>564</v>
      </c>
      <c r="L631">
        <v>794</v>
      </c>
      <c r="M631" s="24">
        <v>605</v>
      </c>
      <c r="N631" s="24">
        <v>794</v>
      </c>
      <c r="O631" s="24">
        <v>564</v>
      </c>
      <c r="P631" s="24">
        <v>770</v>
      </c>
      <c r="Q631">
        <v>600</v>
      </c>
      <c r="R631">
        <v>858</v>
      </c>
      <c r="S631">
        <v>793</v>
      </c>
      <c r="T631">
        <v>1084</v>
      </c>
      <c r="U631">
        <v>989</v>
      </c>
      <c r="V631">
        <v>1393</v>
      </c>
      <c r="W631">
        <v>2203</v>
      </c>
      <c r="X631">
        <v>2742</v>
      </c>
    </row>
    <row r="632" spans="2:24" x14ac:dyDescent="0.35">
      <c r="B632" s="23" t="s">
        <v>427</v>
      </c>
      <c r="D632" t="s">
        <v>391</v>
      </c>
      <c r="E632" t="s">
        <v>392</v>
      </c>
      <c r="F632" s="46" t="s">
        <v>441</v>
      </c>
      <c r="G632" t="s">
        <v>235</v>
      </c>
      <c r="H632" s="47" t="s">
        <v>419</v>
      </c>
      <c r="I632" s="47" t="s">
        <v>420</v>
      </c>
      <c r="J632" t="s">
        <v>442</v>
      </c>
      <c r="K632">
        <v>312</v>
      </c>
      <c r="L632">
        <v>393</v>
      </c>
      <c r="M632" s="24">
        <v>307</v>
      </c>
      <c r="N632" s="24">
        <v>374</v>
      </c>
      <c r="O632" s="24">
        <v>310</v>
      </c>
      <c r="P632" s="24">
        <v>373</v>
      </c>
      <c r="Q632">
        <v>322</v>
      </c>
      <c r="R632">
        <v>402</v>
      </c>
      <c r="S632">
        <v>362</v>
      </c>
      <c r="T632">
        <v>468</v>
      </c>
      <c r="U632">
        <v>444</v>
      </c>
      <c r="V632">
        <v>577</v>
      </c>
      <c r="W632">
        <v>820</v>
      </c>
      <c r="X632">
        <v>1026</v>
      </c>
    </row>
    <row r="633" spans="2:24" x14ac:dyDescent="0.35">
      <c r="B633" s="23" t="s">
        <v>429</v>
      </c>
      <c r="D633" t="s">
        <v>391</v>
      </c>
      <c r="E633" t="s">
        <v>392</v>
      </c>
      <c r="F633" s="46" t="s">
        <v>487</v>
      </c>
      <c r="G633" t="s">
        <v>259</v>
      </c>
      <c r="H633" s="47" t="s">
        <v>477</v>
      </c>
      <c r="I633" s="47" t="s">
        <v>478</v>
      </c>
      <c r="J633" t="s">
        <v>347</v>
      </c>
      <c r="K633">
        <v>117</v>
      </c>
      <c r="L633">
        <v>151</v>
      </c>
      <c r="M633" s="24">
        <v>109</v>
      </c>
      <c r="N633" s="24">
        <v>142</v>
      </c>
      <c r="O633" s="24">
        <v>78</v>
      </c>
      <c r="P633" s="24">
        <v>114</v>
      </c>
      <c r="Q633">
        <v>83</v>
      </c>
      <c r="R633">
        <v>114</v>
      </c>
      <c r="S633">
        <v>112</v>
      </c>
      <c r="T633">
        <v>139</v>
      </c>
      <c r="U633">
        <v>107</v>
      </c>
      <c r="V633">
        <v>141</v>
      </c>
      <c r="W633">
        <v>230</v>
      </c>
      <c r="X633">
        <v>282</v>
      </c>
    </row>
    <row r="634" spans="2:24" x14ac:dyDescent="0.35">
      <c r="B634" s="23" t="s">
        <v>430</v>
      </c>
      <c r="D634" t="s">
        <v>391</v>
      </c>
      <c r="E634" t="s">
        <v>392</v>
      </c>
      <c r="F634" s="46" t="s">
        <v>491</v>
      </c>
      <c r="G634" t="s">
        <v>259</v>
      </c>
      <c r="H634" s="47" t="s">
        <v>477</v>
      </c>
      <c r="I634" s="47" t="s">
        <v>478</v>
      </c>
      <c r="J634" t="s">
        <v>492</v>
      </c>
      <c r="K634">
        <v>239</v>
      </c>
      <c r="L634">
        <v>314</v>
      </c>
      <c r="M634" s="24">
        <v>231</v>
      </c>
      <c r="N634" s="24">
        <v>299</v>
      </c>
      <c r="O634" s="24">
        <v>209</v>
      </c>
      <c r="P634" s="24">
        <v>287</v>
      </c>
      <c r="Q634">
        <v>206</v>
      </c>
      <c r="R634">
        <v>289</v>
      </c>
      <c r="S634">
        <v>260</v>
      </c>
      <c r="T634">
        <v>318</v>
      </c>
      <c r="U634">
        <v>309</v>
      </c>
      <c r="V634">
        <v>388</v>
      </c>
      <c r="W634">
        <v>586</v>
      </c>
      <c r="X634">
        <v>711</v>
      </c>
    </row>
    <row r="635" spans="2:24" x14ac:dyDescent="0.35">
      <c r="B635" s="23" t="s">
        <v>431</v>
      </c>
      <c r="D635" t="s">
        <v>391</v>
      </c>
      <c r="E635" t="s">
        <v>392</v>
      </c>
      <c r="F635" s="46" t="s">
        <v>497</v>
      </c>
      <c r="G635" t="s">
        <v>259</v>
      </c>
      <c r="H635" s="47" t="s">
        <v>477</v>
      </c>
      <c r="I635" s="47" t="s">
        <v>478</v>
      </c>
      <c r="J635" t="s">
        <v>498</v>
      </c>
      <c r="K635">
        <v>311</v>
      </c>
      <c r="L635">
        <v>398</v>
      </c>
      <c r="M635" s="24">
        <v>332</v>
      </c>
      <c r="N635" s="24">
        <v>399</v>
      </c>
      <c r="O635" s="24">
        <v>315</v>
      </c>
      <c r="P635" s="24">
        <v>395</v>
      </c>
      <c r="Q635">
        <v>287</v>
      </c>
      <c r="R635">
        <v>387</v>
      </c>
      <c r="S635">
        <v>393</v>
      </c>
      <c r="T635">
        <v>536</v>
      </c>
      <c r="U635">
        <v>435</v>
      </c>
      <c r="V635">
        <v>586</v>
      </c>
      <c r="W635">
        <v>724</v>
      </c>
      <c r="X635">
        <v>926</v>
      </c>
    </row>
    <row r="636" spans="2:24" x14ac:dyDescent="0.35">
      <c r="B636" s="23" t="s">
        <v>433</v>
      </c>
      <c r="D636" t="s">
        <v>391</v>
      </c>
      <c r="E636" t="s">
        <v>392</v>
      </c>
      <c r="F636" s="46" t="s">
        <v>406</v>
      </c>
      <c r="G636" t="s">
        <v>231</v>
      </c>
      <c r="H636" s="47" t="s">
        <v>393</v>
      </c>
      <c r="I636" s="47" t="s">
        <v>394</v>
      </c>
      <c r="J636" t="s">
        <v>407</v>
      </c>
      <c r="K636">
        <v>1914</v>
      </c>
      <c r="L636">
        <v>2672</v>
      </c>
      <c r="M636" s="24">
        <v>2045</v>
      </c>
      <c r="N636" s="24">
        <v>2752</v>
      </c>
      <c r="O636" s="24">
        <v>1963</v>
      </c>
      <c r="P636" s="24">
        <v>2716</v>
      </c>
      <c r="Q636">
        <v>1980</v>
      </c>
      <c r="R636">
        <v>2838</v>
      </c>
      <c r="S636">
        <v>2672</v>
      </c>
      <c r="T636">
        <v>3997</v>
      </c>
      <c r="U636">
        <v>3068</v>
      </c>
      <c r="V636">
        <v>4673</v>
      </c>
      <c r="W636">
        <v>5218</v>
      </c>
      <c r="X636">
        <v>7367</v>
      </c>
    </row>
    <row r="637" spans="2:24" x14ac:dyDescent="0.35">
      <c r="B637" s="23" t="s">
        <v>435</v>
      </c>
      <c r="D637" t="s">
        <v>391</v>
      </c>
      <c r="E637" t="s">
        <v>392</v>
      </c>
      <c r="F637" s="46" t="s">
        <v>531</v>
      </c>
      <c r="G637" t="s">
        <v>273</v>
      </c>
      <c r="H637" s="47" t="s">
        <v>524</v>
      </c>
      <c r="I637" s="47" t="s">
        <v>525</v>
      </c>
      <c r="J637" t="s">
        <v>355</v>
      </c>
      <c r="K637">
        <v>248</v>
      </c>
      <c r="L637">
        <v>365</v>
      </c>
      <c r="M637" s="24">
        <v>276</v>
      </c>
      <c r="N637" s="24">
        <v>374</v>
      </c>
      <c r="O637" s="24">
        <v>271</v>
      </c>
      <c r="P637" s="24">
        <v>383</v>
      </c>
      <c r="Q637">
        <v>282</v>
      </c>
      <c r="R637">
        <v>395</v>
      </c>
      <c r="S637">
        <v>388</v>
      </c>
      <c r="T637">
        <v>565</v>
      </c>
      <c r="U637">
        <v>431</v>
      </c>
      <c r="V637">
        <v>612</v>
      </c>
      <c r="W637">
        <v>758</v>
      </c>
      <c r="X637">
        <v>998</v>
      </c>
    </row>
    <row r="638" spans="2:24" x14ac:dyDescent="0.35">
      <c r="B638" s="23" t="s">
        <v>437</v>
      </c>
      <c r="D638" t="s">
        <v>391</v>
      </c>
      <c r="E638" t="s">
        <v>392</v>
      </c>
      <c r="F638" s="46" t="s">
        <v>421</v>
      </c>
      <c r="G638" t="s">
        <v>235</v>
      </c>
      <c r="H638" s="47" t="s">
        <v>419</v>
      </c>
      <c r="I638" s="47" t="s">
        <v>420</v>
      </c>
      <c r="J638" t="s">
        <v>422</v>
      </c>
      <c r="K638">
        <v>164</v>
      </c>
      <c r="L638">
        <v>240</v>
      </c>
      <c r="M638" s="24">
        <v>181</v>
      </c>
      <c r="N638" s="24">
        <v>250</v>
      </c>
      <c r="O638" s="24">
        <v>131</v>
      </c>
      <c r="P638" s="24">
        <v>191</v>
      </c>
      <c r="Q638">
        <v>124</v>
      </c>
      <c r="R638">
        <v>203</v>
      </c>
      <c r="S638">
        <v>185</v>
      </c>
      <c r="T638">
        <v>262</v>
      </c>
      <c r="U638">
        <v>195</v>
      </c>
      <c r="V638">
        <v>302</v>
      </c>
      <c r="W638">
        <v>365</v>
      </c>
      <c r="X638">
        <v>523</v>
      </c>
    </row>
    <row r="639" spans="2:24" x14ac:dyDescent="0.35">
      <c r="B639" s="23" t="s">
        <v>439</v>
      </c>
      <c r="D639" t="s">
        <v>391</v>
      </c>
      <c r="E639" t="s">
        <v>392</v>
      </c>
      <c r="F639" s="46" t="s">
        <v>471</v>
      </c>
      <c r="G639" t="s">
        <v>255</v>
      </c>
      <c r="H639" s="47" t="s">
        <v>467</v>
      </c>
      <c r="I639" s="47" t="s">
        <v>468</v>
      </c>
      <c r="J639" t="s">
        <v>472</v>
      </c>
      <c r="K639">
        <v>2244</v>
      </c>
      <c r="L639">
        <v>3006</v>
      </c>
      <c r="M639" s="24">
        <v>2358</v>
      </c>
      <c r="N639" s="24">
        <v>3001</v>
      </c>
      <c r="O639" s="24">
        <v>2311</v>
      </c>
      <c r="P639" s="24">
        <v>3000</v>
      </c>
      <c r="Q639">
        <v>2198</v>
      </c>
      <c r="R639">
        <v>3042</v>
      </c>
      <c r="S639">
        <v>2756</v>
      </c>
      <c r="T639">
        <v>3918</v>
      </c>
      <c r="U639">
        <v>3022</v>
      </c>
      <c r="V639">
        <v>4421</v>
      </c>
      <c r="W639">
        <v>4902</v>
      </c>
      <c r="X639">
        <v>6630</v>
      </c>
    </row>
    <row r="640" spans="2:24" x14ac:dyDescent="0.35">
      <c r="B640" s="23" t="s">
        <v>441</v>
      </c>
      <c r="D640" t="s">
        <v>391</v>
      </c>
      <c r="E640" t="s">
        <v>392</v>
      </c>
      <c r="F640" s="46" t="s">
        <v>412</v>
      </c>
      <c r="G640" t="s">
        <v>231</v>
      </c>
      <c r="H640" s="47" t="s">
        <v>393</v>
      </c>
      <c r="I640" s="47" t="s">
        <v>394</v>
      </c>
      <c r="J640" t="s">
        <v>413</v>
      </c>
      <c r="K640">
        <v>275</v>
      </c>
      <c r="L640">
        <v>386</v>
      </c>
      <c r="M640" s="24">
        <v>277</v>
      </c>
      <c r="N640" s="24">
        <v>383</v>
      </c>
      <c r="O640" s="24">
        <v>266</v>
      </c>
      <c r="P640" s="24">
        <v>355</v>
      </c>
      <c r="Q640">
        <v>270</v>
      </c>
      <c r="R640">
        <v>382</v>
      </c>
      <c r="S640">
        <v>355</v>
      </c>
      <c r="T640">
        <v>531</v>
      </c>
      <c r="U640">
        <v>398</v>
      </c>
      <c r="V640">
        <v>619</v>
      </c>
      <c r="W640">
        <v>750</v>
      </c>
      <c r="X640">
        <v>1012</v>
      </c>
    </row>
    <row r="641" spans="2:24" x14ac:dyDescent="0.35">
      <c r="B641" s="23" t="s">
        <v>443</v>
      </c>
      <c r="D641" t="s">
        <v>391</v>
      </c>
      <c r="E641" t="s">
        <v>392</v>
      </c>
      <c r="F641" s="46" t="s">
        <v>429</v>
      </c>
      <c r="G641" t="s">
        <v>235</v>
      </c>
      <c r="H641" s="47" t="s">
        <v>419</v>
      </c>
      <c r="I641" s="47" t="s">
        <v>420</v>
      </c>
      <c r="J641" t="s">
        <v>305</v>
      </c>
      <c r="K641">
        <v>664</v>
      </c>
      <c r="L641">
        <v>859</v>
      </c>
      <c r="M641" s="24">
        <v>682</v>
      </c>
      <c r="N641" s="24">
        <v>886</v>
      </c>
      <c r="O641" s="24">
        <v>628</v>
      </c>
      <c r="P641" s="24">
        <v>859</v>
      </c>
      <c r="Q641">
        <v>600</v>
      </c>
      <c r="R641">
        <v>860</v>
      </c>
      <c r="S641">
        <v>762</v>
      </c>
      <c r="T641">
        <v>1151</v>
      </c>
      <c r="U641">
        <v>867</v>
      </c>
      <c r="V641">
        <v>1287</v>
      </c>
      <c r="W641">
        <v>1462</v>
      </c>
      <c r="X641">
        <v>2103</v>
      </c>
    </row>
    <row r="642" spans="2:24" x14ac:dyDescent="0.35">
      <c r="B642" s="23" t="s">
        <v>445</v>
      </c>
      <c r="D642" t="s">
        <v>391</v>
      </c>
      <c r="E642" t="s">
        <v>392</v>
      </c>
      <c r="F642" s="46" t="s">
        <v>513</v>
      </c>
      <c r="G642" t="s">
        <v>265</v>
      </c>
      <c r="H642" s="47" t="s">
        <v>501</v>
      </c>
      <c r="I642" s="47" t="s">
        <v>502</v>
      </c>
      <c r="J642" t="s">
        <v>514</v>
      </c>
      <c r="K642">
        <v>268</v>
      </c>
      <c r="L642">
        <v>358</v>
      </c>
      <c r="M642" s="24">
        <v>244</v>
      </c>
      <c r="N642" s="24">
        <v>334</v>
      </c>
      <c r="O642" s="24">
        <v>228</v>
      </c>
      <c r="P642" s="24">
        <v>310</v>
      </c>
      <c r="Q642">
        <v>226</v>
      </c>
      <c r="R642">
        <v>321</v>
      </c>
      <c r="S642">
        <v>351</v>
      </c>
      <c r="T642">
        <v>477</v>
      </c>
      <c r="U642">
        <v>419</v>
      </c>
      <c r="V642">
        <v>574</v>
      </c>
      <c r="W642">
        <v>845</v>
      </c>
      <c r="X642">
        <v>1047</v>
      </c>
    </row>
    <row r="643" spans="2:24" x14ac:dyDescent="0.35">
      <c r="B643" s="23" t="s">
        <v>447</v>
      </c>
      <c r="D643" t="s">
        <v>391</v>
      </c>
      <c r="E643" t="s">
        <v>392</v>
      </c>
      <c r="F643" s="46" t="s">
        <v>473</v>
      </c>
      <c r="G643" t="s">
        <v>255</v>
      </c>
      <c r="H643" s="47" t="s">
        <v>467</v>
      </c>
      <c r="I643" s="47" t="s">
        <v>468</v>
      </c>
      <c r="J643" t="s">
        <v>474</v>
      </c>
      <c r="K643">
        <v>571</v>
      </c>
      <c r="L643">
        <v>749</v>
      </c>
      <c r="M643" s="24">
        <v>527</v>
      </c>
      <c r="N643" s="24">
        <v>695</v>
      </c>
      <c r="O643" s="24">
        <v>498</v>
      </c>
      <c r="P643" s="24">
        <v>651</v>
      </c>
      <c r="Q643">
        <v>476</v>
      </c>
      <c r="R643">
        <v>651</v>
      </c>
      <c r="S643">
        <v>617</v>
      </c>
      <c r="T643">
        <v>839</v>
      </c>
      <c r="U643">
        <v>695</v>
      </c>
      <c r="V643">
        <v>968</v>
      </c>
      <c r="W643">
        <v>1259</v>
      </c>
      <c r="X643">
        <v>1640</v>
      </c>
    </row>
    <row r="644" spans="2:24" x14ac:dyDescent="0.35">
      <c r="B644" s="23" t="s">
        <v>449</v>
      </c>
      <c r="D644" t="s">
        <v>391</v>
      </c>
      <c r="E644" t="s">
        <v>392</v>
      </c>
      <c r="F644" s="46" t="s">
        <v>519</v>
      </c>
      <c r="G644" t="s">
        <v>265</v>
      </c>
      <c r="H644" s="47" t="s">
        <v>501</v>
      </c>
      <c r="I644" s="47" t="s">
        <v>502</v>
      </c>
      <c r="J644" t="s">
        <v>520</v>
      </c>
      <c r="K644">
        <v>200</v>
      </c>
      <c r="L644">
        <v>257</v>
      </c>
      <c r="M644" s="24">
        <v>238</v>
      </c>
      <c r="N644" s="24">
        <v>306</v>
      </c>
      <c r="O644" s="24">
        <v>216</v>
      </c>
      <c r="P644" s="24">
        <v>276</v>
      </c>
      <c r="Q644">
        <v>214</v>
      </c>
      <c r="R644">
        <v>270</v>
      </c>
      <c r="S644">
        <v>275</v>
      </c>
      <c r="T644">
        <v>320</v>
      </c>
      <c r="U644">
        <v>309</v>
      </c>
      <c r="V644">
        <v>387</v>
      </c>
      <c r="W644">
        <v>550</v>
      </c>
      <c r="X644">
        <v>673</v>
      </c>
    </row>
    <row r="645" spans="2:24" x14ac:dyDescent="0.35">
      <c r="B645" s="23" t="s">
        <v>453</v>
      </c>
      <c r="D645" t="s">
        <v>391</v>
      </c>
      <c r="E645" t="s">
        <v>392</v>
      </c>
      <c r="F645" s="46" t="s">
        <v>435</v>
      </c>
      <c r="G645" t="s">
        <v>235</v>
      </c>
      <c r="H645" s="47" t="s">
        <v>419</v>
      </c>
      <c r="I645" s="47" t="s">
        <v>420</v>
      </c>
      <c r="J645" t="s">
        <v>436</v>
      </c>
      <c r="K645">
        <v>730</v>
      </c>
      <c r="L645">
        <v>966</v>
      </c>
      <c r="M645" s="24">
        <v>698</v>
      </c>
      <c r="N645" s="24">
        <v>916</v>
      </c>
      <c r="O645" s="24">
        <v>572</v>
      </c>
      <c r="P645" s="24">
        <v>795</v>
      </c>
      <c r="Q645">
        <v>549</v>
      </c>
      <c r="R645">
        <v>744</v>
      </c>
      <c r="S645">
        <v>780</v>
      </c>
      <c r="T645">
        <v>1053</v>
      </c>
      <c r="U645">
        <v>816</v>
      </c>
      <c r="V645">
        <v>1170</v>
      </c>
      <c r="W645">
        <v>1330</v>
      </c>
      <c r="X645">
        <v>1783</v>
      </c>
    </row>
    <row r="646" spans="2:24" x14ac:dyDescent="0.35">
      <c r="B646" s="23" t="s">
        <v>454</v>
      </c>
      <c r="D646" t="s">
        <v>391</v>
      </c>
      <c r="E646" t="s">
        <v>392</v>
      </c>
      <c r="F646" s="46" t="s">
        <v>443</v>
      </c>
      <c r="G646" t="s">
        <v>235</v>
      </c>
      <c r="H646" s="47" t="s">
        <v>419</v>
      </c>
      <c r="I646" s="47" t="s">
        <v>420</v>
      </c>
      <c r="J646" t="s">
        <v>444</v>
      </c>
      <c r="K646">
        <v>182</v>
      </c>
      <c r="L646">
        <v>235</v>
      </c>
      <c r="M646" s="24">
        <v>206</v>
      </c>
      <c r="N646" s="24">
        <v>263</v>
      </c>
      <c r="O646" s="24">
        <v>190</v>
      </c>
      <c r="P646" s="24">
        <v>261</v>
      </c>
      <c r="Q646">
        <v>208</v>
      </c>
      <c r="R646">
        <v>289</v>
      </c>
      <c r="S646">
        <v>246</v>
      </c>
      <c r="T646">
        <v>347</v>
      </c>
      <c r="U646">
        <v>268</v>
      </c>
      <c r="V646">
        <v>375</v>
      </c>
      <c r="W646">
        <v>482</v>
      </c>
      <c r="X646">
        <v>638</v>
      </c>
    </row>
    <row r="647" spans="2:24" x14ac:dyDescent="0.35">
      <c r="B647" s="23" t="s">
        <v>455</v>
      </c>
      <c r="D647" t="s">
        <v>391</v>
      </c>
      <c r="E647" t="s">
        <v>392</v>
      </c>
      <c r="F647" s="46" t="s">
        <v>423</v>
      </c>
      <c r="G647" t="s">
        <v>235</v>
      </c>
      <c r="H647" s="47" t="s">
        <v>419</v>
      </c>
      <c r="I647" s="47" t="s">
        <v>420</v>
      </c>
      <c r="J647" t="s">
        <v>357</v>
      </c>
      <c r="K647">
        <v>216</v>
      </c>
      <c r="L647">
        <v>303</v>
      </c>
      <c r="M647" s="24">
        <v>227</v>
      </c>
      <c r="N647" s="24">
        <v>301</v>
      </c>
      <c r="O647" s="24">
        <v>171</v>
      </c>
      <c r="P647" s="24">
        <v>247</v>
      </c>
      <c r="Q647">
        <v>171</v>
      </c>
      <c r="R647">
        <v>234</v>
      </c>
      <c r="S647">
        <v>206</v>
      </c>
      <c r="T647">
        <v>286</v>
      </c>
      <c r="U647">
        <v>226</v>
      </c>
      <c r="V647">
        <v>327</v>
      </c>
      <c r="W647">
        <v>501</v>
      </c>
      <c r="X647">
        <v>632</v>
      </c>
    </row>
    <row r="648" spans="2:24" x14ac:dyDescent="0.35">
      <c r="B648" s="23" t="s">
        <v>457</v>
      </c>
      <c r="D648" t="s">
        <v>391</v>
      </c>
      <c r="E648" t="s">
        <v>392</v>
      </c>
      <c r="F648" s="46" t="s">
        <v>482</v>
      </c>
      <c r="G648" t="s">
        <v>259</v>
      </c>
      <c r="H648" s="47" t="s">
        <v>477</v>
      </c>
      <c r="I648" s="47" t="s">
        <v>478</v>
      </c>
      <c r="J648" t="s">
        <v>247</v>
      </c>
      <c r="K648">
        <v>851</v>
      </c>
      <c r="L648">
        <v>1086</v>
      </c>
      <c r="M648" s="24">
        <v>875</v>
      </c>
      <c r="N648" s="24">
        <v>1068</v>
      </c>
      <c r="O648" s="24">
        <v>819</v>
      </c>
      <c r="P648" s="24">
        <v>1016</v>
      </c>
      <c r="Q648">
        <v>780</v>
      </c>
      <c r="R648">
        <v>1002</v>
      </c>
      <c r="S648">
        <v>1017</v>
      </c>
      <c r="T648">
        <v>1315</v>
      </c>
      <c r="U648">
        <v>1081</v>
      </c>
      <c r="V648">
        <v>1478</v>
      </c>
      <c r="W648">
        <v>2406</v>
      </c>
      <c r="X648">
        <v>2997</v>
      </c>
    </row>
    <row r="649" spans="2:24" x14ac:dyDescent="0.35">
      <c r="B649" s="23" t="s">
        <v>458</v>
      </c>
      <c r="D649" t="s">
        <v>391</v>
      </c>
      <c r="E649" t="s">
        <v>392</v>
      </c>
      <c r="F649" s="46" t="s">
        <v>534</v>
      </c>
      <c r="G649" t="s">
        <v>273</v>
      </c>
      <c r="H649" s="47" t="s">
        <v>524</v>
      </c>
      <c r="I649" s="47" t="s">
        <v>525</v>
      </c>
      <c r="J649" t="s">
        <v>535</v>
      </c>
      <c r="K649">
        <v>334</v>
      </c>
      <c r="L649">
        <v>479</v>
      </c>
      <c r="M649" s="24">
        <v>357</v>
      </c>
      <c r="N649" s="24">
        <v>480</v>
      </c>
      <c r="O649" s="24">
        <v>290</v>
      </c>
      <c r="P649" s="24">
        <v>413</v>
      </c>
      <c r="Q649">
        <v>298</v>
      </c>
      <c r="R649">
        <v>440</v>
      </c>
      <c r="S649">
        <v>394</v>
      </c>
      <c r="T649">
        <v>567</v>
      </c>
      <c r="U649">
        <v>461</v>
      </c>
      <c r="V649">
        <v>623</v>
      </c>
      <c r="W649">
        <v>784</v>
      </c>
      <c r="X649">
        <v>1064</v>
      </c>
    </row>
    <row r="650" spans="2:24" x14ac:dyDescent="0.35">
      <c r="B650" s="23" t="s">
        <v>460</v>
      </c>
      <c r="D650" t="s">
        <v>391</v>
      </c>
      <c r="E650" t="s">
        <v>392</v>
      </c>
      <c r="F650" s="46" t="s">
        <v>503</v>
      </c>
      <c r="G650" t="s">
        <v>265</v>
      </c>
      <c r="H650" s="47" t="s">
        <v>501</v>
      </c>
      <c r="I650" s="47" t="s">
        <v>502</v>
      </c>
      <c r="J650" t="s">
        <v>504</v>
      </c>
      <c r="K650">
        <v>87</v>
      </c>
      <c r="L650">
        <v>118</v>
      </c>
      <c r="M650" s="24">
        <v>88</v>
      </c>
      <c r="N650" s="24">
        <v>117</v>
      </c>
      <c r="O650" s="24">
        <v>94</v>
      </c>
      <c r="P650" s="24">
        <v>124</v>
      </c>
      <c r="Q650">
        <v>93</v>
      </c>
      <c r="R650">
        <v>135</v>
      </c>
      <c r="S650">
        <v>136</v>
      </c>
      <c r="T650">
        <v>163</v>
      </c>
      <c r="U650">
        <v>152</v>
      </c>
      <c r="V650">
        <v>182</v>
      </c>
      <c r="W650">
        <v>285</v>
      </c>
      <c r="X650">
        <v>343</v>
      </c>
    </row>
    <row r="651" spans="2:24" x14ac:dyDescent="0.35">
      <c r="B651" s="23" t="s">
        <v>462</v>
      </c>
      <c r="D651" t="s">
        <v>391</v>
      </c>
      <c r="E651" t="s">
        <v>392</v>
      </c>
      <c r="F651" s="46" t="s">
        <v>430</v>
      </c>
      <c r="G651" t="s">
        <v>235</v>
      </c>
      <c r="H651" s="47" t="s">
        <v>419</v>
      </c>
      <c r="I651" s="47" t="s">
        <v>420</v>
      </c>
      <c r="J651" t="s">
        <v>261</v>
      </c>
      <c r="K651">
        <v>292</v>
      </c>
      <c r="L651">
        <v>367</v>
      </c>
      <c r="M651" s="24">
        <v>276</v>
      </c>
      <c r="N651" s="24">
        <v>342</v>
      </c>
      <c r="O651" s="24">
        <v>284</v>
      </c>
      <c r="P651" s="24">
        <v>371</v>
      </c>
      <c r="Q651">
        <v>235</v>
      </c>
      <c r="R651">
        <v>327</v>
      </c>
      <c r="S651">
        <v>305</v>
      </c>
      <c r="T651">
        <v>428</v>
      </c>
      <c r="U651">
        <v>326</v>
      </c>
      <c r="V651">
        <v>487</v>
      </c>
      <c r="W651">
        <v>563</v>
      </c>
      <c r="X651">
        <v>777</v>
      </c>
    </row>
    <row r="652" spans="2:24" x14ac:dyDescent="0.35">
      <c r="B652" s="23" t="s">
        <v>464</v>
      </c>
      <c r="D652" t="s">
        <v>391</v>
      </c>
      <c r="E652" t="s">
        <v>392</v>
      </c>
      <c r="F652" s="46" t="s">
        <v>488</v>
      </c>
      <c r="G652" t="s">
        <v>259</v>
      </c>
      <c r="H652" s="47" t="s">
        <v>477</v>
      </c>
      <c r="I652" s="47" t="s">
        <v>478</v>
      </c>
      <c r="J652" t="s">
        <v>237</v>
      </c>
      <c r="K652">
        <v>118</v>
      </c>
      <c r="L652">
        <v>161</v>
      </c>
      <c r="M652" s="24">
        <v>114</v>
      </c>
      <c r="N652" s="24">
        <v>142</v>
      </c>
      <c r="O652" s="24">
        <v>108</v>
      </c>
      <c r="P652" s="24">
        <v>131</v>
      </c>
      <c r="Q652">
        <v>110</v>
      </c>
      <c r="R652">
        <v>147</v>
      </c>
      <c r="S652">
        <v>183</v>
      </c>
      <c r="T652">
        <v>237</v>
      </c>
      <c r="U652">
        <v>232</v>
      </c>
      <c r="V652">
        <v>296</v>
      </c>
      <c r="W652">
        <v>479</v>
      </c>
      <c r="X652">
        <v>595</v>
      </c>
    </row>
    <row r="653" spans="2:24" x14ac:dyDescent="0.35">
      <c r="B653" s="23" t="s">
        <v>466</v>
      </c>
      <c r="D653" t="s">
        <v>391</v>
      </c>
      <c r="E653" t="s">
        <v>392</v>
      </c>
      <c r="F653" s="46" t="s">
        <v>493</v>
      </c>
      <c r="G653" t="s">
        <v>259</v>
      </c>
      <c r="H653" s="47" t="s">
        <v>477</v>
      </c>
      <c r="I653" s="47" t="s">
        <v>478</v>
      </c>
      <c r="J653" t="s">
        <v>494</v>
      </c>
      <c r="K653">
        <v>196</v>
      </c>
      <c r="L653">
        <v>241</v>
      </c>
      <c r="M653" s="24">
        <v>177</v>
      </c>
      <c r="N653" s="24">
        <v>216</v>
      </c>
      <c r="O653" s="24">
        <v>147</v>
      </c>
      <c r="P653" s="24">
        <v>184</v>
      </c>
      <c r="Q653">
        <v>124</v>
      </c>
      <c r="R653">
        <v>158</v>
      </c>
      <c r="S653">
        <v>175</v>
      </c>
      <c r="T653">
        <v>224</v>
      </c>
      <c r="U653">
        <v>184</v>
      </c>
      <c r="V653">
        <v>246</v>
      </c>
      <c r="W653">
        <v>322</v>
      </c>
      <c r="X653">
        <v>415</v>
      </c>
    </row>
    <row r="654" spans="2:24" x14ac:dyDescent="0.35">
      <c r="B654" s="23" t="s">
        <v>470</v>
      </c>
      <c r="D654" t="s">
        <v>391</v>
      </c>
      <c r="E654" t="s">
        <v>392</v>
      </c>
      <c r="F654" s="46" t="s">
        <v>509</v>
      </c>
      <c r="G654" t="s">
        <v>265</v>
      </c>
      <c r="H654" s="47" t="s">
        <v>501</v>
      </c>
      <c r="I654" s="47" t="s">
        <v>502</v>
      </c>
      <c r="J654" t="s">
        <v>510</v>
      </c>
      <c r="K654">
        <v>207</v>
      </c>
      <c r="L654">
        <v>269</v>
      </c>
      <c r="M654" s="24">
        <v>195</v>
      </c>
      <c r="N654" s="24">
        <v>252</v>
      </c>
      <c r="O654" s="24">
        <v>177</v>
      </c>
      <c r="P654" s="24">
        <v>227</v>
      </c>
      <c r="Q654">
        <v>157</v>
      </c>
      <c r="R654">
        <v>227</v>
      </c>
      <c r="S654">
        <v>208</v>
      </c>
      <c r="T654">
        <v>290</v>
      </c>
      <c r="U654">
        <v>290</v>
      </c>
      <c r="V654">
        <v>378</v>
      </c>
      <c r="W654">
        <v>463</v>
      </c>
      <c r="X654">
        <v>587</v>
      </c>
    </row>
    <row r="655" spans="2:24" x14ac:dyDescent="0.35">
      <c r="B655" s="23" t="s">
        <v>471</v>
      </c>
      <c r="D655" t="s">
        <v>391</v>
      </c>
      <c r="E655" t="s">
        <v>392</v>
      </c>
      <c r="F655" s="46" t="s">
        <v>536</v>
      </c>
      <c r="G655" t="s">
        <v>273</v>
      </c>
      <c r="H655" s="47" t="s">
        <v>524</v>
      </c>
      <c r="I655" s="47" t="s">
        <v>525</v>
      </c>
      <c r="J655" t="s">
        <v>537</v>
      </c>
      <c r="K655">
        <v>340</v>
      </c>
      <c r="L655">
        <v>451</v>
      </c>
      <c r="M655" s="24">
        <v>307</v>
      </c>
      <c r="N655" s="24">
        <v>413</v>
      </c>
      <c r="O655" s="24">
        <v>298</v>
      </c>
      <c r="P655" s="24">
        <v>394</v>
      </c>
      <c r="Q655">
        <v>294</v>
      </c>
      <c r="R655">
        <v>390</v>
      </c>
      <c r="S655">
        <v>372</v>
      </c>
      <c r="T655">
        <v>509</v>
      </c>
      <c r="U655">
        <v>404</v>
      </c>
      <c r="V655">
        <v>590</v>
      </c>
      <c r="W655">
        <v>735</v>
      </c>
      <c r="X655">
        <v>1046</v>
      </c>
    </row>
    <row r="656" spans="2:24" x14ac:dyDescent="0.35">
      <c r="B656" s="23" t="s">
        <v>473</v>
      </c>
      <c r="D656" t="s">
        <v>391</v>
      </c>
      <c r="E656" t="s">
        <v>392</v>
      </c>
      <c r="F656" s="46" t="s">
        <v>395</v>
      </c>
      <c r="G656" t="s">
        <v>231</v>
      </c>
      <c r="H656" s="47" t="s">
        <v>393</v>
      </c>
      <c r="I656" s="47" t="s">
        <v>394</v>
      </c>
      <c r="J656" t="s">
        <v>396</v>
      </c>
      <c r="K656">
        <v>1083</v>
      </c>
      <c r="L656">
        <v>1429</v>
      </c>
      <c r="M656" s="24">
        <v>1153</v>
      </c>
      <c r="N656" s="24">
        <v>1471</v>
      </c>
      <c r="O656" s="24">
        <v>988</v>
      </c>
      <c r="P656" s="24">
        <v>1369</v>
      </c>
      <c r="Q656">
        <v>974</v>
      </c>
      <c r="R656">
        <v>1397</v>
      </c>
      <c r="S656">
        <v>1298</v>
      </c>
      <c r="T656">
        <v>1906</v>
      </c>
      <c r="U656">
        <v>1440</v>
      </c>
      <c r="V656">
        <v>2069</v>
      </c>
      <c r="W656">
        <v>2281</v>
      </c>
      <c r="X656">
        <v>3198</v>
      </c>
    </row>
    <row r="657" spans="2:24" x14ac:dyDescent="0.35">
      <c r="B657" s="23" t="s">
        <v>475</v>
      </c>
      <c r="D657" t="s">
        <v>391</v>
      </c>
      <c r="E657" t="s">
        <v>392</v>
      </c>
      <c r="F657" s="46" t="s">
        <v>453</v>
      </c>
      <c r="G657" t="s">
        <v>239</v>
      </c>
      <c r="H657" s="47" t="s">
        <v>450</v>
      </c>
      <c r="I657" s="47" t="s">
        <v>451</v>
      </c>
      <c r="J657" t="s">
        <v>287</v>
      </c>
      <c r="K657">
        <v>313</v>
      </c>
      <c r="L657">
        <v>430</v>
      </c>
      <c r="M657" s="24">
        <v>335</v>
      </c>
      <c r="N657" s="24">
        <v>438</v>
      </c>
      <c r="O657" s="24">
        <v>304</v>
      </c>
      <c r="P657" s="24">
        <v>437</v>
      </c>
      <c r="Q657">
        <v>270</v>
      </c>
      <c r="R657">
        <v>422</v>
      </c>
      <c r="S657">
        <v>329</v>
      </c>
      <c r="T657">
        <v>543</v>
      </c>
      <c r="U657">
        <v>441</v>
      </c>
      <c r="V657">
        <v>672</v>
      </c>
      <c r="W657">
        <v>729</v>
      </c>
      <c r="X657">
        <v>1079</v>
      </c>
    </row>
    <row r="658" spans="2:24" x14ac:dyDescent="0.35">
      <c r="B658" s="23" t="s">
        <v>476</v>
      </c>
      <c r="D658" t="s">
        <v>391</v>
      </c>
      <c r="E658" t="s">
        <v>392</v>
      </c>
      <c r="F658" s="46" t="s">
        <v>457</v>
      </c>
      <c r="G658" t="s">
        <v>239</v>
      </c>
      <c r="H658" s="47" t="s">
        <v>450</v>
      </c>
      <c r="I658" s="47" t="s">
        <v>451</v>
      </c>
      <c r="J658" t="s">
        <v>365</v>
      </c>
      <c r="K658">
        <v>294</v>
      </c>
      <c r="L658">
        <v>406</v>
      </c>
      <c r="M658" s="24">
        <v>270</v>
      </c>
      <c r="N658" s="24">
        <v>375</v>
      </c>
      <c r="O658" s="24">
        <v>245</v>
      </c>
      <c r="P658" s="24">
        <v>334</v>
      </c>
      <c r="Q658">
        <v>251</v>
      </c>
      <c r="R658">
        <v>363</v>
      </c>
      <c r="S658">
        <v>354</v>
      </c>
      <c r="T658">
        <v>531</v>
      </c>
      <c r="U658">
        <v>376</v>
      </c>
      <c r="V658">
        <v>574</v>
      </c>
      <c r="W658">
        <v>622</v>
      </c>
      <c r="X658">
        <v>870</v>
      </c>
    </row>
    <row r="659" spans="2:24" x14ac:dyDescent="0.35">
      <c r="B659" s="23" t="s">
        <v>480</v>
      </c>
      <c r="D659" t="s">
        <v>391</v>
      </c>
      <c r="E659" t="s">
        <v>392</v>
      </c>
      <c r="F659" s="46" t="s">
        <v>515</v>
      </c>
      <c r="G659" t="s">
        <v>265</v>
      </c>
      <c r="H659" s="47" t="s">
        <v>501</v>
      </c>
      <c r="I659" s="47" t="s">
        <v>502</v>
      </c>
      <c r="J659" t="s">
        <v>516</v>
      </c>
      <c r="K659">
        <v>540</v>
      </c>
      <c r="L659">
        <v>742</v>
      </c>
      <c r="M659" s="24">
        <v>547</v>
      </c>
      <c r="N659" s="24">
        <v>744</v>
      </c>
      <c r="O659" s="24">
        <v>466</v>
      </c>
      <c r="P659" s="24">
        <v>659</v>
      </c>
      <c r="Q659">
        <v>478</v>
      </c>
      <c r="R659">
        <v>714</v>
      </c>
      <c r="S659">
        <v>794</v>
      </c>
      <c r="T659">
        <v>1133</v>
      </c>
      <c r="U659">
        <v>1015</v>
      </c>
      <c r="V659">
        <v>1400</v>
      </c>
      <c r="W659">
        <v>1801</v>
      </c>
      <c r="X659">
        <v>2307</v>
      </c>
    </row>
    <row r="660" spans="2:24" x14ac:dyDescent="0.35">
      <c r="B660" s="23" t="s">
        <v>482</v>
      </c>
      <c r="D660" t="s">
        <v>391</v>
      </c>
      <c r="E660" t="s">
        <v>392</v>
      </c>
      <c r="F660" s="46" t="s">
        <v>437</v>
      </c>
      <c r="G660" t="s">
        <v>235</v>
      </c>
      <c r="H660" s="47" t="s">
        <v>419</v>
      </c>
      <c r="I660" s="47" t="s">
        <v>420</v>
      </c>
      <c r="J660" t="s">
        <v>438</v>
      </c>
      <c r="K660">
        <v>505</v>
      </c>
      <c r="L660">
        <v>666</v>
      </c>
      <c r="M660" s="24">
        <v>540</v>
      </c>
      <c r="N660" s="24">
        <v>663</v>
      </c>
      <c r="O660" s="24">
        <v>503</v>
      </c>
      <c r="P660" s="24">
        <v>639</v>
      </c>
      <c r="Q660">
        <v>471</v>
      </c>
      <c r="R660">
        <v>625</v>
      </c>
      <c r="S660">
        <v>631</v>
      </c>
      <c r="T660">
        <v>838</v>
      </c>
      <c r="U660">
        <v>734</v>
      </c>
      <c r="V660">
        <v>1032</v>
      </c>
      <c r="W660">
        <v>1637</v>
      </c>
      <c r="X660">
        <v>2043</v>
      </c>
    </row>
    <row r="661" spans="2:24" x14ac:dyDescent="0.35">
      <c r="B661" s="23" t="s">
        <v>483</v>
      </c>
      <c r="D661" t="s">
        <v>391</v>
      </c>
      <c r="E661" t="s">
        <v>392</v>
      </c>
      <c r="F661" s="46" t="s">
        <v>499</v>
      </c>
      <c r="G661" t="s">
        <v>259</v>
      </c>
      <c r="H661" s="47" t="s">
        <v>477</v>
      </c>
      <c r="I661" s="47" t="s">
        <v>478</v>
      </c>
      <c r="J661" t="s">
        <v>369</v>
      </c>
      <c r="K661">
        <v>130</v>
      </c>
      <c r="L661">
        <v>173</v>
      </c>
      <c r="M661" s="24">
        <v>142</v>
      </c>
      <c r="N661" s="24">
        <v>170</v>
      </c>
      <c r="O661" s="24">
        <v>135</v>
      </c>
      <c r="P661" s="24">
        <v>168</v>
      </c>
      <c r="Q661">
        <v>128</v>
      </c>
      <c r="R661">
        <v>181</v>
      </c>
      <c r="S661">
        <v>154</v>
      </c>
      <c r="T661">
        <v>205</v>
      </c>
      <c r="U661">
        <v>184</v>
      </c>
      <c r="V661">
        <v>233</v>
      </c>
      <c r="W661">
        <v>308</v>
      </c>
      <c r="X661">
        <v>385</v>
      </c>
    </row>
    <row r="662" spans="2:24" x14ac:dyDescent="0.35">
      <c r="B662" s="23" t="s">
        <v>485</v>
      </c>
      <c r="D662" t="s">
        <v>391</v>
      </c>
      <c r="E662" t="s">
        <v>392</v>
      </c>
      <c r="F662" s="46" t="s">
        <v>475</v>
      </c>
      <c r="G662" t="s">
        <v>255</v>
      </c>
      <c r="H662" s="47" t="s">
        <v>467</v>
      </c>
      <c r="I662" s="47" t="s">
        <v>468</v>
      </c>
      <c r="J662" t="s">
        <v>301</v>
      </c>
      <c r="K662">
        <v>206</v>
      </c>
      <c r="L662">
        <v>293</v>
      </c>
      <c r="M662" s="24">
        <v>226</v>
      </c>
      <c r="N662" s="24">
        <v>301</v>
      </c>
      <c r="O662" s="24">
        <v>197</v>
      </c>
      <c r="P662" s="24">
        <v>257</v>
      </c>
      <c r="Q662">
        <v>169</v>
      </c>
      <c r="R662">
        <v>225</v>
      </c>
      <c r="S662">
        <v>198</v>
      </c>
      <c r="T662">
        <v>278</v>
      </c>
      <c r="U662">
        <v>209</v>
      </c>
      <c r="V662">
        <v>312</v>
      </c>
      <c r="W662">
        <v>318</v>
      </c>
      <c r="X662">
        <v>427</v>
      </c>
    </row>
    <row r="663" spans="2:24" x14ac:dyDescent="0.35">
      <c r="B663" s="23" t="s">
        <v>487</v>
      </c>
      <c r="D663" t="s">
        <v>391</v>
      </c>
      <c r="E663" t="s">
        <v>392</v>
      </c>
      <c r="F663" s="46" t="s">
        <v>521</v>
      </c>
      <c r="G663" t="s">
        <v>265</v>
      </c>
      <c r="H663" s="47" t="s">
        <v>501</v>
      </c>
      <c r="I663" s="47" t="s">
        <v>502</v>
      </c>
      <c r="J663" t="s">
        <v>522</v>
      </c>
      <c r="K663">
        <v>152</v>
      </c>
      <c r="L663">
        <v>205</v>
      </c>
      <c r="M663" s="24">
        <v>124</v>
      </c>
      <c r="N663" s="24">
        <v>169</v>
      </c>
      <c r="O663" s="24">
        <v>125</v>
      </c>
      <c r="P663" s="24">
        <v>164</v>
      </c>
      <c r="Q663">
        <v>99</v>
      </c>
      <c r="R663">
        <v>143</v>
      </c>
      <c r="S663">
        <v>136</v>
      </c>
      <c r="T663">
        <v>183</v>
      </c>
      <c r="U663">
        <v>154</v>
      </c>
      <c r="V663">
        <v>204</v>
      </c>
      <c r="W663">
        <v>257</v>
      </c>
      <c r="X663">
        <v>338</v>
      </c>
    </row>
    <row r="664" spans="2:24" x14ac:dyDescent="0.35">
      <c r="B664" s="23" t="s">
        <v>488</v>
      </c>
      <c r="D664" t="s">
        <v>391</v>
      </c>
      <c r="E664" t="s">
        <v>392</v>
      </c>
      <c r="F664" s="46" t="s">
        <v>460</v>
      </c>
      <c r="G664" t="s">
        <v>239</v>
      </c>
      <c r="H664" s="47" t="s">
        <v>450</v>
      </c>
      <c r="I664" s="47" t="s">
        <v>451</v>
      </c>
      <c r="J664" t="s">
        <v>461</v>
      </c>
      <c r="K664">
        <v>165</v>
      </c>
      <c r="L664">
        <v>243</v>
      </c>
      <c r="M664" s="24">
        <v>146</v>
      </c>
      <c r="N664" s="24">
        <v>208</v>
      </c>
      <c r="O664" s="24">
        <v>132</v>
      </c>
      <c r="P664" s="24">
        <v>184</v>
      </c>
      <c r="Q664">
        <v>117</v>
      </c>
      <c r="R664">
        <v>159</v>
      </c>
      <c r="S664">
        <v>164</v>
      </c>
      <c r="T664">
        <v>227</v>
      </c>
      <c r="U664">
        <v>180</v>
      </c>
      <c r="V664">
        <v>271</v>
      </c>
      <c r="W664">
        <v>268</v>
      </c>
      <c r="X664">
        <v>417</v>
      </c>
    </row>
    <row r="665" spans="2:24" x14ac:dyDescent="0.35">
      <c r="B665" s="23" t="s">
        <v>489</v>
      </c>
      <c r="D665" t="s">
        <v>391</v>
      </c>
      <c r="E665" t="s">
        <v>392</v>
      </c>
      <c r="F665" s="46" t="s">
        <v>505</v>
      </c>
      <c r="G665" t="s">
        <v>265</v>
      </c>
      <c r="H665" s="47" t="s">
        <v>501</v>
      </c>
      <c r="I665" s="47" t="s">
        <v>502</v>
      </c>
      <c r="J665" t="s">
        <v>506</v>
      </c>
      <c r="K665">
        <v>368</v>
      </c>
      <c r="L665">
        <v>500</v>
      </c>
      <c r="M665" s="24">
        <v>340</v>
      </c>
      <c r="N665" s="24">
        <v>463</v>
      </c>
      <c r="O665" s="24">
        <v>278</v>
      </c>
      <c r="P665" s="24">
        <v>416</v>
      </c>
      <c r="Q665">
        <v>246</v>
      </c>
      <c r="R665">
        <v>369</v>
      </c>
      <c r="S665">
        <v>302</v>
      </c>
      <c r="T665">
        <v>441</v>
      </c>
      <c r="U665">
        <v>361</v>
      </c>
      <c r="V665">
        <v>522</v>
      </c>
      <c r="W665">
        <v>763</v>
      </c>
      <c r="X665">
        <v>955</v>
      </c>
    </row>
    <row r="666" spans="2:24" x14ac:dyDescent="0.35">
      <c r="B666" s="23" t="s">
        <v>491</v>
      </c>
      <c r="D666" t="s">
        <v>391</v>
      </c>
      <c r="E666" t="s">
        <v>392</v>
      </c>
      <c r="F666" s="46" t="s">
        <v>403</v>
      </c>
      <c r="G666" t="s">
        <v>231</v>
      </c>
      <c r="H666" s="47" t="s">
        <v>393</v>
      </c>
      <c r="I666" s="47" t="s">
        <v>394</v>
      </c>
      <c r="J666" t="s">
        <v>371</v>
      </c>
      <c r="K666">
        <v>175</v>
      </c>
      <c r="L666">
        <v>214</v>
      </c>
      <c r="M666" s="24">
        <v>161</v>
      </c>
      <c r="N666" s="24">
        <v>196</v>
      </c>
      <c r="O666" s="24">
        <v>158</v>
      </c>
      <c r="P666" s="24">
        <v>198</v>
      </c>
      <c r="Q666">
        <v>161</v>
      </c>
      <c r="R666">
        <v>208</v>
      </c>
      <c r="S666">
        <v>213</v>
      </c>
      <c r="T666">
        <v>288</v>
      </c>
      <c r="U666">
        <v>266</v>
      </c>
      <c r="V666">
        <v>368</v>
      </c>
      <c r="W666">
        <v>438</v>
      </c>
      <c r="X666">
        <v>571</v>
      </c>
    </row>
    <row r="667" spans="2:24" x14ac:dyDescent="0.35">
      <c r="B667" s="23" t="s">
        <v>493</v>
      </c>
      <c r="D667" t="s">
        <v>391</v>
      </c>
      <c r="E667" t="s">
        <v>392</v>
      </c>
      <c r="F667" s="46" t="s">
        <v>483</v>
      </c>
      <c r="G667" t="s">
        <v>259</v>
      </c>
      <c r="H667" s="47" t="s">
        <v>477</v>
      </c>
      <c r="I667" s="47" t="s">
        <v>478</v>
      </c>
      <c r="J667" t="s">
        <v>484</v>
      </c>
      <c r="K667">
        <v>256</v>
      </c>
      <c r="L667">
        <v>359</v>
      </c>
      <c r="M667" s="24">
        <v>265</v>
      </c>
      <c r="N667" s="24">
        <v>352</v>
      </c>
      <c r="O667" s="24">
        <v>260</v>
      </c>
      <c r="P667" s="24">
        <v>342</v>
      </c>
      <c r="Q667">
        <v>269</v>
      </c>
      <c r="R667">
        <v>334</v>
      </c>
      <c r="S667">
        <v>342</v>
      </c>
      <c r="T667">
        <v>446</v>
      </c>
      <c r="U667">
        <v>393</v>
      </c>
      <c r="V667">
        <v>506</v>
      </c>
      <c r="W667">
        <v>785</v>
      </c>
      <c r="X667">
        <v>955</v>
      </c>
    </row>
    <row r="668" spans="2:24" x14ac:dyDescent="0.35">
      <c r="B668" s="23" t="s">
        <v>495</v>
      </c>
      <c r="D668" t="s">
        <v>391</v>
      </c>
      <c r="E668" t="s">
        <v>392</v>
      </c>
      <c r="F668" s="46" t="s">
        <v>470</v>
      </c>
      <c r="G668" t="s">
        <v>255</v>
      </c>
      <c r="H668" s="47" t="s">
        <v>467</v>
      </c>
      <c r="I668" s="47" t="s">
        <v>468</v>
      </c>
      <c r="J668" t="s">
        <v>375</v>
      </c>
      <c r="K668">
        <v>231</v>
      </c>
      <c r="L668">
        <v>287</v>
      </c>
      <c r="M668" s="24">
        <v>223</v>
      </c>
      <c r="N668" s="24">
        <v>255</v>
      </c>
      <c r="O668" s="24">
        <v>196</v>
      </c>
      <c r="P668" s="24">
        <v>221</v>
      </c>
      <c r="Q668">
        <v>176</v>
      </c>
      <c r="R668">
        <v>228</v>
      </c>
      <c r="S668">
        <v>235</v>
      </c>
      <c r="T668">
        <v>303</v>
      </c>
      <c r="U668">
        <v>260</v>
      </c>
      <c r="V668">
        <v>359</v>
      </c>
      <c r="W668">
        <v>407</v>
      </c>
      <c r="X668">
        <v>563</v>
      </c>
    </row>
    <row r="669" spans="2:24" x14ac:dyDescent="0.35">
      <c r="B669" s="23" t="s">
        <v>497</v>
      </c>
      <c r="D669" t="s">
        <v>391</v>
      </c>
      <c r="E669" t="s">
        <v>392</v>
      </c>
      <c r="F669" s="46" t="s">
        <v>445</v>
      </c>
      <c r="G669" t="s">
        <v>235</v>
      </c>
      <c r="H669" s="47" t="s">
        <v>419</v>
      </c>
      <c r="I669" s="47" t="s">
        <v>420</v>
      </c>
      <c r="J669" t="s">
        <v>446</v>
      </c>
      <c r="K669">
        <v>341</v>
      </c>
      <c r="L669">
        <v>442</v>
      </c>
      <c r="M669" s="24">
        <v>315</v>
      </c>
      <c r="N669" s="24">
        <v>414</v>
      </c>
      <c r="O669" s="24">
        <v>265</v>
      </c>
      <c r="P669" s="24">
        <v>378</v>
      </c>
      <c r="Q669">
        <v>317</v>
      </c>
      <c r="R669">
        <v>432</v>
      </c>
      <c r="S669">
        <v>430</v>
      </c>
      <c r="T669">
        <v>577</v>
      </c>
      <c r="U669">
        <v>463</v>
      </c>
      <c r="V669">
        <v>616</v>
      </c>
      <c r="W669">
        <v>833</v>
      </c>
      <c r="X669">
        <v>1087</v>
      </c>
    </row>
    <row r="670" spans="2:24" x14ac:dyDescent="0.35">
      <c r="B670" s="23" t="s">
        <v>499</v>
      </c>
      <c r="D670" t="s">
        <v>391</v>
      </c>
      <c r="E670" t="s">
        <v>392</v>
      </c>
      <c r="F670" s="46" t="s">
        <v>529</v>
      </c>
      <c r="G670" t="s">
        <v>273</v>
      </c>
      <c r="H670" s="47" t="s">
        <v>524</v>
      </c>
      <c r="I670" s="47" t="s">
        <v>525</v>
      </c>
      <c r="J670" t="s">
        <v>530</v>
      </c>
      <c r="K670">
        <v>315</v>
      </c>
      <c r="L670">
        <v>418</v>
      </c>
      <c r="M670" s="24">
        <v>358</v>
      </c>
      <c r="N670" s="24">
        <v>467</v>
      </c>
      <c r="O670" s="24">
        <v>326</v>
      </c>
      <c r="P670" s="24">
        <v>416</v>
      </c>
      <c r="Q670">
        <v>331</v>
      </c>
      <c r="R670">
        <v>443</v>
      </c>
      <c r="S670">
        <v>399</v>
      </c>
      <c r="T670">
        <v>541</v>
      </c>
      <c r="U670">
        <v>443</v>
      </c>
      <c r="V670">
        <v>617</v>
      </c>
      <c r="W670">
        <v>673</v>
      </c>
      <c r="X670">
        <v>906</v>
      </c>
    </row>
    <row r="671" spans="2:24" x14ac:dyDescent="0.35">
      <c r="B671" s="23" t="s">
        <v>500</v>
      </c>
      <c r="D671" t="s">
        <v>391</v>
      </c>
      <c r="E671" t="s">
        <v>392</v>
      </c>
      <c r="F671" s="46" t="s">
        <v>408</v>
      </c>
      <c r="G671" t="s">
        <v>231</v>
      </c>
      <c r="H671" s="47" t="s">
        <v>393</v>
      </c>
      <c r="I671" s="47" t="s">
        <v>394</v>
      </c>
      <c r="J671" t="s">
        <v>409</v>
      </c>
      <c r="K671">
        <v>973</v>
      </c>
      <c r="L671">
        <v>1305</v>
      </c>
      <c r="M671" s="24">
        <v>992</v>
      </c>
      <c r="N671" s="24">
        <v>1343</v>
      </c>
      <c r="O671" s="24">
        <v>915</v>
      </c>
      <c r="P671" s="24">
        <v>1243</v>
      </c>
      <c r="Q671">
        <v>948</v>
      </c>
      <c r="R671">
        <v>1339</v>
      </c>
      <c r="S671">
        <v>1206</v>
      </c>
      <c r="T671">
        <v>1728</v>
      </c>
      <c r="U671">
        <v>1268</v>
      </c>
      <c r="V671">
        <v>1892</v>
      </c>
      <c r="W671">
        <v>2022</v>
      </c>
      <c r="X671">
        <v>2822</v>
      </c>
    </row>
    <row r="672" spans="2:24" x14ac:dyDescent="0.35">
      <c r="B672" s="23" t="s">
        <v>503</v>
      </c>
      <c r="D672" t="s">
        <v>391</v>
      </c>
      <c r="E672" t="s">
        <v>392</v>
      </c>
      <c r="F672" s="46" t="s">
        <v>414</v>
      </c>
      <c r="G672" t="s">
        <v>231</v>
      </c>
      <c r="H672" s="47" t="s">
        <v>393</v>
      </c>
      <c r="I672" s="47" t="s">
        <v>394</v>
      </c>
      <c r="J672" t="s">
        <v>415</v>
      </c>
      <c r="K672">
        <v>152</v>
      </c>
      <c r="L672">
        <v>222</v>
      </c>
      <c r="M672" s="24">
        <v>149</v>
      </c>
      <c r="N672" s="24">
        <v>218</v>
      </c>
      <c r="O672" s="24">
        <v>131</v>
      </c>
      <c r="P672" s="24">
        <v>201</v>
      </c>
      <c r="Q672">
        <v>126</v>
      </c>
      <c r="R672">
        <v>191</v>
      </c>
      <c r="S672">
        <v>189</v>
      </c>
      <c r="T672">
        <v>263</v>
      </c>
      <c r="U672">
        <v>219</v>
      </c>
      <c r="V672">
        <v>314</v>
      </c>
      <c r="W672">
        <v>313</v>
      </c>
      <c r="X672">
        <v>426</v>
      </c>
    </row>
    <row r="673" spans="2:39" x14ac:dyDescent="0.35">
      <c r="B673" s="23" t="s">
        <v>505</v>
      </c>
      <c r="D673" t="s">
        <v>391</v>
      </c>
      <c r="E673" t="s">
        <v>392</v>
      </c>
      <c r="F673" s="46" t="s">
        <v>397</v>
      </c>
      <c r="G673" t="s">
        <v>231</v>
      </c>
      <c r="H673" s="47" t="s">
        <v>393</v>
      </c>
      <c r="I673" s="47" t="s">
        <v>394</v>
      </c>
      <c r="J673" t="s">
        <v>398</v>
      </c>
      <c r="K673">
        <v>6235</v>
      </c>
      <c r="L673">
        <v>8870</v>
      </c>
      <c r="M673" s="24">
        <v>6552</v>
      </c>
      <c r="N673" s="24">
        <v>8831</v>
      </c>
      <c r="O673" s="24">
        <v>5992</v>
      </c>
      <c r="P673" s="24">
        <v>8345</v>
      </c>
      <c r="Q673">
        <v>5781</v>
      </c>
      <c r="R673">
        <v>8421</v>
      </c>
      <c r="S673">
        <v>7784</v>
      </c>
      <c r="T673">
        <v>11422</v>
      </c>
      <c r="U673">
        <v>8851</v>
      </c>
      <c r="V673">
        <v>12835</v>
      </c>
      <c r="W673">
        <v>15734</v>
      </c>
      <c r="X673">
        <v>21257</v>
      </c>
    </row>
    <row r="674" spans="2:39" x14ac:dyDescent="0.35">
      <c r="B674" s="23" t="s">
        <v>507</v>
      </c>
      <c r="D674" t="s">
        <v>391</v>
      </c>
      <c r="E674" t="s">
        <v>392</v>
      </c>
      <c r="F674" s="46" t="s">
        <v>424</v>
      </c>
      <c r="G674" t="s">
        <v>235</v>
      </c>
      <c r="H674" s="47" t="s">
        <v>419</v>
      </c>
      <c r="I674" s="47" t="s">
        <v>420</v>
      </c>
      <c r="J674" t="s">
        <v>377</v>
      </c>
      <c r="K674">
        <v>321</v>
      </c>
      <c r="L674">
        <v>411</v>
      </c>
      <c r="M674" s="24">
        <v>295</v>
      </c>
      <c r="N674" s="24">
        <v>374</v>
      </c>
      <c r="O674" s="24">
        <v>256</v>
      </c>
      <c r="P674" s="24">
        <v>350</v>
      </c>
      <c r="Q674">
        <v>246</v>
      </c>
      <c r="R674">
        <v>338</v>
      </c>
      <c r="S674">
        <v>309</v>
      </c>
      <c r="T674">
        <v>426</v>
      </c>
      <c r="U674">
        <v>363</v>
      </c>
      <c r="V674">
        <v>518</v>
      </c>
      <c r="W674">
        <v>621</v>
      </c>
      <c r="X674">
        <v>800</v>
      </c>
    </row>
    <row r="675" spans="2:39" x14ac:dyDescent="0.35">
      <c r="B675" s="23" t="s">
        <v>509</v>
      </c>
      <c r="D675" t="s">
        <v>391</v>
      </c>
      <c r="E675" t="s">
        <v>392</v>
      </c>
      <c r="F675" s="46" t="s">
        <v>439</v>
      </c>
      <c r="G675" t="s">
        <v>235</v>
      </c>
      <c r="H675" s="47" t="s">
        <v>419</v>
      </c>
      <c r="I675" s="47" t="s">
        <v>420</v>
      </c>
      <c r="J675" t="s">
        <v>440</v>
      </c>
      <c r="K675">
        <v>300</v>
      </c>
      <c r="L675">
        <v>379</v>
      </c>
      <c r="M675" s="24">
        <v>296</v>
      </c>
      <c r="N675" s="24">
        <v>352</v>
      </c>
      <c r="O675" s="24">
        <v>287</v>
      </c>
      <c r="P675" s="24">
        <v>378</v>
      </c>
      <c r="Q675">
        <v>283</v>
      </c>
      <c r="R675">
        <v>367</v>
      </c>
      <c r="S675">
        <v>394</v>
      </c>
      <c r="T675">
        <v>505</v>
      </c>
      <c r="U675">
        <v>438</v>
      </c>
      <c r="V675">
        <v>550</v>
      </c>
      <c r="W675">
        <v>848</v>
      </c>
      <c r="X675">
        <v>1058</v>
      </c>
    </row>
    <row r="676" spans="2:39" x14ac:dyDescent="0.35">
      <c r="B676" s="23" t="s">
        <v>511</v>
      </c>
      <c r="D676" t="s">
        <v>391</v>
      </c>
      <c r="E676" t="s">
        <v>392</v>
      </c>
      <c r="F676" s="46" t="s">
        <v>404</v>
      </c>
      <c r="G676" t="s">
        <v>231</v>
      </c>
      <c r="H676" s="47" t="s">
        <v>393</v>
      </c>
      <c r="I676" s="47" t="s">
        <v>394</v>
      </c>
      <c r="J676" t="s">
        <v>405</v>
      </c>
      <c r="K676">
        <v>1931</v>
      </c>
      <c r="L676">
        <v>2643</v>
      </c>
      <c r="M676" s="24">
        <v>2011</v>
      </c>
      <c r="N676" s="24">
        <v>2695</v>
      </c>
      <c r="O676" s="24">
        <v>1976</v>
      </c>
      <c r="P676" s="24">
        <v>2679</v>
      </c>
      <c r="Q676">
        <v>1987</v>
      </c>
      <c r="R676">
        <v>2704</v>
      </c>
      <c r="S676">
        <v>2314</v>
      </c>
      <c r="T676">
        <v>3454</v>
      </c>
      <c r="U676">
        <v>2555</v>
      </c>
      <c r="V676">
        <v>3899</v>
      </c>
      <c r="W676">
        <v>3983</v>
      </c>
      <c r="X676">
        <v>5717</v>
      </c>
    </row>
    <row r="677" spans="2:39" x14ac:dyDescent="0.35">
      <c r="B677" s="23" t="s">
        <v>513</v>
      </c>
      <c r="D677" t="s">
        <v>391</v>
      </c>
      <c r="E677" t="s">
        <v>392</v>
      </c>
      <c r="F677" s="46" t="s">
        <v>527</v>
      </c>
      <c r="G677" t="s">
        <v>273</v>
      </c>
      <c r="H677" s="47" t="s">
        <v>524</v>
      </c>
      <c r="I677" s="47" t="s">
        <v>525</v>
      </c>
      <c r="J677" t="s">
        <v>528</v>
      </c>
      <c r="K677">
        <v>106</v>
      </c>
      <c r="L677">
        <v>159</v>
      </c>
      <c r="M677" s="24">
        <v>121</v>
      </c>
      <c r="N677" s="24">
        <v>159</v>
      </c>
      <c r="O677" s="24">
        <v>97</v>
      </c>
      <c r="P677" s="24">
        <v>145</v>
      </c>
      <c r="Q677">
        <v>100</v>
      </c>
      <c r="R677">
        <v>156</v>
      </c>
      <c r="S677">
        <v>128</v>
      </c>
      <c r="T677">
        <v>208</v>
      </c>
      <c r="U677">
        <v>160</v>
      </c>
      <c r="V677">
        <v>259</v>
      </c>
      <c r="W677">
        <v>302</v>
      </c>
      <c r="X677">
        <v>432</v>
      </c>
    </row>
    <row r="678" spans="2:39" x14ac:dyDescent="0.35">
      <c r="B678" s="23" t="s">
        <v>515</v>
      </c>
      <c r="D678" t="s">
        <v>391</v>
      </c>
      <c r="E678" t="s">
        <v>392</v>
      </c>
      <c r="F678" s="46" t="s">
        <v>464</v>
      </c>
      <c r="G678" t="s">
        <v>239</v>
      </c>
      <c r="H678" s="47" t="s">
        <v>450</v>
      </c>
      <c r="I678" s="47" t="s">
        <v>451</v>
      </c>
      <c r="J678" t="s">
        <v>465</v>
      </c>
      <c r="K678">
        <v>172</v>
      </c>
      <c r="L678">
        <v>222</v>
      </c>
      <c r="M678" s="24">
        <v>174</v>
      </c>
      <c r="N678" s="24">
        <v>216</v>
      </c>
      <c r="O678" s="24">
        <v>158</v>
      </c>
      <c r="P678" s="24">
        <v>182</v>
      </c>
      <c r="Q678">
        <v>170</v>
      </c>
      <c r="R678">
        <v>218</v>
      </c>
      <c r="S678">
        <v>174</v>
      </c>
      <c r="T678">
        <v>252</v>
      </c>
      <c r="U678">
        <v>197</v>
      </c>
      <c r="V678">
        <v>288</v>
      </c>
      <c r="W678">
        <v>265</v>
      </c>
      <c r="X678">
        <v>385</v>
      </c>
    </row>
    <row r="679" spans="2:39" x14ac:dyDescent="0.35">
      <c r="B679" s="23" t="s">
        <v>517</v>
      </c>
      <c r="D679" t="s">
        <v>391</v>
      </c>
      <c r="E679" t="s">
        <v>392</v>
      </c>
      <c r="F679" s="46" t="s">
        <v>532</v>
      </c>
      <c r="G679" t="s">
        <v>273</v>
      </c>
      <c r="H679" s="47" t="s">
        <v>524</v>
      </c>
      <c r="I679" s="47" t="s">
        <v>525</v>
      </c>
      <c r="J679" t="s">
        <v>533</v>
      </c>
      <c r="K679">
        <v>1981</v>
      </c>
      <c r="L679">
        <v>2734</v>
      </c>
      <c r="M679" s="24">
        <v>1951</v>
      </c>
      <c r="N679" s="24">
        <v>2650</v>
      </c>
      <c r="O679" s="24">
        <v>1716</v>
      </c>
      <c r="P679" s="24">
        <v>2572</v>
      </c>
      <c r="Q679">
        <v>1762</v>
      </c>
      <c r="R679">
        <v>2681</v>
      </c>
      <c r="S679">
        <v>2370</v>
      </c>
      <c r="T679">
        <v>3589</v>
      </c>
      <c r="U679">
        <v>2622</v>
      </c>
      <c r="V679">
        <v>4102</v>
      </c>
      <c r="W679">
        <v>4351</v>
      </c>
      <c r="X679">
        <v>6147</v>
      </c>
    </row>
    <row r="680" spans="2:39" x14ac:dyDescent="0.35">
      <c r="B680" s="23" t="s">
        <v>519</v>
      </c>
      <c r="D680" t="s">
        <v>391</v>
      </c>
      <c r="E680" t="s">
        <v>392</v>
      </c>
      <c r="F680" s="46" t="s">
        <v>511</v>
      </c>
      <c r="G680" t="s">
        <v>265</v>
      </c>
      <c r="H680" s="47" t="s">
        <v>501</v>
      </c>
      <c r="I680" s="47" t="s">
        <v>502</v>
      </c>
      <c r="J680" t="s">
        <v>512</v>
      </c>
      <c r="K680">
        <v>208</v>
      </c>
      <c r="L680">
        <v>303</v>
      </c>
      <c r="M680" s="24">
        <v>183</v>
      </c>
      <c r="N680" s="24">
        <v>262</v>
      </c>
      <c r="O680" s="24">
        <v>174</v>
      </c>
      <c r="P680" s="24">
        <v>229</v>
      </c>
      <c r="Q680">
        <v>172</v>
      </c>
      <c r="R680">
        <v>234</v>
      </c>
      <c r="S680">
        <v>235</v>
      </c>
      <c r="T680">
        <v>319</v>
      </c>
      <c r="U680">
        <v>290</v>
      </c>
      <c r="V680">
        <v>402</v>
      </c>
      <c r="W680">
        <v>461</v>
      </c>
      <c r="X680">
        <v>597</v>
      </c>
    </row>
    <row r="681" spans="2:39" x14ac:dyDescent="0.35">
      <c r="B681" s="23" t="s">
        <v>521</v>
      </c>
      <c r="D681" t="s">
        <v>391</v>
      </c>
      <c r="E681" t="s">
        <v>392</v>
      </c>
      <c r="F681" s="46" t="s">
        <v>431</v>
      </c>
      <c r="G681" t="s">
        <v>235</v>
      </c>
      <c r="H681" s="47" t="s">
        <v>419</v>
      </c>
      <c r="I681" s="47" t="s">
        <v>420</v>
      </c>
      <c r="J681" t="s">
        <v>432</v>
      </c>
      <c r="K681">
        <v>333</v>
      </c>
      <c r="L681">
        <v>439</v>
      </c>
      <c r="M681" s="24">
        <v>352</v>
      </c>
      <c r="N681" s="24">
        <v>439</v>
      </c>
      <c r="O681" s="24">
        <v>336</v>
      </c>
      <c r="P681" s="24">
        <v>447</v>
      </c>
      <c r="Q681">
        <v>307</v>
      </c>
      <c r="R681">
        <v>417</v>
      </c>
      <c r="S681">
        <v>369</v>
      </c>
      <c r="T681">
        <v>501</v>
      </c>
      <c r="U681">
        <v>401</v>
      </c>
      <c r="V681">
        <v>581</v>
      </c>
      <c r="W681">
        <v>622</v>
      </c>
      <c r="X681">
        <v>847</v>
      </c>
    </row>
    <row r="682" spans="2:39" x14ac:dyDescent="0.35">
      <c r="B682" s="23" t="s">
        <v>523</v>
      </c>
      <c r="D682" t="s">
        <v>391</v>
      </c>
      <c r="E682" t="s">
        <v>392</v>
      </c>
      <c r="F682" s="46" t="s">
        <v>447</v>
      </c>
      <c r="G682" t="s">
        <v>235</v>
      </c>
      <c r="H682" s="47" t="s">
        <v>419</v>
      </c>
      <c r="I682" s="47" t="s">
        <v>420</v>
      </c>
      <c r="J682" t="s">
        <v>448</v>
      </c>
      <c r="K682">
        <v>224</v>
      </c>
      <c r="L682">
        <v>320</v>
      </c>
      <c r="M682" s="24">
        <v>222</v>
      </c>
      <c r="N682" s="24">
        <v>305</v>
      </c>
      <c r="O682" s="24">
        <v>222</v>
      </c>
      <c r="P682" s="24">
        <v>299</v>
      </c>
      <c r="Q682">
        <v>239</v>
      </c>
      <c r="R682">
        <v>299</v>
      </c>
      <c r="S682">
        <v>259</v>
      </c>
      <c r="T682">
        <v>341</v>
      </c>
      <c r="U682">
        <v>285</v>
      </c>
      <c r="V682">
        <v>388</v>
      </c>
      <c r="W682">
        <v>373</v>
      </c>
      <c r="X682">
        <v>514</v>
      </c>
    </row>
    <row r="683" spans="2:39" x14ac:dyDescent="0.35">
      <c r="B683" s="23" t="s">
        <v>527</v>
      </c>
      <c r="D683" t="s">
        <v>391</v>
      </c>
      <c r="E683" t="s">
        <v>392</v>
      </c>
      <c r="F683" s="46" t="s">
        <v>517</v>
      </c>
      <c r="G683" t="s">
        <v>265</v>
      </c>
      <c r="H683" s="47" t="s">
        <v>501</v>
      </c>
      <c r="I683" s="47" t="s">
        <v>502</v>
      </c>
      <c r="J683" t="s">
        <v>518</v>
      </c>
      <c r="K683">
        <v>634</v>
      </c>
      <c r="L683">
        <v>830</v>
      </c>
      <c r="M683" s="24">
        <v>604</v>
      </c>
      <c r="N683" s="24">
        <v>790</v>
      </c>
      <c r="O683" s="24">
        <v>558</v>
      </c>
      <c r="P683" s="24">
        <v>757</v>
      </c>
      <c r="Q683">
        <v>547</v>
      </c>
      <c r="R683">
        <v>757</v>
      </c>
      <c r="S683">
        <v>763</v>
      </c>
      <c r="T683">
        <v>1042</v>
      </c>
      <c r="U683">
        <v>909</v>
      </c>
      <c r="V683">
        <v>1242</v>
      </c>
      <c r="W683">
        <v>1577</v>
      </c>
      <c r="X683">
        <v>2092</v>
      </c>
    </row>
    <row r="684" spans="2:39" x14ac:dyDescent="0.35">
      <c r="B684" s="23" t="s">
        <v>529</v>
      </c>
      <c r="D684" t="s">
        <v>391</v>
      </c>
      <c r="E684" t="s">
        <v>392</v>
      </c>
      <c r="F684" s="46" t="s">
        <v>410</v>
      </c>
      <c r="G684" t="s">
        <v>231</v>
      </c>
      <c r="H684" s="47" t="s">
        <v>393</v>
      </c>
      <c r="I684" s="47" t="s">
        <v>394</v>
      </c>
      <c r="J684" t="s">
        <v>411</v>
      </c>
      <c r="K684">
        <v>301</v>
      </c>
      <c r="L684">
        <v>399</v>
      </c>
      <c r="M684" s="24">
        <v>299</v>
      </c>
      <c r="N684" s="24">
        <v>405</v>
      </c>
      <c r="O684" s="24">
        <v>298</v>
      </c>
      <c r="P684" s="24">
        <v>386</v>
      </c>
      <c r="Q684">
        <v>291</v>
      </c>
      <c r="R684">
        <v>394</v>
      </c>
      <c r="S684">
        <v>357</v>
      </c>
      <c r="T684">
        <v>491</v>
      </c>
      <c r="U684">
        <v>358</v>
      </c>
      <c r="V684">
        <v>540</v>
      </c>
      <c r="W684">
        <v>571</v>
      </c>
      <c r="X684">
        <v>836</v>
      </c>
    </row>
    <row r="685" spans="2:39" x14ac:dyDescent="0.35">
      <c r="B685" s="23" t="s">
        <v>531</v>
      </c>
      <c r="D685" t="s">
        <v>391</v>
      </c>
      <c r="E685" t="s">
        <v>392</v>
      </c>
      <c r="F685" s="46" t="s">
        <v>454</v>
      </c>
      <c r="G685" t="s">
        <v>239</v>
      </c>
      <c r="H685" s="47" t="s">
        <v>450</v>
      </c>
      <c r="I685" s="47" t="s">
        <v>451</v>
      </c>
      <c r="J685" t="s">
        <v>385</v>
      </c>
      <c r="K685">
        <v>4278</v>
      </c>
      <c r="L685">
        <v>6367</v>
      </c>
      <c r="M685" s="24">
        <v>4555</v>
      </c>
      <c r="N685" s="24">
        <v>6344</v>
      </c>
      <c r="O685" s="24">
        <v>4162</v>
      </c>
      <c r="P685" s="24">
        <v>6031</v>
      </c>
      <c r="Q685">
        <v>4247</v>
      </c>
      <c r="R685">
        <v>6408</v>
      </c>
      <c r="S685">
        <v>5215</v>
      </c>
      <c r="T685">
        <v>8297</v>
      </c>
      <c r="U685">
        <v>5460</v>
      </c>
      <c r="V685">
        <v>8952</v>
      </c>
      <c r="W685">
        <v>8087</v>
      </c>
      <c r="X685">
        <v>12492</v>
      </c>
    </row>
    <row r="686" spans="2:39" x14ac:dyDescent="0.35">
      <c r="B686" s="23" t="s">
        <v>532</v>
      </c>
      <c r="D686" t="s">
        <v>391</v>
      </c>
      <c r="E686" t="s">
        <v>392</v>
      </c>
      <c r="F686" s="46" t="s">
        <v>416</v>
      </c>
      <c r="G686" t="s">
        <v>231</v>
      </c>
      <c r="H686" s="47" t="s">
        <v>393</v>
      </c>
      <c r="I686" s="47" t="s">
        <v>394</v>
      </c>
      <c r="J686" t="s">
        <v>417</v>
      </c>
      <c r="K686">
        <v>1242</v>
      </c>
      <c r="L686">
        <v>1721</v>
      </c>
      <c r="M686" s="24">
        <v>1282</v>
      </c>
      <c r="N686" s="24">
        <v>1679</v>
      </c>
      <c r="O686" s="24">
        <v>1231</v>
      </c>
      <c r="P686" s="24">
        <v>1624</v>
      </c>
      <c r="Q686">
        <v>1218</v>
      </c>
      <c r="R686">
        <v>1678</v>
      </c>
      <c r="S686">
        <v>1484</v>
      </c>
      <c r="T686">
        <v>2140</v>
      </c>
      <c r="U686">
        <v>1592</v>
      </c>
      <c r="V686">
        <v>2335</v>
      </c>
      <c r="W686">
        <v>2660</v>
      </c>
      <c r="X686">
        <v>3676</v>
      </c>
    </row>
    <row r="687" spans="2:39" x14ac:dyDescent="0.35">
      <c r="B687" s="23" t="s">
        <v>534</v>
      </c>
      <c r="D687" t="s">
        <v>391</v>
      </c>
      <c r="E687" t="s">
        <v>392</v>
      </c>
      <c r="F687" s="46" t="s">
        <v>425</v>
      </c>
      <c r="G687" t="s">
        <v>235</v>
      </c>
      <c r="H687" s="47" t="s">
        <v>419</v>
      </c>
      <c r="I687" s="47" t="s">
        <v>420</v>
      </c>
      <c r="J687" t="s">
        <v>426</v>
      </c>
      <c r="K687">
        <v>121</v>
      </c>
      <c r="L687">
        <v>150</v>
      </c>
      <c r="M687" s="24">
        <v>140</v>
      </c>
      <c r="N687" s="24">
        <v>157</v>
      </c>
      <c r="O687" s="24">
        <v>131</v>
      </c>
      <c r="P687" s="24">
        <v>150</v>
      </c>
      <c r="Q687">
        <v>144</v>
      </c>
      <c r="R687">
        <v>166</v>
      </c>
      <c r="S687">
        <v>157</v>
      </c>
      <c r="T687">
        <v>193</v>
      </c>
      <c r="U687">
        <v>178</v>
      </c>
      <c r="V687">
        <v>235</v>
      </c>
      <c r="W687">
        <v>270</v>
      </c>
      <c r="X687">
        <v>340</v>
      </c>
      <c r="AB687" s="23" t="s">
        <v>2831</v>
      </c>
      <c r="AC687" s="23" t="s">
        <v>2832</v>
      </c>
      <c r="AD687" s="23" t="s">
        <v>2831</v>
      </c>
      <c r="AE687" s="23" t="s">
        <v>2832</v>
      </c>
      <c r="AF687" s="23" t="s">
        <v>2831</v>
      </c>
      <c r="AG687" s="23" t="s">
        <v>2832</v>
      </c>
      <c r="AH687" s="23" t="s">
        <v>2831</v>
      </c>
      <c r="AI687" s="23" t="s">
        <v>2832</v>
      </c>
      <c r="AJ687" s="23" t="s">
        <v>2831</v>
      </c>
      <c r="AK687" s="23" t="s">
        <v>2832</v>
      </c>
      <c r="AL687" s="23" t="s">
        <v>2831</v>
      </c>
      <c r="AM687" s="23" t="s">
        <v>2832</v>
      </c>
    </row>
    <row r="688" spans="2:39" x14ac:dyDescent="0.35">
      <c r="B688" s="23" t="s">
        <v>536</v>
      </c>
      <c r="D688" t="s">
        <v>391</v>
      </c>
      <c r="E688" t="s">
        <v>392</v>
      </c>
      <c r="F688" s="46" t="s">
        <v>399</v>
      </c>
      <c r="G688" t="s">
        <v>231</v>
      </c>
      <c r="H688" s="47" t="s">
        <v>393</v>
      </c>
      <c r="I688" s="47" t="s">
        <v>394</v>
      </c>
      <c r="J688" t="s">
        <v>400</v>
      </c>
      <c r="K688">
        <v>312</v>
      </c>
      <c r="L688">
        <v>404</v>
      </c>
      <c r="M688" s="24">
        <v>273</v>
      </c>
      <c r="N688" s="24">
        <v>362</v>
      </c>
      <c r="O688" s="24">
        <v>226</v>
      </c>
      <c r="P688" s="24">
        <v>341</v>
      </c>
      <c r="Q688">
        <v>206</v>
      </c>
      <c r="R688">
        <v>331</v>
      </c>
      <c r="S688">
        <v>309</v>
      </c>
      <c r="T688">
        <v>472</v>
      </c>
      <c r="U688">
        <v>327</v>
      </c>
      <c r="V688">
        <v>478</v>
      </c>
      <c r="W688">
        <v>550</v>
      </c>
      <c r="X688">
        <v>761</v>
      </c>
      <c r="Z688" t="s">
        <v>2830</v>
      </c>
      <c r="AB688">
        <v>2019</v>
      </c>
      <c r="AC688">
        <v>2019</v>
      </c>
      <c r="AD688">
        <v>2020</v>
      </c>
      <c r="AE688">
        <v>2020</v>
      </c>
      <c r="AF688">
        <v>2021</v>
      </c>
      <c r="AG688">
        <v>2021</v>
      </c>
      <c r="AH688">
        <v>2022</v>
      </c>
      <c r="AI688">
        <v>2022</v>
      </c>
      <c r="AJ688">
        <v>2023</v>
      </c>
      <c r="AK688">
        <v>2023</v>
      </c>
      <c r="AL688">
        <v>2024</v>
      </c>
      <c r="AM688">
        <v>2024</v>
      </c>
    </row>
    <row r="689" spans="2:39" x14ac:dyDescent="0.35">
      <c r="B689" s="23" t="s">
        <v>538</v>
      </c>
      <c r="D689" t="s">
        <v>539</v>
      </c>
      <c r="E689" t="s">
        <v>540</v>
      </c>
      <c r="F689" s="46" t="s">
        <v>538</v>
      </c>
      <c r="G689" t="s">
        <v>231</v>
      </c>
      <c r="H689" s="23">
        <v>1</v>
      </c>
      <c r="I689" s="23" t="s">
        <v>541</v>
      </c>
      <c r="J689" t="s">
        <v>542</v>
      </c>
      <c r="K689">
        <v>10194</v>
      </c>
      <c r="L689">
        <v>15038</v>
      </c>
      <c r="M689" s="24">
        <v>9854</v>
      </c>
      <c r="N689" s="24">
        <v>15005</v>
      </c>
      <c r="O689" s="24">
        <v>8765</v>
      </c>
      <c r="P689" s="24">
        <v>14980</v>
      </c>
      <c r="Q689">
        <v>8304</v>
      </c>
      <c r="R689">
        <v>14990</v>
      </c>
      <c r="S689">
        <v>10658</v>
      </c>
      <c r="T689">
        <v>19000</v>
      </c>
      <c r="U689">
        <v>12446</v>
      </c>
      <c r="V689">
        <v>23015</v>
      </c>
      <c r="W689">
        <v>19761</v>
      </c>
      <c r="X689">
        <v>33218</v>
      </c>
      <c r="Z689" t="s">
        <v>542</v>
      </c>
      <c r="AA689" t="s">
        <v>542</v>
      </c>
      <c r="AB689">
        <v>9854</v>
      </c>
      <c r="AC689">
        <v>15005</v>
      </c>
      <c r="AD689">
        <v>8765</v>
      </c>
      <c r="AE689">
        <v>14980</v>
      </c>
      <c r="AF689">
        <v>8304</v>
      </c>
      <c r="AG689">
        <v>14990</v>
      </c>
      <c r="AH689">
        <v>10658</v>
      </c>
      <c r="AI689">
        <v>19000</v>
      </c>
      <c r="AJ689">
        <v>12446</v>
      </c>
      <c r="AK689">
        <v>23015</v>
      </c>
      <c r="AL689">
        <v>19761</v>
      </c>
      <c r="AM689">
        <v>33218</v>
      </c>
    </row>
    <row r="690" spans="2:39" x14ac:dyDescent="0.35">
      <c r="B690" s="23" t="s">
        <v>543</v>
      </c>
      <c r="D690" t="s">
        <v>539</v>
      </c>
      <c r="E690" t="s">
        <v>540</v>
      </c>
      <c r="F690" s="46" t="s">
        <v>543</v>
      </c>
      <c r="G690" t="s">
        <v>235</v>
      </c>
      <c r="H690" s="23">
        <v>2</v>
      </c>
      <c r="I690" s="23" t="s">
        <v>544</v>
      </c>
      <c r="J690" t="s">
        <v>545</v>
      </c>
      <c r="K690">
        <v>614</v>
      </c>
      <c r="L690">
        <v>889</v>
      </c>
      <c r="M690" s="24">
        <v>580</v>
      </c>
      <c r="N690" s="24">
        <v>893</v>
      </c>
      <c r="O690" s="24">
        <v>570</v>
      </c>
      <c r="P690" s="24">
        <v>878</v>
      </c>
      <c r="Q690">
        <v>647</v>
      </c>
      <c r="R690">
        <v>1064</v>
      </c>
      <c r="S690">
        <v>758</v>
      </c>
      <c r="T690">
        <v>1492</v>
      </c>
      <c r="U690">
        <v>747</v>
      </c>
      <c r="V690">
        <v>1691</v>
      </c>
      <c r="W690">
        <v>1410</v>
      </c>
      <c r="X690">
        <v>2879</v>
      </c>
      <c r="Z690" t="s">
        <v>545</v>
      </c>
      <c r="AA690" t="s">
        <v>545</v>
      </c>
      <c r="AB690">
        <v>580</v>
      </c>
      <c r="AC690">
        <v>893</v>
      </c>
      <c r="AD690">
        <v>570</v>
      </c>
      <c r="AE690">
        <v>878</v>
      </c>
      <c r="AF690">
        <v>647</v>
      </c>
      <c r="AG690">
        <v>1064</v>
      </c>
      <c r="AH690">
        <v>758</v>
      </c>
      <c r="AI690">
        <v>1492</v>
      </c>
      <c r="AJ690">
        <v>747</v>
      </c>
      <c r="AK690">
        <v>1691</v>
      </c>
      <c r="AL690">
        <v>1410</v>
      </c>
      <c r="AM690">
        <v>2879</v>
      </c>
    </row>
    <row r="691" spans="2:39" x14ac:dyDescent="0.35">
      <c r="B691" s="23" t="s">
        <v>546</v>
      </c>
      <c r="D691" t="s">
        <v>539</v>
      </c>
      <c r="E691" t="s">
        <v>540</v>
      </c>
      <c r="F691" s="46" t="s">
        <v>546</v>
      </c>
      <c r="G691" t="s">
        <v>239</v>
      </c>
      <c r="H691" s="23">
        <v>3</v>
      </c>
      <c r="I691" s="23" t="s">
        <v>547</v>
      </c>
      <c r="J691" t="s">
        <v>548</v>
      </c>
      <c r="K691">
        <v>8637</v>
      </c>
      <c r="L691">
        <v>12070</v>
      </c>
      <c r="M691" s="24">
        <v>8162</v>
      </c>
      <c r="N691" s="24">
        <v>11799</v>
      </c>
      <c r="O691" s="24">
        <v>8271</v>
      </c>
      <c r="P691" s="24">
        <v>12106</v>
      </c>
      <c r="Q691">
        <v>8007</v>
      </c>
      <c r="R691">
        <v>12858</v>
      </c>
      <c r="S691">
        <v>9398</v>
      </c>
      <c r="T691">
        <v>15964</v>
      </c>
      <c r="U691">
        <v>10309</v>
      </c>
      <c r="V691">
        <v>19834</v>
      </c>
      <c r="W691">
        <v>15748</v>
      </c>
      <c r="X691">
        <v>27794</v>
      </c>
      <c r="Z691" t="s">
        <v>548</v>
      </c>
      <c r="AA691" t="s">
        <v>548</v>
      </c>
      <c r="AB691">
        <v>8162</v>
      </c>
      <c r="AC691">
        <v>11799</v>
      </c>
      <c r="AD691">
        <v>8271</v>
      </c>
      <c r="AE691">
        <v>12106</v>
      </c>
      <c r="AF691">
        <v>8007</v>
      </c>
      <c r="AG691">
        <v>12858</v>
      </c>
      <c r="AH691">
        <v>9398</v>
      </c>
      <c r="AI691">
        <v>15964</v>
      </c>
      <c r="AJ691">
        <v>10309</v>
      </c>
      <c r="AK691">
        <v>19834</v>
      </c>
      <c r="AL691">
        <v>15748</v>
      </c>
      <c r="AM691">
        <v>27794</v>
      </c>
    </row>
    <row r="692" spans="2:39" x14ac:dyDescent="0.35">
      <c r="B692" s="23" t="s">
        <v>549</v>
      </c>
      <c r="D692" t="s">
        <v>539</v>
      </c>
      <c r="E692" t="s">
        <v>540</v>
      </c>
      <c r="F692" s="46" t="s">
        <v>549</v>
      </c>
      <c r="G692" t="s">
        <v>255</v>
      </c>
      <c r="H692" s="23">
        <v>4</v>
      </c>
      <c r="I692" s="23" t="s">
        <v>550</v>
      </c>
      <c r="J692" t="s">
        <v>551</v>
      </c>
      <c r="K692">
        <v>895</v>
      </c>
      <c r="L692">
        <v>1193</v>
      </c>
      <c r="M692" s="24">
        <v>823</v>
      </c>
      <c r="N692" s="24">
        <v>1156</v>
      </c>
      <c r="O692" s="24">
        <v>861</v>
      </c>
      <c r="P692" s="24">
        <v>1261</v>
      </c>
      <c r="Q692">
        <v>781</v>
      </c>
      <c r="R692">
        <v>1368</v>
      </c>
      <c r="S692">
        <v>682</v>
      </c>
      <c r="T692">
        <v>1463</v>
      </c>
      <c r="U692">
        <v>854</v>
      </c>
      <c r="V692">
        <v>1920</v>
      </c>
      <c r="W692">
        <v>1711</v>
      </c>
      <c r="X692">
        <v>3096</v>
      </c>
      <c r="Z692" t="s">
        <v>551</v>
      </c>
      <c r="AA692" t="s">
        <v>551</v>
      </c>
      <c r="AB692">
        <v>823</v>
      </c>
      <c r="AC692">
        <v>1156</v>
      </c>
      <c r="AD692">
        <v>861</v>
      </c>
      <c r="AE692">
        <v>1261</v>
      </c>
      <c r="AF692">
        <v>781</v>
      </c>
      <c r="AG692">
        <v>1368</v>
      </c>
      <c r="AH692">
        <v>682</v>
      </c>
      <c r="AI692">
        <v>1463</v>
      </c>
      <c r="AJ692">
        <v>854</v>
      </c>
      <c r="AK692">
        <v>1920</v>
      </c>
      <c r="AL692">
        <v>1711</v>
      </c>
      <c r="AM692">
        <v>3096</v>
      </c>
    </row>
    <row r="693" spans="2:39" x14ac:dyDescent="0.35">
      <c r="B693" s="23" t="s">
        <v>552</v>
      </c>
      <c r="D693" t="s">
        <v>539</v>
      </c>
      <c r="E693" t="s">
        <v>540</v>
      </c>
      <c r="F693" s="46" t="s">
        <v>552</v>
      </c>
      <c r="G693" t="s">
        <v>259</v>
      </c>
      <c r="H693" s="23">
        <v>5</v>
      </c>
      <c r="I693" s="23" t="s">
        <v>553</v>
      </c>
      <c r="J693" t="s">
        <v>554</v>
      </c>
      <c r="K693">
        <v>19815</v>
      </c>
      <c r="L693">
        <v>35327</v>
      </c>
      <c r="M693" s="24">
        <v>16864</v>
      </c>
      <c r="N693" s="24">
        <v>34500</v>
      </c>
      <c r="O693" s="24">
        <v>16830</v>
      </c>
      <c r="P693" s="24">
        <v>34538</v>
      </c>
      <c r="Q693">
        <v>19060</v>
      </c>
      <c r="R693">
        <v>37785</v>
      </c>
      <c r="S693">
        <v>25247</v>
      </c>
      <c r="T693">
        <v>49177</v>
      </c>
      <c r="U693">
        <v>27268</v>
      </c>
      <c r="V693">
        <v>57112</v>
      </c>
      <c r="W693">
        <v>37984</v>
      </c>
      <c r="X693">
        <v>73901</v>
      </c>
      <c r="Z693" t="s">
        <v>554</v>
      </c>
      <c r="AA693" t="s">
        <v>554</v>
      </c>
      <c r="AB693">
        <v>16864</v>
      </c>
      <c r="AC693">
        <v>34500</v>
      </c>
      <c r="AD693">
        <v>16830</v>
      </c>
      <c r="AE693">
        <v>34538</v>
      </c>
      <c r="AF693">
        <v>19060</v>
      </c>
      <c r="AG693">
        <v>37785</v>
      </c>
      <c r="AH693">
        <v>25247</v>
      </c>
      <c r="AI693">
        <v>49177</v>
      </c>
      <c r="AJ693">
        <v>27268</v>
      </c>
      <c r="AK693">
        <v>57112</v>
      </c>
      <c r="AL693">
        <v>37984</v>
      </c>
      <c r="AM693">
        <v>73901</v>
      </c>
    </row>
    <row r="694" spans="2:39" x14ac:dyDescent="0.35">
      <c r="B694" s="23" t="s">
        <v>555</v>
      </c>
      <c r="D694" t="s">
        <v>539</v>
      </c>
      <c r="E694" t="s">
        <v>540</v>
      </c>
      <c r="F694" s="46" t="s">
        <v>555</v>
      </c>
      <c r="G694" t="s">
        <v>265</v>
      </c>
      <c r="H694" s="23">
        <v>6</v>
      </c>
      <c r="I694" s="23" t="s">
        <v>556</v>
      </c>
      <c r="J694" t="s">
        <v>557</v>
      </c>
      <c r="K694">
        <v>166761</v>
      </c>
      <c r="L694">
        <v>234419</v>
      </c>
      <c r="M694" s="24">
        <v>173578</v>
      </c>
      <c r="N694" s="24">
        <v>242609</v>
      </c>
      <c r="O694" s="24">
        <v>179658</v>
      </c>
      <c r="P694" s="24">
        <v>258954</v>
      </c>
      <c r="Q694">
        <v>186348</v>
      </c>
      <c r="R694">
        <v>280963</v>
      </c>
      <c r="S694">
        <v>235550</v>
      </c>
      <c r="T694">
        <v>349201</v>
      </c>
      <c r="U694">
        <v>292732</v>
      </c>
      <c r="V694">
        <v>413957</v>
      </c>
      <c r="W694">
        <v>348348</v>
      </c>
      <c r="X694">
        <v>524516</v>
      </c>
      <c r="Z694" t="s">
        <v>557</v>
      </c>
      <c r="AA694" t="s">
        <v>557</v>
      </c>
      <c r="AB694">
        <v>173578</v>
      </c>
      <c r="AC694">
        <v>242609</v>
      </c>
      <c r="AD694">
        <v>179658</v>
      </c>
      <c r="AE694">
        <v>258954</v>
      </c>
      <c r="AF694">
        <v>186348</v>
      </c>
      <c r="AG694">
        <v>280963</v>
      </c>
      <c r="AH694">
        <v>235550</v>
      </c>
      <c r="AI694">
        <v>349201</v>
      </c>
      <c r="AJ694">
        <v>292732</v>
      </c>
      <c r="AK694">
        <v>413957</v>
      </c>
      <c r="AL694">
        <v>348348</v>
      </c>
      <c r="AM694">
        <v>524516</v>
      </c>
    </row>
    <row r="695" spans="2:39" x14ac:dyDescent="0.35">
      <c r="B695" s="23" t="s">
        <v>558</v>
      </c>
      <c r="D695" t="s">
        <v>539</v>
      </c>
      <c r="E695" t="s">
        <v>540</v>
      </c>
      <c r="F695" s="46" t="s">
        <v>558</v>
      </c>
      <c r="G695" t="s">
        <v>273</v>
      </c>
      <c r="H695" s="23">
        <v>7</v>
      </c>
      <c r="I695" s="23" t="s">
        <v>559</v>
      </c>
      <c r="J695" t="s">
        <v>233</v>
      </c>
      <c r="K695">
        <v>389</v>
      </c>
      <c r="L695">
        <v>541</v>
      </c>
      <c r="M695" s="24">
        <v>369</v>
      </c>
      <c r="N695" s="24">
        <v>545</v>
      </c>
      <c r="O695" s="24">
        <v>374</v>
      </c>
      <c r="P695" s="24">
        <v>587</v>
      </c>
      <c r="Q695">
        <v>280</v>
      </c>
      <c r="R695">
        <v>630</v>
      </c>
      <c r="S695">
        <v>205</v>
      </c>
      <c r="T695">
        <v>730</v>
      </c>
      <c r="U695">
        <v>284</v>
      </c>
      <c r="V695">
        <v>931</v>
      </c>
      <c r="W695">
        <v>710</v>
      </c>
      <c r="X695">
        <v>1405</v>
      </c>
      <c r="Z695" t="s">
        <v>233</v>
      </c>
      <c r="AA695" t="s">
        <v>233</v>
      </c>
      <c r="AB695">
        <v>369</v>
      </c>
      <c r="AC695">
        <v>545</v>
      </c>
      <c r="AD695">
        <v>374</v>
      </c>
      <c r="AE695">
        <v>587</v>
      </c>
      <c r="AF695">
        <v>280</v>
      </c>
      <c r="AG695">
        <v>630</v>
      </c>
      <c r="AH695">
        <v>205</v>
      </c>
      <c r="AI695">
        <v>730</v>
      </c>
      <c r="AJ695">
        <v>284</v>
      </c>
      <c r="AK695">
        <v>931</v>
      </c>
      <c r="AL695">
        <v>710</v>
      </c>
      <c r="AM695">
        <v>1405</v>
      </c>
    </row>
    <row r="696" spans="2:39" x14ac:dyDescent="0.35">
      <c r="B696" s="23" t="s">
        <v>560</v>
      </c>
      <c r="D696" t="s">
        <v>539</v>
      </c>
      <c r="E696" t="s">
        <v>540</v>
      </c>
      <c r="F696" s="46" t="s">
        <v>560</v>
      </c>
      <c r="G696" t="s">
        <v>279</v>
      </c>
      <c r="H696" s="23">
        <v>8</v>
      </c>
      <c r="I696" s="23" t="s">
        <v>561</v>
      </c>
      <c r="J696" t="s">
        <v>562</v>
      </c>
      <c r="K696">
        <v>5239</v>
      </c>
      <c r="L696">
        <v>9945</v>
      </c>
      <c r="M696" s="24">
        <v>4988</v>
      </c>
      <c r="N696" s="24">
        <v>9700</v>
      </c>
      <c r="O696" s="24">
        <v>5217</v>
      </c>
      <c r="P696" s="24">
        <v>9953</v>
      </c>
      <c r="Q696">
        <v>5167</v>
      </c>
      <c r="R696">
        <v>10725</v>
      </c>
      <c r="S696">
        <v>7007</v>
      </c>
      <c r="T696">
        <v>14452</v>
      </c>
      <c r="U696">
        <v>7989</v>
      </c>
      <c r="V696">
        <v>16998</v>
      </c>
      <c r="W696">
        <v>11619</v>
      </c>
      <c r="X696">
        <v>23088</v>
      </c>
      <c r="Z696" t="s">
        <v>562</v>
      </c>
      <c r="AA696" t="s">
        <v>562</v>
      </c>
      <c r="AB696">
        <v>4988</v>
      </c>
      <c r="AC696">
        <v>9700</v>
      </c>
      <c r="AD696">
        <v>5217</v>
      </c>
      <c r="AE696">
        <v>9953</v>
      </c>
      <c r="AF696">
        <v>5167</v>
      </c>
      <c r="AG696">
        <v>10725</v>
      </c>
      <c r="AH696">
        <v>7007</v>
      </c>
      <c r="AI696">
        <v>14452</v>
      </c>
      <c r="AJ696">
        <v>7989</v>
      </c>
      <c r="AK696">
        <v>16998</v>
      </c>
      <c r="AL696">
        <v>11619</v>
      </c>
      <c r="AM696">
        <v>23088</v>
      </c>
    </row>
    <row r="697" spans="2:39" x14ac:dyDescent="0.35">
      <c r="B697" s="23" t="s">
        <v>563</v>
      </c>
      <c r="D697" t="s">
        <v>539</v>
      </c>
      <c r="E697" t="s">
        <v>540</v>
      </c>
      <c r="F697" s="46" t="s">
        <v>563</v>
      </c>
      <c r="G697" t="s">
        <v>283</v>
      </c>
      <c r="H697" s="23">
        <v>9</v>
      </c>
      <c r="I697" s="23" t="s">
        <v>564</v>
      </c>
      <c r="J697" t="s">
        <v>565</v>
      </c>
      <c r="K697">
        <v>4838</v>
      </c>
      <c r="L697">
        <v>8826</v>
      </c>
      <c r="M697" s="24">
        <v>4460</v>
      </c>
      <c r="N697" s="24">
        <v>8619</v>
      </c>
      <c r="O697" s="24">
        <v>4731</v>
      </c>
      <c r="P697" s="24">
        <v>8754</v>
      </c>
      <c r="Q697">
        <v>4539</v>
      </c>
      <c r="R697">
        <v>9119</v>
      </c>
      <c r="S697">
        <v>6066</v>
      </c>
      <c r="T697">
        <v>11665</v>
      </c>
      <c r="U697">
        <v>7105</v>
      </c>
      <c r="V697">
        <v>13835</v>
      </c>
      <c r="W697">
        <v>10171</v>
      </c>
      <c r="X697">
        <v>18379</v>
      </c>
      <c r="Z697" t="s">
        <v>565</v>
      </c>
      <c r="AA697" t="s">
        <v>565</v>
      </c>
      <c r="AB697">
        <v>4460</v>
      </c>
      <c r="AC697">
        <v>8619</v>
      </c>
      <c r="AD697">
        <v>4731</v>
      </c>
      <c r="AE697">
        <v>8754</v>
      </c>
      <c r="AF697">
        <v>4539</v>
      </c>
      <c r="AG697">
        <v>9119</v>
      </c>
      <c r="AH697">
        <v>6066</v>
      </c>
      <c r="AI697">
        <v>11665</v>
      </c>
      <c r="AJ697">
        <v>7105</v>
      </c>
      <c r="AK697">
        <v>13835</v>
      </c>
      <c r="AL697">
        <v>10171</v>
      </c>
      <c r="AM697">
        <v>18379</v>
      </c>
    </row>
    <row r="698" spans="2:39" x14ac:dyDescent="0.35">
      <c r="B698" s="23" t="s">
        <v>566</v>
      </c>
      <c r="D698" t="s">
        <v>539</v>
      </c>
      <c r="E698" t="s">
        <v>540</v>
      </c>
      <c r="F698" s="46" t="s">
        <v>566</v>
      </c>
      <c r="G698" t="s">
        <v>289</v>
      </c>
      <c r="H698" s="23">
        <v>10</v>
      </c>
      <c r="I698" s="23" t="s">
        <v>567</v>
      </c>
      <c r="J698" t="s">
        <v>329</v>
      </c>
      <c r="K698">
        <v>5692</v>
      </c>
      <c r="L698">
        <v>9285</v>
      </c>
      <c r="M698" s="24">
        <v>5591</v>
      </c>
      <c r="N698" s="24">
        <v>9684</v>
      </c>
      <c r="O698" s="24">
        <v>5896</v>
      </c>
      <c r="P698" s="24">
        <v>10136</v>
      </c>
      <c r="Q698">
        <v>6063</v>
      </c>
      <c r="R698">
        <v>11182</v>
      </c>
      <c r="S698">
        <v>7960</v>
      </c>
      <c r="T698">
        <v>15029</v>
      </c>
      <c r="U698">
        <v>9031</v>
      </c>
      <c r="V698">
        <v>17702</v>
      </c>
      <c r="W698">
        <v>11587</v>
      </c>
      <c r="X698">
        <v>24170</v>
      </c>
      <c r="Z698" t="s">
        <v>329</v>
      </c>
      <c r="AA698" t="s">
        <v>329</v>
      </c>
      <c r="AB698">
        <v>5591</v>
      </c>
      <c r="AC698">
        <v>9684</v>
      </c>
      <c r="AD698">
        <v>5896</v>
      </c>
      <c r="AE698">
        <v>10136</v>
      </c>
      <c r="AF698">
        <v>6063</v>
      </c>
      <c r="AG698">
        <v>11182</v>
      </c>
      <c r="AH698">
        <v>7960</v>
      </c>
      <c r="AI698">
        <v>15029</v>
      </c>
      <c r="AJ698">
        <v>9031</v>
      </c>
      <c r="AK698">
        <v>17702</v>
      </c>
      <c r="AL698">
        <v>11587</v>
      </c>
      <c r="AM698">
        <v>24170</v>
      </c>
    </row>
    <row r="699" spans="2:39" x14ac:dyDescent="0.35">
      <c r="B699" s="23" t="s">
        <v>568</v>
      </c>
      <c r="D699" t="s">
        <v>539</v>
      </c>
      <c r="E699" t="s">
        <v>540</v>
      </c>
      <c r="F699" s="46" t="s">
        <v>568</v>
      </c>
      <c r="G699" t="s">
        <v>293</v>
      </c>
      <c r="H699" s="23">
        <v>11</v>
      </c>
      <c r="I699" s="23" t="s">
        <v>569</v>
      </c>
      <c r="J699" t="s">
        <v>570</v>
      </c>
      <c r="K699">
        <v>21272</v>
      </c>
      <c r="L699">
        <v>30445</v>
      </c>
      <c r="M699" s="24">
        <v>23236</v>
      </c>
      <c r="N699" s="24">
        <v>33814</v>
      </c>
      <c r="O699" s="24">
        <v>26568</v>
      </c>
      <c r="P699" s="24">
        <v>37557</v>
      </c>
      <c r="Q699">
        <v>28915</v>
      </c>
      <c r="R699">
        <v>42202</v>
      </c>
      <c r="S699">
        <v>31670</v>
      </c>
      <c r="T699">
        <v>49570</v>
      </c>
      <c r="U699">
        <v>36663</v>
      </c>
      <c r="V699">
        <v>56507</v>
      </c>
      <c r="W699">
        <v>42381</v>
      </c>
      <c r="X699">
        <v>69038</v>
      </c>
      <c r="Z699" t="s">
        <v>570</v>
      </c>
      <c r="AA699" t="s">
        <v>570</v>
      </c>
      <c r="AB699">
        <v>23236</v>
      </c>
      <c r="AC699">
        <v>33814</v>
      </c>
      <c r="AD699">
        <v>26568</v>
      </c>
      <c r="AE699">
        <v>37557</v>
      </c>
      <c r="AF699">
        <v>28915</v>
      </c>
      <c r="AG699">
        <v>42202</v>
      </c>
      <c r="AH699">
        <v>31670</v>
      </c>
      <c r="AI699">
        <v>49570</v>
      </c>
      <c r="AJ699">
        <v>36663</v>
      </c>
      <c r="AK699">
        <v>56507</v>
      </c>
      <c r="AL699">
        <v>42381</v>
      </c>
      <c r="AM699">
        <v>69038</v>
      </c>
    </row>
    <row r="700" spans="2:39" x14ac:dyDescent="0.35">
      <c r="B700" s="23" t="s">
        <v>571</v>
      </c>
      <c r="D700" t="s">
        <v>539</v>
      </c>
      <c r="E700" t="s">
        <v>540</v>
      </c>
      <c r="F700" s="46" t="s">
        <v>571</v>
      </c>
      <c r="G700" t="s">
        <v>303</v>
      </c>
      <c r="H700" s="23">
        <v>12</v>
      </c>
      <c r="I700" s="23" t="s">
        <v>572</v>
      </c>
      <c r="J700" t="s">
        <v>508</v>
      </c>
      <c r="K700">
        <v>3205</v>
      </c>
      <c r="L700">
        <v>4167</v>
      </c>
      <c r="M700" s="24">
        <v>3593</v>
      </c>
      <c r="N700" s="24">
        <v>4915</v>
      </c>
      <c r="O700" s="24">
        <v>4573</v>
      </c>
      <c r="P700" s="24">
        <v>5936</v>
      </c>
      <c r="Q700">
        <v>4532</v>
      </c>
      <c r="R700">
        <v>6577</v>
      </c>
      <c r="S700">
        <v>4199</v>
      </c>
      <c r="T700">
        <v>6534</v>
      </c>
      <c r="U700">
        <v>4155</v>
      </c>
      <c r="V700">
        <v>6885</v>
      </c>
      <c r="W700">
        <v>5440</v>
      </c>
      <c r="X700">
        <v>9275</v>
      </c>
      <c r="Z700" t="s">
        <v>508</v>
      </c>
      <c r="AA700" t="s">
        <v>508</v>
      </c>
      <c r="AB700">
        <v>3593</v>
      </c>
      <c r="AC700">
        <v>4915</v>
      </c>
      <c r="AD700">
        <v>4573</v>
      </c>
      <c r="AE700">
        <v>5936</v>
      </c>
      <c r="AF700">
        <v>4532</v>
      </c>
      <c r="AG700">
        <v>6577</v>
      </c>
      <c r="AH700">
        <v>4199</v>
      </c>
      <c r="AI700">
        <v>6534</v>
      </c>
      <c r="AJ700">
        <v>4155</v>
      </c>
      <c r="AK700">
        <v>6885</v>
      </c>
      <c r="AL700">
        <v>5440</v>
      </c>
      <c r="AM700">
        <v>9275</v>
      </c>
    </row>
    <row r="701" spans="2:39" x14ac:dyDescent="0.35">
      <c r="B701" s="23" t="s">
        <v>573</v>
      </c>
      <c r="D701" t="s">
        <v>539</v>
      </c>
      <c r="E701" t="s">
        <v>540</v>
      </c>
      <c r="F701" s="46" t="s">
        <v>573</v>
      </c>
      <c r="G701" t="s">
        <v>311</v>
      </c>
      <c r="H701" s="23">
        <v>13</v>
      </c>
      <c r="I701" s="23" t="s">
        <v>574</v>
      </c>
      <c r="J701" t="s">
        <v>575</v>
      </c>
      <c r="K701">
        <v>1104</v>
      </c>
      <c r="L701">
        <v>1514</v>
      </c>
      <c r="M701" s="24">
        <v>1135</v>
      </c>
      <c r="N701" s="24">
        <v>1594</v>
      </c>
      <c r="O701" s="24">
        <v>1309</v>
      </c>
      <c r="P701" s="24">
        <v>1785</v>
      </c>
      <c r="Q701">
        <v>1026</v>
      </c>
      <c r="R701">
        <v>1892</v>
      </c>
      <c r="S701">
        <v>981</v>
      </c>
      <c r="T701">
        <v>2142</v>
      </c>
      <c r="U701">
        <v>1195</v>
      </c>
      <c r="V701">
        <v>2487</v>
      </c>
      <c r="W701">
        <v>1669</v>
      </c>
      <c r="X701">
        <v>3185</v>
      </c>
      <c r="Z701" t="s">
        <v>575</v>
      </c>
      <c r="AA701" t="s">
        <v>1209</v>
      </c>
      <c r="AB701">
        <v>1135</v>
      </c>
      <c r="AC701">
        <v>1594</v>
      </c>
      <c r="AD701">
        <v>1309</v>
      </c>
      <c r="AE701">
        <v>1785</v>
      </c>
      <c r="AF701">
        <v>1026</v>
      </c>
      <c r="AG701">
        <v>1892</v>
      </c>
      <c r="AH701">
        <v>981</v>
      </c>
      <c r="AI701">
        <v>2142</v>
      </c>
      <c r="AJ701">
        <v>1195</v>
      </c>
      <c r="AK701">
        <v>2487</v>
      </c>
      <c r="AL701">
        <v>1669</v>
      </c>
      <c r="AM701">
        <v>3185</v>
      </c>
    </row>
    <row r="702" spans="2:39" x14ac:dyDescent="0.35">
      <c r="B702" s="23" t="s">
        <v>576</v>
      </c>
      <c r="D702" t="s">
        <v>539</v>
      </c>
      <c r="E702" t="s">
        <v>540</v>
      </c>
      <c r="F702" s="46" t="s">
        <v>576</v>
      </c>
      <c r="G702" t="s">
        <v>577</v>
      </c>
      <c r="H702" s="23">
        <v>14</v>
      </c>
      <c r="I702" s="23" t="s">
        <v>578</v>
      </c>
      <c r="J702" t="s">
        <v>579</v>
      </c>
      <c r="K702">
        <v>598</v>
      </c>
      <c r="L702">
        <v>764</v>
      </c>
      <c r="M702" s="24">
        <v>587</v>
      </c>
      <c r="N702" s="24">
        <v>805</v>
      </c>
      <c r="O702" s="24">
        <v>579</v>
      </c>
      <c r="P702" s="24">
        <v>790</v>
      </c>
      <c r="Q702">
        <v>448</v>
      </c>
      <c r="R702">
        <v>810</v>
      </c>
      <c r="S702">
        <v>421</v>
      </c>
      <c r="T702">
        <v>962</v>
      </c>
      <c r="U702">
        <v>629</v>
      </c>
      <c r="V702">
        <v>1311</v>
      </c>
      <c r="W702">
        <v>1191</v>
      </c>
      <c r="X702">
        <v>2063</v>
      </c>
      <c r="Z702" t="s">
        <v>579</v>
      </c>
      <c r="AA702" t="s">
        <v>579</v>
      </c>
      <c r="AB702">
        <v>587</v>
      </c>
      <c r="AC702">
        <v>805</v>
      </c>
      <c r="AD702">
        <v>579</v>
      </c>
      <c r="AE702">
        <v>790</v>
      </c>
      <c r="AF702">
        <v>448</v>
      </c>
      <c r="AG702">
        <v>810</v>
      </c>
      <c r="AH702">
        <v>421</v>
      </c>
      <c r="AI702">
        <v>962</v>
      </c>
      <c r="AJ702">
        <v>629</v>
      </c>
      <c r="AK702">
        <v>1311</v>
      </c>
      <c r="AL702">
        <v>1191</v>
      </c>
      <c r="AM702">
        <v>2063</v>
      </c>
    </row>
    <row r="703" spans="2:39" x14ac:dyDescent="0.35">
      <c r="B703" s="23" t="s">
        <v>580</v>
      </c>
      <c r="D703" t="s">
        <v>539</v>
      </c>
      <c r="E703" t="s">
        <v>540</v>
      </c>
      <c r="F703" s="46" t="s">
        <v>580</v>
      </c>
      <c r="G703" t="s">
        <v>581</v>
      </c>
      <c r="H703" s="23">
        <v>15</v>
      </c>
      <c r="I703" s="23" t="s">
        <v>582</v>
      </c>
      <c r="J703" t="s">
        <v>583</v>
      </c>
      <c r="K703">
        <v>28686</v>
      </c>
      <c r="L703">
        <v>49175</v>
      </c>
      <c r="M703" s="24">
        <v>27935</v>
      </c>
      <c r="N703" s="24">
        <v>50940</v>
      </c>
      <c r="O703" s="24">
        <v>29592</v>
      </c>
      <c r="P703" s="24">
        <v>55679</v>
      </c>
      <c r="Q703">
        <v>32089</v>
      </c>
      <c r="R703">
        <v>65483</v>
      </c>
      <c r="S703">
        <v>47710</v>
      </c>
      <c r="T703">
        <v>89541</v>
      </c>
      <c r="U703">
        <v>57200</v>
      </c>
      <c r="V703">
        <v>109287</v>
      </c>
      <c r="W703">
        <v>90960</v>
      </c>
      <c r="X703">
        <v>163184</v>
      </c>
      <c r="Z703" t="s">
        <v>583</v>
      </c>
      <c r="AA703" t="s">
        <v>583</v>
      </c>
      <c r="AB703">
        <v>27935</v>
      </c>
      <c r="AC703">
        <v>50940</v>
      </c>
      <c r="AD703">
        <v>29592</v>
      </c>
      <c r="AE703">
        <v>55679</v>
      </c>
      <c r="AF703">
        <v>32089</v>
      </c>
      <c r="AG703">
        <v>65483</v>
      </c>
      <c r="AH703">
        <v>47710</v>
      </c>
      <c r="AI703">
        <v>89541</v>
      </c>
      <c r="AJ703">
        <v>57200</v>
      </c>
      <c r="AK703">
        <v>109287</v>
      </c>
      <c r="AL703">
        <v>90960</v>
      </c>
      <c r="AM703">
        <v>163184</v>
      </c>
    </row>
    <row r="704" spans="2:39" x14ac:dyDescent="0.35">
      <c r="B704" s="23" t="s">
        <v>584</v>
      </c>
      <c r="D704" t="s">
        <v>539</v>
      </c>
      <c r="E704" t="s">
        <v>540</v>
      </c>
      <c r="F704" s="46" t="s">
        <v>584</v>
      </c>
      <c r="G704" t="s">
        <v>585</v>
      </c>
      <c r="H704" s="23">
        <v>16</v>
      </c>
      <c r="I704" s="23" t="s">
        <v>586</v>
      </c>
      <c r="J704" t="s">
        <v>351</v>
      </c>
      <c r="K704">
        <v>9438</v>
      </c>
      <c r="L704">
        <v>13694</v>
      </c>
      <c r="M704" s="24">
        <v>9086</v>
      </c>
      <c r="N704" s="24">
        <v>14157</v>
      </c>
      <c r="O704" s="24">
        <v>9286</v>
      </c>
      <c r="P704" s="24">
        <v>14754</v>
      </c>
      <c r="Q704">
        <v>8889</v>
      </c>
      <c r="R704">
        <v>15977</v>
      </c>
      <c r="S704">
        <v>10846</v>
      </c>
      <c r="T704">
        <v>21026</v>
      </c>
      <c r="U704">
        <v>11628</v>
      </c>
      <c r="V704">
        <v>25871</v>
      </c>
      <c r="W704">
        <v>17859</v>
      </c>
      <c r="X704">
        <v>39804</v>
      </c>
      <c r="Z704" t="s">
        <v>351</v>
      </c>
      <c r="AA704" t="s">
        <v>351</v>
      </c>
      <c r="AB704">
        <v>9086</v>
      </c>
      <c r="AC704">
        <v>14157</v>
      </c>
      <c r="AD704">
        <v>9286</v>
      </c>
      <c r="AE704">
        <v>14754</v>
      </c>
      <c r="AF704">
        <v>8889</v>
      </c>
      <c r="AG704">
        <v>15977</v>
      </c>
      <c r="AH704">
        <v>10846</v>
      </c>
      <c r="AI704">
        <v>21026</v>
      </c>
      <c r="AJ704">
        <v>11628</v>
      </c>
      <c r="AK704">
        <v>25871</v>
      </c>
      <c r="AL704">
        <v>17859</v>
      </c>
      <c r="AM704">
        <v>39804</v>
      </c>
    </row>
    <row r="705" spans="2:39" x14ac:dyDescent="0.35">
      <c r="B705" s="23" t="s">
        <v>587</v>
      </c>
      <c r="D705" t="s">
        <v>539</v>
      </c>
      <c r="E705" t="s">
        <v>540</v>
      </c>
      <c r="F705" s="46" t="s">
        <v>587</v>
      </c>
      <c r="G705" t="s">
        <v>588</v>
      </c>
      <c r="H705" s="23">
        <v>17</v>
      </c>
      <c r="I705" s="23" t="s">
        <v>589</v>
      </c>
      <c r="J705" t="s">
        <v>590</v>
      </c>
      <c r="K705">
        <v>4412</v>
      </c>
      <c r="L705">
        <v>7719</v>
      </c>
      <c r="M705" s="24">
        <v>4039</v>
      </c>
      <c r="N705" s="24">
        <v>8094</v>
      </c>
      <c r="O705" s="24">
        <v>4034</v>
      </c>
      <c r="P705" s="24">
        <v>8365</v>
      </c>
      <c r="Q705">
        <v>4692</v>
      </c>
      <c r="R705">
        <v>9157</v>
      </c>
      <c r="S705">
        <v>6510</v>
      </c>
      <c r="T705">
        <v>11760</v>
      </c>
      <c r="U705">
        <v>7587</v>
      </c>
      <c r="V705">
        <v>13583</v>
      </c>
      <c r="W705">
        <v>10530</v>
      </c>
      <c r="X705">
        <v>17842</v>
      </c>
      <c r="Z705" t="s">
        <v>590</v>
      </c>
      <c r="AA705" t="s">
        <v>590</v>
      </c>
      <c r="AB705">
        <v>4039</v>
      </c>
      <c r="AC705">
        <v>8094</v>
      </c>
      <c r="AD705">
        <v>4034</v>
      </c>
      <c r="AE705">
        <v>8365</v>
      </c>
      <c r="AF705">
        <v>4692</v>
      </c>
      <c r="AG705">
        <v>9157</v>
      </c>
      <c r="AH705">
        <v>6510</v>
      </c>
      <c r="AI705">
        <v>11760</v>
      </c>
      <c r="AJ705">
        <v>7587</v>
      </c>
      <c r="AK705">
        <v>13583</v>
      </c>
      <c r="AL705">
        <v>10530</v>
      </c>
      <c r="AM705">
        <v>17842</v>
      </c>
    </row>
    <row r="706" spans="2:39" x14ac:dyDescent="0.35">
      <c r="B706" s="23" t="s">
        <v>591</v>
      </c>
      <c r="D706" t="s">
        <v>539</v>
      </c>
      <c r="E706" t="s">
        <v>540</v>
      </c>
      <c r="F706" s="46" t="s">
        <v>591</v>
      </c>
      <c r="G706" t="s">
        <v>592</v>
      </c>
      <c r="H706" s="23">
        <v>18</v>
      </c>
      <c r="I706" s="23" t="s">
        <v>593</v>
      </c>
      <c r="J706" t="s">
        <v>355</v>
      </c>
      <c r="K706">
        <v>482</v>
      </c>
      <c r="L706">
        <v>706</v>
      </c>
      <c r="M706" s="24">
        <v>473</v>
      </c>
      <c r="N706" s="24">
        <v>726</v>
      </c>
      <c r="O706" s="24">
        <v>518</v>
      </c>
      <c r="P706" s="24">
        <v>805</v>
      </c>
      <c r="Q706">
        <v>365</v>
      </c>
      <c r="R706">
        <v>867</v>
      </c>
      <c r="S706">
        <v>262</v>
      </c>
      <c r="T706">
        <v>932</v>
      </c>
      <c r="U706">
        <v>346</v>
      </c>
      <c r="V706">
        <v>1165</v>
      </c>
      <c r="W706">
        <v>760</v>
      </c>
      <c r="X706">
        <v>1630</v>
      </c>
      <c r="Z706" t="s">
        <v>355</v>
      </c>
      <c r="AA706" t="s">
        <v>355</v>
      </c>
      <c r="AB706">
        <v>473</v>
      </c>
      <c r="AC706">
        <v>726</v>
      </c>
      <c r="AD706">
        <v>518</v>
      </c>
      <c r="AE706">
        <v>805</v>
      </c>
      <c r="AF706">
        <v>365</v>
      </c>
      <c r="AG706">
        <v>867</v>
      </c>
      <c r="AH706">
        <v>262</v>
      </c>
      <c r="AI706">
        <v>932</v>
      </c>
      <c r="AJ706">
        <v>346</v>
      </c>
      <c r="AK706">
        <v>1165</v>
      </c>
      <c r="AL706">
        <v>760</v>
      </c>
      <c r="AM706">
        <v>1630</v>
      </c>
    </row>
    <row r="707" spans="2:39" x14ac:dyDescent="0.35">
      <c r="B707" s="23" t="s">
        <v>594</v>
      </c>
      <c r="D707" t="s">
        <v>539</v>
      </c>
      <c r="E707" t="s">
        <v>540</v>
      </c>
      <c r="F707" s="46" t="s">
        <v>594</v>
      </c>
      <c r="G707" t="s">
        <v>595</v>
      </c>
      <c r="H707" s="23">
        <v>19</v>
      </c>
      <c r="I707" s="23" t="s">
        <v>596</v>
      </c>
      <c r="J707" t="s">
        <v>597</v>
      </c>
      <c r="K707">
        <v>1429</v>
      </c>
      <c r="L707">
        <v>1859</v>
      </c>
      <c r="M707" s="24">
        <v>1485</v>
      </c>
      <c r="N707" s="24">
        <v>2041</v>
      </c>
      <c r="O707" s="24">
        <v>1830</v>
      </c>
      <c r="P707" s="24">
        <v>2472</v>
      </c>
      <c r="Q707">
        <v>1515</v>
      </c>
      <c r="R707">
        <v>3124</v>
      </c>
      <c r="S707">
        <v>1195</v>
      </c>
      <c r="T707">
        <v>3282</v>
      </c>
      <c r="U707">
        <v>1239</v>
      </c>
      <c r="V707">
        <v>3924</v>
      </c>
      <c r="W707">
        <v>2911</v>
      </c>
      <c r="X707">
        <v>6245</v>
      </c>
      <c r="Z707" t="s">
        <v>597</v>
      </c>
      <c r="AA707" t="s">
        <v>597</v>
      </c>
      <c r="AB707">
        <v>1485</v>
      </c>
      <c r="AC707">
        <v>2041</v>
      </c>
      <c r="AD707">
        <v>1830</v>
      </c>
      <c r="AE707">
        <v>2472</v>
      </c>
      <c r="AF707">
        <v>1515</v>
      </c>
      <c r="AG707">
        <v>3124</v>
      </c>
      <c r="AH707">
        <v>1195</v>
      </c>
      <c r="AI707">
        <v>3282</v>
      </c>
      <c r="AJ707">
        <v>1239</v>
      </c>
      <c r="AK707">
        <v>3924</v>
      </c>
      <c r="AL707">
        <v>2911</v>
      </c>
      <c r="AM707">
        <v>6245</v>
      </c>
    </row>
    <row r="708" spans="2:39" x14ac:dyDescent="0.35">
      <c r="B708" s="23" t="s">
        <v>598</v>
      </c>
      <c r="D708" t="s">
        <v>539</v>
      </c>
      <c r="E708" t="s">
        <v>540</v>
      </c>
      <c r="F708" s="46" t="s">
        <v>598</v>
      </c>
      <c r="G708" t="s">
        <v>599</v>
      </c>
      <c r="H708" s="23">
        <v>20</v>
      </c>
      <c r="I708" s="23" t="s">
        <v>600</v>
      </c>
      <c r="J708" t="s">
        <v>601</v>
      </c>
      <c r="K708">
        <v>596</v>
      </c>
      <c r="L708">
        <v>870</v>
      </c>
      <c r="M708" s="24">
        <v>566</v>
      </c>
      <c r="N708" s="24">
        <v>863</v>
      </c>
      <c r="O708" s="24">
        <v>596</v>
      </c>
      <c r="P708" s="24">
        <v>958</v>
      </c>
      <c r="Q708">
        <v>481</v>
      </c>
      <c r="R708">
        <v>1005</v>
      </c>
      <c r="S708">
        <v>498</v>
      </c>
      <c r="T708">
        <v>1153</v>
      </c>
      <c r="U708">
        <v>571</v>
      </c>
      <c r="V708">
        <v>1411</v>
      </c>
      <c r="W708">
        <v>934</v>
      </c>
      <c r="X708">
        <v>1851</v>
      </c>
      <c r="Z708" t="s">
        <v>601</v>
      </c>
      <c r="AA708" t="s">
        <v>601</v>
      </c>
      <c r="AB708">
        <v>566</v>
      </c>
      <c r="AC708">
        <v>863</v>
      </c>
      <c r="AD708">
        <v>596</v>
      </c>
      <c r="AE708">
        <v>958</v>
      </c>
      <c r="AF708">
        <v>481</v>
      </c>
      <c r="AG708">
        <v>1005</v>
      </c>
      <c r="AH708">
        <v>498</v>
      </c>
      <c r="AI708">
        <v>1153</v>
      </c>
      <c r="AJ708">
        <v>571</v>
      </c>
      <c r="AK708">
        <v>1411</v>
      </c>
      <c r="AL708">
        <v>934</v>
      </c>
      <c r="AM708">
        <v>1851</v>
      </c>
    </row>
    <row r="709" spans="2:39" x14ac:dyDescent="0.35">
      <c r="B709" s="23" t="s">
        <v>602</v>
      </c>
      <c r="D709" t="s">
        <v>539</v>
      </c>
      <c r="E709" t="s">
        <v>540</v>
      </c>
      <c r="F709" s="46" t="s">
        <v>602</v>
      </c>
      <c r="G709" t="s">
        <v>603</v>
      </c>
      <c r="H709" s="23">
        <v>21</v>
      </c>
      <c r="I709" s="23" t="s">
        <v>604</v>
      </c>
      <c r="J709" t="s">
        <v>605</v>
      </c>
      <c r="K709">
        <v>372</v>
      </c>
      <c r="L709">
        <v>505</v>
      </c>
      <c r="M709" s="24">
        <v>384</v>
      </c>
      <c r="N709" s="24">
        <v>563</v>
      </c>
      <c r="O709" s="24">
        <v>415</v>
      </c>
      <c r="P709" s="24">
        <v>611</v>
      </c>
      <c r="Q709">
        <v>284</v>
      </c>
      <c r="R709">
        <v>615</v>
      </c>
      <c r="S709">
        <v>238</v>
      </c>
      <c r="T709">
        <v>756</v>
      </c>
      <c r="U709">
        <v>587</v>
      </c>
      <c r="V709">
        <v>1209</v>
      </c>
      <c r="W709">
        <v>982</v>
      </c>
      <c r="X709">
        <v>1914</v>
      </c>
      <c r="Z709" t="s">
        <v>605</v>
      </c>
      <c r="AA709" t="s">
        <v>605</v>
      </c>
      <c r="AB709">
        <v>384</v>
      </c>
      <c r="AC709">
        <v>563</v>
      </c>
      <c r="AD709">
        <v>415</v>
      </c>
      <c r="AE709">
        <v>611</v>
      </c>
      <c r="AF709">
        <v>284</v>
      </c>
      <c r="AG709">
        <v>615</v>
      </c>
      <c r="AH709">
        <v>238</v>
      </c>
      <c r="AI709">
        <v>756</v>
      </c>
      <c r="AJ709">
        <v>587</v>
      </c>
      <c r="AK709">
        <v>1209</v>
      </c>
      <c r="AL709">
        <v>982</v>
      </c>
      <c r="AM709">
        <v>1914</v>
      </c>
    </row>
    <row r="710" spans="2:39" x14ac:dyDescent="0.35">
      <c r="B710" s="23" t="s">
        <v>606</v>
      </c>
      <c r="D710" t="s">
        <v>539</v>
      </c>
      <c r="E710" t="s">
        <v>540</v>
      </c>
      <c r="F710" s="46" t="s">
        <v>606</v>
      </c>
      <c r="G710" t="s">
        <v>607</v>
      </c>
      <c r="H710" s="23">
        <v>22</v>
      </c>
      <c r="I710" s="23" t="s">
        <v>608</v>
      </c>
      <c r="J710" t="s">
        <v>609</v>
      </c>
      <c r="K710">
        <v>583</v>
      </c>
      <c r="L710">
        <v>873</v>
      </c>
      <c r="M710" s="24">
        <v>577</v>
      </c>
      <c r="N710" s="24">
        <v>869</v>
      </c>
      <c r="O710" s="24">
        <v>579</v>
      </c>
      <c r="P710" s="24">
        <v>888</v>
      </c>
      <c r="Q710">
        <v>736</v>
      </c>
      <c r="R710">
        <v>1076</v>
      </c>
      <c r="S710">
        <v>866</v>
      </c>
      <c r="T710">
        <v>1355</v>
      </c>
      <c r="U710">
        <v>822</v>
      </c>
      <c r="V710">
        <v>1479</v>
      </c>
      <c r="W710">
        <v>1019</v>
      </c>
      <c r="X710">
        <v>1908</v>
      </c>
      <c r="Z710" t="s">
        <v>609</v>
      </c>
      <c r="AA710" t="s">
        <v>609</v>
      </c>
      <c r="AB710">
        <v>577</v>
      </c>
      <c r="AC710">
        <v>869</v>
      </c>
      <c r="AD710">
        <v>579</v>
      </c>
      <c r="AE710">
        <v>888</v>
      </c>
      <c r="AF710">
        <v>736</v>
      </c>
      <c r="AG710">
        <v>1076</v>
      </c>
      <c r="AH710">
        <v>866</v>
      </c>
      <c r="AI710">
        <v>1355</v>
      </c>
      <c r="AJ710">
        <v>822</v>
      </c>
      <c r="AK710">
        <v>1479</v>
      </c>
      <c r="AL710">
        <v>1019</v>
      </c>
      <c r="AM710">
        <v>1908</v>
      </c>
    </row>
    <row r="711" spans="2:39" x14ac:dyDescent="0.35">
      <c r="B711" s="23" t="s">
        <v>610</v>
      </c>
      <c r="D711" t="s">
        <v>539</v>
      </c>
      <c r="E711" t="s">
        <v>540</v>
      </c>
      <c r="F711" s="46" t="s">
        <v>610</v>
      </c>
      <c r="G711" t="s">
        <v>611</v>
      </c>
      <c r="H711" s="23">
        <v>23</v>
      </c>
      <c r="I711" s="23" t="s">
        <v>612</v>
      </c>
      <c r="J711" t="s">
        <v>613</v>
      </c>
      <c r="K711">
        <v>419</v>
      </c>
      <c r="L711">
        <v>560</v>
      </c>
      <c r="M711" s="24">
        <v>414</v>
      </c>
      <c r="N711" s="24">
        <v>599</v>
      </c>
      <c r="O711" s="24">
        <v>523</v>
      </c>
      <c r="P711" s="24">
        <v>719</v>
      </c>
      <c r="Q711">
        <v>513</v>
      </c>
      <c r="R711">
        <v>885</v>
      </c>
      <c r="S711">
        <v>384</v>
      </c>
      <c r="T711">
        <v>926</v>
      </c>
      <c r="U711">
        <v>485</v>
      </c>
      <c r="V711">
        <v>1186</v>
      </c>
      <c r="W711">
        <v>789</v>
      </c>
      <c r="X711">
        <v>1726</v>
      </c>
      <c r="Z711" t="s">
        <v>613</v>
      </c>
      <c r="AA711" t="s">
        <v>613</v>
      </c>
      <c r="AB711">
        <v>414</v>
      </c>
      <c r="AC711">
        <v>599</v>
      </c>
      <c r="AD711">
        <v>523</v>
      </c>
      <c r="AE711">
        <v>719</v>
      </c>
      <c r="AF711">
        <v>513</v>
      </c>
      <c r="AG711">
        <v>885</v>
      </c>
      <c r="AH711">
        <v>384</v>
      </c>
      <c r="AI711">
        <v>926</v>
      </c>
      <c r="AJ711">
        <v>485</v>
      </c>
      <c r="AK711">
        <v>1186</v>
      </c>
      <c r="AL711">
        <v>789</v>
      </c>
      <c r="AM711">
        <v>1726</v>
      </c>
    </row>
    <row r="712" spans="2:39" x14ac:dyDescent="0.35">
      <c r="B712" s="23" t="s">
        <v>614</v>
      </c>
      <c r="D712" t="s">
        <v>539</v>
      </c>
      <c r="E712" t="s">
        <v>540</v>
      </c>
      <c r="F712" s="46" t="s">
        <v>614</v>
      </c>
      <c r="G712" t="s">
        <v>615</v>
      </c>
      <c r="H712" s="23">
        <v>24</v>
      </c>
      <c r="I712" s="23" t="s">
        <v>616</v>
      </c>
      <c r="J712" t="s">
        <v>617</v>
      </c>
      <c r="K712">
        <v>809</v>
      </c>
      <c r="L712">
        <v>1098</v>
      </c>
      <c r="M712" s="24">
        <v>802</v>
      </c>
      <c r="N712" s="24">
        <v>1146</v>
      </c>
      <c r="O712" s="24">
        <v>1153</v>
      </c>
      <c r="P712" s="24">
        <v>1519</v>
      </c>
      <c r="Q712">
        <v>675</v>
      </c>
      <c r="R712">
        <v>1418</v>
      </c>
      <c r="S712">
        <v>699</v>
      </c>
      <c r="T712">
        <v>1561</v>
      </c>
      <c r="U712">
        <v>1010</v>
      </c>
      <c r="V712">
        <v>1976</v>
      </c>
      <c r="W712">
        <v>1312</v>
      </c>
      <c r="X712">
        <v>2643</v>
      </c>
      <c r="Z712" t="s">
        <v>617</v>
      </c>
      <c r="AA712" t="s">
        <v>617</v>
      </c>
      <c r="AB712">
        <v>802</v>
      </c>
      <c r="AC712">
        <v>1146</v>
      </c>
      <c r="AD712">
        <v>1153</v>
      </c>
      <c r="AE712">
        <v>1519</v>
      </c>
      <c r="AF712">
        <v>675</v>
      </c>
      <c r="AG712">
        <v>1418</v>
      </c>
      <c r="AH712">
        <v>699</v>
      </c>
      <c r="AI712">
        <v>1561</v>
      </c>
      <c r="AJ712">
        <v>1010</v>
      </c>
      <c r="AK712">
        <v>1976</v>
      </c>
      <c r="AL712">
        <v>1312</v>
      </c>
      <c r="AM712">
        <v>2643</v>
      </c>
    </row>
    <row r="713" spans="2:39" x14ac:dyDescent="0.35">
      <c r="B713" s="23" t="s">
        <v>618</v>
      </c>
      <c r="D713" t="s">
        <v>539</v>
      </c>
      <c r="E713" t="s">
        <v>540</v>
      </c>
      <c r="F713" s="46" t="s">
        <v>618</v>
      </c>
      <c r="G713" t="s">
        <v>619</v>
      </c>
      <c r="H713" s="23">
        <v>25</v>
      </c>
      <c r="I713" s="23" t="s">
        <v>620</v>
      </c>
      <c r="J713" t="s">
        <v>621</v>
      </c>
      <c r="K713">
        <v>1886</v>
      </c>
      <c r="L713">
        <v>2337</v>
      </c>
      <c r="M713" s="24">
        <v>2129</v>
      </c>
      <c r="N713" s="24">
        <v>2680</v>
      </c>
      <c r="O713" s="24">
        <v>2643</v>
      </c>
      <c r="P713" s="24">
        <v>3280</v>
      </c>
      <c r="Q713">
        <v>3243</v>
      </c>
      <c r="R713">
        <v>4043</v>
      </c>
      <c r="S713">
        <v>4263</v>
      </c>
      <c r="T713">
        <v>5554</v>
      </c>
      <c r="U713">
        <v>4528</v>
      </c>
      <c r="V713">
        <v>6437</v>
      </c>
      <c r="W713">
        <v>5395</v>
      </c>
      <c r="X713">
        <v>8282</v>
      </c>
      <c r="Z713" t="s">
        <v>621</v>
      </c>
      <c r="AA713" t="s">
        <v>621</v>
      </c>
      <c r="AB713">
        <v>2129</v>
      </c>
      <c r="AC713">
        <v>2680</v>
      </c>
      <c r="AD713">
        <v>2643</v>
      </c>
      <c r="AE713">
        <v>3280</v>
      </c>
      <c r="AF713">
        <v>3243</v>
      </c>
      <c r="AG713">
        <v>4043</v>
      </c>
      <c r="AH713">
        <v>4263</v>
      </c>
      <c r="AI713">
        <v>5554</v>
      </c>
      <c r="AJ713">
        <v>4528</v>
      </c>
      <c r="AK713">
        <v>6437</v>
      </c>
      <c r="AL713">
        <v>5395</v>
      </c>
      <c r="AM713">
        <v>8282</v>
      </c>
    </row>
    <row r="714" spans="2:39" x14ac:dyDescent="0.35">
      <c r="B714" s="23" t="s">
        <v>622</v>
      </c>
      <c r="D714" t="s">
        <v>539</v>
      </c>
      <c r="E714" t="s">
        <v>540</v>
      </c>
      <c r="F714" s="46" t="s">
        <v>622</v>
      </c>
      <c r="G714" t="s">
        <v>623</v>
      </c>
      <c r="H714" s="23">
        <v>26</v>
      </c>
      <c r="I714" s="23" t="s">
        <v>624</v>
      </c>
      <c r="J714" t="s">
        <v>625</v>
      </c>
      <c r="K714">
        <v>7741</v>
      </c>
      <c r="L714">
        <v>11414</v>
      </c>
      <c r="M714" s="24">
        <v>7841</v>
      </c>
      <c r="N714" s="24">
        <v>11802</v>
      </c>
      <c r="O714" s="24">
        <v>8101</v>
      </c>
      <c r="P714" s="24">
        <v>12350</v>
      </c>
      <c r="Q714">
        <v>8286</v>
      </c>
      <c r="R714">
        <v>12981</v>
      </c>
      <c r="S714">
        <v>10419</v>
      </c>
      <c r="T714">
        <v>16658</v>
      </c>
      <c r="U714">
        <v>11189</v>
      </c>
      <c r="V714">
        <v>19172</v>
      </c>
      <c r="W714">
        <v>13958</v>
      </c>
      <c r="X714">
        <v>25317</v>
      </c>
      <c r="Z714" t="s">
        <v>625</v>
      </c>
      <c r="AA714" t="s">
        <v>625</v>
      </c>
      <c r="AB714">
        <v>7841</v>
      </c>
      <c r="AC714">
        <v>11802</v>
      </c>
      <c r="AD714">
        <v>8101</v>
      </c>
      <c r="AE714">
        <v>12350</v>
      </c>
      <c r="AF714">
        <v>8286</v>
      </c>
      <c r="AG714">
        <v>12981</v>
      </c>
      <c r="AH714">
        <v>10419</v>
      </c>
      <c r="AI714">
        <v>16658</v>
      </c>
      <c r="AJ714">
        <v>11189</v>
      </c>
      <c r="AK714">
        <v>19172</v>
      </c>
      <c r="AL714">
        <v>13958</v>
      </c>
      <c r="AM714">
        <v>25317</v>
      </c>
    </row>
    <row r="715" spans="2:39" x14ac:dyDescent="0.35">
      <c r="B715" s="23" t="s">
        <v>626</v>
      </c>
      <c r="D715" t="s">
        <v>539</v>
      </c>
      <c r="E715" t="s">
        <v>540</v>
      </c>
      <c r="F715" s="46" t="s">
        <v>626</v>
      </c>
      <c r="G715" t="s">
        <v>627</v>
      </c>
      <c r="H715" s="23">
        <v>27</v>
      </c>
      <c r="I715" s="23" t="s">
        <v>628</v>
      </c>
      <c r="J715" t="s">
        <v>629</v>
      </c>
      <c r="K715">
        <v>3669</v>
      </c>
      <c r="L715">
        <v>5038</v>
      </c>
      <c r="M715" s="24">
        <v>3910</v>
      </c>
      <c r="N715" s="24">
        <v>5521</v>
      </c>
      <c r="O715" s="24">
        <v>4270</v>
      </c>
      <c r="P715" s="24">
        <v>6053</v>
      </c>
      <c r="Q715">
        <v>3766</v>
      </c>
      <c r="R715">
        <v>6354</v>
      </c>
      <c r="S715">
        <v>4344</v>
      </c>
      <c r="T715">
        <v>7946</v>
      </c>
      <c r="U715">
        <v>5028</v>
      </c>
      <c r="V715">
        <v>9319</v>
      </c>
      <c r="W715">
        <v>7629</v>
      </c>
      <c r="X715">
        <v>12610</v>
      </c>
      <c r="Z715" t="s">
        <v>629</v>
      </c>
      <c r="AA715" t="s">
        <v>629</v>
      </c>
      <c r="AB715">
        <v>3910</v>
      </c>
      <c r="AC715">
        <v>5521</v>
      </c>
      <c r="AD715">
        <v>4270</v>
      </c>
      <c r="AE715">
        <v>6053</v>
      </c>
      <c r="AF715">
        <v>3766</v>
      </c>
      <c r="AG715">
        <v>6354</v>
      </c>
      <c r="AH715">
        <v>4344</v>
      </c>
      <c r="AI715">
        <v>7946</v>
      </c>
      <c r="AJ715">
        <v>5028</v>
      </c>
      <c r="AK715">
        <v>9319</v>
      </c>
      <c r="AL715">
        <v>7629</v>
      </c>
      <c r="AM715">
        <v>12610</v>
      </c>
    </row>
    <row r="716" spans="2:39" x14ac:dyDescent="0.35">
      <c r="B716" s="23" t="s">
        <v>630</v>
      </c>
      <c r="D716" t="s">
        <v>539</v>
      </c>
      <c r="E716" t="s">
        <v>540</v>
      </c>
      <c r="F716" s="46" t="s">
        <v>630</v>
      </c>
      <c r="G716" t="s">
        <v>631</v>
      </c>
      <c r="H716" s="23">
        <v>28</v>
      </c>
      <c r="I716" s="23" t="s">
        <v>632</v>
      </c>
      <c r="J716" t="s">
        <v>633</v>
      </c>
      <c r="K716">
        <v>50034</v>
      </c>
      <c r="L716">
        <v>81954</v>
      </c>
      <c r="M716" s="24">
        <v>50137</v>
      </c>
      <c r="N716" s="24">
        <v>82742</v>
      </c>
      <c r="O716" s="24">
        <v>54799</v>
      </c>
      <c r="P716" s="24">
        <v>90451</v>
      </c>
      <c r="Q716">
        <v>60203</v>
      </c>
      <c r="R716">
        <v>100688</v>
      </c>
      <c r="S716">
        <v>84285</v>
      </c>
      <c r="T716">
        <v>140075</v>
      </c>
      <c r="U716">
        <v>104743</v>
      </c>
      <c r="V716">
        <v>172408</v>
      </c>
      <c r="W716">
        <v>154472</v>
      </c>
      <c r="X716">
        <v>244377</v>
      </c>
      <c r="Z716" t="s">
        <v>633</v>
      </c>
      <c r="AA716" t="s">
        <v>633</v>
      </c>
      <c r="AB716">
        <v>50137</v>
      </c>
      <c r="AC716">
        <v>82742</v>
      </c>
      <c r="AD716">
        <v>54799</v>
      </c>
      <c r="AE716">
        <v>90451</v>
      </c>
      <c r="AF716">
        <v>60203</v>
      </c>
      <c r="AG716">
        <v>100688</v>
      </c>
      <c r="AH716">
        <v>84285</v>
      </c>
      <c r="AI716">
        <v>140075</v>
      </c>
      <c r="AJ716">
        <v>104743</v>
      </c>
      <c r="AK716">
        <v>172408</v>
      </c>
      <c r="AL716">
        <v>154472</v>
      </c>
      <c r="AM716">
        <v>244377</v>
      </c>
    </row>
    <row r="717" spans="2:39" x14ac:dyDescent="0.35">
      <c r="B717" s="23" t="s">
        <v>634</v>
      </c>
      <c r="D717" t="s">
        <v>539</v>
      </c>
      <c r="E717" t="s">
        <v>540</v>
      </c>
      <c r="F717" s="46" t="s">
        <v>634</v>
      </c>
      <c r="G717" t="s">
        <v>635</v>
      </c>
      <c r="H717" s="23">
        <v>29</v>
      </c>
      <c r="I717" s="23" t="s">
        <v>636</v>
      </c>
      <c r="J717" t="s">
        <v>637</v>
      </c>
      <c r="K717">
        <v>596</v>
      </c>
      <c r="L717">
        <v>806</v>
      </c>
      <c r="M717" s="24">
        <v>599</v>
      </c>
      <c r="N717" s="24">
        <v>881</v>
      </c>
      <c r="O717" s="24">
        <v>660</v>
      </c>
      <c r="P717" s="24">
        <v>998</v>
      </c>
      <c r="Q717">
        <v>470</v>
      </c>
      <c r="R717">
        <v>1064</v>
      </c>
      <c r="S717">
        <v>411</v>
      </c>
      <c r="T717">
        <v>1249</v>
      </c>
      <c r="U717">
        <v>447</v>
      </c>
      <c r="V717">
        <v>1497</v>
      </c>
      <c r="W717">
        <v>1002</v>
      </c>
      <c r="X717">
        <v>2145</v>
      </c>
      <c r="Z717" t="s">
        <v>637</v>
      </c>
      <c r="AA717" t="s">
        <v>637</v>
      </c>
      <c r="AB717">
        <v>599</v>
      </c>
      <c r="AC717">
        <v>881</v>
      </c>
      <c r="AD717">
        <v>660</v>
      </c>
      <c r="AE717">
        <v>998</v>
      </c>
      <c r="AF717">
        <v>470</v>
      </c>
      <c r="AG717">
        <v>1064</v>
      </c>
      <c r="AH717">
        <v>411</v>
      </c>
      <c r="AI717">
        <v>1249</v>
      </c>
      <c r="AJ717">
        <v>447</v>
      </c>
      <c r="AK717">
        <v>1497</v>
      </c>
      <c r="AL717">
        <v>1002</v>
      </c>
      <c r="AM717">
        <v>2145</v>
      </c>
    </row>
    <row r="718" spans="2:39" x14ac:dyDescent="0.35">
      <c r="B718" s="23" t="s">
        <v>638</v>
      </c>
      <c r="D718" t="s">
        <v>539</v>
      </c>
      <c r="E718" t="s">
        <v>540</v>
      </c>
      <c r="F718" s="46" t="s">
        <v>638</v>
      </c>
      <c r="G718" t="s">
        <v>639</v>
      </c>
      <c r="H718" s="23">
        <v>30</v>
      </c>
      <c r="I718" s="23" t="s">
        <v>640</v>
      </c>
      <c r="J718" t="s">
        <v>641</v>
      </c>
      <c r="K718">
        <v>7242</v>
      </c>
      <c r="L718">
        <v>11062</v>
      </c>
      <c r="M718" s="24">
        <v>7363</v>
      </c>
      <c r="N718" s="24">
        <v>11692</v>
      </c>
      <c r="O718" s="24">
        <v>7959</v>
      </c>
      <c r="P718" s="24">
        <v>12339</v>
      </c>
      <c r="Q718">
        <v>8132</v>
      </c>
      <c r="R718">
        <v>13219</v>
      </c>
      <c r="S718">
        <v>8821</v>
      </c>
      <c r="T718">
        <v>15761</v>
      </c>
      <c r="U718">
        <v>9301</v>
      </c>
      <c r="V718">
        <v>17305</v>
      </c>
      <c r="W718">
        <v>10664</v>
      </c>
      <c r="X718">
        <v>20854</v>
      </c>
      <c r="Z718" t="s">
        <v>641</v>
      </c>
      <c r="AA718" t="s">
        <v>641</v>
      </c>
      <c r="AB718">
        <v>7363</v>
      </c>
      <c r="AC718">
        <v>11692</v>
      </c>
      <c r="AD718">
        <v>7959</v>
      </c>
      <c r="AE718">
        <v>12339</v>
      </c>
      <c r="AF718">
        <v>8132</v>
      </c>
      <c r="AG718">
        <v>13219</v>
      </c>
      <c r="AH718">
        <v>8821</v>
      </c>
      <c r="AI718">
        <v>15761</v>
      </c>
      <c r="AJ718">
        <v>9301</v>
      </c>
      <c r="AK718">
        <v>17305</v>
      </c>
      <c r="AL718">
        <v>10664</v>
      </c>
      <c r="AM718">
        <v>20854</v>
      </c>
    </row>
    <row r="719" spans="2:39" x14ac:dyDescent="0.35">
      <c r="B719" s="23" t="s">
        <v>642</v>
      </c>
      <c r="D719" t="s">
        <v>539</v>
      </c>
      <c r="E719" t="s">
        <v>540</v>
      </c>
      <c r="F719" s="46" t="s">
        <v>642</v>
      </c>
      <c r="G719" t="s">
        <v>643</v>
      </c>
      <c r="H719" s="23">
        <v>31</v>
      </c>
      <c r="I719" s="23" t="s">
        <v>644</v>
      </c>
      <c r="J719" t="s">
        <v>357</v>
      </c>
      <c r="K719">
        <v>1401</v>
      </c>
      <c r="L719">
        <v>1918</v>
      </c>
      <c r="M719" s="24">
        <v>1420</v>
      </c>
      <c r="N719" s="24">
        <v>2063</v>
      </c>
      <c r="O719" s="24">
        <v>1548</v>
      </c>
      <c r="P719" s="24">
        <v>2326</v>
      </c>
      <c r="Q719">
        <v>1045</v>
      </c>
      <c r="R719">
        <v>2448</v>
      </c>
      <c r="S719">
        <v>1013</v>
      </c>
      <c r="T719">
        <v>2901</v>
      </c>
      <c r="U719">
        <v>1136</v>
      </c>
      <c r="V719">
        <v>3320</v>
      </c>
      <c r="W719">
        <v>2418</v>
      </c>
      <c r="X719">
        <v>4738</v>
      </c>
      <c r="Z719" t="s">
        <v>357</v>
      </c>
      <c r="AA719" t="s">
        <v>357</v>
      </c>
      <c r="AB719">
        <v>1420</v>
      </c>
      <c r="AC719">
        <v>2063</v>
      </c>
      <c r="AD719">
        <v>1548</v>
      </c>
      <c r="AE719">
        <v>2326</v>
      </c>
      <c r="AF719">
        <v>1045</v>
      </c>
      <c r="AG719">
        <v>2448</v>
      </c>
      <c r="AH719">
        <v>1013</v>
      </c>
      <c r="AI719">
        <v>2901</v>
      </c>
      <c r="AJ719">
        <v>1136</v>
      </c>
      <c r="AK719">
        <v>3320</v>
      </c>
      <c r="AL719">
        <v>2418</v>
      </c>
      <c r="AM719">
        <v>4738</v>
      </c>
    </row>
    <row r="720" spans="2:39" x14ac:dyDescent="0.35">
      <c r="B720" s="23" t="s">
        <v>645</v>
      </c>
      <c r="D720" t="s">
        <v>539</v>
      </c>
      <c r="E720" t="s">
        <v>540</v>
      </c>
      <c r="F720" s="46" t="s">
        <v>645</v>
      </c>
      <c r="G720" t="s">
        <v>646</v>
      </c>
      <c r="H720" s="23">
        <v>32</v>
      </c>
      <c r="I720" s="23" t="s">
        <v>647</v>
      </c>
      <c r="J720" t="s">
        <v>247</v>
      </c>
      <c r="K720">
        <v>490</v>
      </c>
      <c r="L720">
        <v>684</v>
      </c>
      <c r="M720" s="24">
        <v>488</v>
      </c>
      <c r="N720" s="24">
        <v>720</v>
      </c>
      <c r="O720" s="24">
        <v>569</v>
      </c>
      <c r="P720" s="24">
        <v>820</v>
      </c>
      <c r="Q720">
        <v>351</v>
      </c>
      <c r="R720">
        <v>854</v>
      </c>
      <c r="S720">
        <v>372</v>
      </c>
      <c r="T720">
        <v>955</v>
      </c>
      <c r="U720">
        <v>500</v>
      </c>
      <c r="V720">
        <v>1200</v>
      </c>
      <c r="W720">
        <v>895</v>
      </c>
      <c r="X720">
        <v>1664</v>
      </c>
      <c r="Z720" t="s">
        <v>247</v>
      </c>
      <c r="AA720" t="s">
        <v>247</v>
      </c>
      <c r="AB720">
        <v>488</v>
      </c>
      <c r="AC720">
        <v>720</v>
      </c>
      <c r="AD720">
        <v>569</v>
      </c>
      <c r="AE720">
        <v>820</v>
      </c>
      <c r="AF720">
        <v>351</v>
      </c>
      <c r="AG720">
        <v>854</v>
      </c>
      <c r="AH720">
        <v>372</v>
      </c>
      <c r="AI720">
        <v>955</v>
      </c>
      <c r="AJ720">
        <v>500</v>
      </c>
      <c r="AK720">
        <v>1200</v>
      </c>
      <c r="AL720">
        <v>895</v>
      </c>
      <c r="AM720">
        <v>1664</v>
      </c>
    </row>
    <row r="721" spans="2:39" x14ac:dyDescent="0.35">
      <c r="B721" s="23" t="s">
        <v>648</v>
      </c>
      <c r="D721" t="s">
        <v>539</v>
      </c>
      <c r="E721" t="s">
        <v>540</v>
      </c>
      <c r="F721" s="46" t="s">
        <v>648</v>
      </c>
      <c r="G721" t="s">
        <v>649</v>
      </c>
      <c r="H721" s="23">
        <v>33</v>
      </c>
      <c r="I721" s="23" t="s">
        <v>650</v>
      </c>
      <c r="J721" t="s">
        <v>504</v>
      </c>
      <c r="K721">
        <v>284</v>
      </c>
      <c r="L721">
        <v>363</v>
      </c>
      <c r="M721" s="24">
        <v>243</v>
      </c>
      <c r="N721" s="24">
        <v>349</v>
      </c>
      <c r="O721" s="24">
        <v>351</v>
      </c>
      <c r="P721" s="24">
        <v>480</v>
      </c>
      <c r="Q721">
        <v>326</v>
      </c>
      <c r="R721">
        <v>563</v>
      </c>
      <c r="S721">
        <v>286</v>
      </c>
      <c r="T721">
        <v>594</v>
      </c>
      <c r="U721">
        <v>373</v>
      </c>
      <c r="V721">
        <v>708</v>
      </c>
      <c r="W721">
        <v>505</v>
      </c>
      <c r="X721">
        <v>957</v>
      </c>
      <c r="Z721" t="s">
        <v>504</v>
      </c>
      <c r="AA721" t="s">
        <v>504</v>
      </c>
      <c r="AB721">
        <v>243</v>
      </c>
      <c r="AC721">
        <v>349</v>
      </c>
      <c r="AD721">
        <v>351</v>
      </c>
      <c r="AE721">
        <v>480</v>
      </c>
      <c r="AF721">
        <v>326</v>
      </c>
      <c r="AG721">
        <v>563</v>
      </c>
      <c r="AH721">
        <v>286</v>
      </c>
      <c r="AI721">
        <v>594</v>
      </c>
      <c r="AJ721">
        <v>373</v>
      </c>
      <c r="AK721">
        <v>708</v>
      </c>
      <c r="AL721">
        <v>505</v>
      </c>
      <c r="AM721">
        <v>957</v>
      </c>
    </row>
    <row r="722" spans="2:39" x14ac:dyDescent="0.35">
      <c r="B722" s="23" t="s">
        <v>651</v>
      </c>
      <c r="D722" t="s">
        <v>539</v>
      </c>
      <c r="E722" t="s">
        <v>540</v>
      </c>
      <c r="F722" s="46" t="s">
        <v>651</v>
      </c>
      <c r="G722" t="s">
        <v>652</v>
      </c>
      <c r="H722" s="23">
        <v>34</v>
      </c>
      <c r="I722" s="23" t="s">
        <v>653</v>
      </c>
      <c r="J722" t="s">
        <v>654</v>
      </c>
      <c r="K722">
        <v>14172</v>
      </c>
      <c r="L722">
        <v>22311</v>
      </c>
      <c r="M722" s="24">
        <v>14575</v>
      </c>
      <c r="N722" s="24">
        <v>23469</v>
      </c>
      <c r="O722" s="24">
        <v>15670</v>
      </c>
      <c r="P722" s="24">
        <v>25384</v>
      </c>
      <c r="Q722">
        <v>16950</v>
      </c>
      <c r="R722">
        <v>27970</v>
      </c>
      <c r="S722">
        <v>21595</v>
      </c>
      <c r="T722">
        <v>37844</v>
      </c>
      <c r="U722">
        <v>23386</v>
      </c>
      <c r="V722">
        <v>43882</v>
      </c>
      <c r="W722">
        <v>34098</v>
      </c>
      <c r="X722">
        <v>57829</v>
      </c>
      <c r="Z722" t="s">
        <v>654</v>
      </c>
      <c r="AA722" t="s">
        <v>654</v>
      </c>
      <c r="AB722">
        <v>14575</v>
      </c>
      <c r="AC722">
        <v>23469</v>
      </c>
      <c r="AD722">
        <v>15670</v>
      </c>
      <c r="AE722">
        <v>25384</v>
      </c>
      <c r="AF722">
        <v>16950</v>
      </c>
      <c r="AG722">
        <v>27970</v>
      </c>
      <c r="AH722">
        <v>21595</v>
      </c>
      <c r="AI722">
        <v>37844</v>
      </c>
      <c r="AJ722">
        <v>23386</v>
      </c>
      <c r="AK722">
        <v>43882</v>
      </c>
      <c r="AL722">
        <v>34098</v>
      </c>
      <c r="AM722">
        <v>57829</v>
      </c>
    </row>
    <row r="723" spans="2:39" x14ac:dyDescent="0.35">
      <c r="B723" s="23" t="s">
        <v>655</v>
      </c>
      <c r="D723" t="s">
        <v>539</v>
      </c>
      <c r="E723" t="s">
        <v>540</v>
      </c>
      <c r="F723" s="46" t="s">
        <v>655</v>
      </c>
      <c r="G723" t="s">
        <v>656</v>
      </c>
      <c r="H723" s="23">
        <v>35</v>
      </c>
      <c r="I723" s="23" t="s">
        <v>657</v>
      </c>
      <c r="J723" t="s">
        <v>237</v>
      </c>
      <c r="K723">
        <v>40818</v>
      </c>
      <c r="L723">
        <v>55750</v>
      </c>
      <c r="M723" s="24">
        <v>43303</v>
      </c>
      <c r="N723" s="24">
        <v>61569</v>
      </c>
      <c r="O723" s="24">
        <v>48476</v>
      </c>
      <c r="P723" s="24">
        <v>68271</v>
      </c>
      <c r="Q723">
        <v>52548</v>
      </c>
      <c r="R723">
        <v>76085</v>
      </c>
      <c r="S723">
        <v>57770</v>
      </c>
      <c r="T723">
        <v>90591</v>
      </c>
      <c r="U723">
        <v>60200</v>
      </c>
      <c r="V723">
        <v>103348</v>
      </c>
      <c r="W723">
        <v>76342</v>
      </c>
      <c r="X723">
        <v>127275</v>
      </c>
      <c r="Z723" t="s">
        <v>237</v>
      </c>
      <c r="AA723" t="s">
        <v>237</v>
      </c>
      <c r="AB723">
        <v>43303</v>
      </c>
      <c r="AC723">
        <v>61569</v>
      </c>
      <c r="AD723">
        <v>48476</v>
      </c>
      <c r="AE723">
        <v>68271</v>
      </c>
      <c r="AF723">
        <v>52548</v>
      </c>
      <c r="AG723">
        <v>76085</v>
      </c>
      <c r="AH723">
        <v>57770</v>
      </c>
      <c r="AI723">
        <v>90591</v>
      </c>
      <c r="AJ723">
        <v>60200</v>
      </c>
      <c r="AK723">
        <v>103348</v>
      </c>
      <c r="AL723">
        <v>76342</v>
      </c>
      <c r="AM723">
        <v>127275</v>
      </c>
    </row>
    <row r="724" spans="2:39" x14ac:dyDescent="0.35">
      <c r="B724" s="23" t="s">
        <v>658</v>
      </c>
      <c r="D724" t="s">
        <v>539</v>
      </c>
      <c r="E724" t="s">
        <v>540</v>
      </c>
      <c r="F724" s="46" t="s">
        <v>658</v>
      </c>
      <c r="G724" t="s">
        <v>659</v>
      </c>
      <c r="H724" s="23">
        <v>36</v>
      </c>
      <c r="I724" s="23" t="s">
        <v>660</v>
      </c>
      <c r="J724" t="s">
        <v>661</v>
      </c>
      <c r="K724">
        <v>9576</v>
      </c>
      <c r="L724">
        <v>13388</v>
      </c>
      <c r="M724" s="24">
        <v>10084</v>
      </c>
      <c r="N724" s="24">
        <v>14723</v>
      </c>
      <c r="O724" s="24">
        <v>10870</v>
      </c>
      <c r="P724" s="24">
        <v>15849</v>
      </c>
      <c r="Q724">
        <v>9442</v>
      </c>
      <c r="R724">
        <v>18153</v>
      </c>
      <c r="S724">
        <v>10105</v>
      </c>
      <c r="T724">
        <v>20336</v>
      </c>
      <c r="U724">
        <v>9611</v>
      </c>
      <c r="V724">
        <v>25079</v>
      </c>
      <c r="W724">
        <v>17255</v>
      </c>
      <c r="X724">
        <v>36406</v>
      </c>
      <c r="Z724" t="s">
        <v>661</v>
      </c>
      <c r="AA724" t="s">
        <v>661</v>
      </c>
      <c r="AB724">
        <v>10084</v>
      </c>
      <c r="AC724">
        <v>14723</v>
      </c>
      <c r="AD724">
        <v>10870</v>
      </c>
      <c r="AE724">
        <v>15849</v>
      </c>
      <c r="AF724">
        <v>9442</v>
      </c>
      <c r="AG724">
        <v>18153</v>
      </c>
      <c r="AH724">
        <v>10105</v>
      </c>
      <c r="AI724">
        <v>20336</v>
      </c>
      <c r="AJ724">
        <v>9611</v>
      </c>
      <c r="AK724">
        <v>25079</v>
      </c>
      <c r="AL724">
        <v>17255</v>
      </c>
      <c r="AM724">
        <v>36406</v>
      </c>
    </row>
    <row r="725" spans="2:39" x14ac:dyDescent="0.35">
      <c r="B725" s="23" t="s">
        <v>662</v>
      </c>
      <c r="D725" t="s">
        <v>539</v>
      </c>
      <c r="E725" t="s">
        <v>540</v>
      </c>
      <c r="F725" s="46" t="s">
        <v>662</v>
      </c>
      <c r="G725" t="s">
        <v>663</v>
      </c>
      <c r="H725" s="23">
        <v>37</v>
      </c>
      <c r="I725" s="23" t="s">
        <v>664</v>
      </c>
      <c r="J725" t="s">
        <v>665</v>
      </c>
      <c r="K725">
        <v>2058</v>
      </c>
      <c r="L725">
        <v>2666</v>
      </c>
      <c r="M725" s="24">
        <v>1890</v>
      </c>
      <c r="N725" s="24">
        <v>2606</v>
      </c>
      <c r="O725" s="24">
        <v>2056</v>
      </c>
      <c r="P725" s="24">
        <v>2922</v>
      </c>
      <c r="Q725">
        <v>1753</v>
      </c>
      <c r="R725">
        <v>2970</v>
      </c>
      <c r="S725">
        <v>1810</v>
      </c>
      <c r="T725">
        <v>3367</v>
      </c>
      <c r="U725">
        <v>1916</v>
      </c>
      <c r="V725">
        <v>3838</v>
      </c>
      <c r="W725">
        <v>2898</v>
      </c>
      <c r="X725">
        <v>5219</v>
      </c>
      <c r="Z725" t="s">
        <v>665</v>
      </c>
      <c r="AA725" t="s">
        <v>665</v>
      </c>
      <c r="AB725">
        <v>1890</v>
      </c>
      <c r="AC725">
        <v>2606</v>
      </c>
      <c r="AD725">
        <v>2056</v>
      </c>
      <c r="AE725">
        <v>2922</v>
      </c>
      <c r="AF725">
        <v>1753</v>
      </c>
      <c r="AG725">
        <v>2970</v>
      </c>
      <c r="AH725">
        <v>1810</v>
      </c>
      <c r="AI725">
        <v>3367</v>
      </c>
      <c r="AJ725">
        <v>1916</v>
      </c>
      <c r="AK725">
        <v>3838</v>
      </c>
      <c r="AL725">
        <v>2898</v>
      </c>
      <c r="AM725">
        <v>5219</v>
      </c>
    </row>
    <row r="726" spans="2:39" x14ac:dyDescent="0.35">
      <c r="B726" s="23" t="s">
        <v>666</v>
      </c>
      <c r="D726" t="s">
        <v>539</v>
      </c>
      <c r="E726" t="s">
        <v>540</v>
      </c>
      <c r="F726" s="46" t="s">
        <v>666</v>
      </c>
      <c r="G726" t="s">
        <v>667</v>
      </c>
      <c r="H726" s="23">
        <v>38</v>
      </c>
      <c r="I726" s="23" t="s">
        <v>668</v>
      </c>
      <c r="J726" t="s">
        <v>669</v>
      </c>
      <c r="K726">
        <v>177</v>
      </c>
      <c r="L726">
        <v>230</v>
      </c>
      <c r="M726" s="24">
        <v>187</v>
      </c>
      <c r="N726" s="24">
        <v>256</v>
      </c>
      <c r="O726" s="24">
        <v>206</v>
      </c>
      <c r="P726" s="24">
        <v>299</v>
      </c>
      <c r="Q726">
        <v>147</v>
      </c>
      <c r="R726">
        <v>308</v>
      </c>
      <c r="S726">
        <v>130</v>
      </c>
      <c r="T726">
        <v>367</v>
      </c>
      <c r="U726">
        <v>172</v>
      </c>
      <c r="V726">
        <v>470</v>
      </c>
      <c r="W726">
        <v>339</v>
      </c>
      <c r="X726">
        <v>657</v>
      </c>
      <c r="Z726" t="s">
        <v>669</v>
      </c>
      <c r="AA726" t="s">
        <v>669</v>
      </c>
      <c r="AB726">
        <v>187</v>
      </c>
      <c r="AC726">
        <v>256</v>
      </c>
      <c r="AD726">
        <v>206</v>
      </c>
      <c r="AE726">
        <v>299</v>
      </c>
      <c r="AF726">
        <v>147</v>
      </c>
      <c r="AG726">
        <v>308</v>
      </c>
      <c r="AH726">
        <v>130</v>
      </c>
      <c r="AI726">
        <v>367</v>
      </c>
      <c r="AJ726">
        <v>172</v>
      </c>
      <c r="AK726">
        <v>470</v>
      </c>
      <c r="AL726">
        <v>339</v>
      </c>
      <c r="AM726">
        <v>657</v>
      </c>
    </row>
    <row r="727" spans="2:39" x14ac:dyDescent="0.35">
      <c r="B727" s="23" t="s">
        <v>670</v>
      </c>
      <c r="D727" t="s">
        <v>539</v>
      </c>
      <c r="E727" t="s">
        <v>540</v>
      </c>
      <c r="F727" s="46" t="s">
        <v>670</v>
      </c>
      <c r="G727" t="s">
        <v>671</v>
      </c>
      <c r="H727" s="23">
        <v>39</v>
      </c>
      <c r="I727" s="23" t="s">
        <v>672</v>
      </c>
      <c r="J727" t="s">
        <v>287</v>
      </c>
      <c r="K727">
        <v>684</v>
      </c>
      <c r="L727">
        <v>880</v>
      </c>
      <c r="M727" s="24">
        <v>660</v>
      </c>
      <c r="N727" s="24">
        <v>884</v>
      </c>
      <c r="O727" s="24">
        <v>725</v>
      </c>
      <c r="P727" s="24">
        <v>966</v>
      </c>
      <c r="Q727">
        <v>538</v>
      </c>
      <c r="R727">
        <v>1093</v>
      </c>
      <c r="S727">
        <v>494</v>
      </c>
      <c r="T727">
        <v>1226</v>
      </c>
      <c r="U727">
        <v>453</v>
      </c>
      <c r="V727">
        <v>1528</v>
      </c>
      <c r="W727">
        <v>1085</v>
      </c>
      <c r="X727">
        <v>2236</v>
      </c>
      <c r="Z727" t="s">
        <v>287</v>
      </c>
      <c r="AA727" t="s">
        <v>287</v>
      </c>
      <c r="AB727">
        <v>660</v>
      </c>
      <c r="AC727">
        <v>884</v>
      </c>
      <c r="AD727">
        <v>725</v>
      </c>
      <c r="AE727">
        <v>966</v>
      </c>
      <c r="AF727">
        <v>538</v>
      </c>
      <c r="AG727">
        <v>1093</v>
      </c>
      <c r="AH727">
        <v>494</v>
      </c>
      <c r="AI727">
        <v>1226</v>
      </c>
      <c r="AJ727">
        <v>453</v>
      </c>
      <c r="AK727">
        <v>1528</v>
      </c>
      <c r="AL727">
        <v>1085</v>
      </c>
      <c r="AM727">
        <v>2236</v>
      </c>
    </row>
    <row r="728" spans="2:39" x14ac:dyDescent="0.35">
      <c r="B728" s="23" t="s">
        <v>673</v>
      </c>
      <c r="D728" t="s">
        <v>539</v>
      </c>
      <c r="E728" t="s">
        <v>540</v>
      </c>
      <c r="F728" s="46" t="s">
        <v>673</v>
      </c>
      <c r="G728" t="s">
        <v>674</v>
      </c>
      <c r="H728" s="23">
        <v>40</v>
      </c>
      <c r="I728" s="23" t="s">
        <v>675</v>
      </c>
      <c r="J728" t="s">
        <v>676</v>
      </c>
      <c r="K728">
        <v>10672</v>
      </c>
      <c r="L728">
        <v>19717</v>
      </c>
      <c r="M728" s="24">
        <v>9373</v>
      </c>
      <c r="N728" s="24">
        <v>18965</v>
      </c>
      <c r="O728" s="24">
        <v>9925</v>
      </c>
      <c r="P728" s="24">
        <v>19302</v>
      </c>
      <c r="Q728">
        <v>10760</v>
      </c>
      <c r="R728">
        <v>21183</v>
      </c>
      <c r="S728">
        <v>15587</v>
      </c>
      <c r="T728">
        <v>29989</v>
      </c>
      <c r="U728">
        <v>18714</v>
      </c>
      <c r="V728">
        <v>36256</v>
      </c>
      <c r="W728">
        <v>28045</v>
      </c>
      <c r="X728">
        <v>50687</v>
      </c>
      <c r="Z728" t="s">
        <v>676</v>
      </c>
      <c r="AA728" t="s">
        <v>676</v>
      </c>
      <c r="AB728">
        <v>9373</v>
      </c>
      <c r="AC728">
        <v>18965</v>
      </c>
      <c r="AD728">
        <v>9925</v>
      </c>
      <c r="AE728">
        <v>19302</v>
      </c>
      <c r="AF728">
        <v>10760</v>
      </c>
      <c r="AG728">
        <v>21183</v>
      </c>
      <c r="AH728">
        <v>15587</v>
      </c>
      <c r="AI728">
        <v>29989</v>
      </c>
      <c r="AJ728">
        <v>18714</v>
      </c>
      <c r="AK728">
        <v>36256</v>
      </c>
      <c r="AL728">
        <v>28045</v>
      </c>
      <c r="AM728">
        <v>50687</v>
      </c>
    </row>
    <row r="729" spans="2:39" x14ac:dyDescent="0.35">
      <c r="B729" s="23" t="s">
        <v>677</v>
      </c>
      <c r="D729" t="s">
        <v>539</v>
      </c>
      <c r="E729" t="s">
        <v>540</v>
      </c>
      <c r="F729" s="46" t="s">
        <v>677</v>
      </c>
      <c r="G729" t="s">
        <v>678</v>
      </c>
      <c r="H729" s="23">
        <v>41</v>
      </c>
      <c r="I729" s="23" t="s">
        <v>679</v>
      </c>
      <c r="J729" t="s">
        <v>365</v>
      </c>
      <c r="K729">
        <v>14440</v>
      </c>
      <c r="L729">
        <v>22207</v>
      </c>
      <c r="M729" s="24">
        <v>14149</v>
      </c>
      <c r="N729" s="24">
        <v>22114</v>
      </c>
      <c r="O729" s="24">
        <v>15396</v>
      </c>
      <c r="P729" s="24">
        <v>23912</v>
      </c>
      <c r="Q729">
        <v>15376</v>
      </c>
      <c r="R729">
        <v>25415</v>
      </c>
      <c r="S729">
        <v>19569</v>
      </c>
      <c r="T729">
        <v>32830</v>
      </c>
      <c r="U729">
        <v>20477</v>
      </c>
      <c r="V729">
        <v>38547</v>
      </c>
      <c r="W729">
        <v>31252</v>
      </c>
      <c r="X729">
        <v>53252</v>
      </c>
      <c r="Z729" t="s">
        <v>365</v>
      </c>
      <c r="AA729" t="s">
        <v>365</v>
      </c>
      <c r="AB729">
        <v>14149</v>
      </c>
      <c r="AC729">
        <v>22114</v>
      </c>
      <c r="AD729">
        <v>15396</v>
      </c>
      <c r="AE729">
        <v>23912</v>
      </c>
      <c r="AF729">
        <v>15376</v>
      </c>
      <c r="AG729">
        <v>25415</v>
      </c>
      <c r="AH729">
        <v>19569</v>
      </c>
      <c r="AI729">
        <v>32830</v>
      </c>
      <c r="AJ729">
        <v>20477</v>
      </c>
      <c r="AK729">
        <v>38547</v>
      </c>
      <c r="AL729">
        <v>31252</v>
      </c>
      <c r="AM729">
        <v>53252</v>
      </c>
    </row>
    <row r="730" spans="2:39" x14ac:dyDescent="0.35">
      <c r="B730" s="23" t="s">
        <v>680</v>
      </c>
      <c r="D730" t="s">
        <v>539</v>
      </c>
      <c r="E730" t="s">
        <v>540</v>
      </c>
      <c r="F730" s="46" t="s">
        <v>680</v>
      </c>
      <c r="G730" t="s">
        <v>681</v>
      </c>
      <c r="H730" s="23">
        <v>42</v>
      </c>
      <c r="I730" s="23" t="s">
        <v>682</v>
      </c>
      <c r="J730" t="s">
        <v>683</v>
      </c>
      <c r="K730">
        <v>7679</v>
      </c>
      <c r="L730">
        <v>12173</v>
      </c>
      <c r="M730" s="24">
        <v>7540</v>
      </c>
      <c r="N730" s="24">
        <v>12446</v>
      </c>
      <c r="O730" s="24">
        <v>7284</v>
      </c>
      <c r="P730" s="24">
        <v>12512</v>
      </c>
      <c r="Q730">
        <v>6671</v>
      </c>
      <c r="R730">
        <v>12789</v>
      </c>
      <c r="S730">
        <v>8073</v>
      </c>
      <c r="T730">
        <v>15817</v>
      </c>
      <c r="U730">
        <v>8730</v>
      </c>
      <c r="V730">
        <v>17191</v>
      </c>
      <c r="W730">
        <v>10626</v>
      </c>
      <c r="X730">
        <v>20331</v>
      </c>
      <c r="Z730" t="s">
        <v>683</v>
      </c>
      <c r="AA730" t="s">
        <v>683</v>
      </c>
      <c r="AB730">
        <v>7540</v>
      </c>
      <c r="AC730">
        <v>12446</v>
      </c>
      <c r="AD730">
        <v>7284</v>
      </c>
      <c r="AE730">
        <v>12512</v>
      </c>
      <c r="AF730">
        <v>6671</v>
      </c>
      <c r="AG730">
        <v>12789</v>
      </c>
      <c r="AH730">
        <v>8073</v>
      </c>
      <c r="AI730">
        <v>15817</v>
      </c>
      <c r="AJ730">
        <v>8730</v>
      </c>
      <c r="AK730">
        <v>17191</v>
      </c>
      <c r="AL730">
        <v>10626</v>
      </c>
      <c r="AM730">
        <v>20331</v>
      </c>
    </row>
    <row r="731" spans="2:39" x14ac:dyDescent="0.35">
      <c r="B731" s="23" t="s">
        <v>684</v>
      </c>
      <c r="D731" t="s">
        <v>539</v>
      </c>
      <c r="E731" t="s">
        <v>540</v>
      </c>
      <c r="F731" s="46" t="s">
        <v>684</v>
      </c>
      <c r="G731" t="s">
        <v>685</v>
      </c>
      <c r="H731" s="23">
        <v>43</v>
      </c>
      <c r="I731" s="23" t="s">
        <v>686</v>
      </c>
      <c r="J731" t="s">
        <v>687</v>
      </c>
      <c r="K731">
        <v>302716</v>
      </c>
      <c r="L731">
        <v>394677</v>
      </c>
      <c r="M731" s="24">
        <v>329415</v>
      </c>
      <c r="N731" s="24">
        <v>422183</v>
      </c>
      <c r="O731" s="24">
        <v>360743</v>
      </c>
      <c r="P731" s="24">
        <v>457666</v>
      </c>
      <c r="Q731">
        <v>390470</v>
      </c>
      <c r="R731">
        <v>509218</v>
      </c>
      <c r="S731">
        <v>483326</v>
      </c>
      <c r="T731">
        <v>631365</v>
      </c>
      <c r="U731">
        <v>546359</v>
      </c>
      <c r="V731">
        <v>746987</v>
      </c>
      <c r="W731">
        <v>679727</v>
      </c>
      <c r="X731">
        <v>949577</v>
      </c>
      <c r="Z731" t="s">
        <v>687</v>
      </c>
      <c r="AA731" t="s">
        <v>687</v>
      </c>
      <c r="AB731">
        <v>329415</v>
      </c>
      <c r="AC731">
        <v>422183</v>
      </c>
      <c r="AD731">
        <v>360743</v>
      </c>
      <c r="AE731">
        <v>457666</v>
      </c>
      <c r="AF731">
        <v>390470</v>
      </c>
      <c r="AG731">
        <v>509218</v>
      </c>
      <c r="AH731">
        <v>483326</v>
      </c>
      <c r="AI731">
        <v>631365</v>
      </c>
      <c r="AJ731">
        <v>546359</v>
      </c>
      <c r="AK731">
        <v>746987</v>
      </c>
      <c r="AL731">
        <v>679727</v>
      </c>
      <c r="AM731">
        <v>949577</v>
      </c>
    </row>
    <row r="732" spans="2:39" x14ac:dyDescent="0.35">
      <c r="B732" s="23" t="s">
        <v>688</v>
      </c>
      <c r="D732" t="s">
        <v>539</v>
      </c>
      <c r="E732" t="s">
        <v>540</v>
      </c>
      <c r="F732" s="46" t="s">
        <v>688</v>
      </c>
      <c r="G732" t="s">
        <v>689</v>
      </c>
      <c r="H732" s="23">
        <v>44</v>
      </c>
      <c r="I732" s="23" t="s">
        <v>690</v>
      </c>
      <c r="J732" t="s">
        <v>369</v>
      </c>
      <c r="K732">
        <v>4469</v>
      </c>
      <c r="L732">
        <v>7365</v>
      </c>
      <c r="M732" s="24">
        <v>4711</v>
      </c>
      <c r="N732" s="24">
        <v>8064</v>
      </c>
      <c r="O732" s="24">
        <v>6881</v>
      </c>
      <c r="P732" s="24">
        <v>10623</v>
      </c>
      <c r="Q732">
        <v>9450</v>
      </c>
      <c r="R732">
        <v>13773</v>
      </c>
      <c r="S732">
        <v>10489</v>
      </c>
      <c r="T732">
        <v>16609</v>
      </c>
      <c r="U732">
        <v>10406</v>
      </c>
      <c r="V732">
        <v>16615</v>
      </c>
      <c r="W732">
        <v>11523</v>
      </c>
      <c r="X732">
        <v>18085</v>
      </c>
      <c r="Z732" t="s">
        <v>369</v>
      </c>
      <c r="AA732" t="s">
        <v>369</v>
      </c>
      <c r="AB732">
        <v>4711</v>
      </c>
      <c r="AC732">
        <v>8064</v>
      </c>
      <c r="AD732">
        <v>6881</v>
      </c>
      <c r="AE732">
        <v>10623</v>
      </c>
      <c r="AF732">
        <v>9450</v>
      </c>
      <c r="AG732">
        <v>13773</v>
      </c>
      <c r="AH732">
        <v>10489</v>
      </c>
      <c r="AI732">
        <v>16609</v>
      </c>
      <c r="AJ732">
        <v>10406</v>
      </c>
      <c r="AK732">
        <v>16615</v>
      </c>
      <c r="AL732">
        <v>11523</v>
      </c>
      <c r="AM732">
        <v>18085</v>
      </c>
    </row>
    <row r="733" spans="2:39" x14ac:dyDescent="0.35">
      <c r="B733" s="23" t="s">
        <v>691</v>
      </c>
      <c r="D733" t="s">
        <v>539</v>
      </c>
      <c r="E733" t="s">
        <v>540</v>
      </c>
      <c r="F733" s="46" t="s">
        <v>691</v>
      </c>
      <c r="G733" t="s">
        <v>692</v>
      </c>
      <c r="H733" s="23">
        <v>45</v>
      </c>
      <c r="I733" s="23" t="s">
        <v>693</v>
      </c>
      <c r="J733" t="s">
        <v>694</v>
      </c>
      <c r="K733">
        <v>2801</v>
      </c>
      <c r="L733">
        <v>4309</v>
      </c>
      <c r="M733" s="24">
        <v>2589</v>
      </c>
      <c r="N733" s="24">
        <v>4471</v>
      </c>
      <c r="O733" s="24">
        <v>2701</v>
      </c>
      <c r="P733" s="24">
        <v>4689</v>
      </c>
      <c r="Q733">
        <v>1919</v>
      </c>
      <c r="R733">
        <v>4504</v>
      </c>
      <c r="S733">
        <v>2422</v>
      </c>
      <c r="T733">
        <v>5434</v>
      </c>
      <c r="U733">
        <v>2721</v>
      </c>
      <c r="V733">
        <v>6675</v>
      </c>
      <c r="W733">
        <v>3912</v>
      </c>
      <c r="X733">
        <v>8838</v>
      </c>
      <c r="Z733" t="s">
        <v>694</v>
      </c>
      <c r="AA733" t="s">
        <v>694</v>
      </c>
      <c r="AB733">
        <v>2589</v>
      </c>
      <c r="AC733">
        <v>4471</v>
      </c>
      <c r="AD733">
        <v>2701</v>
      </c>
      <c r="AE733">
        <v>4689</v>
      </c>
      <c r="AF733">
        <v>1919</v>
      </c>
      <c r="AG733">
        <v>4504</v>
      </c>
      <c r="AH733">
        <v>2422</v>
      </c>
      <c r="AI733">
        <v>5434</v>
      </c>
      <c r="AJ733">
        <v>2721</v>
      </c>
      <c r="AK733">
        <v>6675</v>
      </c>
      <c r="AL733">
        <v>3912</v>
      </c>
      <c r="AM733">
        <v>8838</v>
      </c>
    </row>
    <row r="734" spans="2:39" x14ac:dyDescent="0.35">
      <c r="B734" s="23" t="s">
        <v>695</v>
      </c>
      <c r="D734" t="s">
        <v>539</v>
      </c>
      <c r="E734" t="s">
        <v>540</v>
      </c>
      <c r="F734" s="46" t="s">
        <v>695</v>
      </c>
      <c r="G734" t="s">
        <v>696</v>
      </c>
      <c r="H734" s="23">
        <v>46</v>
      </c>
      <c r="I734" s="23" t="s">
        <v>697</v>
      </c>
      <c r="J734" t="s">
        <v>698</v>
      </c>
      <c r="K734">
        <v>5748</v>
      </c>
      <c r="L734">
        <v>9109</v>
      </c>
      <c r="M734" s="24">
        <v>5614</v>
      </c>
      <c r="N734" s="24">
        <v>9262</v>
      </c>
      <c r="O734" s="24">
        <v>5993</v>
      </c>
      <c r="P734" s="24">
        <v>9770</v>
      </c>
      <c r="Q734">
        <v>5881</v>
      </c>
      <c r="R734">
        <v>10698</v>
      </c>
      <c r="S734">
        <v>6783</v>
      </c>
      <c r="T734">
        <v>13356</v>
      </c>
      <c r="U734">
        <v>7751</v>
      </c>
      <c r="V734">
        <v>16983</v>
      </c>
      <c r="W734">
        <v>11060</v>
      </c>
      <c r="X734">
        <v>22985</v>
      </c>
      <c r="Z734" t="s">
        <v>698</v>
      </c>
      <c r="AA734" t="s">
        <v>698</v>
      </c>
      <c r="AB734">
        <v>5614</v>
      </c>
      <c r="AC734">
        <v>9262</v>
      </c>
      <c r="AD734">
        <v>5993</v>
      </c>
      <c r="AE734">
        <v>9770</v>
      </c>
      <c r="AF734">
        <v>5881</v>
      </c>
      <c r="AG734">
        <v>10698</v>
      </c>
      <c r="AH734">
        <v>6783</v>
      </c>
      <c r="AI734">
        <v>13356</v>
      </c>
      <c r="AJ734">
        <v>7751</v>
      </c>
      <c r="AK734">
        <v>16983</v>
      </c>
      <c r="AL734">
        <v>11060</v>
      </c>
      <c r="AM734">
        <v>22985</v>
      </c>
    </row>
    <row r="735" spans="2:39" x14ac:dyDescent="0.35">
      <c r="B735" s="23" t="s">
        <v>699</v>
      </c>
      <c r="D735" t="s">
        <v>539</v>
      </c>
      <c r="E735" t="s">
        <v>540</v>
      </c>
      <c r="F735" s="46" t="s">
        <v>699</v>
      </c>
      <c r="G735" t="s">
        <v>700</v>
      </c>
      <c r="H735" s="23">
        <v>47</v>
      </c>
      <c r="I735" s="23" t="s">
        <v>701</v>
      </c>
      <c r="J735" t="s">
        <v>702</v>
      </c>
      <c r="K735">
        <v>1450</v>
      </c>
      <c r="L735">
        <v>1847</v>
      </c>
      <c r="M735" s="24">
        <v>1170</v>
      </c>
      <c r="N735" s="24">
        <v>1745</v>
      </c>
      <c r="O735" s="24">
        <v>803</v>
      </c>
      <c r="P735" s="24">
        <v>1298</v>
      </c>
      <c r="Q735">
        <v>942</v>
      </c>
      <c r="R735">
        <v>1500</v>
      </c>
      <c r="S735">
        <v>1678</v>
      </c>
      <c r="T735">
        <v>2550</v>
      </c>
      <c r="U735">
        <v>1970</v>
      </c>
      <c r="V735">
        <v>3283</v>
      </c>
      <c r="W735">
        <v>2652</v>
      </c>
      <c r="X735">
        <v>4467</v>
      </c>
      <c r="Z735" t="s">
        <v>702</v>
      </c>
      <c r="AA735" t="s">
        <v>702</v>
      </c>
      <c r="AB735">
        <v>1170</v>
      </c>
      <c r="AC735">
        <v>1745</v>
      </c>
      <c r="AD735">
        <v>803</v>
      </c>
      <c r="AE735">
        <v>1298</v>
      </c>
      <c r="AF735">
        <v>942</v>
      </c>
      <c r="AG735">
        <v>1500</v>
      </c>
      <c r="AH735">
        <v>1678</v>
      </c>
      <c r="AI735">
        <v>2550</v>
      </c>
      <c r="AJ735">
        <v>1970</v>
      </c>
      <c r="AK735">
        <v>3283</v>
      </c>
      <c r="AL735">
        <v>2652</v>
      </c>
      <c r="AM735">
        <v>4467</v>
      </c>
    </row>
    <row r="736" spans="2:39" x14ac:dyDescent="0.35">
      <c r="B736" s="23" t="s">
        <v>703</v>
      </c>
      <c r="D736" t="s">
        <v>539</v>
      </c>
      <c r="E736" t="s">
        <v>540</v>
      </c>
      <c r="F736" s="46" t="s">
        <v>703</v>
      </c>
      <c r="G736" t="s">
        <v>704</v>
      </c>
      <c r="H736" s="23">
        <v>48</v>
      </c>
      <c r="I736" s="23" t="s">
        <v>705</v>
      </c>
      <c r="J736" t="s">
        <v>706</v>
      </c>
      <c r="K736">
        <v>96777</v>
      </c>
      <c r="L736">
        <v>133742</v>
      </c>
      <c r="M736" s="24">
        <v>96815</v>
      </c>
      <c r="N736" s="24">
        <v>140932</v>
      </c>
      <c r="O736" s="24">
        <v>103786</v>
      </c>
      <c r="P736" s="24">
        <v>152794</v>
      </c>
      <c r="Q736">
        <v>118289</v>
      </c>
      <c r="R736">
        <v>176773</v>
      </c>
      <c r="S736">
        <v>165642</v>
      </c>
      <c r="T736">
        <v>244577</v>
      </c>
      <c r="U736">
        <v>201186</v>
      </c>
      <c r="V736">
        <v>296301</v>
      </c>
      <c r="W736">
        <v>270661</v>
      </c>
      <c r="X736">
        <v>388468</v>
      </c>
      <c r="Z736" t="s">
        <v>706</v>
      </c>
      <c r="AA736" t="s">
        <v>706</v>
      </c>
      <c r="AB736">
        <v>96815</v>
      </c>
      <c r="AC736">
        <v>140932</v>
      </c>
      <c r="AD736">
        <v>103786</v>
      </c>
      <c r="AE736">
        <v>152794</v>
      </c>
      <c r="AF736">
        <v>118289</v>
      </c>
      <c r="AG736">
        <v>176773</v>
      </c>
      <c r="AH736">
        <v>165642</v>
      </c>
      <c r="AI736">
        <v>244577</v>
      </c>
      <c r="AJ736">
        <v>201186</v>
      </c>
      <c r="AK736">
        <v>296301</v>
      </c>
      <c r="AL736">
        <v>270661</v>
      </c>
      <c r="AM736">
        <v>388468</v>
      </c>
    </row>
    <row r="737" spans="2:39" x14ac:dyDescent="0.35">
      <c r="B737" s="23" t="s">
        <v>707</v>
      </c>
      <c r="D737" t="s">
        <v>539</v>
      </c>
      <c r="E737" t="s">
        <v>540</v>
      </c>
      <c r="F737" s="46" t="s">
        <v>707</v>
      </c>
      <c r="G737" t="s">
        <v>708</v>
      </c>
      <c r="H737" s="23">
        <v>49</v>
      </c>
      <c r="I737" s="23" t="s">
        <v>709</v>
      </c>
      <c r="J737" t="s">
        <v>710</v>
      </c>
      <c r="K737">
        <v>31721</v>
      </c>
      <c r="L737">
        <v>40414</v>
      </c>
      <c r="M737" s="24">
        <v>33108</v>
      </c>
      <c r="N737" s="24">
        <v>44306</v>
      </c>
      <c r="O737" s="24">
        <v>37171</v>
      </c>
      <c r="P737" s="24">
        <v>49758</v>
      </c>
      <c r="Q737">
        <v>44632</v>
      </c>
      <c r="R737">
        <v>59280</v>
      </c>
      <c r="S737">
        <v>69034</v>
      </c>
      <c r="T737">
        <v>89146</v>
      </c>
      <c r="U737">
        <v>82214</v>
      </c>
      <c r="V737">
        <v>110812</v>
      </c>
      <c r="W737">
        <v>106573</v>
      </c>
      <c r="X737">
        <v>143286</v>
      </c>
      <c r="Z737" t="s">
        <v>710</v>
      </c>
      <c r="AA737" t="s">
        <v>710</v>
      </c>
      <c r="AB737">
        <v>33108</v>
      </c>
      <c r="AC737">
        <v>44306</v>
      </c>
      <c r="AD737">
        <v>37171</v>
      </c>
      <c r="AE737">
        <v>49758</v>
      </c>
      <c r="AF737">
        <v>44632</v>
      </c>
      <c r="AG737">
        <v>59280</v>
      </c>
      <c r="AH737">
        <v>69034</v>
      </c>
      <c r="AI737">
        <v>89146</v>
      </c>
      <c r="AJ737">
        <v>82214</v>
      </c>
      <c r="AK737">
        <v>110812</v>
      </c>
      <c r="AL737">
        <v>106573</v>
      </c>
      <c r="AM737">
        <v>143286</v>
      </c>
    </row>
    <row r="738" spans="2:39" x14ac:dyDescent="0.35">
      <c r="B738" s="23" t="s">
        <v>711</v>
      </c>
      <c r="D738" t="s">
        <v>539</v>
      </c>
      <c r="E738" t="s">
        <v>540</v>
      </c>
      <c r="F738" s="46" t="s">
        <v>711</v>
      </c>
      <c r="G738" t="s">
        <v>712</v>
      </c>
      <c r="H738" s="23">
        <v>50</v>
      </c>
      <c r="I738" s="23" t="s">
        <v>713</v>
      </c>
      <c r="J738" t="s">
        <v>714</v>
      </c>
      <c r="K738">
        <v>86308</v>
      </c>
      <c r="L738">
        <v>132761</v>
      </c>
      <c r="M738" s="24">
        <v>88199</v>
      </c>
      <c r="N738" s="24">
        <v>136310</v>
      </c>
      <c r="O738" s="24">
        <v>95031</v>
      </c>
      <c r="P738" s="24">
        <v>146436</v>
      </c>
      <c r="Q738">
        <v>102185</v>
      </c>
      <c r="R738">
        <v>161066</v>
      </c>
      <c r="S738">
        <v>131363</v>
      </c>
      <c r="T738">
        <v>203075</v>
      </c>
      <c r="U738">
        <v>151710</v>
      </c>
      <c r="V738">
        <v>231043</v>
      </c>
      <c r="W738">
        <v>182981</v>
      </c>
      <c r="X738">
        <v>284076</v>
      </c>
      <c r="Z738" t="s">
        <v>714</v>
      </c>
      <c r="AA738" t="s">
        <v>714</v>
      </c>
      <c r="AB738">
        <v>88199</v>
      </c>
      <c r="AC738">
        <v>136310</v>
      </c>
      <c r="AD738">
        <v>95031</v>
      </c>
      <c r="AE738">
        <v>146436</v>
      </c>
      <c r="AF738">
        <v>102185</v>
      </c>
      <c r="AG738">
        <v>161066</v>
      </c>
      <c r="AH738">
        <v>131363</v>
      </c>
      <c r="AI738">
        <v>203075</v>
      </c>
      <c r="AJ738">
        <v>151710</v>
      </c>
      <c r="AK738">
        <v>231043</v>
      </c>
      <c r="AL738">
        <v>182981</v>
      </c>
      <c r="AM738">
        <v>284076</v>
      </c>
    </row>
    <row r="739" spans="2:39" x14ac:dyDescent="0.35">
      <c r="B739" s="23" t="s">
        <v>715</v>
      </c>
      <c r="D739" t="s">
        <v>539</v>
      </c>
      <c r="E739" t="s">
        <v>540</v>
      </c>
      <c r="F739" s="46" t="s">
        <v>715</v>
      </c>
      <c r="G739" t="s">
        <v>716</v>
      </c>
      <c r="H739" s="23">
        <v>51</v>
      </c>
      <c r="I739" s="23" t="s">
        <v>717</v>
      </c>
      <c r="J739" t="s">
        <v>718</v>
      </c>
      <c r="K739">
        <v>17460</v>
      </c>
      <c r="L739">
        <v>28950</v>
      </c>
      <c r="M739" s="24">
        <v>16597</v>
      </c>
      <c r="N739" s="24">
        <v>29008</v>
      </c>
      <c r="O739" s="24">
        <v>16822</v>
      </c>
      <c r="P739" s="24">
        <v>30459</v>
      </c>
      <c r="Q739">
        <v>17771</v>
      </c>
      <c r="R739">
        <v>32614</v>
      </c>
      <c r="S739">
        <v>25037</v>
      </c>
      <c r="T739">
        <v>43721</v>
      </c>
      <c r="U739">
        <v>29686</v>
      </c>
      <c r="V739">
        <v>52314</v>
      </c>
      <c r="W739">
        <v>39823</v>
      </c>
      <c r="X739">
        <v>71438</v>
      </c>
      <c r="Z739" t="s">
        <v>718</v>
      </c>
      <c r="AA739" t="s">
        <v>718</v>
      </c>
      <c r="AB739">
        <v>16597</v>
      </c>
      <c r="AC739">
        <v>29008</v>
      </c>
      <c r="AD739">
        <v>16822</v>
      </c>
      <c r="AE739">
        <v>30459</v>
      </c>
      <c r="AF739">
        <v>17771</v>
      </c>
      <c r="AG739">
        <v>32614</v>
      </c>
      <c r="AH739">
        <v>25037</v>
      </c>
      <c r="AI739">
        <v>43721</v>
      </c>
      <c r="AJ739">
        <v>29686</v>
      </c>
      <c r="AK739">
        <v>52314</v>
      </c>
      <c r="AL739">
        <v>39823</v>
      </c>
      <c r="AM739">
        <v>71438</v>
      </c>
    </row>
    <row r="740" spans="2:39" x14ac:dyDescent="0.35">
      <c r="B740" s="23" t="s">
        <v>719</v>
      </c>
      <c r="D740" t="s">
        <v>539</v>
      </c>
      <c r="E740" t="s">
        <v>540</v>
      </c>
      <c r="F740" s="46" t="s">
        <v>719</v>
      </c>
      <c r="G740" t="s">
        <v>720</v>
      </c>
      <c r="H740" s="23">
        <v>52</v>
      </c>
      <c r="I740" s="23" t="s">
        <v>721</v>
      </c>
      <c r="J740" t="s">
        <v>722</v>
      </c>
      <c r="K740">
        <v>31838</v>
      </c>
      <c r="L740">
        <v>60167</v>
      </c>
      <c r="M740" s="24">
        <v>30184</v>
      </c>
      <c r="N740" s="24">
        <v>57485</v>
      </c>
      <c r="O740" s="24">
        <v>30150</v>
      </c>
      <c r="P740" s="24">
        <v>58163</v>
      </c>
      <c r="Q740">
        <v>31853</v>
      </c>
      <c r="R740">
        <v>62868</v>
      </c>
      <c r="S740">
        <v>44982</v>
      </c>
      <c r="T740">
        <v>80839</v>
      </c>
      <c r="U740">
        <v>49355</v>
      </c>
      <c r="V740">
        <v>95585</v>
      </c>
      <c r="W740">
        <v>65652</v>
      </c>
      <c r="X740">
        <v>122023</v>
      </c>
      <c r="Z740" t="s">
        <v>722</v>
      </c>
      <c r="AA740" t="s">
        <v>722</v>
      </c>
      <c r="AB740">
        <v>30184</v>
      </c>
      <c r="AC740">
        <v>57485</v>
      </c>
      <c r="AD740">
        <v>30150</v>
      </c>
      <c r="AE740">
        <v>58163</v>
      </c>
      <c r="AF740">
        <v>31853</v>
      </c>
      <c r="AG740">
        <v>62868</v>
      </c>
      <c r="AH740">
        <v>44982</v>
      </c>
      <c r="AI740">
        <v>80839</v>
      </c>
      <c r="AJ740">
        <v>49355</v>
      </c>
      <c r="AK740">
        <v>95585</v>
      </c>
      <c r="AL740">
        <v>65652</v>
      </c>
      <c r="AM740">
        <v>122023</v>
      </c>
    </row>
    <row r="741" spans="2:39" x14ac:dyDescent="0.35">
      <c r="B741" s="23" t="s">
        <v>723</v>
      </c>
      <c r="D741" t="s">
        <v>539</v>
      </c>
      <c r="E741" t="s">
        <v>540</v>
      </c>
      <c r="F741" s="46" t="s">
        <v>723</v>
      </c>
      <c r="G741" t="s">
        <v>724</v>
      </c>
      <c r="H741" s="23">
        <v>53</v>
      </c>
      <c r="I741" s="23" t="s">
        <v>725</v>
      </c>
      <c r="J741" t="s">
        <v>530</v>
      </c>
      <c r="K741">
        <v>18612</v>
      </c>
      <c r="L741">
        <v>30399</v>
      </c>
      <c r="M741" s="24">
        <v>19423</v>
      </c>
      <c r="N741" s="24">
        <v>32706</v>
      </c>
      <c r="O741" s="24">
        <v>23654</v>
      </c>
      <c r="P741" s="24">
        <v>39479</v>
      </c>
      <c r="Q741">
        <v>27771</v>
      </c>
      <c r="R741">
        <v>45675</v>
      </c>
      <c r="S741">
        <v>38550</v>
      </c>
      <c r="T741">
        <v>62987</v>
      </c>
      <c r="U741">
        <v>48082</v>
      </c>
      <c r="V741">
        <v>78138</v>
      </c>
      <c r="W741">
        <v>74227</v>
      </c>
      <c r="X741">
        <v>115842</v>
      </c>
      <c r="Z741" t="s">
        <v>530</v>
      </c>
      <c r="AA741" t="s">
        <v>530</v>
      </c>
      <c r="AB741">
        <v>19423</v>
      </c>
      <c r="AC741">
        <v>32706</v>
      </c>
      <c r="AD741">
        <v>23654</v>
      </c>
      <c r="AE741">
        <v>39479</v>
      </c>
      <c r="AF741">
        <v>27771</v>
      </c>
      <c r="AG741">
        <v>45675</v>
      </c>
      <c r="AH741">
        <v>38550</v>
      </c>
      <c r="AI741">
        <v>62987</v>
      </c>
      <c r="AJ741">
        <v>48082</v>
      </c>
      <c r="AK741">
        <v>78138</v>
      </c>
      <c r="AL741">
        <v>74227</v>
      </c>
      <c r="AM741">
        <v>115842</v>
      </c>
    </row>
    <row r="742" spans="2:39" x14ac:dyDescent="0.35">
      <c r="B742" s="23" t="s">
        <v>726</v>
      </c>
      <c r="D742" t="s">
        <v>539</v>
      </c>
      <c r="E742" t="s">
        <v>540</v>
      </c>
      <c r="F742" s="46" t="s">
        <v>726</v>
      </c>
      <c r="G742" t="s">
        <v>727</v>
      </c>
      <c r="H742" s="23">
        <v>54</v>
      </c>
      <c r="I742" s="23" t="s">
        <v>728</v>
      </c>
      <c r="J742" t="s">
        <v>729</v>
      </c>
      <c r="K742">
        <v>2672</v>
      </c>
      <c r="L742">
        <v>3655</v>
      </c>
      <c r="M742" s="24">
        <v>1775</v>
      </c>
      <c r="N742" s="24">
        <v>3337</v>
      </c>
      <c r="O742" s="24">
        <v>1225</v>
      </c>
      <c r="P742" s="24">
        <v>2615</v>
      </c>
      <c r="Q742">
        <v>1300</v>
      </c>
      <c r="R742">
        <v>2805</v>
      </c>
      <c r="S742">
        <v>2106</v>
      </c>
      <c r="T742">
        <v>4029</v>
      </c>
      <c r="U742">
        <v>2323</v>
      </c>
      <c r="V742">
        <v>5125</v>
      </c>
      <c r="W742">
        <v>4007</v>
      </c>
      <c r="X742">
        <v>8524</v>
      </c>
      <c r="Z742" t="s">
        <v>729</v>
      </c>
      <c r="AA742" t="s">
        <v>729</v>
      </c>
      <c r="AB742">
        <v>1775</v>
      </c>
      <c r="AC742">
        <v>3337</v>
      </c>
      <c r="AD742">
        <v>1225</v>
      </c>
      <c r="AE742">
        <v>2615</v>
      </c>
      <c r="AF742">
        <v>1300</v>
      </c>
      <c r="AG742">
        <v>2805</v>
      </c>
      <c r="AH742">
        <v>2106</v>
      </c>
      <c r="AI742">
        <v>4029</v>
      </c>
      <c r="AJ742">
        <v>2323</v>
      </c>
      <c r="AK742">
        <v>5125</v>
      </c>
      <c r="AL742">
        <v>4007</v>
      </c>
      <c r="AM742">
        <v>8524</v>
      </c>
    </row>
    <row r="743" spans="2:39" x14ac:dyDescent="0.35">
      <c r="B743" s="23" t="s">
        <v>730</v>
      </c>
      <c r="D743" t="s">
        <v>539</v>
      </c>
      <c r="E743" t="s">
        <v>540</v>
      </c>
      <c r="F743" s="46" t="s">
        <v>742</v>
      </c>
      <c r="G743" t="s">
        <v>743</v>
      </c>
      <c r="H743" s="23">
        <v>58</v>
      </c>
      <c r="I743" s="23" t="s">
        <v>744</v>
      </c>
      <c r="J743" t="s">
        <v>745</v>
      </c>
      <c r="K743">
        <v>7320</v>
      </c>
      <c r="L743">
        <v>13443</v>
      </c>
      <c r="M743" s="24">
        <v>7268</v>
      </c>
      <c r="N743" s="24">
        <v>13924</v>
      </c>
      <c r="O743" s="24">
        <v>7097</v>
      </c>
      <c r="P743" s="24">
        <v>14176</v>
      </c>
      <c r="Q743">
        <v>7088</v>
      </c>
      <c r="R743">
        <v>15240</v>
      </c>
      <c r="S743">
        <v>8145</v>
      </c>
      <c r="T743">
        <v>19585</v>
      </c>
      <c r="U743">
        <v>8847</v>
      </c>
      <c r="V743">
        <v>21638</v>
      </c>
      <c r="W743">
        <v>12289</v>
      </c>
      <c r="X743">
        <v>27205</v>
      </c>
      <c r="Z743" t="s">
        <v>745</v>
      </c>
      <c r="AA743" t="s">
        <v>745</v>
      </c>
      <c r="AB743">
        <v>7268</v>
      </c>
      <c r="AC743">
        <v>13924</v>
      </c>
      <c r="AD743">
        <v>7097</v>
      </c>
      <c r="AE743">
        <v>14176</v>
      </c>
      <c r="AF743">
        <v>7088</v>
      </c>
      <c r="AG743">
        <v>15240</v>
      </c>
      <c r="AH743">
        <v>8145</v>
      </c>
      <c r="AI743">
        <v>19585</v>
      </c>
      <c r="AJ743">
        <v>8847</v>
      </c>
      <c r="AK743">
        <v>21638</v>
      </c>
      <c r="AL743">
        <v>12289</v>
      </c>
      <c r="AM743">
        <v>27205</v>
      </c>
    </row>
    <row r="744" spans="2:39" x14ac:dyDescent="0.35">
      <c r="B744" s="23" t="s">
        <v>734</v>
      </c>
      <c r="D744" t="s">
        <v>539</v>
      </c>
      <c r="E744" t="s">
        <v>540</v>
      </c>
      <c r="F744" s="46" t="s">
        <v>746</v>
      </c>
      <c r="G744" t="s">
        <v>747</v>
      </c>
      <c r="H744" s="23">
        <v>59</v>
      </c>
      <c r="I744" s="23" t="s">
        <v>748</v>
      </c>
      <c r="J744" t="s">
        <v>749</v>
      </c>
      <c r="K744">
        <v>12803</v>
      </c>
      <c r="L744">
        <v>25909</v>
      </c>
      <c r="M744" s="24">
        <v>11355</v>
      </c>
      <c r="N744" s="24">
        <v>25236</v>
      </c>
      <c r="O744" s="24">
        <v>13802</v>
      </c>
      <c r="P744" s="24">
        <v>26331</v>
      </c>
      <c r="Q744">
        <v>14125</v>
      </c>
      <c r="R744">
        <v>28142</v>
      </c>
      <c r="S744">
        <v>20325</v>
      </c>
      <c r="T744">
        <v>35880</v>
      </c>
      <c r="U744">
        <v>24544</v>
      </c>
      <c r="V744">
        <v>41941</v>
      </c>
      <c r="W744">
        <v>34536</v>
      </c>
      <c r="X744">
        <v>55825</v>
      </c>
      <c r="Z744" t="s">
        <v>749</v>
      </c>
      <c r="AA744" t="s">
        <v>749</v>
      </c>
      <c r="AB744">
        <v>11355</v>
      </c>
      <c r="AC744">
        <v>25236</v>
      </c>
      <c r="AD744">
        <v>13802</v>
      </c>
      <c r="AE744">
        <v>26331</v>
      </c>
      <c r="AF744">
        <v>14125</v>
      </c>
      <c r="AG744">
        <v>28142</v>
      </c>
      <c r="AH744">
        <v>20325</v>
      </c>
      <c r="AI744">
        <v>35880</v>
      </c>
      <c r="AJ744">
        <v>24544</v>
      </c>
      <c r="AK744">
        <v>41941</v>
      </c>
      <c r="AL744">
        <v>34536</v>
      </c>
      <c r="AM744">
        <v>55825</v>
      </c>
    </row>
    <row r="745" spans="2:39" x14ac:dyDescent="0.35">
      <c r="B745" s="23" t="s">
        <v>738</v>
      </c>
      <c r="D745" t="s">
        <v>539</v>
      </c>
      <c r="E745" t="s">
        <v>540</v>
      </c>
      <c r="F745" s="46" t="s">
        <v>730</v>
      </c>
      <c r="G745" t="s">
        <v>731</v>
      </c>
      <c r="H745" s="23">
        <v>55</v>
      </c>
      <c r="I745" s="23" t="s">
        <v>732</v>
      </c>
      <c r="J745" t="s">
        <v>733</v>
      </c>
      <c r="K745">
        <v>4518</v>
      </c>
      <c r="L745">
        <v>7129</v>
      </c>
      <c r="M745" s="24">
        <v>4391</v>
      </c>
      <c r="N745" s="24">
        <v>7357</v>
      </c>
      <c r="O745" s="24">
        <v>4287</v>
      </c>
      <c r="P745" s="24">
        <v>7471</v>
      </c>
      <c r="Q745">
        <v>4110</v>
      </c>
      <c r="R745">
        <v>7775</v>
      </c>
      <c r="S745">
        <v>4980</v>
      </c>
      <c r="T745">
        <v>10186</v>
      </c>
      <c r="U745">
        <v>5138</v>
      </c>
      <c r="V745">
        <v>11978</v>
      </c>
      <c r="W745">
        <v>6961</v>
      </c>
      <c r="X745">
        <v>15593</v>
      </c>
      <c r="Z745" t="s">
        <v>733</v>
      </c>
      <c r="AA745" t="s">
        <v>733</v>
      </c>
      <c r="AB745">
        <v>4391</v>
      </c>
      <c r="AC745">
        <v>7357</v>
      </c>
      <c r="AD745">
        <v>4287</v>
      </c>
      <c r="AE745">
        <v>7471</v>
      </c>
      <c r="AF745">
        <v>4110</v>
      </c>
      <c r="AG745">
        <v>7775</v>
      </c>
      <c r="AH745">
        <v>4980</v>
      </c>
      <c r="AI745">
        <v>10186</v>
      </c>
      <c r="AJ745">
        <v>5138</v>
      </c>
      <c r="AK745">
        <v>11978</v>
      </c>
      <c r="AL745">
        <v>6961</v>
      </c>
      <c r="AM745">
        <v>15593</v>
      </c>
    </row>
    <row r="746" spans="2:39" x14ac:dyDescent="0.35">
      <c r="B746" s="23" t="s">
        <v>742</v>
      </c>
      <c r="D746" t="s">
        <v>539</v>
      </c>
      <c r="E746" t="s">
        <v>540</v>
      </c>
      <c r="F746" s="46" t="s">
        <v>734</v>
      </c>
      <c r="G746" t="s">
        <v>735</v>
      </c>
      <c r="H746" s="23">
        <v>56</v>
      </c>
      <c r="I746" s="23" t="s">
        <v>736</v>
      </c>
      <c r="J746" t="s">
        <v>737</v>
      </c>
      <c r="K746">
        <v>16287</v>
      </c>
      <c r="L746">
        <v>28911</v>
      </c>
      <c r="M746" s="24">
        <v>15421</v>
      </c>
      <c r="N746" s="24">
        <v>28958</v>
      </c>
      <c r="O746" s="24">
        <v>16407</v>
      </c>
      <c r="P746" s="24">
        <v>29669</v>
      </c>
      <c r="Q746">
        <v>16691</v>
      </c>
      <c r="R746">
        <v>31971</v>
      </c>
      <c r="S746">
        <v>20294</v>
      </c>
      <c r="T746">
        <v>40694</v>
      </c>
      <c r="U746">
        <v>22518</v>
      </c>
      <c r="V746">
        <v>46361</v>
      </c>
      <c r="W746">
        <v>30324</v>
      </c>
      <c r="X746">
        <v>57934</v>
      </c>
      <c r="Z746" t="s">
        <v>737</v>
      </c>
      <c r="AA746" t="s">
        <v>737</v>
      </c>
      <c r="AB746">
        <v>15421</v>
      </c>
      <c r="AC746">
        <v>28958</v>
      </c>
      <c r="AD746">
        <v>16407</v>
      </c>
      <c r="AE746">
        <v>29669</v>
      </c>
      <c r="AF746">
        <v>16691</v>
      </c>
      <c r="AG746">
        <v>31971</v>
      </c>
      <c r="AH746">
        <v>20294</v>
      </c>
      <c r="AI746">
        <v>40694</v>
      </c>
      <c r="AJ746">
        <v>22518</v>
      </c>
      <c r="AK746">
        <v>46361</v>
      </c>
      <c r="AL746">
        <v>30324</v>
      </c>
      <c r="AM746">
        <v>57934</v>
      </c>
    </row>
    <row r="747" spans="2:39" x14ac:dyDescent="0.35">
      <c r="B747" s="23" t="s">
        <v>746</v>
      </c>
      <c r="D747" t="s">
        <v>539</v>
      </c>
      <c r="E747" t="s">
        <v>540</v>
      </c>
      <c r="F747" s="46" t="s">
        <v>738</v>
      </c>
      <c r="G747" t="s">
        <v>739</v>
      </c>
      <c r="H747" s="23">
        <v>57</v>
      </c>
      <c r="I747" s="23" t="s">
        <v>740</v>
      </c>
      <c r="J747" t="s">
        <v>741</v>
      </c>
      <c r="K747">
        <v>20008</v>
      </c>
      <c r="L747">
        <v>34063</v>
      </c>
      <c r="M747" s="24">
        <v>18697</v>
      </c>
      <c r="N747" s="24">
        <v>33643</v>
      </c>
      <c r="O747" s="24">
        <v>18413</v>
      </c>
      <c r="P747" s="24">
        <v>33824</v>
      </c>
      <c r="Q747">
        <v>20294</v>
      </c>
      <c r="R747">
        <v>36736</v>
      </c>
      <c r="S747">
        <v>28593</v>
      </c>
      <c r="T747">
        <v>48512</v>
      </c>
      <c r="U747">
        <v>30477</v>
      </c>
      <c r="V747">
        <v>58701</v>
      </c>
      <c r="W747">
        <v>38203</v>
      </c>
      <c r="X747">
        <v>70247</v>
      </c>
      <c r="Z747" t="s">
        <v>741</v>
      </c>
      <c r="AA747" t="s">
        <v>741</v>
      </c>
      <c r="AB747">
        <v>18697</v>
      </c>
      <c r="AC747">
        <v>33643</v>
      </c>
      <c r="AD747">
        <v>18413</v>
      </c>
      <c r="AE747">
        <v>33824</v>
      </c>
      <c r="AF747">
        <v>20294</v>
      </c>
      <c r="AG747">
        <v>36736</v>
      </c>
      <c r="AH747">
        <v>28593</v>
      </c>
      <c r="AI747">
        <v>48512</v>
      </c>
      <c r="AJ747">
        <v>30477</v>
      </c>
      <c r="AK747">
        <v>58701</v>
      </c>
      <c r="AL747">
        <v>38203</v>
      </c>
      <c r="AM747">
        <v>70247</v>
      </c>
    </row>
    <row r="748" spans="2:39" x14ac:dyDescent="0.35">
      <c r="B748" s="23" t="s">
        <v>750</v>
      </c>
      <c r="D748" t="s">
        <v>539</v>
      </c>
      <c r="E748" t="s">
        <v>540</v>
      </c>
      <c r="F748" s="46" t="s">
        <v>750</v>
      </c>
      <c r="G748" t="s">
        <v>751</v>
      </c>
      <c r="H748" s="23">
        <v>60</v>
      </c>
      <c r="I748" s="23" t="s">
        <v>752</v>
      </c>
      <c r="J748" t="s">
        <v>379</v>
      </c>
      <c r="K748">
        <v>2746</v>
      </c>
      <c r="L748">
        <v>4487</v>
      </c>
      <c r="M748" s="24">
        <v>2677</v>
      </c>
      <c r="N748" s="24">
        <v>4588</v>
      </c>
      <c r="O748" s="24">
        <v>2858</v>
      </c>
      <c r="P748" s="24">
        <v>4907</v>
      </c>
      <c r="Q748">
        <v>3012</v>
      </c>
      <c r="R748">
        <v>5480</v>
      </c>
      <c r="S748">
        <v>3296</v>
      </c>
      <c r="T748">
        <v>6959</v>
      </c>
      <c r="U748">
        <v>3630</v>
      </c>
      <c r="V748">
        <v>8053</v>
      </c>
      <c r="W748">
        <v>5509</v>
      </c>
      <c r="X748">
        <v>11039</v>
      </c>
      <c r="Z748" t="s">
        <v>379</v>
      </c>
      <c r="AA748" t="s">
        <v>379</v>
      </c>
      <c r="AB748">
        <v>2677</v>
      </c>
      <c r="AC748">
        <v>4588</v>
      </c>
      <c r="AD748">
        <v>2858</v>
      </c>
      <c r="AE748">
        <v>4907</v>
      </c>
      <c r="AF748">
        <v>3012</v>
      </c>
      <c r="AG748">
        <v>5480</v>
      </c>
      <c r="AH748">
        <v>3296</v>
      </c>
      <c r="AI748">
        <v>6959</v>
      </c>
      <c r="AJ748">
        <v>3630</v>
      </c>
      <c r="AK748">
        <v>8053</v>
      </c>
      <c r="AL748">
        <v>5509</v>
      </c>
      <c r="AM748">
        <v>11039</v>
      </c>
    </row>
    <row r="749" spans="2:39" x14ac:dyDescent="0.35">
      <c r="B749" s="23" t="s">
        <v>753</v>
      </c>
      <c r="D749" t="s">
        <v>539</v>
      </c>
      <c r="E749" t="s">
        <v>540</v>
      </c>
      <c r="F749" s="46" t="s">
        <v>753</v>
      </c>
      <c r="G749" t="s">
        <v>754</v>
      </c>
      <c r="H749" s="23">
        <v>61</v>
      </c>
      <c r="I749" s="23" t="s">
        <v>755</v>
      </c>
      <c r="J749" t="s">
        <v>756</v>
      </c>
      <c r="K749">
        <v>1830</v>
      </c>
      <c r="L749">
        <v>2397</v>
      </c>
      <c r="M749" s="24">
        <v>1953</v>
      </c>
      <c r="N749" s="24">
        <v>2677</v>
      </c>
      <c r="O749" s="24">
        <v>2221</v>
      </c>
      <c r="P749" s="24">
        <v>2907</v>
      </c>
      <c r="Q749">
        <v>2122</v>
      </c>
      <c r="R749">
        <v>3267</v>
      </c>
      <c r="S749">
        <v>2300</v>
      </c>
      <c r="T749">
        <v>3701</v>
      </c>
      <c r="U749">
        <v>3260</v>
      </c>
      <c r="V749">
        <v>5024</v>
      </c>
      <c r="W749">
        <v>4353</v>
      </c>
      <c r="X749">
        <v>6712</v>
      </c>
      <c r="Z749" t="s">
        <v>756</v>
      </c>
      <c r="AA749" t="s">
        <v>756</v>
      </c>
      <c r="AB749">
        <v>1953</v>
      </c>
      <c r="AC749">
        <v>2677</v>
      </c>
      <c r="AD749">
        <v>2221</v>
      </c>
      <c r="AE749">
        <v>2907</v>
      </c>
      <c r="AF749">
        <v>2122</v>
      </c>
      <c r="AG749">
        <v>3267</v>
      </c>
      <c r="AH749">
        <v>2300</v>
      </c>
      <c r="AI749">
        <v>3701</v>
      </c>
      <c r="AJ749">
        <v>3260</v>
      </c>
      <c r="AK749">
        <v>5024</v>
      </c>
      <c r="AL749">
        <v>4353</v>
      </c>
      <c r="AM749">
        <v>6712</v>
      </c>
    </row>
    <row r="750" spans="2:39" x14ac:dyDescent="0.35">
      <c r="B750" s="23" t="s">
        <v>757</v>
      </c>
      <c r="D750" t="s">
        <v>539</v>
      </c>
      <c r="E750" t="s">
        <v>540</v>
      </c>
      <c r="F750" s="46" t="s">
        <v>757</v>
      </c>
      <c r="G750" t="s">
        <v>758</v>
      </c>
      <c r="H750" s="23">
        <v>62</v>
      </c>
      <c r="I750" s="23" t="s">
        <v>759</v>
      </c>
      <c r="J750" t="s">
        <v>760</v>
      </c>
      <c r="K750">
        <v>528</v>
      </c>
      <c r="L750">
        <v>743</v>
      </c>
      <c r="M750" s="24">
        <v>586</v>
      </c>
      <c r="N750" s="24">
        <v>845</v>
      </c>
      <c r="O750" s="24">
        <v>657</v>
      </c>
      <c r="P750" s="24">
        <v>973</v>
      </c>
      <c r="Q750">
        <v>1273</v>
      </c>
      <c r="R750">
        <v>1679</v>
      </c>
      <c r="S750">
        <v>1966</v>
      </c>
      <c r="T750">
        <v>2743</v>
      </c>
      <c r="U750">
        <v>1178</v>
      </c>
      <c r="V750">
        <v>2364</v>
      </c>
      <c r="W750">
        <v>867</v>
      </c>
      <c r="X750">
        <v>2563</v>
      </c>
      <c r="Z750" t="s">
        <v>760</v>
      </c>
      <c r="AA750" t="s">
        <v>760</v>
      </c>
      <c r="AB750">
        <v>586</v>
      </c>
      <c r="AC750">
        <v>845</v>
      </c>
      <c r="AD750">
        <v>657</v>
      </c>
      <c r="AE750">
        <v>973</v>
      </c>
      <c r="AF750">
        <v>1273</v>
      </c>
      <c r="AG750">
        <v>1679</v>
      </c>
      <c r="AH750">
        <v>1966</v>
      </c>
      <c r="AI750">
        <v>2743</v>
      </c>
      <c r="AJ750">
        <v>1178</v>
      </c>
      <c r="AK750">
        <v>2364</v>
      </c>
      <c r="AL750">
        <v>867</v>
      </c>
      <c r="AM750">
        <v>2563</v>
      </c>
    </row>
    <row r="751" spans="2:39" x14ac:dyDescent="0.35">
      <c r="B751" s="23" t="s">
        <v>761</v>
      </c>
      <c r="D751" t="s">
        <v>539</v>
      </c>
      <c r="E751" t="s">
        <v>540</v>
      </c>
      <c r="F751" s="46" t="s">
        <v>761</v>
      </c>
      <c r="G751" t="s">
        <v>762</v>
      </c>
      <c r="H751" s="23">
        <v>63</v>
      </c>
      <c r="I751" s="23" t="s">
        <v>763</v>
      </c>
      <c r="J751" t="s">
        <v>518</v>
      </c>
      <c r="K751">
        <v>338</v>
      </c>
      <c r="L751">
        <v>473</v>
      </c>
      <c r="M751" s="24">
        <v>373</v>
      </c>
      <c r="N751" s="24">
        <v>568</v>
      </c>
      <c r="O751" s="24">
        <v>425</v>
      </c>
      <c r="P751" s="24">
        <v>694</v>
      </c>
      <c r="Q751">
        <v>305</v>
      </c>
      <c r="R751">
        <v>588</v>
      </c>
      <c r="S751">
        <v>233</v>
      </c>
      <c r="T751">
        <v>631</v>
      </c>
      <c r="U751">
        <v>299</v>
      </c>
      <c r="V751">
        <v>768</v>
      </c>
      <c r="W751">
        <v>369</v>
      </c>
      <c r="X751">
        <v>950</v>
      </c>
      <c r="Z751" t="s">
        <v>518</v>
      </c>
      <c r="AA751" t="s">
        <v>518</v>
      </c>
      <c r="AB751">
        <v>373</v>
      </c>
      <c r="AC751">
        <v>568</v>
      </c>
      <c r="AD751">
        <v>425</v>
      </c>
      <c r="AE751">
        <v>694</v>
      </c>
      <c r="AF751">
        <v>305</v>
      </c>
      <c r="AG751">
        <v>588</v>
      </c>
      <c r="AH751">
        <v>233</v>
      </c>
      <c r="AI751">
        <v>631</v>
      </c>
      <c r="AJ751">
        <v>299</v>
      </c>
      <c r="AK751">
        <v>768</v>
      </c>
      <c r="AL751">
        <v>369</v>
      </c>
      <c r="AM751">
        <v>950</v>
      </c>
    </row>
    <row r="752" spans="2:39" x14ac:dyDescent="0.35">
      <c r="B752" s="23" t="s">
        <v>764</v>
      </c>
      <c r="D752" t="s">
        <v>539</v>
      </c>
      <c r="E752" t="s">
        <v>540</v>
      </c>
      <c r="F752" s="46" t="s">
        <v>764</v>
      </c>
      <c r="G752" t="s">
        <v>765</v>
      </c>
      <c r="H752" s="23">
        <v>64</v>
      </c>
      <c r="I752" s="23" t="s">
        <v>766</v>
      </c>
      <c r="J752" t="s">
        <v>767</v>
      </c>
      <c r="K752">
        <v>21241</v>
      </c>
      <c r="L752">
        <v>36993</v>
      </c>
      <c r="M752" s="24">
        <v>20318</v>
      </c>
      <c r="N752" s="24">
        <v>37219</v>
      </c>
      <c r="O752" s="24">
        <v>20316</v>
      </c>
      <c r="P752" s="24">
        <v>38182</v>
      </c>
      <c r="Q752">
        <v>22069</v>
      </c>
      <c r="R752">
        <v>40719</v>
      </c>
      <c r="S752">
        <v>29806</v>
      </c>
      <c r="T752">
        <v>52761</v>
      </c>
      <c r="U752">
        <v>34257</v>
      </c>
      <c r="V752">
        <v>60421</v>
      </c>
      <c r="W752">
        <v>44306</v>
      </c>
      <c r="X752">
        <v>81024</v>
      </c>
      <c r="Z752" t="s">
        <v>767</v>
      </c>
      <c r="AA752" t="s">
        <v>767</v>
      </c>
      <c r="AB752">
        <v>20318</v>
      </c>
      <c r="AC752">
        <v>37219</v>
      </c>
      <c r="AD752">
        <v>20316</v>
      </c>
      <c r="AE752">
        <v>38182</v>
      </c>
      <c r="AF752">
        <v>22069</v>
      </c>
      <c r="AG752">
        <v>40719</v>
      </c>
      <c r="AH752">
        <v>29806</v>
      </c>
      <c r="AI752">
        <v>52761</v>
      </c>
      <c r="AJ752">
        <v>34257</v>
      </c>
      <c r="AK752">
        <v>60421</v>
      </c>
      <c r="AL752">
        <v>44306</v>
      </c>
      <c r="AM752">
        <v>81024</v>
      </c>
    </row>
    <row r="753" spans="2:39" x14ac:dyDescent="0.35">
      <c r="B753" s="23" t="s">
        <v>768</v>
      </c>
      <c r="D753" t="s">
        <v>539</v>
      </c>
      <c r="E753" t="s">
        <v>540</v>
      </c>
      <c r="F753" s="46" t="s">
        <v>768</v>
      </c>
      <c r="G753" t="s">
        <v>769</v>
      </c>
      <c r="H753" s="23">
        <v>65</v>
      </c>
      <c r="I753" s="23" t="s">
        <v>770</v>
      </c>
      <c r="J753" t="s">
        <v>771</v>
      </c>
      <c r="K753">
        <v>774</v>
      </c>
      <c r="L753">
        <v>1108</v>
      </c>
      <c r="M753" s="24">
        <v>787</v>
      </c>
      <c r="N753" s="24">
        <v>1255</v>
      </c>
      <c r="O753" s="24">
        <v>886</v>
      </c>
      <c r="P753" s="24">
        <v>1399</v>
      </c>
      <c r="Q753">
        <v>628</v>
      </c>
      <c r="R753">
        <v>1514</v>
      </c>
      <c r="S753">
        <v>682</v>
      </c>
      <c r="T753">
        <v>1733</v>
      </c>
      <c r="U753">
        <v>879</v>
      </c>
      <c r="V753">
        <v>2054</v>
      </c>
      <c r="W753">
        <v>1547</v>
      </c>
      <c r="X753">
        <v>2757</v>
      </c>
      <c r="Z753" t="s">
        <v>771</v>
      </c>
      <c r="AA753" t="s">
        <v>771</v>
      </c>
      <c r="AB753">
        <v>787</v>
      </c>
      <c r="AC753">
        <v>1255</v>
      </c>
      <c r="AD753">
        <v>886</v>
      </c>
      <c r="AE753">
        <v>1399</v>
      </c>
      <c r="AF753">
        <v>628</v>
      </c>
      <c r="AG753">
        <v>1514</v>
      </c>
      <c r="AH753">
        <v>682</v>
      </c>
      <c r="AI753">
        <v>1733</v>
      </c>
      <c r="AJ753">
        <v>879</v>
      </c>
      <c r="AK753">
        <v>2054</v>
      </c>
      <c r="AL753">
        <v>1547</v>
      </c>
      <c r="AM753">
        <v>2757</v>
      </c>
    </row>
    <row r="754" spans="2:39" x14ac:dyDescent="0.35">
      <c r="B754" s="23" t="s">
        <v>772</v>
      </c>
      <c r="D754" t="s">
        <v>539</v>
      </c>
      <c r="E754" t="s">
        <v>540</v>
      </c>
      <c r="F754" s="46" t="s">
        <v>772</v>
      </c>
      <c r="G754" t="s">
        <v>773</v>
      </c>
      <c r="H754" s="23">
        <v>66</v>
      </c>
      <c r="I754" s="23" t="s">
        <v>774</v>
      </c>
      <c r="J754" t="s">
        <v>775</v>
      </c>
      <c r="K754">
        <v>2791</v>
      </c>
      <c r="L754">
        <v>4668</v>
      </c>
      <c r="M754" s="24">
        <v>2718</v>
      </c>
      <c r="N754" s="24">
        <v>4893</v>
      </c>
      <c r="O754" s="24">
        <v>2458</v>
      </c>
      <c r="P754" s="24">
        <v>4884</v>
      </c>
      <c r="Q754">
        <v>2484</v>
      </c>
      <c r="R754">
        <v>5145</v>
      </c>
      <c r="S754">
        <v>2922</v>
      </c>
      <c r="T754">
        <v>6760</v>
      </c>
      <c r="U754">
        <v>3036</v>
      </c>
      <c r="V754">
        <v>7650</v>
      </c>
      <c r="W754">
        <v>4344</v>
      </c>
      <c r="X754">
        <v>10109</v>
      </c>
      <c r="Z754" t="s">
        <v>775</v>
      </c>
      <c r="AA754" t="s">
        <v>775</v>
      </c>
      <c r="AB754">
        <v>2718</v>
      </c>
      <c r="AC754">
        <v>4893</v>
      </c>
      <c r="AD754">
        <v>2458</v>
      </c>
      <c r="AE754">
        <v>4884</v>
      </c>
      <c r="AF754">
        <v>2484</v>
      </c>
      <c r="AG754">
        <v>5145</v>
      </c>
      <c r="AH754">
        <v>2922</v>
      </c>
      <c r="AI754">
        <v>6760</v>
      </c>
      <c r="AJ754">
        <v>3036</v>
      </c>
      <c r="AK754">
        <v>7650</v>
      </c>
      <c r="AL754">
        <v>4344</v>
      </c>
      <c r="AM754">
        <v>10109</v>
      </c>
    </row>
    <row r="755" spans="2:39" x14ac:dyDescent="0.35">
      <c r="B755" s="23" t="s">
        <v>776</v>
      </c>
      <c r="D755" t="s">
        <v>539</v>
      </c>
      <c r="E755" t="s">
        <v>540</v>
      </c>
      <c r="F755" s="46" t="s">
        <v>776</v>
      </c>
      <c r="G755" t="s">
        <v>777</v>
      </c>
      <c r="H755" s="23">
        <v>67</v>
      </c>
      <c r="I755" s="23" t="s">
        <v>778</v>
      </c>
      <c r="J755" t="s">
        <v>385</v>
      </c>
      <c r="K755">
        <v>826</v>
      </c>
      <c r="L755">
        <v>1127</v>
      </c>
      <c r="M755" s="24">
        <v>834</v>
      </c>
      <c r="N755" s="24">
        <v>1214</v>
      </c>
      <c r="O755" s="24">
        <v>897</v>
      </c>
      <c r="P755" s="24">
        <v>1309</v>
      </c>
      <c r="Q755">
        <v>670</v>
      </c>
      <c r="R755">
        <v>1368</v>
      </c>
      <c r="S755">
        <v>510</v>
      </c>
      <c r="T755">
        <v>1528</v>
      </c>
      <c r="U755">
        <v>586</v>
      </c>
      <c r="V755">
        <v>1840</v>
      </c>
      <c r="W755">
        <v>1109</v>
      </c>
      <c r="X755">
        <v>2745</v>
      </c>
      <c r="Z755" t="s">
        <v>385</v>
      </c>
      <c r="AA755" t="s">
        <v>385</v>
      </c>
      <c r="AB755">
        <v>834</v>
      </c>
      <c r="AC755">
        <v>1214</v>
      </c>
      <c r="AD755">
        <v>897</v>
      </c>
      <c r="AE755">
        <v>1309</v>
      </c>
      <c r="AF755">
        <v>670</v>
      </c>
      <c r="AG755">
        <v>1368</v>
      </c>
      <c r="AH755">
        <v>510</v>
      </c>
      <c r="AI755">
        <v>1528</v>
      </c>
      <c r="AJ755">
        <v>586</v>
      </c>
      <c r="AK755">
        <v>1840</v>
      </c>
      <c r="AL755">
        <v>1109</v>
      </c>
      <c r="AM755">
        <v>2745</v>
      </c>
    </row>
    <row r="756" spans="2:39" x14ac:dyDescent="0.35">
      <c r="B756" s="23" t="s">
        <v>779</v>
      </c>
      <c r="D756" t="s">
        <v>780</v>
      </c>
      <c r="E756" t="s">
        <v>781</v>
      </c>
      <c r="F756" s="46" t="s">
        <v>1003</v>
      </c>
      <c r="G756" t="s">
        <v>577</v>
      </c>
      <c r="H756" s="23">
        <v>14</v>
      </c>
      <c r="I756" s="23" t="s">
        <v>1004</v>
      </c>
      <c r="J756" t="s">
        <v>1005</v>
      </c>
      <c r="K756">
        <v>474</v>
      </c>
      <c r="L756">
        <v>556</v>
      </c>
      <c r="M756" s="24">
        <v>467</v>
      </c>
      <c r="N756" s="24">
        <v>559</v>
      </c>
      <c r="O756" s="24">
        <v>569</v>
      </c>
      <c r="P756" s="24">
        <v>688</v>
      </c>
      <c r="Q756">
        <v>534</v>
      </c>
      <c r="R756">
        <v>752</v>
      </c>
      <c r="S756">
        <v>776</v>
      </c>
      <c r="T756">
        <v>1143</v>
      </c>
      <c r="U756">
        <v>980</v>
      </c>
      <c r="V756">
        <v>1615</v>
      </c>
      <c r="W756">
        <v>1543</v>
      </c>
      <c r="X756">
        <v>2691</v>
      </c>
    </row>
    <row r="757" spans="2:39" x14ac:dyDescent="0.35">
      <c r="B757" s="23" t="s">
        <v>783</v>
      </c>
      <c r="D757" t="s">
        <v>780</v>
      </c>
      <c r="E757" t="s">
        <v>781</v>
      </c>
      <c r="F757" s="46" t="s">
        <v>954</v>
      </c>
      <c r="G757" t="s">
        <v>293</v>
      </c>
      <c r="H757" s="23">
        <v>11</v>
      </c>
      <c r="I757" s="23" t="s">
        <v>955</v>
      </c>
      <c r="J757" t="s">
        <v>956</v>
      </c>
      <c r="K757">
        <v>117</v>
      </c>
      <c r="L757">
        <v>142</v>
      </c>
      <c r="M757" s="24">
        <v>96</v>
      </c>
      <c r="N757" s="24">
        <v>119</v>
      </c>
      <c r="O757" s="24">
        <v>108</v>
      </c>
      <c r="P757" s="24">
        <v>132</v>
      </c>
      <c r="Q757">
        <v>134</v>
      </c>
      <c r="R757">
        <v>194</v>
      </c>
      <c r="S757">
        <v>300</v>
      </c>
      <c r="T757">
        <v>380</v>
      </c>
      <c r="U757">
        <v>404</v>
      </c>
      <c r="V757">
        <v>668</v>
      </c>
      <c r="W757">
        <v>541</v>
      </c>
      <c r="X757">
        <v>1071</v>
      </c>
    </row>
    <row r="758" spans="2:39" x14ac:dyDescent="0.35">
      <c r="B758" s="23" t="s">
        <v>784</v>
      </c>
      <c r="D758" t="s">
        <v>780</v>
      </c>
      <c r="E758" t="s">
        <v>781</v>
      </c>
      <c r="F758" s="46" t="s">
        <v>876</v>
      </c>
      <c r="G758" t="s">
        <v>265</v>
      </c>
      <c r="H758" s="23">
        <v>6</v>
      </c>
      <c r="I758" s="23" t="s">
        <v>877</v>
      </c>
      <c r="J758" t="s">
        <v>878</v>
      </c>
      <c r="K758">
        <v>233</v>
      </c>
      <c r="L758">
        <v>300</v>
      </c>
      <c r="M758" s="24">
        <v>256</v>
      </c>
      <c r="N758" s="24">
        <v>327</v>
      </c>
      <c r="O758" s="24">
        <v>226</v>
      </c>
      <c r="P758" s="24">
        <v>285</v>
      </c>
      <c r="Q758">
        <v>254</v>
      </c>
      <c r="R758">
        <v>347</v>
      </c>
      <c r="S758">
        <v>396</v>
      </c>
      <c r="T758">
        <v>579</v>
      </c>
      <c r="U758">
        <v>496</v>
      </c>
      <c r="V758">
        <v>863</v>
      </c>
      <c r="W758">
        <v>769</v>
      </c>
      <c r="X758">
        <v>1458</v>
      </c>
    </row>
    <row r="759" spans="2:39" x14ac:dyDescent="0.35">
      <c r="B759" s="23" t="s">
        <v>785</v>
      </c>
      <c r="D759" t="s">
        <v>780</v>
      </c>
      <c r="E759" t="s">
        <v>781</v>
      </c>
      <c r="F759" s="46" t="s">
        <v>779</v>
      </c>
      <c r="G759" t="s">
        <v>231</v>
      </c>
      <c r="H759" s="23">
        <v>1</v>
      </c>
      <c r="I759" s="23" t="s">
        <v>782</v>
      </c>
      <c r="J759" t="s">
        <v>545</v>
      </c>
      <c r="K759">
        <v>90</v>
      </c>
      <c r="L759">
        <v>111</v>
      </c>
      <c r="M759" s="24">
        <v>90</v>
      </c>
      <c r="N759" s="24">
        <v>108</v>
      </c>
      <c r="O759" s="24">
        <v>86</v>
      </c>
      <c r="P759" s="24">
        <v>101</v>
      </c>
      <c r="Q759">
        <v>72</v>
      </c>
      <c r="R759">
        <v>112</v>
      </c>
      <c r="S759">
        <v>139</v>
      </c>
      <c r="T759">
        <v>188</v>
      </c>
      <c r="U759">
        <v>227</v>
      </c>
      <c r="V759">
        <v>352</v>
      </c>
      <c r="W759">
        <v>469</v>
      </c>
      <c r="X759">
        <v>737</v>
      </c>
    </row>
    <row r="760" spans="2:39" x14ac:dyDescent="0.35">
      <c r="B760" s="23" t="s">
        <v>787</v>
      </c>
      <c r="D760" t="s">
        <v>780</v>
      </c>
      <c r="E760" t="s">
        <v>781</v>
      </c>
      <c r="F760" s="46" t="s">
        <v>1059</v>
      </c>
      <c r="G760" t="s">
        <v>585</v>
      </c>
      <c r="H760" s="23">
        <v>16</v>
      </c>
      <c r="I760" s="23" t="s">
        <v>1060</v>
      </c>
      <c r="J760" t="s">
        <v>313</v>
      </c>
      <c r="K760">
        <v>912</v>
      </c>
      <c r="L760">
        <v>1111</v>
      </c>
      <c r="M760" s="24">
        <v>843</v>
      </c>
      <c r="N760" s="24">
        <v>1035</v>
      </c>
      <c r="O760" s="24">
        <v>779</v>
      </c>
      <c r="P760" s="24">
        <v>1035</v>
      </c>
      <c r="Q760">
        <v>726</v>
      </c>
      <c r="R760">
        <v>1036</v>
      </c>
      <c r="S760">
        <v>1159</v>
      </c>
      <c r="T760">
        <v>1644</v>
      </c>
      <c r="U760">
        <v>1796</v>
      </c>
      <c r="V760">
        <v>2502</v>
      </c>
      <c r="W760">
        <v>4068</v>
      </c>
      <c r="X760">
        <v>5084</v>
      </c>
    </row>
    <row r="761" spans="2:39" x14ac:dyDescent="0.35">
      <c r="B761" s="23" t="s">
        <v>789</v>
      </c>
      <c r="D761" t="s">
        <v>780</v>
      </c>
      <c r="E761" t="s">
        <v>781</v>
      </c>
      <c r="F761" s="46" t="s">
        <v>932</v>
      </c>
      <c r="G761" t="s">
        <v>289</v>
      </c>
      <c r="H761" s="23">
        <v>10</v>
      </c>
      <c r="I761" s="23" t="s">
        <v>933</v>
      </c>
      <c r="J761" t="s">
        <v>934</v>
      </c>
      <c r="K761">
        <v>564</v>
      </c>
      <c r="L761">
        <v>835</v>
      </c>
      <c r="M761" s="24">
        <v>425</v>
      </c>
      <c r="N761" s="24">
        <v>848</v>
      </c>
      <c r="O761" s="24">
        <v>390</v>
      </c>
      <c r="P761" s="24">
        <v>738</v>
      </c>
      <c r="Q761">
        <v>423</v>
      </c>
      <c r="R761">
        <v>730</v>
      </c>
      <c r="S761">
        <v>577</v>
      </c>
      <c r="T761">
        <v>1035</v>
      </c>
      <c r="U761">
        <v>1025</v>
      </c>
      <c r="V761">
        <v>1692</v>
      </c>
      <c r="W761">
        <v>1383</v>
      </c>
      <c r="X761">
        <v>2593</v>
      </c>
    </row>
    <row r="762" spans="2:39" x14ac:dyDescent="0.35">
      <c r="B762" s="23" t="s">
        <v>790</v>
      </c>
      <c r="D762" t="s">
        <v>780</v>
      </c>
      <c r="E762" t="s">
        <v>781</v>
      </c>
      <c r="F762" s="46" t="s">
        <v>800</v>
      </c>
      <c r="G762" t="s">
        <v>235</v>
      </c>
      <c r="H762" s="23">
        <v>2</v>
      </c>
      <c r="I762" s="23" t="s">
        <v>801</v>
      </c>
      <c r="J762" t="s">
        <v>802</v>
      </c>
      <c r="K762">
        <v>2269</v>
      </c>
      <c r="L762">
        <v>2857</v>
      </c>
      <c r="M762" s="24">
        <v>2364</v>
      </c>
      <c r="N762" s="24">
        <v>2926</v>
      </c>
      <c r="O762" s="24">
        <v>2626</v>
      </c>
      <c r="P762" s="24">
        <v>3254</v>
      </c>
      <c r="Q762">
        <v>2174</v>
      </c>
      <c r="R762">
        <v>3355</v>
      </c>
      <c r="S762">
        <v>3322</v>
      </c>
      <c r="T762">
        <v>5163</v>
      </c>
      <c r="U762">
        <v>3963</v>
      </c>
      <c r="V762">
        <v>6253</v>
      </c>
      <c r="W762">
        <v>5862</v>
      </c>
      <c r="X762">
        <v>9039</v>
      </c>
    </row>
    <row r="763" spans="2:39" x14ac:dyDescent="0.35">
      <c r="B763" s="23" t="s">
        <v>792</v>
      </c>
      <c r="D763" t="s">
        <v>780</v>
      </c>
      <c r="E763" t="s">
        <v>781</v>
      </c>
      <c r="F763" s="46" t="s">
        <v>814</v>
      </c>
      <c r="G763" t="s">
        <v>239</v>
      </c>
      <c r="H763" s="23">
        <v>3</v>
      </c>
      <c r="I763" s="23" t="s">
        <v>815</v>
      </c>
      <c r="J763" t="s">
        <v>816</v>
      </c>
      <c r="K763">
        <v>3373</v>
      </c>
      <c r="L763">
        <v>4093</v>
      </c>
      <c r="M763" s="24">
        <v>2477</v>
      </c>
      <c r="N763" s="24">
        <v>3718</v>
      </c>
      <c r="O763" s="24">
        <v>2080</v>
      </c>
      <c r="P763" s="24">
        <v>3440</v>
      </c>
      <c r="Q763">
        <v>2289</v>
      </c>
      <c r="R763">
        <v>3605</v>
      </c>
      <c r="S763">
        <v>3700</v>
      </c>
      <c r="T763">
        <v>5640</v>
      </c>
      <c r="U763">
        <v>5130</v>
      </c>
      <c r="V763">
        <v>8118</v>
      </c>
      <c r="W763">
        <v>7984</v>
      </c>
      <c r="X763">
        <v>13224</v>
      </c>
    </row>
    <row r="764" spans="2:39" x14ac:dyDescent="0.35">
      <c r="B764" s="23" t="s">
        <v>793</v>
      </c>
      <c r="D764" t="s">
        <v>780</v>
      </c>
      <c r="E764" t="s">
        <v>781</v>
      </c>
      <c r="F764" s="46" t="s">
        <v>1025</v>
      </c>
      <c r="G764" t="s">
        <v>581</v>
      </c>
      <c r="H764" s="23">
        <v>15</v>
      </c>
      <c r="I764" s="23" t="s">
        <v>1026</v>
      </c>
      <c r="J764" t="s">
        <v>1027</v>
      </c>
      <c r="K764">
        <v>335</v>
      </c>
      <c r="L764">
        <v>415</v>
      </c>
      <c r="M764" s="24">
        <v>343</v>
      </c>
      <c r="N764" s="24">
        <v>416</v>
      </c>
      <c r="O764" s="24">
        <v>370</v>
      </c>
      <c r="P764" s="24">
        <v>442</v>
      </c>
      <c r="Q764">
        <v>422</v>
      </c>
      <c r="R764">
        <v>526</v>
      </c>
      <c r="S764">
        <v>568</v>
      </c>
      <c r="T764">
        <v>761</v>
      </c>
      <c r="U764">
        <v>602</v>
      </c>
      <c r="V764">
        <v>1096</v>
      </c>
      <c r="W764">
        <v>1601</v>
      </c>
      <c r="X764">
        <v>2064</v>
      </c>
    </row>
    <row r="765" spans="2:39" x14ac:dyDescent="0.35">
      <c r="B765" s="23" t="s">
        <v>795</v>
      </c>
      <c r="D765" t="s">
        <v>780</v>
      </c>
      <c r="E765" t="s">
        <v>781</v>
      </c>
      <c r="F765" s="46" t="s">
        <v>1028</v>
      </c>
      <c r="G765" t="s">
        <v>581</v>
      </c>
      <c r="H765" s="23">
        <v>15</v>
      </c>
      <c r="I765" s="23" t="s">
        <v>1026</v>
      </c>
      <c r="J765" t="s">
        <v>1029</v>
      </c>
      <c r="K765">
        <v>397</v>
      </c>
      <c r="L765">
        <v>486</v>
      </c>
      <c r="M765" s="24">
        <v>377</v>
      </c>
      <c r="N765" s="24">
        <v>443</v>
      </c>
      <c r="O765" s="24">
        <v>420</v>
      </c>
      <c r="P765" s="24">
        <v>493</v>
      </c>
      <c r="Q765">
        <v>397</v>
      </c>
      <c r="R765">
        <v>542</v>
      </c>
      <c r="S765">
        <v>506</v>
      </c>
      <c r="T765">
        <v>735</v>
      </c>
      <c r="U765">
        <v>536</v>
      </c>
      <c r="V765">
        <v>1077</v>
      </c>
      <c r="W765">
        <v>1661</v>
      </c>
      <c r="X765">
        <v>2276</v>
      </c>
    </row>
    <row r="766" spans="2:39" x14ac:dyDescent="0.35">
      <c r="B766" s="23" t="s">
        <v>796</v>
      </c>
      <c r="D766" t="s">
        <v>780</v>
      </c>
      <c r="E766" t="s">
        <v>781</v>
      </c>
      <c r="F766" s="46" t="s">
        <v>972</v>
      </c>
      <c r="G766" t="s">
        <v>303</v>
      </c>
      <c r="H766" s="23">
        <v>12</v>
      </c>
      <c r="I766" s="23" t="s">
        <v>973</v>
      </c>
      <c r="J766" t="s">
        <v>241</v>
      </c>
      <c r="K766">
        <v>3649</v>
      </c>
      <c r="L766">
        <v>4394</v>
      </c>
      <c r="M766" s="24">
        <v>3739</v>
      </c>
      <c r="N766" s="24">
        <v>4374</v>
      </c>
      <c r="O766" s="24">
        <v>3347</v>
      </c>
      <c r="P766" s="24">
        <v>4369</v>
      </c>
      <c r="Q766">
        <v>3292</v>
      </c>
      <c r="R766">
        <v>4627</v>
      </c>
      <c r="S766">
        <v>5114</v>
      </c>
      <c r="T766">
        <v>7315</v>
      </c>
      <c r="U766">
        <v>7121</v>
      </c>
      <c r="V766">
        <v>11211</v>
      </c>
      <c r="W766">
        <v>16740</v>
      </c>
      <c r="X766">
        <v>20767</v>
      </c>
    </row>
    <row r="767" spans="2:39" x14ac:dyDescent="0.35">
      <c r="B767" s="23" t="s">
        <v>798</v>
      </c>
      <c r="D767" t="s">
        <v>780</v>
      </c>
      <c r="E767" t="s">
        <v>781</v>
      </c>
      <c r="F767" s="46" t="s">
        <v>974</v>
      </c>
      <c r="G767" t="s">
        <v>303</v>
      </c>
      <c r="H767" s="23">
        <v>12</v>
      </c>
      <c r="I767" s="23" t="s">
        <v>973</v>
      </c>
      <c r="J767" t="s">
        <v>975</v>
      </c>
      <c r="K767">
        <v>317</v>
      </c>
      <c r="L767">
        <v>378</v>
      </c>
      <c r="M767" s="24">
        <v>296</v>
      </c>
      <c r="N767" s="24">
        <v>334</v>
      </c>
      <c r="O767" s="24">
        <v>280</v>
      </c>
      <c r="P767" s="24">
        <v>325</v>
      </c>
      <c r="Q767">
        <v>309</v>
      </c>
      <c r="R767">
        <v>389</v>
      </c>
      <c r="S767">
        <v>438</v>
      </c>
      <c r="T767">
        <v>569</v>
      </c>
      <c r="U767">
        <v>1130</v>
      </c>
      <c r="V767">
        <v>1318</v>
      </c>
      <c r="W767">
        <v>1301</v>
      </c>
      <c r="X767">
        <v>1568</v>
      </c>
    </row>
    <row r="768" spans="2:39" x14ac:dyDescent="0.35">
      <c r="B768" s="23" t="s">
        <v>800</v>
      </c>
      <c r="D768" t="s">
        <v>780</v>
      </c>
      <c r="E768" t="s">
        <v>781</v>
      </c>
      <c r="F768" s="46" t="s">
        <v>879</v>
      </c>
      <c r="G768" t="s">
        <v>265</v>
      </c>
      <c r="H768" s="23">
        <v>6</v>
      </c>
      <c r="I768" s="23" t="s">
        <v>877</v>
      </c>
      <c r="J768" t="s">
        <v>880</v>
      </c>
      <c r="K768">
        <v>372</v>
      </c>
      <c r="L768">
        <v>460</v>
      </c>
      <c r="M768" s="24">
        <v>371</v>
      </c>
      <c r="N768" s="24">
        <v>446</v>
      </c>
      <c r="O768" s="24">
        <v>357</v>
      </c>
      <c r="P768" s="24">
        <v>454</v>
      </c>
      <c r="Q768">
        <v>289</v>
      </c>
      <c r="R768">
        <v>479</v>
      </c>
      <c r="S768">
        <v>488</v>
      </c>
      <c r="T768">
        <v>792</v>
      </c>
      <c r="U768">
        <v>656</v>
      </c>
      <c r="V768">
        <v>1292</v>
      </c>
      <c r="W768">
        <v>1219</v>
      </c>
      <c r="X768">
        <v>2468</v>
      </c>
    </row>
    <row r="769" spans="2:24" x14ac:dyDescent="0.35">
      <c r="B769" s="23" t="s">
        <v>803</v>
      </c>
      <c r="D769" t="s">
        <v>780</v>
      </c>
      <c r="E769" t="s">
        <v>781</v>
      </c>
      <c r="F769" s="46" t="s">
        <v>1030</v>
      </c>
      <c r="G769" t="s">
        <v>581</v>
      </c>
      <c r="H769" s="23">
        <v>15</v>
      </c>
      <c r="I769" s="23" t="s">
        <v>1026</v>
      </c>
      <c r="J769" t="s">
        <v>1031</v>
      </c>
      <c r="K769">
        <v>484</v>
      </c>
      <c r="L769">
        <v>569</v>
      </c>
      <c r="M769" s="24">
        <v>427</v>
      </c>
      <c r="N769" s="24">
        <v>508</v>
      </c>
      <c r="O769" s="24">
        <v>382</v>
      </c>
      <c r="P769" s="24">
        <v>494</v>
      </c>
      <c r="Q769">
        <v>381</v>
      </c>
      <c r="R769">
        <v>486</v>
      </c>
      <c r="S769">
        <v>530</v>
      </c>
      <c r="T769">
        <v>811</v>
      </c>
      <c r="U769">
        <v>607</v>
      </c>
      <c r="V769">
        <v>1346</v>
      </c>
      <c r="W769">
        <v>2026</v>
      </c>
      <c r="X769">
        <v>2675</v>
      </c>
    </row>
    <row r="770" spans="2:24" x14ac:dyDescent="0.35">
      <c r="B770" s="23" t="s">
        <v>804</v>
      </c>
      <c r="D770" t="s">
        <v>780</v>
      </c>
      <c r="E770" t="s">
        <v>781</v>
      </c>
      <c r="F770" s="46" t="s">
        <v>1006</v>
      </c>
      <c r="G770" t="s">
        <v>577</v>
      </c>
      <c r="H770" s="23">
        <v>14</v>
      </c>
      <c r="I770" s="23" t="s">
        <v>1004</v>
      </c>
      <c r="J770" t="s">
        <v>1007</v>
      </c>
      <c r="K770">
        <v>1273</v>
      </c>
      <c r="L770">
        <v>1517</v>
      </c>
      <c r="M770" s="24">
        <v>1311</v>
      </c>
      <c r="N770" s="24">
        <v>1559</v>
      </c>
      <c r="O770" s="24">
        <v>1292</v>
      </c>
      <c r="P770" s="24">
        <v>1705</v>
      </c>
      <c r="Q770">
        <v>1243</v>
      </c>
      <c r="R770">
        <v>1755</v>
      </c>
      <c r="S770">
        <v>1453</v>
      </c>
      <c r="T770">
        <v>2380</v>
      </c>
      <c r="U770">
        <v>1611</v>
      </c>
      <c r="V770">
        <v>2631</v>
      </c>
      <c r="W770">
        <v>2102</v>
      </c>
      <c r="X770">
        <v>3541</v>
      </c>
    </row>
    <row r="771" spans="2:24" x14ac:dyDescent="0.35">
      <c r="B771" s="23" t="s">
        <v>806</v>
      </c>
      <c r="D771" t="s">
        <v>780</v>
      </c>
      <c r="E771" t="s">
        <v>781</v>
      </c>
      <c r="F771" s="46" t="s">
        <v>1008</v>
      </c>
      <c r="G771" t="s">
        <v>577</v>
      </c>
      <c r="H771" s="23">
        <v>14</v>
      </c>
      <c r="I771" s="23" t="s">
        <v>1004</v>
      </c>
      <c r="J771" t="s">
        <v>1009</v>
      </c>
      <c r="K771">
        <v>2463</v>
      </c>
      <c r="L771">
        <v>2848</v>
      </c>
      <c r="M771" s="24">
        <v>2461</v>
      </c>
      <c r="N771" s="24">
        <v>2898</v>
      </c>
      <c r="O771" s="24">
        <v>2327</v>
      </c>
      <c r="P771" s="24">
        <v>2991</v>
      </c>
      <c r="Q771">
        <v>2134</v>
      </c>
      <c r="R771">
        <v>3168</v>
      </c>
      <c r="S771">
        <v>2885</v>
      </c>
      <c r="T771">
        <v>4451</v>
      </c>
      <c r="U771">
        <v>3386</v>
      </c>
      <c r="V771">
        <v>5563</v>
      </c>
      <c r="W771">
        <v>4604</v>
      </c>
      <c r="X771">
        <v>8195</v>
      </c>
    </row>
    <row r="772" spans="2:24" x14ac:dyDescent="0.35">
      <c r="B772" s="23" t="s">
        <v>807</v>
      </c>
      <c r="D772" t="s">
        <v>780</v>
      </c>
      <c r="E772" t="s">
        <v>781</v>
      </c>
      <c r="F772" s="46" t="s">
        <v>854</v>
      </c>
      <c r="G772" t="s">
        <v>259</v>
      </c>
      <c r="H772" s="23">
        <v>5</v>
      </c>
      <c r="I772" s="23" t="s">
        <v>855</v>
      </c>
      <c r="J772" t="s">
        <v>856</v>
      </c>
      <c r="K772">
        <v>716</v>
      </c>
      <c r="L772">
        <v>853</v>
      </c>
      <c r="M772" s="24">
        <v>638</v>
      </c>
      <c r="N772" s="24">
        <v>750</v>
      </c>
      <c r="O772" s="24">
        <v>579</v>
      </c>
      <c r="P772" s="24">
        <v>760</v>
      </c>
      <c r="Q772">
        <v>569</v>
      </c>
      <c r="R772">
        <v>774</v>
      </c>
      <c r="S772">
        <v>920</v>
      </c>
      <c r="T772">
        <v>1217</v>
      </c>
      <c r="U772">
        <v>1585</v>
      </c>
      <c r="V772">
        <v>2160</v>
      </c>
      <c r="W772">
        <v>2982</v>
      </c>
      <c r="X772">
        <v>3857</v>
      </c>
    </row>
    <row r="773" spans="2:24" x14ac:dyDescent="0.35">
      <c r="B773" s="23" t="s">
        <v>808</v>
      </c>
      <c r="D773" t="s">
        <v>780</v>
      </c>
      <c r="E773" t="s">
        <v>781</v>
      </c>
      <c r="F773" s="46" t="s">
        <v>817</v>
      </c>
      <c r="G773" t="s">
        <v>239</v>
      </c>
      <c r="H773" s="23">
        <v>3</v>
      </c>
      <c r="I773" s="23" t="s">
        <v>815</v>
      </c>
      <c r="J773" t="s">
        <v>818</v>
      </c>
      <c r="K773">
        <v>620</v>
      </c>
      <c r="L773">
        <v>758</v>
      </c>
      <c r="M773" s="24">
        <v>555</v>
      </c>
      <c r="N773" s="24">
        <v>692</v>
      </c>
      <c r="O773" s="24">
        <v>526</v>
      </c>
      <c r="P773" s="24">
        <v>674</v>
      </c>
      <c r="Q773">
        <v>625</v>
      </c>
      <c r="R773">
        <v>862</v>
      </c>
      <c r="S773">
        <v>1018</v>
      </c>
      <c r="T773">
        <v>1462</v>
      </c>
      <c r="U773">
        <v>1556</v>
      </c>
      <c r="V773">
        <v>2408</v>
      </c>
      <c r="W773">
        <v>2547</v>
      </c>
      <c r="X773">
        <v>4337</v>
      </c>
    </row>
    <row r="774" spans="2:24" x14ac:dyDescent="0.35">
      <c r="B774" s="23" t="s">
        <v>809</v>
      </c>
      <c r="D774" t="s">
        <v>780</v>
      </c>
      <c r="E774" t="s">
        <v>781</v>
      </c>
      <c r="F774" s="46" t="s">
        <v>783</v>
      </c>
      <c r="G774" t="s">
        <v>231</v>
      </c>
      <c r="H774" s="23">
        <v>1</v>
      </c>
      <c r="I774" s="23" t="s">
        <v>782</v>
      </c>
      <c r="J774" t="s">
        <v>233</v>
      </c>
      <c r="K774">
        <v>151</v>
      </c>
      <c r="L774">
        <v>188</v>
      </c>
      <c r="M774" s="24">
        <v>174</v>
      </c>
      <c r="N774" s="24">
        <v>208</v>
      </c>
      <c r="O774" s="24">
        <v>189</v>
      </c>
      <c r="P774" s="24">
        <v>212</v>
      </c>
      <c r="Q774">
        <v>168</v>
      </c>
      <c r="R774">
        <v>242</v>
      </c>
      <c r="S774">
        <v>276</v>
      </c>
      <c r="T774">
        <v>375</v>
      </c>
      <c r="U774">
        <v>339</v>
      </c>
      <c r="V774">
        <v>507</v>
      </c>
      <c r="W774">
        <v>581</v>
      </c>
      <c r="X774">
        <v>892</v>
      </c>
    </row>
    <row r="775" spans="2:24" x14ac:dyDescent="0.35">
      <c r="B775" s="23" t="s">
        <v>810</v>
      </c>
      <c r="D775" t="s">
        <v>780</v>
      </c>
      <c r="E775" t="s">
        <v>781</v>
      </c>
      <c r="F775" s="46" t="s">
        <v>881</v>
      </c>
      <c r="G775" t="s">
        <v>265</v>
      </c>
      <c r="H775" s="23">
        <v>6</v>
      </c>
      <c r="I775" s="23" t="s">
        <v>877</v>
      </c>
      <c r="J775" t="s">
        <v>882</v>
      </c>
      <c r="K775">
        <v>1020</v>
      </c>
      <c r="L775">
        <v>1314</v>
      </c>
      <c r="M775" s="24">
        <v>1061</v>
      </c>
      <c r="N775" s="24">
        <v>1332</v>
      </c>
      <c r="O775" s="24">
        <v>1055</v>
      </c>
      <c r="P775" s="24">
        <v>1363</v>
      </c>
      <c r="Q775">
        <v>771</v>
      </c>
      <c r="R775">
        <v>1357</v>
      </c>
      <c r="S775">
        <v>975</v>
      </c>
      <c r="T775">
        <v>1738</v>
      </c>
      <c r="U775">
        <v>1291</v>
      </c>
      <c r="V775">
        <v>2407</v>
      </c>
      <c r="W775">
        <v>1950</v>
      </c>
      <c r="X775">
        <v>3781</v>
      </c>
    </row>
    <row r="776" spans="2:24" x14ac:dyDescent="0.35">
      <c r="B776" s="23" t="s">
        <v>812</v>
      </c>
      <c r="D776" t="s">
        <v>780</v>
      </c>
      <c r="E776" t="s">
        <v>781</v>
      </c>
      <c r="F776" s="46" t="s">
        <v>1010</v>
      </c>
      <c r="G776" t="s">
        <v>577</v>
      </c>
      <c r="H776" s="23">
        <v>14</v>
      </c>
      <c r="I776" s="23" t="s">
        <v>1004</v>
      </c>
      <c r="J776" t="s">
        <v>1011</v>
      </c>
      <c r="K776">
        <v>435</v>
      </c>
      <c r="L776">
        <v>526</v>
      </c>
      <c r="M776" s="24">
        <v>459</v>
      </c>
      <c r="N776" s="24">
        <v>535</v>
      </c>
      <c r="O776" s="24">
        <v>388</v>
      </c>
      <c r="P776" s="24">
        <v>478</v>
      </c>
      <c r="Q776">
        <v>383</v>
      </c>
      <c r="R776">
        <v>553</v>
      </c>
      <c r="S776">
        <v>499</v>
      </c>
      <c r="T776">
        <v>716</v>
      </c>
      <c r="U776">
        <v>638</v>
      </c>
      <c r="V776">
        <v>951</v>
      </c>
      <c r="W776">
        <v>811</v>
      </c>
      <c r="X776">
        <v>1354</v>
      </c>
    </row>
    <row r="777" spans="2:24" x14ac:dyDescent="0.35">
      <c r="B777" s="23" t="s">
        <v>814</v>
      </c>
      <c r="D777" t="s">
        <v>780</v>
      </c>
      <c r="E777" t="s">
        <v>781</v>
      </c>
      <c r="F777" s="46" t="s">
        <v>848</v>
      </c>
      <c r="G777" t="s">
        <v>255</v>
      </c>
      <c r="H777" s="23">
        <v>4</v>
      </c>
      <c r="I777" s="23" t="s">
        <v>849</v>
      </c>
      <c r="J777" t="s">
        <v>463</v>
      </c>
      <c r="K777">
        <v>3615</v>
      </c>
      <c r="L777">
        <v>4460</v>
      </c>
      <c r="M777" s="24">
        <v>3621</v>
      </c>
      <c r="N777" s="24">
        <v>4375</v>
      </c>
      <c r="O777" s="24">
        <v>3554</v>
      </c>
      <c r="P777" s="24">
        <v>4480</v>
      </c>
      <c r="Q777">
        <v>3381</v>
      </c>
      <c r="R777">
        <v>4761</v>
      </c>
      <c r="S777">
        <v>4483</v>
      </c>
      <c r="T777">
        <v>5992</v>
      </c>
      <c r="U777">
        <v>5947</v>
      </c>
      <c r="V777">
        <v>7953</v>
      </c>
      <c r="W777">
        <v>7085</v>
      </c>
      <c r="X777">
        <v>11641</v>
      </c>
    </row>
    <row r="778" spans="2:24" x14ac:dyDescent="0.35">
      <c r="B778" s="23" t="s">
        <v>817</v>
      </c>
      <c r="D778" t="s">
        <v>780</v>
      </c>
      <c r="E778" t="s">
        <v>781</v>
      </c>
      <c r="F778" s="46" t="s">
        <v>895</v>
      </c>
      <c r="G778" t="s">
        <v>273</v>
      </c>
      <c r="H778" s="23">
        <v>7</v>
      </c>
      <c r="I778" s="23" t="s">
        <v>896</v>
      </c>
      <c r="J778" t="s">
        <v>897</v>
      </c>
      <c r="K778">
        <v>1408</v>
      </c>
      <c r="L778">
        <v>2220</v>
      </c>
      <c r="M778" s="24">
        <v>1644</v>
      </c>
      <c r="N778" s="24">
        <v>2174</v>
      </c>
      <c r="O778" s="24">
        <v>1396</v>
      </c>
      <c r="P778" s="24">
        <v>1823</v>
      </c>
      <c r="Q778">
        <v>1334</v>
      </c>
      <c r="R778">
        <v>2156</v>
      </c>
      <c r="S778">
        <v>1615</v>
      </c>
      <c r="T778">
        <v>2660</v>
      </c>
      <c r="U778">
        <v>2215</v>
      </c>
      <c r="V778">
        <v>3448</v>
      </c>
      <c r="W778">
        <v>3748</v>
      </c>
      <c r="X778">
        <v>5367</v>
      </c>
    </row>
    <row r="779" spans="2:24" x14ac:dyDescent="0.35">
      <c r="B779" s="23" t="s">
        <v>819</v>
      </c>
      <c r="D779" t="s">
        <v>780</v>
      </c>
      <c r="E779" t="s">
        <v>781</v>
      </c>
      <c r="F779" s="46" t="s">
        <v>883</v>
      </c>
      <c r="G779" t="s">
        <v>265</v>
      </c>
      <c r="H779" s="23">
        <v>6</v>
      </c>
      <c r="I779" s="23" t="s">
        <v>877</v>
      </c>
      <c r="J779" t="s">
        <v>884</v>
      </c>
      <c r="K779">
        <v>178</v>
      </c>
      <c r="L779">
        <v>211</v>
      </c>
      <c r="M779" s="24">
        <v>149</v>
      </c>
      <c r="N779" s="24">
        <v>191</v>
      </c>
      <c r="O779" s="24">
        <v>174</v>
      </c>
      <c r="P779" s="24">
        <v>217</v>
      </c>
      <c r="Q779">
        <v>122</v>
      </c>
      <c r="R779">
        <v>197</v>
      </c>
      <c r="S779">
        <v>189</v>
      </c>
      <c r="T779">
        <v>300</v>
      </c>
      <c r="U779">
        <v>269</v>
      </c>
      <c r="V779">
        <v>443</v>
      </c>
      <c r="W779">
        <v>429</v>
      </c>
      <c r="X779">
        <v>813</v>
      </c>
    </row>
    <row r="780" spans="2:24" x14ac:dyDescent="0.35">
      <c r="B780" s="23" t="s">
        <v>820</v>
      </c>
      <c r="D780" t="s">
        <v>780</v>
      </c>
      <c r="E780" t="s">
        <v>781</v>
      </c>
      <c r="F780" s="46" t="s">
        <v>1012</v>
      </c>
      <c r="G780" t="s">
        <v>577</v>
      </c>
      <c r="H780" s="23">
        <v>14</v>
      </c>
      <c r="I780" s="23" t="s">
        <v>1004</v>
      </c>
      <c r="J780" t="s">
        <v>1013</v>
      </c>
      <c r="K780">
        <v>9502</v>
      </c>
      <c r="L780">
        <v>12749</v>
      </c>
      <c r="M780" s="24">
        <v>9440</v>
      </c>
      <c r="N780" s="24">
        <v>12041</v>
      </c>
      <c r="O780" s="24">
        <v>9265</v>
      </c>
      <c r="P780" s="24">
        <v>12873</v>
      </c>
      <c r="Q780">
        <v>9473</v>
      </c>
      <c r="R780">
        <v>14695</v>
      </c>
      <c r="S780">
        <v>11817</v>
      </c>
      <c r="T780">
        <v>19953</v>
      </c>
      <c r="U780">
        <v>14146</v>
      </c>
      <c r="V780">
        <v>23787</v>
      </c>
      <c r="W780">
        <v>22951</v>
      </c>
      <c r="X780">
        <v>34792</v>
      </c>
    </row>
    <row r="781" spans="2:24" x14ac:dyDescent="0.35">
      <c r="B781" s="23" t="s">
        <v>822</v>
      </c>
      <c r="D781" t="s">
        <v>780</v>
      </c>
      <c r="E781" t="s">
        <v>781</v>
      </c>
      <c r="F781" s="46" t="s">
        <v>901</v>
      </c>
      <c r="G781" t="s">
        <v>279</v>
      </c>
      <c r="H781" s="23">
        <v>8</v>
      </c>
      <c r="I781" s="23" t="s">
        <v>902</v>
      </c>
      <c r="J781" t="s">
        <v>903</v>
      </c>
      <c r="K781">
        <v>74</v>
      </c>
      <c r="L781">
        <v>90</v>
      </c>
      <c r="M781" s="24">
        <v>77</v>
      </c>
      <c r="N781" s="24">
        <v>85</v>
      </c>
      <c r="O781" s="24">
        <v>102</v>
      </c>
      <c r="P781" s="24">
        <v>115</v>
      </c>
      <c r="Q781">
        <v>89</v>
      </c>
      <c r="R781">
        <v>107</v>
      </c>
      <c r="S781">
        <v>107</v>
      </c>
      <c r="T781">
        <v>138</v>
      </c>
      <c r="U781">
        <v>179</v>
      </c>
      <c r="V781">
        <v>210</v>
      </c>
      <c r="W781">
        <v>281</v>
      </c>
      <c r="X781">
        <v>353</v>
      </c>
    </row>
    <row r="782" spans="2:24" x14ac:dyDescent="0.35">
      <c r="B782" s="23" t="s">
        <v>824</v>
      </c>
      <c r="D782" t="s">
        <v>780</v>
      </c>
      <c r="E782" t="s">
        <v>781</v>
      </c>
      <c r="F782" s="46" t="s">
        <v>992</v>
      </c>
      <c r="G782" t="s">
        <v>311</v>
      </c>
      <c r="H782" s="23">
        <v>13</v>
      </c>
      <c r="I782" s="23" t="s">
        <v>993</v>
      </c>
      <c r="J782" t="s">
        <v>994</v>
      </c>
      <c r="K782">
        <v>571</v>
      </c>
      <c r="L782">
        <v>790</v>
      </c>
      <c r="M782" s="24">
        <v>552</v>
      </c>
      <c r="N782" s="24">
        <v>836</v>
      </c>
      <c r="O782" s="24">
        <v>450</v>
      </c>
      <c r="P782" s="24">
        <v>728</v>
      </c>
      <c r="Q782">
        <v>537</v>
      </c>
      <c r="R782">
        <v>807</v>
      </c>
      <c r="S782">
        <v>825</v>
      </c>
      <c r="T782">
        <v>1183</v>
      </c>
      <c r="U782">
        <v>1594</v>
      </c>
      <c r="V782">
        <v>2120</v>
      </c>
      <c r="W782">
        <v>1793</v>
      </c>
      <c r="X782">
        <v>3110</v>
      </c>
    </row>
    <row r="783" spans="2:24" x14ac:dyDescent="0.35">
      <c r="B783" s="23" t="s">
        <v>826</v>
      </c>
      <c r="D783" t="s">
        <v>780</v>
      </c>
      <c r="E783" t="s">
        <v>781</v>
      </c>
      <c r="F783" s="46" t="s">
        <v>819</v>
      </c>
      <c r="G783" t="s">
        <v>239</v>
      </c>
      <c r="H783" s="23">
        <v>3</v>
      </c>
      <c r="I783" s="23" t="s">
        <v>815</v>
      </c>
      <c r="J783" t="s">
        <v>323</v>
      </c>
      <c r="K783">
        <v>9243</v>
      </c>
      <c r="L783">
        <v>12256</v>
      </c>
      <c r="M783" s="24">
        <v>7624</v>
      </c>
      <c r="N783" s="24">
        <v>11507</v>
      </c>
      <c r="O783" s="24">
        <v>7677</v>
      </c>
      <c r="P783" s="24">
        <v>11953</v>
      </c>
      <c r="Q783">
        <v>8404</v>
      </c>
      <c r="R783">
        <v>13407</v>
      </c>
      <c r="S783">
        <v>10708</v>
      </c>
      <c r="T783">
        <v>18027</v>
      </c>
      <c r="U783">
        <v>12472</v>
      </c>
      <c r="V783">
        <v>21525</v>
      </c>
      <c r="W783">
        <v>16031</v>
      </c>
      <c r="X783">
        <v>27274</v>
      </c>
    </row>
    <row r="784" spans="2:24" x14ac:dyDescent="0.35">
      <c r="B784" s="23" t="s">
        <v>827</v>
      </c>
      <c r="D784" t="s">
        <v>780</v>
      </c>
      <c r="E784" t="s">
        <v>781</v>
      </c>
      <c r="F784" s="46" t="s">
        <v>803</v>
      </c>
      <c r="G784" t="s">
        <v>235</v>
      </c>
      <c r="H784" s="23">
        <v>2</v>
      </c>
      <c r="I784" s="23" t="s">
        <v>801</v>
      </c>
      <c r="J784" t="s">
        <v>327</v>
      </c>
      <c r="K784">
        <v>2940</v>
      </c>
      <c r="L784">
        <v>4116</v>
      </c>
      <c r="M784" s="24">
        <v>2903</v>
      </c>
      <c r="N784" s="24">
        <v>3850</v>
      </c>
      <c r="O784" s="24">
        <v>2909</v>
      </c>
      <c r="P784" s="24">
        <v>4023</v>
      </c>
      <c r="Q784">
        <v>2565</v>
      </c>
      <c r="R784">
        <v>4405</v>
      </c>
      <c r="S784">
        <v>3624</v>
      </c>
      <c r="T784">
        <v>6013</v>
      </c>
      <c r="U784">
        <v>4602</v>
      </c>
      <c r="V784">
        <v>7659</v>
      </c>
      <c r="W784">
        <v>6910</v>
      </c>
      <c r="X784">
        <v>11553</v>
      </c>
    </row>
    <row r="785" spans="2:24" x14ac:dyDescent="0.35">
      <c r="B785" s="23" t="s">
        <v>829</v>
      </c>
      <c r="D785" t="s">
        <v>780</v>
      </c>
      <c r="E785" t="s">
        <v>781</v>
      </c>
      <c r="F785" s="46" t="s">
        <v>784</v>
      </c>
      <c r="G785" t="s">
        <v>231</v>
      </c>
      <c r="H785" s="23">
        <v>1</v>
      </c>
      <c r="I785" s="23" t="s">
        <v>782</v>
      </c>
      <c r="J785" t="s">
        <v>329</v>
      </c>
      <c r="K785">
        <v>83</v>
      </c>
      <c r="L785">
        <v>115</v>
      </c>
      <c r="M785" s="24">
        <v>102</v>
      </c>
      <c r="N785" s="24">
        <v>110</v>
      </c>
      <c r="O785" s="24">
        <v>88</v>
      </c>
      <c r="P785" s="24">
        <v>103</v>
      </c>
      <c r="Q785">
        <v>93</v>
      </c>
      <c r="R785">
        <v>144</v>
      </c>
      <c r="S785">
        <v>145</v>
      </c>
      <c r="T785">
        <v>190</v>
      </c>
      <c r="U785">
        <v>197</v>
      </c>
      <c r="V785">
        <v>332</v>
      </c>
      <c r="W785">
        <v>442</v>
      </c>
      <c r="X785">
        <v>653</v>
      </c>
    </row>
    <row r="786" spans="2:24" x14ac:dyDescent="0.35">
      <c r="B786" s="23" t="s">
        <v>830</v>
      </c>
      <c r="D786" t="s">
        <v>780</v>
      </c>
      <c r="E786" t="s">
        <v>781</v>
      </c>
      <c r="F786" s="46" t="s">
        <v>820</v>
      </c>
      <c r="G786" t="s">
        <v>239</v>
      </c>
      <c r="H786" s="23">
        <v>3</v>
      </c>
      <c r="I786" s="23" t="s">
        <v>815</v>
      </c>
      <c r="J786" t="s">
        <v>821</v>
      </c>
      <c r="K786">
        <v>14070</v>
      </c>
      <c r="L786">
        <v>16531</v>
      </c>
      <c r="M786" s="24">
        <v>14024</v>
      </c>
      <c r="N786" s="24">
        <v>16398</v>
      </c>
      <c r="O786" s="24">
        <v>13396</v>
      </c>
      <c r="P786" s="24">
        <v>16247</v>
      </c>
      <c r="Q786">
        <v>14796</v>
      </c>
      <c r="R786">
        <v>18465</v>
      </c>
      <c r="S786">
        <v>19734</v>
      </c>
      <c r="T786">
        <v>25566</v>
      </c>
      <c r="U786">
        <v>24773</v>
      </c>
      <c r="V786">
        <v>33764</v>
      </c>
      <c r="W786">
        <v>35602</v>
      </c>
      <c r="X786">
        <v>53291</v>
      </c>
    </row>
    <row r="787" spans="2:24" x14ac:dyDescent="0.35">
      <c r="B787" s="23" t="s">
        <v>832</v>
      </c>
      <c r="D787" t="s">
        <v>780</v>
      </c>
      <c r="E787" t="s">
        <v>781</v>
      </c>
      <c r="F787" s="46" t="s">
        <v>1032</v>
      </c>
      <c r="G787" t="s">
        <v>581</v>
      </c>
      <c r="H787" s="23">
        <v>15</v>
      </c>
      <c r="I787" s="23" t="s">
        <v>1026</v>
      </c>
      <c r="J787" t="s">
        <v>1033</v>
      </c>
      <c r="K787">
        <v>96</v>
      </c>
      <c r="L787">
        <v>117</v>
      </c>
      <c r="M787" s="24">
        <v>97</v>
      </c>
      <c r="N787" s="24">
        <v>116</v>
      </c>
      <c r="O787" s="24">
        <v>81</v>
      </c>
      <c r="P787" s="24">
        <v>108</v>
      </c>
      <c r="Q787">
        <v>95</v>
      </c>
      <c r="R787">
        <v>135</v>
      </c>
      <c r="S787">
        <v>152</v>
      </c>
      <c r="T787">
        <v>215</v>
      </c>
      <c r="U787">
        <v>187</v>
      </c>
      <c r="V787">
        <v>368</v>
      </c>
      <c r="W787">
        <v>546</v>
      </c>
      <c r="X787">
        <v>733</v>
      </c>
    </row>
    <row r="788" spans="2:24" x14ac:dyDescent="0.35">
      <c r="B788" s="23" t="s">
        <v>833</v>
      </c>
      <c r="D788" t="s">
        <v>780</v>
      </c>
      <c r="E788" t="s">
        <v>781</v>
      </c>
      <c r="F788" s="46" t="s">
        <v>822</v>
      </c>
      <c r="G788" t="s">
        <v>239</v>
      </c>
      <c r="H788" s="23">
        <v>3</v>
      </c>
      <c r="I788" s="23" t="s">
        <v>815</v>
      </c>
      <c r="J788" t="s">
        <v>823</v>
      </c>
      <c r="K788">
        <v>34353</v>
      </c>
      <c r="L788">
        <v>45591</v>
      </c>
      <c r="M788" s="24">
        <v>27501</v>
      </c>
      <c r="N788" s="24">
        <v>40320</v>
      </c>
      <c r="O788" s="24">
        <v>26520</v>
      </c>
      <c r="P788" s="24">
        <v>39672</v>
      </c>
      <c r="Q788">
        <v>28943</v>
      </c>
      <c r="R788">
        <v>43700</v>
      </c>
      <c r="S788">
        <v>37285</v>
      </c>
      <c r="T788">
        <v>57686</v>
      </c>
      <c r="U788">
        <v>43291</v>
      </c>
      <c r="V788">
        <v>67871</v>
      </c>
      <c r="W788">
        <v>59022</v>
      </c>
      <c r="X788">
        <v>90357</v>
      </c>
    </row>
    <row r="789" spans="2:24" x14ac:dyDescent="0.35">
      <c r="B789" s="23" t="s">
        <v>835</v>
      </c>
      <c r="D789" t="s">
        <v>780</v>
      </c>
      <c r="E789" t="s">
        <v>781</v>
      </c>
      <c r="F789" s="46" t="s">
        <v>957</v>
      </c>
      <c r="G789" t="s">
        <v>293</v>
      </c>
      <c r="H789" s="23">
        <v>11</v>
      </c>
      <c r="I789" s="23" t="s">
        <v>955</v>
      </c>
      <c r="J789" t="s">
        <v>333</v>
      </c>
      <c r="K789">
        <v>753</v>
      </c>
      <c r="L789">
        <v>933</v>
      </c>
      <c r="M789" s="24">
        <v>832</v>
      </c>
      <c r="N789" s="24">
        <v>1021</v>
      </c>
      <c r="O789" s="24">
        <v>1079</v>
      </c>
      <c r="P789" s="24">
        <v>1277</v>
      </c>
      <c r="Q789">
        <v>1301</v>
      </c>
      <c r="R789">
        <v>1693</v>
      </c>
      <c r="S789">
        <v>2195</v>
      </c>
      <c r="T789">
        <v>2733</v>
      </c>
      <c r="U789">
        <v>2556</v>
      </c>
      <c r="V789">
        <v>3796</v>
      </c>
      <c r="W789">
        <v>3337</v>
      </c>
      <c r="X789">
        <v>5793</v>
      </c>
    </row>
    <row r="790" spans="2:24" x14ac:dyDescent="0.35">
      <c r="B790" s="23" t="s">
        <v>836</v>
      </c>
      <c r="D790" t="s">
        <v>780</v>
      </c>
      <c r="E790" t="s">
        <v>781</v>
      </c>
      <c r="F790" s="46" t="s">
        <v>1034</v>
      </c>
      <c r="G790" t="s">
        <v>581</v>
      </c>
      <c r="H790" s="23">
        <v>15</v>
      </c>
      <c r="I790" s="23" t="s">
        <v>1026</v>
      </c>
      <c r="J790" t="s">
        <v>1035</v>
      </c>
      <c r="K790">
        <v>1221</v>
      </c>
      <c r="L790">
        <v>1524</v>
      </c>
      <c r="M790" s="24">
        <v>1261</v>
      </c>
      <c r="N790" s="24">
        <v>1517</v>
      </c>
      <c r="O790" s="24">
        <v>1278</v>
      </c>
      <c r="P790" s="24">
        <v>1584</v>
      </c>
      <c r="Q790">
        <v>1112</v>
      </c>
      <c r="R790">
        <v>1661</v>
      </c>
      <c r="S790">
        <v>1540</v>
      </c>
      <c r="T790">
        <v>2249</v>
      </c>
      <c r="U790">
        <v>1854</v>
      </c>
      <c r="V790">
        <v>3422</v>
      </c>
      <c r="W790">
        <v>4731</v>
      </c>
      <c r="X790">
        <v>6194</v>
      </c>
    </row>
    <row r="791" spans="2:24" x14ac:dyDescent="0.35">
      <c r="B791" s="23" t="s">
        <v>838</v>
      </c>
      <c r="D791" t="s">
        <v>780</v>
      </c>
      <c r="E791" t="s">
        <v>781</v>
      </c>
      <c r="F791" s="46" t="s">
        <v>857</v>
      </c>
      <c r="G791" t="s">
        <v>259</v>
      </c>
      <c r="H791" s="23">
        <v>5</v>
      </c>
      <c r="I791" s="23" t="s">
        <v>855</v>
      </c>
      <c r="J791" t="s">
        <v>508</v>
      </c>
      <c r="K791">
        <v>3980</v>
      </c>
      <c r="L791">
        <v>5040</v>
      </c>
      <c r="M791" s="24">
        <v>3847</v>
      </c>
      <c r="N791" s="24">
        <v>4951</v>
      </c>
      <c r="O791" s="24">
        <v>3263</v>
      </c>
      <c r="P791" s="24">
        <v>5076</v>
      </c>
      <c r="Q791">
        <v>3126</v>
      </c>
      <c r="R791">
        <v>5000</v>
      </c>
      <c r="S791">
        <v>4165</v>
      </c>
      <c r="T791">
        <v>6402</v>
      </c>
      <c r="U791">
        <v>5341</v>
      </c>
      <c r="V791">
        <v>8226</v>
      </c>
      <c r="W791">
        <v>7581</v>
      </c>
      <c r="X791">
        <v>11384</v>
      </c>
    </row>
    <row r="792" spans="2:24" x14ac:dyDescent="0.35">
      <c r="B792" s="23" t="s">
        <v>839</v>
      </c>
      <c r="D792" t="s">
        <v>780</v>
      </c>
      <c r="E792" t="s">
        <v>781</v>
      </c>
      <c r="F792" s="46" t="s">
        <v>1036</v>
      </c>
      <c r="G792" t="s">
        <v>581</v>
      </c>
      <c r="H792" s="23">
        <v>15</v>
      </c>
      <c r="I792" s="23" t="s">
        <v>1026</v>
      </c>
      <c r="J792" t="s">
        <v>1037</v>
      </c>
      <c r="K792">
        <v>436</v>
      </c>
      <c r="L792">
        <v>544</v>
      </c>
      <c r="M792" s="24">
        <v>431</v>
      </c>
      <c r="N792" s="24">
        <v>512</v>
      </c>
      <c r="O792" s="24">
        <v>414</v>
      </c>
      <c r="P792" s="24">
        <v>511</v>
      </c>
      <c r="Q792">
        <v>393</v>
      </c>
      <c r="R792">
        <v>542</v>
      </c>
      <c r="S792">
        <v>463</v>
      </c>
      <c r="T792">
        <v>688</v>
      </c>
      <c r="U792">
        <v>492</v>
      </c>
      <c r="V792">
        <v>1005</v>
      </c>
      <c r="W792">
        <v>1822</v>
      </c>
      <c r="X792">
        <v>2390</v>
      </c>
    </row>
    <row r="793" spans="2:24" x14ac:dyDescent="0.35">
      <c r="B793" s="23" t="s">
        <v>840</v>
      </c>
      <c r="D793" t="s">
        <v>780</v>
      </c>
      <c r="E793" t="s">
        <v>781</v>
      </c>
      <c r="F793" s="46" t="s">
        <v>824</v>
      </c>
      <c r="G793" t="s">
        <v>239</v>
      </c>
      <c r="H793" s="23">
        <v>3</v>
      </c>
      <c r="I793" s="23" t="s">
        <v>815</v>
      </c>
      <c r="J793" t="s">
        <v>825</v>
      </c>
      <c r="K793">
        <v>4044</v>
      </c>
      <c r="L793">
        <v>4887</v>
      </c>
      <c r="M793" s="24">
        <v>2826</v>
      </c>
      <c r="N793" s="24">
        <v>4290</v>
      </c>
      <c r="O793" s="24">
        <v>1888</v>
      </c>
      <c r="P793" s="24">
        <v>3770</v>
      </c>
      <c r="Q793">
        <v>2259</v>
      </c>
      <c r="R793">
        <v>4140</v>
      </c>
      <c r="S793">
        <v>3742</v>
      </c>
      <c r="T793">
        <v>6341</v>
      </c>
      <c r="U793">
        <v>4736</v>
      </c>
      <c r="V793">
        <v>8056</v>
      </c>
      <c r="W793">
        <v>7828</v>
      </c>
      <c r="X793">
        <v>12360</v>
      </c>
    </row>
    <row r="794" spans="2:24" x14ac:dyDescent="0.35">
      <c r="B794" s="23" t="s">
        <v>842</v>
      </c>
      <c r="D794" t="s">
        <v>780</v>
      </c>
      <c r="E794" t="s">
        <v>781</v>
      </c>
      <c r="F794" s="46" t="s">
        <v>976</v>
      </c>
      <c r="G794" t="s">
        <v>303</v>
      </c>
      <c r="H794" s="23">
        <v>12</v>
      </c>
      <c r="I794" s="23" t="s">
        <v>973</v>
      </c>
      <c r="J794" t="s">
        <v>526</v>
      </c>
      <c r="K794">
        <v>334</v>
      </c>
      <c r="L794">
        <v>402</v>
      </c>
      <c r="M794" s="24">
        <v>314</v>
      </c>
      <c r="N794" s="24">
        <v>367</v>
      </c>
      <c r="O794" s="24">
        <v>252</v>
      </c>
      <c r="P794" s="24">
        <v>341</v>
      </c>
      <c r="Q794">
        <v>233</v>
      </c>
      <c r="R794">
        <v>303</v>
      </c>
      <c r="S794">
        <v>401</v>
      </c>
      <c r="T794">
        <v>524</v>
      </c>
      <c r="U794">
        <v>704</v>
      </c>
      <c r="V794">
        <v>911</v>
      </c>
      <c r="W794">
        <v>1362</v>
      </c>
      <c r="X794">
        <v>1676</v>
      </c>
    </row>
    <row r="795" spans="2:24" x14ac:dyDescent="0.35">
      <c r="B795" s="23" t="s">
        <v>843</v>
      </c>
      <c r="D795" t="s">
        <v>780</v>
      </c>
      <c r="E795" t="s">
        <v>781</v>
      </c>
      <c r="F795" s="46" t="s">
        <v>785</v>
      </c>
      <c r="G795" t="s">
        <v>231</v>
      </c>
      <c r="H795" s="23">
        <v>1</v>
      </c>
      <c r="I795" s="23" t="s">
        <v>782</v>
      </c>
      <c r="J795" t="s">
        <v>786</v>
      </c>
      <c r="K795">
        <v>601</v>
      </c>
      <c r="L795">
        <v>784</v>
      </c>
      <c r="M795" s="24">
        <v>658</v>
      </c>
      <c r="N795" s="24">
        <v>798</v>
      </c>
      <c r="O795" s="24">
        <v>696</v>
      </c>
      <c r="P795" s="24">
        <v>833</v>
      </c>
      <c r="Q795">
        <v>650</v>
      </c>
      <c r="R795">
        <v>967</v>
      </c>
      <c r="S795">
        <v>963</v>
      </c>
      <c r="T795">
        <v>1269</v>
      </c>
      <c r="U795">
        <v>1118</v>
      </c>
      <c r="V795">
        <v>1778</v>
      </c>
      <c r="W795">
        <v>2242</v>
      </c>
      <c r="X795">
        <v>3290</v>
      </c>
    </row>
    <row r="796" spans="2:24" x14ac:dyDescent="0.35">
      <c r="B796" s="23" t="s">
        <v>845</v>
      </c>
      <c r="D796" t="s">
        <v>780</v>
      </c>
      <c r="E796" t="s">
        <v>781</v>
      </c>
      <c r="F796" s="46" t="s">
        <v>898</v>
      </c>
      <c r="G796" t="s">
        <v>273</v>
      </c>
      <c r="H796" s="23">
        <v>7</v>
      </c>
      <c r="I796" s="23" t="s">
        <v>896</v>
      </c>
      <c r="J796" t="s">
        <v>899</v>
      </c>
      <c r="K796">
        <v>339</v>
      </c>
      <c r="L796">
        <v>525</v>
      </c>
      <c r="M796" s="24">
        <v>387</v>
      </c>
      <c r="N796" s="24">
        <v>524</v>
      </c>
      <c r="O796" s="24">
        <v>333</v>
      </c>
      <c r="P796" s="24">
        <v>458</v>
      </c>
      <c r="Q796">
        <v>310</v>
      </c>
      <c r="R796">
        <v>480</v>
      </c>
      <c r="S796">
        <v>378</v>
      </c>
      <c r="T796">
        <v>605</v>
      </c>
      <c r="U796">
        <v>807</v>
      </c>
      <c r="V796">
        <v>1099</v>
      </c>
      <c r="W796">
        <v>964</v>
      </c>
      <c r="X796">
        <v>1305</v>
      </c>
    </row>
    <row r="797" spans="2:24" x14ac:dyDescent="0.35">
      <c r="B797" s="23" t="s">
        <v>847</v>
      </c>
      <c r="D797" t="s">
        <v>780</v>
      </c>
      <c r="E797" t="s">
        <v>781</v>
      </c>
      <c r="F797" s="46" t="s">
        <v>935</v>
      </c>
      <c r="G797" t="s">
        <v>289</v>
      </c>
      <c r="H797" s="23">
        <v>10</v>
      </c>
      <c r="I797" s="23" t="s">
        <v>933</v>
      </c>
      <c r="J797" t="s">
        <v>936</v>
      </c>
      <c r="K797">
        <v>754</v>
      </c>
      <c r="L797">
        <v>1305</v>
      </c>
      <c r="M797" s="24">
        <v>590</v>
      </c>
      <c r="N797" s="24">
        <v>1268</v>
      </c>
      <c r="O797" s="24">
        <v>566</v>
      </c>
      <c r="P797" s="24">
        <v>1142</v>
      </c>
      <c r="Q797">
        <v>600</v>
      </c>
      <c r="R797">
        <v>1200</v>
      </c>
      <c r="S797">
        <v>937</v>
      </c>
      <c r="T797">
        <v>1724</v>
      </c>
      <c r="U797">
        <v>1310</v>
      </c>
      <c r="V797">
        <v>2178</v>
      </c>
      <c r="W797">
        <v>1590</v>
      </c>
      <c r="X797">
        <v>2977</v>
      </c>
    </row>
    <row r="798" spans="2:24" x14ac:dyDescent="0.35">
      <c r="B798" s="23" t="s">
        <v>848</v>
      </c>
      <c r="D798" t="s">
        <v>780</v>
      </c>
      <c r="E798" t="s">
        <v>781</v>
      </c>
      <c r="F798" s="46" t="s">
        <v>1038</v>
      </c>
      <c r="G798" t="s">
        <v>581</v>
      </c>
      <c r="H798" s="23">
        <v>15</v>
      </c>
      <c r="I798" s="23" t="s">
        <v>1026</v>
      </c>
      <c r="J798" t="s">
        <v>1039</v>
      </c>
      <c r="K798">
        <v>902</v>
      </c>
      <c r="L798">
        <v>1136</v>
      </c>
      <c r="M798" s="24">
        <v>908</v>
      </c>
      <c r="N798" s="24">
        <v>1093</v>
      </c>
      <c r="O798" s="24">
        <v>858</v>
      </c>
      <c r="P798" s="24">
        <v>1104</v>
      </c>
      <c r="Q798">
        <v>680</v>
      </c>
      <c r="R798">
        <v>1018</v>
      </c>
      <c r="S798">
        <v>930</v>
      </c>
      <c r="T798">
        <v>1511</v>
      </c>
      <c r="U798">
        <v>1130</v>
      </c>
      <c r="V798">
        <v>2411</v>
      </c>
      <c r="W798">
        <v>3455</v>
      </c>
      <c r="X798">
        <v>4616</v>
      </c>
    </row>
    <row r="799" spans="2:24" x14ac:dyDescent="0.35">
      <c r="B799" s="23" t="s">
        <v>850</v>
      </c>
      <c r="D799" t="s">
        <v>780</v>
      </c>
      <c r="E799" t="s">
        <v>781</v>
      </c>
      <c r="F799" s="46" t="s">
        <v>826</v>
      </c>
      <c r="G799" t="s">
        <v>239</v>
      </c>
      <c r="H799" s="23">
        <v>3</v>
      </c>
      <c r="I799" s="23" t="s">
        <v>815</v>
      </c>
      <c r="J799" t="s">
        <v>349</v>
      </c>
      <c r="K799">
        <v>32304</v>
      </c>
      <c r="L799">
        <v>42070</v>
      </c>
      <c r="M799" s="24">
        <v>27869</v>
      </c>
      <c r="N799" s="24">
        <v>39135</v>
      </c>
      <c r="O799" s="24">
        <v>28581</v>
      </c>
      <c r="P799" s="24">
        <v>39952</v>
      </c>
      <c r="Q799">
        <v>33132</v>
      </c>
      <c r="R799">
        <v>46803</v>
      </c>
      <c r="S799">
        <v>44116</v>
      </c>
      <c r="T799">
        <v>63055</v>
      </c>
      <c r="U799">
        <v>50586</v>
      </c>
      <c r="V799">
        <v>76245</v>
      </c>
      <c r="W799">
        <v>71624</v>
      </c>
      <c r="X799">
        <v>111232</v>
      </c>
    </row>
    <row r="800" spans="2:24" x14ac:dyDescent="0.35">
      <c r="B800" s="23" t="s">
        <v>852</v>
      </c>
      <c r="D800" t="s">
        <v>780</v>
      </c>
      <c r="E800" t="s">
        <v>781</v>
      </c>
      <c r="F800" s="46" t="s">
        <v>977</v>
      </c>
      <c r="G800" t="s">
        <v>303</v>
      </c>
      <c r="H800" s="23">
        <v>12</v>
      </c>
      <c r="I800" s="23" t="s">
        <v>973</v>
      </c>
      <c r="J800" t="s">
        <v>978</v>
      </c>
      <c r="K800">
        <v>594</v>
      </c>
      <c r="L800">
        <v>652</v>
      </c>
      <c r="M800" s="24">
        <v>622</v>
      </c>
      <c r="N800" s="24">
        <v>697</v>
      </c>
      <c r="O800" s="24">
        <v>624</v>
      </c>
      <c r="P800" s="24">
        <v>728</v>
      </c>
      <c r="Q800">
        <v>733</v>
      </c>
      <c r="R800">
        <v>854</v>
      </c>
      <c r="S800">
        <v>981</v>
      </c>
      <c r="T800">
        <v>1204</v>
      </c>
      <c r="U800">
        <v>1494</v>
      </c>
      <c r="V800">
        <v>1825</v>
      </c>
      <c r="W800">
        <v>2534</v>
      </c>
      <c r="X800">
        <v>2972</v>
      </c>
    </row>
    <row r="801" spans="2:24" x14ac:dyDescent="0.35">
      <c r="B801" s="23" t="s">
        <v>854</v>
      </c>
      <c r="D801" t="s">
        <v>780</v>
      </c>
      <c r="E801" t="s">
        <v>781</v>
      </c>
      <c r="F801" s="46" t="s">
        <v>979</v>
      </c>
      <c r="G801" t="s">
        <v>303</v>
      </c>
      <c r="H801" s="23">
        <v>12</v>
      </c>
      <c r="I801" s="23" t="s">
        <v>973</v>
      </c>
      <c r="J801" t="s">
        <v>980</v>
      </c>
      <c r="K801">
        <v>270</v>
      </c>
      <c r="L801">
        <v>321</v>
      </c>
      <c r="M801" s="24">
        <v>288</v>
      </c>
      <c r="N801" s="24">
        <v>325</v>
      </c>
      <c r="O801" s="24">
        <v>284</v>
      </c>
      <c r="P801" s="24">
        <v>337</v>
      </c>
      <c r="Q801">
        <v>239</v>
      </c>
      <c r="R801">
        <v>337</v>
      </c>
      <c r="S801">
        <v>377</v>
      </c>
      <c r="T801">
        <v>511</v>
      </c>
      <c r="U801">
        <v>622</v>
      </c>
      <c r="V801">
        <v>788</v>
      </c>
      <c r="W801">
        <v>1075</v>
      </c>
      <c r="X801">
        <v>1319</v>
      </c>
    </row>
    <row r="802" spans="2:24" x14ac:dyDescent="0.35">
      <c r="B802" s="23" t="s">
        <v>857</v>
      </c>
      <c r="D802" t="s">
        <v>780</v>
      </c>
      <c r="E802" t="s">
        <v>781</v>
      </c>
      <c r="F802" s="46" t="s">
        <v>787</v>
      </c>
      <c r="G802" t="s">
        <v>231</v>
      </c>
      <c r="H802" s="23">
        <v>1</v>
      </c>
      <c r="I802" s="23" t="s">
        <v>782</v>
      </c>
      <c r="J802" t="s">
        <v>788</v>
      </c>
      <c r="K802">
        <v>2213</v>
      </c>
      <c r="L802">
        <v>2838</v>
      </c>
      <c r="M802" s="24">
        <v>2313</v>
      </c>
      <c r="N802" s="24">
        <v>2716</v>
      </c>
      <c r="O802" s="24">
        <v>2311</v>
      </c>
      <c r="P802" s="24">
        <v>2781</v>
      </c>
      <c r="Q802">
        <v>2254</v>
      </c>
      <c r="R802">
        <v>3243</v>
      </c>
      <c r="S802">
        <v>3673</v>
      </c>
      <c r="T802">
        <v>5039</v>
      </c>
      <c r="U802">
        <v>4142</v>
      </c>
      <c r="V802">
        <v>6893</v>
      </c>
      <c r="W802">
        <v>8556</v>
      </c>
      <c r="X802">
        <v>13151</v>
      </c>
    </row>
    <row r="803" spans="2:24" x14ac:dyDescent="0.35">
      <c r="B803" s="23" t="s">
        <v>858</v>
      </c>
      <c r="D803" t="s">
        <v>780</v>
      </c>
      <c r="E803" t="s">
        <v>781</v>
      </c>
      <c r="F803" s="46" t="s">
        <v>827</v>
      </c>
      <c r="G803" t="s">
        <v>239</v>
      </c>
      <c r="H803" s="23">
        <v>3</v>
      </c>
      <c r="I803" s="23" t="s">
        <v>815</v>
      </c>
      <c r="J803" t="s">
        <v>828</v>
      </c>
      <c r="K803">
        <v>5981</v>
      </c>
      <c r="L803">
        <v>7466</v>
      </c>
      <c r="M803" s="24">
        <v>5129</v>
      </c>
      <c r="N803" s="24">
        <v>6703</v>
      </c>
      <c r="O803" s="24">
        <v>4898</v>
      </c>
      <c r="P803" s="24">
        <v>6568</v>
      </c>
      <c r="Q803">
        <v>5368</v>
      </c>
      <c r="R803">
        <v>7501</v>
      </c>
      <c r="S803">
        <v>7468</v>
      </c>
      <c r="T803">
        <v>10334</v>
      </c>
      <c r="U803">
        <v>8813</v>
      </c>
      <c r="V803">
        <v>12652</v>
      </c>
      <c r="W803">
        <v>12442</v>
      </c>
      <c r="X803">
        <v>18673</v>
      </c>
    </row>
    <row r="804" spans="2:24" x14ac:dyDescent="0.35">
      <c r="B804" s="23" t="s">
        <v>860</v>
      </c>
      <c r="D804" t="s">
        <v>780</v>
      </c>
      <c r="E804" t="s">
        <v>781</v>
      </c>
      <c r="F804" s="46" t="s">
        <v>1040</v>
      </c>
      <c r="G804" t="s">
        <v>581</v>
      </c>
      <c r="H804" s="23">
        <v>15</v>
      </c>
      <c r="I804" s="23" t="s">
        <v>1026</v>
      </c>
      <c r="J804" t="s">
        <v>1041</v>
      </c>
      <c r="K804">
        <v>322</v>
      </c>
      <c r="L804">
        <v>355</v>
      </c>
      <c r="M804" s="24">
        <v>342</v>
      </c>
      <c r="N804" s="24">
        <v>383</v>
      </c>
      <c r="O804" s="24">
        <v>324</v>
      </c>
      <c r="P804" s="24">
        <v>376</v>
      </c>
      <c r="Q804">
        <v>290</v>
      </c>
      <c r="R804">
        <v>361</v>
      </c>
      <c r="S804">
        <v>343</v>
      </c>
      <c r="T804">
        <v>496</v>
      </c>
      <c r="U804">
        <v>337</v>
      </c>
      <c r="V804">
        <v>654</v>
      </c>
      <c r="W804">
        <v>860</v>
      </c>
      <c r="X804">
        <v>1162</v>
      </c>
    </row>
    <row r="805" spans="2:24" x14ac:dyDescent="0.35">
      <c r="B805" s="23" t="s">
        <v>862</v>
      </c>
      <c r="D805" t="s">
        <v>780</v>
      </c>
      <c r="E805" t="s">
        <v>781</v>
      </c>
      <c r="F805" s="46" t="s">
        <v>1042</v>
      </c>
      <c r="G805" t="s">
        <v>581</v>
      </c>
      <c r="H805" s="23">
        <v>15</v>
      </c>
      <c r="I805" s="23" t="s">
        <v>1026</v>
      </c>
      <c r="J805" t="s">
        <v>1043</v>
      </c>
      <c r="K805">
        <v>48</v>
      </c>
      <c r="L805">
        <v>67</v>
      </c>
      <c r="M805" s="24">
        <v>46</v>
      </c>
      <c r="N805" s="24">
        <v>59</v>
      </c>
      <c r="O805" s="24">
        <v>48</v>
      </c>
      <c r="P805" s="24">
        <v>61</v>
      </c>
      <c r="Q805">
        <v>49</v>
      </c>
      <c r="R805">
        <v>66</v>
      </c>
      <c r="S805">
        <v>48</v>
      </c>
      <c r="T805">
        <v>82</v>
      </c>
      <c r="U805">
        <v>84</v>
      </c>
      <c r="V805">
        <v>211</v>
      </c>
      <c r="W805">
        <v>230</v>
      </c>
      <c r="X805">
        <v>329</v>
      </c>
    </row>
    <row r="806" spans="2:24" x14ac:dyDescent="0.35">
      <c r="B806" s="23" t="s">
        <v>863</v>
      </c>
      <c r="D806" t="s">
        <v>780</v>
      </c>
      <c r="E806" t="s">
        <v>781</v>
      </c>
      <c r="F806" s="46" t="s">
        <v>1014</v>
      </c>
      <c r="G806" t="s">
        <v>577</v>
      </c>
      <c r="H806" s="23">
        <v>14</v>
      </c>
      <c r="I806" s="23" t="s">
        <v>1004</v>
      </c>
      <c r="J806" t="s">
        <v>1015</v>
      </c>
      <c r="K806">
        <v>1787</v>
      </c>
      <c r="L806">
        <v>2161</v>
      </c>
      <c r="M806" s="24">
        <v>1758</v>
      </c>
      <c r="N806" s="24">
        <v>2154</v>
      </c>
      <c r="O806" s="24">
        <v>1531</v>
      </c>
      <c r="P806" s="24">
        <v>2113</v>
      </c>
      <c r="Q806">
        <v>1464</v>
      </c>
      <c r="R806">
        <v>2368</v>
      </c>
      <c r="S806">
        <v>1940</v>
      </c>
      <c r="T806">
        <v>3232</v>
      </c>
      <c r="U806">
        <v>2322</v>
      </c>
      <c r="V806">
        <v>3900</v>
      </c>
      <c r="W806">
        <v>3043</v>
      </c>
      <c r="X806">
        <v>5274</v>
      </c>
    </row>
    <row r="807" spans="2:24" x14ac:dyDescent="0.35">
      <c r="B807" s="23" t="s">
        <v>865</v>
      </c>
      <c r="D807" t="s">
        <v>780</v>
      </c>
      <c r="E807" t="s">
        <v>781</v>
      </c>
      <c r="F807" s="46" t="s">
        <v>804</v>
      </c>
      <c r="G807" t="s">
        <v>235</v>
      </c>
      <c r="H807" s="23">
        <v>2</v>
      </c>
      <c r="I807" s="23" t="s">
        <v>801</v>
      </c>
      <c r="J807" t="s">
        <v>805</v>
      </c>
      <c r="K807">
        <v>607</v>
      </c>
      <c r="L807">
        <v>698</v>
      </c>
      <c r="M807" s="24">
        <v>564</v>
      </c>
      <c r="N807" s="24">
        <v>641</v>
      </c>
      <c r="O807" s="24">
        <v>548</v>
      </c>
      <c r="P807" s="24">
        <v>645</v>
      </c>
      <c r="Q807">
        <v>455</v>
      </c>
      <c r="R807">
        <v>656</v>
      </c>
      <c r="S807">
        <v>615</v>
      </c>
      <c r="T807">
        <v>934</v>
      </c>
      <c r="U807">
        <v>755</v>
      </c>
      <c r="V807">
        <v>1254</v>
      </c>
      <c r="W807">
        <v>1321</v>
      </c>
      <c r="X807">
        <v>2185</v>
      </c>
    </row>
    <row r="808" spans="2:24" x14ac:dyDescent="0.35">
      <c r="B808" s="23" t="s">
        <v>866</v>
      </c>
      <c r="D808" t="s">
        <v>780</v>
      </c>
      <c r="E808" t="s">
        <v>781</v>
      </c>
      <c r="F808" s="46" t="s">
        <v>858</v>
      </c>
      <c r="G808" t="s">
        <v>259</v>
      </c>
      <c r="H808" s="23">
        <v>5</v>
      </c>
      <c r="I808" s="23" t="s">
        <v>855</v>
      </c>
      <c r="J808" t="s">
        <v>859</v>
      </c>
      <c r="K808">
        <v>889</v>
      </c>
      <c r="L808">
        <v>1018</v>
      </c>
      <c r="M808" s="24">
        <v>905</v>
      </c>
      <c r="N808" s="24">
        <v>1066</v>
      </c>
      <c r="O808" s="24">
        <v>1000</v>
      </c>
      <c r="P808" s="24">
        <v>1181</v>
      </c>
      <c r="Q808">
        <v>969</v>
      </c>
      <c r="R808">
        <v>1169</v>
      </c>
      <c r="S808">
        <v>1316</v>
      </c>
      <c r="T808">
        <v>1792</v>
      </c>
      <c r="U808">
        <v>1783</v>
      </c>
      <c r="V808">
        <v>2496</v>
      </c>
      <c r="W808">
        <v>3049</v>
      </c>
      <c r="X808">
        <v>4072</v>
      </c>
    </row>
    <row r="809" spans="2:24" x14ac:dyDescent="0.35">
      <c r="B809" s="23" t="s">
        <v>868</v>
      </c>
      <c r="D809" t="s">
        <v>780</v>
      </c>
      <c r="E809" t="s">
        <v>781</v>
      </c>
      <c r="F809" s="46" t="s">
        <v>1016</v>
      </c>
      <c r="G809" t="s">
        <v>577</v>
      </c>
      <c r="H809" s="23">
        <v>14</v>
      </c>
      <c r="I809" s="23" t="s">
        <v>1004</v>
      </c>
      <c r="J809" t="s">
        <v>1017</v>
      </c>
      <c r="K809">
        <v>299</v>
      </c>
      <c r="L809">
        <v>337</v>
      </c>
      <c r="M809" s="24">
        <v>335</v>
      </c>
      <c r="N809" s="24">
        <v>381</v>
      </c>
      <c r="O809" s="24">
        <v>328</v>
      </c>
      <c r="P809" s="24">
        <v>400</v>
      </c>
      <c r="Q809">
        <v>319</v>
      </c>
      <c r="R809">
        <v>457</v>
      </c>
      <c r="S809">
        <v>444</v>
      </c>
      <c r="T809">
        <v>637</v>
      </c>
      <c r="U809">
        <v>548</v>
      </c>
      <c r="V809">
        <v>828</v>
      </c>
      <c r="W809">
        <v>785</v>
      </c>
      <c r="X809">
        <v>1380</v>
      </c>
    </row>
    <row r="810" spans="2:24" x14ac:dyDescent="0.35">
      <c r="B810" s="23" t="s">
        <v>870</v>
      </c>
      <c r="D810" t="s">
        <v>780</v>
      </c>
      <c r="E810" t="s">
        <v>781</v>
      </c>
      <c r="F810" s="46" t="s">
        <v>925</v>
      </c>
      <c r="G810" t="s">
        <v>283</v>
      </c>
      <c r="H810" s="23">
        <v>9</v>
      </c>
      <c r="I810" s="23" t="s">
        <v>926</v>
      </c>
      <c r="J810" t="s">
        <v>927</v>
      </c>
      <c r="K810">
        <v>938</v>
      </c>
      <c r="L810">
        <v>1622</v>
      </c>
      <c r="M810" s="24">
        <v>801</v>
      </c>
      <c r="N810" s="24">
        <v>1645</v>
      </c>
      <c r="O810" s="24">
        <v>889</v>
      </c>
      <c r="P810" s="24">
        <v>1512</v>
      </c>
      <c r="Q810">
        <v>906</v>
      </c>
      <c r="R810">
        <v>1484</v>
      </c>
      <c r="S810">
        <v>1114</v>
      </c>
      <c r="T810">
        <v>1845</v>
      </c>
      <c r="U810">
        <v>1415</v>
      </c>
      <c r="V810">
        <v>2315</v>
      </c>
      <c r="W810">
        <v>2078</v>
      </c>
      <c r="X810">
        <v>3217</v>
      </c>
    </row>
    <row r="811" spans="2:24" x14ac:dyDescent="0.35">
      <c r="B811" s="23" t="s">
        <v>872</v>
      </c>
      <c r="D811" t="s">
        <v>780</v>
      </c>
      <c r="E811" t="s">
        <v>781</v>
      </c>
      <c r="F811" s="46" t="s">
        <v>829</v>
      </c>
      <c r="G811" t="s">
        <v>239</v>
      </c>
      <c r="H811" s="23">
        <v>3</v>
      </c>
      <c r="I811" s="23" t="s">
        <v>815</v>
      </c>
      <c r="J811" t="s">
        <v>353</v>
      </c>
      <c r="K811">
        <v>3621</v>
      </c>
      <c r="L811">
        <v>4717</v>
      </c>
      <c r="M811" s="24">
        <v>3170</v>
      </c>
      <c r="N811" s="24">
        <v>4493</v>
      </c>
      <c r="O811" s="24">
        <v>3247</v>
      </c>
      <c r="P811" s="24">
        <v>4639</v>
      </c>
      <c r="Q811">
        <v>3527</v>
      </c>
      <c r="R811">
        <v>5225</v>
      </c>
      <c r="S811">
        <v>4329</v>
      </c>
      <c r="T811">
        <v>6783</v>
      </c>
      <c r="U811">
        <v>4630</v>
      </c>
      <c r="V811">
        <v>7557</v>
      </c>
      <c r="W811">
        <v>6420</v>
      </c>
      <c r="X811">
        <v>10001</v>
      </c>
    </row>
    <row r="812" spans="2:24" x14ac:dyDescent="0.35">
      <c r="B812" s="23" t="s">
        <v>874</v>
      </c>
      <c r="D812" t="s">
        <v>780</v>
      </c>
      <c r="E812" t="s">
        <v>781</v>
      </c>
      <c r="F812" s="46" t="s">
        <v>995</v>
      </c>
      <c r="G812" t="s">
        <v>311</v>
      </c>
      <c r="H812" s="23">
        <v>13</v>
      </c>
      <c r="I812" s="23" t="s">
        <v>993</v>
      </c>
      <c r="J812" t="s">
        <v>996</v>
      </c>
      <c r="K812">
        <v>2139</v>
      </c>
      <c r="L812">
        <v>3482</v>
      </c>
      <c r="M812" s="24">
        <v>1704</v>
      </c>
      <c r="N812" s="24">
        <v>3313</v>
      </c>
      <c r="O812" s="24">
        <v>1780</v>
      </c>
      <c r="P812" s="24">
        <v>3145</v>
      </c>
      <c r="Q812">
        <v>2152</v>
      </c>
      <c r="R812">
        <v>3360</v>
      </c>
      <c r="S812">
        <v>2981</v>
      </c>
      <c r="T812">
        <v>4368</v>
      </c>
      <c r="U812">
        <v>4648</v>
      </c>
      <c r="V812">
        <v>6701</v>
      </c>
      <c r="W812">
        <v>5719</v>
      </c>
      <c r="X812">
        <v>10008</v>
      </c>
    </row>
    <row r="813" spans="2:24" x14ac:dyDescent="0.35">
      <c r="B813" s="23" t="s">
        <v>876</v>
      </c>
      <c r="D813" t="s">
        <v>780</v>
      </c>
      <c r="E813" t="s">
        <v>781</v>
      </c>
      <c r="F813" s="46" t="s">
        <v>830</v>
      </c>
      <c r="G813" t="s">
        <v>239</v>
      </c>
      <c r="H813" s="23">
        <v>3</v>
      </c>
      <c r="I813" s="23" t="s">
        <v>815</v>
      </c>
      <c r="J813" t="s">
        <v>831</v>
      </c>
      <c r="K813">
        <v>8525</v>
      </c>
      <c r="L813">
        <v>11597</v>
      </c>
      <c r="M813" s="24">
        <v>7242</v>
      </c>
      <c r="N813" s="24">
        <v>10937</v>
      </c>
      <c r="O813" s="24">
        <v>7229</v>
      </c>
      <c r="P813" s="24">
        <v>11303</v>
      </c>
      <c r="Q813">
        <v>7864</v>
      </c>
      <c r="R813">
        <v>12499</v>
      </c>
      <c r="S813">
        <v>9282</v>
      </c>
      <c r="T813">
        <v>15867</v>
      </c>
      <c r="U813">
        <v>9949</v>
      </c>
      <c r="V813">
        <v>17610</v>
      </c>
      <c r="W813">
        <v>12166</v>
      </c>
      <c r="X813">
        <v>21168</v>
      </c>
    </row>
    <row r="814" spans="2:24" x14ac:dyDescent="0.35">
      <c r="B814" s="23" t="s">
        <v>879</v>
      </c>
      <c r="D814" t="s">
        <v>780</v>
      </c>
      <c r="E814" t="s">
        <v>781</v>
      </c>
      <c r="F814" s="46" t="s">
        <v>937</v>
      </c>
      <c r="G814" t="s">
        <v>289</v>
      </c>
      <c r="H814" s="23">
        <v>10</v>
      </c>
      <c r="I814" s="23" t="s">
        <v>933</v>
      </c>
      <c r="J814" t="s">
        <v>355</v>
      </c>
      <c r="K814">
        <v>572</v>
      </c>
      <c r="L814">
        <v>860</v>
      </c>
      <c r="M814" s="24">
        <v>550</v>
      </c>
      <c r="N814" s="24">
        <v>922</v>
      </c>
      <c r="O814" s="24">
        <v>475</v>
      </c>
      <c r="P814" s="24">
        <v>813</v>
      </c>
      <c r="Q814">
        <v>525</v>
      </c>
      <c r="R814">
        <v>865</v>
      </c>
      <c r="S814">
        <v>688</v>
      </c>
      <c r="T814">
        <v>1095</v>
      </c>
      <c r="U814">
        <v>1088</v>
      </c>
      <c r="V814">
        <v>1601</v>
      </c>
      <c r="W814">
        <v>2132</v>
      </c>
      <c r="X814">
        <v>2907</v>
      </c>
    </row>
    <row r="815" spans="2:24" x14ac:dyDescent="0.35">
      <c r="B815" s="23" t="s">
        <v>881</v>
      </c>
      <c r="D815" t="s">
        <v>780</v>
      </c>
      <c r="E815" t="s">
        <v>781</v>
      </c>
      <c r="F815" s="46" t="s">
        <v>832</v>
      </c>
      <c r="G815" t="s">
        <v>239</v>
      </c>
      <c r="H815" s="23">
        <v>3</v>
      </c>
      <c r="I815" s="23" t="s">
        <v>815</v>
      </c>
      <c r="J815" t="s">
        <v>422</v>
      </c>
      <c r="K815">
        <v>36376</v>
      </c>
      <c r="L815">
        <v>51097</v>
      </c>
      <c r="M815" s="24">
        <v>29755</v>
      </c>
      <c r="N815" s="24">
        <v>46521</v>
      </c>
      <c r="O815" s="24">
        <v>28860</v>
      </c>
      <c r="P815" s="24">
        <v>46577</v>
      </c>
      <c r="Q815">
        <v>32912</v>
      </c>
      <c r="R815">
        <v>54480</v>
      </c>
      <c r="S815">
        <v>44056</v>
      </c>
      <c r="T815">
        <v>72946</v>
      </c>
      <c r="U815">
        <v>52293</v>
      </c>
      <c r="V815">
        <v>88493</v>
      </c>
      <c r="W815">
        <v>75395</v>
      </c>
      <c r="X815">
        <v>130906</v>
      </c>
    </row>
    <row r="816" spans="2:24" x14ac:dyDescent="0.35">
      <c r="B816" s="23" t="s">
        <v>883</v>
      </c>
      <c r="D816" t="s">
        <v>780</v>
      </c>
      <c r="E816" t="s">
        <v>781</v>
      </c>
      <c r="F816" s="46" t="s">
        <v>997</v>
      </c>
      <c r="G816" t="s">
        <v>311</v>
      </c>
      <c r="H816" s="23">
        <v>13</v>
      </c>
      <c r="I816" s="23" t="s">
        <v>993</v>
      </c>
      <c r="J816" t="s">
        <v>998</v>
      </c>
      <c r="K816">
        <v>853</v>
      </c>
      <c r="L816">
        <v>1443</v>
      </c>
      <c r="M816" s="24">
        <v>683</v>
      </c>
      <c r="N816" s="24">
        <v>1406</v>
      </c>
      <c r="O816" s="24">
        <v>722</v>
      </c>
      <c r="P816" s="24">
        <v>1292</v>
      </c>
      <c r="Q816">
        <v>782</v>
      </c>
      <c r="R816">
        <v>1332</v>
      </c>
      <c r="S816">
        <v>1084</v>
      </c>
      <c r="T816">
        <v>1725</v>
      </c>
      <c r="U816">
        <v>1578</v>
      </c>
      <c r="V816">
        <v>2410</v>
      </c>
      <c r="W816">
        <v>2752</v>
      </c>
      <c r="X816">
        <v>3885</v>
      </c>
    </row>
    <row r="817" spans="2:24" x14ac:dyDescent="0.35">
      <c r="B817" s="23" t="s">
        <v>885</v>
      </c>
      <c r="D817" t="s">
        <v>780</v>
      </c>
      <c r="E817" t="s">
        <v>781</v>
      </c>
      <c r="F817" s="46" t="s">
        <v>860</v>
      </c>
      <c r="G817" t="s">
        <v>259</v>
      </c>
      <c r="H817" s="23">
        <v>5</v>
      </c>
      <c r="I817" s="23" t="s">
        <v>855</v>
      </c>
      <c r="J817" t="s">
        <v>861</v>
      </c>
      <c r="K817">
        <v>77</v>
      </c>
      <c r="L817">
        <v>98</v>
      </c>
      <c r="M817" s="24">
        <v>84</v>
      </c>
      <c r="N817" s="24">
        <v>104</v>
      </c>
      <c r="O817" s="24">
        <v>63</v>
      </c>
      <c r="P817" s="24">
        <v>94</v>
      </c>
      <c r="Q817">
        <v>53</v>
      </c>
      <c r="R817">
        <v>92</v>
      </c>
      <c r="S817">
        <v>91</v>
      </c>
      <c r="T817">
        <v>132</v>
      </c>
      <c r="U817">
        <v>110</v>
      </c>
      <c r="V817">
        <v>192</v>
      </c>
      <c r="W817">
        <v>251</v>
      </c>
      <c r="X817">
        <v>351</v>
      </c>
    </row>
    <row r="818" spans="2:24" x14ac:dyDescent="0.35">
      <c r="B818" s="23" t="s">
        <v>887</v>
      </c>
      <c r="D818" t="s">
        <v>780</v>
      </c>
      <c r="E818" t="s">
        <v>781</v>
      </c>
      <c r="F818" s="46" t="s">
        <v>885</v>
      </c>
      <c r="G818" t="s">
        <v>265</v>
      </c>
      <c r="H818" s="23">
        <v>6</v>
      </c>
      <c r="I818" s="23" t="s">
        <v>877</v>
      </c>
      <c r="J818" t="s">
        <v>886</v>
      </c>
      <c r="K818">
        <v>3030</v>
      </c>
      <c r="L818">
        <v>3978</v>
      </c>
      <c r="M818" s="24">
        <v>2946</v>
      </c>
      <c r="N818" s="24">
        <v>3989</v>
      </c>
      <c r="O818" s="24">
        <v>2836</v>
      </c>
      <c r="P818" s="24">
        <v>4092</v>
      </c>
      <c r="Q818">
        <v>2283</v>
      </c>
      <c r="R818">
        <v>4500</v>
      </c>
      <c r="S818">
        <v>2864</v>
      </c>
      <c r="T818">
        <v>5622</v>
      </c>
      <c r="U818">
        <v>3945</v>
      </c>
      <c r="V818">
        <v>7864</v>
      </c>
      <c r="W818">
        <v>5252</v>
      </c>
      <c r="X818">
        <v>11267</v>
      </c>
    </row>
    <row r="819" spans="2:24" x14ac:dyDescent="0.35">
      <c r="B819" s="23" t="s">
        <v>889</v>
      </c>
      <c r="D819" t="s">
        <v>780</v>
      </c>
      <c r="E819" t="s">
        <v>781</v>
      </c>
      <c r="F819" s="46" t="s">
        <v>999</v>
      </c>
      <c r="G819" t="s">
        <v>311</v>
      </c>
      <c r="H819" s="23">
        <v>13</v>
      </c>
      <c r="I819" s="23" t="s">
        <v>993</v>
      </c>
      <c r="J819" t="s">
        <v>1000</v>
      </c>
      <c r="K819">
        <v>1177</v>
      </c>
      <c r="L819">
        <v>1862</v>
      </c>
      <c r="M819" s="24">
        <v>1243</v>
      </c>
      <c r="N819" s="24">
        <v>1724</v>
      </c>
      <c r="O819" s="24">
        <v>1169</v>
      </c>
      <c r="P819" s="24">
        <v>1555</v>
      </c>
      <c r="Q819">
        <v>1184</v>
      </c>
      <c r="R819">
        <v>1791</v>
      </c>
      <c r="S819">
        <v>1789</v>
      </c>
      <c r="T819">
        <v>2622</v>
      </c>
      <c r="U819">
        <v>2476</v>
      </c>
      <c r="V819">
        <v>3465</v>
      </c>
      <c r="W819">
        <v>3281</v>
      </c>
      <c r="X819">
        <v>5582</v>
      </c>
    </row>
    <row r="820" spans="2:24" x14ac:dyDescent="0.35">
      <c r="B820" s="23" t="s">
        <v>891</v>
      </c>
      <c r="D820" t="s">
        <v>780</v>
      </c>
      <c r="E820" t="s">
        <v>781</v>
      </c>
      <c r="F820" s="46" t="s">
        <v>1044</v>
      </c>
      <c r="G820" t="s">
        <v>581</v>
      </c>
      <c r="H820" s="23">
        <v>15</v>
      </c>
      <c r="I820" s="23" t="s">
        <v>1026</v>
      </c>
      <c r="J820" t="s">
        <v>1045</v>
      </c>
      <c r="K820">
        <v>628</v>
      </c>
      <c r="L820">
        <v>763</v>
      </c>
      <c r="M820" s="24">
        <v>547</v>
      </c>
      <c r="N820" s="24">
        <v>684</v>
      </c>
      <c r="O820" s="24">
        <v>510</v>
      </c>
      <c r="P820" s="24">
        <v>668</v>
      </c>
      <c r="Q820">
        <v>503</v>
      </c>
      <c r="R820">
        <v>690</v>
      </c>
      <c r="S820">
        <v>783</v>
      </c>
      <c r="T820">
        <v>1330</v>
      </c>
      <c r="U820">
        <v>910</v>
      </c>
      <c r="V820">
        <v>1888</v>
      </c>
      <c r="W820">
        <v>2660</v>
      </c>
      <c r="X820">
        <v>3535</v>
      </c>
    </row>
    <row r="821" spans="2:24" x14ac:dyDescent="0.35">
      <c r="B821" s="23" t="s">
        <v>893</v>
      </c>
      <c r="D821" t="s">
        <v>780</v>
      </c>
      <c r="E821" t="s">
        <v>781</v>
      </c>
      <c r="F821" s="46" t="s">
        <v>806</v>
      </c>
      <c r="G821" t="s">
        <v>235</v>
      </c>
      <c r="H821" s="23">
        <v>2</v>
      </c>
      <c r="I821" s="23" t="s">
        <v>801</v>
      </c>
      <c r="J821" t="s">
        <v>305</v>
      </c>
      <c r="K821">
        <v>539</v>
      </c>
      <c r="L821">
        <v>722</v>
      </c>
      <c r="M821" s="24">
        <v>500</v>
      </c>
      <c r="N821" s="24">
        <v>681</v>
      </c>
      <c r="O821" s="24">
        <v>479</v>
      </c>
      <c r="P821" s="24">
        <v>731</v>
      </c>
      <c r="Q821">
        <v>404</v>
      </c>
      <c r="R821">
        <v>743</v>
      </c>
      <c r="S821">
        <v>504</v>
      </c>
      <c r="T821">
        <v>964</v>
      </c>
      <c r="U821">
        <v>704</v>
      </c>
      <c r="V821">
        <v>1363</v>
      </c>
      <c r="W821">
        <v>1068</v>
      </c>
      <c r="X821">
        <v>2073</v>
      </c>
    </row>
    <row r="822" spans="2:24" x14ac:dyDescent="0.35">
      <c r="B822" s="23" t="s">
        <v>895</v>
      </c>
      <c r="D822" t="s">
        <v>780</v>
      </c>
      <c r="E822" t="s">
        <v>781</v>
      </c>
      <c r="F822" s="46" t="s">
        <v>833</v>
      </c>
      <c r="G822" t="s">
        <v>239</v>
      </c>
      <c r="H822" s="23">
        <v>3</v>
      </c>
      <c r="I822" s="23" t="s">
        <v>815</v>
      </c>
      <c r="J822" t="s">
        <v>834</v>
      </c>
      <c r="K822">
        <v>66803</v>
      </c>
      <c r="L822">
        <v>78812</v>
      </c>
      <c r="M822" s="24">
        <v>64583</v>
      </c>
      <c r="N822" s="24">
        <v>80095</v>
      </c>
      <c r="O822" s="24">
        <v>68622</v>
      </c>
      <c r="P822" s="24">
        <v>85005</v>
      </c>
      <c r="Q822">
        <v>76689</v>
      </c>
      <c r="R822">
        <v>95872</v>
      </c>
      <c r="S822">
        <v>93279</v>
      </c>
      <c r="T822">
        <v>121419</v>
      </c>
      <c r="U822">
        <v>109074</v>
      </c>
      <c r="V822">
        <v>144120</v>
      </c>
      <c r="W822">
        <v>143449</v>
      </c>
      <c r="X822">
        <v>186535</v>
      </c>
    </row>
    <row r="823" spans="2:24" x14ac:dyDescent="0.35">
      <c r="B823" s="23" t="s">
        <v>898</v>
      </c>
      <c r="D823" t="s">
        <v>780</v>
      </c>
      <c r="E823" t="s">
        <v>781</v>
      </c>
      <c r="F823" s="46" t="s">
        <v>938</v>
      </c>
      <c r="G823" t="s">
        <v>289</v>
      </c>
      <c r="H823" s="23">
        <v>10</v>
      </c>
      <c r="I823" s="23" t="s">
        <v>933</v>
      </c>
      <c r="J823" t="s">
        <v>939</v>
      </c>
      <c r="K823">
        <v>1236</v>
      </c>
      <c r="L823">
        <v>2003</v>
      </c>
      <c r="M823" s="24">
        <v>1019</v>
      </c>
      <c r="N823" s="24">
        <v>2024</v>
      </c>
      <c r="O823" s="24">
        <v>903</v>
      </c>
      <c r="P823" s="24">
        <v>1788</v>
      </c>
      <c r="Q823">
        <v>966</v>
      </c>
      <c r="R823">
        <v>1801</v>
      </c>
      <c r="S823">
        <v>1337</v>
      </c>
      <c r="T823">
        <v>2333</v>
      </c>
      <c r="U823">
        <v>1802</v>
      </c>
      <c r="V823">
        <v>2952</v>
      </c>
      <c r="W823">
        <v>2354</v>
      </c>
      <c r="X823">
        <v>4222</v>
      </c>
    </row>
    <row r="824" spans="2:24" x14ac:dyDescent="0.35">
      <c r="B824" s="23" t="s">
        <v>900</v>
      </c>
      <c r="D824" t="s">
        <v>780</v>
      </c>
      <c r="E824" t="s">
        <v>781</v>
      </c>
      <c r="F824" s="46" t="s">
        <v>940</v>
      </c>
      <c r="G824" t="s">
        <v>289</v>
      </c>
      <c r="H824" s="23">
        <v>10</v>
      </c>
      <c r="I824" s="23" t="s">
        <v>933</v>
      </c>
      <c r="J824" t="s">
        <v>941</v>
      </c>
      <c r="K824">
        <v>5586</v>
      </c>
      <c r="L824">
        <v>8952</v>
      </c>
      <c r="M824" s="24">
        <v>4864</v>
      </c>
      <c r="N824" s="24">
        <v>8929</v>
      </c>
      <c r="O824" s="24">
        <v>4403</v>
      </c>
      <c r="P824" s="24">
        <v>8174</v>
      </c>
      <c r="Q824">
        <v>5004</v>
      </c>
      <c r="R824">
        <v>8599</v>
      </c>
      <c r="S824">
        <v>7080</v>
      </c>
      <c r="T824">
        <v>11819</v>
      </c>
      <c r="U824">
        <v>10398</v>
      </c>
      <c r="V824">
        <v>16361</v>
      </c>
      <c r="W824">
        <v>13118</v>
      </c>
      <c r="X824">
        <v>23051</v>
      </c>
    </row>
    <row r="825" spans="2:24" x14ac:dyDescent="0.35">
      <c r="B825" s="23" t="s">
        <v>901</v>
      </c>
      <c r="D825" t="s">
        <v>780</v>
      </c>
      <c r="E825" t="s">
        <v>781</v>
      </c>
      <c r="F825" s="46" t="s">
        <v>1061</v>
      </c>
      <c r="G825" t="s">
        <v>585</v>
      </c>
      <c r="H825" s="23">
        <v>16</v>
      </c>
      <c r="I825" s="23" t="s">
        <v>1060</v>
      </c>
      <c r="J825" t="s">
        <v>1062</v>
      </c>
      <c r="K825">
        <v>212</v>
      </c>
      <c r="L825">
        <v>254</v>
      </c>
      <c r="M825" s="24">
        <v>197</v>
      </c>
      <c r="N825" s="24">
        <v>236</v>
      </c>
      <c r="O825" s="24">
        <v>188</v>
      </c>
      <c r="P825" s="24">
        <v>231</v>
      </c>
      <c r="Q825">
        <v>177</v>
      </c>
      <c r="R825">
        <v>250</v>
      </c>
      <c r="S825">
        <v>268</v>
      </c>
      <c r="T825">
        <v>347</v>
      </c>
      <c r="U825">
        <v>379</v>
      </c>
      <c r="V825">
        <v>480</v>
      </c>
      <c r="W825">
        <v>707</v>
      </c>
      <c r="X825">
        <v>902</v>
      </c>
    </row>
    <row r="826" spans="2:24" x14ac:dyDescent="0.35">
      <c r="B826" s="23" t="s">
        <v>904</v>
      </c>
      <c r="D826" t="s">
        <v>780</v>
      </c>
      <c r="E826" t="s">
        <v>781</v>
      </c>
      <c r="F826" s="46" t="s">
        <v>852</v>
      </c>
      <c r="G826" t="s">
        <v>255</v>
      </c>
      <c r="H826" s="23">
        <v>4</v>
      </c>
      <c r="I826" s="23" t="s">
        <v>849</v>
      </c>
      <c r="J826" t="s">
        <v>853</v>
      </c>
      <c r="K826">
        <v>1270</v>
      </c>
      <c r="L826">
        <v>1437</v>
      </c>
      <c r="M826" s="24">
        <v>1231</v>
      </c>
      <c r="N826" s="24">
        <v>1386</v>
      </c>
      <c r="O826" s="24">
        <v>1147</v>
      </c>
      <c r="P826" s="24">
        <v>1400</v>
      </c>
      <c r="Q826">
        <v>1151</v>
      </c>
      <c r="R826">
        <v>1584</v>
      </c>
      <c r="S826">
        <v>1105</v>
      </c>
      <c r="T826">
        <v>1596</v>
      </c>
      <c r="U826">
        <v>12879</v>
      </c>
      <c r="V826">
        <v>18541</v>
      </c>
      <c r="W826">
        <v>18774</v>
      </c>
      <c r="X826">
        <v>26884</v>
      </c>
    </row>
    <row r="827" spans="2:24" x14ac:dyDescent="0.35">
      <c r="B827" s="23" t="s">
        <v>906</v>
      </c>
      <c r="D827" t="s">
        <v>780</v>
      </c>
      <c r="E827" t="s">
        <v>781</v>
      </c>
      <c r="F827" s="46" t="s">
        <v>904</v>
      </c>
      <c r="G827" t="s">
        <v>279</v>
      </c>
      <c r="H827" s="23">
        <v>8</v>
      </c>
      <c r="I827" s="23" t="s">
        <v>902</v>
      </c>
      <c r="J827" t="s">
        <v>905</v>
      </c>
      <c r="K827">
        <v>798</v>
      </c>
      <c r="L827">
        <v>1048</v>
      </c>
      <c r="M827" s="24">
        <v>727</v>
      </c>
      <c r="N827" s="24">
        <v>971</v>
      </c>
      <c r="O827" s="24">
        <v>768</v>
      </c>
      <c r="P827" s="24">
        <v>1022</v>
      </c>
      <c r="Q827">
        <v>700</v>
      </c>
      <c r="R827">
        <v>1110</v>
      </c>
      <c r="S827">
        <v>812</v>
      </c>
      <c r="T827">
        <v>1378</v>
      </c>
      <c r="U827">
        <v>1316</v>
      </c>
      <c r="V827">
        <v>1971</v>
      </c>
      <c r="W827">
        <v>2933</v>
      </c>
      <c r="X827">
        <v>3759</v>
      </c>
    </row>
    <row r="828" spans="2:24" x14ac:dyDescent="0.35">
      <c r="B828" s="23" t="s">
        <v>907</v>
      </c>
      <c r="D828" t="s">
        <v>780</v>
      </c>
      <c r="E828" t="s">
        <v>781</v>
      </c>
      <c r="F828" s="46" t="s">
        <v>942</v>
      </c>
      <c r="G828" t="s">
        <v>289</v>
      </c>
      <c r="H828" s="23">
        <v>10</v>
      </c>
      <c r="I828" s="23" t="s">
        <v>933</v>
      </c>
      <c r="J828" t="s">
        <v>943</v>
      </c>
      <c r="K828">
        <v>686</v>
      </c>
      <c r="L828">
        <v>1058</v>
      </c>
      <c r="M828" s="24">
        <v>582</v>
      </c>
      <c r="N828" s="24">
        <v>1066</v>
      </c>
      <c r="O828" s="24">
        <v>479</v>
      </c>
      <c r="P828" s="24">
        <v>905</v>
      </c>
      <c r="Q828">
        <v>466</v>
      </c>
      <c r="R828">
        <v>849</v>
      </c>
      <c r="S828">
        <v>672</v>
      </c>
      <c r="T828">
        <v>1179</v>
      </c>
      <c r="U828">
        <v>1082</v>
      </c>
      <c r="V828">
        <v>1889</v>
      </c>
      <c r="W828">
        <v>1719</v>
      </c>
      <c r="X828">
        <v>2689</v>
      </c>
    </row>
    <row r="829" spans="2:24" x14ac:dyDescent="0.35">
      <c r="B829" s="23" t="s">
        <v>908</v>
      </c>
      <c r="D829" t="s">
        <v>780</v>
      </c>
      <c r="E829" t="s">
        <v>781</v>
      </c>
      <c r="F829" s="46" t="s">
        <v>850</v>
      </c>
      <c r="G829" t="s">
        <v>255</v>
      </c>
      <c r="H829" s="23">
        <v>4</v>
      </c>
      <c r="I829" s="23" t="s">
        <v>849</v>
      </c>
      <c r="J829" t="s">
        <v>851</v>
      </c>
      <c r="K829">
        <v>275</v>
      </c>
      <c r="L829">
        <v>355</v>
      </c>
      <c r="M829" s="24">
        <v>244</v>
      </c>
      <c r="N829" s="24">
        <v>303</v>
      </c>
      <c r="O829" s="24">
        <v>256</v>
      </c>
      <c r="P829" s="24">
        <v>327</v>
      </c>
      <c r="Q829">
        <v>262</v>
      </c>
      <c r="R829">
        <v>364</v>
      </c>
      <c r="S829">
        <v>592</v>
      </c>
      <c r="T829">
        <v>765</v>
      </c>
      <c r="U829">
        <v>1076</v>
      </c>
      <c r="V829">
        <v>1731</v>
      </c>
      <c r="W829">
        <v>1897</v>
      </c>
      <c r="X829">
        <v>2788</v>
      </c>
    </row>
    <row r="830" spans="2:24" x14ac:dyDescent="0.35">
      <c r="B830" s="23" t="s">
        <v>910</v>
      </c>
      <c r="D830" t="s">
        <v>780</v>
      </c>
      <c r="E830" t="s">
        <v>781</v>
      </c>
      <c r="F830" s="46" t="s">
        <v>835</v>
      </c>
      <c r="G830" t="s">
        <v>239</v>
      </c>
      <c r="H830" s="23">
        <v>3</v>
      </c>
      <c r="I830" s="23" t="s">
        <v>815</v>
      </c>
      <c r="J830" t="s">
        <v>269</v>
      </c>
      <c r="K830">
        <v>8672</v>
      </c>
      <c r="L830">
        <v>10501</v>
      </c>
      <c r="M830" s="24">
        <v>7508</v>
      </c>
      <c r="N830" s="24">
        <v>9961</v>
      </c>
      <c r="O830" s="24">
        <v>7637</v>
      </c>
      <c r="P830" s="24">
        <v>10193</v>
      </c>
      <c r="Q830">
        <v>8667</v>
      </c>
      <c r="R830">
        <v>11579</v>
      </c>
      <c r="S830">
        <v>11454</v>
      </c>
      <c r="T830">
        <v>16167</v>
      </c>
      <c r="U830">
        <v>1571</v>
      </c>
      <c r="V830">
        <v>1846</v>
      </c>
      <c r="W830">
        <v>1443</v>
      </c>
      <c r="X830">
        <v>1992</v>
      </c>
    </row>
    <row r="831" spans="2:24" x14ac:dyDescent="0.35">
      <c r="B831" s="23" t="s">
        <v>912</v>
      </c>
      <c r="D831" t="s">
        <v>780</v>
      </c>
      <c r="E831" t="s">
        <v>781</v>
      </c>
      <c r="F831" s="46" t="s">
        <v>981</v>
      </c>
      <c r="G831" t="s">
        <v>303</v>
      </c>
      <c r="H831" s="23">
        <v>12</v>
      </c>
      <c r="I831" s="23" t="s">
        <v>973</v>
      </c>
      <c r="J831" t="s">
        <v>271</v>
      </c>
      <c r="K831">
        <v>3344</v>
      </c>
      <c r="L831">
        <v>4042</v>
      </c>
      <c r="M831" s="24">
        <v>3395</v>
      </c>
      <c r="N831" s="24">
        <v>4039</v>
      </c>
      <c r="O831" s="24">
        <v>3098</v>
      </c>
      <c r="P831" s="24">
        <v>3910</v>
      </c>
      <c r="Q831">
        <v>3133</v>
      </c>
      <c r="R831">
        <v>4232</v>
      </c>
      <c r="S831">
        <v>4896</v>
      </c>
      <c r="T831">
        <v>6623</v>
      </c>
      <c r="U831">
        <v>7070</v>
      </c>
      <c r="V831">
        <v>9290</v>
      </c>
      <c r="W831">
        <v>13361</v>
      </c>
      <c r="X831">
        <v>16473</v>
      </c>
    </row>
    <row r="832" spans="2:24" x14ac:dyDescent="0.35">
      <c r="B832" s="23" t="s">
        <v>914</v>
      </c>
      <c r="D832" t="s">
        <v>780</v>
      </c>
      <c r="E832" t="s">
        <v>781</v>
      </c>
      <c r="F832" s="46" t="s">
        <v>1046</v>
      </c>
      <c r="G832" t="s">
        <v>581</v>
      </c>
      <c r="H832" s="23">
        <v>15</v>
      </c>
      <c r="I832" s="23" t="s">
        <v>1026</v>
      </c>
      <c r="J832" t="s">
        <v>1047</v>
      </c>
      <c r="K832">
        <v>206</v>
      </c>
      <c r="L832">
        <v>247</v>
      </c>
      <c r="M832" s="24">
        <v>236</v>
      </c>
      <c r="N832" s="24">
        <v>290</v>
      </c>
      <c r="O832" s="24">
        <v>187</v>
      </c>
      <c r="P832" s="24">
        <v>242</v>
      </c>
      <c r="Q832">
        <v>205</v>
      </c>
      <c r="R832">
        <v>286</v>
      </c>
      <c r="S832">
        <v>249</v>
      </c>
      <c r="T832">
        <v>376</v>
      </c>
      <c r="U832">
        <v>249</v>
      </c>
      <c r="V832">
        <v>471</v>
      </c>
      <c r="W832">
        <v>685</v>
      </c>
      <c r="X832">
        <v>935</v>
      </c>
    </row>
    <row r="833" spans="2:24" x14ac:dyDescent="0.35">
      <c r="B833" s="23" t="s">
        <v>916</v>
      </c>
      <c r="D833" t="s">
        <v>780</v>
      </c>
      <c r="E833" t="s">
        <v>781</v>
      </c>
      <c r="F833" s="46" t="s">
        <v>807</v>
      </c>
      <c r="G833" t="s">
        <v>235</v>
      </c>
      <c r="H833" s="23">
        <v>2</v>
      </c>
      <c r="I833" s="23" t="s">
        <v>801</v>
      </c>
      <c r="J833" t="s">
        <v>357</v>
      </c>
      <c r="K833">
        <v>1661</v>
      </c>
      <c r="L833">
        <v>2132</v>
      </c>
      <c r="M833" s="24">
        <v>1655</v>
      </c>
      <c r="N833" s="24">
        <v>2089</v>
      </c>
      <c r="O833" s="24">
        <v>1788</v>
      </c>
      <c r="P833" s="24">
        <v>2345</v>
      </c>
      <c r="Q833">
        <v>1589</v>
      </c>
      <c r="R833">
        <v>2636</v>
      </c>
      <c r="S833">
        <v>2435</v>
      </c>
      <c r="T833">
        <v>4076</v>
      </c>
      <c r="U833">
        <v>2833</v>
      </c>
      <c r="V833">
        <v>4727</v>
      </c>
      <c r="W833">
        <v>4142</v>
      </c>
      <c r="X833">
        <v>7043</v>
      </c>
    </row>
    <row r="834" spans="2:24" x14ac:dyDescent="0.35">
      <c r="B834" s="23" t="s">
        <v>918</v>
      </c>
      <c r="D834" t="s">
        <v>780</v>
      </c>
      <c r="E834" t="s">
        <v>781</v>
      </c>
      <c r="F834" s="46" t="s">
        <v>836</v>
      </c>
      <c r="G834" t="s">
        <v>239</v>
      </c>
      <c r="H834" s="23">
        <v>3</v>
      </c>
      <c r="I834" s="23" t="s">
        <v>815</v>
      </c>
      <c r="J834" t="s">
        <v>837</v>
      </c>
      <c r="K834">
        <v>416</v>
      </c>
      <c r="L834">
        <v>498</v>
      </c>
      <c r="M834" s="24">
        <v>408</v>
      </c>
      <c r="N834" s="24">
        <v>477</v>
      </c>
      <c r="O834" s="24">
        <v>373</v>
      </c>
      <c r="P834" s="24">
        <v>476</v>
      </c>
      <c r="Q834">
        <v>329</v>
      </c>
      <c r="R834">
        <v>472</v>
      </c>
      <c r="S834">
        <v>608</v>
      </c>
      <c r="T834">
        <v>859</v>
      </c>
      <c r="U834">
        <v>928</v>
      </c>
      <c r="V834">
        <v>1397</v>
      </c>
      <c r="W834">
        <v>1503</v>
      </c>
      <c r="X834">
        <v>2358</v>
      </c>
    </row>
    <row r="835" spans="2:24" x14ac:dyDescent="0.35">
      <c r="B835" s="23" t="s">
        <v>919</v>
      </c>
      <c r="D835" t="s">
        <v>780</v>
      </c>
      <c r="E835" t="s">
        <v>781</v>
      </c>
      <c r="F835" s="46" t="s">
        <v>958</v>
      </c>
      <c r="G835" t="s">
        <v>293</v>
      </c>
      <c r="H835" s="23">
        <v>11</v>
      </c>
      <c r="I835" s="23" t="s">
        <v>955</v>
      </c>
      <c r="J835" t="s">
        <v>959</v>
      </c>
      <c r="K835">
        <v>316</v>
      </c>
      <c r="L835">
        <v>399</v>
      </c>
      <c r="M835" s="24">
        <v>362</v>
      </c>
      <c r="N835" s="24">
        <v>451</v>
      </c>
      <c r="O835" s="24">
        <v>366</v>
      </c>
      <c r="P835" s="24">
        <v>435</v>
      </c>
      <c r="Q835">
        <v>371</v>
      </c>
      <c r="R835">
        <v>519</v>
      </c>
      <c r="S835">
        <v>652</v>
      </c>
      <c r="T835">
        <v>873</v>
      </c>
      <c r="U835">
        <v>746</v>
      </c>
      <c r="V835">
        <v>1173</v>
      </c>
      <c r="W835">
        <v>969</v>
      </c>
      <c r="X835">
        <v>1748</v>
      </c>
    </row>
    <row r="836" spans="2:24" x14ac:dyDescent="0.35">
      <c r="B836" s="23" t="s">
        <v>921</v>
      </c>
      <c r="D836" t="s">
        <v>780</v>
      </c>
      <c r="E836" t="s">
        <v>781</v>
      </c>
      <c r="F836" s="46" t="s">
        <v>862</v>
      </c>
      <c r="G836" t="s">
        <v>259</v>
      </c>
      <c r="H836" s="23">
        <v>5</v>
      </c>
      <c r="I836" s="23" t="s">
        <v>855</v>
      </c>
      <c r="J836" t="s">
        <v>247</v>
      </c>
      <c r="K836">
        <v>468</v>
      </c>
      <c r="L836">
        <v>538</v>
      </c>
      <c r="M836" s="24">
        <v>424</v>
      </c>
      <c r="N836" s="24">
        <v>498</v>
      </c>
      <c r="O836" s="24">
        <v>358</v>
      </c>
      <c r="P836" s="24">
        <v>494</v>
      </c>
      <c r="Q836">
        <v>328</v>
      </c>
      <c r="R836">
        <v>469</v>
      </c>
      <c r="S836">
        <v>481</v>
      </c>
      <c r="T836">
        <v>697</v>
      </c>
      <c r="U836">
        <v>712</v>
      </c>
      <c r="V836">
        <v>1000</v>
      </c>
      <c r="W836">
        <v>1468</v>
      </c>
      <c r="X836">
        <v>1968</v>
      </c>
    </row>
    <row r="837" spans="2:24" x14ac:dyDescent="0.35">
      <c r="B837" s="23" t="s">
        <v>923</v>
      </c>
      <c r="D837" t="s">
        <v>780</v>
      </c>
      <c r="E837" t="s">
        <v>781</v>
      </c>
      <c r="F837" s="46" t="s">
        <v>863</v>
      </c>
      <c r="G837" t="s">
        <v>259</v>
      </c>
      <c r="H837" s="23">
        <v>5</v>
      </c>
      <c r="I837" s="23" t="s">
        <v>855</v>
      </c>
      <c r="J837" t="s">
        <v>864</v>
      </c>
      <c r="K837">
        <v>217</v>
      </c>
      <c r="L837">
        <v>256</v>
      </c>
      <c r="M837" s="24">
        <v>236</v>
      </c>
      <c r="N837" s="24">
        <v>288</v>
      </c>
      <c r="O837" s="24">
        <v>259</v>
      </c>
      <c r="P837" s="24">
        <v>323</v>
      </c>
      <c r="Q837">
        <v>212</v>
      </c>
      <c r="R837">
        <v>286</v>
      </c>
      <c r="S837">
        <v>275</v>
      </c>
      <c r="T837">
        <v>379</v>
      </c>
      <c r="U837">
        <v>423</v>
      </c>
      <c r="V837">
        <v>588</v>
      </c>
      <c r="W837">
        <v>776</v>
      </c>
      <c r="X837">
        <v>1002</v>
      </c>
    </row>
    <row r="838" spans="2:24" x14ac:dyDescent="0.35">
      <c r="B838" s="23" t="s">
        <v>925</v>
      </c>
      <c r="D838" t="s">
        <v>780</v>
      </c>
      <c r="E838" t="s">
        <v>781</v>
      </c>
      <c r="F838" s="46" t="s">
        <v>960</v>
      </c>
      <c r="G838" t="s">
        <v>293</v>
      </c>
      <c r="H838" s="23">
        <v>11</v>
      </c>
      <c r="I838" s="23" t="s">
        <v>955</v>
      </c>
      <c r="J838" t="s">
        <v>535</v>
      </c>
      <c r="K838">
        <v>244</v>
      </c>
      <c r="L838">
        <v>294</v>
      </c>
      <c r="M838" s="24">
        <v>211</v>
      </c>
      <c r="N838" s="24">
        <v>278</v>
      </c>
      <c r="O838" s="24">
        <v>234</v>
      </c>
      <c r="P838" s="24">
        <v>278</v>
      </c>
      <c r="Q838">
        <v>283</v>
      </c>
      <c r="R838">
        <v>327</v>
      </c>
      <c r="S838">
        <v>356</v>
      </c>
      <c r="T838">
        <v>452</v>
      </c>
      <c r="U838">
        <v>455</v>
      </c>
      <c r="V838">
        <v>597</v>
      </c>
      <c r="W838">
        <v>561</v>
      </c>
      <c r="X838">
        <v>898</v>
      </c>
    </row>
    <row r="839" spans="2:24" x14ac:dyDescent="0.35">
      <c r="B839" s="23" t="s">
        <v>928</v>
      </c>
      <c r="D839" t="s">
        <v>780</v>
      </c>
      <c r="E839" t="s">
        <v>781</v>
      </c>
      <c r="F839" s="46" t="s">
        <v>982</v>
      </c>
      <c r="G839" t="s">
        <v>303</v>
      </c>
      <c r="H839" s="23">
        <v>12</v>
      </c>
      <c r="I839" s="23" t="s">
        <v>973</v>
      </c>
      <c r="J839" t="s">
        <v>983</v>
      </c>
      <c r="K839">
        <v>583</v>
      </c>
      <c r="L839">
        <v>711</v>
      </c>
      <c r="M839" s="24">
        <v>555</v>
      </c>
      <c r="N839" s="24">
        <v>664</v>
      </c>
      <c r="O839" s="24">
        <v>453</v>
      </c>
      <c r="P839" s="24">
        <v>604</v>
      </c>
      <c r="Q839">
        <v>450</v>
      </c>
      <c r="R839">
        <v>603</v>
      </c>
      <c r="S839">
        <v>740</v>
      </c>
      <c r="T839">
        <v>1009</v>
      </c>
      <c r="U839">
        <v>903</v>
      </c>
      <c r="V839">
        <v>1271</v>
      </c>
      <c r="W839">
        <v>1504</v>
      </c>
      <c r="X839">
        <v>2031</v>
      </c>
    </row>
    <row r="840" spans="2:24" x14ac:dyDescent="0.35">
      <c r="B840" s="23" t="s">
        <v>930</v>
      </c>
      <c r="D840" t="s">
        <v>780</v>
      </c>
      <c r="E840" t="s">
        <v>781</v>
      </c>
      <c r="F840" s="46" t="s">
        <v>838</v>
      </c>
      <c r="G840" t="s">
        <v>239</v>
      </c>
      <c r="H840" s="23">
        <v>3</v>
      </c>
      <c r="I840" s="23" t="s">
        <v>815</v>
      </c>
      <c r="J840" t="s">
        <v>359</v>
      </c>
      <c r="K840">
        <v>578</v>
      </c>
      <c r="L840">
        <v>649</v>
      </c>
      <c r="M840" s="24">
        <v>382</v>
      </c>
      <c r="N840" s="24">
        <v>535</v>
      </c>
      <c r="O840" s="24">
        <v>364</v>
      </c>
      <c r="P840" s="24">
        <v>486</v>
      </c>
      <c r="Q840">
        <v>396</v>
      </c>
      <c r="R840">
        <v>535</v>
      </c>
      <c r="S840">
        <v>617</v>
      </c>
      <c r="T840">
        <v>878</v>
      </c>
      <c r="U840">
        <v>856</v>
      </c>
      <c r="V840">
        <v>1233</v>
      </c>
      <c r="W840">
        <v>1150</v>
      </c>
      <c r="X840">
        <v>1985</v>
      </c>
    </row>
    <row r="841" spans="2:24" x14ac:dyDescent="0.35">
      <c r="B841" s="23" t="s">
        <v>932</v>
      </c>
      <c r="D841" t="s">
        <v>780</v>
      </c>
      <c r="E841" t="s">
        <v>781</v>
      </c>
      <c r="F841" s="46" t="s">
        <v>1048</v>
      </c>
      <c r="G841" t="s">
        <v>581</v>
      </c>
      <c r="H841" s="23">
        <v>15</v>
      </c>
      <c r="I841" s="23" t="s">
        <v>1026</v>
      </c>
      <c r="J841" t="s">
        <v>1049</v>
      </c>
      <c r="K841">
        <v>186</v>
      </c>
      <c r="L841">
        <v>210</v>
      </c>
      <c r="M841" s="24">
        <v>197</v>
      </c>
      <c r="N841" s="24">
        <v>226</v>
      </c>
      <c r="O841" s="24">
        <v>182</v>
      </c>
      <c r="P841" s="24">
        <v>216</v>
      </c>
      <c r="Q841">
        <v>156</v>
      </c>
      <c r="R841">
        <v>238</v>
      </c>
      <c r="S841">
        <v>215</v>
      </c>
      <c r="T841">
        <v>314</v>
      </c>
      <c r="U841">
        <v>197</v>
      </c>
      <c r="V841">
        <v>380</v>
      </c>
      <c r="W841">
        <v>551</v>
      </c>
      <c r="X841">
        <v>782</v>
      </c>
    </row>
    <row r="842" spans="2:24" x14ac:dyDescent="0.35">
      <c r="B842" s="23" t="s">
        <v>935</v>
      </c>
      <c r="D842" t="s">
        <v>780</v>
      </c>
      <c r="E842" t="s">
        <v>781</v>
      </c>
      <c r="F842" s="46" t="s">
        <v>961</v>
      </c>
      <c r="G842" t="s">
        <v>293</v>
      </c>
      <c r="H842" s="23">
        <v>11</v>
      </c>
      <c r="I842" s="23" t="s">
        <v>955</v>
      </c>
      <c r="J842" t="s">
        <v>962</v>
      </c>
      <c r="K842">
        <v>1536</v>
      </c>
      <c r="L842">
        <v>1798</v>
      </c>
      <c r="M842" s="24">
        <v>1432</v>
      </c>
      <c r="N842" s="24">
        <v>1728</v>
      </c>
      <c r="O842" s="24">
        <v>1553</v>
      </c>
      <c r="P842" s="24">
        <v>1961</v>
      </c>
      <c r="Q842">
        <v>1648</v>
      </c>
      <c r="R842">
        <v>2223</v>
      </c>
      <c r="S842">
        <v>2404</v>
      </c>
      <c r="T842">
        <v>3235</v>
      </c>
      <c r="U842">
        <v>3135</v>
      </c>
      <c r="V842">
        <v>4193</v>
      </c>
      <c r="W842">
        <v>3911</v>
      </c>
      <c r="X842">
        <v>6704</v>
      </c>
    </row>
    <row r="843" spans="2:24" x14ac:dyDescent="0.35">
      <c r="B843" s="23" t="s">
        <v>937</v>
      </c>
      <c r="D843" t="s">
        <v>780</v>
      </c>
      <c r="E843" t="s">
        <v>781</v>
      </c>
      <c r="F843" s="46" t="s">
        <v>789</v>
      </c>
      <c r="G843" t="s">
        <v>231</v>
      </c>
      <c r="H843" s="23">
        <v>1</v>
      </c>
      <c r="I843" s="23" t="s">
        <v>782</v>
      </c>
      <c r="J843" t="s">
        <v>237</v>
      </c>
      <c r="K843">
        <v>860</v>
      </c>
      <c r="L843">
        <v>1137</v>
      </c>
      <c r="M843" s="24">
        <v>776</v>
      </c>
      <c r="N843" s="24">
        <v>982</v>
      </c>
      <c r="O843" s="24">
        <v>786</v>
      </c>
      <c r="P843" s="24">
        <v>1044</v>
      </c>
      <c r="Q843">
        <v>743</v>
      </c>
      <c r="R843">
        <v>1110</v>
      </c>
      <c r="S843">
        <v>934</v>
      </c>
      <c r="T843">
        <v>1441</v>
      </c>
      <c r="U843">
        <v>1055</v>
      </c>
      <c r="V843">
        <v>1713</v>
      </c>
      <c r="W843">
        <v>1501</v>
      </c>
      <c r="X843">
        <v>2439</v>
      </c>
    </row>
    <row r="844" spans="2:24" x14ac:dyDescent="0.35">
      <c r="B844" s="23" t="s">
        <v>938</v>
      </c>
      <c r="D844" t="s">
        <v>780</v>
      </c>
      <c r="E844" t="s">
        <v>781</v>
      </c>
      <c r="F844" s="46" t="s">
        <v>1018</v>
      </c>
      <c r="G844" t="s">
        <v>577</v>
      </c>
      <c r="H844" s="23">
        <v>14</v>
      </c>
      <c r="I844" s="23" t="s">
        <v>1004</v>
      </c>
      <c r="J844" t="s">
        <v>669</v>
      </c>
      <c r="K844">
        <v>1129</v>
      </c>
      <c r="L844">
        <v>1362</v>
      </c>
      <c r="M844" s="24">
        <v>1127</v>
      </c>
      <c r="N844" s="24">
        <v>1334</v>
      </c>
      <c r="O844" s="24">
        <v>1160</v>
      </c>
      <c r="P844" s="24">
        <v>1497</v>
      </c>
      <c r="Q844">
        <v>1157</v>
      </c>
      <c r="R844">
        <v>1693</v>
      </c>
      <c r="S844">
        <v>1690</v>
      </c>
      <c r="T844">
        <v>2591</v>
      </c>
      <c r="U844">
        <v>2183</v>
      </c>
      <c r="V844">
        <v>3367</v>
      </c>
      <c r="W844">
        <v>3147</v>
      </c>
      <c r="X844">
        <v>5324</v>
      </c>
    </row>
    <row r="845" spans="2:24" x14ac:dyDescent="0.35">
      <c r="B845" s="23" t="s">
        <v>940</v>
      </c>
      <c r="D845" t="s">
        <v>780</v>
      </c>
      <c r="E845" t="s">
        <v>781</v>
      </c>
      <c r="F845" s="46" t="s">
        <v>865</v>
      </c>
      <c r="G845" t="s">
        <v>259</v>
      </c>
      <c r="H845" s="23">
        <v>5</v>
      </c>
      <c r="I845" s="23" t="s">
        <v>855</v>
      </c>
      <c r="J845" t="s">
        <v>494</v>
      </c>
      <c r="K845">
        <v>253</v>
      </c>
      <c r="L845">
        <v>326</v>
      </c>
      <c r="M845" s="24">
        <v>266</v>
      </c>
      <c r="N845" s="24">
        <v>343</v>
      </c>
      <c r="O845" s="24">
        <v>263</v>
      </c>
      <c r="P845" s="24">
        <v>346</v>
      </c>
      <c r="Q845">
        <v>232</v>
      </c>
      <c r="R845">
        <v>351</v>
      </c>
      <c r="S845">
        <v>276</v>
      </c>
      <c r="T845">
        <v>388</v>
      </c>
      <c r="U845">
        <v>353</v>
      </c>
      <c r="V845">
        <v>520</v>
      </c>
      <c r="W845">
        <v>867</v>
      </c>
      <c r="X845">
        <v>1126</v>
      </c>
    </row>
    <row r="846" spans="2:24" x14ac:dyDescent="0.35">
      <c r="B846" s="23" t="s">
        <v>942</v>
      </c>
      <c r="D846" t="s">
        <v>780</v>
      </c>
      <c r="E846" t="s">
        <v>781</v>
      </c>
      <c r="F846" s="46" t="s">
        <v>1019</v>
      </c>
      <c r="G846" t="s">
        <v>577</v>
      </c>
      <c r="H846" s="23">
        <v>14</v>
      </c>
      <c r="I846" s="23" t="s">
        <v>1004</v>
      </c>
      <c r="J846" t="s">
        <v>1020</v>
      </c>
      <c r="K846">
        <v>255</v>
      </c>
      <c r="L846">
        <v>305</v>
      </c>
      <c r="M846" s="24">
        <v>279</v>
      </c>
      <c r="N846" s="24">
        <v>311</v>
      </c>
      <c r="O846" s="24">
        <v>251</v>
      </c>
      <c r="P846" s="24">
        <v>294</v>
      </c>
      <c r="Q846">
        <v>242</v>
      </c>
      <c r="R846">
        <v>326</v>
      </c>
      <c r="S846">
        <v>368</v>
      </c>
      <c r="T846">
        <v>515</v>
      </c>
      <c r="U846">
        <v>482</v>
      </c>
      <c r="V846">
        <v>745</v>
      </c>
      <c r="W846">
        <v>785</v>
      </c>
      <c r="X846">
        <v>1329</v>
      </c>
    </row>
    <row r="847" spans="2:24" x14ac:dyDescent="0.35">
      <c r="B847" s="23" t="s">
        <v>944</v>
      </c>
      <c r="D847" t="s">
        <v>780</v>
      </c>
      <c r="E847" t="s">
        <v>781</v>
      </c>
      <c r="F847" s="46" t="s">
        <v>1050</v>
      </c>
      <c r="G847" t="s">
        <v>581</v>
      </c>
      <c r="H847" s="23">
        <v>15</v>
      </c>
      <c r="I847" s="23" t="s">
        <v>1026</v>
      </c>
      <c r="J847" t="s">
        <v>299</v>
      </c>
      <c r="K847">
        <v>2180</v>
      </c>
      <c r="L847">
        <v>2701</v>
      </c>
      <c r="M847" s="24">
        <v>2085</v>
      </c>
      <c r="N847" s="24">
        <v>2561</v>
      </c>
      <c r="O847" s="24">
        <v>2287</v>
      </c>
      <c r="P847" s="24">
        <v>2820</v>
      </c>
      <c r="Q847">
        <v>2444</v>
      </c>
      <c r="R847">
        <v>3373</v>
      </c>
      <c r="S847">
        <v>3214</v>
      </c>
      <c r="T847">
        <v>4597</v>
      </c>
      <c r="U847">
        <v>3023</v>
      </c>
      <c r="V847">
        <v>6031</v>
      </c>
      <c r="W847">
        <v>8058</v>
      </c>
      <c r="X847">
        <v>11083</v>
      </c>
    </row>
    <row r="848" spans="2:24" x14ac:dyDescent="0.35">
      <c r="B848" s="23" t="s">
        <v>946</v>
      </c>
      <c r="D848" t="s">
        <v>780</v>
      </c>
      <c r="E848" t="s">
        <v>781</v>
      </c>
      <c r="F848" s="46" t="s">
        <v>944</v>
      </c>
      <c r="G848" t="s">
        <v>289</v>
      </c>
      <c r="H848" s="23">
        <v>10</v>
      </c>
      <c r="I848" s="23" t="s">
        <v>933</v>
      </c>
      <c r="J848" t="s">
        <v>945</v>
      </c>
      <c r="K848">
        <v>863</v>
      </c>
      <c r="L848">
        <v>1448</v>
      </c>
      <c r="M848" s="24">
        <v>686</v>
      </c>
      <c r="N848" s="24">
        <v>1395</v>
      </c>
      <c r="O848" s="24">
        <v>614</v>
      </c>
      <c r="P848" s="24">
        <v>1225</v>
      </c>
      <c r="Q848">
        <v>663</v>
      </c>
      <c r="R848">
        <v>1285</v>
      </c>
      <c r="S848">
        <v>914</v>
      </c>
      <c r="T848">
        <v>1721</v>
      </c>
      <c r="U848">
        <v>1232</v>
      </c>
      <c r="V848">
        <v>2191</v>
      </c>
      <c r="W848">
        <v>1435</v>
      </c>
      <c r="X848">
        <v>2795</v>
      </c>
    </row>
    <row r="849" spans="2:24" x14ac:dyDescent="0.35">
      <c r="B849" s="23" t="s">
        <v>948</v>
      </c>
      <c r="D849" t="s">
        <v>780</v>
      </c>
      <c r="E849" t="s">
        <v>781</v>
      </c>
      <c r="F849" s="46" t="s">
        <v>866</v>
      </c>
      <c r="G849" t="s">
        <v>259</v>
      </c>
      <c r="H849" s="23">
        <v>5</v>
      </c>
      <c r="I849" s="23" t="s">
        <v>855</v>
      </c>
      <c r="J849" t="s">
        <v>867</v>
      </c>
      <c r="K849">
        <v>581</v>
      </c>
      <c r="L849">
        <v>703</v>
      </c>
      <c r="M849" s="24">
        <v>528</v>
      </c>
      <c r="N849" s="24">
        <v>631</v>
      </c>
      <c r="O849" s="24">
        <v>547</v>
      </c>
      <c r="P849" s="24">
        <v>695</v>
      </c>
      <c r="Q849">
        <v>496</v>
      </c>
      <c r="R849">
        <v>699</v>
      </c>
      <c r="S849">
        <v>623</v>
      </c>
      <c r="T849">
        <v>885</v>
      </c>
      <c r="U849">
        <v>797</v>
      </c>
      <c r="V849">
        <v>1197</v>
      </c>
      <c r="W849">
        <v>1583</v>
      </c>
      <c r="X849">
        <v>2161</v>
      </c>
    </row>
    <row r="850" spans="2:24" x14ac:dyDescent="0.35">
      <c r="B850" s="23" t="s">
        <v>950</v>
      </c>
      <c r="D850" t="s">
        <v>780</v>
      </c>
      <c r="E850" t="s">
        <v>781</v>
      </c>
      <c r="F850" s="46" t="s">
        <v>887</v>
      </c>
      <c r="G850" t="s">
        <v>265</v>
      </c>
      <c r="H850" s="23">
        <v>6</v>
      </c>
      <c r="I850" s="23" t="s">
        <v>877</v>
      </c>
      <c r="J850" t="s">
        <v>888</v>
      </c>
      <c r="K850">
        <v>596</v>
      </c>
      <c r="L850">
        <v>703</v>
      </c>
      <c r="M850" s="24">
        <v>573</v>
      </c>
      <c r="N850" s="24">
        <v>665</v>
      </c>
      <c r="O850" s="24">
        <v>622</v>
      </c>
      <c r="P850" s="24">
        <v>708</v>
      </c>
      <c r="Q850">
        <v>511</v>
      </c>
      <c r="R850">
        <v>762</v>
      </c>
      <c r="S850">
        <v>618</v>
      </c>
      <c r="T850">
        <v>920</v>
      </c>
      <c r="U850">
        <v>771</v>
      </c>
      <c r="V850">
        <v>1208</v>
      </c>
      <c r="W850">
        <v>985</v>
      </c>
      <c r="X850">
        <v>1669</v>
      </c>
    </row>
    <row r="851" spans="2:24" x14ac:dyDescent="0.35">
      <c r="B851" s="23" t="s">
        <v>952</v>
      </c>
      <c r="D851" t="s">
        <v>780</v>
      </c>
      <c r="E851" t="s">
        <v>781</v>
      </c>
      <c r="F851" s="46" t="s">
        <v>906</v>
      </c>
      <c r="G851" t="s">
        <v>279</v>
      </c>
      <c r="H851" s="23">
        <v>8</v>
      </c>
      <c r="I851" s="23" t="s">
        <v>902</v>
      </c>
      <c r="J851" t="s">
        <v>361</v>
      </c>
      <c r="K851">
        <v>262</v>
      </c>
      <c r="L851">
        <v>332</v>
      </c>
      <c r="M851" s="24">
        <v>292</v>
      </c>
      <c r="N851" s="24">
        <v>334</v>
      </c>
      <c r="O851" s="24">
        <v>307</v>
      </c>
      <c r="P851" s="24">
        <v>353</v>
      </c>
      <c r="Q851">
        <v>254</v>
      </c>
      <c r="R851">
        <v>373</v>
      </c>
      <c r="S851">
        <v>449</v>
      </c>
      <c r="T851">
        <v>595</v>
      </c>
      <c r="U851">
        <v>679</v>
      </c>
      <c r="V851">
        <v>872</v>
      </c>
      <c r="W851">
        <v>1221</v>
      </c>
      <c r="X851">
        <v>1528</v>
      </c>
    </row>
    <row r="852" spans="2:24" x14ac:dyDescent="0.35">
      <c r="B852" s="23" t="s">
        <v>953</v>
      </c>
      <c r="D852" t="s">
        <v>780</v>
      </c>
      <c r="E852" t="s">
        <v>781</v>
      </c>
      <c r="F852" s="46" t="s">
        <v>808</v>
      </c>
      <c r="G852" t="s">
        <v>235</v>
      </c>
      <c r="H852" s="23">
        <v>2</v>
      </c>
      <c r="I852" s="23" t="s">
        <v>801</v>
      </c>
      <c r="J852" t="s">
        <v>287</v>
      </c>
      <c r="K852">
        <v>638</v>
      </c>
      <c r="L852">
        <v>804</v>
      </c>
      <c r="M852" s="24">
        <v>637</v>
      </c>
      <c r="N852" s="24">
        <v>766</v>
      </c>
      <c r="O852" s="24">
        <v>670</v>
      </c>
      <c r="P852" s="24">
        <v>857</v>
      </c>
      <c r="Q852">
        <v>584</v>
      </c>
      <c r="R852">
        <v>937</v>
      </c>
      <c r="S852">
        <v>732</v>
      </c>
      <c r="T852">
        <v>1216</v>
      </c>
      <c r="U852">
        <v>1056</v>
      </c>
      <c r="V852">
        <v>1688</v>
      </c>
      <c r="W852">
        <v>1529</v>
      </c>
      <c r="X852">
        <v>2586</v>
      </c>
    </row>
    <row r="853" spans="2:24" x14ac:dyDescent="0.35">
      <c r="B853" s="23" t="s">
        <v>954</v>
      </c>
      <c r="D853" t="s">
        <v>780</v>
      </c>
      <c r="E853" t="s">
        <v>781</v>
      </c>
      <c r="F853" s="46" t="s">
        <v>907</v>
      </c>
      <c r="G853" t="s">
        <v>279</v>
      </c>
      <c r="H853" s="23">
        <v>8</v>
      </c>
      <c r="I853" s="23" t="s">
        <v>902</v>
      </c>
      <c r="J853" t="s">
        <v>365</v>
      </c>
      <c r="K853">
        <v>201</v>
      </c>
      <c r="L853">
        <v>251</v>
      </c>
      <c r="M853" s="24">
        <v>215</v>
      </c>
      <c r="N853" s="24">
        <v>252</v>
      </c>
      <c r="O853" s="24">
        <v>222</v>
      </c>
      <c r="P853" s="24">
        <v>256</v>
      </c>
      <c r="Q853">
        <v>197</v>
      </c>
      <c r="R853">
        <v>265</v>
      </c>
      <c r="S853">
        <v>250</v>
      </c>
      <c r="T853">
        <v>357</v>
      </c>
      <c r="U853">
        <v>385</v>
      </c>
      <c r="V853">
        <v>540</v>
      </c>
      <c r="W853">
        <v>702</v>
      </c>
      <c r="X853">
        <v>902</v>
      </c>
    </row>
    <row r="854" spans="2:24" x14ac:dyDescent="0.35">
      <c r="B854" s="23" t="s">
        <v>957</v>
      </c>
      <c r="D854" t="s">
        <v>780</v>
      </c>
      <c r="E854" t="s">
        <v>781</v>
      </c>
      <c r="F854" s="46" t="s">
        <v>908</v>
      </c>
      <c r="G854" t="s">
        <v>279</v>
      </c>
      <c r="H854" s="23">
        <v>8</v>
      </c>
      <c r="I854" s="23" t="s">
        <v>902</v>
      </c>
      <c r="J854" t="s">
        <v>909</v>
      </c>
      <c r="K854">
        <v>500</v>
      </c>
      <c r="L854">
        <v>605</v>
      </c>
      <c r="M854" s="24">
        <v>526</v>
      </c>
      <c r="N854" s="24">
        <v>641</v>
      </c>
      <c r="O854" s="24">
        <v>542</v>
      </c>
      <c r="P854" s="24">
        <v>651</v>
      </c>
      <c r="Q854">
        <v>537</v>
      </c>
      <c r="R854">
        <v>735</v>
      </c>
      <c r="S854">
        <v>735</v>
      </c>
      <c r="T854">
        <v>1026</v>
      </c>
      <c r="U854">
        <v>1122</v>
      </c>
      <c r="V854">
        <v>1545</v>
      </c>
      <c r="W854">
        <v>1948</v>
      </c>
      <c r="X854">
        <v>2571</v>
      </c>
    </row>
    <row r="855" spans="2:24" x14ac:dyDescent="0.35">
      <c r="B855" s="23" t="s">
        <v>958</v>
      </c>
      <c r="D855" t="s">
        <v>780</v>
      </c>
      <c r="E855" t="s">
        <v>781</v>
      </c>
      <c r="F855" s="46" t="s">
        <v>1051</v>
      </c>
      <c r="G855" t="s">
        <v>581</v>
      </c>
      <c r="H855" s="23">
        <v>15</v>
      </c>
      <c r="I855" s="23" t="s">
        <v>1026</v>
      </c>
      <c r="J855" t="s">
        <v>516</v>
      </c>
      <c r="K855">
        <v>207</v>
      </c>
      <c r="L855">
        <v>237</v>
      </c>
      <c r="M855" s="24">
        <v>192</v>
      </c>
      <c r="N855" s="24">
        <v>221</v>
      </c>
      <c r="O855" s="24">
        <v>203</v>
      </c>
      <c r="P855" s="24">
        <v>237</v>
      </c>
      <c r="Q855">
        <v>223</v>
      </c>
      <c r="R855">
        <v>277</v>
      </c>
      <c r="S855">
        <v>259</v>
      </c>
      <c r="T855">
        <v>352</v>
      </c>
      <c r="U855">
        <v>228</v>
      </c>
      <c r="V855">
        <v>377</v>
      </c>
      <c r="W855">
        <v>401</v>
      </c>
      <c r="X855">
        <v>567</v>
      </c>
    </row>
    <row r="856" spans="2:24" x14ac:dyDescent="0.35">
      <c r="B856" s="23" t="s">
        <v>960</v>
      </c>
      <c r="D856" t="s">
        <v>780</v>
      </c>
      <c r="E856" t="s">
        <v>781</v>
      </c>
      <c r="F856" s="46" t="s">
        <v>790</v>
      </c>
      <c r="G856" t="s">
        <v>231</v>
      </c>
      <c r="H856" s="23">
        <v>1</v>
      </c>
      <c r="I856" s="23" t="s">
        <v>782</v>
      </c>
      <c r="J856" t="s">
        <v>791</v>
      </c>
      <c r="K856">
        <v>543</v>
      </c>
      <c r="L856">
        <v>691</v>
      </c>
      <c r="M856" s="24">
        <v>527</v>
      </c>
      <c r="N856" s="24">
        <v>644</v>
      </c>
      <c r="O856" s="24">
        <v>547</v>
      </c>
      <c r="P856" s="24">
        <v>659</v>
      </c>
      <c r="Q856">
        <v>482</v>
      </c>
      <c r="R856">
        <v>661</v>
      </c>
      <c r="S856">
        <v>718</v>
      </c>
      <c r="T856">
        <v>994</v>
      </c>
      <c r="U856">
        <v>1068</v>
      </c>
      <c r="V856">
        <v>1445</v>
      </c>
      <c r="W856">
        <v>1061</v>
      </c>
      <c r="X856">
        <v>2334</v>
      </c>
    </row>
    <row r="857" spans="2:24" x14ac:dyDescent="0.35">
      <c r="B857" s="23" t="s">
        <v>961</v>
      </c>
      <c r="D857" t="s">
        <v>780</v>
      </c>
      <c r="E857" t="s">
        <v>781</v>
      </c>
      <c r="F857" s="46" t="s">
        <v>984</v>
      </c>
      <c r="G857" t="s">
        <v>303</v>
      </c>
      <c r="H857" s="23">
        <v>12</v>
      </c>
      <c r="I857" s="23" t="s">
        <v>973</v>
      </c>
      <c r="J857" t="s">
        <v>369</v>
      </c>
      <c r="K857">
        <v>626</v>
      </c>
      <c r="L857">
        <v>769</v>
      </c>
      <c r="M857" s="24">
        <v>595</v>
      </c>
      <c r="N857" s="24">
        <v>740</v>
      </c>
      <c r="O857" s="24">
        <v>530</v>
      </c>
      <c r="P857" s="24">
        <v>744</v>
      </c>
      <c r="Q857">
        <v>538</v>
      </c>
      <c r="R857">
        <v>808</v>
      </c>
      <c r="S857">
        <v>833</v>
      </c>
      <c r="T857">
        <v>1163</v>
      </c>
      <c r="U857">
        <v>918</v>
      </c>
      <c r="V857">
        <v>1399</v>
      </c>
      <c r="W857">
        <v>1577</v>
      </c>
      <c r="X857">
        <v>2190</v>
      </c>
    </row>
    <row r="858" spans="2:24" x14ac:dyDescent="0.35">
      <c r="B858" s="23" t="s">
        <v>963</v>
      </c>
      <c r="D858" t="s">
        <v>780</v>
      </c>
      <c r="E858" t="s">
        <v>781</v>
      </c>
      <c r="F858" s="46" t="s">
        <v>963</v>
      </c>
      <c r="G858" t="s">
        <v>293</v>
      </c>
      <c r="H858" s="23">
        <v>11</v>
      </c>
      <c r="I858" s="23" t="s">
        <v>955</v>
      </c>
      <c r="J858" t="s">
        <v>301</v>
      </c>
      <c r="K858">
        <v>193</v>
      </c>
      <c r="L858">
        <v>231</v>
      </c>
      <c r="M858" s="24">
        <v>185</v>
      </c>
      <c r="N858" s="24">
        <v>226</v>
      </c>
      <c r="O858" s="24">
        <v>201</v>
      </c>
      <c r="P858" s="24">
        <v>258</v>
      </c>
      <c r="Q858">
        <v>191</v>
      </c>
      <c r="R858">
        <v>261</v>
      </c>
      <c r="S858">
        <v>296</v>
      </c>
      <c r="T858">
        <v>412</v>
      </c>
      <c r="U858">
        <v>442</v>
      </c>
      <c r="V858">
        <v>602</v>
      </c>
      <c r="W858">
        <v>553</v>
      </c>
      <c r="X858">
        <v>913</v>
      </c>
    </row>
    <row r="859" spans="2:24" x14ac:dyDescent="0.35">
      <c r="B859" s="23" t="s">
        <v>964</v>
      </c>
      <c r="D859" t="s">
        <v>780</v>
      </c>
      <c r="E859" t="s">
        <v>781</v>
      </c>
      <c r="F859" s="46" t="s">
        <v>809</v>
      </c>
      <c r="G859" t="s">
        <v>235</v>
      </c>
      <c r="H859" s="23">
        <v>2</v>
      </c>
      <c r="I859" s="23" t="s">
        <v>801</v>
      </c>
      <c r="J859" t="s">
        <v>263</v>
      </c>
      <c r="K859">
        <v>615</v>
      </c>
      <c r="L859">
        <v>834</v>
      </c>
      <c r="M859" s="24">
        <v>608</v>
      </c>
      <c r="N859" s="24">
        <v>818</v>
      </c>
      <c r="O859" s="24">
        <v>689</v>
      </c>
      <c r="P859" s="24">
        <v>946</v>
      </c>
      <c r="Q859">
        <v>522</v>
      </c>
      <c r="R859">
        <v>922</v>
      </c>
      <c r="S859">
        <v>649</v>
      </c>
      <c r="T859">
        <v>1210</v>
      </c>
      <c r="U859">
        <v>727</v>
      </c>
      <c r="V859">
        <v>1419</v>
      </c>
      <c r="W859">
        <v>995</v>
      </c>
      <c r="X859">
        <v>1924</v>
      </c>
    </row>
    <row r="860" spans="2:24" x14ac:dyDescent="0.35">
      <c r="B860" s="23" t="s">
        <v>966</v>
      </c>
      <c r="D860" t="s">
        <v>780</v>
      </c>
      <c r="E860" t="s">
        <v>781</v>
      </c>
      <c r="F860" s="46" t="s">
        <v>928</v>
      </c>
      <c r="G860" t="s">
        <v>283</v>
      </c>
      <c r="H860" s="23">
        <v>9</v>
      </c>
      <c r="I860" s="23" t="s">
        <v>926</v>
      </c>
      <c r="J860" t="s">
        <v>929</v>
      </c>
      <c r="K860">
        <v>795</v>
      </c>
      <c r="L860">
        <v>1159</v>
      </c>
      <c r="M860" s="24">
        <v>666</v>
      </c>
      <c r="N860" s="24">
        <v>1065</v>
      </c>
      <c r="O860" s="24">
        <v>582</v>
      </c>
      <c r="P860" s="24">
        <v>963</v>
      </c>
      <c r="Q860">
        <v>672</v>
      </c>
      <c r="R860">
        <v>1188</v>
      </c>
      <c r="S860">
        <v>1025</v>
      </c>
      <c r="T860">
        <v>1652</v>
      </c>
      <c r="U860">
        <v>1615</v>
      </c>
      <c r="V860">
        <v>2354</v>
      </c>
      <c r="W860">
        <v>3269</v>
      </c>
      <c r="X860">
        <v>4365</v>
      </c>
    </row>
    <row r="861" spans="2:24" x14ac:dyDescent="0.35">
      <c r="B861" s="23" t="s">
        <v>968</v>
      </c>
      <c r="D861" t="s">
        <v>780</v>
      </c>
      <c r="E861" t="s">
        <v>781</v>
      </c>
      <c r="F861" s="46" t="s">
        <v>910</v>
      </c>
      <c r="G861" t="s">
        <v>279</v>
      </c>
      <c r="H861" s="23">
        <v>8</v>
      </c>
      <c r="I861" s="23" t="s">
        <v>902</v>
      </c>
      <c r="J861" t="s">
        <v>911</v>
      </c>
      <c r="K861">
        <v>4460</v>
      </c>
      <c r="L861">
        <v>5715</v>
      </c>
      <c r="M861" s="24">
        <v>4573</v>
      </c>
      <c r="N861" s="24">
        <v>5544</v>
      </c>
      <c r="O861" s="24">
        <v>4753</v>
      </c>
      <c r="P861" s="24">
        <v>5939</v>
      </c>
      <c r="Q861">
        <v>4394</v>
      </c>
      <c r="R861">
        <v>6619</v>
      </c>
      <c r="S861">
        <v>6092</v>
      </c>
      <c r="T861">
        <v>8761</v>
      </c>
      <c r="U861">
        <v>7814</v>
      </c>
      <c r="V861">
        <v>12466</v>
      </c>
      <c r="W861">
        <v>15688</v>
      </c>
      <c r="X861">
        <v>21683</v>
      </c>
    </row>
    <row r="862" spans="2:24" x14ac:dyDescent="0.35">
      <c r="B862" s="23" t="s">
        <v>970</v>
      </c>
      <c r="D862" t="s">
        <v>780</v>
      </c>
      <c r="E862" t="s">
        <v>781</v>
      </c>
      <c r="F862" s="46" t="s">
        <v>839</v>
      </c>
      <c r="G862" t="s">
        <v>239</v>
      </c>
      <c r="H862" s="23">
        <v>3</v>
      </c>
      <c r="I862" s="23" t="s">
        <v>815</v>
      </c>
      <c r="J862" t="s">
        <v>461</v>
      </c>
      <c r="K862">
        <v>3999</v>
      </c>
      <c r="L862">
        <v>4621</v>
      </c>
      <c r="M862" s="24">
        <v>3433</v>
      </c>
      <c r="N862" s="24">
        <v>4185</v>
      </c>
      <c r="O862" s="24">
        <v>3134</v>
      </c>
      <c r="P862" s="24">
        <v>3967</v>
      </c>
      <c r="Q862">
        <v>3460</v>
      </c>
      <c r="R862">
        <v>4629</v>
      </c>
      <c r="S862">
        <v>5102</v>
      </c>
      <c r="T862">
        <v>7024</v>
      </c>
      <c r="U862">
        <v>6168</v>
      </c>
      <c r="V862">
        <v>8816</v>
      </c>
      <c r="W862">
        <v>10164</v>
      </c>
      <c r="X862">
        <v>14014</v>
      </c>
    </row>
    <row r="863" spans="2:24" x14ac:dyDescent="0.35">
      <c r="B863" s="23" t="s">
        <v>972</v>
      </c>
      <c r="D863" t="s">
        <v>780</v>
      </c>
      <c r="E863" t="s">
        <v>781</v>
      </c>
      <c r="F863" s="46" t="s">
        <v>810</v>
      </c>
      <c r="G863" t="s">
        <v>235</v>
      </c>
      <c r="H863" s="23">
        <v>2</v>
      </c>
      <c r="I863" s="23" t="s">
        <v>801</v>
      </c>
      <c r="J863" t="s">
        <v>811</v>
      </c>
      <c r="K863">
        <v>994</v>
      </c>
      <c r="L863">
        <v>1501</v>
      </c>
      <c r="M863" s="24">
        <v>1002</v>
      </c>
      <c r="N863" s="24">
        <v>1402</v>
      </c>
      <c r="O863" s="24">
        <v>919</v>
      </c>
      <c r="P863" s="24">
        <v>1485</v>
      </c>
      <c r="Q863">
        <v>784</v>
      </c>
      <c r="R863">
        <v>1612</v>
      </c>
      <c r="S863">
        <v>976</v>
      </c>
      <c r="T863">
        <v>2031</v>
      </c>
      <c r="U863">
        <v>1042</v>
      </c>
      <c r="V863">
        <v>2199</v>
      </c>
      <c r="W863">
        <v>1173</v>
      </c>
      <c r="X863">
        <v>2677</v>
      </c>
    </row>
    <row r="864" spans="2:24" x14ac:dyDescent="0.35">
      <c r="B864" s="23" t="s">
        <v>974</v>
      </c>
      <c r="D864" t="s">
        <v>780</v>
      </c>
      <c r="E864" t="s">
        <v>781</v>
      </c>
      <c r="F864" s="46" t="s">
        <v>812</v>
      </c>
      <c r="G864" t="s">
        <v>235</v>
      </c>
      <c r="H864" s="23">
        <v>2</v>
      </c>
      <c r="I864" s="23" t="s">
        <v>801</v>
      </c>
      <c r="J864" t="s">
        <v>813</v>
      </c>
      <c r="K864">
        <v>377</v>
      </c>
      <c r="L864">
        <v>482</v>
      </c>
      <c r="M864" s="24">
        <v>363</v>
      </c>
      <c r="N864" s="24">
        <v>458</v>
      </c>
      <c r="O864" s="24">
        <v>339</v>
      </c>
      <c r="P864" s="24">
        <v>460</v>
      </c>
      <c r="Q864">
        <v>277</v>
      </c>
      <c r="R864">
        <v>475</v>
      </c>
      <c r="S864">
        <v>349</v>
      </c>
      <c r="T864">
        <v>617</v>
      </c>
      <c r="U864">
        <v>472</v>
      </c>
      <c r="V864">
        <v>855</v>
      </c>
      <c r="W864">
        <v>747</v>
      </c>
      <c r="X864">
        <v>1319</v>
      </c>
    </row>
    <row r="865" spans="2:24" x14ac:dyDescent="0.35">
      <c r="B865" s="23" t="s">
        <v>976</v>
      </c>
      <c r="D865" t="s">
        <v>780</v>
      </c>
      <c r="E865" t="s">
        <v>781</v>
      </c>
      <c r="F865" s="46" t="s">
        <v>840</v>
      </c>
      <c r="G865" t="s">
        <v>239</v>
      </c>
      <c r="H865" s="23">
        <v>3</v>
      </c>
      <c r="I865" s="23" t="s">
        <v>815</v>
      </c>
      <c r="J865" t="s">
        <v>841</v>
      </c>
      <c r="K865">
        <v>5595</v>
      </c>
      <c r="L865">
        <v>7029</v>
      </c>
      <c r="M865" s="24">
        <v>5123</v>
      </c>
      <c r="N865" s="24">
        <v>6326</v>
      </c>
      <c r="O865" s="24">
        <v>4619</v>
      </c>
      <c r="P865" s="24">
        <v>6182</v>
      </c>
      <c r="Q865">
        <v>4708</v>
      </c>
      <c r="R865">
        <v>6759</v>
      </c>
      <c r="S865">
        <v>6249</v>
      </c>
      <c r="T865">
        <v>9397</v>
      </c>
      <c r="U865">
        <v>7230</v>
      </c>
      <c r="V865">
        <v>11113</v>
      </c>
      <c r="W865">
        <v>9267</v>
      </c>
      <c r="X865">
        <v>14860</v>
      </c>
    </row>
    <row r="866" spans="2:24" x14ac:dyDescent="0.35">
      <c r="B866" s="23" t="s">
        <v>977</v>
      </c>
      <c r="D866" t="s">
        <v>780</v>
      </c>
      <c r="E866" t="s">
        <v>781</v>
      </c>
      <c r="F866" s="46" t="s">
        <v>985</v>
      </c>
      <c r="G866" t="s">
        <v>303</v>
      </c>
      <c r="H866" s="23">
        <v>12</v>
      </c>
      <c r="I866" s="23" t="s">
        <v>973</v>
      </c>
      <c r="J866" t="s">
        <v>986</v>
      </c>
      <c r="K866">
        <v>699</v>
      </c>
      <c r="L866">
        <v>824</v>
      </c>
      <c r="M866" s="24">
        <v>734</v>
      </c>
      <c r="N866" s="24">
        <v>866</v>
      </c>
      <c r="O866" s="24">
        <v>681</v>
      </c>
      <c r="P866" s="24">
        <v>886</v>
      </c>
      <c r="Q866">
        <v>676</v>
      </c>
      <c r="R866">
        <v>912</v>
      </c>
      <c r="S866">
        <v>1077</v>
      </c>
      <c r="T866">
        <v>1435</v>
      </c>
      <c r="U866">
        <v>1170</v>
      </c>
      <c r="V866">
        <v>1680</v>
      </c>
      <c r="W866">
        <v>2379</v>
      </c>
      <c r="X866">
        <v>2929</v>
      </c>
    </row>
    <row r="867" spans="2:24" x14ac:dyDescent="0.35">
      <c r="B867" s="23" t="s">
        <v>979</v>
      </c>
      <c r="D867" t="s">
        <v>780</v>
      </c>
      <c r="E867" t="s">
        <v>781</v>
      </c>
      <c r="F867" s="46" t="s">
        <v>1001</v>
      </c>
      <c r="G867" t="s">
        <v>311</v>
      </c>
      <c r="H867" s="23">
        <v>13</v>
      </c>
      <c r="I867" s="23" t="s">
        <v>993</v>
      </c>
      <c r="J867" t="s">
        <v>373</v>
      </c>
      <c r="K867">
        <v>689</v>
      </c>
      <c r="L867">
        <v>1317</v>
      </c>
      <c r="M867" s="24">
        <v>634</v>
      </c>
      <c r="N867" s="24">
        <v>1321</v>
      </c>
      <c r="O867" s="24">
        <v>657</v>
      </c>
      <c r="P867" s="24">
        <v>1158</v>
      </c>
      <c r="Q867">
        <v>680</v>
      </c>
      <c r="R867">
        <v>1160</v>
      </c>
      <c r="S867">
        <v>987</v>
      </c>
      <c r="T867">
        <v>1701</v>
      </c>
      <c r="U867">
        <v>1171</v>
      </c>
      <c r="V867">
        <v>2088</v>
      </c>
      <c r="W867">
        <v>1882</v>
      </c>
      <c r="X867">
        <v>3117</v>
      </c>
    </row>
    <row r="868" spans="2:24" x14ac:dyDescent="0.35">
      <c r="B868" s="23" t="s">
        <v>981</v>
      </c>
      <c r="D868" t="s">
        <v>780</v>
      </c>
      <c r="E868" t="s">
        <v>781</v>
      </c>
      <c r="F868" s="46" t="s">
        <v>889</v>
      </c>
      <c r="G868" t="s">
        <v>265</v>
      </c>
      <c r="H868" s="23">
        <v>6</v>
      </c>
      <c r="I868" s="23" t="s">
        <v>877</v>
      </c>
      <c r="J868" t="s">
        <v>890</v>
      </c>
      <c r="K868">
        <v>302</v>
      </c>
      <c r="L868">
        <v>352</v>
      </c>
      <c r="M868" s="24">
        <v>299</v>
      </c>
      <c r="N868" s="24">
        <v>347</v>
      </c>
      <c r="O868" s="24">
        <v>297</v>
      </c>
      <c r="P868" s="24">
        <v>353</v>
      </c>
      <c r="Q868">
        <v>338</v>
      </c>
      <c r="R868">
        <v>428</v>
      </c>
      <c r="S868">
        <v>496</v>
      </c>
      <c r="T868">
        <v>718</v>
      </c>
      <c r="U868">
        <v>616</v>
      </c>
      <c r="V868">
        <v>1033</v>
      </c>
      <c r="W868">
        <v>985</v>
      </c>
      <c r="X868">
        <v>1868</v>
      </c>
    </row>
    <row r="869" spans="2:24" x14ac:dyDescent="0.35">
      <c r="B869" s="23" t="s">
        <v>982</v>
      </c>
      <c r="D869" t="s">
        <v>780</v>
      </c>
      <c r="E869" t="s">
        <v>781</v>
      </c>
      <c r="F869" s="46" t="s">
        <v>842</v>
      </c>
      <c r="G869" t="s">
        <v>239</v>
      </c>
      <c r="H869" s="23">
        <v>3</v>
      </c>
      <c r="I869" s="23" t="s">
        <v>815</v>
      </c>
      <c r="J869" t="s">
        <v>375</v>
      </c>
      <c r="K869">
        <v>437</v>
      </c>
      <c r="L869">
        <v>548</v>
      </c>
      <c r="M869" s="24">
        <v>323</v>
      </c>
      <c r="N869" s="24">
        <v>487</v>
      </c>
      <c r="O869" s="24">
        <v>288</v>
      </c>
      <c r="P869" s="24">
        <v>467</v>
      </c>
      <c r="Q869">
        <v>274</v>
      </c>
      <c r="R869">
        <v>454</v>
      </c>
      <c r="S869">
        <v>419</v>
      </c>
      <c r="T869">
        <v>688</v>
      </c>
      <c r="U869">
        <v>532</v>
      </c>
      <c r="V869">
        <v>858</v>
      </c>
      <c r="W869">
        <v>659</v>
      </c>
      <c r="X869">
        <v>1248</v>
      </c>
    </row>
    <row r="870" spans="2:24" x14ac:dyDescent="0.35">
      <c r="B870" s="23" t="s">
        <v>984</v>
      </c>
      <c r="D870" t="s">
        <v>780</v>
      </c>
      <c r="E870" t="s">
        <v>781</v>
      </c>
      <c r="F870" s="46" t="s">
        <v>1002</v>
      </c>
      <c r="G870" t="s">
        <v>311</v>
      </c>
      <c r="H870" s="23">
        <v>13</v>
      </c>
      <c r="I870" s="23" t="s">
        <v>993</v>
      </c>
      <c r="J870" t="s">
        <v>530</v>
      </c>
      <c r="K870">
        <v>1041</v>
      </c>
      <c r="L870">
        <v>1461</v>
      </c>
      <c r="M870" s="24">
        <v>826</v>
      </c>
      <c r="N870" s="24">
        <v>1487</v>
      </c>
      <c r="O870" s="24">
        <v>935</v>
      </c>
      <c r="P870" s="24">
        <v>1434</v>
      </c>
      <c r="Q870">
        <v>1094</v>
      </c>
      <c r="R870">
        <v>1531</v>
      </c>
      <c r="S870">
        <v>1541</v>
      </c>
      <c r="T870">
        <v>2057</v>
      </c>
      <c r="U870">
        <v>1874</v>
      </c>
      <c r="V870">
        <v>2581</v>
      </c>
      <c r="W870">
        <v>2330</v>
      </c>
      <c r="X870">
        <v>3916</v>
      </c>
    </row>
    <row r="871" spans="2:24" x14ac:dyDescent="0.35">
      <c r="B871" s="23" t="s">
        <v>985</v>
      </c>
      <c r="D871" t="s">
        <v>780</v>
      </c>
      <c r="E871" t="s">
        <v>781</v>
      </c>
      <c r="F871" s="46" t="s">
        <v>987</v>
      </c>
      <c r="G871" t="s">
        <v>303</v>
      </c>
      <c r="H871" s="23">
        <v>12</v>
      </c>
      <c r="I871" s="23" t="s">
        <v>973</v>
      </c>
      <c r="J871" t="s">
        <v>398</v>
      </c>
      <c r="K871">
        <v>249</v>
      </c>
      <c r="L871">
        <v>290</v>
      </c>
      <c r="M871" s="24">
        <v>255</v>
      </c>
      <c r="N871" s="24">
        <v>301</v>
      </c>
      <c r="O871" s="24">
        <v>238</v>
      </c>
      <c r="P871" s="24">
        <v>296</v>
      </c>
      <c r="Q871">
        <v>218</v>
      </c>
      <c r="R871">
        <v>312</v>
      </c>
      <c r="S871">
        <v>317</v>
      </c>
      <c r="T871">
        <v>436</v>
      </c>
      <c r="U871">
        <v>461</v>
      </c>
      <c r="V871">
        <v>605</v>
      </c>
      <c r="W871">
        <v>850</v>
      </c>
      <c r="X871">
        <v>1069</v>
      </c>
    </row>
    <row r="872" spans="2:24" x14ac:dyDescent="0.35">
      <c r="B872" s="23" t="s">
        <v>987</v>
      </c>
      <c r="D872" t="s">
        <v>780</v>
      </c>
      <c r="E872" t="s">
        <v>781</v>
      </c>
      <c r="F872" s="46" t="s">
        <v>988</v>
      </c>
      <c r="G872" t="s">
        <v>303</v>
      </c>
      <c r="H872" s="23">
        <v>12</v>
      </c>
      <c r="I872" s="23" t="s">
        <v>973</v>
      </c>
      <c r="J872" t="s">
        <v>729</v>
      </c>
      <c r="K872">
        <v>620</v>
      </c>
      <c r="L872">
        <v>754</v>
      </c>
      <c r="M872" s="24">
        <v>641</v>
      </c>
      <c r="N872" s="24">
        <v>783</v>
      </c>
      <c r="O872" s="24">
        <v>569</v>
      </c>
      <c r="P872" s="24">
        <v>723</v>
      </c>
      <c r="Q872">
        <v>511</v>
      </c>
      <c r="R872">
        <v>736</v>
      </c>
      <c r="S872">
        <v>679</v>
      </c>
      <c r="T872">
        <v>1020</v>
      </c>
      <c r="U872">
        <v>875</v>
      </c>
      <c r="V872">
        <v>1322</v>
      </c>
      <c r="W872">
        <v>1650</v>
      </c>
      <c r="X872">
        <v>2234</v>
      </c>
    </row>
    <row r="873" spans="2:24" x14ac:dyDescent="0.35">
      <c r="B873" s="23" t="s">
        <v>988</v>
      </c>
      <c r="D873" t="s">
        <v>780</v>
      </c>
      <c r="E873" t="s">
        <v>781</v>
      </c>
      <c r="F873" s="46" t="s">
        <v>912</v>
      </c>
      <c r="G873" t="s">
        <v>279</v>
      </c>
      <c r="H873" s="23">
        <v>8</v>
      </c>
      <c r="I873" s="23" t="s">
        <v>902</v>
      </c>
      <c r="J873" t="s">
        <v>913</v>
      </c>
      <c r="K873">
        <v>53</v>
      </c>
      <c r="L873">
        <v>60</v>
      </c>
      <c r="M873" s="24">
        <v>60</v>
      </c>
      <c r="N873" s="24">
        <v>62</v>
      </c>
      <c r="O873" s="24">
        <v>64</v>
      </c>
      <c r="P873" s="24">
        <v>71</v>
      </c>
      <c r="Q873">
        <v>54</v>
      </c>
      <c r="R873">
        <v>76</v>
      </c>
      <c r="S873">
        <v>76</v>
      </c>
      <c r="T873">
        <v>92</v>
      </c>
      <c r="U873">
        <v>96</v>
      </c>
      <c r="V873">
        <v>124</v>
      </c>
      <c r="W873">
        <v>156</v>
      </c>
      <c r="X873">
        <v>204</v>
      </c>
    </row>
    <row r="874" spans="2:24" x14ac:dyDescent="0.35">
      <c r="B874" s="23" t="s">
        <v>989</v>
      </c>
      <c r="D874" t="s">
        <v>780</v>
      </c>
      <c r="E874" t="s">
        <v>781</v>
      </c>
      <c r="F874" s="46" t="s">
        <v>946</v>
      </c>
      <c r="G874" t="s">
        <v>289</v>
      </c>
      <c r="H874" s="23">
        <v>10</v>
      </c>
      <c r="I874" s="23" t="s">
        <v>933</v>
      </c>
      <c r="J874" t="s">
        <v>947</v>
      </c>
      <c r="K874">
        <v>678</v>
      </c>
      <c r="L874">
        <v>1130</v>
      </c>
      <c r="M874" s="24">
        <v>591</v>
      </c>
      <c r="N874" s="24">
        <v>1139</v>
      </c>
      <c r="O874" s="24">
        <v>535</v>
      </c>
      <c r="P874" s="24">
        <v>996</v>
      </c>
      <c r="Q874">
        <v>575</v>
      </c>
      <c r="R874">
        <v>1021</v>
      </c>
      <c r="S874">
        <v>714</v>
      </c>
      <c r="T874">
        <v>1231</v>
      </c>
      <c r="U874">
        <v>870</v>
      </c>
      <c r="V874">
        <v>1487</v>
      </c>
      <c r="W874">
        <v>1036</v>
      </c>
      <c r="X874">
        <v>1920</v>
      </c>
    </row>
    <row r="875" spans="2:24" x14ac:dyDescent="0.35">
      <c r="B875" s="23" t="s">
        <v>991</v>
      </c>
      <c r="D875" t="s">
        <v>780</v>
      </c>
      <c r="E875" t="s">
        <v>781</v>
      </c>
      <c r="F875" s="46" t="s">
        <v>792</v>
      </c>
      <c r="G875" t="s">
        <v>231</v>
      </c>
      <c r="H875" s="23">
        <v>1</v>
      </c>
      <c r="I875" s="23" t="s">
        <v>782</v>
      </c>
      <c r="J875" t="s">
        <v>377</v>
      </c>
      <c r="K875">
        <v>195</v>
      </c>
      <c r="L875">
        <v>246</v>
      </c>
      <c r="M875" s="24">
        <v>251</v>
      </c>
      <c r="N875" s="24">
        <v>275</v>
      </c>
      <c r="O875" s="24">
        <v>247</v>
      </c>
      <c r="P875" s="24">
        <v>277</v>
      </c>
      <c r="Q875">
        <v>227</v>
      </c>
      <c r="R875">
        <v>293</v>
      </c>
      <c r="S875">
        <v>342</v>
      </c>
      <c r="T875">
        <v>439</v>
      </c>
      <c r="U875">
        <v>344</v>
      </c>
      <c r="V875">
        <v>522</v>
      </c>
      <c r="W875">
        <v>485</v>
      </c>
      <c r="X875">
        <v>758</v>
      </c>
    </row>
    <row r="876" spans="2:24" x14ac:dyDescent="0.35">
      <c r="B876" s="23" t="s">
        <v>992</v>
      </c>
      <c r="D876" t="s">
        <v>780</v>
      </c>
      <c r="E876" t="s">
        <v>781</v>
      </c>
      <c r="F876" s="46" t="s">
        <v>868</v>
      </c>
      <c r="G876" t="s">
        <v>259</v>
      </c>
      <c r="H876" s="23">
        <v>5</v>
      </c>
      <c r="I876" s="23" t="s">
        <v>855</v>
      </c>
      <c r="J876" t="s">
        <v>869</v>
      </c>
      <c r="K876">
        <v>5167</v>
      </c>
      <c r="L876">
        <v>6209</v>
      </c>
      <c r="M876" s="24">
        <v>4545</v>
      </c>
      <c r="N876" s="24">
        <v>5641</v>
      </c>
      <c r="O876" s="24">
        <v>3860</v>
      </c>
      <c r="P876" s="24">
        <v>5571</v>
      </c>
      <c r="Q876">
        <v>3491</v>
      </c>
      <c r="R876">
        <v>5321</v>
      </c>
      <c r="S876">
        <v>5586</v>
      </c>
      <c r="T876">
        <v>8080</v>
      </c>
      <c r="U876">
        <v>7478</v>
      </c>
      <c r="V876">
        <v>11577</v>
      </c>
      <c r="W876">
        <v>16461</v>
      </c>
      <c r="X876">
        <v>22070</v>
      </c>
    </row>
    <row r="877" spans="2:24" x14ac:dyDescent="0.35">
      <c r="B877" s="23" t="s">
        <v>995</v>
      </c>
      <c r="D877" t="s">
        <v>780</v>
      </c>
      <c r="E877" t="s">
        <v>781</v>
      </c>
      <c r="F877" s="46" t="s">
        <v>843</v>
      </c>
      <c r="G877" t="s">
        <v>239</v>
      </c>
      <c r="H877" s="23">
        <v>3</v>
      </c>
      <c r="I877" s="23" t="s">
        <v>815</v>
      </c>
      <c r="J877" t="s">
        <v>844</v>
      </c>
      <c r="K877">
        <v>4637</v>
      </c>
      <c r="L877">
        <v>5267</v>
      </c>
      <c r="M877" s="24">
        <v>3546</v>
      </c>
      <c r="N877" s="24">
        <v>4318</v>
      </c>
      <c r="O877" s="24">
        <v>3238</v>
      </c>
      <c r="P877" s="24">
        <v>4130</v>
      </c>
      <c r="Q877">
        <v>3431</v>
      </c>
      <c r="R877">
        <v>4596</v>
      </c>
      <c r="S877">
        <v>4791</v>
      </c>
      <c r="T877">
        <v>6537</v>
      </c>
      <c r="U877">
        <v>5292</v>
      </c>
      <c r="V877">
        <v>7531</v>
      </c>
      <c r="W877">
        <v>9288</v>
      </c>
      <c r="X877">
        <v>12493</v>
      </c>
    </row>
    <row r="878" spans="2:24" x14ac:dyDescent="0.35">
      <c r="B878" s="23" t="s">
        <v>997</v>
      </c>
      <c r="D878" t="s">
        <v>780</v>
      </c>
      <c r="E878" t="s">
        <v>781</v>
      </c>
      <c r="F878" s="46" t="s">
        <v>793</v>
      </c>
      <c r="G878" t="s">
        <v>231</v>
      </c>
      <c r="H878" s="23">
        <v>1</v>
      </c>
      <c r="I878" s="23" t="s">
        <v>782</v>
      </c>
      <c r="J878" t="s">
        <v>794</v>
      </c>
      <c r="K878">
        <v>139</v>
      </c>
      <c r="L878">
        <v>172</v>
      </c>
      <c r="M878" s="24">
        <v>148</v>
      </c>
      <c r="N878" s="24">
        <v>158</v>
      </c>
      <c r="O878" s="24">
        <v>147</v>
      </c>
      <c r="P878" s="24">
        <v>188</v>
      </c>
      <c r="Q878">
        <v>149</v>
      </c>
      <c r="R878">
        <v>217</v>
      </c>
      <c r="S878">
        <v>204</v>
      </c>
      <c r="T878">
        <v>298</v>
      </c>
      <c r="U878">
        <v>211</v>
      </c>
      <c r="V878">
        <v>362</v>
      </c>
      <c r="W878">
        <v>354</v>
      </c>
      <c r="X878">
        <v>573</v>
      </c>
    </row>
    <row r="879" spans="2:24" x14ac:dyDescent="0.35">
      <c r="B879" s="23" t="s">
        <v>999</v>
      </c>
      <c r="D879" t="s">
        <v>780</v>
      </c>
      <c r="E879" t="s">
        <v>781</v>
      </c>
      <c r="F879" s="46" t="s">
        <v>1021</v>
      </c>
      <c r="G879" t="s">
        <v>577</v>
      </c>
      <c r="H879" s="23">
        <v>14</v>
      </c>
      <c r="I879" s="23" t="s">
        <v>1004</v>
      </c>
      <c r="J879" t="s">
        <v>1022</v>
      </c>
      <c r="K879">
        <v>463</v>
      </c>
      <c r="L879">
        <v>548</v>
      </c>
      <c r="M879" s="24">
        <v>515</v>
      </c>
      <c r="N879" s="24">
        <v>605</v>
      </c>
      <c r="O879" s="24">
        <v>432</v>
      </c>
      <c r="P879" s="24">
        <v>564</v>
      </c>
      <c r="Q879">
        <v>395</v>
      </c>
      <c r="R879">
        <v>586</v>
      </c>
      <c r="S879">
        <v>587</v>
      </c>
      <c r="T879">
        <v>814</v>
      </c>
      <c r="U879">
        <v>693</v>
      </c>
      <c r="V879">
        <v>1027</v>
      </c>
      <c r="W879">
        <v>1059</v>
      </c>
      <c r="X879">
        <v>1730</v>
      </c>
    </row>
    <row r="880" spans="2:24" x14ac:dyDescent="0.35">
      <c r="B880" s="23" t="s">
        <v>1001</v>
      </c>
      <c r="D880" t="s">
        <v>780</v>
      </c>
      <c r="E880" t="s">
        <v>781</v>
      </c>
      <c r="F880" s="46" t="s">
        <v>1052</v>
      </c>
      <c r="G880" t="s">
        <v>581</v>
      </c>
      <c r="H880" s="23">
        <v>15</v>
      </c>
      <c r="I880" s="23" t="s">
        <v>1026</v>
      </c>
      <c r="J880" t="s">
        <v>741</v>
      </c>
      <c r="K880">
        <v>271</v>
      </c>
      <c r="L880">
        <v>324</v>
      </c>
      <c r="M880" s="24">
        <v>238</v>
      </c>
      <c r="N880" s="24">
        <v>293</v>
      </c>
      <c r="O880" s="24">
        <v>284</v>
      </c>
      <c r="P880" s="24">
        <v>353</v>
      </c>
      <c r="Q880">
        <v>255</v>
      </c>
      <c r="R880">
        <v>349</v>
      </c>
      <c r="S880">
        <v>297</v>
      </c>
      <c r="T880">
        <v>427</v>
      </c>
      <c r="U880">
        <v>294</v>
      </c>
      <c r="V880">
        <v>538</v>
      </c>
      <c r="W880">
        <v>673</v>
      </c>
      <c r="X880">
        <v>903</v>
      </c>
    </row>
    <row r="881" spans="2:24" x14ac:dyDescent="0.35">
      <c r="B881" s="23" t="s">
        <v>1002</v>
      </c>
      <c r="D881" t="s">
        <v>780</v>
      </c>
      <c r="E881" t="s">
        <v>781</v>
      </c>
      <c r="F881" s="46" t="s">
        <v>845</v>
      </c>
      <c r="G881" t="s">
        <v>239</v>
      </c>
      <c r="H881" s="23">
        <v>3</v>
      </c>
      <c r="I881" s="23" t="s">
        <v>815</v>
      </c>
      <c r="J881" t="s">
        <v>846</v>
      </c>
      <c r="K881">
        <v>1516</v>
      </c>
      <c r="L881">
        <v>1927</v>
      </c>
      <c r="M881" s="24">
        <v>1357</v>
      </c>
      <c r="N881" s="24">
        <v>1690</v>
      </c>
      <c r="O881" s="24">
        <v>1329</v>
      </c>
      <c r="P881" s="24">
        <v>1776</v>
      </c>
      <c r="Q881">
        <v>1381</v>
      </c>
      <c r="R881">
        <v>1944</v>
      </c>
      <c r="S881">
        <v>2212</v>
      </c>
      <c r="T881">
        <v>3000</v>
      </c>
      <c r="U881">
        <v>2679</v>
      </c>
      <c r="V881">
        <v>3897</v>
      </c>
      <c r="W881">
        <v>4157</v>
      </c>
      <c r="X881">
        <v>6701</v>
      </c>
    </row>
    <row r="882" spans="2:24" x14ac:dyDescent="0.35">
      <c r="B882" s="23" t="s">
        <v>1003</v>
      </c>
      <c r="D882" t="s">
        <v>780</v>
      </c>
      <c r="E882" t="s">
        <v>781</v>
      </c>
      <c r="F882" s="46" t="s">
        <v>948</v>
      </c>
      <c r="G882" t="s">
        <v>289</v>
      </c>
      <c r="H882" s="23">
        <v>10</v>
      </c>
      <c r="I882" s="23" t="s">
        <v>933</v>
      </c>
      <c r="J882" t="s">
        <v>949</v>
      </c>
      <c r="K882">
        <v>470</v>
      </c>
      <c r="L882">
        <v>779</v>
      </c>
      <c r="M882" s="24">
        <v>383</v>
      </c>
      <c r="N882" s="24">
        <v>786</v>
      </c>
      <c r="O882" s="24">
        <v>404</v>
      </c>
      <c r="P882" s="24">
        <v>751</v>
      </c>
      <c r="Q882">
        <v>443</v>
      </c>
      <c r="R882">
        <v>754</v>
      </c>
      <c r="S882">
        <v>664</v>
      </c>
      <c r="T882">
        <v>1068</v>
      </c>
      <c r="U882">
        <v>920</v>
      </c>
      <c r="V882">
        <v>1407</v>
      </c>
      <c r="W882">
        <v>1800</v>
      </c>
      <c r="X882">
        <v>2542</v>
      </c>
    </row>
    <row r="883" spans="2:24" x14ac:dyDescent="0.35">
      <c r="B883" s="23" t="s">
        <v>1006</v>
      </c>
      <c r="D883" t="s">
        <v>780</v>
      </c>
      <c r="E883" t="s">
        <v>781</v>
      </c>
      <c r="F883" s="46" t="s">
        <v>914</v>
      </c>
      <c r="G883" t="s">
        <v>279</v>
      </c>
      <c r="H883" s="23">
        <v>8</v>
      </c>
      <c r="I883" s="23" t="s">
        <v>902</v>
      </c>
      <c r="J883" t="s">
        <v>915</v>
      </c>
      <c r="K883">
        <v>124</v>
      </c>
      <c r="L883">
        <v>151</v>
      </c>
      <c r="M883" s="24">
        <v>131</v>
      </c>
      <c r="N883" s="24">
        <v>145</v>
      </c>
      <c r="O883" s="24">
        <v>125</v>
      </c>
      <c r="P883" s="24">
        <v>141</v>
      </c>
      <c r="Q883">
        <v>122</v>
      </c>
      <c r="R883">
        <v>159</v>
      </c>
      <c r="S883">
        <v>164</v>
      </c>
      <c r="T883">
        <v>214</v>
      </c>
      <c r="U883">
        <v>221</v>
      </c>
      <c r="V883">
        <v>277</v>
      </c>
      <c r="W883">
        <v>373</v>
      </c>
      <c r="X883">
        <v>484</v>
      </c>
    </row>
    <row r="884" spans="2:24" x14ac:dyDescent="0.35">
      <c r="B884" s="23" t="s">
        <v>1008</v>
      </c>
      <c r="D884" t="s">
        <v>780</v>
      </c>
      <c r="E884" t="s">
        <v>781</v>
      </c>
      <c r="F884" s="46" t="s">
        <v>795</v>
      </c>
      <c r="G884" t="s">
        <v>231</v>
      </c>
      <c r="H884" s="23">
        <v>1</v>
      </c>
      <c r="I884" s="23" t="s">
        <v>782</v>
      </c>
      <c r="J884" t="s">
        <v>379</v>
      </c>
      <c r="K884">
        <v>1182</v>
      </c>
      <c r="L884">
        <v>1406</v>
      </c>
      <c r="M884" s="24">
        <v>1177</v>
      </c>
      <c r="N884" s="24">
        <v>1339</v>
      </c>
      <c r="O884" s="24">
        <v>1267</v>
      </c>
      <c r="P884" s="24">
        <v>1517</v>
      </c>
      <c r="Q884">
        <v>1224</v>
      </c>
      <c r="R884">
        <v>1625</v>
      </c>
      <c r="S884">
        <v>1527</v>
      </c>
      <c r="T884">
        <v>2082</v>
      </c>
      <c r="U884">
        <v>1832</v>
      </c>
      <c r="V884">
        <v>2700</v>
      </c>
      <c r="W884">
        <v>2894</v>
      </c>
      <c r="X884">
        <v>4275</v>
      </c>
    </row>
    <row r="885" spans="2:24" x14ac:dyDescent="0.35">
      <c r="B885" s="23" t="s">
        <v>1010</v>
      </c>
      <c r="D885" t="s">
        <v>780</v>
      </c>
      <c r="E885" t="s">
        <v>781</v>
      </c>
      <c r="F885" s="46" t="s">
        <v>916</v>
      </c>
      <c r="G885" t="s">
        <v>279</v>
      </c>
      <c r="H885" s="23">
        <v>8</v>
      </c>
      <c r="I885" s="23" t="s">
        <v>902</v>
      </c>
      <c r="J885" t="s">
        <v>917</v>
      </c>
      <c r="K885">
        <v>172</v>
      </c>
      <c r="L885">
        <v>217</v>
      </c>
      <c r="M885" s="24">
        <v>172</v>
      </c>
      <c r="N885" s="24">
        <v>213</v>
      </c>
      <c r="O885" s="24">
        <v>182</v>
      </c>
      <c r="P885" s="24">
        <v>226</v>
      </c>
      <c r="Q885">
        <v>167</v>
      </c>
      <c r="R885">
        <v>247</v>
      </c>
      <c r="S885">
        <v>240</v>
      </c>
      <c r="T885">
        <v>333</v>
      </c>
      <c r="U885">
        <v>334</v>
      </c>
      <c r="V885">
        <v>428</v>
      </c>
      <c r="W885">
        <v>538</v>
      </c>
      <c r="X885">
        <v>691</v>
      </c>
    </row>
    <row r="886" spans="2:24" x14ac:dyDescent="0.35">
      <c r="B886" s="23" t="s">
        <v>1012</v>
      </c>
      <c r="D886" t="s">
        <v>780</v>
      </c>
      <c r="E886" t="s">
        <v>781</v>
      </c>
      <c r="F886" s="46" t="s">
        <v>870</v>
      </c>
      <c r="G886" t="s">
        <v>259</v>
      </c>
      <c r="H886" s="23">
        <v>5</v>
      </c>
      <c r="I886" s="23" t="s">
        <v>855</v>
      </c>
      <c r="J886" t="s">
        <v>871</v>
      </c>
      <c r="K886">
        <v>47</v>
      </c>
      <c r="L886">
        <v>56</v>
      </c>
      <c r="M886" s="24">
        <v>38</v>
      </c>
      <c r="N886" s="24">
        <v>46</v>
      </c>
      <c r="O886" s="24">
        <v>42</v>
      </c>
      <c r="P886" s="24">
        <v>49</v>
      </c>
      <c r="Q886">
        <v>42</v>
      </c>
      <c r="R886">
        <v>57</v>
      </c>
      <c r="S886">
        <v>64</v>
      </c>
      <c r="T886">
        <v>86</v>
      </c>
      <c r="U886">
        <v>85</v>
      </c>
      <c r="V886">
        <v>126</v>
      </c>
      <c r="W886">
        <v>201</v>
      </c>
      <c r="X886">
        <v>270</v>
      </c>
    </row>
    <row r="887" spans="2:24" x14ac:dyDescent="0.35">
      <c r="B887" s="23" t="s">
        <v>1014</v>
      </c>
      <c r="D887" t="s">
        <v>780</v>
      </c>
      <c r="E887" t="s">
        <v>781</v>
      </c>
      <c r="F887" s="46" t="s">
        <v>1023</v>
      </c>
      <c r="G887" t="s">
        <v>577</v>
      </c>
      <c r="H887" s="23">
        <v>14</v>
      </c>
      <c r="I887" s="23" t="s">
        <v>1004</v>
      </c>
      <c r="J887" t="s">
        <v>1024</v>
      </c>
      <c r="K887">
        <v>463</v>
      </c>
      <c r="L887">
        <v>549</v>
      </c>
      <c r="M887" s="24">
        <v>553</v>
      </c>
      <c r="N887" s="24">
        <v>645</v>
      </c>
      <c r="O887" s="24">
        <v>536</v>
      </c>
      <c r="P887" s="24">
        <v>645</v>
      </c>
      <c r="Q887">
        <v>534</v>
      </c>
      <c r="R887">
        <v>729</v>
      </c>
      <c r="S887">
        <v>749</v>
      </c>
      <c r="T887">
        <v>1043</v>
      </c>
      <c r="U887">
        <v>915</v>
      </c>
      <c r="V887">
        <v>1350</v>
      </c>
      <c r="W887">
        <v>1266</v>
      </c>
      <c r="X887">
        <v>2176</v>
      </c>
    </row>
    <row r="888" spans="2:24" x14ac:dyDescent="0.35">
      <c r="B888" s="23" t="s">
        <v>1016</v>
      </c>
      <c r="D888" t="s">
        <v>780</v>
      </c>
      <c r="E888" t="s">
        <v>781</v>
      </c>
      <c r="F888" s="46" t="s">
        <v>918</v>
      </c>
      <c r="G888" t="s">
        <v>279</v>
      </c>
      <c r="H888" s="23">
        <v>8</v>
      </c>
      <c r="I888" s="23" t="s">
        <v>902</v>
      </c>
      <c r="J888" t="s">
        <v>760</v>
      </c>
      <c r="K888">
        <v>165</v>
      </c>
      <c r="L888">
        <v>226</v>
      </c>
      <c r="M888" s="24">
        <v>172</v>
      </c>
      <c r="N888" s="24">
        <v>220</v>
      </c>
      <c r="O888" s="24">
        <v>178</v>
      </c>
      <c r="P888" s="24">
        <v>222</v>
      </c>
      <c r="Q888">
        <v>176</v>
      </c>
      <c r="R888">
        <v>247</v>
      </c>
      <c r="S888">
        <v>267</v>
      </c>
      <c r="T888">
        <v>355</v>
      </c>
      <c r="U888">
        <v>352</v>
      </c>
      <c r="V888">
        <v>492</v>
      </c>
      <c r="W888">
        <v>665</v>
      </c>
      <c r="X888">
        <v>845</v>
      </c>
    </row>
    <row r="889" spans="2:24" x14ac:dyDescent="0.35">
      <c r="B889" s="23" t="s">
        <v>1018</v>
      </c>
      <c r="D889" t="s">
        <v>780</v>
      </c>
      <c r="E889" t="s">
        <v>781</v>
      </c>
      <c r="F889" s="46" t="s">
        <v>964</v>
      </c>
      <c r="G889" t="s">
        <v>293</v>
      </c>
      <c r="H889" s="23">
        <v>11</v>
      </c>
      <c r="I889" s="23" t="s">
        <v>955</v>
      </c>
      <c r="J889" t="s">
        <v>965</v>
      </c>
      <c r="K889">
        <v>237</v>
      </c>
      <c r="L889">
        <v>273</v>
      </c>
      <c r="M889" s="24">
        <v>232</v>
      </c>
      <c r="N889" s="24">
        <v>267</v>
      </c>
      <c r="O889" s="24">
        <v>282</v>
      </c>
      <c r="P889" s="24">
        <v>321</v>
      </c>
      <c r="Q889">
        <v>286</v>
      </c>
      <c r="R889">
        <v>383</v>
      </c>
      <c r="S889">
        <v>434</v>
      </c>
      <c r="T889">
        <v>539</v>
      </c>
      <c r="U889">
        <v>481</v>
      </c>
      <c r="V889">
        <v>799</v>
      </c>
      <c r="W889">
        <v>706</v>
      </c>
      <c r="X889">
        <v>1305</v>
      </c>
    </row>
    <row r="890" spans="2:24" x14ac:dyDescent="0.35">
      <c r="B890" s="23" t="s">
        <v>1019</v>
      </c>
      <c r="D890" t="s">
        <v>780</v>
      </c>
      <c r="E890" t="s">
        <v>781</v>
      </c>
      <c r="F890" s="46" t="s">
        <v>796</v>
      </c>
      <c r="G890" t="s">
        <v>231</v>
      </c>
      <c r="H890" s="23">
        <v>1</v>
      </c>
      <c r="I890" s="23" t="s">
        <v>782</v>
      </c>
      <c r="J890" t="s">
        <v>797</v>
      </c>
      <c r="K890">
        <v>267</v>
      </c>
      <c r="L890">
        <v>338</v>
      </c>
      <c r="M890" s="24">
        <v>247</v>
      </c>
      <c r="N890" s="24">
        <v>289</v>
      </c>
      <c r="O890" s="24">
        <v>242</v>
      </c>
      <c r="P890" s="24">
        <v>298</v>
      </c>
      <c r="Q890">
        <v>219</v>
      </c>
      <c r="R890">
        <v>326</v>
      </c>
      <c r="S890">
        <v>301</v>
      </c>
      <c r="T890">
        <v>445</v>
      </c>
      <c r="U890">
        <v>365</v>
      </c>
      <c r="V890">
        <v>623</v>
      </c>
      <c r="W890">
        <v>749</v>
      </c>
      <c r="X890">
        <v>1152</v>
      </c>
    </row>
    <row r="891" spans="2:24" x14ac:dyDescent="0.35">
      <c r="B891" s="23" t="s">
        <v>1021</v>
      </c>
      <c r="D891" t="s">
        <v>780</v>
      </c>
      <c r="E891" t="s">
        <v>781</v>
      </c>
      <c r="F891" s="46" t="s">
        <v>1053</v>
      </c>
      <c r="G891" t="s">
        <v>581</v>
      </c>
      <c r="H891" s="23">
        <v>15</v>
      </c>
      <c r="I891" s="23" t="s">
        <v>1026</v>
      </c>
      <c r="J891" t="s">
        <v>1054</v>
      </c>
      <c r="K891">
        <v>1286</v>
      </c>
      <c r="L891">
        <v>1630</v>
      </c>
      <c r="M891" s="24">
        <v>1266</v>
      </c>
      <c r="N891" s="24">
        <v>1528</v>
      </c>
      <c r="O891" s="24">
        <v>1250</v>
      </c>
      <c r="P891" s="24">
        <v>1647</v>
      </c>
      <c r="Q891">
        <v>1142</v>
      </c>
      <c r="R891">
        <v>1559</v>
      </c>
      <c r="S891">
        <v>1626</v>
      </c>
      <c r="T891">
        <v>2505</v>
      </c>
      <c r="U891">
        <v>1603</v>
      </c>
      <c r="V891">
        <v>3110</v>
      </c>
      <c r="W891">
        <v>4144</v>
      </c>
      <c r="X891">
        <v>5634</v>
      </c>
    </row>
    <row r="892" spans="2:24" x14ac:dyDescent="0.35">
      <c r="B892" s="23" t="s">
        <v>1023</v>
      </c>
      <c r="D892" t="s">
        <v>780</v>
      </c>
      <c r="E892" t="s">
        <v>781</v>
      </c>
      <c r="F892" s="46" t="s">
        <v>1055</v>
      </c>
      <c r="G892" t="s">
        <v>581</v>
      </c>
      <c r="H892" s="23">
        <v>15</v>
      </c>
      <c r="I892" s="23" t="s">
        <v>1026</v>
      </c>
      <c r="J892" t="s">
        <v>1056</v>
      </c>
      <c r="K892">
        <v>934</v>
      </c>
      <c r="L892">
        <v>1134</v>
      </c>
      <c r="M892" s="24">
        <v>982</v>
      </c>
      <c r="N892" s="24">
        <v>1150</v>
      </c>
      <c r="O892" s="24">
        <v>973</v>
      </c>
      <c r="P892" s="24">
        <v>1153</v>
      </c>
      <c r="Q892">
        <v>976</v>
      </c>
      <c r="R892">
        <v>1286</v>
      </c>
      <c r="S892">
        <v>1221</v>
      </c>
      <c r="T892">
        <v>1728</v>
      </c>
      <c r="U892">
        <v>1063</v>
      </c>
      <c r="V892">
        <v>2216</v>
      </c>
      <c r="W892">
        <v>3028</v>
      </c>
      <c r="X892">
        <v>3951</v>
      </c>
    </row>
    <row r="893" spans="2:24" x14ac:dyDescent="0.35">
      <c r="B893" s="23" t="s">
        <v>1025</v>
      </c>
      <c r="D893" t="s">
        <v>780</v>
      </c>
      <c r="E893" t="s">
        <v>781</v>
      </c>
      <c r="F893" s="46" t="s">
        <v>966</v>
      </c>
      <c r="G893" t="s">
        <v>293</v>
      </c>
      <c r="H893" s="23">
        <v>11</v>
      </c>
      <c r="I893" s="23" t="s">
        <v>955</v>
      </c>
      <c r="J893" t="s">
        <v>967</v>
      </c>
      <c r="K893">
        <v>585</v>
      </c>
      <c r="L893">
        <v>678</v>
      </c>
      <c r="M893" s="24">
        <v>552</v>
      </c>
      <c r="N893" s="24">
        <v>651</v>
      </c>
      <c r="O893" s="24">
        <v>554</v>
      </c>
      <c r="P893" s="24">
        <v>675</v>
      </c>
      <c r="Q893">
        <v>606</v>
      </c>
      <c r="R893">
        <v>800</v>
      </c>
      <c r="S893">
        <v>864</v>
      </c>
      <c r="T893">
        <v>1198</v>
      </c>
      <c r="U893">
        <v>1173</v>
      </c>
      <c r="V893">
        <v>1593</v>
      </c>
      <c r="W893">
        <v>1556</v>
      </c>
      <c r="X893">
        <v>2762</v>
      </c>
    </row>
    <row r="894" spans="2:24" x14ac:dyDescent="0.35">
      <c r="B894" s="23" t="s">
        <v>1028</v>
      </c>
      <c r="D894" t="s">
        <v>780</v>
      </c>
      <c r="E894" t="s">
        <v>781</v>
      </c>
      <c r="F894" s="46" t="s">
        <v>950</v>
      </c>
      <c r="G894" t="s">
        <v>289</v>
      </c>
      <c r="H894" s="23">
        <v>10</v>
      </c>
      <c r="I894" s="23" t="s">
        <v>933</v>
      </c>
      <c r="J894" t="s">
        <v>951</v>
      </c>
      <c r="K894">
        <v>404</v>
      </c>
      <c r="L894">
        <v>677</v>
      </c>
      <c r="M894" s="24">
        <v>344</v>
      </c>
      <c r="N894" s="24">
        <v>686</v>
      </c>
      <c r="O894" s="24">
        <v>348</v>
      </c>
      <c r="P894" s="24">
        <v>645</v>
      </c>
      <c r="Q894">
        <v>373</v>
      </c>
      <c r="R894">
        <v>643</v>
      </c>
      <c r="S894">
        <v>499</v>
      </c>
      <c r="T894">
        <v>824</v>
      </c>
      <c r="U894">
        <v>595</v>
      </c>
      <c r="V894">
        <v>973</v>
      </c>
      <c r="W894">
        <v>688</v>
      </c>
      <c r="X894">
        <v>1255</v>
      </c>
    </row>
    <row r="895" spans="2:24" x14ac:dyDescent="0.35">
      <c r="B895" s="23" t="s">
        <v>1030</v>
      </c>
      <c r="D895" t="s">
        <v>780</v>
      </c>
      <c r="E895" t="s">
        <v>781</v>
      </c>
      <c r="F895" s="46" t="s">
        <v>968</v>
      </c>
      <c r="G895" t="s">
        <v>293</v>
      </c>
      <c r="H895" s="23">
        <v>11</v>
      </c>
      <c r="I895" s="23" t="s">
        <v>955</v>
      </c>
      <c r="J895" t="s">
        <v>969</v>
      </c>
      <c r="K895">
        <v>178</v>
      </c>
      <c r="L895">
        <v>196</v>
      </c>
      <c r="M895" s="24">
        <v>200</v>
      </c>
      <c r="N895" s="24">
        <v>224</v>
      </c>
      <c r="O895" s="24">
        <v>171</v>
      </c>
      <c r="P895" s="24">
        <v>211</v>
      </c>
      <c r="Q895">
        <v>178</v>
      </c>
      <c r="R895">
        <v>217</v>
      </c>
      <c r="S895">
        <v>265</v>
      </c>
      <c r="T895">
        <v>332</v>
      </c>
      <c r="U895">
        <v>336</v>
      </c>
      <c r="V895">
        <v>442</v>
      </c>
      <c r="W895">
        <v>412</v>
      </c>
      <c r="X895">
        <v>669</v>
      </c>
    </row>
    <row r="896" spans="2:24" x14ac:dyDescent="0.35">
      <c r="B896" s="23" t="s">
        <v>1032</v>
      </c>
      <c r="D896" t="s">
        <v>780</v>
      </c>
      <c r="E896" t="s">
        <v>781</v>
      </c>
      <c r="F896" s="46" t="s">
        <v>919</v>
      </c>
      <c r="G896" t="s">
        <v>279</v>
      </c>
      <c r="H896" s="23">
        <v>8</v>
      </c>
      <c r="I896" s="23" t="s">
        <v>902</v>
      </c>
      <c r="J896" t="s">
        <v>920</v>
      </c>
      <c r="K896">
        <v>1620</v>
      </c>
      <c r="L896">
        <v>1957</v>
      </c>
      <c r="M896" s="24">
        <v>1624</v>
      </c>
      <c r="N896" s="24">
        <v>1925</v>
      </c>
      <c r="O896" s="24">
        <v>1567</v>
      </c>
      <c r="P896" s="24">
        <v>1888</v>
      </c>
      <c r="Q896">
        <v>1408</v>
      </c>
      <c r="R896">
        <v>2152</v>
      </c>
      <c r="S896">
        <v>2621</v>
      </c>
      <c r="T896">
        <v>3689</v>
      </c>
      <c r="U896">
        <v>3324</v>
      </c>
      <c r="V896">
        <v>4750</v>
      </c>
      <c r="W896">
        <v>7528</v>
      </c>
      <c r="X896">
        <v>9541</v>
      </c>
    </row>
    <row r="897" spans="2:24" x14ac:dyDescent="0.35">
      <c r="B897" s="23" t="s">
        <v>1034</v>
      </c>
      <c r="D897" t="s">
        <v>780</v>
      </c>
      <c r="E897" t="s">
        <v>781</v>
      </c>
      <c r="F897" s="46" t="s">
        <v>1057</v>
      </c>
      <c r="G897" t="s">
        <v>581</v>
      </c>
      <c r="H897" s="23">
        <v>15</v>
      </c>
      <c r="I897" s="23" t="s">
        <v>1026</v>
      </c>
      <c r="J897" t="s">
        <v>1058</v>
      </c>
      <c r="K897">
        <v>175</v>
      </c>
      <c r="L897">
        <v>202</v>
      </c>
      <c r="M897" s="24">
        <v>197</v>
      </c>
      <c r="N897" s="24">
        <v>224</v>
      </c>
      <c r="O897" s="24">
        <v>180</v>
      </c>
      <c r="P897" s="24">
        <v>219</v>
      </c>
      <c r="Q897">
        <v>169</v>
      </c>
      <c r="R897">
        <v>203</v>
      </c>
      <c r="S897">
        <v>256</v>
      </c>
      <c r="T897">
        <v>336</v>
      </c>
      <c r="U897">
        <v>244</v>
      </c>
      <c r="V897">
        <v>465</v>
      </c>
      <c r="W897">
        <v>661</v>
      </c>
      <c r="X897">
        <v>898</v>
      </c>
    </row>
    <row r="898" spans="2:24" x14ac:dyDescent="0.35">
      <c r="B898" s="23" t="s">
        <v>1036</v>
      </c>
      <c r="D898" t="s">
        <v>780</v>
      </c>
      <c r="E898" t="s">
        <v>781</v>
      </c>
      <c r="F898" s="46" t="s">
        <v>989</v>
      </c>
      <c r="G898" t="s">
        <v>303</v>
      </c>
      <c r="H898" s="23">
        <v>12</v>
      </c>
      <c r="I898" s="23" t="s">
        <v>973</v>
      </c>
      <c r="J898" t="s">
        <v>990</v>
      </c>
      <c r="K898">
        <v>196</v>
      </c>
      <c r="L898">
        <v>234</v>
      </c>
      <c r="M898" s="24">
        <v>161</v>
      </c>
      <c r="N898" s="24">
        <v>192</v>
      </c>
      <c r="O898" s="24">
        <v>128</v>
      </c>
      <c r="P898" s="24">
        <v>171</v>
      </c>
      <c r="Q898">
        <v>130</v>
      </c>
      <c r="R898">
        <v>176</v>
      </c>
      <c r="S898">
        <v>227</v>
      </c>
      <c r="T898">
        <v>312</v>
      </c>
      <c r="U898">
        <v>364</v>
      </c>
      <c r="V898">
        <v>448</v>
      </c>
      <c r="W898">
        <v>709</v>
      </c>
      <c r="X898">
        <v>884</v>
      </c>
    </row>
    <row r="899" spans="2:24" x14ac:dyDescent="0.35">
      <c r="B899" s="23" t="s">
        <v>1038</v>
      </c>
      <c r="D899" t="s">
        <v>780</v>
      </c>
      <c r="E899" t="s">
        <v>781</v>
      </c>
      <c r="F899" s="46" t="s">
        <v>952</v>
      </c>
      <c r="G899" t="s">
        <v>289</v>
      </c>
      <c r="H899" s="23">
        <v>10</v>
      </c>
      <c r="I899" s="23" t="s">
        <v>933</v>
      </c>
      <c r="J899" t="s">
        <v>518</v>
      </c>
      <c r="K899">
        <v>739</v>
      </c>
      <c r="L899">
        <v>1338</v>
      </c>
      <c r="M899" s="24">
        <v>655</v>
      </c>
      <c r="N899" s="24">
        <v>1367</v>
      </c>
      <c r="O899" s="24">
        <v>565</v>
      </c>
      <c r="P899" s="24">
        <v>1225</v>
      </c>
      <c r="Q899">
        <v>643</v>
      </c>
      <c r="R899">
        <v>1213</v>
      </c>
      <c r="S899">
        <v>934</v>
      </c>
      <c r="T899">
        <v>1546</v>
      </c>
      <c r="U899">
        <v>999</v>
      </c>
      <c r="V899">
        <v>1776</v>
      </c>
      <c r="W899">
        <v>1202</v>
      </c>
      <c r="X899">
        <v>2334</v>
      </c>
    </row>
    <row r="900" spans="2:24" x14ac:dyDescent="0.35">
      <c r="B900" s="23" t="s">
        <v>1040</v>
      </c>
      <c r="D900" t="s">
        <v>780</v>
      </c>
      <c r="E900" t="s">
        <v>781</v>
      </c>
      <c r="F900" s="46" t="s">
        <v>921</v>
      </c>
      <c r="G900" t="s">
        <v>279</v>
      </c>
      <c r="H900" s="23">
        <v>8</v>
      </c>
      <c r="I900" s="23" t="s">
        <v>902</v>
      </c>
      <c r="J900" t="s">
        <v>922</v>
      </c>
      <c r="K900">
        <v>586</v>
      </c>
      <c r="L900">
        <v>743</v>
      </c>
      <c r="M900" s="24">
        <v>552</v>
      </c>
      <c r="N900" s="24">
        <v>684</v>
      </c>
      <c r="O900" s="24">
        <v>513</v>
      </c>
      <c r="P900" s="24">
        <v>666</v>
      </c>
      <c r="Q900">
        <v>419</v>
      </c>
      <c r="R900">
        <v>661</v>
      </c>
      <c r="S900">
        <v>630</v>
      </c>
      <c r="T900">
        <v>920</v>
      </c>
      <c r="U900">
        <v>991</v>
      </c>
      <c r="V900">
        <v>1400</v>
      </c>
      <c r="W900">
        <v>2121</v>
      </c>
      <c r="X900">
        <v>2793</v>
      </c>
    </row>
    <row r="901" spans="2:24" x14ac:dyDescent="0.35">
      <c r="B901" s="23" t="s">
        <v>1042</v>
      </c>
      <c r="D901" t="s">
        <v>780</v>
      </c>
      <c r="E901" t="s">
        <v>781</v>
      </c>
      <c r="F901" s="46" t="s">
        <v>900</v>
      </c>
      <c r="G901" t="s">
        <v>273</v>
      </c>
      <c r="H901" s="23">
        <v>7</v>
      </c>
      <c r="I901" s="23" t="s">
        <v>896</v>
      </c>
      <c r="J901" t="s">
        <v>253</v>
      </c>
      <c r="K901">
        <v>1382</v>
      </c>
      <c r="L901">
        <v>2211</v>
      </c>
      <c r="M901" s="24">
        <v>1604</v>
      </c>
      <c r="N901" s="24">
        <v>2129</v>
      </c>
      <c r="O901" s="24">
        <v>1436</v>
      </c>
      <c r="P901" s="24">
        <v>1834</v>
      </c>
      <c r="Q901">
        <v>1359</v>
      </c>
      <c r="R901">
        <v>2042</v>
      </c>
      <c r="S901">
        <v>1737</v>
      </c>
      <c r="T901">
        <v>2677</v>
      </c>
      <c r="U901">
        <v>2198</v>
      </c>
      <c r="V901">
        <v>3369</v>
      </c>
      <c r="W901">
        <v>3874</v>
      </c>
      <c r="X901">
        <v>5513</v>
      </c>
    </row>
    <row r="902" spans="2:24" x14ac:dyDescent="0.35">
      <c r="B902" s="23" t="s">
        <v>1044</v>
      </c>
      <c r="D902" t="s">
        <v>780</v>
      </c>
      <c r="E902" t="s">
        <v>781</v>
      </c>
      <c r="F902" s="46" t="s">
        <v>847</v>
      </c>
      <c r="G902" t="s">
        <v>239</v>
      </c>
      <c r="H902" s="23">
        <v>3</v>
      </c>
      <c r="I902" s="23" t="s">
        <v>815</v>
      </c>
      <c r="J902" t="s">
        <v>775</v>
      </c>
      <c r="K902">
        <v>2908</v>
      </c>
      <c r="L902">
        <v>3591</v>
      </c>
      <c r="M902" s="24">
        <v>2712</v>
      </c>
      <c r="N902" s="24">
        <v>3335</v>
      </c>
      <c r="O902" s="24">
        <v>2766</v>
      </c>
      <c r="P902" s="24">
        <v>3576</v>
      </c>
      <c r="Q902">
        <v>3005</v>
      </c>
      <c r="R902">
        <v>4140</v>
      </c>
      <c r="S902">
        <v>4235</v>
      </c>
      <c r="T902">
        <v>6065</v>
      </c>
      <c r="U902">
        <v>4765</v>
      </c>
      <c r="V902">
        <v>7174</v>
      </c>
      <c r="W902">
        <v>8019</v>
      </c>
      <c r="X902">
        <v>11412</v>
      </c>
    </row>
    <row r="903" spans="2:24" x14ac:dyDescent="0.35">
      <c r="B903" s="23" t="s">
        <v>1046</v>
      </c>
      <c r="D903" t="s">
        <v>780</v>
      </c>
      <c r="E903" t="s">
        <v>781</v>
      </c>
      <c r="F903" s="46" t="s">
        <v>891</v>
      </c>
      <c r="G903" t="s">
        <v>265</v>
      </c>
      <c r="H903" s="23">
        <v>6</v>
      </c>
      <c r="I903" s="23" t="s">
        <v>877</v>
      </c>
      <c r="J903" t="s">
        <v>892</v>
      </c>
      <c r="K903">
        <v>501</v>
      </c>
      <c r="L903">
        <v>588</v>
      </c>
      <c r="M903" s="24">
        <v>465</v>
      </c>
      <c r="N903" s="24">
        <v>530</v>
      </c>
      <c r="O903" s="24">
        <v>514</v>
      </c>
      <c r="P903" s="24">
        <v>621</v>
      </c>
      <c r="Q903">
        <v>541</v>
      </c>
      <c r="R903">
        <v>699</v>
      </c>
      <c r="S903">
        <v>949</v>
      </c>
      <c r="T903">
        <v>1285</v>
      </c>
      <c r="U903">
        <v>1567</v>
      </c>
      <c r="V903">
        <v>2114</v>
      </c>
      <c r="W903">
        <v>2666</v>
      </c>
      <c r="X903">
        <v>3903</v>
      </c>
    </row>
    <row r="904" spans="2:24" x14ac:dyDescent="0.35">
      <c r="B904" s="23" t="s">
        <v>1048</v>
      </c>
      <c r="D904" t="s">
        <v>780</v>
      </c>
      <c r="E904" t="s">
        <v>781</v>
      </c>
      <c r="F904" s="46" t="s">
        <v>872</v>
      </c>
      <c r="G904" t="s">
        <v>259</v>
      </c>
      <c r="H904" s="23">
        <v>5</v>
      </c>
      <c r="I904" s="23" t="s">
        <v>855</v>
      </c>
      <c r="J904" t="s">
        <v>873</v>
      </c>
      <c r="K904">
        <v>164</v>
      </c>
      <c r="L904">
        <v>199</v>
      </c>
      <c r="M904" s="24">
        <v>136</v>
      </c>
      <c r="N904" s="24">
        <v>170</v>
      </c>
      <c r="O904" s="24">
        <v>142</v>
      </c>
      <c r="P904" s="24">
        <v>180</v>
      </c>
      <c r="Q904">
        <v>132</v>
      </c>
      <c r="R904">
        <v>180</v>
      </c>
      <c r="S904">
        <v>177</v>
      </c>
      <c r="T904">
        <v>236</v>
      </c>
      <c r="U904">
        <v>210</v>
      </c>
      <c r="V904">
        <v>299</v>
      </c>
      <c r="W904">
        <v>419</v>
      </c>
      <c r="X904">
        <v>582</v>
      </c>
    </row>
    <row r="905" spans="2:24" x14ac:dyDescent="0.35">
      <c r="B905" s="23" t="s">
        <v>1050</v>
      </c>
      <c r="D905" t="s">
        <v>780</v>
      </c>
      <c r="E905" t="s">
        <v>781</v>
      </c>
      <c r="F905" s="46" t="s">
        <v>1063</v>
      </c>
      <c r="G905" t="s">
        <v>585</v>
      </c>
      <c r="H905" s="23">
        <v>16</v>
      </c>
      <c r="I905" s="23" t="s">
        <v>1060</v>
      </c>
      <c r="J905" t="s">
        <v>385</v>
      </c>
      <c r="K905">
        <v>447</v>
      </c>
      <c r="L905">
        <v>574</v>
      </c>
      <c r="M905" s="24">
        <v>430</v>
      </c>
      <c r="N905" s="24">
        <v>533</v>
      </c>
      <c r="O905" s="24">
        <v>429</v>
      </c>
      <c r="P905" s="24">
        <v>572</v>
      </c>
      <c r="Q905">
        <v>356</v>
      </c>
      <c r="R905">
        <v>534</v>
      </c>
      <c r="S905">
        <v>559</v>
      </c>
      <c r="T905">
        <v>769</v>
      </c>
      <c r="U905">
        <v>770</v>
      </c>
      <c r="V905">
        <v>1034</v>
      </c>
      <c r="W905">
        <v>1487</v>
      </c>
      <c r="X905">
        <v>1889</v>
      </c>
    </row>
    <row r="906" spans="2:24" x14ac:dyDescent="0.35">
      <c r="B906" s="23" t="s">
        <v>1051</v>
      </c>
      <c r="D906" t="s">
        <v>780</v>
      </c>
      <c r="E906" t="s">
        <v>781</v>
      </c>
      <c r="F906" s="46" t="s">
        <v>893</v>
      </c>
      <c r="G906" t="s">
        <v>265</v>
      </c>
      <c r="H906" s="23">
        <v>6</v>
      </c>
      <c r="I906" s="23" t="s">
        <v>877</v>
      </c>
      <c r="J906" t="s">
        <v>894</v>
      </c>
      <c r="K906">
        <v>726</v>
      </c>
      <c r="L906">
        <v>875</v>
      </c>
      <c r="M906" s="24">
        <v>675</v>
      </c>
      <c r="N906" s="24">
        <v>821</v>
      </c>
      <c r="O906" s="24">
        <v>680</v>
      </c>
      <c r="P906" s="24">
        <v>847</v>
      </c>
      <c r="Q906">
        <v>510</v>
      </c>
      <c r="R906">
        <v>839</v>
      </c>
      <c r="S906">
        <v>755</v>
      </c>
      <c r="T906">
        <v>1289</v>
      </c>
      <c r="U906">
        <v>1115</v>
      </c>
      <c r="V906">
        <v>2015</v>
      </c>
      <c r="W906">
        <v>1588</v>
      </c>
      <c r="X906">
        <v>3220</v>
      </c>
    </row>
    <row r="907" spans="2:24" x14ac:dyDescent="0.35">
      <c r="B907" s="23" t="s">
        <v>1052</v>
      </c>
      <c r="D907" t="s">
        <v>780</v>
      </c>
      <c r="E907" t="s">
        <v>781</v>
      </c>
      <c r="F907" s="46" t="s">
        <v>923</v>
      </c>
      <c r="G907" t="s">
        <v>279</v>
      </c>
      <c r="H907" s="23">
        <v>8</v>
      </c>
      <c r="I907" s="23" t="s">
        <v>902</v>
      </c>
      <c r="J907" t="s">
        <v>924</v>
      </c>
      <c r="K907">
        <v>96</v>
      </c>
      <c r="L907">
        <v>137</v>
      </c>
      <c r="M907" s="24">
        <v>79</v>
      </c>
      <c r="N907" s="24">
        <v>105</v>
      </c>
      <c r="O907" s="24">
        <v>66</v>
      </c>
      <c r="P907" s="24">
        <v>99</v>
      </c>
      <c r="Q907">
        <v>72</v>
      </c>
      <c r="R907">
        <v>113</v>
      </c>
      <c r="S907">
        <v>108</v>
      </c>
      <c r="T907">
        <v>157</v>
      </c>
      <c r="U907">
        <v>112</v>
      </c>
      <c r="V907">
        <v>176</v>
      </c>
      <c r="W907">
        <v>193</v>
      </c>
      <c r="X907">
        <v>264</v>
      </c>
    </row>
    <row r="908" spans="2:24" x14ac:dyDescent="0.35">
      <c r="B908" s="23" t="s">
        <v>1053</v>
      </c>
      <c r="D908" t="s">
        <v>780</v>
      </c>
      <c r="E908" t="s">
        <v>781</v>
      </c>
      <c r="F908" s="46" t="s">
        <v>970</v>
      </c>
      <c r="G908" t="s">
        <v>293</v>
      </c>
      <c r="H908" s="23">
        <v>11</v>
      </c>
      <c r="I908" s="23" t="s">
        <v>955</v>
      </c>
      <c r="J908" t="s">
        <v>971</v>
      </c>
      <c r="K908">
        <v>92</v>
      </c>
      <c r="L908">
        <v>113</v>
      </c>
      <c r="M908" s="24">
        <v>101</v>
      </c>
      <c r="N908" s="24">
        <v>119</v>
      </c>
      <c r="O908" s="24">
        <v>107</v>
      </c>
      <c r="P908" s="24">
        <v>126</v>
      </c>
      <c r="Q908">
        <v>108</v>
      </c>
      <c r="R908">
        <v>150</v>
      </c>
      <c r="S908">
        <v>339</v>
      </c>
      <c r="T908">
        <v>394</v>
      </c>
      <c r="U908">
        <v>164</v>
      </c>
      <c r="V908">
        <v>246</v>
      </c>
      <c r="W908">
        <v>253</v>
      </c>
      <c r="X908">
        <v>447</v>
      </c>
    </row>
    <row r="909" spans="2:24" x14ac:dyDescent="0.35">
      <c r="B909" s="23" t="s">
        <v>1055</v>
      </c>
      <c r="D909" t="s">
        <v>780</v>
      </c>
      <c r="E909" t="s">
        <v>781</v>
      </c>
      <c r="F909" s="46" t="s">
        <v>953</v>
      </c>
      <c r="G909" t="s">
        <v>289</v>
      </c>
      <c r="H909" s="23">
        <v>10</v>
      </c>
      <c r="I909" s="23" t="s">
        <v>933</v>
      </c>
      <c r="J909" t="s">
        <v>417</v>
      </c>
      <c r="K909">
        <v>1244</v>
      </c>
      <c r="L909">
        <v>2101</v>
      </c>
      <c r="M909" s="24">
        <v>1199</v>
      </c>
      <c r="N909" s="24">
        <v>2129</v>
      </c>
      <c r="O909" s="24">
        <v>1089</v>
      </c>
      <c r="P909" s="24">
        <v>1985</v>
      </c>
      <c r="Q909">
        <v>1075</v>
      </c>
      <c r="R909">
        <v>1852</v>
      </c>
      <c r="S909">
        <v>1278</v>
      </c>
      <c r="T909">
        <v>2356</v>
      </c>
      <c r="U909">
        <v>1605</v>
      </c>
      <c r="V909">
        <v>2711</v>
      </c>
      <c r="W909">
        <v>2092</v>
      </c>
      <c r="X909">
        <v>3619</v>
      </c>
    </row>
    <row r="910" spans="2:24" x14ac:dyDescent="0.35">
      <c r="B910" s="23" t="s">
        <v>1057</v>
      </c>
      <c r="D910" t="s">
        <v>780</v>
      </c>
      <c r="E910" t="s">
        <v>781</v>
      </c>
      <c r="F910" s="46" t="s">
        <v>930</v>
      </c>
      <c r="G910" t="s">
        <v>283</v>
      </c>
      <c r="H910" s="23">
        <v>9</v>
      </c>
      <c r="I910" s="23" t="s">
        <v>926</v>
      </c>
      <c r="J910" t="s">
        <v>931</v>
      </c>
      <c r="K910">
        <v>2301</v>
      </c>
      <c r="L910">
        <v>3455</v>
      </c>
      <c r="M910" s="24">
        <v>2090</v>
      </c>
      <c r="N910" s="24">
        <v>3311</v>
      </c>
      <c r="O910" s="24">
        <v>1739</v>
      </c>
      <c r="P910" s="24">
        <v>2930</v>
      </c>
      <c r="Q910">
        <v>2241</v>
      </c>
      <c r="R910">
        <v>3954</v>
      </c>
      <c r="S910">
        <v>3340</v>
      </c>
      <c r="T910">
        <v>5033</v>
      </c>
      <c r="U910">
        <v>4525</v>
      </c>
      <c r="V910">
        <v>6231</v>
      </c>
      <c r="W910">
        <v>7894</v>
      </c>
      <c r="X910">
        <v>10289</v>
      </c>
    </row>
    <row r="911" spans="2:24" x14ac:dyDescent="0.35">
      <c r="B911" s="23" t="s">
        <v>1059</v>
      </c>
      <c r="D911" t="s">
        <v>780</v>
      </c>
      <c r="E911" t="s">
        <v>781</v>
      </c>
      <c r="F911" s="46" t="s">
        <v>991</v>
      </c>
      <c r="G911" t="s">
        <v>303</v>
      </c>
      <c r="H911" s="23">
        <v>12</v>
      </c>
      <c r="I911" s="23" t="s">
        <v>973</v>
      </c>
      <c r="J911" t="s">
        <v>387</v>
      </c>
      <c r="K911">
        <v>190</v>
      </c>
      <c r="L911">
        <v>229</v>
      </c>
      <c r="M911" s="24">
        <v>248</v>
      </c>
      <c r="N911" s="24">
        <v>279</v>
      </c>
      <c r="O911" s="24">
        <v>239</v>
      </c>
      <c r="P911" s="24">
        <v>281</v>
      </c>
      <c r="Q911">
        <v>222</v>
      </c>
      <c r="R911">
        <v>302</v>
      </c>
      <c r="S911">
        <v>313</v>
      </c>
      <c r="T911">
        <v>401</v>
      </c>
      <c r="U911">
        <v>428</v>
      </c>
      <c r="V911">
        <v>541</v>
      </c>
      <c r="W911">
        <v>685</v>
      </c>
      <c r="X911">
        <v>837</v>
      </c>
    </row>
    <row r="912" spans="2:24" x14ac:dyDescent="0.35">
      <c r="B912" s="23" t="s">
        <v>1061</v>
      </c>
      <c r="D912" t="s">
        <v>780</v>
      </c>
      <c r="E912" t="s">
        <v>781</v>
      </c>
      <c r="F912" s="46" t="s">
        <v>874</v>
      </c>
      <c r="G912" t="s">
        <v>259</v>
      </c>
      <c r="H912" s="23">
        <v>5</v>
      </c>
      <c r="I912" s="23" t="s">
        <v>855</v>
      </c>
      <c r="J912" t="s">
        <v>875</v>
      </c>
      <c r="K912">
        <v>331</v>
      </c>
      <c r="L912">
        <v>381</v>
      </c>
      <c r="M912" s="24">
        <v>291</v>
      </c>
      <c r="N912" s="24">
        <v>337</v>
      </c>
      <c r="O912" s="24">
        <v>288</v>
      </c>
      <c r="P912" s="24">
        <v>359</v>
      </c>
      <c r="Q912">
        <v>276</v>
      </c>
      <c r="R912">
        <v>397</v>
      </c>
      <c r="S912">
        <v>317</v>
      </c>
      <c r="T912">
        <v>425</v>
      </c>
      <c r="U912">
        <v>421</v>
      </c>
      <c r="V912">
        <v>583</v>
      </c>
      <c r="W912">
        <v>655</v>
      </c>
      <c r="X912">
        <v>896</v>
      </c>
    </row>
    <row r="913" spans="2:24" x14ac:dyDescent="0.35">
      <c r="B913" s="23" t="s">
        <v>1063</v>
      </c>
      <c r="D913" t="s">
        <v>780</v>
      </c>
      <c r="E913" t="s">
        <v>781</v>
      </c>
      <c r="F913" s="46" t="s">
        <v>1064</v>
      </c>
      <c r="G913" t="s">
        <v>585</v>
      </c>
      <c r="H913" s="23">
        <v>16</v>
      </c>
      <c r="I913" s="23" t="s">
        <v>1060</v>
      </c>
      <c r="J913" t="s">
        <v>1065</v>
      </c>
      <c r="K913">
        <v>227</v>
      </c>
      <c r="L913">
        <v>265</v>
      </c>
      <c r="M913" s="24">
        <v>195</v>
      </c>
      <c r="N913" s="24">
        <v>230</v>
      </c>
      <c r="O913" s="24">
        <v>174</v>
      </c>
      <c r="P913" s="24">
        <v>228</v>
      </c>
      <c r="Q913">
        <v>144</v>
      </c>
      <c r="R913">
        <v>236</v>
      </c>
      <c r="S913">
        <v>221</v>
      </c>
      <c r="T913">
        <v>315</v>
      </c>
      <c r="U913">
        <v>346</v>
      </c>
      <c r="V913">
        <v>471</v>
      </c>
      <c r="W913">
        <v>737</v>
      </c>
      <c r="X913">
        <v>919</v>
      </c>
    </row>
    <row r="914" spans="2:24" x14ac:dyDescent="0.35">
      <c r="B914" s="23" t="s">
        <v>1064</v>
      </c>
      <c r="D914" t="s">
        <v>780</v>
      </c>
      <c r="E914" t="s">
        <v>781</v>
      </c>
      <c r="F914" s="46" t="s">
        <v>798</v>
      </c>
      <c r="G914" t="s">
        <v>231</v>
      </c>
      <c r="H914" s="23">
        <v>1</v>
      </c>
      <c r="I914" s="23" t="s">
        <v>782</v>
      </c>
      <c r="J914" t="s">
        <v>799</v>
      </c>
      <c r="K914">
        <v>452</v>
      </c>
      <c r="L914">
        <v>578</v>
      </c>
      <c r="M914" s="24">
        <v>436</v>
      </c>
      <c r="N914" s="24">
        <v>519</v>
      </c>
      <c r="O914" s="24">
        <v>447</v>
      </c>
      <c r="P914" s="24">
        <v>524</v>
      </c>
      <c r="Q914">
        <v>449</v>
      </c>
      <c r="R914">
        <v>598</v>
      </c>
      <c r="S914">
        <v>691</v>
      </c>
      <c r="T914">
        <v>888</v>
      </c>
      <c r="U914">
        <v>713</v>
      </c>
      <c r="V914">
        <v>1043</v>
      </c>
      <c r="W914">
        <v>1204</v>
      </c>
      <c r="X914">
        <v>1779</v>
      </c>
    </row>
    <row r="915" spans="2:24" x14ac:dyDescent="0.35">
      <c r="B915" s="23" t="s">
        <v>1066</v>
      </c>
      <c r="D915" t="s">
        <v>1067</v>
      </c>
      <c r="E915" t="s">
        <v>1068</v>
      </c>
      <c r="F915" s="46" t="s">
        <v>1092</v>
      </c>
      <c r="G915" t="s">
        <v>239</v>
      </c>
      <c r="H915" s="23">
        <v>3</v>
      </c>
      <c r="I915" s="23" t="s">
        <v>1093</v>
      </c>
      <c r="J915" t="s">
        <v>1094</v>
      </c>
      <c r="K915">
        <v>744</v>
      </c>
      <c r="L915">
        <v>1158</v>
      </c>
      <c r="M915" s="24">
        <v>662</v>
      </c>
      <c r="N915" s="24">
        <v>1024</v>
      </c>
      <c r="O915" s="24">
        <v>648</v>
      </c>
      <c r="P915" s="24">
        <v>981</v>
      </c>
      <c r="Q915">
        <v>605</v>
      </c>
      <c r="R915">
        <v>908</v>
      </c>
      <c r="S915">
        <v>783</v>
      </c>
      <c r="T915">
        <v>1267</v>
      </c>
      <c r="U915">
        <v>856</v>
      </c>
      <c r="V915">
        <v>1794</v>
      </c>
      <c r="W915">
        <v>1739</v>
      </c>
      <c r="X915">
        <v>4138</v>
      </c>
    </row>
    <row r="916" spans="2:24" x14ac:dyDescent="0.35">
      <c r="B916" s="23" t="s">
        <v>1071</v>
      </c>
      <c r="D916" t="s">
        <v>1067</v>
      </c>
      <c r="E916" t="s">
        <v>1068</v>
      </c>
      <c r="F916" s="46" t="s">
        <v>1109</v>
      </c>
      <c r="G916" t="s">
        <v>255</v>
      </c>
      <c r="H916" s="23">
        <v>4</v>
      </c>
      <c r="I916" s="23" t="s">
        <v>1110</v>
      </c>
      <c r="J916" t="s">
        <v>1111</v>
      </c>
      <c r="K916">
        <v>146</v>
      </c>
      <c r="L916">
        <v>227</v>
      </c>
      <c r="M916" s="24">
        <v>131</v>
      </c>
      <c r="N916" s="24">
        <v>217</v>
      </c>
      <c r="O916" s="24">
        <v>113</v>
      </c>
      <c r="P916" s="24">
        <v>201</v>
      </c>
      <c r="Q916">
        <v>131</v>
      </c>
      <c r="R916">
        <v>237</v>
      </c>
      <c r="S916">
        <v>156</v>
      </c>
      <c r="T916">
        <v>312</v>
      </c>
      <c r="U916">
        <v>199</v>
      </c>
      <c r="V916">
        <v>366</v>
      </c>
      <c r="W916">
        <v>410</v>
      </c>
      <c r="X916">
        <v>616</v>
      </c>
    </row>
    <row r="917" spans="2:24" x14ac:dyDescent="0.35">
      <c r="B917" s="23" t="s">
        <v>1073</v>
      </c>
      <c r="D917" t="s">
        <v>1067</v>
      </c>
      <c r="E917" t="s">
        <v>1068</v>
      </c>
      <c r="F917" s="46" t="s">
        <v>1120</v>
      </c>
      <c r="G917" t="s">
        <v>259</v>
      </c>
      <c r="H917" s="23">
        <v>5</v>
      </c>
      <c r="I917" s="23" t="s">
        <v>1121</v>
      </c>
      <c r="J917" t="s">
        <v>1122</v>
      </c>
      <c r="K917">
        <v>1590</v>
      </c>
      <c r="L917">
        <v>2648</v>
      </c>
      <c r="M917" s="24">
        <v>1331</v>
      </c>
      <c r="N917" s="24">
        <v>2319</v>
      </c>
      <c r="O917" s="24">
        <v>1256</v>
      </c>
      <c r="P917" s="24">
        <v>2209</v>
      </c>
      <c r="Q917">
        <v>1329</v>
      </c>
      <c r="R917">
        <v>2331</v>
      </c>
      <c r="S917">
        <v>1354</v>
      </c>
      <c r="T917">
        <v>2782</v>
      </c>
      <c r="U917">
        <v>1610</v>
      </c>
      <c r="V917">
        <v>3158</v>
      </c>
      <c r="W917">
        <v>2779</v>
      </c>
      <c r="X917">
        <v>5114</v>
      </c>
    </row>
    <row r="918" spans="2:24" x14ac:dyDescent="0.35">
      <c r="B918" s="23" t="s">
        <v>1075</v>
      </c>
      <c r="D918" t="s">
        <v>1067</v>
      </c>
      <c r="E918" t="s">
        <v>1068</v>
      </c>
      <c r="F918" s="46" t="s">
        <v>1085</v>
      </c>
      <c r="G918" t="s">
        <v>235</v>
      </c>
      <c r="H918" s="23">
        <v>2</v>
      </c>
      <c r="I918" s="23" t="s">
        <v>1086</v>
      </c>
      <c r="J918" t="s">
        <v>1087</v>
      </c>
      <c r="K918">
        <v>265</v>
      </c>
      <c r="L918">
        <v>390</v>
      </c>
      <c r="M918" s="24">
        <v>228</v>
      </c>
      <c r="N918" s="24">
        <v>352</v>
      </c>
      <c r="O918" s="24">
        <v>227</v>
      </c>
      <c r="P918" s="24">
        <v>335</v>
      </c>
      <c r="Q918">
        <v>197</v>
      </c>
      <c r="R918">
        <v>318</v>
      </c>
      <c r="S918">
        <v>254</v>
      </c>
      <c r="T918">
        <v>412</v>
      </c>
      <c r="U918">
        <v>282</v>
      </c>
      <c r="V918">
        <v>449</v>
      </c>
      <c r="W918">
        <v>466</v>
      </c>
      <c r="X918">
        <v>722</v>
      </c>
    </row>
    <row r="919" spans="2:24" x14ac:dyDescent="0.35">
      <c r="B919" s="23" t="s">
        <v>1077</v>
      </c>
      <c r="D919" t="s">
        <v>1067</v>
      </c>
      <c r="E919" t="s">
        <v>1068</v>
      </c>
      <c r="F919" s="46" t="s">
        <v>1143</v>
      </c>
      <c r="G919" t="s">
        <v>265</v>
      </c>
      <c r="H919" s="23">
        <v>6</v>
      </c>
      <c r="I919" s="23" t="s">
        <v>1144</v>
      </c>
      <c r="J919" t="s">
        <v>1145</v>
      </c>
      <c r="K919">
        <v>428</v>
      </c>
      <c r="L919">
        <v>721</v>
      </c>
      <c r="M919" s="24">
        <v>408</v>
      </c>
      <c r="N919" s="24">
        <v>646</v>
      </c>
      <c r="O919" s="24">
        <v>385</v>
      </c>
      <c r="P919" s="24">
        <v>626</v>
      </c>
      <c r="Q919">
        <v>360</v>
      </c>
      <c r="R919">
        <v>596</v>
      </c>
      <c r="S919">
        <v>437</v>
      </c>
      <c r="T919">
        <v>739</v>
      </c>
      <c r="U919">
        <v>410</v>
      </c>
      <c r="V919">
        <v>860</v>
      </c>
      <c r="W919">
        <v>751</v>
      </c>
      <c r="X919">
        <v>1287</v>
      </c>
    </row>
    <row r="920" spans="2:24" x14ac:dyDescent="0.35">
      <c r="B920" s="23" t="s">
        <v>1079</v>
      </c>
      <c r="D920" t="s">
        <v>1067</v>
      </c>
      <c r="E920" t="s">
        <v>1068</v>
      </c>
      <c r="F920" s="46" t="s">
        <v>1112</v>
      </c>
      <c r="G920" t="s">
        <v>255</v>
      </c>
      <c r="H920" s="23">
        <v>4</v>
      </c>
      <c r="I920" s="23" t="s">
        <v>1110</v>
      </c>
      <c r="J920" t="s">
        <v>1113</v>
      </c>
      <c r="K920">
        <v>270</v>
      </c>
      <c r="L920">
        <v>506</v>
      </c>
      <c r="M920" s="24">
        <v>238</v>
      </c>
      <c r="N920" s="24">
        <v>406</v>
      </c>
      <c r="O920" s="24">
        <v>246</v>
      </c>
      <c r="P920" s="24">
        <v>433</v>
      </c>
      <c r="Q920">
        <v>244</v>
      </c>
      <c r="R920">
        <v>448</v>
      </c>
      <c r="S920">
        <v>328</v>
      </c>
      <c r="T920">
        <v>592</v>
      </c>
      <c r="U920">
        <v>343</v>
      </c>
      <c r="V920">
        <v>659</v>
      </c>
      <c r="W920">
        <v>586</v>
      </c>
      <c r="X920">
        <v>1193</v>
      </c>
    </row>
    <row r="921" spans="2:24" x14ac:dyDescent="0.35">
      <c r="B921" s="23" t="s">
        <v>1081</v>
      </c>
      <c r="D921" t="s">
        <v>1067</v>
      </c>
      <c r="E921" t="s">
        <v>1068</v>
      </c>
      <c r="F921" s="46" t="s">
        <v>1186</v>
      </c>
      <c r="G921" t="s">
        <v>279</v>
      </c>
      <c r="H921" s="23">
        <v>8</v>
      </c>
      <c r="I921" s="23" t="s">
        <v>1187</v>
      </c>
      <c r="J921" t="s">
        <v>1188</v>
      </c>
      <c r="K921">
        <v>144</v>
      </c>
      <c r="L921">
        <v>222</v>
      </c>
      <c r="M921" s="24">
        <v>127</v>
      </c>
      <c r="N921" s="24">
        <v>204</v>
      </c>
      <c r="O921" s="24">
        <v>111</v>
      </c>
      <c r="P921" s="24">
        <v>188</v>
      </c>
      <c r="Q921">
        <v>104</v>
      </c>
      <c r="R921">
        <v>174</v>
      </c>
      <c r="S921">
        <v>143</v>
      </c>
      <c r="T921">
        <v>248</v>
      </c>
      <c r="U921">
        <v>158</v>
      </c>
      <c r="V921">
        <v>294</v>
      </c>
      <c r="W921">
        <v>296</v>
      </c>
      <c r="X921">
        <v>469</v>
      </c>
    </row>
    <row r="922" spans="2:24" x14ac:dyDescent="0.35">
      <c r="B922" s="23" t="s">
        <v>1083</v>
      </c>
      <c r="D922" t="s">
        <v>1067</v>
      </c>
      <c r="E922" t="s">
        <v>1068</v>
      </c>
      <c r="F922" s="46" t="s">
        <v>1189</v>
      </c>
      <c r="G922" t="s">
        <v>279</v>
      </c>
      <c r="H922" s="23">
        <v>8</v>
      </c>
      <c r="I922" s="23" t="s">
        <v>1187</v>
      </c>
      <c r="J922" t="s">
        <v>1190</v>
      </c>
      <c r="K922">
        <v>1677</v>
      </c>
      <c r="L922">
        <v>2429</v>
      </c>
      <c r="M922" s="24">
        <v>1390</v>
      </c>
      <c r="N922" s="24">
        <v>2037</v>
      </c>
      <c r="O922" s="24">
        <v>1101</v>
      </c>
      <c r="P922" s="24">
        <v>1803</v>
      </c>
      <c r="Q922">
        <v>911</v>
      </c>
      <c r="R922">
        <v>1680</v>
      </c>
      <c r="S922">
        <v>1161</v>
      </c>
      <c r="T922">
        <v>2082</v>
      </c>
      <c r="U922">
        <v>1501</v>
      </c>
      <c r="V922">
        <v>2645</v>
      </c>
      <c r="W922">
        <v>2753</v>
      </c>
      <c r="X922">
        <v>4405</v>
      </c>
    </row>
    <row r="923" spans="2:24" x14ac:dyDescent="0.35">
      <c r="B923" s="23" t="s">
        <v>1085</v>
      </c>
      <c r="D923" t="s">
        <v>1067</v>
      </c>
      <c r="E923" t="s">
        <v>1068</v>
      </c>
      <c r="F923" s="46" t="s">
        <v>1191</v>
      </c>
      <c r="G923" t="s">
        <v>279</v>
      </c>
      <c r="H923" s="23">
        <v>8</v>
      </c>
      <c r="I923" s="23" t="s">
        <v>1187</v>
      </c>
      <c r="J923" t="s">
        <v>1192</v>
      </c>
      <c r="K923">
        <v>3516</v>
      </c>
      <c r="L923">
        <v>5226</v>
      </c>
      <c r="M923" s="24">
        <v>2794</v>
      </c>
      <c r="N923" s="24">
        <v>4292</v>
      </c>
      <c r="O923" s="24">
        <v>2254</v>
      </c>
      <c r="P923" s="24">
        <v>3934</v>
      </c>
      <c r="Q923">
        <v>1705</v>
      </c>
      <c r="R923">
        <v>3340</v>
      </c>
      <c r="S923">
        <v>2665</v>
      </c>
      <c r="T923">
        <v>4457</v>
      </c>
      <c r="U923">
        <v>3604</v>
      </c>
      <c r="V923">
        <v>5739</v>
      </c>
      <c r="W923">
        <v>6433</v>
      </c>
      <c r="X923">
        <v>9555</v>
      </c>
    </row>
    <row r="924" spans="2:24" x14ac:dyDescent="0.35">
      <c r="B924" s="23" t="s">
        <v>1088</v>
      </c>
      <c r="D924" t="s">
        <v>1067</v>
      </c>
      <c r="E924" t="s">
        <v>1068</v>
      </c>
      <c r="F924" s="46" t="s">
        <v>1114</v>
      </c>
      <c r="G924" t="s">
        <v>255</v>
      </c>
      <c r="H924" s="23">
        <v>4</v>
      </c>
      <c r="I924" s="23" t="s">
        <v>1110</v>
      </c>
      <c r="J924" t="s">
        <v>1115</v>
      </c>
      <c r="K924">
        <v>2069</v>
      </c>
      <c r="L924">
        <v>3419</v>
      </c>
      <c r="M924" s="24">
        <v>1929</v>
      </c>
      <c r="N924" s="24">
        <v>3160</v>
      </c>
      <c r="O924" s="24">
        <v>1505</v>
      </c>
      <c r="P924" s="24">
        <v>3091</v>
      </c>
      <c r="Q924">
        <v>1193</v>
      </c>
      <c r="R924">
        <v>2687</v>
      </c>
      <c r="S924">
        <v>1507</v>
      </c>
      <c r="T924">
        <v>3110</v>
      </c>
      <c r="U924">
        <v>2415</v>
      </c>
      <c r="V924">
        <v>4415</v>
      </c>
      <c r="W924">
        <v>4560</v>
      </c>
      <c r="X924">
        <v>8615</v>
      </c>
    </row>
    <row r="925" spans="2:24" x14ac:dyDescent="0.35">
      <c r="B925" s="23" t="s">
        <v>1090</v>
      </c>
      <c r="D925" t="s">
        <v>1067</v>
      </c>
      <c r="E925" t="s">
        <v>1068</v>
      </c>
      <c r="F925" s="46" t="s">
        <v>1161</v>
      </c>
      <c r="G925" t="s">
        <v>273</v>
      </c>
      <c r="H925" s="23">
        <v>7</v>
      </c>
      <c r="I925" s="23" t="s">
        <v>1162</v>
      </c>
      <c r="J925" t="s">
        <v>1163</v>
      </c>
      <c r="K925">
        <v>78</v>
      </c>
      <c r="L925">
        <v>156</v>
      </c>
      <c r="M925" s="24">
        <v>46</v>
      </c>
      <c r="N925" s="24">
        <v>120</v>
      </c>
      <c r="O925" s="24">
        <v>56</v>
      </c>
      <c r="P925" s="24">
        <v>124</v>
      </c>
      <c r="Q925">
        <v>55</v>
      </c>
      <c r="R925">
        <v>118</v>
      </c>
      <c r="S925">
        <v>80</v>
      </c>
      <c r="T925">
        <v>149</v>
      </c>
      <c r="U925">
        <v>83</v>
      </c>
      <c r="V925">
        <v>191</v>
      </c>
      <c r="W925">
        <v>91</v>
      </c>
      <c r="X925">
        <v>417</v>
      </c>
    </row>
    <row r="926" spans="2:24" x14ac:dyDescent="0.35">
      <c r="B926" s="23" t="s">
        <v>1092</v>
      </c>
      <c r="D926" t="s">
        <v>1067</v>
      </c>
      <c r="E926" t="s">
        <v>1068</v>
      </c>
      <c r="F926" s="46" t="s">
        <v>1116</v>
      </c>
      <c r="G926" t="s">
        <v>255</v>
      </c>
      <c r="H926" s="23">
        <v>4</v>
      </c>
      <c r="I926" s="23" t="s">
        <v>1110</v>
      </c>
      <c r="J926" t="s">
        <v>1117</v>
      </c>
      <c r="K926">
        <v>100</v>
      </c>
      <c r="L926">
        <v>149</v>
      </c>
      <c r="M926" s="24">
        <v>82</v>
      </c>
      <c r="N926" s="24">
        <v>135</v>
      </c>
      <c r="O926" s="24">
        <v>71</v>
      </c>
      <c r="P926" s="24">
        <v>110</v>
      </c>
      <c r="Q926">
        <v>66</v>
      </c>
      <c r="R926">
        <v>102</v>
      </c>
      <c r="S926">
        <v>75</v>
      </c>
      <c r="T926">
        <v>137</v>
      </c>
      <c r="U926">
        <v>119</v>
      </c>
      <c r="V926">
        <v>189</v>
      </c>
      <c r="W926">
        <v>122</v>
      </c>
      <c r="X926">
        <v>238</v>
      </c>
    </row>
    <row r="927" spans="2:24" x14ac:dyDescent="0.35">
      <c r="B927" s="23" t="s">
        <v>1095</v>
      </c>
      <c r="D927" t="s">
        <v>1067</v>
      </c>
      <c r="E927" t="s">
        <v>1068</v>
      </c>
      <c r="F927" s="46" t="s">
        <v>1146</v>
      </c>
      <c r="G927" t="s">
        <v>265</v>
      </c>
      <c r="H927" s="23">
        <v>6</v>
      </c>
      <c r="I927" s="23" t="s">
        <v>1144</v>
      </c>
      <c r="J927" t="s">
        <v>1147</v>
      </c>
      <c r="K927">
        <v>127</v>
      </c>
      <c r="L927">
        <v>246</v>
      </c>
      <c r="M927" s="24">
        <v>103</v>
      </c>
      <c r="N927" s="24">
        <v>199</v>
      </c>
      <c r="O927" s="24">
        <v>97</v>
      </c>
      <c r="P927" s="24">
        <v>186</v>
      </c>
      <c r="Q927">
        <v>109</v>
      </c>
      <c r="R927">
        <v>194</v>
      </c>
      <c r="S927">
        <v>144</v>
      </c>
      <c r="T927">
        <v>266</v>
      </c>
      <c r="U927">
        <v>155</v>
      </c>
      <c r="V927">
        <v>301</v>
      </c>
      <c r="W927">
        <v>178</v>
      </c>
      <c r="X927">
        <v>495</v>
      </c>
    </row>
    <row r="928" spans="2:24" x14ac:dyDescent="0.35">
      <c r="B928" s="23" t="s">
        <v>1097</v>
      </c>
      <c r="D928" t="s">
        <v>1067</v>
      </c>
      <c r="E928" t="s">
        <v>1068</v>
      </c>
      <c r="F928" s="46" t="s">
        <v>1193</v>
      </c>
      <c r="G928" t="s">
        <v>279</v>
      </c>
      <c r="H928" s="23">
        <v>8</v>
      </c>
      <c r="I928" s="23" t="s">
        <v>1187</v>
      </c>
      <c r="J928" t="s">
        <v>1194</v>
      </c>
      <c r="K928">
        <v>117</v>
      </c>
      <c r="L928">
        <v>197</v>
      </c>
      <c r="M928" s="24">
        <v>105</v>
      </c>
      <c r="N928" s="24">
        <v>181</v>
      </c>
      <c r="O928" s="24">
        <v>111</v>
      </c>
      <c r="P928" s="24">
        <v>180</v>
      </c>
      <c r="Q928">
        <v>102</v>
      </c>
      <c r="R928">
        <v>172</v>
      </c>
      <c r="S928">
        <v>139</v>
      </c>
      <c r="T928">
        <v>235</v>
      </c>
      <c r="U928">
        <v>125</v>
      </c>
      <c r="V928">
        <v>253</v>
      </c>
      <c r="W928">
        <v>241</v>
      </c>
      <c r="X928">
        <v>389</v>
      </c>
    </row>
    <row r="929" spans="2:24" x14ac:dyDescent="0.35">
      <c r="B929" s="23" t="s">
        <v>1099</v>
      </c>
      <c r="D929" t="s">
        <v>1067</v>
      </c>
      <c r="E929" t="s">
        <v>1068</v>
      </c>
      <c r="F929" s="46" t="s">
        <v>1148</v>
      </c>
      <c r="G929" t="s">
        <v>265</v>
      </c>
      <c r="H929" s="23">
        <v>6</v>
      </c>
      <c r="I929" s="23" t="s">
        <v>1144</v>
      </c>
      <c r="J929" t="s">
        <v>1149</v>
      </c>
      <c r="K929">
        <v>196</v>
      </c>
      <c r="L929">
        <v>328</v>
      </c>
      <c r="M929" s="24">
        <v>158</v>
      </c>
      <c r="N929" s="24">
        <v>273</v>
      </c>
      <c r="O929" s="24">
        <v>163</v>
      </c>
      <c r="P929" s="24">
        <v>286</v>
      </c>
      <c r="Q929">
        <v>153</v>
      </c>
      <c r="R929">
        <v>274</v>
      </c>
      <c r="S929">
        <v>184</v>
      </c>
      <c r="T929">
        <v>305</v>
      </c>
      <c r="U929">
        <v>206</v>
      </c>
      <c r="V929">
        <v>374</v>
      </c>
      <c r="W929">
        <v>283</v>
      </c>
      <c r="X929">
        <v>810</v>
      </c>
    </row>
    <row r="930" spans="2:24" x14ac:dyDescent="0.35">
      <c r="B930" s="23" t="s">
        <v>1101</v>
      </c>
      <c r="D930" t="s">
        <v>1067</v>
      </c>
      <c r="E930" t="s">
        <v>1068</v>
      </c>
      <c r="F930" s="46" t="s">
        <v>1195</v>
      </c>
      <c r="G930" t="s">
        <v>279</v>
      </c>
      <c r="H930" s="23">
        <v>8</v>
      </c>
      <c r="I930" s="23" t="s">
        <v>1187</v>
      </c>
      <c r="J930" s="48" t="s">
        <v>1196</v>
      </c>
      <c r="K930">
        <v>352</v>
      </c>
      <c r="L930">
        <v>514</v>
      </c>
      <c r="M930" s="24">
        <v>306</v>
      </c>
      <c r="N930" s="24">
        <v>465</v>
      </c>
      <c r="O930" s="24">
        <v>311</v>
      </c>
      <c r="P930" s="24">
        <v>474</v>
      </c>
      <c r="Q930">
        <v>312</v>
      </c>
      <c r="R930">
        <v>488</v>
      </c>
      <c r="S930">
        <v>392</v>
      </c>
      <c r="T930">
        <v>629</v>
      </c>
      <c r="U930">
        <v>375</v>
      </c>
      <c r="V930">
        <v>713</v>
      </c>
      <c r="W930">
        <v>532</v>
      </c>
      <c r="X930">
        <v>928</v>
      </c>
    </row>
    <row r="931" spans="2:24" x14ac:dyDescent="0.35">
      <c r="B931" s="23" t="s">
        <v>1103</v>
      </c>
      <c r="D931" t="s">
        <v>1067</v>
      </c>
      <c r="E931" t="s">
        <v>1068</v>
      </c>
      <c r="F931" s="46" t="s">
        <v>1123</v>
      </c>
      <c r="G931" t="s">
        <v>259</v>
      </c>
      <c r="H931" s="23">
        <v>5</v>
      </c>
      <c r="I931" s="23" t="s">
        <v>1121</v>
      </c>
      <c r="J931" t="s">
        <v>1124</v>
      </c>
      <c r="K931">
        <v>7833</v>
      </c>
      <c r="L931">
        <v>12549</v>
      </c>
      <c r="M931" s="24">
        <v>6743</v>
      </c>
      <c r="N931" s="24">
        <v>11022</v>
      </c>
      <c r="O931" s="24">
        <v>6315</v>
      </c>
      <c r="P931" s="24">
        <v>10421</v>
      </c>
      <c r="Q931">
        <v>5975</v>
      </c>
      <c r="R931">
        <v>9933</v>
      </c>
      <c r="S931">
        <v>6044</v>
      </c>
      <c r="T931">
        <v>11373</v>
      </c>
      <c r="U931">
        <v>7611</v>
      </c>
      <c r="V931">
        <v>13445</v>
      </c>
      <c r="W931">
        <v>14305</v>
      </c>
      <c r="X931">
        <v>24531</v>
      </c>
    </row>
    <row r="932" spans="2:24" x14ac:dyDescent="0.35">
      <c r="B932" s="23" t="s">
        <v>1105</v>
      </c>
      <c r="D932" t="s">
        <v>1067</v>
      </c>
      <c r="E932" t="s">
        <v>1068</v>
      </c>
      <c r="F932" s="46" t="s">
        <v>1164</v>
      </c>
      <c r="G932" t="s">
        <v>273</v>
      </c>
      <c r="H932" s="23">
        <v>7</v>
      </c>
      <c r="I932" s="23" t="s">
        <v>1162</v>
      </c>
      <c r="J932" t="s">
        <v>1165</v>
      </c>
      <c r="K932">
        <v>54</v>
      </c>
      <c r="L932">
        <v>114</v>
      </c>
      <c r="M932" s="24">
        <v>51</v>
      </c>
      <c r="N932" s="24">
        <v>97</v>
      </c>
      <c r="O932" s="24">
        <v>59</v>
      </c>
      <c r="P932" s="24">
        <v>98</v>
      </c>
      <c r="Q932">
        <v>56</v>
      </c>
      <c r="R932">
        <v>89</v>
      </c>
      <c r="S932">
        <v>72</v>
      </c>
      <c r="T932">
        <v>103</v>
      </c>
      <c r="U932">
        <v>84</v>
      </c>
      <c r="V932">
        <v>165</v>
      </c>
      <c r="W932">
        <v>242</v>
      </c>
      <c r="X932">
        <v>383</v>
      </c>
    </row>
    <row r="933" spans="2:24" x14ac:dyDescent="0.35">
      <c r="B933" s="23" t="s">
        <v>1107</v>
      </c>
      <c r="D933" t="s">
        <v>1067</v>
      </c>
      <c r="E933" t="s">
        <v>1068</v>
      </c>
      <c r="F933" s="46" t="s">
        <v>1125</v>
      </c>
      <c r="G933" t="s">
        <v>259</v>
      </c>
      <c r="H933" s="23">
        <v>5</v>
      </c>
      <c r="I933" s="23" t="s">
        <v>1121</v>
      </c>
      <c r="J933" t="s">
        <v>1126</v>
      </c>
      <c r="K933">
        <v>285</v>
      </c>
      <c r="L933">
        <v>420</v>
      </c>
      <c r="M933" s="24">
        <v>220</v>
      </c>
      <c r="N933" s="24">
        <v>352</v>
      </c>
      <c r="O933" s="24">
        <v>183</v>
      </c>
      <c r="P933" s="24">
        <v>325</v>
      </c>
      <c r="Q933">
        <v>197</v>
      </c>
      <c r="R933">
        <v>351</v>
      </c>
      <c r="S933">
        <v>178</v>
      </c>
      <c r="T933">
        <v>420</v>
      </c>
      <c r="U933">
        <v>190</v>
      </c>
      <c r="V933">
        <v>474</v>
      </c>
      <c r="W933">
        <v>361</v>
      </c>
      <c r="X933">
        <v>755</v>
      </c>
    </row>
    <row r="934" spans="2:24" x14ac:dyDescent="0.35">
      <c r="B934" s="23" t="s">
        <v>1109</v>
      </c>
      <c r="D934" t="s">
        <v>1067</v>
      </c>
      <c r="E934" t="s">
        <v>1068</v>
      </c>
      <c r="F934" s="46" t="s">
        <v>1095</v>
      </c>
      <c r="G934" t="s">
        <v>239</v>
      </c>
      <c r="H934" s="23">
        <v>3</v>
      </c>
      <c r="I934" s="23" t="s">
        <v>1093</v>
      </c>
      <c r="J934" t="s">
        <v>1096</v>
      </c>
      <c r="K934">
        <v>235</v>
      </c>
      <c r="L934">
        <v>418</v>
      </c>
      <c r="M934" s="24">
        <v>189</v>
      </c>
      <c r="N934" s="24">
        <v>364</v>
      </c>
      <c r="O934" s="24">
        <v>165</v>
      </c>
      <c r="P934" s="24">
        <v>324</v>
      </c>
      <c r="Q934">
        <v>151</v>
      </c>
      <c r="R934">
        <v>288</v>
      </c>
      <c r="S934">
        <v>205</v>
      </c>
      <c r="T934">
        <v>361</v>
      </c>
      <c r="U934">
        <v>210</v>
      </c>
      <c r="V934">
        <v>497</v>
      </c>
      <c r="W934">
        <v>290</v>
      </c>
      <c r="X934">
        <v>1247</v>
      </c>
    </row>
    <row r="935" spans="2:24" x14ac:dyDescent="0.35">
      <c r="B935" s="23" t="s">
        <v>1112</v>
      </c>
      <c r="D935" t="s">
        <v>1067</v>
      </c>
      <c r="E935" t="s">
        <v>1068</v>
      </c>
      <c r="F935" s="46" t="s">
        <v>1166</v>
      </c>
      <c r="G935" t="s">
        <v>273</v>
      </c>
      <c r="H935" s="23">
        <v>7</v>
      </c>
      <c r="I935" s="23" t="s">
        <v>1162</v>
      </c>
      <c r="J935" t="s">
        <v>1167</v>
      </c>
      <c r="K935">
        <v>224</v>
      </c>
      <c r="L935">
        <v>451</v>
      </c>
      <c r="M935" s="24">
        <v>208</v>
      </c>
      <c r="N935" s="24">
        <v>404</v>
      </c>
      <c r="O935" s="24">
        <v>236</v>
      </c>
      <c r="P935" s="24">
        <v>417</v>
      </c>
      <c r="Q935">
        <v>237</v>
      </c>
      <c r="R935">
        <v>392</v>
      </c>
      <c r="S935">
        <v>267</v>
      </c>
      <c r="T935">
        <v>481</v>
      </c>
      <c r="U935">
        <v>291</v>
      </c>
      <c r="V935">
        <v>614</v>
      </c>
      <c r="W935">
        <v>687</v>
      </c>
      <c r="X935">
        <v>1187</v>
      </c>
    </row>
    <row r="936" spans="2:24" x14ac:dyDescent="0.35">
      <c r="B936" s="23" t="s">
        <v>1114</v>
      </c>
      <c r="D936" t="s">
        <v>1067</v>
      </c>
      <c r="E936" t="s">
        <v>1068</v>
      </c>
      <c r="F936" s="46" t="s">
        <v>1150</v>
      </c>
      <c r="G936" t="s">
        <v>265</v>
      </c>
      <c r="H936" s="23">
        <v>6</v>
      </c>
      <c r="I936" s="23" t="s">
        <v>1144</v>
      </c>
      <c r="J936" t="s">
        <v>1151</v>
      </c>
      <c r="K936">
        <v>162</v>
      </c>
      <c r="L936">
        <v>288</v>
      </c>
      <c r="M936" s="24">
        <v>137</v>
      </c>
      <c r="N936" s="24">
        <v>248</v>
      </c>
      <c r="O936" s="24">
        <v>120</v>
      </c>
      <c r="P936" s="24">
        <v>234</v>
      </c>
      <c r="Q936">
        <v>96</v>
      </c>
      <c r="R936">
        <v>185</v>
      </c>
      <c r="S936" t="s">
        <v>1152</v>
      </c>
      <c r="T936">
        <v>220</v>
      </c>
      <c r="U936">
        <v>173</v>
      </c>
      <c r="V936">
        <v>333</v>
      </c>
      <c r="W936">
        <v>406</v>
      </c>
      <c r="X936">
        <v>643</v>
      </c>
    </row>
    <row r="937" spans="2:24" x14ac:dyDescent="0.35">
      <c r="B937" s="23" t="s">
        <v>1116</v>
      </c>
      <c r="D937" t="s">
        <v>1067</v>
      </c>
      <c r="E937" t="s">
        <v>1068</v>
      </c>
      <c r="F937" s="46" t="s">
        <v>1097</v>
      </c>
      <c r="G937" t="s">
        <v>239</v>
      </c>
      <c r="H937" s="23">
        <v>3</v>
      </c>
      <c r="I937" s="23" t="s">
        <v>1093</v>
      </c>
      <c r="J937" t="s">
        <v>1098</v>
      </c>
      <c r="K937">
        <v>719</v>
      </c>
      <c r="L937">
        <v>1265</v>
      </c>
      <c r="M937" s="24">
        <v>658</v>
      </c>
      <c r="N937" s="24">
        <v>1066</v>
      </c>
      <c r="O937" s="24">
        <v>625</v>
      </c>
      <c r="P937" s="24">
        <v>1032</v>
      </c>
      <c r="Q937">
        <v>629</v>
      </c>
      <c r="R937">
        <v>1059</v>
      </c>
      <c r="S937">
        <v>742</v>
      </c>
      <c r="T937">
        <v>1281</v>
      </c>
      <c r="U937">
        <v>838</v>
      </c>
      <c r="V937">
        <v>1792</v>
      </c>
      <c r="W937">
        <v>1005</v>
      </c>
      <c r="X937">
        <v>3515</v>
      </c>
    </row>
    <row r="938" spans="2:24" x14ac:dyDescent="0.35">
      <c r="B938" s="23" t="s">
        <v>1118</v>
      </c>
      <c r="D938" t="s">
        <v>1067</v>
      </c>
      <c r="E938" t="s">
        <v>1068</v>
      </c>
      <c r="F938" s="46" t="s">
        <v>1127</v>
      </c>
      <c r="G938" t="s">
        <v>259</v>
      </c>
      <c r="H938" s="23">
        <v>5</v>
      </c>
      <c r="I938" s="23" t="s">
        <v>1121</v>
      </c>
      <c r="J938" t="s">
        <v>1128</v>
      </c>
      <c r="K938">
        <v>402</v>
      </c>
      <c r="L938">
        <v>579</v>
      </c>
      <c r="M938" s="24">
        <v>358</v>
      </c>
      <c r="N938" s="24">
        <v>516</v>
      </c>
      <c r="O938" s="24">
        <v>363</v>
      </c>
      <c r="P938" s="24">
        <v>519</v>
      </c>
      <c r="Q938">
        <v>328</v>
      </c>
      <c r="R938">
        <v>516</v>
      </c>
      <c r="S938">
        <v>279</v>
      </c>
      <c r="T938">
        <v>578</v>
      </c>
      <c r="U938">
        <v>348</v>
      </c>
      <c r="V938">
        <v>677</v>
      </c>
      <c r="W938">
        <v>710</v>
      </c>
      <c r="X938">
        <v>1324</v>
      </c>
    </row>
    <row r="939" spans="2:24" x14ac:dyDescent="0.35">
      <c r="B939" s="23" t="s">
        <v>1120</v>
      </c>
      <c r="D939" t="s">
        <v>1067</v>
      </c>
      <c r="E939" t="s">
        <v>1068</v>
      </c>
      <c r="F939" s="46" t="s">
        <v>1168</v>
      </c>
      <c r="G939" t="s">
        <v>273</v>
      </c>
      <c r="H939" s="23">
        <v>7</v>
      </c>
      <c r="I939" s="23" t="s">
        <v>1162</v>
      </c>
      <c r="J939" t="s">
        <v>1169</v>
      </c>
      <c r="K939">
        <v>175</v>
      </c>
      <c r="L939">
        <v>265</v>
      </c>
      <c r="M939" s="24">
        <v>145</v>
      </c>
      <c r="N939" s="24">
        <v>251</v>
      </c>
      <c r="O939" s="24">
        <v>148</v>
      </c>
      <c r="P939" s="24">
        <v>231</v>
      </c>
      <c r="Q939">
        <v>131</v>
      </c>
      <c r="R939">
        <v>216</v>
      </c>
      <c r="S939">
        <v>151</v>
      </c>
      <c r="T939">
        <v>271</v>
      </c>
      <c r="U939">
        <v>209</v>
      </c>
      <c r="V939">
        <v>419</v>
      </c>
      <c r="W939">
        <v>530</v>
      </c>
      <c r="X939">
        <v>873</v>
      </c>
    </row>
    <row r="940" spans="2:24" x14ac:dyDescent="0.35">
      <c r="B940" s="23" t="s">
        <v>1123</v>
      </c>
      <c r="D940" t="s">
        <v>1067</v>
      </c>
      <c r="E940" t="s">
        <v>1068</v>
      </c>
      <c r="F940" s="46" t="s">
        <v>1066</v>
      </c>
      <c r="G940" t="s">
        <v>231</v>
      </c>
      <c r="H940" s="23">
        <v>1</v>
      </c>
      <c r="I940" s="23" t="s">
        <v>1069</v>
      </c>
      <c r="J940" t="s">
        <v>1070</v>
      </c>
      <c r="K940">
        <v>10301</v>
      </c>
      <c r="L940">
        <v>14712</v>
      </c>
      <c r="M940" s="24">
        <v>7644</v>
      </c>
      <c r="N940" s="24">
        <v>11040</v>
      </c>
      <c r="O940" s="24">
        <v>6794</v>
      </c>
      <c r="P940" s="24">
        <v>10063</v>
      </c>
      <c r="Q940">
        <v>6045</v>
      </c>
      <c r="R940">
        <v>9122</v>
      </c>
      <c r="S940">
        <v>6252</v>
      </c>
      <c r="T940">
        <v>10099</v>
      </c>
      <c r="U940">
        <v>7405</v>
      </c>
      <c r="V940">
        <v>12027</v>
      </c>
      <c r="W940">
        <v>13812</v>
      </c>
      <c r="X940">
        <v>22757</v>
      </c>
    </row>
    <row r="941" spans="2:24" x14ac:dyDescent="0.35">
      <c r="B941" s="23" t="s">
        <v>1125</v>
      </c>
      <c r="D941" t="s">
        <v>1067</v>
      </c>
      <c r="E941" t="s">
        <v>1068</v>
      </c>
      <c r="F941" s="46" t="s">
        <v>1118</v>
      </c>
      <c r="G941" t="s">
        <v>255</v>
      </c>
      <c r="H941" s="23">
        <v>4</v>
      </c>
      <c r="I941" s="23" t="s">
        <v>1110</v>
      </c>
      <c r="J941" t="s">
        <v>1119</v>
      </c>
      <c r="K941">
        <v>725</v>
      </c>
      <c r="L941">
        <v>872</v>
      </c>
      <c r="M941" s="24">
        <v>765</v>
      </c>
      <c r="N941" s="24">
        <v>908</v>
      </c>
      <c r="O941" s="24">
        <v>791</v>
      </c>
      <c r="P941" s="24">
        <v>959</v>
      </c>
      <c r="Q941">
        <v>851</v>
      </c>
      <c r="R941">
        <v>997</v>
      </c>
      <c r="S941">
        <v>1037</v>
      </c>
      <c r="T941">
        <v>1304</v>
      </c>
      <c r="U941">
        <v>1127</v>
      </c>
      <c r="V941">
        <v>1505</v>
      </c>
      <c r="W941">
        <v>638</v>
      </c>
      <c r="X941">
        <v>1108</v>
      </c>
    </row>
    <row r="942" spans="2:24" x14ac:dyDescent="0.35">
      <c r="B942" s="23" t="s">
        <v>1127</v>
      </c>
      <c r="D942" t="s">
        <v>1067</v>
      </c>
      <c r="E942" t="s">
        <v>1068</v>
      </c>
      <c r="F942" s="46" t="s">
        <v>1099</v>
      </c>
      <c r="G942" t="s">
        <v>239</v>
      </c>
      <c r="H942" s="23">
        <v>3</v>
      </c>
      <c r="I942" s="23" t="s">
        <v>1093</v>
      </c>
      <c r="J942" t="s">
        <v>1100</v>
      </c>
      <c r="K942">
        <v>3507</v>
      </c>
      <c r="L942">
        <v>6586</v>
      </c>
      <c r="M942" s="24">
        <v>3075</v>
      </c>
      <c r="N942" s="24">
        <v>5653</v>
      </c>
      <c r="O942" s="24">
        <v>2734</v>
      </c>
      <c r="P942" s="24">
        <v>5227</v>
      </c>
      <c r="Q942">
        <v>2748</v>
      </c>
      <c r="R942">
        <v>5246</v>
      </c>
      <c r="S942">
        <v>3348</v>
      </c>
      <c r="T942">
        <v>6562</v>
      </c>
      <c r="U942">
        <v>144</v>
      </c>
      <c r="V942">
        <v>266</v>
      </c>
      <c r="W942">
        <v>201</v>
      </c>
      <c r="X942">
        <v>514</v>
      </c>
    </row>
    <row r="943" spans="2:24" x14ac:dyDescent="0.35">
      <c r="B943" s="23" t="s">
        <v>1129</v>
      </c>
      <c r="D943" t="s">
        <v>1067</v>
      </c>
      <c r="E943" t="s">
        <v>1068</v>
      </c>
      <c r="F943" s="46" t="s">
        <v>1088</v>
      </c>
      <c r="G943" t="s">
        <v>235</v>
      </c>
      <c r="H943" s="23">
        <v>2</v>
      </c>
      <c r="I943" s="23" t="s">
        <v>1086</v>
      </c>
      <c r="J943" t="s">
        <v>1089</v>
      </c>
      <c r="K943">
        <v>1325</v>
      </c>
      <c r="L943">
        <v>1904</v>
      </c>
      <c r="M943" s="24">
        <v>1209</v>
      </c>
      <c r="N943" s="24">
        <v>1821</v>
      </c>
      <c r="O943" s="24">
        <v>1143</v>
      </c>
      <c r="P943" s="24">
        <v>1796</v>
      </c>
      <c r="Q943">
        <v>1066</v>
      </c>
      <c r="R943">
        <v>1756</v>
      </c>
      <c r="S943">
        <v>1274</v>
      </c>
      <c r="T943">
        <v>2080</v>
      </c>
      <c r="U943">
        <v>3617</v>
      </c>
      <c r="V943">
        <v>7949</v>
      </c>
      <c r="W943">
        <v>4203</v>
      </c>
      <c r="X943">
        <v>12326</v>
      </c>
    </row>
    <row r="944" spans="2:24" x14ac:dyDescent="0.35">
      <c r="B944" s="23" t="s">
        <v>1131</v>
      </c>
      <c r="D944" t="s">
        <v>1067</v>
      </c>
      <c r="E944" t="s">
        <v>1068</v>
      </c>
      <c r="F944" s="46" t="s">
        <v>1153</v>
      </c>
      <c r="G944" t="s">
        <v>265</v>
      </c>
      <c r="H944" s="23">
        <v>6</v>
      </c>
      <c r="I944" s="23" t="s">
        <v>1144</v>
      </c>
      <c r="J944" s="49" t="s">
        <v>1154</v>
      </c>
      <c r="K944">
        <v>139</v>
      </c>
      <c r="L944">
        <v>238</v>
      </c>
      <c r="M944" s="24">
        <v>107</v>
      </c>
      <c r="N944" s="24">
        <v>208</v>
      </c>
      <c r="O944" s="24">
        <v>114</v>
      </c>
      <c r="P944" s="24">
        <v>209</v>
      </c>
      <c r="Q944">
        <v>92</v>
      </c>
      <c r="R944">
        <v>188</v>
      </c>
      <c r="S944">
        <v>125</v>
      </c>
      <c r="T944">
        <v>239</v>
      </c>
      <c r="U944">
        <v>1214</v>
      </c>
      <c r="V944">
        <v>2252</v>
      </c>
      <c r="W944">
        <v>1640</v>
      </c>
      <c r="X944">
        <v>2976</v>
      </c>
    </row>
    <row r="945" spans="2:24" x14ac:dyDescent="0.35">
      <c r="B945" s="23" t="s">
        <v>1133</v>
      </c>
      <c r="D945" t="s">
        <v>1067</v>
      </c>
      <c r="E945" t="s">
        <v>1068</v>
      </c>
      <c r="F945" s="46" t="s">
        <v>1170</v>
      </c>
      <c r="G945" t="s">
        <v>273</v>
      </c>
      <c r="H945" s="23">
        <v>7</v>
      </c>
      <c r="I945" s="23" t="s">
        <v>1162</v>
      </c>
      <c r="J945" t="s">
        <v>1171</v>
      </c>
      <c r="K945">
        <v>428</v>
      </c>
      <c r="L945">
        <v>804</v>
      </c>
      <c r="M945" s="24">
        <v>372</v>
      </c>
      <c r="N945" s="24">
        <v>709</v>
      </c>
      <c r="O945" s="24">
        <v>380</v>
      </c>
      <c r="P945" s="24">
        <v>685</v>
      </c>
      <c r="Q945">
        <v>393</v>
      </c>
      <c r="R945">
        <v>698</v>
      </c>
      <c r="S945">
        <v>496</v>
      </c>
      <c r="T945">
        <v>877</v>
      </c>
      <c r="U945">
        <v>540</v>
      </c>
      <c r="V945">
        <v>1097</v>
      </c>
      <c r="W945">
        <v>1044</v>
      </c>
      <c r="X945">
        <v>1830</v>
      </c>
    </row>
    <row r="946" spans="2:24" x14ac:dyDescent="0.35">
      <c r="B946" s="23" t="s">
        <v>1135</v>
      </c>
      <c r="D946" t="s">
        <v>1067</v>
      </c>
      <c r="E946" t="s">
        <v>1068</v>
      </c>
      <c r="F946" s="46" t="s">
        <v>1129</v>
      </c>
      <c r="G946" t="s">
        <v>259</v>
      </c>
      <c r="H946" s="23">
        <v>5</v>
      </c>
      <c r="I946" s="23" t="s">
        <v>1121</v>
      </c>
      <c r="J946" t="s">
        <v>1130</v>
      </c>
      <c r="K946">
        <v>1899</v>
      </c>
      <c r="L946">
        <v>3157</v>
      </c>
      <c r="M946" s="24">
        <v>1658</v>
      </c>
      <c r="N946" s="24">
        <v>2736</v>
      </c>
      <c r="O946" s="24">
        <v>1542</v>
      </c>
      <c r="P946" s="24">
        <v>2675</v>
      </c>
      <c r="Q946">
        <v>1514</v>
      </c>
      <c r="R946">
        <v>2651</v>
      </c>
      <c r="S946">
        <v>1806</v>
      </c>
      <c r="T946">
        <v>3331</v>
      </c>
      <c r="U946">
        <v>1865</v>
      </c>
      <c r="V946">
        <v>3744</v>
      </c>
      <c r="W946">
        <v>2178</v>
      </c>
      <c r="X946">
        <v>5530</v>
      </c>
    </row>
    <row r="947" spans="2:24" x14ac:dyDescent="0.35">
      <c r="B947" s="23" t="s">
        <v>1137</v>
      </c>
      <c r="D947" t="s">
        <v>1067</v>
      </c>
      <c r="E947" t="s">
        <v>1068</v>
      </c>
      <c r="F947" s="46" t="s">
        <v>1172</v>
      </c>
      <c r="G947" t="s">
        <v>273</v>
      </c>
      <c r="H947" s="23">
        <v>7</v>
      </c>
      <c r="I947" s="23" t="s">
        <v>1162</v>
      </c>
      <c r="J947" t="s">
        <v>1173</v>
      </c>
      <c r="K947">
        <v>92</v>
      </c>
      <c r="L947">
        <v>158</v>
      </c>
      <c r="M947" s="24">
        <v>72</v>
      </c>
      <c r="N947" s="24">
        <v>132</v>
      </c>
      <c r="O947" s="24">
        <v>78</v>
      </c>
      <c r="P947" s="24">
        <v>113</v>
      </c>
      <c r="Q947">
        <v>68</v>
      </c>
      <c r="R947">
        <v>120</v>
      </c>
      <c r="S947">
        <v>76</v>
      </c>
      <c r="T947">
        <v>135</v>
      </c>
      <c r="U947">
        <v>140</v>
      </c>
      <c r="V947">
        <v>274</v>
      </c>
      <c r="W947">
        <v>364</v>
      </c>
      <c r="X947">
        <v>559</v>
      </c>
    </row>
    <row r="948" spans="2:24" x14ac:dyDescent="0.35">
      <c r="B948" s="23" t="s">
        <v>1139</v>
      </c>
      <c r="D948" t="s">
        <v>1067</v>
      </c>
      <c r="E948" t="s">
        <v>1068</v>
      </c>
      <c r="F948" s="46" t="s">
        <v>1174</v>
      </c>
      <c r="G948" t="s">
        <v>273</v>
      </c>
      <c r="H948" s="23">
        <v>7</v>
      </c>
      <c r="I948" s="23" t="s">
        <v>1162</v>
      </c>
      <c r="J948" t="s">
        <v>1175</v>
      </c>
      <c r="K948">
        <v>242</v>
      </c>
      <c r="L948">
        <v>442</v>
      </c>
      <c r="M948" s="24">
        <v>209</v>
      </c>
      <c r="N948" s="24">
        <v>377</v>
      </c>
      <c r="O948" s="24">
        <v>214</v>
      </c>
      <c r="P948" s="24">
        <v>370</v>
      </c>
      <c r="Q948">
        <v>175</v>
      </c>
      <c r="R948">
        <v>333</v>
      </c>
      <c r="S948">
        <v>203</v>
      </c>
      <c r="T948">
        <v>420</v>
      </c>
      <c r="U948">
        <v>330</v>
      </c>
      <c r="V948">
        <v>757</v>
      </c>
      <c r="W948">
        <v>350</v>
      </c>
      <c r="X948">
        <v>1505</v>
      </c>
    </row>
    <row r="949" spans="2:24" x14ac:dyDescent="0.35">
      <c r="B949" s="23" t="s">
        <v>1141</v>
      </c>
      <c r="D949" t="s">
        <v>1067</v>
      </c>
      <c r="E949" t="s">
        <v>1068</v>
      </c>
      <c r="F949" s="46" t="s">
        <v>1197</v>
      </c>
      <c r="G949" t="s">
        <v>279</v>
      </c>
      <c r="H949" s="23">
        <v>8</v>
      </c>
      <c r="I949" s="23" t="s">
        <v>1187</v>
      </c>
      <c r="J949" t="s">
        <v>1198</v>
      </c>
      <c r="K949">
        <v>407</v>
      </c>
      <c r="L949">
        <v>621</v>
      </c>
      <c r="M949" s="24">
        <v>316</v>
      </c>
      <c r="N949" s="24">
        <v>519</v>
      </c>
      <c r="O949" s="24">
        <v>351</v>
      </c>
      <c r="P949" s="24">
        <v>547</v>
      </c>
      <c r="Q949">
        <v>311</v>
      </c>
      <c r="R949">
        <v>522</v>
      </c>
      <c r="S949">
        <v>362</v>
      </c>
      <c r="T949">
        <v>635</v>
      </c>
      <c r="U949">
        <v>422</v>
      </c>
      <c r="V949">
        <v>777</v>
      </c>
      <c r="W949">
        <v>705</v>
      </c>
      <c r="X949">
        <v>1099</v>
      </c>
    </row>
    <row r="950" spans="2:24" x14ac:dyDescent="0.35">
      <c r="B950" s="23" t="s">
        <v>1143</v>
      </c>
      <c r="D950" t="s">
        <v>1067</v>
      </c>
      <c r="E950" t="s">
        <v>1068</v>
      </c>
      <c r="F950" s="46" t="s">
        <v>1071</v>
      </c>
      <c r="G950" t="s">
        <v>231</v>
      </c>
      <c r="H950" s="23">
        <v>1</v>
      </c>
      <c r="I950" s="23" t="s">
        <v>1069</v>
      </c>
      <c r="J950" t="s">
        <v>1072</v>
      </c>
      <c r="K950">
        <v>7252</v>
      </c>
      <c r="L950">
        <v>11764</v>
      </c>
      <c r="M950" s="24">
        <v>5516</v>
      </c>
      <c r="N950" s="24">
        <v>9101</v>
      </c>
      <c r="O950" s="24">
        <v>4808</v>
      </c>
      <c r="P950" s="24">
        <v>8313</v>
      </c>
      <c r="Q950">
        <v>4183</v>
      </c>
      <c r="R950">
        <v>7641</v>
      </c>
      <c r="S950">
        <v>4423</v>
      </c>
      <c r="T950">
        <v>8950</v>
      </c>
      <c r="U950">
        <v>5823</v>
      </c>
      <c r="V950">
        <v>10918</v>
      </c>
      <c r="W950">
        <v>12719</v>
      </c>
      <c r="X950">
        <v>24619</v>
      </c>
    </row>
    <row r="951" spans="2:24" x14ac:dyDescent="0.35">
      <c r="B951" s="23" t="s">
        <v>1146</v>
      </c>
      <c r="D951" t="s">
        <v>1067</v>
      </c>
      <c r="E951" t="s">
        <v>1068</v>
      </c>
      <c r="F951" s="46" t="s">
        <v>1176</v>
      </c>
      <c r="G951" t="s">
        <v>273</v>
      </c>
      <c r="H951" s="23">
        <v>7</v>
      </c>
      <c r="I951" s="23" t="s">
        <v>1162</v>
      </c>
      <c r="J951" t="s">
        <v>1177</v>
      </c>
      <c r="K951">
        <v>1856</v>
      </c>
      <c r="L951">
        <v>3599</v>
      </c>
      <c r="M951" s="24">
        <v>1594</v>
      </c>
      <c r="N951" s="24">
        <v>3262</v>
      </c>
      <c r="O951" s="24">
        <v>1588</v>
      </c>
      <c r="P951" s="24">
        <v>3123</v>
      </c>
      <c r="Q951">
        <v>1569</v>
      </c>
      <c r="R951">
        <v>3033</v>
      </c>
      <c r="S951">
        <v>1966</v>
      </c>
      <c r="T951">
        <v>3751</v>
      </c>
      <c r="U951">
        <v>2102</v>
      </c>
      <c r="V951">
        <v>4793</v>
      </c>
      <c r="W951">
        <v>2353</v>
      </c>
      <c r="X951">
        <v>8621</v>
      </c>
    </row>
    <row r="952" spans="2:24" x14ac:dyDescent="0.35">
      <c r="B952" s="23" t="s">
        <v>1148</v>
      </c>
      <c r="D952" t="s">
        <v>1067</v>
      </c>
      <c r="E952" t="s">
        <v>1068</v>
      </c>
      <c r="F952" s="46" t="s">
        <v>1073</v>
      </c>
      <c r="G952" t="s">
        <v>231</v>
      </c>
      <c r="H952" s="23">
        <v>1</v>
      </c>
      <c r="I952" s="23" t="s">
        <v>1069</v>
      </c>
      <c r="J952" t="s">
        <v>1074</v>
      </c>
      <c r="K952">
        <v>503</v>
      </c>
      <c r="L952">
        <v>648</v>
      </c>
      <c r="M952" s="24">
        <v>423</v>
      </c>
      <c r="N952" s="24">
        <v>550</v>
      </c>
      <c r="O952" s="24">
        <v>397</v>
      </c>
      <c r="P952" s="24">
        <v>525</v>
      </c>
      <c r="Q952">
        <v>350</v>
      </c>
      <c r="R952">
        <v>485</v>
      </c>
      <c r="S952">
        <v>340</v>
      </c>
      <c r="T952">
        <v>528</v>
      </c>
      <c r="U952">
        <v>373</v>
      </c>
      <c r="V952">
        <v>589</v>
      </c>
      <c r="W952">
        <v>521</v>
      </c>
      <c r="X952">
        <v>921</v>
      </c>
    </row>
    <row r="953" spans="2:24" x14ac:dyDescent="0.35">
      <c r="B953" s="23" t="s">
        <v>1150</v>
      </c>
      <c r="D953" t="s">
        <v>1067</v>
      </c>
      <c r="E953" t="s">
        <v>1068</v>
      </c>
      <c r="F953" s="46" t="s">
        <v>1131</v>
      </c>
      <c r="G953" t="s">
        <v>259</v>
      </c>
      <c r="H953" s="23">
        <v>5</v>
      </c>
      <c r="I953" s="23" t="s">
        <v>1121</v>
      </c>
      <c r="J953" t="s">
        <v>1132</v>
      </c>
      <c r="K953">
        <v>420</v>
      </c>
      <c r="L953">
        <v>603</v>
      </c>
      <c r="M953" s="24">
        <v>375</v>
      </c>
      <c r="N953" s="24">
        <v>552</v>
      </c>
      <c r="O953" s="24">
        <v>339</v>
      </c>
      <c r="P953" s="24">
        <v>546</v>
      </c>
      <c r="Q953">
        <v>302</v>
      </c>
      <c r="R953">
        <v>487</v>
      </c>
      <c r="S953">
        <v>295</v>
      </c>
      <c r="T953">
        <v>504</v>
      </c>
      <c r="U953">
        <v>336</v>
      </c>
      <c r="V953">
        <v>553</v>
      </c>
      <c r="W953">
        <v>499</v>
      </c>
      <c r="X953">
        <v>892</v>
      </c>
    </row>
    <row r="954" spans="2:24" x14ac:dyDescent="0.35">
      <c r="B954" s="23" t="s">
        <v>1153</v>
      </c>
      <c r="D954" t="s">
        <v>1067</v>
      </c>
      <c r="E954" t="s">
        <v>1068</v>
      </c>
      <c r="F954" s="46" t="s">
        <v>1155</v>
      </c>
      <c r="G954" t="s">
        <v>265</v>
      </c>
      <c r="H954" s="23">
        <v>6</v>
      </c>
      <c r="I954" s="23" t="s">
        <v>1144</v>
      </c>
      <c r="J954" t="s">
        <v>1156</v>
      </c>
      <c r="K954">
        <v>1426</v>
      </c>
      <c r="L954">
        <v>2463</v>
      </c>
      <c r="M954" s="24">
        <v>1153</v>
      </c>
      <c r="N954" s="24">
        <v>2034</v>
      </c>
      <c r="O954" s="24">
        <v>938</v>
      </c>
      <c r="P954" s="24">
        <v>1919</v>
      </c>
      <c r="Q954">
        <v>733</v>
      </c>
      <c r="R954">
        <v>1737</v>
      </c>
      <c r="S954">
        <v>934</v>
      </c>
      <c r="T954">
        <v>2100</v>
      </c>
      <c r="U954">
        <v>1514</v>
      </c>
      <c r="V954">
        <v>2828</v>
      </c>
      <c r="W954">
        <v>2970</v>
      </c>
      <c r="X954">
        <v>4794</v>
      </c>
    </row>
    <row r="955" spans="2:24" x14ac:dyDescent="0.35">
      <c r="B955" s="23" t="s">
        <v>1155</v>
      </c>
      <c r="D955" t="s">
        <v>1067</v>
      </c>
      <c r="E955" t="s">
        <v>1068</v>
      </c>
      <c r="F955" s="46" t="s">
        <v>1199</v>
      </c>
      <c r="G955" t="s">
        <v>279</v>
      </c>
      <c r="H955" s="23">
        <v>8</v>
      </c>
      <c r="I955" s="23" t="s">
        <v>1187</v>
      </c>
      <c r="J955" s="48" t="s">
        <v>1200</v>
      </c>
      <c r="K955">
        <v>102</v>
      </c>
      <c r="L955">
        <v>139</v>
      </c>
      <c r="M955" s="24">
        <v>98</v>
      </c>
      <c r="N955" s="24">
        <v>137</v>
      </c>
      <c r="O955" s="24">
        <v>63</v>
      </c>
      <c r="P955" s="24">
        <v>106</v>
      </c>
      <c r="Q955">
        <f>O955</f>
        <v>63</v>
      </c>
      <c r="R955">
        <v>93</v>
      </c>
      <c r="S955">
        <v>59</v>
      </c>
      <c r="T955">
        <v>103</v>
      </c>
      <c r="U955">
        <v>81</v>
      </c>
      <c r="V955">
        <v>142</v>
      </c>
      <c r="W955">
        <v>206</v>
      </c>
      <c r="X955">
        <v>301</v>
      </c>
    </row>
    <row r="956" spans="2:24" x14ac:dyDescent="0.35">
      <c r="B956" s="23" t="s">
        <v>1157</v>
      </c>
      <c r="D956" t="s">
        <v>1067</v>
      </c>
      <c r="E956" t="s">
        <v>1068</v>
      </c>
      <c r="F956" s="46" t="s">
        <v>1178</v>
      </c>
      <c r="G956" t="s">
        <v>273</v>
      </c>
      <c r="H956" s="23">
        <v>7</v>
      </c>
      <c r="I956" s="23" t="s">
        <v>1162</v>
      </c>
      <c r="J956" t="s">
        <v>1179</v>
      </c>
      <c r="K956">
        <v>211</v>
      </c>
      <c r="L956">
        <v>422</v>
      </c>
      <c r="M956" s="24">
        <v>156</v>
      </c>
      <c r="N956" s="24">
        <v>349</v>
      </c>
      <c r="O956" s="24">
        <v>159</v>
      </c>
      <c r="P956" s="24">
        <v>349</v>
      </c>
      <c r="Q956">
        <v>169</v>
      </c>
      <c r="R956">
        <v>328</v>
      </c>
      <c r="S956">
        <v>174</v>
      </c>
      <c r="T956">
        <v>385</v>
      </c>
      <c r="U956">
        <v>176</v>
      </c>
      <c r="V956">
        <v>460</v>
      </c>
      <c r="W956">
        <v>224</v>
      </c>
      <c r="X956">
        <v>819</v>
      </c>
    </row>
    <row r="957" spans="2:24" x14ac:dyDescent="0.35">
      <c r="B957" s="23" t="s">
        <v>1159</v>
      </c>
      <c r="D957" t="s">
        <v>1067</v>
      </c>
      <c r="E957" t="s">
        <v>1068</v>
      </c>
      <c r="F957" s="46" t="s">
        <v>1201</v>
      </c>
      <c r="G957" t="s">
        <v>279</v>
      </c>
      <c r="H957" s="23">
        <v>8</v>
      </c>
      <c r="I957" s="23" t="s">
        <v>1187</v>
      </c>
      <c r="J957" t="s">
        <v>1202</v>
      </c>
      <c r="K957">
        <v>246</v>
      </c>
      <c r="L957">
        <v>427</v>
      </c>
      <c r="M957" s="24">
        <v>224</v>
      </c>
      <c r="N957" s="24">
        <v>411</v>
      </c>
      <c r="O957" s="24">
        <v>216</v>
      </c>
      <c r="P957" s="24">
        <v>375</v>
      </c>
      <c r="Q957">
        <v>222</v>
      </c>
      <c r="R957">
        <v>367</v>
      </c>
      <c r="S957">
        <v>268</v>
      </c>
      <c r="T957">
        <v>445</v>
      </c>
      <c r="U957">
        <v>293</v>
      </c>
      <c r="V957">
        <v>525</v>
      </c>
      <c r="W957">
        <v>452</v>
      </c>
      <c r="X957">
        <v>753</v>
      </c>
    </row>
    <row r="958" spans="2:24" x14ac:dyDescent="0.35">
      <c r="B958" s="23" t="s">
        <v>1161</v>
      </c>
      <c r="D958" t="s">
        <v>1067</v>
      </c>
      <c r="E958" t="s">
        <v>1068</v>
      </c>
      <c r="F958" s="46" t="s">
        <v>1075</v>
      </c>
      <c r="G958" t="s">
        <v>231</v>
      </c>
      <c r="H958" s="23">
        <v>1</v>
      </c>
      <c r="I958" s="23" t="s">
        <v>1069</v>
      </c>
      <c r="J958" t="s">
        <v>1076</v>
      </c>
      <c r="K958">
        <v>634</v>
      </c>
      <c r="L958">
        <v>914</v>
      </c>
      <c r="M958" s="24">
        <v>535</v>
      </c>
      <c r="N958" s="24">
        <v>800</v>
      </c>
      <c r="O958" s="24">
        <v>558</v>
      </c>
      <c r="P958" s="24">
        <v>788</v>
      </c>
      <c r="Q958">
        <v>514</v>
      </c>
      <c r="R958">
        <v>724</v>
      </c>
      <c r="S958">
        <v>491</v>
      </c>
      <c r="T958">
        <v>792</v>
      </c>
      <c r="U958">
        <v>749</v>
      </c>
      <c r="V958">
        <v>1110</v>
      </c>
      <c r="W958">
        <v>1594</v>
      </c>
      <c r="X958">
        <v>2487</v>
      </c>
    </row>
    <row r="959" spans="2:24" x14ac:dyDescent="0.35">
      <c r="B959" s="23" t="s">
        <v>1164</v>
      </c>
      <c r="D959" t="s">
        <v>1067</v>
      </c>
      <c r="E959" t="s">
        <v>1068</v>
      </c>
      <c r="F959" s="46" t="s">
        <v>1077</v>
      </c>
      <c r="G959" t="s">
        <v>231</v>
      </c>
      <c r="H959" s="23">
        <v>1</v>
      </c>
      <c r="I959" s="23" t="s">
        <v>1069</v>
      </c>
      <c r="J959" t="s">
        <v>1078</v>
      </c>
      <c r="K959">
        <v>647</v>
      </c>
      <c r="L959">
        <v>1036</v>
      </c>
      <c r="M959" s="24">
        <v>588</v>
      </c>
      <c r="N959" s="24">
        <v>898</v>
      </c>
      <c r="O959" s="24">
        <v>577</v>
      </c>
      <c r="P959" s="24">
        <v>887</v>
      </c>
      <c r="Q959">
        <v>540</v>
      </c>
      <c r="R959">
        <v>858</v>
      </c>
      <c r="S959">
        <v>562</v>
      </c>
      <c r="T959">
        <v>1021</v>
      </c>
      <c r="U959">
        <v>632</v>
      </c>
      <c r="V959">
        <v>1179</v>
      </c>
      <c r="W959">
        <v>1097</v>
      </c>
      <c r="X959">
        <v>2110</v>
      </c>
    </row>
    <row r="960" spans="2:24" x14ac:dyDescent="0.35">
      <c r="B960" s="23" t="s">
        <v>1166</v>
      </c>
      <c r="D960" t="s">
        <v>1067</v>
      </c>
      <c r="E960" t="s">
        <v>1068</v>
      </c>
      <c r="F960" s="46" t="s">
        <v>1133</v>
      </c>
      <c r="G960" t="s">
        <v>259</v>
      </c>
      <c r="H960" s="23">
        <v>5</v>
      </c>
      <c r="I960" s="23" t="s">
        <v>1121</v>
      </c>
      <c r="J960" t="s">
        <v>1134</v>
      </c>
      <c r="K960">
        <v>176</v>
      </c>
      <c r="L960">
        <v>232</v>
      </c>
      <c r="M960" s="24">
        <v>149</v>
      </c>
      <c r="N960" s="24">
        <v>212</v>
      </c>
      <c r="O960" s="24">
        <v>115</v>
      </c>
      <c r="P960" s="24">
        <v>183</v>
      </c>
      <c r="Q960">
        <v>107</v>
      </c>
      <c r="R960">
        <v>165</v>
      </c>
      <c r="S960">
        <v>133</v>
      </c>
      <c r="T960">
        <v>210</v>
      </c>
      <c r="U960">
        <v>152</v>
      </c>
      <c r="V960">
        <v>317</v>
      </c>
      <c r="W960">
        <v>311</v>
      </c>
      <c r="X960">
        <v>698</v>
      </c>
    </row>
    <row r="961" spans="2:24" x14ac:dyDescent="0.35">
      <c r="B961" s="23" t="s">
        <v>1168</v>
      </c>
      <c r="D961" t="s">
        <v>1067</v>
      </c>
      <c r="E961" t="s">
        <v>1068</v>
      </c>
      <c r="F961" s="46" t="s">
        <v>1079</v>
      </c>
      <c r="G961" t="s">
        <v>231</v>
      </c>
      <c r="H961" s="23">
        <v>1</v>
      </c>
      <c r="I961" s="23" t="s">
        <v>1069</v>
      </c>
      <c r="J961" t="s">
        <v>1080</v>
      </c>
      <c r="K961">
        <v>201</v>
      </c>
      <c r="L961">
        <v>270</v>
      </c>
      <c r="M961" s="24">
        <v>168</v>
      </c>
      <c r="N961" s="24">
        <v>246</v>
      </c>
      <c r="O961" s="24">
        <v>172</v>
      </c>
      <c r="P961" s="24">
        <v>274</v>
      </c>
      <c r="Q961">
        <v>166</v>
      </c>
      <c r="R961">
        <v>248</v>
      </c>
      <c r="S961">
        <v>214</v>
      </c>
      <c r="T961">
        <v>336</v>
      </c>
      <c r="U961">
        <v>202</v>
      </c>
      <c r="V961">
        <v>404</v>
      </c>
      <c r="W961">
        <v>254</v>
      </c>
      <c r="X961">
        <v>813</v>
      </c>
    </row>
    <row r="962" spans="2:24" x14ac:dyDescent="0.35">
      <c r="B962" s="23" t="s">
        <v>1170</v>
      </c>
      <c r="D962" t="s">
        <v>1067</v>
      </c>
      <c r="E962" t="s">
        <v>1068</v>
      </c>
      <c r="F962" s="46" t="s">
        <v>1081</v>
      </c>
      <c r="G962" t="s">
        <v>231</v>
      </c>
      <c r="H962" s="23">
        <v>1</v>
      </c>
      <c r="I962" s="23" t="s">
        <v>1069</v>
      </c>
      <c r="J962" t="s">
        <v>1082</v>
      </c>
      <c r="K962">
        <v>577</v>
      </c>
      <c r="L962">
        <v>783</v>
      </c>
      <c r="M962" s="24">
        <v>449</v>
      </c>
      <c r="N962" s="24">
        <v>611</v>
      </c>
      <c r="O962" s="24">
        <v>381</v>
      </c>
      <c r="P962" s="24">
        <v>556</v>
      </c>
      <c r="Q962">
        <v>359</v>
      </c>
      <c r="R962">
        <v>532</v>
      </c>
      <c r="S962">
        <v>324</v>
      </c>
      <c r="T962">
        <v>577</v>
      </c>
      <c r="U962">
        <v>441</v>
      </c>
      <c r="V962">
        <v>710</v>
      </c>
      <c r="W962">
        <v>890</v>
      </c>
      <c r="X962">
        <v>1599</v>
      </c>
    </row>
    <row r="963" spans="2:24" x14ac:dyDescent="0.35">
      <c r="B963" s="23" t="s">
        <v>1172</v>
      </c>
      <c r="D963" t="s">
        <v>1067</v>
      </c>
      <c r="E963" t="s">
        <v>1068</v>
      </c>
      <c r="F963" s="46" t="s">
        <v>1101</v>
      </c>
      <c r="G963" t="s">
        <v>239</v>
      </c>
      <c r="H963" s="23">
        <v>3</v>
      </c>
      <c r="I963" s="23" t="s">
        <v>1093</v>
      </c>
      <c r="J963" t="s">
        <v>1102</v>
      </c>
      <c r="K963">
        <v>1087</v>
      </c>
      <c r="L963">
        <v>1724</v>
      </c>
      <c r="M963" s="24">
        <v>867</v>
      </c>
      <c r="N963" s="24">
        <v>1388</v>
      </c>
      <c r="O963" s="24">
        <v>815</v>
      </c>
      <c r="P963" s="24">
        <v>1368</v>
      </c>
      <c r="Q963">
        <v>786</v>
      </c>
      <c r="R963">
        <v>1327</v>
      </c>
      <c r="S963">
        <v>928</v>
      </c>
      <c r="T963">
        <v>1584</v>
      </c>
      <c r="U963">
        <v>924</v>
      </c>
      <c r="V963">
        <v>2039</v>
      </c>
      <c r="W963">
        <v>1077</v>
      </c>
      <c r="X963">
        <v>3816</v>
      </c>
    </row>
    <row r="964" spans="2:24" x14ac:dyDescent="0.35">
      <c r="B964" s="23" t="s">
        <v>1174</v>
      </c>
      <c r="D964" t="s">
        <v>1067</v>
      </c>
      <c r="E964" t="s">
        <v>1068</v>
      </c>
      <c r="F964" s="46" t="s">
        <v>1103</v>
      </c>
      <c r="G964" t="s">
        <v>239</v>
      </c>
      <c r="H964" s="23">
        <v>3</v>
      </c>
      <c r="I964" s="23" t="s">
        <v>1093</v>
      </c>
      <c r="J964" t="s">
        <v>1104</v>
      </c>
      <c r="K964">
        <v>730</v>
      </c>
      <c r="L964">
        <v>1163</v>
      </c>
      <c r="M964" s="24">
        <v>603</v>
      </c>
      <c r="N964" s="24">
        <v>967</v>
      </c>
      <c r="O964" s="24">
        <v>517</v>
      </c>
      <c r="P964" s="24">
        <v>893</v>
      </c>
      <c r="Q964">
        <v>561</v>
      </c>
      <c r="R964">
        <v>909</v>
      </c>
      <c r="S964">
        <v>655</v>
      </c>
      <c r="T964">
        <v>1069</v>
      </c>
      <c r="U964">
        <v>649</v>
      </c>
      <c r="V964">
        <v>1281</v>
      </c>
      <c r="W964">
        <v>744</v>
      </c>
      <c r="X964">
        <v>2000</v>
      </c>
    </row>
    <row r="965" spans="2:24" x14ac:dyDescent="0.35">
      <c r="B965" s="23" t="s">
        <v>1176</v>
      </c>
      <c r="D965" t="s">
        <v>1067</v>
      </c>
      <c r="E965" t="s">
        <v>1068</v>
      </c>
      <c r="F965" s="46" t="s">
        <v>1105</v>
      </c>
      <c r="G965" t="s">
        <v>239</v>
      </c>
      <c r="H965" s="23">
        <v>3</v>
      </c>
      <c r="I965" s="23" t="s">
        <v>1093</v>
      </c>
      <c r="J965" t="s">
        <v>1106</v>
      </c>
      <c r="K965">
        <v>514</v>
      </c>
      <c r="L965">
        <v>811</v>
      </c>
      <c r="M965" s="24">
        <v>453</v>
      </c>
      <c r="N965" s="24">
        <v>693</v>
      </c>
      <c r="O965" s="24">
        <v>385</v>
      </c>
      <c r="P965" s="24">
        <v>622</v>
      </c>
      <c r="Q965">
        <v>341</v>
      </c>
      <c r="R965">
        <v>581</v>
      </c>
      <c r="S965">
        <v>409</v>
      </c>
      <c r="T965">
        <v>716</v>
      </c>
      <c r="U965">
        <v>422</v>
      </c>
      <c r="V965">
        <v>1042</v>
      </c>
      <c r="W965">
        <v>514</v>
      </c>
      <c r="X965">
        <v>1968</v>
      </c>
    </row>
    <row r="966" spans="2:24" x14ac:dyDescent="0.35">
      <c r="B966" s="23" t="s">
        <v>1178</v>
      </c>
      <c r="D966" t="s">
        <v>1067</v>
      </c>
      <c r="E966" t="s">
        <v>1068</v>
      </c>
      <c r="F966" s="46" t="s">
        <v>1083</v>
      </c>
      <c r="G966" t="s">
        <v>231</v>
      </c>
      <c r="H966" s="23">
        <v>1</v>
      </c>
      <c r="I966" s="23" t="s">
        <v>1069</v>
      </c>
      <c r="J966" t="s">
        <v>1084</v>
      </c>
      <c r="K966">
        <v>6164</v>
      </c>
      <c r="L966">
        <v>8759</v>
      </c>
      <c r="M966" s="24">
        <v>5145</v>
      </c>
      <c r="N966" s="24">
        <v>7503</v>
      </c>
      <c r="O966" s="24">
        <v>4613</v>
      </c>
      <c r="P966" s="24">
        <v>6936</v>
      </c>
      <c r="Q966">
        <v>4258</v>
      </c>
      <c r="R966">
        <v>6658</v>
      </c>
      <c r="S966">
        <v>4885</v>
      </c>
      <c r="T966">
        <v>8128</v>
      </c>
      <c r="U966">
        <v>4796</v>
      </c>
      <c r="V966">
        <v>8773</v>
      </c>
      <c r="W966">
        <v>5369</v>
      </c>
      <c r="X966">
        <v>12034</v>
      </c>
    </row>
    <row r="967" spans="2:24" x14ac:dyDescent="0.35">
      <c r="B967" s="23" t="s">
        <v>1180</v>
      </c>
      <c r="D967" t="s">
        <v>1067</v>
      </c>
      <c r="E967" t="s">
        <v>1068</v>
      </c>
      <c r="F967" s="46" t="s">
        <v>1135</v>
      </c>
      <c r="G967" t="s">
        <v>259</v>
      </c>
      <c r="H967" s="23">
        <v>5</v>
      </c>
      <c r="I967" s="23" t="s">
        <v>1121</v>
      </c>
      <c r="J967" t="s">
        <v>1136</v>
      </c>
      <c r="K967">
        <v>1757</v>
      </c>
      <c r="L967">
        <v>2708</v>
      </c>
      <c r="M967" s="24">
        <v>1631</v>
      </c>
      <c r="N967" s="24">
        <v>2495</v>
      </c>
      <c r="O967" s="24">
        <v>1679</v>
      </c>
      <c r="P967" s="24">
        <v>2593</v>
      </c>
      <c r="Q967">
        <v>1568</v>
      </c>
      <c r="R967">
        <v>2463</v>
      </c>
      <c r="S967">
        <v>1842</v>
      </c>
      <c r="T967">
        <v>2990</v>
      </c>
      <c r="U967">
        <v>1637</v>
      </c>
      <c r="V967">
        <v>3510</v>
      </c>
      <c r="W967">
        <v>2032</v>
      </c>
      <c r="X967">
        <v>6379</v>
      </c>
    </row>
    <row r="968" spans="2:24" x14ac:dyDescent="0.35">
      <c r="B968" s="23" t="s">
        <v>1182</v>
      </c>
      <c r="D968" t="s">
        <v>1067</v>
      </c>
      <c r="E968" t="s">
        <v>1068</v>
      </c>
      <c r="F968" s="46" t="s">
        <v>1180</v>
      </c>
      <c r="G968" t="s">
        <v>273</v>
      </c>
      <c r="H968" s="23">
        <v>7</v>
      </c>
      <c r="I968" s="23" t="s">
        <v>1162</v>
      </c>
      <c r="J968" t="s">
        <v>1181</v>
      </c>
      <c r="K968">
        <v>57</v>
      </c>
      <c r="L968">
        <v>94</v>
      </c>
      <c r="M968" s="24">
        <v>44</v>
      </c>
      <c r="N968" s="24">
        <v>76</v>
      </c>
      <c r="O968" s="24">
        <v>39</v>
      </c>
      <c r="P968" s="24">
        <v>71</v>
      </c>
      <c r="Q968">
        <f>O968</f>
        <v>39</v>
      </c>
      <c r="R968">
        <v>68</v>
      </c>
      <c r="S968">
        <v>0</v>
      </c>
      <c r="T968">
        <v>83</v>
      </c>
      <c r="U968">
        <v>56</v>
      </c>
      <c r="V968">
        <v>110</v>
      </c>
      <c r="W968">
        <v>119</v>
      </c>
      <c r="X968">
        <v>197</v>
      </c>
    </row>
    <row r="969" spans="2:24" x14ac:dyDescent="0.35">
      <c r="B969" s="23" t="s">
        <v>1184</v>
      </c>
      <c r="D969" t="s">
        <v>1067</v>
      </c>
      <c r="E969" t="s">
        <v>1068</v>
      </c>
      <c r="F969" s="46" t="s">
        <v>1090</v>
      </c>
      <c r="G969" t="s">
        <v>235</v>
      </c>
      <c r="H969" s="23">
        <v>2</v>
      </c>
      <c r="I969" s="23" t="s">
        <v>1086</v>
      </c>
      <c r="J969" t="s">
        <v>1091</v>
      </c>
      <c r="K969">
        <v>1190</v>
      </c>
      <c r="L969">
        <v>1885</v>
      </c>
      <c r="M969" s="24">
        <v>1049</v>
      </c>
      <c r="N969" s="24">
        <v>1703</v>
      </c>
      <c r="O969" s="24">
        <v>974</v>
      </c>
      <c r="P969" s="24">
        <v>1637</v>
      </c>
      <c r="Q969">
        <v>939</v>
      </c>
      <c r="R969">
        <v>1560</v>
      </c>
      <c r="S969">
        <v>1176</v>
      </c>
      <c r="T969">
        <v>1979</v>
      </c>
      <c r="U969">
        <v>1148</v>
      </c>
      <c r="V969">
        <v>2168</v>
      </c>
      <c r="W969">
        <v>1573</v>
      </c>
      <c r="X969">
        <v>2852</v>
      </c>
    </row>
    <row r="970" spans="2:24" x14ac:dyDescent="0.35">
      <c r="B970" s="23" t="s">
        <v>1186</v>
      </c>
      <c r="D970" t="s">
        <v>1067</v>
      </c>
      <c r="E970" t="s">
        <v>1068</v>
      </c>
      <c r="F970" s="46" t="s">
        <v>1182</v>
      </c>
      <c r="G970" t="s">
        <v>273</v>
      </c>
      <c r="H970" s="23">
        <v>7</v>
      </c>
      <c r="I970" s="23" t="s">
        <v>1162</v>
      </c>
      <c r="J970" t="s">
        <v>1183</v>
      </c>
      <c r="K970">
        <v>228</v>
      </c>
      <c r="L970">
        <v>458</v>
      </c>
      <c r="M970" s="24">
        <v>190</v>
      </c>
      <c r="N970" s="24">
        <v>382</v>
      </c>
      <c r="O970" s="24">
        <v>213</v>
      </c>
      <c r="P970" s="24">
        <v>394</v>
      </c>
      <c r="Q970">
        <v>252</v>
      </c>
      <c r="R970">
        <v>443</v>
      </c>
      <c r="S970">
        <v>228</v>
      </c>
      <c r="T970">
        <v>461</v>
      </c>
      <c r="U970">
        <v>203</v>
      </c>
      <c r="V970">
        <v>518</v>
      </c>
      <c r="W970">
        <v>256</v>
      </c>
      <c r="X970">
        <v>902</v>
      </c>
    </row>
    <row r="971" spans="2:24" x14ac:dyDescent="0.35">
      <c r="B971" s="23" t="s">
        <v>1189</v>
      </c>
      <c r="D971" t="s">
        <v>1067</v>
      </c>
      <c r="E971" t="s">
        <v>1068</v>
      </c>
      <c r="F971" s="46" t="s">
        <v>1107</v>
      </c>
      <c r="G971" t="s">
        <v>239</v>
      </c>
      <c r="H971" s="23">
        <v>3</v>
      </c>
      <c r="I971" s="23" t="s">
        <v>1093</v>
      </c>
      <c r="J971" s="49" t="s">
        <v>1108</v>
      </c>
      <c r="K971">
        <v>793</v>
      </c>
      <c r="L971">
        <v>1325</v>
      </c>
      <c r="M971" s="24">
        <v>674</v>
      </c>
      <c r="N971" s="24">
        <v>1169</v>
      </c>
      <c r="O971" s="24">
        <v>639</v>
      </c>
      <c r="P971" s="24">
        <v>1092</v>
      </c>
      <c r="Q971">
        <v>643</v>
      </c>
      <c r="R971">
        <v>1093</v>
      </c>
      <c r="S971">
        <v>730</v>
      </c>
      <c r="T971">
        <v>1295</v>
      </c>
      <c r="U971">
        <v>760</v>
      </c>
      <c r="V971">
        <v>1560</v>
      </c>
      <c r="W971">
        <v>901</v>
      </c>
      <c r="X971">
        <v>2592</v>
      </c>
    </row>
    <row r="972" spans="2:24" x14ac:dyDescent="0.35">
      <c r="B972" s="23" t="s">
        <v>1191</v>
      </c>
      <c r="D972" t="s">
        <v>1067</v>
      </c>
      <c r="E972" t="s">
        <v>1068</v>
      </c>
      <c r="F972" s="46" t="s">
        <v>1157</v>
      </c>
      <c r="G972" t="s">
        <v>265</v>
      </c>
      <c r="H972" s="23">
        <v>6</v>
      </c>
      <c r="I972" s="23" t="s">
        <v>1144</v>
      </c>
      <c r="J972" t="s">
        <v>1158</v>
      </c>
      <c r="K972">
        <v>289</v>
      </c>
      <c r="L972">
        <v>539</v>
      </c>
      <c r="M972" s="24">
        <v>258</v>
      </c>
      <c r="N972" s="24">
        <v>484</v>
      </c>
      <c r="O972" s="24">
        <v>217</v>
      </c>
      <c r="P972" s="24">
        <v>433</v>
      </c>
      <c r="Q972">
        <v>162</v>
      </c>
      <c r="R972">
        <v>365</v>
      </c>
      <c r="S972">
        <v>208</v>
      </c>
      <c r="T972">
        <v>415</v>
      </c>
      <c r="U972">
        <v>376</v>
      </c>
      <c r="V972">
        <v>614</v>
      </c>
      <c r="W972">
        <v>685</v>
      </c>
      <c r="X972">
        <v>1063</v>
      </c>
    </row>
    <row r="973" spans="2:24" x14ac:dyDescent="0.35">
      <c r="B973" s="23" t="s">
        <v>1193</v>
      </c>
      <c r="D973" t="s">
        <v>1067</v>
      </c>
      <c r="E973" t="s">
        <v>1068</v>
      </c>
      <c r="F973" s="46" t="s">
        <v>1137</v>
      </c>
      <c r="G973" t="s">
        <v>259</v>
      </c>
      <c r="H973" s="23">
        <v>5</v>
      </c>
      <c r="I973" s="23" t="s">
        <v>1121</v>
      </c>
      <c r="J973" t="s">
        <v>1138</v>
      </c>
      <c r="K973">
        <v>558</v>
      </c>
      <c r="L973">
        <v>850</v>
      </c>
      <c r="M973" s="24">
        <v>520</v>
      </c>
      <c r="N973" s="24">
        <v>780</v>
      </c>
      <c r="O973" s="24">
        <v>494</v>
      </c>
      <c r="P973" s="24">
        <v>743</v>
      </c>
      <c r="Q973">
        <v>442</v>
      </c>
      <c r="R973">
        <v>671</v>
      </c>
      <c r="S973">
        <v>533</v>
      </c>
      <c r="T973">
        <v>825</v>
      </c>
      <c r="U973">
        <v>506</v>
      </c>
      <c r="V973">
        <v>1045</v>
      </c>
      <c r="W973">
        <v>888</v>
      </c>
      <c r="X973">
        <v>1868</v>
      </c>
    </row>
    <row r="974" spans="2:24" x14ac:dyDescent="0.35">
      <c r="B974" s="23" t="s">
        <v>1195</v>
      </c>
      <c r="D974" t="s">
        <v>1067</v>
      </c>
      <c r="E974" t="s">
        <v>1068</v>
      </c>
      <c r="F974" s="46" t="s">
        <v>1203</v>
      </c>
      <c r="G974" t="s">
        <v>279</v>
      </c>
      <c r="H974" s="23">
        <v>8</v>
      </c>
      <c r="I974" s="23" t="s">
        <v>1187</v>
      </c>
      <c r="J974" t="s">
        <v>1204</v>
      </c>
      <c r="K974">
        <v>478</v>
      </c>
      <c r="L974">
        <v>712</v>
      </c>
      <c r="M974" s="24">
        <v>431</v>
      </c>
      <c r="N974" s="24">
        <v>636</v>
      </c>
      <c r="O974" s="24">
        <v>441</v>
      </c>
      <c r="P974" s="24">
        <v>641</v>
      </c>
      <c r="Q974">
        <v>406</v>
      </c>
      <c r="R974">
        <v>609</v>
      </c>
      <c r="S974">
        <v>490</v>
      </c>
      <c r="T974">
        <v>775</v>
      </c>
      <c r="U974">
        <v>479</v>
      </c>
      <c r="V974">
        <v>861</v>
      </c>
      <c r="W974">
        <v>658</v>
      </c>
      <c r="X974">
        <v>1142</v>
      </c>
    </row>
    <row r="975" spans="2:24" x14ac:dyDescent="0.35">
      <c r="B975" s="23" t="s">
        <v>1197</v>
      </c>
      <c r="D975" t="s">
        <v>1067</v>
      </c>
      <c r="E975" t="s">
        <v>1068</v>
      </c>
      <c r="F975" s="46" t="s">
        <v>1139</v>
      </c>
      <c r="G975" t="s">
        <v>259</v>
      </c>
      <c r="H975" s="23">
        <v>5</v>
      </c>
      <c r="I975" s="23" t="s">
        <v>1121</v>
      </c>
      <c r="J975" t="s">
        <v>1140</v>
      </c>
      <c r="K975">
        <v>331</v>
      </c>
      <c r="L975">
        <v>540</v>
      </c>
      <c r="M975" s="24">
        <v>311</v>
      </c>
      <c r="N975" s="24">
        <v>505</v>
      </c>
      <c r="O975" s="24">
        <v>286</v>
      </c>
      <c r="P975" s="24">
        <v>470</v>
      </c>
      <c r="Q975">
        <v>282</v>
      </c>
      <c r="R975">
        <v>456</v>
      </c>
      <c r="S975">
        <v>298</v>
      </c>
      <c r="T975">
        <v>513</v>
      </c>
      <c r="U975">
        <v>368</v>
      </c>
      <c r="V975">
        <v>605</v>
      </c>
      <c r="W975">
        <v>651</v>
      </c>
      <c r="X975">
        <v>1103</v>
      </c>
    </row>
    <row r="976" spans="2:24" x14ac:dyDescent="0.35">
      <c r="B976" s="23" t="s">
        <v>1199</v>
      </c>
      <c r="D976" t="s">
        <v>1067</v>
      </c>
      <c r="E976" t="s">
        <v>1068</v>
      </c>
      <c r="F976" s="46" t="s">
        <v>1184</v>
      </c>
      <c r="G976" t="s">
        <v>273</v>
      </c>
      <c r="H976" s="23">
        <v>7</v>
      </c>
      <c r="I976" s="23" t="s">
        <v>1162</v>
      </c>
      <c r="J976" t="s">
        <v>1185</v>
      </c>
      <c r="K976">
        <v>95</v>
      </c>
      <c r="L976">
        <v>198</v>
      </c>
      <c r="M976" s="24">
        <v>75</v>
      </c>
      <c r="N976" s="24">
        <v>167</v>
      </c>
      <c r="O976" s="24">
        <v>80</v>
      </c>
      <c r="P976" s="24">
        <v>153</v>
      </c>
      <c r="Q976">
        <v>97</v>
      </c>
      <c r="R976">
        <v>176</v>
      </c>
      <c r="S976">
        <v>102</v>
      </c>
      <c r="T976">
        <v>200</v>
      </c>
      <c r="U976">
        <v>103</v>
      </c>
      <c r="V976">
        <v>237</v>
      </c>
      <c r="W976">
        <v>248</v>
      </c>
      <c r="X976">
        <v>435</v>
      </c>
    </row>
    <row r="977" spans="2:24" x14ac:dyDescent="0.35">
      <c r="B977" s="23" t="s">
        <v>1201</v>
      </c>
      <c r="D977" t="s">
        <v>1067</v>
      </c>
      <c r="E977" t="s">
        <v>1068</v>
      </c>
      <c r="F977" s="46" t="s">
        <v>1141</v>
      </c>
      <c r="G977" t="s">
        <v>259</v>
      </c>
      <c r="H977" s="23">
        <v>5</v>
      </c>
      <c r="I977" s="23" t="s">
        <v>1121</v>
      </c>
      <c r="J977" t="s">
        <v>1142</v>
      </c>
      <c r="K977">
        <v>131</v>
      </c>
      <c r="L977">
        <v>181</v>
      </c>
      <c r="M977" s="24">
        <v>108</v>
      </c>
      <c r="N977" s="24">
        <v>183</v>
      </c>
      <c r="O977" s="24">
        <v>107</v>
      </c>
      <c r="P977" s="24">
        <v>156</v>
      </c>
      <c r="Q977">
        <v>83</v>
      </c>
      <c r="R977">
        <v>136</v>
      </c>
      <c r="S977">
        <v>77</v>
      </c>
      <c r="T977">
        <v>174</v>
      </c>
      <c r="U977">
        <v>79</v>
      </c>
      <c r="V977">
        <v>176</v>
      </c>
      <c r="W977">
        <v>142</v>
      </c>
      <c r="X977">
        <v>279</v>
      </c>
    </row>
    <row r="978" spans="2:24" x14ac:dyDescent="0.35">
      <c r="B978" s="23" t="s">
        <v>1203</v>
      </c>
      <c r="D978" t="s">
        <v>1067</v>
      </c>
      <c r="E978" t="s">
        <v>1068</v>
      </c>
      <c r="F978" s="46" t="s">
        <v>1159</v>
      </c>
      <c r="G978" t="s">
        <v>265</v>
      </c>
      <c r="H978" s="23">
        <v>6</v>
      </c>
      <c r="I978" s="23" t="s">
        <v>1144</v>
      </c>
      <c r="J978" t="s">
        <v>1160</v>
      </c>
      <c r="K978">
        <v>133</v>
      </c>
      <c r="L978">
        <v>229</v>
      </c>
      <c r="M978" s="24">
        <v>120</v>
      </c>
      <c r="N978" s="24">
        <v>201</v>
      </c>
      <c r="O978" s="24">
        <v>117</v>
      </c>
      <c r="P978" s="24">
        <v>196</v>
      </c>
      <c r="Q978">
        <v>121</v>
      </c>
      <c r="R978">
        <v>217</v>
      </c>
      <c r="S978">
        <v>124</v>
      </c>
      <c r="T978">
        <v>225</v>
      </c>
      <c r="U978">
        <v>126</v>
      </c>
      <c r="V978">
        <v>273</v>
      </c>
      <c r="W978">
        <v>206</v>
      </c>
      <c r="X978">
        <v>383</v>
      </c>
    </row>
    <row r="979" spans="2:24" x14ac:dyDescent="0.35">
      <c r="B979" s="23" t="s">
        <v>1205</v>
      </c>
      <c r="D979" t="s">
        <v>1206</v>
      </c>
      <c r="E979" t="s">
        <v>1207</v>
      </c>
      <c r="F979" s="46" t="s">
        <v>1253</v>
      </c>
      <c r="G979" t="s">
        <v>265</v>
      </c>
      <c r="H979" s="23">
        <v>6</v>
      </c>
      <c r="I979" s="23" t="s">
        <v>1254</v>
      </c>
      <c r="J979" t="s">
        <v>1255</v>
      </c>
      <c r="K979">
        <v>1032</v>
      </c>
      <c r="L979">
        <v>1112</v>
      </c>
      <c r="M979" s="24">
        <v>1046</v>
      </c>
      <c r="N979" s="24">
        <v>1090</v>
      </c>
      <c r="O979" s="24">
        <v>1113</v>
      </c>
      <c r="P979" s="24">
        <v>1194</v>
      </c>
      <c r="Q979">
        <v>1076</v>
      </c>
      <c r="R979">
        <v>1290</v>
      </c>
      <c r="S979">
        <v>1370</v>
      </c>
      <c r="T979">
        <v>1598</v>
      </c>
      <c r="U979">
        <v>1620</v>
      </c>
      <c r="V979">
        <v>1917</v>
      </c>
      <c r="W979">
        <v>2495</v>
      </c>
      <c r="X979">
        <v>2933</v>
      </c>
    </row>
    <row r="980" spans="2:24" x14ac:dyDescent="0.35">
      <c r="B980" s="23" t="s">
        <v>1210</v>
      </c>
      <c r="D980" t="s">
        <v>1206</v>
      </c>
      <c r="E980" t="s">
        <v>1207</v>
      </c>
      <c r="F980" s="46" t="s">
        <v>1256</v>
      </c>
      <c r="G980" t="s">
        <v>265</v>
      </c>
      <c r="H980" s="23">
        <v>6</v>
      </c>
      <c r="I980" s="23" t="s">
        <v>1254</v>
      </c>
      <c r="J980" t="s">
        <v>1257</v>
      </c>
      <c r="K980">
        <v>965</v>
      </c>
      <c r="L980">
        <v>1003</v>
      </c>
      <c r="M980" s="24">
        <v>1037</v>
      </c>
      <c r="N980" s="24">
        <v>1061</v>
      </c>
      <c r="O980" s="24">
        <v>1229</v>
      </c>
      <c r="P980" s="24">
        <v>1267</v>
      </c>
      <c r="Q980">
        <v>1319</v>
      </c>
      <c r="R980">
        <v>1469</v>
      </c>
      <c r="S980">
        <v>1603</v>
      </c>
      <c r="T980">
        <v>1815</v>
      </c>
      <c r="U980">
        <v>2092</v>
      </c>
      <c r="V980">
        <v>2389</v>
      </c>
      <c r="W980">
        <v>3284</v>
      </c>
      <c r="X980">
        <v>3789</v>
      </c>
    </row>
    <row r="981" spans="2:24" x14ac:dyDescent="0.35">
      <c r="B981" s="23" t="s">
        <v>1211</v>
      </c>
      <c r="D981" t="s">
        <v>1206</v>
      </c>
      <c r="E981" t="s">
        <v>1207</v>
      </c>
      <c r="F981" s="46" t="s">
        <v>1258</v>
      </c>
      <c r="G981" t="s">
        <v>265</v>
      </c>
      <c r="H981" s="23">
        <v>6</v>
      </c>
      <c r="I981" s="23" t="s">
        <v>1254</v>
      </c>
      <c r="J981" t="s">
        <v>1259</v>
      </c>
      <c r="K981">
        <v>410</v>
      </c>
      <c r="L981">
        <v>423</v>
      </c>
      <c r="M981" s="24">
        <v>418</v>
      </c>
      <c r="N981" s="24">
        <v>433</v>
      </c>
      <c r="O981" s="24">
        <v>450</v>
      </c>
      <c r="P981" s="24">
        <v>486</v>
      </c>
      <c r="Q981">
        <v>480</v>
      </c>
      <c r="R981">
        <v>573</v>
      </c>
      <c r="S981">
        <v>596</v>
      </c>
      <c r="T981">
        <v>691</v>
      </c>
      <c r="U981">
        <v>765</v>
      </c>
      <c r="V981">
        <v>913</v>
      </c>
      <c r="W981">
        <v>1277</v>
      </c>
      <c r="X981">
        <v>1501</v>
      </c>
    </row>
    <row r="982" spans="2:24" x14ac:dyDescent="0.35">
      <c r="B982" s="23" t="s">
        <v>1213</v>
      </c>
      <c r="D982" t="s">
        <v>1206</v>
      </c>
      <c r="E982" t="s">
        <v>1207</v>
      </c>
      <c r="F982" s="46" t="s">
        <v>1260</v>
      </c>
      <c r="G982" t="s">
        <v>265</v>
      </c>
      <c r="H982" s="23">
        <v>6</v>
      </c>
      <c r="I982" s="23" t="s">
        <v>1254</v>
      </c>
      <c r="J982" t="s">
        <v>1261</v>
      </c>
      <c r="K982">
        <v>463</v>
      </c>
      <c r="L982">
        <v>493</v>
      </c>
      <c r="M982" s="24">
        <v>471</v>
      </c>
      <c r="N982" s="24">
        <v>491</v>
      </c>
      <c r="O982" s="24">
        <v>490</v>
      </c>
      <c r="P982" s="24">
        <v>529</v>
      </c>
      <c r="Q982">
        <v>497</v>
      </c>
      <c r="R982">
        <v>640</v>
      </c>
      <c r="S982">
        <v>721</v>
      </c>
      <c r="T982">
        <v>859</v>
      </c>
      <c r="U982">
        <v>1094</v>
      </c>
      <c r="V982">
        <v>1339</v>
      </c>
      <c r="W982">
        <v>1831</v>
      </c>
      <c r="X982">
        <v>2133</v>
      </c>
    </row>
    <row r="983" spans="2:24" x14ac:dyDescent="0.35">
      <c r="B983" s="23" t="s">
        <v>1215</v>
      </c>
      <c r="D983" t="s">
        <v>1206</v>
      </c>
      <c r="E983" t="s">
        <v>1207</v>
      </c>
      <c r="F983" s="46" t="s">
        <v>1215</v>
      </c>
      <c r="G983" t="s">
        <v>235</v>
      </c>
      <c r="H983" s="23">
        <v>2</v>
      </c>
      <c r="I983" s="23" t="s">
        <v>1216</v>
      </c>
      <c r="J983" t="s">
        <v>456</v>
      </c>
      <c r="K983">
        <v>202</v>
      </c>
      <c r="L983">
        <v>209</v>
      </c>
      <c r="M983" s="24">
        <v>223</v>
      </c>
      <c r="N983" s="24">
        <v>228</v>
      </c>
      <c r="O983" s="24">
        <v>276</v>
      </c>
      <c r="P983" s="24">
        <v>283</v>
      </c>
      <c r="Q983">
        <v>287</v>
      </c>
      <c r="R983">
        <v>328</v>
      </c>
      <c r="S983">
        <v>332</v>
      </c>
      <c r="T983">
        <v>405</v>
      </c>
      <c r="U983">
        <v>379</v>
      </c>
      <c r="V983">
        <v>606</v>
      </c>
      <c r="W983">
        <v>918</v>
      </c>
      <c r="X983">
        <v>1205</v>
      </c>
    </row>
    <row r="984" spans="2:24" x14ac:dyDescent="0.35">
      <c r="B984" s="23" t="s">
        <v>1217</v>
      </c>
      <c r="D984" t="s">
        <v>1206</v>
      </c>
      <c r="E984" t="s">
        <v>1207</v>
      </c>
      <c r="F984" s="46" t="s">
        <v>1262</v>
      </c>
      <c r="G984" t="s">
        <v>265</v>
      </c>
      <c r="H984" s="23">
        <v>6</v>
      </c>
      <c r="I984" s="23" t="s">
        <v>1254</v>
      </c>
      <c r="J984" t="s">
        <v>1263</v>
      </c>
      <c r="K984">
        <v>987</v>
      </c>
      <c r="L984">
        <v>1054</v>
      </c>
      <c r="M984" s="24">
        <v>1147</v>
      </c>
      <c r="N984" s="24">
        <v>1192</v>
      </c>
      <c r="O984" s="24">
        <v>1258</v>
      </c>
      <c r="P984" s="24">
        <v>1312</v>
      </c>
      <c r="Q984">
        <v>1309</v>
      </c>
      <c r="R984">
        <v>1528</v>
      </c>
      <c r="S984">
        <v>1783</v>
      </c>
      <c r="T984">
        <v>2013</v>
      </c>
      <c r="U984">
        <v>2125</v>
      </c>
      <c r="V984">
        <v>2451</v>
      </c>
      <c r="W984">
        <v>3244</v>
      </c>
      <c r="X984">
        <v>3745</v>
      </c>
    </row>
    <row r="985" spans="2:24" x14ac:dyDescent="0.35">
      <c r="B985" s="23" t="s">
        <v>1219</v>
      </c>
      <c r="D985" t="s">
        <v>1206</v>
      </c>
      <c r="E985" t="s">
        <v>1207</v>
      </c>
      <c r="F985" s="46" t="s">
        <v>1264</v>
      </c>
      <c r="G985" t="s">
        <v>265</v>
      </c>
      <c r="H985" s="23">
        <v>6</v>
      </c>
      <c r="I985" s="23" t="s">
        <v>1254</v>
      </c>
      <c r="J985" t="s">
        <v>233</v>
      </c>
      <c r="K985">
        <v>285</v>
      </c>
      <c r="L985">
        <v>298</v>
      </c>
      <c r="M985" s="24">
        <v>347</v>
      </c>
      <c r="N985" s="24">
        <v>356</v>
      </c>
      <c r="O985" s="24">
        <v>416</v>
      </c>
      <c r="P985" s="24">
        <v>444</v>
      </c>
      <c r="Q985">
        <v>470</v>
      </c>
      <c r="R985">
        <v>543</v>
      </c>
      <c r="S985">
        <v>579</v>
      </c>
      <c r="T985">
        <v>678</v>
      </c>
      <c r="U985">
        <v>911</v>
      </c>
      <c r="V985">
        <v>1067</v>
      </c>
      <c r="W985">
        <v>1441</v>
      </c>
      <c r="X985">
        <v>1676</v>
      </c>
    </row>
    <row r="986" spans="2:24" x14ac:dyDescent="0.35">
      <c r="B986" s="23" t="s">
        <v>1220</v>
      </c>
      <c r="D986" t="s">
        <v>1206</v>
      </c>
      <c r="E986" t="s">
        <v>1207</v>
      </c>
      <c r="F986" s="46" t="s">
        <v>1265</v>
      </c>
      <c r="G986" t="s">
        <v>265</v>
      </c>
      <c r="H986" s="23">
        <v>6</v>
      </c>
      <c r="I986" s="23" t="s">
        <v>1254</v>
      </c>
      <c r="J986" t="s">
        <v>463</v>
      </c>
      <c r="K986">
        <v>170</v>
      </c>
      <c r="L986">
        <v>184</v>
      </c>
      <c r="M986" s="24">
        <v>206</v>
      </c>
      <c r="N986" s="24">
        <v>215</v>
      </c>
      <c r="O986" s="24">
        <v>232</v>
      </c>
      <c r="P986" s="24">
        <v>249</v>
      </c>
      <c r="Q986">
        <v>242</v>
      </c>
      <c r="R986">
        <v>318</v>
      </c>
      <c r="S986">
        <v>387</v>
      </c>
      <c r="T986">
        <v>490</v>
      </c>
      <c r="U986">
        <v>698</v>
      </c>
      <c r="V986">
        <v>911</v>
      </c>
      <c r="W986">
        <v>1305</v>
      </c>
      <c r="X986">
        <v>1508</v>
      </c>
    </row>
    <row r="987" spans="2:24" x14ac:dyDescent="0.35">
      <c r="B987" s="23" t="s">
        <v>1222</v>
      </c>
      <c r="D987" t="s">
        <v>1206</v>
      </c>
      <c r="E987" t="s">
        <v>1207</v>
      </c>
      <c r="F987" s="46" t="s">
        <v>1266</v>
      </c>
      <c r="G987" t="s">
        <v>265</v>
      </c>
      <c r="H987" s="23">
        <v>6</v>
      </c>
      <c r="I987" s="23" t="s">
        <v>1254</v>
      </c>
      <c r="J987" t="s">
        <v>1267</v>
      </c>
      <c r="K987">
        <v>586</v>
      </c>
      <c r="L987">
        <v>607</v>
      </c>
      <c r="M987" s="24">
        <v>673</v>
      </c>
      <c r="N987" s="24">
        <v>690</v>
      </c>
      <c r="O987" s="24">
        <v>866</v>
      </c>
      <c r="P987" s="24">
        <v>902</v>
      </c>
      <c r="Q987">
        <v>959</v>
      </c>
      <c r="R987">
        <v>1095</v>
      </c>
      <c r="S987">
        <v>1190</v>
      </c>
      <c r="T987">
        <v>1301</v>
      </c>
      <c r="U987">
        <v>1450</v>
      </c>
      <c r="V987">
        <v>1616</v>
      </c>
      <c r="W987">
        <v>2097</v>
      </c>
      <c r="X987">
        <v>2394</v>
      </c>
    </row>
    <row r="988" spans="2:24" x14ac:dyDescent="0.35">
      <c r="B988" s="23" t="s">
        <v>1224</v>
      </c>
      <c r="D988" t="s">
        <v>1206</v>
      </c>
      <c r="E988" t="s">
        <v>1207</v>
      </c>
      <c r="F988" s="46" t="s">
        <v>1268</v>
      </c>
      <c r="G988" t="s">
        <v>265</v>
      </c>
      <c r="H988" s="23">
        <v>6</v>
      </c>
      <c r="I988" s="23" t="s">
        <v>1254</v>
      </c>
      <c r="J988" t="s">
        <v>325</v>
      </c>
      <c r="K988">
        <v>153</v>
      </c>
      <c r="L988">
        <v>166</v>
      </c>
      <c r="M988" s="24">
        <v>182</v>
      </c>
      <c r="N988" s="24">
        <v>183</v>
      </c>
      <c r="O988" s="24">
        <v>206</v>
      </c>
      <c r="P988" s="24">
        <v>212</v>
      </c>
      <c r="Q988">
        <v>230</v>
      </c>
      <c r="R988">
        <v>258</v>
      </c>
      <c r="S988">
        <v>255</v>
      </c>
      <c r="T988">
        <v>314</v>
      </c>
      <c r="U988">
        <v>337</v>
      </c>
      <c r="V988">
        <v>399</v>
      </c>
      <c r="W988">
        <v>618</v>
      </c>
      <c r="X988">
        <v>729</v>
      </c>
    </row>
    <row r="989" spans="2:24" x14ac:dyDescent="0.35">
      <c r="B989" s="23" t="s">
        <v>1225</v>
      </c>
      <c r="D989" t="s">
        <v>1206</v>
      </c>
      <c r="E989" t="s">
        <v>1207</v>
      </c>
      <c r="F989" s="46" t="s">
        <v>1269</v>
      </c>
      <c r="G989" t="s">
        <v>265</v>
      </c>
      <c r="H989" s="23">
        <v>6</v>
      </c>
      <c r="I989" s="23" t="s">
        <v>1254</v>
      </c>
      <c r="J989" t="s">
        <v>1270</v>
      </c>
      <c r="K989">
        <v>235</v>
      </c>
      <c r="L989">
        <v>249</v>
      </c>
      <c r="M989" s="24">
        <v>269</v>
      </c>
      <c r="N989" s="24">
        <v>275</v>
      </c>
      <c r="O989" s="24">
        <v>318</v>
      </c>
      <c r="P989" s="24">
        <v>336</v>
      </c>
      <c r="Q989">
        <v>366</v>
      </c>
      <c r="R989">
        <v>467</v>
      </c>
      <c r="S989">
        <v>527</v>
      </c>
      <c r="T989">
        <v>600</v>
      </c>
      <c r="U989">
        <v>623</v>
      </c>
      <c r="V989">
        <v>724</v>
      </c>
      <c r="W989">
        <v>995</v>
      </c>
      <c r="X989">
        <v>1168</v>
      </c>
    </row>
    <row r="990" spans="2:24" x14ac:dyDescent="0.35">
      <c r="B990" s="23" t="s">
        <v>1228</v>
      </c>
      <c r="D990" t="s">
        <v>1206</v>
      </c>
      <c r="E990" t="s">
        <v>1207</v>
      </c>
      <c r="F990" s="46" t="s">
        <v>1271</v>
      </c>
      <c r="G990" t="s">
        <v>265</v>
      </c>
      <c r="H990" s="23">
        <v>6</v>
      </c>
      <c r="I990" s="23" t="s">
        <v>1254</v>
      </c>
      <c r="J990" t="s">
        <v>327</v>
      </c>
      <c r="K990">
        <v>466</v>
      </c>
      <c r="L990">
        <v>496</v>
      </c>
      <c r="M990" s="24">
        <v>542</v>
      </c>
      <c r="N990" s="24">
        <v>567</v>
      </c>
      <c r="O990" s="24">
        <v>655</v>
      </c>
      <c r="P990" s="24">
        <v>694</v>
      </c>
      <c r="Q990">
        <v>683</v>
      </c>
      <c r="R990">
        <v>804</v>
      </c>
      <c r="S990">
        <v>965</v>
      </c>
      <c r="T990">
        <v>1127</v>
      </c>
      <c r="U990">
        <v>1424</v>
      </c>
      <c r="V990">
        <v>1711</v>
      </c>
      <c r="W990">
        <v>2369</v>
      </c>
      <c r="X990">
        <v>2724</v>
      </c>
    </row>
    <row r="991" spans="2:24" x14ac:dyDescent="0.35">
      <c r="B991" s="23" t="s">
        <v>1230</v>
      </c>
      <c r="D991" t="s">
        <v>1206</v>
      </c>
      <c r="E991" t="s">
        <v>1207</v>
      </c>
      <c r="F991" s="46" t="s">
        <v>1272</v>
      </c>
      <c r="G991" t="s">
        <v>265</v>
      </c>
      <c r="H991" s="23">
        <v>6</v>
      </c>
      <c r="I991" s="23" t="s">
        <v>1254</v>
      </c>
      <c r="J991" t="s">
        <v>329</v>
      </c>
      <c r="K991">
        <v>550</v>
      </c>
      <c r="L991">
        <v>578</v>
      </c>
      <c r="M991" s="24">
        <v>605</v>
      </c>
      <c r="N991" s="24">
        <v>623</v>
      </c>
      <c r="O991" s="24">
        <v>760</v>
      </c>
      <c r="P991" s="24">
        <v>804</v>
      </c>
      <c r="Q991">
        <v>927</v>
      </c>
      <c r="R991">
        <v>1096</v>
      </c>
      <c r="S991">
        <v>1318</v>
      </c>
      <c r="T991">
        <v>1515</v>
      </c>
      <c r="U991">
        <v>1652</v>
      </c>
      <c r="V991">
        <v>1914</v>
      </c>
      <c r="W991">
        <v>2631</v>
      </c>
      <c r="X991">
        <v>2994</v>
      </c>
    </row>
    <row r="992" spans="2:24" x14ac:dyDescent="0.35">
      <c r="B992" s="23" t="s">
        <v>1231</v>
      </c>
      <c r="D992" t="s">
        <v>1206</v>
      </c>
      <c r="E992" t="s">
        <v>1207</v>
      </c>
      <c r="F992" s="46" t="s">
        <v>1273</v>
      </c>
      <c r="G992" t="s">
        <v>265</v>
      </c>
      <c r="H992" s="23">
        <v>6</v>
      </c>
      <c r="I992" s="23" t="s">
        <v>1254</v>
      </c>
      <c r="J992" t="s">
        <v>1274</v>
      </c>
      <c r="K992">
        <v>620</v>
      </c>
      <c r="L992">
        <v>665</v>
      </c>
      <c r="M992" s="24">
        <v>715</v>
      </c>
      <c r="N992" s="24">
        <v>739</v>
      </c>
      <c r="O992" s="24">
        <v>899</v>
      </c>
      <c r="P992" s="24">
        <v>943</v>
      </c>
      <c r="Q992">
        <v>928</v>
      </c>
      <c r="R992">
        <v>1182</v>
      </c>
      <c r="S992">
        <v>1414</v>
      </c>
      <c r="T992">
        <v>1622</v>
      </c>
      <c r="U992">
        <v>1713</v>
      </c>
      <c r="V992">
        <v>2060</v>
      </c>
      <c r="W992">
        <v>2731</v>
      </c>
      <c r="X992">
        <v>3200</v>
      </c>
    </row>
    <row r="993" spans="2:24" x14ac:dyDescent="0.35">
      <c r="B993" s="23" t="s">
        <v>1233</v>
      </c>
      <c r="D993" t="s">
        <v>1206</v>
      </c>
      <c r="E993" t="s">
        <v>1207</v>
      </c>
      <c r="F993" s="46" t="s">
        <v>1225</v>
      </c>
      <c r="G993" t="s">
        <v>239</v>
      </c>
      <c r="H993" s="23">
        <v>3</v>
      </c>
      <c r="I993" s="23" t="s">
        <v>1226</v>
      </c>
      <c r="J993" t="s">
        <v>1227</v>
      </c>
      <c r="K993">
        <v>855</v>
      </c>
      <c r="L993">
        <v>925</v>
      </c>
      <c r="M993" s="24">
        <v>975</v>
      </c>
      <c r="N993" s="24">
        <v>1025</v>
      </c>
      <c r="O993" s="24">
        <v>1096</v>
      </c>
      <c r="P993" s="24">
        <v>1172</v>
      </c>
      <c r="Q993">
        <v>1020</v>
      </c>
      <c r="R993">
        <v>1299</v>
      </c>
      <c r="S993">
        <v>1262</v>
      </c>
      <c r="T993">
        <v>1511</v>
      </c>
      <c r="U993">
        <v>1191</v>
      </c>
      <c r="V993">
        <v>1904</v>
      </c>
      <c r="W993">
        <v>1367</v>
      </c>
      <c r="X993">
        <v>2912</v>
      </c>
    </row>
    <row r="994" spans="2:24" x14ac:dyDescent="0.35">
      <c r="B994" s="23" t="s">
        <v>1235</v>
      </c>
      <c r="D994" t="s">
        <v>1206</v>
      </c>
      <c r="E994" t="s">
        <v>1207</v>
      </c>
      <c r="F994" s="46" t="s">
        <v>1275</v>
      </c>
      <c r="G994" t="s">
        <v>265</v>
      </c>
      <c r="H994" s="23">
        <v>6</v>
      </c>
      <c r="I994" s="23" t="s">
        <v>1254</v>
      </c>
      <c r="J994" t="s">
        <v>339</v>
      </c>
      <c r="K994">
        <v>842</v>
      </c>
      <c r="L994">
        <v>871</v>
      </c>
      <c r="M994" s="24">
        <v>914</v>
      </c>
      <c r="N994" s="24">
        <v>935</v>
      </c>
      <c r="O994" s="24">
        <v>1077</v>
      </c>
      <c r="P994" s="24">
        <v>1117</v>
      </c>
      <c r="Q994">
        <v>1217</v>
      </c>
      <c r="R994">
        <v>1408</v>
      </c>
      <c r="S994">
        <v>1438</v>
      </c>
      <c r="T994">
        <v>1639</v>
      </c>
      <c r="U994">
        <v>1984</v>
      </c>
      <c r="V994">
        <v>2319</v>
      </c>
      <c r="W994">
        <v>2960</v>
      </c>
      <c r="X994">
        <v>3426</v>
      </c>
    </row>
    <row r="995" spans="2:24" x14ac:dyDescent="0.35">
      <c r="B995" s="23" t="s">
        <v>1236</v>
      </c>
      <c r="D995" t="s">
        <v>1206</v>
      </c>
      <c r="E995" t="s">
        <v>1207</v>
      </c>
      <c r="F995" s="46" t="s">
        <v>1205</v>
      </c>
      <c r="G995" t="s">
        <v>231</v>
      </c>
      <c r="H995" s="23">
        <v>1</v>
      </c>
      <c r="I995" s="23" t="s">
        <v>1208</v>
      </c>
      <c r="J995" t="s">
        <v>1209</v>
      </c>
      <c r="K995">
        <v>4579</v>
      </c>
      <c r="L995">
        <v>5100</v>
      </c>
      <c r="M995" s="24">
        <v>4390</v>
      </c>
      <c r="N995" s="24">
        <v>4667</v>
      </c>
      <c r="O995" s="24">
        <v>4288</v>
      </c>
      <c r="P995" s="24">
        <v>4821</v>
      </c>
      <c r="Q995">
        <v>4617</v>
      </c>
      <c r="R995">
        <v>5492</v>
      </c>
      <c r="S995">
        <v>5950</v>
      </c>
      <c r="T995">
        <v>7086</v>
      </c>
      <c r="U995">
        <v>6752</v>
      </c>
      <c r="V995">
        <v>8705</v>
      </c>
      <c r="W995">
        <v>9751</v>
      </c>
      <c r="X995">
        <v>13413</v>
      </c>
    </row>
    <row r="996" spans="2:24" x14ac:dyDescent="0.35">
      <c r="B996" s="23" t="s">
        <v>1239</v>
      </c>
      <c r="D996" t="s">
        <v>1206</v>
      </c>
      <c r="E996" t="s">
        <v>1207</v>
      </c>
      <c r="F996" s="46" t="s">
        <v>1236</v>
      </c>
      <c r="G996" t="s">
        <v>255</v>
      </c>
      <c r="H996" s="23">
        <v>4</v>
      </c>
      <c r="I996" s="23" t="s">
        <v>1237</v>
      </c>
      <c r="J996" t="s">
        <v>1238</v>
      </c>
      <c r="K996">
        <v>2197</v>
      </c>
      <c r="L996">
        <v>2339</v>
      </c>
      <c r="M996" s="24">
        <v>2509</v>
      </c>
      <c r="N996" s="24">
        <v>2625</v>
      </c>
      <c r="O996" s="24">
        <v>2478</v>
      </c>
      <c r="P996" s="24">
        <v>2890</v>
      </c>
      <c r="Q996">
        <v>2416</v>
      </c>
      <c r="R996">
        <v>3002</v>
      </c>
      <c r="S996">
        <v>3351</v>
      </c>
      <c r="T996">
        <v>4005</v>
      </c>
      <c r="U996">
        <v>3152</v>
      </c>
      <c r="V996">
        <v>4860</v>
      </c>
      <c r="W996">
        <v>4685</v>
      </c>
      <c r="X996">
        <v>7312</v>
      </c>
    </row>
    <row r="997" spans="2:24" x14ac:dyDescent="0.35">
      <c r="B997" s="23" t="s">
        <v>1240</v>
      </c>
      <c r="D997" t="s">
        <v>1206</v>
      </c>
      <c r="E997" t="s">
        <v>1207</v>
      </c>
      <c r="F997" s="46" t="s">
        <v>1276</v>
      </c>
      <c r="G997" t="s">
        <v>265</v>
      </c>
      <c r="H997" s="23">
        <v>6</v>
      </c>
      <c r="I997" s="23" t="s">
        <v>1254</v>
      </c>
      <c r="J997" t="s">
        <v>355</v>
      </c>
      <c r="K997">
        <v>182</v>
      </c>
      <c r="L997">
        <v>198</v>
      </c>
      <c r="M997" s="24">
        <v>187</v>
      </c>
      <c r="N997" s="24">
        <v>199</v>
      </c>
      <c r="O997" s="24">
        <v>229</v>
      </c>
      <c r="P997" s="24">
        <v>247</v>
      </c>
      <c r="Q997">
        <v>232</v>
      </c>
      <c r="R997">
        <v>310</v>
      </c>
      <c r="S997">
        <v>338</v>
      </c>
      <c r="T997">
        <v>425</v>
      </c>
      <c r="U997">
        <v>513</v>
      </c>
      <c r="V997">
        <v>655</v>
      </c>
      <c r="W997">
        <v>881</v>
      </c>
      <c r="X997">
        <v>1030</v>
      </c>
    </row>
    <row r="998" spans="2:24" x14ac:dyDescent="0.35">
      <c r="B998" s="23" t="s">
        <v>1241</v>
      </c>
      <c r="D998" t="s">
        <v>1206</v>
      </c>
      <c r="E998" t="s">
        <v>1207</v>
      </c>
      <c r="F998" s="46" t="s">
        <v>1245</v>
      </c>
      <c r="G998" t="s">
        <v>259</v>
      </c>
      <c r="H998" s="23">
        <v>5</v>
      </c>
      <c r="I998" s="23" t="s">
        <v>1246</v>
      </c>
      <c r="J998" t="s">
        <v>1247</v>
      </c>
      <c r="K998">
        <v>408</v>
      </c>
      <c r="L998">
        <v>442</v>
      </c>
      <c r="M998" s="24">
        <v>454</v>
      </c>
      <c r="N998" s="24">
        <v>470</v>
      </c>
      <c r="O998" s="24">
        <v>526</v>
      </c>
      <c r="P998" s="24">
        <v>573</v>
      </c>
      <c r="Q998">
        <v>532</v>
      </c>
      <c r="R998">
        <v>675</v>
      </c>
      <c r="S998">
        <v>836</v>
      </c>
      <c r="T998">
        <v>962</v>
      </c>
      <c r="U998">
        <v>888</v>
      </c>
      <c r="V998">
        <v>1456</v>
      </c>
      <c r="W998">
        <v>1439</v>
      </c>
      <c r="X998">
        <v>2283</v>
      </c>
    </row>
    <row r="999" spans="2:24" x14ac:dyDescent="0.35">
      <c r="B999" s="23" t="s">
        <v>1242</v>
      </c>
      <c r="D999" t="s">
        <v>1206</v>
      </c>
      <c r="E999" t="s">
        <v>1207</v>
      </c>
      <c r="F999" s="46" t="s">
        <v>1239</v>
      </c>
      <c r="G999" t="s">
        <v>255</v>
      </c>
      <c r="H999" s="23">
        <v>4</v>
      </c>
      <c r="I999" s="23" t="s">
        <v>1237</v>
      </c>
      <c r="J999" t="s">
        <v>305</v>
      </c>
      <c r="K999">
        <v>309</v>
      </c>
      <c r="L999">
        <v>324</v>
      </c>
      <c r="M999" s="24">
        <v>315</v>
      </c>
      <c r="N999" s="24">
        <v>331</v>
      </c>
      <c r="O999" s="24">
        <v>404</v>
      </c>
      <c r="P999" s="24">
        <v>428</v>
      </c>
      <c r="Q999">
        <v>421</v>
      </c>
      <c r="R999">
        <v>518</v>
      </c>
      <c r="S999">
        <v>557</v>
      </c>
      <c r="T999">
        <v>727</v>
      </c>
      <c r="U999">
        <v>497</v>
      </c>
      <c r="V999">
        <v>809</v>
      </c>
      <c r="W999">
        <v>768</v>
      </c>
      <c r="X999">
        <v>1122</v>
      </c>
    </row>
    <row r="1000" spans="2:24" x14ac:dyDescent="0.35">
      <c r="B1000" s="23" t="s">
        <v>1244</v>
      </c>
      <c r="D1000" t="s">
        <v>1206</v>
      </c>
      <c r="E1000" t="s">
        <v>1207</v>
      </c>
      <c r="F1000" s="46" t="s">
        <v>1277</v>
      </c>
      <c r="G1000" t="s">
        <v>265</v>
      </c>
      <c r="H1000" s="23">
        <v>6</v>
      </c>
      <c r="I1000" s="23" t="s">
        <v>1254</v>
      </c>
      <c r="J1000" t="s">
        <v>1278</v>
      </c>
      <c r="K1000">
        <v>485</v>
      </c>
      <c r="L1000">
        <v>512</v>
      </c>
      <c r="M1000" s="24">
        <v>503</v>
      </c>
      <c r="N1000" s="24">
        <v>523</v>
      </c>
      <c r="O1000" s="24">
        <v>552</v>
      </c>
      <c r="P1000" s="24">
        <v>595</v>
      </c>
      <c r="Q1000">
        <v>536</v>
      </c>
      <c r="R1000">
        <v>634</v>
      </c>
      <c r="S1000">
        <v>695</v>
      </c>
      <c r="T1000">
        <v>839</v>
      </c>
      <c r="U1000">
        <v>936</v>
      </c>
      <c r="V1000">
        <v>1169</v>
      </c>
      <c r="W1000">
        <v>1785</v>
      </c>
      <c r="X1000">
        <v>2126</v>
      </c>
    </row>
    <row r="1001" spans="2:24" x14ac:dyDescent="0.35">
      <c r="B1001" s="23" t="s">
        <v>1245</v>
      </c>
      <c r="D1001" t="s">
        <v>1206</v>
      </c>
      <c r="E1001" t="s">
        <v>1207</v>
      </c>
      <c r="F1001" s="46" t="s">
        <v>1248</v>
      </c>
      <c r="G1001" t="s">
        <v>259</v>
      </c>
      <c r="H1001" s="23">
        <v>5</v>
      </c>
      <c r="I1001" s="23" t="s">
        <v>1246</v>
      </c>
      <c r="J1001" t="s">
        <v>1062</v>
      </c>
      <c r="K1001">
        <v>1249</v>
      </c>
      <c r="L1001">
        <v>1346</v>
      </c>
      <c r="M1001" s="24">
        <v>1348</v>
      </c>
      <c r="N1001" s="24">
        <v>1417</v>
      </c>
      <c r="O1001" s="24">
        <v>1195</v>
      </c>
      <c r="P1001" s="24">
        <v>1455</v>
      </c>
      <c r="Q1001">
        <v>1156</v>
      </c>
      <c r="R1001">
        <v>1486</v>
      </c>
      <c r="S1001">
        <v>1708</v>
      </c>
      <c r="T1001">
        <v>2025</v>
      </c>
      <c r="U1001">
        <v>1832</v>
      </c>
      <c r="V1001">
        <v>2658</v>
      </c>
      <c r="W1001">
        <v>2677</v>
      </c>
      <c r="X1001">
        <v>3854</v>
      </c>
    </row>
    <row r="1002" spans="2:24" x14ac:dyDescent="0.35">
      <c r="B1002" s="23" t="s">
        <v>1248</v>
      </c>
      <c r="D1002" t="s">
        <v>1206</v>
      </c>
      <c r="E1002" t="s">
        <v>1207</v>
      </c>
      <c r="F1002" s="46" t="s">
        <v>1249</v>
      </c>
      <c r="G1002" t="s">
        <v>259</v>
      </c>
      <c r="H1002" s="23">
        <v>5</v>
      </c>
      <c r="I1002" s="23" t="s">
        <v>1246</v>
      </c>
      <c r="J1002" t="s">
        <v>1250</v>
      </c>
      <c r="K1002">
        <v>4527</v>
      </c>
      <c r="L1002">
        <v>4864</v>
      </c>
      <c r="M1002" s="24">
        <v>4815</v>
      </c>
      <c r="N1002" s="24">
        <v>5039</v>
      </c>
      <c r="O1002" s="24">
        <v>4734</v>
      </c>
      <c r="P1002" s="24">
        <v>5654</v>
      </c>
      <c r="Q1002">
        <v>4978</v>
      </c>
      <c r="R1002">
        <v>6317</v>
      </c>
      <c r="S1002">
        <v>7808</v>
      </c>
      <c r="T1002">
        <v>9067</v>
      </c>
      <c r="U1002">
        <v>8705</v>
      </c>
      <c r="V1002">
        <v>13265</v>
      </c>
      <c r="W1002">
        <v>13589</v>
      </c>
      <c r="X1002">
        <v>20517</v>
      </c>
    </row>
    <row r="1003" spans="2:24" x14ac:dyDescent="0.35">
      <c r="B1003" s="23" t="s">
        <v>1249</v>
      </c>
      <c r="D1003" t="s">
        <v>1206</v>
      </c>
      <c r="E1003" t="s">
        <v>1207</v>
      </c>
      <c r="F1003" s="46" t="s">
        <v>1228</v>
      </c>
      <c r="G1003" t="s">
        <v>239</v>
      </c>
      <c r="H1003" s="23">
        <v>3</v>
      </c>
      <c r="I1003" s="23" t="s">
        <v>1226</v>
      </c>
      <c r="J1003" t="s">
        <v>1229</v>
      </c>
      <c r="K1003">
        <v>8046</v>
      </c>
      <c r="L1003">
        <v>8747</v>
      </c>
      <c r="M1003" s="24">
        <v>8359</v>
      </c>
      <c r="N1003" s="24">
        <v>8794</v>
      </c>
      <c r="O1003" s="24">
        <v>7847</v>
      </c>
      <c r="P1003" s="24">
        <v>8999</v>
      </c>
      <c r="Q1003">
        <v>7380</v>
      </c>
      <c r="R1003">
        <v>9710</v>
      </c>
      <c r="S1003">
        <v>9825</v>
      </c>
      <c r="T1003">
        <v>11971</v>
      </c>
      <c r="U1003">
        <v>9104</v>
      </c>
      <c r="V1003">
        <v>15136</v>
      </c>
      <c r="W1003">
        <v>10334</v>
      </c>
      <c r="X1003">
        <v>24353</v>
      </c>
    </row>
    <row r="1004" spans="2:24" x14ac:dyDescent="0.35">
      <c r="B1004" s="23" t="s">
        <v>1251</v>
      </c>
      <c r="D1004" t="s">
        <v>1206</v>
      </c>
      <c r="E1004" t="s">
        <v>1207</v>
      </c>
      <c r="F1004" s="46" t="s">
        <v>1279</v>
      </c>
      <c r="G1004" t="s">
        <v>265</v>
      </c>
      <c r="H1004" s="23">
        <v>6</v>
      </c>
      <c r="I1004" s="23" t="s">
        <v>1254</v>
      </c>
      <c r="J1004" t="s">
        <v>637</v>
      </c>
      <c r="K1004">
        <v>467</v>
      </c>
      <c r="L1004">
        <v>490</v>
      </c>
      <c r="M1004" s="24">
        <v>558</v>
      </c>
      <c r="N1004" s="24">
        <v>572</v>
      </c>
      <c r="O1004" s="24">
        <v>630</v>
      </c>
      <c r="P1004" s="24">
        <v>658</v>
      </c>
      <c r="Q1004">
        <v>620</v>
      </c>
      <c r="R1004">
        <v>765</v>
      </c>
      <c r="S1004">
        <v>830</v>
      </c>
      <c r="T1004">
        <v>954</v>
      </c>
      <c r="U1004">
        <v>1120</v>
      </c>
      <c r="V1004">
        <v>1295</v>
      </c>
      <c r="W1004">
        <v>1903</v>
      </c>
      <c r="X1004">
        <v>2255</v>
      </c>
    </row>
    <row r="1005" spans="2:24" x14ac:dyDescent="0.35">
      <c r="B1005" s="23" t="s">
        <v>1252</v>
      </c>
      <c r="D1005" t="s">
        <v>1206</v>
      </c>
      <c r="E1005" t="s">
        <v>1207</v>
      </c>
      <c r="F1005" s="46" t="s">
        <v>1280</v>
      </c>
      <c r="G1005" t="s">
        <v>265</v>
      </c>
      <c r="H1005" s="23">
        <v>6</v>
      </c>
      <c r="I1005" s="23" t="s">
        <v>1254</v>
      </c>
      <c r="J1005" t="s">
        <v>1281</v>
      </c>
      <c r="K1005">
        <v>211</v>
      </c>
      <c r="L1005">
        <v>229</v>
      </c>
      <c r="M1005" s="24">
        <v>257</v>
      </c>
      <c r="N1005" s="24">
        <v>272</v>
      </c>
      <c r="O1005" s="24">
        <v>320</v>
      </c>
      <c r="P1005" s="24">
        <v>333</v>
      </c>
      <c r="Q1005">
        <v>345</v>
      </c>
      <c r="R1005">
        <v>414</v>
      </c>
      <c r="S1005">
        <v>480</v>
      </c>
      <c r="T1005">
        <v>555</v>
      </c>
      <c r="U1005">
        <v>662</v>
      </c>
      <c r="V1005">
        <v>787</v>
      </c>
      <c r="W1005">
        <v>1146</v>
      </c>
      <c r="X1005">
        <v>1342</v>
      </c>
    </row>
    <row r="1006" spans="2:24" x14ac:dyDescent="0.35">
      <c r="B1006" s="23" t="s">
        <v>1253</v>
      </c>
      <c r="D1006" t="s">
        <v>1206</v>
      </c>
      <c r="E1006" t="s">
        <v>1207</v>
      </c>
      <c r="F1006" s="46" t="s">
        <v>1282</v>
      </c>
      <c r="G1006" t="s">
        <v>265</v>
      </c>
      <c r="H1006" s="23">
        <v>6</v>
      </c>
      <c r="I1006" s="23" t="s">
        <v>1254</v>
      </c>
      <c r="J1006" t="s">
        <v>1283</v>
      </c>
      <c r="K1006">
        <v>17</v>
      </c>
      <c r="L1006">
        <v>17</v>
      </c>
      <c r="M1006" s="24">
        <v>15</v>
      </c>
      <c r="N1006" s="24">
        <v>15</v>
      </c>
      <c r="O1006" s="24">
        <v>15</v>
      </c>
      <c r="P1006" s="24">
        <v>16</v>
      </c>
      <c r="Q1006">
        <v>16</v>
      </c>
      <c r="R1006">
        <v>18</v>
      </c>
      <c r="S1006">
        <v>24</v>
      </c>
      <c r="T1006">
        <v>25</v>
      </c>
      <c r="U1006">
        <v>28</v>
      </c>
      <c r="V1006">
        <v>31</v>
      </c>
      <c r="W1006">
        <v>58</v>
      </c>
      <c r="X1006">
        <v>62</v>
      </c>
    </row>
    <row r="1007" spans="2:24" x14ac:dyDescent="0.35">
      <c r="B1007" s="23" t="s">
        <v>1256</v>
      </c>
      <c r="D1007" t="s">
        <v>1206</v>
      </c>
      <c r="E1007" t="s">
        <v>1207</v>
      </c>
      <c r="F1007" s="46" t="s">
        <v>1217</v>
      </c>
      <c r="G1007" t="s">
        <v>235</v>
      </c>
      <c r="H1007" s="23">
        <v>2</v>
      </c>
      <c r="I1007" s="23" t="s">
        <v>1216</v>
      </c>
      <c r="J1007" t="s">
        <v>1218</v>
      </c>
      <c r="K1007">
        <v>393</v>
      </c>
      <c r="L1007">
        <v>422</v>
      </c>
      <c r="M1007" s="24">
        <v>415</v>
      </c>
      <c r="N1007" s="24">
        <v>426</v>
      </c>
      <c r="O1007" s="24">
        <v>500</v>
      </c>
      <c r="P1007" s="24">
        <v>521</v>
      </c>
      <c r="Q1007">
        <v>560</v>
      </c>
      <c r="R1007">
        <v>674</v>
      </c>
      <c r="S1007">
        <v>804</v>
      </c>
      <c r="T1007">
        <v>965</v>
      </c>
      <c r="U1007">
        <v>918</v>
      </c>
      <c r="V1007">
        <v>1506</v>
      </c>
      <c r="W1007">
        <v>1763</v>
      </c>
      <c r="X1007">
        <v>2317</v>
      </c>
    </row>
    <row r="1008" spans="2:24" x14ac:dyDescent="0.35">
      <c r="B1008" s="23" t="s">
        <v>1258</v>
      </c>
      <c r="D1008" t="s">
        <v>1206</v>
      </c>
      <c r="E1008" t="s">
        <v>1207</v>
      </c>
      <c r="F1008" s="46" t="s">
        <v>1251</v>
      </c>
      <c r="G1008" t="s">
        <v>259</v>
      </c>
      <c r="H1008" s="23">
        <v>5</v>
      </c>
      <c r="I1008" s="23" t="s">
        <v>1246</v>
      </c>
      <c r="J1008" t="s">
        <v>357</v>
      </c>
      <c r="K1008">
        <v>3462</v>
      </c>
      <c r="L1008">
        <v>3719</v>
      </c>
      <c r="M1008" s="24">
        <v>3623</v>
      </c>
      <c r="N1008" s="24">
        <v>3765</v>
      </c>
      <c r="O1008" s="24">
        <v>3271</v>
      </c>
      <c r="P1008" s="24">
        <v>3918</v>
      </c>
      <c r="Q1008">
        <v>3339</v>
      </c>
      <c r="R1008">
        <v>4174</v>
      </c>
      <c r="S1008">
        <v>5046</v>
      </c>
      <c r="T1008">
        <v>5842</v>
      </c>
      <c r="U1008">
        <v>5551</v>
      </c>
      <c r="V1008">
        <v>8217</v>
      </c>
      <c r="W1008">
        <v>8348</v>
      </c>
      <c r="X1008">
        <v>12232</v>
      </c>
    </row>
    <row r="1009" spans="2:24" x14ac:dyDescent="0.35">
      <c r="B1009" s="23" t="s">
        <v>1260</v>
      </c>
      <c r="D1009" t="s">
        <v>1206</v>
      </c>
      <c r="E1009" t="s">
        <v>1207</v>
      </c>
      <c r="F1009" s="46" t="s">
        <v>1284</v>
      </c>
      <c r="G1009" t="s">
        <v>265</v>
      </c>
      <c r="H1009" s="23">
        <v>6</v>
      </c>
      <c r="I1009" s="23" t="s">
        <v>1254</v>
      </c>
      <c r="J1009" t="s">
        <v>837</v>
      </c>
      <c r="K1009">
        <v>555</v>
      </c>
      <c r="L1009">
        <v>578</v>
      </c>
      <c r="M1009" s="24">
        <v>631</v>
      </c>
      <c r="N1009" s="24">
        <v>649</v>
      </c>
      <c r="O1009" s="24">
        <v>817</v>
      </c>
      <c r="P1009" s="24">
        <v>841</v>
      </c>
      <c r="Q1009">
        <v>881</v>
      </c>
      <c r="R1009">
        <v>983</v>
      </c>
      <c r="S1009">
        <v>1073</v>
      </c>
      <c r="T1009">
        <v>1186</v>
      </c>
      <c r="U1009">
        <v>1403</v>
      </c>
      <c r="V1009">
        <v>1593</v>
      </c>
      <c r="W1009">
        <v>2072</v>
      </c>
      <c r="X1009">
        <v>2363</v>
      </c>
    </row>
    <row r="1010" spans="2:24" x14ac:dyDescent="0.35">
      <c r="B1010" s="23" t="s">
        <v>1262</v>
      </c>
      <c r="D1010" t="s">
        <v>1206</v>
      </c>
      <c r="E1010" t="s">
        <v>1207</v>
      </c>
      <c r="F1010" s="46" t="s">
        <v>1285</v>
      </c>
      <c r="G1010" t="s">
        <v>265</v>
      </c>
      <c r="H1010" s="23">
        <v>6</v>
      </c>
      <c r="I1010" s="23" t="s">
        <v>1254</v>
      </c>
      <c r="J1010" t="s">
        <v>247</v>
      </c>
      <c r="K1010">
        <v>264</v>
      </c>
      <c r="L1010">
        <v>283</v>
      </c>
      <c r="M1010" s="24">
        <v>272</v>
      </c>
      <c r="N1010" s="24">
        <v>277</v>
      </c>
      <c r="O1010" s="24">
        <v>306</v>
      </c>
      <c r="P1010" s="24">
        <v>315</v>
      </c>
      <c r="Q1010">
        <v>344</v>
      </c>
      <c r="R1010">
        <v>388</v>
      </c>
      <c r="S1010">
        <v>459</v>
      </c>
      <c r="T1010">
        <v>502</v>
      </c>
      <c r="U1010">
        <v>526</v>
      </c>
      <c r="V1010">
        <v>570</v>
      </c>
      <c r="W1010">
        <v>777</v>
      </c>
      <c r="X1010">
        <v>876</v>
      </c>
    </row>
    <row r="1011" spans="2:24" x14ac:dyDescent="0.35">
      <c r="B1011" s="23" t="s">
        <v>1264</v>
      </c>
      <c r="D1011" t="s">
        <v>1206</v>
      </c>
      <c r="E1011" t="s">
        <v>1207</v>
      </c>
      <c r="F1011" s="46" t="s">
        <v>1286</v>
      </c>
      <c r="G1011" t="s">
        <v>265</v>
      </c>
      <c r="H1011" s="23">
        <v>6</v>
      </c>
      <c r="I1011" s="23" t="s">
        <v>1254</v>
      </c>
      <c r="J1011" t="s">
        <v>1287</v>
      </c>
      <c r="K1011">
        <v>433</v>
      </c>
      <c r="L1011">
        <v>459</v>
      </c>
      <c r="M1011" s="24">
        <v>479</v>
      </c>
      <c r="N1011" s="24">
        <v>493</v>
      </c>
      <c r="O1011" s="24">
        <v>502</v>
      </c>
      <c r="P1011" s="24">
        <v>521</v>
      </c>
      <c r="Q1011">
        <v>509</v>
      </c>
      <c r="R1011">
        <v>622</v>
      </c>
      <c r="S1011">
        <v>681</v>
      </c>
      <c r="T1011">
        <v>784</v>
      </c>
      <c r="U1011">
        <v>859</v>
      </c>
      <c r="V1011">
        <v>993</v>
      </c>
      <c r="W1011">
        <v>1271</v>
      </c>
      <c r="X1011">
        <v>1487</v>
      </c>
    </row>
    <row r="1012" spans="2:24" x14ac:dyDescent="0.35">
      <c r="B1012" s="23" t="s">
        <v>1265</v>
      </c>
      <c r="D1012" t="s">
        <v>1206</v>
      </c>
      <c r="E1012" t="s">
        <v>1207</v>
      </c>
      <c r="F1012" s="46" t="s">
        <v>1240</v>
      </c>
      <c r="G1012" t="s">
        <v>255</v>
      </c>
      <c r="H1012" s="23">
        <v>4</v>
      </c>
      <c r="I1012" s="23" t="s">
        <v>1237</v>
      </c>
      <c r="J1012" t="s">
        <v>983</v>
      </c>
      <c r="K1012">
        <v>1972</v>
      </c>
      <c r="L1012">
        <v>2061</v>
      </c>
      <c r="M1012" s="24">
        <v>2296</v>
      </c>
      <c r="N1012" s="24">
        <v>2362</v>
      </c>
      <c r="O1012" s="24">
        <v>2293</v>
      </c>
      <c r="P1012" s="24">
        <v>2524</v>
      </c>
      <c r="Q1012">
        <v>2413</v>
      </c>
      <c r="R1012">
        <v>2744</v>
      </c>
      <c r="S1012">
        <v>3173</v>
      </c>
      <c r="T1012">
        <v>3557</v>
      </c>
      <c r="U1012">
        <v>3125</v>
      </c>
      <c r="V1012">
        <v>4299</v>
      </c>
      <c r="W1012">
        <v>4371</v>
      </c>
      <c r="X1012">
        <v>6370</v>
      </c>
    </row>
    <row r="1013" spans="2:24" x14ac:dyDescent="0.35">
      <c r="B1013" s="23" t="s">
        <v>1266</v>
      </c>
      <c r="D1013" t="s">
        <v>1206</v>
      </c>
      <c r="E1013" t="s">
        <v>1207</v>
      </c>
      <c r="F1013" s="46" t="s">
        <v>1288</v>
      </c>
      <c r="G1013" t="s">
        <v>265</v>
      </c>
      <c r="H1013" s="23">
        <v>6</v>
      </c>
      <c r="I1013" s="23" t="s">
        <v>1254</v>
      </c>
      <c r="J1013" t="s">
        <v>1289</v>
      </c>
      <c r="K1013">
        <v>255</v>
      </c>
      <c r="L1013">
        <v>278</v>
      </c>
      <c r="M1013" s="24">
        <v>301</v>
      </c>
      <c r="N1013" s="24">
        <v>307</v>
      </c>
      <c r="O1013" s="24">
        <v>315</v>
      </c>
      <c r="P1013" s="24">
        <v>329</v>
      </c>
      <c r="Q1013">
        <v>372</v>
      </c>
      <c r="R1013">
        <v>435</v>
      </c>
      <c r="S1013">
        <v>549</v>
      </c>
      <c r="T1013">
        <v>629</v>
      </c>
      <c r="U1013">
        <v>742</v>
      </c>
      <c r="V1013">
        <v>885</v>
      </c>
      <c r="W1013">
        <v>1245</v>
      </c>
      <c r="X1013">
        <v>1452</v>
      </c>
    </row>
    <row r="1014" spans="2:24" x14ac:dyDescent="0.35">
      <c r="B1014" s="23" t="s">
        <v>1268</v>
      </c>
      <c r="D1014" t="s">
        <v>1206</v>
      </c>
      <c r="E1014" t="s">
        <v>1207</v>
      </c>
      <c r="F1014" s="46" t="s">
        <v>1290</v>
      </c>
      <c r="G1014" t="s">
        <v>265</v>
      </c>
      <c r="H1014" s="23">
        <v>6</v>
      </c>
      <c r="I1014" s="23" t="s">
        <v>1254</v>
      </c>
      <c r="J1014" t="s">
        <v>504</v>
      </c>
      <c r="K1014">
        <v>804</v>
      </c>
      <c r="L1014">
        <v>925</v>
      </c>
      <c r="M1014" s="24">
        <v>847</v>
      </c>
      <c r="N1014" s="24">
        <v>905</v>
      </c>
      <c r="O1014" s="24">
        <v>967</v>
      </c>
      <c r="P1014" s="24">
        <v>1090</v>
      </c>
      <c r="Q1014">
        <v>1013</v>
      </c>
      <c r="R1014">
        <v>1313</v>
      </c>
      <c r="S1014">
        <v>1520</v>
      </c>
      <c r="T1014">
        <v>1873</v>
      </c>
      <c r="U1014">
        <v>1905</v>
      </c>
      <c r="V1014">
        <v>2391</v>
      </c>
      <c r="W1014">
        <v>3144</v>
      </c>
      <c r="X1014">
        <v>3795</v>
      </c>
    </row>
    <row r="1015" spans="2:24" x14ac:dyDescent="0.35">
      <c r="B1015" s="23" t="s">
        <v>1269</v>
      </c>
      <c r="D1015" t="s">
        <v>1206</v>
      </c>
      <c r="E1015" t="s">
        <v>1207</v>
      </c>
      <c r="F1015" s="46" t="s">
        <v>1241</v>
      </c>
      <c r="G1015" t="s">
        <v>255</v>
      </c>
      <c r="H1015" s="23">
        <v>4</v>
      </c>
      <c r="I1015" s="23" t="s">
        <v>1237</v>
      </c>
      <c r="J1015" t="s">
        <v>359</v>
      </c>
      <c r="K1015">
        <v>1666</v>
      </c>
      <c r="L1015">
        <v>1790</v>
      </c>
      <c r="M1015" s="24">
        <v>1841</v>
      </c>
      <c r="N1015" s="24">
        <v>1926</v>
      </c>
      <c r="O1015" s="24">
        <v>1694</v>
      </c>
      <c r="P1015" s="24">
        <v>1968</v>
      </c>
      <c r="Q1015">
        <v>1603</v>
      </c>
      <c r="R1015">
        <v>1971</v>
      </c>
      <c r="S1015">
        <v>2303</v>
      </c>
      <c r="T1015">
        <v>2736</v>
      </c>
      <c r="U1015">
        <v>2279</v>
      </c>
      <c r="V1015">
        <v>3165</v>
      </c>
      <c r="W1015">
        <v>3129</v>
      </c>
      <c r="X1015">
        <v>4426</v>
      </c>
    </row>
    <row r="1016" spans="2:24" x14ac:dyDescent="0.35">
      <c r="B1016" s="23" t="s">
        <v>1271</v>
      </c>
      <c r="D1016" t="s">
        <v>1206</v>
      </c>
      <c r="E1016" t="s">
        <v>1207</v>
      </c>
      <c r="F1016" s="46" t="s">
        <v>1291</v>
      </c>
      <c r="G1016" t="s">
        <v>265</v>
      </c>
      <c r="H1016" s="23">
        <v>6</v>
      </c>
      <c r="I1016" s="23" t="s">
        <v>1254</v>
      </c>
      <c r="J1016" t="s">
        <v>277</v>
      </c>
      <c r="K1016">
        <v>2004</v>
      </c>
      <c r="L1016">
        <v>2126</v>
      </c>
      <c r="M1016" s="24">
        <v>2408</v>
      </c>
      <c r="N1016" s="24">
        <v>2480</v>
      </c>
      <c r="O1016" s="24">
        <v>2731</v>
      </c>
      <c r="P1016" s="24">
        <v>2898</v>
      </c>
      <c r="Q1016">
        <v>3048</v>
      </c>
      <c r="R1016">
        <v>3480</v>
      </c>
      <c r="S1016">
        <v>3620</v>
      </c>
      <c r="T1016">
        <v>4039</v>
      </c>
      <c r="U1016">
        <v>4218</v>
      </c>
      <c r="V1016">
        <v>4836</v>
      </c>
      <c r="W1016">
        <v>6254</v>
      </c>
      <c r="X1016">
        <v>7215</v>
      </c>
    </row>
    <row r="1017" spans="2:24" x14ac:dyDescent="0.35">
      <c r="B1017" s="23" t="s">
        <v>1272</v>
      </c>
      <c r="D1017" t="s">
        <v>1206</v>
      </c>
      <c r="E1017" t="s">
        <v>1207</v>
      </c>
      <c r="F1017" s="46" t="s">
        <v>1292</v>
      </c>
      <c r="G1017" t="s">
        <v>265</v>
      </c>
      <c r="H1017" s="23">
        <v>6</v>
      </c>
      <c r="I1017" s="23" t="s">
        <v>1254</v>
      </c>
      <c r="J1017" t="s">
        <v>261</v>
      </c>
      <c r="K1017">
        <v>429</v>
      </c>
      <c r="L1017">
        <v>448</v>
      </c>
      <c r="M1017" s="24">
        <v>462</v>
      </c>
      <c r="N1017" s="24">
        <v>477</v>
      </c>
      <c r="O1017" s="24">
        <v>512</v>
      </c>
      <c r="P1017" s="24">
        <v>547</v>
      </c>
      <c r="Q1017">
        <v>484</v>
      </c>
      <c r="R1017">
        <v>606</v>
      </c>
      <c r="S1017">
        <v>597</v>
      </c>
      <c r="T1017">
        <v>741</v>
      </c>
      <c r="U1017">
        <v>783</v>
      </c>
      <c r="V1017">
        <v>962</v>
      </c>
      <c r="W1017">
        <v>1318</v>
      </c>
      <c r="X1017">
        <v>1553</v>
      </c>
    </row>
    <row r="1018" spans="2:24" x14ac:dyDescent="0.35">
      <c r="B1018" s="23" t="s">
        <v>1273</v>
      </c>
      <c r="D1018" t="s">
        <v>1206</v>
      </c>
      <c r="E1018" t="s">
        <v>1207</v>
      </c>
      <c r="F1018" s="46" t="s">
        <v>1293</v>
      </c>
      <c r="G1018" t="s">
        <v>265</v>
      </c>
      <c r="H1018" s="23">
        <v>6</v>
      </c>
      <c r="I1018" s="23" t="s">
        <v>1254</v>
      </c>
      <c r="J1018" t="s">
        <v>1294</v>
      </c>
      <c r="K1018">
        <v>427</v>
      </c>
      <c r="L1018">
        <v>473</v>
      </c>
      <c r="M1018" s="24">
        <v>468</v>
      </c>
      <c r="N1018" s="24">
        <v>492</v>
      </c>
      <c r="O1018" s="24">
        <v>514</v>
      </c>
      <c r="P1018" s="24">
        <v>545</v>
      </c>
      <c r="Q1018">
        <v>480</v>
      </c>
      <c r="R1018">
        <v>610</v>
      </c>
      <c r="S1018">
        <v>656</v>
      </c>
      <c r="T1018">
        <v>771</v>
      </c>
      <c r="U1018">
        <v>887</v>
      </c>
      <c r="V1018">
        <v>1034</v>
      </c>
      <c r="W1018">
        <v>1634</v>
      </c>
      <c r="X1018">
        <v>1941</v>
      </c>
    </row>
    <row r="1019" spans="2:24" x14ac:dyDescent="0.35">
      <c r="B1019" s="23" t="s">
        <v>1275</v>
      </c>
      <c r="D1019" t="s">
        <v>1206</v>
      </c>
      <c r="E1019" t="s">
        <v>1207</v>
      </c>
      <c r="F1019" s="46" t="s">
        <v>1219</v>
      </c>
      <c r="G1019" t="s">
        <v>235</v>
      </c>
      <c r="H1019" s="23">
        <v>2</v>
      </c>
      <c r="I1019" s="23" t="s">
        <v>1216</v>
      </c>
      <c r="J1019" t="s">
        <v>237</v>
      </c>
      <c r="K1019">
        <v>2241</v>
      </c>
      <c r="L1019">
        <v>2397</v>
      </c>
      <c r="M1019" s="24">
        <v>2692</v>
      </c>
      <c r="N1019" s="24">
        <v>2786</v>
      </c>
      <c r="O1019" s="24">
        <v>2987</v>
      </c>
      <c r="P1019" s="24">
        <v>3287</v>
      </c>
      <c r="Q1019">
        <v>2999</v>
      </c>
      <c r="R1019">
        <v>3487</v>
      </c>
      <c r="S1019">
        <v>3871</v>
      </c>
      <c r="T1019">
        <v>4344</v>
      </c>
      <c r="U1019">
        <v>3994</v>
      </c>
      <c r="V1019">
        <v>5426</v>
      </c>
      <c r="W1019">
        <v>6864</v>
      </c>
      <c r="X1019">
        <v>8415</v>
      </c>
    </row>
    <row r="1020" spans="2:24" x14ac:dyDescent="0.35">
      <c r="B1020" s="23" t="s">
        <v>1276</v>
      </c>
      <c r="D1020" t="s">
        <v>1206</v>
      </c>
      <c r="E1020" t="s">
        <v>1207</v>
      </c>
      <c r="F1020" s="46" t="s">
        <v>1295</v>
      </c>
      <c r="G1020" t="s">
        <v>265</v>
      </c>
      <c r="H1020" s="23">
        <v>6</v>
      </c>
      <c r="I1020" s="23" t="s">
        <v>1254</v>
      </c>
      <c r="J1020" t="s">
        <v>1296</v>
      </c>
      <c r="K1020">
        <v>651</v>
      </c>
      <c r="L1020">
        <v>711</v>
      </c>
      <c r="M1020" s="24">
        <v>807</v>
      </c>
      <c r="N1020" s="24">
        <v>847</v>
      </c>
      <c r="O1020" s="24">
        <v>919</v>
      </c>
      <c r="P1020" s="24">
        <v>973</v>
      </c>
      <c r="Q1020">
        <v>979</v>
      </c>
      <c r="R1020">
        <v>1181</v>
      </c>
      <c r="S1020">
        <v>1305</v>
      </c>
      <c r="T1020">
        <v>1464</v>
      </c>
      <c r="U1020">
        <v>1649</v>
      </c>
      <c r="V1020">
        <v>1864</v>
      </c>
      <c r="W1020">
        <v>2839</v>
      </c>
      <c r="X1020">
        <v>3279</v>
      </c>
    </row>
    <row r="1021" spans="2:24" x14ac:dyDescent="0.35">
      <c r="B1021" s="23" t="s">
        <v>1277</v>
      </c>
      <c r="D1021" t="s">
        <v>1206</v>
      </c>
      <c r="E1021" t="s">
        <v>1207</v>
      </c>
      <c r="F1021" s="46" t="s">
        <v>1297</v>
      </c>
      <c r="G1021" t="s">
        <v>265</v>
      </c>
      <c r="H1021" s="23">
        <v>6</v>
      </c>
      <c r="I1021" s="23" t="s">
        <v>1254</v>
      </c>
      <c r="J1021" t="s">
        <v>494</v>
      </c>
      <c r="K1021">
        <v>994</v>
      </c>
      <c r="L1021">
        <v>1070</v>
      </c>
      <c r="M1021" s="24">
        <v>1139</v>
      </c>
      <c r="N1021" s="24">
        <v>1190</v>
      </c>
      <c r="O1021" s="24">
        <v>1251</v>
      </c>
      <c r="P1021" s="24">
        <v>1339</v>
      </c>
      <c r="Q1021">
        <v>1234</v>
      </c>
      <c r="R1021">
        <v>1500</v>
      </c>
      <c r="S1021">
        <v>1685</v>
      </c>
      <c r="T1021">
        <v>1987</v>
      </c>
      <c r="U1021">
        <v>2221</v>
      </c>
      <c r="V1021">
        <v>2583</v>
      </c>
      <c r="W1021">
        <v>3287</v>
      </c>
      <c r="X1021">
        <v>3733</v>
      </c>
    </row>
    <row r="1022" spans="2:24" x14ac:dyDescent="0.35">
      <c r="B1022" s="23" t="s">
        <v>1279</v>
      </c>
      <c r="D1022" t="s">
        <v>1206</v>
      </c>
      <c r="E1022" t="s">
        <v>1207</v>
      </c>
      <c r="F1022" s="46" t="s">
        <v>1298</v>
      </c>
      <c r="G1022" t="s">
        <v>265</v>
      </c>
      <c r="H1022" s="23">
        <v>6</v>
      </c>
      <c r="I1022" s="23" t="s">
        <v>1254</v>
      </c>
      <c r="J1022" t="s">
        <v>299</v>
      </c>
      <c r="K1022">
        <v>1873</v>
      </c>
      <c r="L1022">
        <v>1973</v>
      </c>
      <c r="M1022" s="24">
        <v>2069</v>
      </c>
      <c r="N1022" s="24">
        <v>2142</v>
      </c>
      <c r="O1022" s="24">
        <v>2490</v>
      </c>
      <c r="P1022" s="24">
        <v>2601</v>
      </c>
      <c r="Q1022">
        <v>2416</v>
      </c>
      <c r="R1022">
        <v>2951</v>
      </c>
      <c r="S1022">
        <v>3033</v>
      </c>
      <c r="T1022">
        <v>3623</v>
      </c>
      <c r="U1022">
        <v>3816</v>
      </c>
      <c r="V1022">
        <v>4512</v>
      </c>
      <c r="W1022">
        <v>5946</v>
      </c>
      <c r="X1022">
        <v>6908</v>
      </c>
    </row>
    <row r="1023" spans="2:24" x14ac:dyDescent="0.35">
      <c r="B1023" s="23" t="s">
        <v>1280</v>
      </c>
      <c r="D1023" t="s">
        <v>1206</v>
      </c>
      <c r="E1023" t="s">
        <v>1207</v>
      </c>
      <c r="F1023" s="46" t="s">
        <v>1230</v>
      </c>
      <c r="G1023" t="s">
        <v>239</v>
      </c>
      <c r="H1023" s="23">
        <v>3</v>
      </c>
      <c r="I1023" s="23" t="s">
        <v>1226</v>
      </c>
      <c r="J1023" t="s">
        <v>287</v>
      </c>
      <c r="K1023">
        <v>2774</v>
      </c>
      <c r="L1023">
        <v>3051</v>
      </c>
      <c r="M1023" s="24">
        <v>2998</v>
      </c>
      <c r="N1023" s="24">
        <v>3145</v>
      </c>
      <c r="O1023" s="24">
        <v>2777</v>
      </c>
      <c r="P1023" s="24">
        <v>3199</v>
      </c>
      <c r="Q1023">
        <v>2704</v>
      </c>
      <c r="R1023">
        <v>3456</v>
      </c>
      <c r="S1023">
        <v>3528</v>
      </c>
      <c r="T1023">
        <v>4273</v>
      </c>
      <c r="U1023">
        <v>3521</v>
      </c>
      <c r="V1023">
        <v>5117</v>
      </c>
      <c r="W1023">
        <v>3844</v>
      </c>
      <c r="X1023">
        <v>7068</v>
      </c>
    </row>
    <row r="1024" spans="2:24" x14ac:dyDescent="0.35">
      <c r="B1024" s="23" t="s">
        <v>1282</v>
      </c>
      <c r="D1024" t="s">
        <v>1206</v>
      </c>
      <c r="E1024" t="s">
        <v>1207</v>
      </c>
      <c r="F1024" s="46" t="s">
        <v>1299</v>
      </c>
      <c r="G1024" t="s">
        <v>265</v>
      </c>
      <c r="H1024" s="23">
        <v>6</v>
      </c>
      <c r="I1024" s="23" t="s">
        <v>1254</v>
      </c>
      <c r="J1024" t="s">
        <v>365</v>
      </c>
      <c r="K1024">
        <v>990</v>
      </c>
      <c r="L1024">
        <v>1025</v>
      </c>
      <c r="M1024" s="24">
        <v>1098</v>
      </c>
      <c r="N1024" s="24">
        <v>1126</v>
      </c>
      <c r="O1024" s="24">
        <v>1264</v>
      </c>
      <c r="P1024" s="24">
        <v>1330</v>
      </c>
      <c r="Q1024">
        <v>1379</v>
      </c>
      <c r="R1024">
        <v>1593</v>
      </c>
      <c r="S1024">
        <v>1861</v>
      </c>
      <c r="T1024">
        <v>2065</v>
      </c>
      <c r="U1024">
        <v>2218</v>
      </c>
      <c r="V1024">
        <v>2469</v>
      </c>
      <c r="W1024">
        <v>3144</v>
      </c>
      <c r="X1024">
        <v>3537</v>
      </c>
    </row>
    <row r="1025" spans="2:24" x14ac:dyDescent="0.35">
      <c r="B1025" s="23" t="s">
        <v>1284</v>
      </c>
      <c r="D1025" t="s">
        <v>1206</v>
      </c>
      <c r="E1025" t="s">
        <v>1207</v>
      </c>
      <c r="F1025" s="46" t="s">
        <v>1210</v>
      </c>
      <c r="G1025" t="s">
        <v>231</v>
      </c>
      <c r="H1025" s="23">
        <v>1</v>
      </c>
      <c r="I1025" s="23" t="s">
        <v>1208</v>
      </c>
      <c r="J1025" t="s">
        <v>367</v>
      </c>
      <c r="K1025">
        <v>980</v>
      </c>
      <c r="L1025">
        <v>1052</v>
      </c>
      <c r="M1025" s="24">
        <v>1001</v>
      </c>
      <c r="N1025" s="24">
        <v>1044</v>
      </c>
      <c r="O1025" s="24">
        <v>1078</v>
      </c>
      <c r="P1025" s="24">
        <v>1166</v>
      </c>
      <c r="Q1025">
        <v>1048</v>
      </c>
      <c r="R1025">
        <v>1269</v>
      </c>
      <c r="S1025">
        <v>1372</v>
      </c>
      <c r="T1025">
        <v>1599</v>
      </c>
      <c r="U1025">
        <v>1462</v>
      </c>
      <c r="V1025">
        <v>1940</v>
      </c>
      <c r="W1025">
        <v>2147</v>
      </c>
      <c r="X1025">
        <v>3150</v>
      </c>
    </row>
    <row r="1026" spans="2:24" x14ac:dyDescent="0.35">
      <c r="B1026" s="23" t="s">
        <v>1285</v>
      </c>
      <c r="D1026" t="s">
        <v>1206</v>
      </c>
      <c r="E1026" t="s">
        <v>1207</v>
      </c>
      <c r="F1026" s="46" t="s">
        <v>1300</v>
      </c>
      <c r="G1026" t="s">
        <v>265</v>
      </c>
      <c r="H1026" s="23">
        <v>6</v>
      </c>
      <c r="I1026" s="23" t="s">
        <v>1254</v>
      </c>
      <c r="J1026" t="s">
        <v>369</v>
      </c>
      <c r="K1026">
        <v>832</v>
      </c>
      <c r="L1026">
        <v>889</v>
      </c>
      <c r="M1026" s="24">
        <v>926</v>
      </c>
      <c r="N1026" s="24">
        <v>967</v>
      </c>
      <c r="O1026" s="24">
        <v>1188</v>
      </c>
      <c r="P1026" s="24">
        <v>1260</v>
      </c>
      <c r="Q1026">
        <v>1214</v>
      </c>
      <c r="R1026">
        <v>1466</v>
      </c>
      <c r="S1026">
        <v>1626</v>
      </c>
      <c r="T1026">
        <v>1835</v>
      </c>
      <c r="U1026">
        <v>2125</v>
      </c>
      <c r="V1026">
        <v>2451</v>
      </c>
      <c r="W1026">
        <v>3387</v>
      </c>
      <c r="X1026">
        <v>3970</v>
      </c>
    </row>
    <row r="1027" spans="2:24" x14ac:dyDescent="0.35">
      <c r="B1027" s="23" t="s">
        <v>1286</v>
      </c>
      <c r="D1027" t="s">
        <v>1206</v>
      </c>
      <c r="E1027" t="s">
        <v>1207</v>
      </c>
      <c r="F1027" s="46" t="s">
        <v>1301</v>
      </c>
      <c r="G1027" t="s">
        <v>265</v>
      </c>
      <c r="H1027" s="23">
        <v>6</v>
      </c>
      <c r="I1027" s="23" t="s">
        <v>1254</v>
      </c>
      <c r="J1027" t="s">
        <v>301</v>
      </c>
      <c r="K1027">
        <v>241</v>
      </c>
      <c r="L1027">
        <v>257</v>
      </c>
      <c r="M1027" s="24">
        <v>260</v>
      </c>
      <c r="N1027" s="24">
        <v>273</v>
      </c>
      <c r="O1027" s="24">
        <v>287</v>
      </c>
      <c r="P1027" s="24">
        <v>303</v>
      </c>
      <c r="Q1027">
        <v>264</v>
      </c>
      <c r="R1027">
        <v>331</v>
      </c>
      <c r="S1027">
        <v>372</v>
      </c>
      <c r="T1027">
        <v>420</v>
      </c>
      <c r="U1027">
        <v>462</v>
      </c>
      <c r="V1027">
        <v>531</v>
      </c>
      <c r="W1027">
        <v>803</v>
      </c>
      <c r="X1027">
        <v>925</v>
      </c>
    </row>
    <row r="1028" spans="2:24" x14ac:dyDescent="0.35">
      <c r="B1028" s="23" t="s">
        <v>1288</v>
      </c>
      <c r="D1028" t="s">
        <v>1206</v>
      </c>
      <c r="E1028" t="s">
        <v>1207</v>
      </c>
      <c r="F1028" s="46" t="s">
        <v>1302</v>
      </c>
      <c r="G1028" t="s">
        <v>265</v>
      </c>
      <c r="H1028" s="23">
        <v>6</v>
      </c>
      <c r="I1028" s="23" t="s">
        <v>1254</v>
      </c>
      <c r="J1028" t="s">
        <v>1303</v>
      </c>
      <c r="K1028">
        <v>466</v>
      </c>
      <c r="L1028">
        <v>494</v>
      </c>
      <c r="M1028" s="24">
        <v>518</v>
      </c>
      <c r="N1028" s="24">
        <v>531</v>
      </c>
      <c r="O1028" s="24">
        <v>553</v>
      </c>
      <c r="P1028" s="24">
        <v>586</v>
      </c>
      <c r="Q1028">
        <v>564</v>
      </c>
      <c r="R1028">
        <v>663</v>
      </c>
      <c r="S1028">
        <v>755</v>
      </c>
      <c r="T1028">
        <v>881</v>
      </c>
      <c r="U1028">
        <v>999</v>
      </c>
      <c r="V1028">
        <v>1146</v>
      </c>
      <c r="W1028">
        <v>1893</v>
      </c>
      <c r="X1028">
        <v>2229</v>
      </c>
    </row>
    <row r="1029" spans="2:24" x14ac:dyDescent="0.35">
      <c r="B1029" s="23" t="s">
        <v>1290</v>
      </c>
      <c r="D1029" t="s">
        <v>1206</v>
      </c>
      <c r="E1029" t="s">
        <v>1207</v>
      </c>
      <c r="F1029" s="46" t="s">
        <v>1304</v>
      </c>
      <c r="G1029" t="s">
        <v>265</v>
      </c>
      <c r="H1029" s="23">
        <v>6</v>
      </c>
      <c r="I1029" s="23" t="s">
        <v>1254</v>
      </c>
      <c r="J1029" t="s">
        <v>461</v>
      </c>
      <c r="K1029">
        <v>456</v>
      </c>
      <c r="L1029">
        <v>480</v>
      </c>
      <c r="M1029" s="24">
        <v>488</v>
      </c>
      <c r="N1029" s="24">
        <v>511</v>
      </c>
      <c r="O1029" s="24">
        <v>503</v>
      </c>
      <c r="P1029" s="24">
        <v>534</v>
      </c>
      <c r="Q1029">
        <v>541</v>
      </c>
      <c r="R1029">
        <v>653</v>
      </c>
      <c r="S1029">
        <v>710</v>
      </c>
      <c r="T1029">
        <v>832</v>
      </c>
      <c r="U1029">
        <v>905</v>
      </c>
      <c r="V1029">
        <v>1051</v>
      </c>
      <c r="W1029">
        <v>1549</v>
      </c>
      <c r="X1029">
        <v>1807</v>
      </c>
    </row>
    <row r="1030" spans="2:24" x14ac:dyDescent="0.35">
      <c r="B1030" s="23" t="s">
        <v>1291</v>
      </c>
      <c r="D1030" t="s">
        <v>1206</v>
      </c>
      <c r="E1030" t="s">
        <v>1207</v>
      </c>
      <c r="F1030" s="46" t="s">
        <v>1305</v>
      </c>
      <c r="G1030" t="s">
        <v>265</v>
      </c>
      <c r="H1030" s="23">
        <v>6</v>
      </c>
      <c r="I1030" s="23" t="s">
        <v>1254</v>
      </c>
      <c r="J1030" t="s">
        <v>1306</v>
      </c>
      <c r="K1030">
        <v>456</v>
      </c>
      <c r="L1030">
        <v>474</v>
      </c>
      <c r="M1030" s="24">
        <v>520</v>
      </c>
      <c r="N1030" s="24">
        <v>535</v>
      </c>
      <c r="O1030" s="24">
        <v>696</v>
      </c>
      <c r="P1030" s="24">
        <v>720</v>
      </c>
      <c r="Q1030">
        <v>691</v>
      </c>
      <c r="R1030">
        <v>771</v>
      </c>
      <c r="S1030">
        <v>816</v>
      </c>
      <c r="T1030">
        <v>891</v>
      </c>
      <c r="U1030">
        <v>964</v>
      </c>
      <c r="V1030">
        <v>1063</v>
      </c>
      <c r="W1030">
        <v>1392</v>
      </c>
      <c r="X1030">
        <v>1574</v>
      </c>
    </row>
    <row r="1031" spans="2:24" x14ac:dyDescent="0.35">
      <c r="B1031" s="23" t="s">
        <v>1292</v>
      </c>
      <c r="D1031" t="s">
        <v>1206</v>
      </c>
      <c r="E1031" t="s">
        <v>1207</v>
      </c>
      <c r="F1031" s="46" t="s">
        <v>1307</v>
      </c>
      <c r="G1031" t="s">
        <v>265</v>
      </c>
      <c r="H1031" s="23">
        <v>6</v>
      </c>
      <c r="I1031" s="23" t="s">
        <v>1254</v>
      </c>
      <c r="J1031" t="s">
        <v>1308</v>
      </c>
      <c r="K1031">
        <v>929</v>
      </c>
      <c r="L1031">
        <v>1001</v>
      </c>
      <c r="M1031" s="24">
        <v>1061</v>
      </c>
      <c r="N1031" s="24">
        <v>1108</v>
      </c>
      <c r="O1031" s="24">
        <v>1180</v>
      </c>
      <c r="P1031" s="24">
        <v>1275</v>
      </c>
      <c r="Q1031">
        <v>1187</v>
      </c>
      <c r="R1031">
        <v>1530</v>
      </c>
      <c r="S1031">
        <v>1477</v>
      </c>
      <c r="T1031">
        <v>1800</v>
      </c>
      <c r="U1031">
        <v>1880</v>
      </c>
      <c r="V1031">
        <v>2213</v>
      </c>
      <c r="W1031">
        <v>2875</v>
      </c>
      <c r="X1031">
        <v>3362</v>
      </c>
    </row>
    <row r="1032" spans="2:24" x14ac:dyDescent="0.35">
      <c r="B1032" s="23" t="s">
        <v>1293</v>
      </c>
      <c r="D1032" t="s">
        <v>1206</v>
      </c>
      <c r="E1032" t="s">
        <v>1207</v>
      </c>
      <c r="F1032" s="46" t="s">
        <v>1309</v>
      </c>
      <c r="G1032" t="s">
        <v>265</v>
      </c>
      <c r="H1032" s="23">
        <v>6</v>
      </c>
      <c r="I1032" s="23" t="s">
        <v>1254</v>
      </c>
      <c r="J1032" t="s">
        <v>1310</v>
      </c>
      <c r="K1032">
        <v>692</v>
      </c>
      <c r="L1032">
        <v>739</v>
      </c>
      <c r="M1032" s="24">
        <v>772</v>
      </c>
      <c r="N1032" s="24">
        <v>805</v>
      </c>
      <c r="O1032" s="24">
        <v>1010</v>
      </c>
      <c r="P1032" s="24">
        <v>1077</v>
      </c>
      <c r="Q1032">
        <v>1000</v>
      </c>
      <c r="R1032">
        <v>1262</v>
      </c>
      <c r="S1032">
        <v>1421</v>
      </c>
      <c r="T1032">
        <v>1652</v>
      </c>
      <c r="U1032">
        <v>1828</v>
      </c>
      <c r="V1032">
        <v>2147</v>
      </c>
      <c r="W1032">
        <v>3323</v>
      </c>
      <c r="X1032">
        <v>3909</v>
      </c>
    </row>
    <row r="1033" spans="2:24" x14ac:dyDescent="0.35">
      <c r="B1033" s="23" t="s">
        <v>1295</v>
      </c>
      <c r="D1033" t="s">
        <v>1206</v>
      </c>
      <c r="E1033" t="s">
        <v>1207</v>
      </c>
      <c r="F1033" s="46" t="s">
        <v>1242</v>
      </c>
      <c r="G1033" t="s">
        <v>255</v>
      </c>
      <c r="H1033" s="23">
        <v>4</v>
      </c>
      <c r="I1033" s="23" t="s">
        <v>1237</v>
      </c>
      <c r="J1033" t="s">
        <v>1243</v>
      </c>
      <c r="K1033">
        <v>1561</v>
      </c>
      <c r="L1033">
        <v>1668</v>
      </c>
      <c r="M1033" s="24">
        <v>1681</v>
      </c>
      <c r="N1033" s="24">
        <v>1750</v>
      </c>
      <c r="O1033" s="24">
        <v>1500</v>
      </c>
      <c r="P1033" s="24">
        <v>1773</v>
      </c>
      <c r="Q1033">
        <v>1493</v>
      </c>
      <c r="R1033">
        <v>1834</v>
      </c>
      <c r="S1033">
        <v>2003</v>
      </c>
      <c r="T1033">
        <v>2352</v>
      </c>
      <c r="U1033">
        <v>1951</v>
      </c>
      <c r="V1033">
        <v>2923</v>
      </c>
      <c r="W1033">
        <v>2878</v>
      </c>
      <c r="X1033">
        <v>4414</v>
      </c>
    </row>
    <row r="1034" spans="2:24" x14ac:dyDescent="0.35">
      <c r="B1034" s="23" t="s">
        <v>1297</v>
      </c>
      <c r="D1034" t="s">
        <v>1206</v>
      </c>
      <c r="E1034" t="s">
        <v>1207</v>
      </c>
      <c r="F1034" s="46" t="s">
        <v>1244</v>
      </c>
      <c r="G1034" t="s">
        <v>255</v>
      </c>
      <c r="H1034" s="23">
        <v>4</v>
      </c>
      <c r="I1034" s="23" t="s">
        <v>1237</v>
      </c>
      <c r="J1034" t="s">
        <v>371</v>
      </c>
      <c r="K1034">
        <v>380</v>
      </c>
      <c r="L1034">
        <v>386</v>
      </c>
      <c r="M1034" s="24">
        <v>415</v>
      </c>
      <c r="N1034" s="24">
        <v>419</v>
      </c>
      <c r="O1034" s="24">
        <v>472</v>
      </c>
      <c r="P1034" s="24">
        <v>493</v>
      </c>
      <c r="Q1034">
        <v>468</v>
      </c>
      <c r="R1034">
        <v>515</v>
      </c>
      <c r="S1034">
        <v>543</v>
      </c>
      <c r="T1034">
        <v>626</v>
      </c>
      <c r="U1034">
        <v>502</v>
      </c>
      <c r="V1034">
        <v>728</v>
      </c>
      <c r="W1034">
        <v>739</v>
      </c>
      <c r="X1034">
        <v>1099</v>
      </c>
    </row>
    <row r="1035" spans="2:24" x14ac:dyDescent="0.35">
      <c r="B1035" s="23" t="s">
        <v>1298</v>
      </c>
      <c r="D1035" t="s">
        <v>1206</v>
      </c>
      <c r="E1035" t="s">
        <v>1207</v>
      </c>
      <c r="F1035" s="46" t="s">
        <v>1311</v>
      </c>
      <c r="G1035" t="s">
        <v>265</v>
      </c>
      <c r="H1035" s="23">
        <v>6</v>
      </c>
      <c r="I1035" s="23" t="s">
        <v>1254</v>
      </c>
      <c r="J1035" t="s">
        <v>375</v>
      </c>
      <c r="K1035">
        <v>1154</v>
      </c>
      <c r="L1035">
        <v>1247</v>
      </c>
      <c r="M1035" s="24">
        <v>1260</v>
      </c>
      <c r="N1035" s="24">
        <v>1314</v>
      </c>
      <c r="O1035" s="24">
        <v>1464</v>
      </c>
      <c r="P1035" s="24">
        <v>1550</v>
      </c>
      <c r="Q1035">
        <v>1516</v>
      </c>
      <c r="R1035">
        <v>1820</v>
      </c>
      <c r="S1035">
        <v>2124</v>
      </c>
      <c r="T1035">
        <v>2423</v>
      </c>
      <c r="U1035">
        <v>2627</v>
      </c>
      <c r="V1035">
        <v>3012</v>
      </c>
      <c r="W1035">
        <v>4331</v>
      </c>
      <c r="X1035">
        <v>4971</v>
      </c>
    </row>
    <row r="1036" spans="2:24" x14ac:dyDescent="0.35">
      <c r="B1036" s="23" t="s">
        <v>1299</v>
      </c>
      <c r="D1036" t="s">
        <v>1206</v>
      </c>
      <c r="E1036" t="s">
        <v>1207</v>
      </c>
      <c r="F1036" s="46" t="s">
        <v>1220</v>
      </c>
      <c r="G1036" t="s">
        <v>235</v>
      </c>
      <c r="H1036" s="23">
        <v>2</v>
      </c>
      <c r="I1036" s="23" t="s">
        <v>1216</v>
      </c>
      <c r="J1036" t="s">
        <v>1221</v>
      </c>
      <c r="K1036">
        <v>575</v>
      </c>
      <c r="L1036">
        <v>615</v>
      </c>
      <c r="M1036" s="24">
        <v>687</v>
      </c>
      <c r="N1036" s="24">
        <v>720</v>
      </c>
      <c r="O1036" s="24">
        <v>746</v>
      </c>
      <c r="P1036" s="24">
        <v>818</v>
      </c>
      <c r="Q1036">
        <v>694</v>
      </c>
      <c r="R1036">
        <v>849</v>
      </c>
      <c r="S1036">
        <v>955</v>
      </c>
      <c r="T1036">
        <v>1148</v>
      </c>
      <c r="U1036">
        <v>1002</v>
      </c>
      <c r="V1036">
        <v>1498</v>
      </c>
      <c r="W1036">
        <v>2027</v>
      </c>
      <c r="X1036">
        <v>2544</v>
      </c>
    </row>
    <row r="1037" spans="2:24" x14ac:dyDescent="0.35">
      <c r="B1037" s="23" t="s">
        <v>1300</v>
      </c>
      <c r="D1037" t="s">
        <v>1206</v>
      </c>
      <c r="E1037" t="s">
        <v>1207</v>
      </c>
      <c r="F1037" s="46" t="s">
        <v>1312</v>
      </c>
      <c r="G1037" t="s">
        <v>265</v>
      </c>
      <c r="H1037" s="23">
        <v>6</v>
      </c>
      <c r="I1037" s="23" t="s">
        <v>1254</v>
      </c>
      <c r="J1037" t="s">
        <v>1313</v>
      </c>
      <c r="K1037">
        <v>528</v>
      </c>
      <c r="L1037">
        <v>562</v>
      </c>
      <c r="M1037" s="24">
        <v>568</v>
      </c>
      <c r="N1037" s="24">
        <v>586</v>
      </c>
      <c r="O1037" s="24">
        <v>596</v>
      </c>
      <c r="P1037" s="24">
        <v>626</v>
      </c>
      <c r="Q1037">
        <v>623</v>
      </c>
      <c r="R1037">
        <v>749</v>
      </c>
      <c r="S1037">
        <v>854</v>
      </c>
      <c r="T1037">
        <v>1000</v>
      </c>
      <c r="U1037">
        <v>1178</v>
      </c>
      <c r="V1037">
        <v>1409</v>
      </c>
      <c r="W1037">
        <v>1964</v>
      </c>
      <c r="X1037">
        <v>2318</v>
      </c>
    </row>
    <row r="1038" spans="2:24" x14ac:dyDescent="0.35">
      <c r="B1038" s="23" t="s">
        <v>1301</v>
      </c>
      <c r="D1038" t="s">
        <v>1206</v>
      </c>
      <c r="E1038" t="s">
        <v>1207</v>
      </c>
      <c r="F1038" s="46" t="s">
        <v>1314</v>
      </c>
      <c r="G1038" t="s">
        <v>265</v>
      </c>
      <c r="H1038" s="23">
        <v>6</v>
      </c>
      <c r="I1038" s="23" t="s">
        <v>1254</v>
      </c>
      <c r="J1038" t="s">
        <v>913</v>
      </c>
      <c r="K1038">
        <v>195</v>
      </c>
      <c r="L1038">
        <v>211</v>
      </c>
      <c r="M1038" s="24">
        <v>211</v>
      </c>
      <c r="N1038" s="24">
        <v>219</v>
      </c>
      <c r="O1038" s="24">
        <v>237</v>
      </c>
      <c r="P1038" s="24">
        <v>242</v>
      </c>
      <c r="Q1038">
        <v>219</v>
      </c>
      <c r="R1038">
        <v>265</v>
      </c>
      <c r="S1038">
        <v>287</v>
      </c>
      <c r="T1038">
        <v>338</v>
      </c>
      <c r="U1038">
        <v>381</v>
      </c>
      <c r="V1038">
        <v>453</v>
      </c>
      <c r="W1038">
        <v>712</v>
      </c>
      <c r="X1038">
        <v>837</v>
      </c>
    </row>
    <row r="1039" spans="2:24" x14ac:dyDescent="0.35">
      <c r="B1039" s="23" t="s">
        <v>1302</v>
      </c>
      <c r="D1039" t="s">
        <v>1206</v>
      </c>
      <c r="E1039" t="s">
        <v>1207</v>
      </c>
      <c r="F1039" s="46" t="s">
        <v>1231</v>
      </c>
      <c r="G1039" t="s">
        <v>239</v>
      </c>
      <c r="H1039" s="23">
        <v>3</v>
      </c>
      <c r="I1039" s="23" t="s">
        <v>1226</v>
      </c>
      <c r="J1039" t="s">
        <v>1232</v>
      </c>
      <c r="K1039">
        <v>3179</v>
      </c>
      <c r="L1039">
        <v>3508</v>
      </c>
      <c r="M1039" s="24">
        <v>3111</v>
      </c>
      <c r="N1039" s="24">
        <v>3257</v>
      </c>
      <c r="O1039" s="24">
        <v>3014</v>
      </c>
      <c r="P1039" s="24">
        <v>3451</v>
      </c>
      <c r="Q1039">
        <v>2896</v>
      </c>
      <c r="R1039">
        <v>3697</v>
      </c>
      <c r="S1039">
        <v>4014</v>
      </c>
      <c r="T1039">
        <v>4850</v>
      </c>
      <c r="U1039">
        <v>4168</v>
      </c>
      <c r="V1039">
        <v>5965</v>
      </c>
      <c r="W1039">
        <v>4827</v>
      </c>
      <c r="X1039">
        <v>8568</v>
      </c>
    </row>
    <row r="1040" spans="2:24" x14ac:dyDescent="0.35">
      <c r="B1040" s="23" t="s">
        <v>1304</v>
      </c>
      <c r="D1040" t="s">
        <v>1206</v>
      </c>
      <c r="E1040" t="s">
        <v>1207</v>
      </c>
      <c r="F1040" s="46" t="s">
        <v>1315</v>
      </c>
      <c r="G1040" t="s">
        <v>265</v>
      </c>
      <c r="H1040" s="23">
        <v>6</v>
      </c>
      <c r="I1040" s="23" t="s">
        <v>1254</v>
      </c>
      <c r="J1040" t="s">
        <v>528</v>
      </c>
      <c r="K1040">
        <v>547</v>
      </c>
      <c r="L1040">
        <v>595</v>
      </c>
      <c r="M1040" s="24">
        <v>614</v>
      </c>
      <c r="N1040" s="24">
        <v>636</v>
      </c>
      <c r="O1040" s="24">
        <v>605</v>
      </c>
      <c r="P1040" s="24">
        <v>652</v>
      </c>
      <c r="Q1040">
        <v>610</v>
      </c>
      <c r="R1040">
        <v>758</v>
      </c>
      <c r="S1040">
        <v>833</v>
      </c>
      <c r="T1040">
        <v>989</v>
      </c>
      <c r="U1040">
        <v>1132</v>
      </c>
      <c r="V1040">
        <v>1339</v>
      </c>
      <c r="W1040">
        <v>2149</v>
      </c>
      <c r="X1040">
        <v>2542</v>
      </c>
    </row>
    <row r="1041" spans="2:24" x14ac:dyDescent="0.35">
      <c r="B1041" s="23" t="s">
        <v>1305</v>
      </c>
      <c r="D1041" t="s">
        <v>1206</v>
      </c>
      <c r="E1041" t="s">
        <v>1207</v>
      </c>
      <c r="F1041" s="46" t="s">
        <v>1316</v>
      </c>
      <c r="G1041" t="s">
        <v>265</v>
      </c>
      <c r="H1041" s="23">
        <v>6</v>
      </c>
      <c r="I1041" s="23" t="s">
        <v>1254</v>
      </c>
      <c r="J1041" t="s">
        <v>1317</v>
      </c>
      <c r="K1041">
        <v>100</v>
      </c>
      <c r="L1041">
        <v>106</v>
      </c>
      <c r="M1041" s="24">
        <v>133</v>
      </c>
      <c r="N1041" s="24">
        <v>136</v>
      </c>
      <c r="O1041" s="24">
        <v>133</v>
      </c>
      <c r="P1041" s="24">
        <v>140</v>
      </c>
      <c r="Q1041">
        <v>127</v>
      </c>
      <c r="R1041">
        <v>156</v>
      </c>
      <c r="S1041">
        <v>160</v>
      </c>
      <c r="T1041">
        <v>194</v>
      </c>
      <c r="U1041">
        <v>244</v>
      </c>
      <c r="V1041">
        <v>287</v>
      </c>
      <c r="W1041">
        <v>436</v>
      </c>
      <c r="X1041">
        <v>507</v>
      </c>
    </row>
    <row r="1042" spans="2:24" x14ac:dyDescent="0.35">
      <c r="B1042" s="23" t="s">
        <v>1307</v>
      </c>
      <c r="D1042" t="s">
        <v>1206</v>
      </c>
      <c r="E1042" t="s">
        <v>1207</v>
      </c>
      <c r="F1042" s="46" t="s">
        <v>1233</v>
      </c>
      <c r="G1042" t="s">
        <v>239</v>
      </c>
      <c r="H1042" s="23">
        <v>3</v>
      </c>
      <c r="I1042" s="23" t="s">
        <v>1226</v>
      </c>
      <c r="J1042" t="s">
        <v>1234</v>
      </c>
      <c r="K1042">
        <v>661</v>
      </c>
      <c r="L1042">
        <v>703</v>
      </c>
      <c r="M1042" s="24">
        <v>720</v>
      </c>
      <c r="N1042" s="24">
        <v>751</v>
      </c>
      <c r="O1042" s="24">
        <v>781</v>
      </c>
      <c r="P1042" s="24">
        <v>840</v>
      </c>
      <c r="Q1042">
        <v>761</v>
      </c>
      <c r="R1042">
        <v>929</v>
      </c>
      <c r="S1042">
        <v>889</v>
      </c>
      <c r="T1042">
        <v>1048</v>
      </c>
      <c r="U1042">
        <v>837</v>
      </c>
      <c r="V1042">
        <v>1299</v>
      </c>
      <c r="W1042">
        <v>995</v>
      </c>
      <c r="X1042">
        <v>1977</v>
      </c>
    </row>
    <row r="1043" spans="2:24" x14ac:dyDescent="0.35">
      <c r="B1043" s="23" t="s">
        <v>1309</v>
      </c>
      <c r="D1043" t="s">
        <v>1206</v>
      </c>
      <c r="E1043" t="s">
        <v>1207</v>
      </c>
      <c r="F1043" s="46" t="s">
        <v>1318</v>
      </c>
      <c r="G1043" t="s">
        <v>265</v>
      </c>
      <c r="H1043" s="23">
        <v>6</v>
      </c>
      <c r="I1043" s="23" t="s">
        <v>1254</v>
      </c>
      <c r="J1043" t="s">
        <v>1319</v>
      </c>
      <c r="K1043">
        <v>413</v>
      </c>
      <c r="L1043">
        <v>438</v>
      </c>
      <c r="M1043" s="24">
        <v>472</v>
      </c>
      <c r="N1043" s="24">
        <v>486</v>
      </c>
      <c r="O1043" s="24">
        <v>495</v>
      </c>
      <c r="P1043" s="24">
        <v>518</v>
      </c>
      <c r="Q1043">
        <v>492</v>
      </c>
      <c r="R1043">
        <v>590</v>
      </c>
      <c r="S1043">
        <v>694</v>
      </c>
      <c r="T1043">
        <v>805</v>
      </c>
      <c r="U1043">
        <v>846</v>
      </c>
      <c r="V1043">
        <v>998</v>
      </c>
      <c r="W1043">
        <v>1348</v>
      </c>
      <c r="X1043">
        <v>1525</v>
      </c>
    </row>
    <row r="1044" spans="2:24" x14ac:dyDescent="0.35">
      <c r="B1044" s="23" t="s">
        <v>1311</v>
      </c>
      <c r="D1044" t="s">
        <v>1206</v>
      </c>
      <c r="E1044" t="s">
        <v>1207</v>
      </c>
      <c r="F1044" s="46" t="s">
        <v>1252</v>
      </c>
      <c r="G1044" t="s">
        <v>259</v>
      </c>
      <c r="H1044" s="23">
        <v>5</v>
      </c>
      <c r="I1044" s="23" t="s">
        <v>1246</v>
      </c>
      <c r="J1044" t="s">
        <v>448</v>
      </c>
      <c r="K1044">
        <v>456</v>
      </c>
      <c r="L1044">
        <v>489</v>
      </c>
      <c r="M1044" s="24">
        <v>490</v>
      </c>
      <c r="N1044" s="24">
        <v>506</v>
      </c>
      <c r="O1044" s="24">
        <v>535</v>
      </c>
      <c r="P1044" s="24">
        <v>575</v>
      </c>
      <c r="Q1044">
        <v>496</v>
      </c>
      <c r="R1044">
        <v>595</v>
      </c>
      <c r="S1044">
        <v>675</v>
      </c>
      <c r="T1044">
        <v>766</v>
      </c>
      <c r="U1044">
        <v>727</v>
      </c>
      <c r="V1044">
        <v>977</v>
      </c>
      <c r="W1044">
        <v>1048</v>
      </c>
      <c r="X1044">
        <v>1590</v>
      </c>
    </row>
    <row r="1045" spans="2:24" x14ac:dyDescent="0.35">
      <c r="B1045" s="23" t="s">
        <v>1312</v>
      </c>
      <c r="D1045" t="s">
        <v>1206</v>
      </c>
      <c r="E1045" t="s">
        <v>1207</v>
      </c>
      <c r="F1045" s="46" t="s">
        <v>1320</v>
      </c>
      <c r="G1045" t="s">
        <v>265</v>
      </c>
      <c r="H1045" s="23">
        <v>6</v>
      </c>
      <c r="I1045" s="23" t="s">
        <v>1254</v>
      </c>
      <c r="J1045" t="s">
        <v>1321</v>
      </c>
      <c r="K1045">
        <v>881</v>
      </c>
      <c r="L1045">
        <v>932</v>
      </c>
      <c r="M1045" s="24">
        <v>1207</v>
      </c>
      <c r="N1045" s="24">
        <v>1243</v>
      </c>
      <c r="O1045" s="24">
        <v>1509</v>
      </c>
      <c r="P1045" s="24">
        <v>1570</v>
      </c>
      <c r="Q1045">
        <v>1641</v>
      </c>
      <c r="R1045">
        <v>1846</v>
      </c>
      <c r="S1045">
        <v>1889</v>
      </c>
      <c r="T1045">
        <v>2102</v>
      </c>
      <c r="U1045">
        <v>2099</v>
      </c>
      <c r="V1045">
        <v>2385</v>
      </c>
      <c r="W1045">
        <v>3160</v>
      </c>
      <c r="X1045">
        <v>3568</v>
      </c>
    </row>
    <row r="1046" spans="2:24" x14ac:dyDescent="0.35">
      <c r="B1046" s="23" t="s">
        <v>1314</v>
      </c>
      <c r="D1046" t="s">
        <v>1206</v>
      </c>
      <c r="E1046" t="s">
        <v>1207</v>
      </c>
      <c r="F1046" s="46" t="s">
        <v>1322</v>
      </c>
      <c r="G1046" t="s">
        <v>265</v>
      </c>
      <c r="H1046" s="23">
        <v>6</v>
      </c>
      <c r="I1046" s="23" t="s">
        <v>1254</v>
      </c>
      <c r="J1046" t="s">
        <v>1323</v>
      </c>
      <c r="K1046">
        <v>330</v>
      </c>
      <c r="L1046">
        <v>352</v>
      </c>
      <c r="M1046" s="24">
        <v>438</v>
      </c>
      <c r="N1046" s="24">
        <v>451</v>
      </c>
      <c r="O1046" s="24">
        <v>511</v>
      </c>
      <c r="P1046" s="24">
        <v>527</v>
      </c>
      <c r="Q1046">
        <v>519</v>
      </c>
      <c r="R1046">
        <v>599</v>
      </c>
      <c r="S1046">
        <v>719</v>
      </c>
      <c r="T1046">
        <v>789</v>
      </c>
      <c r="U1046">
        <v>824</v>
      </c>
      <c r="V1046">
        <v>919</v>
      </c>
      <c r="W1046">
        <v>1229</v>
      </c>
      <c r="X1046">
        <v>1397</v>
      </c>
    </row>
    <row r="1047" spans="2:24" x14ac:dyDescent="0.35">
      <c r="B1047" s="23" t="s">
        <v>1315</v>
      </c>
      <c r="D1047" t="s">
        <v>1206</v>
      </c>
      <c r="E1047" t="s">
        <v>1207</v>
      </c>
      <c r="F1047" s="46" t="s">
        <v>1211</v>
      </c>
      <c r="G1047" t="s">
        <v>231</v>
      </c>
      <c r="H1047" s="23">
        <v>1</v>
      </c>
      <c r="I1047" s="23" t="s">
        <v>1208</v>
      </c>
      <c r="J1047" t="s">
        <v>1212</v>
      </c>
      <c r="K1047">
        <v>633</v>
      </c>
      <c r="L1047">
        <v>672</v>
      </c>
      <c r="M1047" s="24">
        <v>653</v>
      </c>
      <c r="N1047" s="24">
        <v>677</v>
      </c>
      <c r="O1047" s="24">
        <v>656</v>
      </c>
      <c r="P1047" s="24">
        <v>718</v>
      </c>
      <c r="Q1047">
        <v>692</v>
      </c>
      <c r="R1047">
        <v>836</v>
      </c>
      <c r="S1047">
        <v>928</v>
      </c>
      <c r="T1047">
        <v>1085</v>
      </c>
      <c r="U1047">
        <v>1125</v>
      </c>
      <c r="V1047">
        <v>1500</v>
      </c>
      <c r="W1047">
        <v>1640</v>
      </c>
      <c r="X1047">
        <v>2375</v>
      </c>
    </row>
    <row r="1048" spans="2:24" x14ac:dyDescent="0.35">
      <c r="B1048" s="23" t="s">
        <v>1316</v>
      </c>
      <c r="D1048" t="s">
        <v>1206</v>
      </c>
      <c r="E1048" t="s">
        <v>1207</v>
      </c>
      <c r="F1048" s="46" t="s">
        <v>1222</v>
      </c>
      <c r="G1048" t="s">
        <v>235</v>
      </c>
      <c r="H1048" s="23">
        <v>2</v>
      </c>
      <c r="I1048" s="23" t="s">
        <v>1216</v>
      </c>
      <c r="J1048" t="s">
        <v>1223</v>
      </c>
      <c r="K1048">
        <v>539</v>
      </c>
      <c r="L1048">
        <v>561</v>
      </c>
      <c r="M1048" s="24">
        <v>667</v>
      </c>
      <c r="N1048" s="24">
        <v>677</v>
      </c>
      <c r="O1048" s="24">
        <v>845</v>
      </c>
      <c r="P1048" s="24">
        <v>891</v>
      </c>
      <c r="Q1048">
        <v>876</v>
      </c>
      <c r="R1048">
        <v>988</v>
      </c>
      <c r="S1048">
        <v>955</v>
      </c>
      <c r="T1048">
        <v>1072</v>
      </c>
      <c r="U1048">
        <v>943</v>
      </c>
      <c r="V1048">
        <v>1260</v>
      </c>
      <c r="W1048">
        <v>1641</v>
      </c>
      <c r="X1048">
        <v>1981</v>
      </c>
    </row>
    <row r="1049" spans="2:24" x14ac:dyDescent="0.35">
      <c r="B1049" s="23" t="s">
        <v>1318</v>
      </c>
      <c r="D1049" t="s">
        <v>1206</v>
      </c>
      <c r="E1049" t="s">
        <v>1207</v>
      </c>
      <c r="F1049" s="46" t="s">
        <v>1324</v>
      </c>
      <c r="G1049" t="s">
        <v>265</v>
      </c>
      <c r="H1049" s="23">
        <v>6</v>
      </c>
      <c r="I1049" s="23" t="s">
        <v>1254</v>
      </c>
      <c r="J1049" t="s">
        <v>1325</v>
      </c>
      <c r="K1049">
        <v>500</v>
      </c>
      <c r="L1049">
        <v>523</v>
      </c>
      <c r="M1049" s="24">
        <v>547</v>
      </c>
      <c r="N1049" s="24">
        <v>562</v>
      </c>
      <c r="O1049" s="24">
        <v>588</v>
      </c>
      <c r="P1049" s="24">
        <v>623</v>
      </c>
      <c r="Q1049">
        <v>527</v>
      </c>
      <c r="R1049">
        <v>629</v>
      </c>
      <c r="S1049">
        <v>654</v>
      </c>
      <c r="T1049">
        <v>752</v>
      </c>
      <c r="U1049">
        <v>865</v>
      </c>
      <c r="V1049">
        <v>1026</v>
      </c>
      <c r="W1049">
        <v>1354</v>
      </c>
      <c r="X1049">
        <v>1588</v>
      </c>
    </row>
    <row r="1050" spans="2:24" x14ac:dyDescent="0.35">
      <c r="B1050" s="23" t="s">
        <v>1320</v>
      </c>
      <c r="D1050" t="s">
        <v>1206</v>
      </c>
      <c r="E1050" t="s">
        <v>1207</v>
      </c>
      <c r="F1050" s="46" t="s">
        <v>1213</v>
      </c>
      <c r="G1050" t="s">
        <v>231</v>
      </c>
      <c r="H1050" s="23">
        <v>1</v>
      </c>
      <c r="I1050" s="23" t="s">
        <v>1208</v>
      </c>
      <c r="J1050" t="s">
        <v>1214</v>
      </c>
      <c r="K1050">
        <v>256</v>
      </c>
      <c r="L1050">
        <v>278</v>
      </c>
      <c r="M1050" s="24">
        <v>256</v>
      </c>
      <c r="N1050" s="24">
        <v>266</v>
      </c>
      <c r="O1050" s="24">
        <v>292</v>
      </c>
      <c r="P1050" s="24">
        <v>312</v>
      </c>
      <c r="Q1050">
        <v>337</v>
      </c>
      <c r="R1050">
        <v>414</v>
      </c>
      <c r="S1050">
        <v>792</v>
      </c>
      <c r="T1050">
        <v>867</v>
      </c>
      <c r="U1050">
        <v>567</v>
      </c>
      <c r="V1050">
        <v>815</v>
      </c>
      <c r="W1050">
        <v>838</v>
      </c>
      <c r="X1050">
        <v>1352</v>
      </c>
    </row>
    <row r="1051" spans="2:24" x14ac:dyDescent="0.35">
      <c r="B1051" s="23" t="s">
        <v>1322</v>
      </c>
      <c r="D1051" t="s">
        <v>1206</v>
      </c>
      <c r="E1051" t="s">
        <v>1207</v>
      </c>
      <c r="F1051" s="46" t="s">
        <v>1224</v>
      </c>
      <c r="G1051" t="s">
        <v>235</v>
      </c>
      <c r="H1051" s="23">
        <v>2</v>
      </c>
      <c r="I1051" s="23" t="s">
        <v>1216</v>
      </c>
      <c r="J1051" t="s">
        <v>518</v>
      </c>
      <c r="K1051">
        <v>579</v>
      </c>
      <c r="L1051">
        <v>625</v>
      </c>
      <c r="M1051" s="24">
        <v>682</v>
      </c>
      <c r="N1051" s="24">
        <v>710</v>
      </c>
      <c r="O1051" s="24">
        <v>793</v>
      </c>
      <c r="P1051" s="24">
        <v>868</v>
      </c>
      <c r="Q1051">
        <v>743</v>
      </c>
      <c r="R1051">
        <v>875</v>
      </c>
      <c r="S1051">
        <v>908</v>
      </c>
      <c r="T1051">
        <v>1038</v>
      </c>
      <c r="U1051">
        <v>972</v>
      </c>
      <c r="V1051">
        <v>1294</v>
      </c>
      <c r="W1051">
        <v>1733</v>
      </c>
      <c r="X1051">
        <v>2133</v>
      </c>
    </row>
    <row r="1052" spans="2:24" x14ac:dyDescent="0.35">
      <c r="B1052" s="23" t="s">
        <v>1324</v>
      </c>
      <c r="D1052" t="s">
        <v>1206</v>
      </c>
      <c r="E1052" t="s">
        <v>1207</v>
      </c>
      <c r="F1052" s="46" t="s">
        <v>1326</v>
      </c>
      <c r="G1052" t="s">
        <v>265</v>
      </c>
      <c r="H1052" s="23">
        <v>6</v>
      </c>
      <c r="I1052" s="23" t="s">
        <v>1254</v>
      </c>
      <c r="J1052" t="s">
        <v>1327</v>
      </c>
      <c r="K1052">
        <v>607</v>
      </c>
      <c r="L1052">
        <v>629</v>
      </c>
      <c r="M1052" s="24">
        <v>663</v>
      </c>
      <c r="N1052" s="24">
        <v>678</v>
      </c>
      <c r="O1052" s="24">
        <v>774</v>
      </c>
      <c r="P1052" s="24">
        <v>811</v>
      </c>
      <c r="Q1052">
        <v>825</v>
      </c>
      <c r="R1052">
        <v>924</v>
      </c>
      <c r="S1052">
        <v>1018</v>
      </c>
      <c r="T1052">
        <v>1102</v>
      </c>
      <c r="U1052">
        <v>1209</v>
      </c>
      <c r="V1052">
        <v>1316</v>
      </c>
      <c r="W1052">
        <v>1580</v>
      </c>
      <c r="X1052">
        <v>1790</v>
      </c>
    </row>
    <row r="1053" spans="2:24" x14ac:dyDescent="0.35">
      <c r="B1053" s="23" t="s">
        <v>1326</v>
      </c>
      <c r="D1053" t="s">
        <v>1206</v>
      </c>
      <c r="E1053" t="s">
        <v>1207</v>
      </c>
      <c r="F1053" s="46" t="s">
        <v>1235</v>
      </c>
      <c r="G1053" t="s">
        <v>239</v>
      </c>
      <c r="H1053" s="23">
        <v>3</v>
      </c>
      <c r="I1053" s="23" t="s">
        <v>1226</v>
      </c>
      <c r="J1053" t="s">
        <v>873</v>
      </c>
      <c r="K1053">
        <v>1056</v>
      </c>
      <c r="L1053">
        <v>1123</v>
      </c>
      <c r="M1053" s="24">
        <v>1131</v>
      </c>
      <c r="N1053" s="24">
        <v>1170</v>
      </c>
      <c r="O1053" s="24">
        <v>1090</v>
      </c>
      <c r="P1053" s="24">
        <v>1229</v>
      </c>
      <c r="Q1053">
        <v>1077</v>
      </c>
      <c r="R1053">
        <v>1359</v>
      </c>
      <c r="S1053">
        <v>1563</v>
      </c>
      <c r="T1053">
        <v>1840</v>
      </c>
      <c r="U1053">
        <v>1425</v>
      </c>
      <c r="V1053">
        <v>2407</v>
      </c>
      <c r="W1053">
        <v>1725</v>
      </c>
      <c r="X1053">
        <v>3912</v>
      </c>
    </row>
    <row r="1054" spans="2:24" x14ac:dyDescent="0.35">
      <c r="B1054" s="23" t="s">
        <v>1328</v>
      </c>
      <c r="D1054" t="s">
        <v>1206</v>
      </c>
      <c r="E1054" t="s">
        <v>1207</v>
      </c>
      <c r="F1054" s="46" t="s">
        <v>1328</v>
      </c>
      <c r="G1054" t="s">
        <v>265</v>
      </c>
      <c r="H1054" s="23">
        <v>6</v>
      </c>
      <c r="I1054" s="23" t="s">
        <v>1254</v>
      </c>
      <c r="J1054" t="s">
        <v>385</v>
      </c>
      <c r="K1054">
        <v>1392</v>
      </c>
      <c r="L1054">
        <v>1493</v>
      </c>
      <c r="M1054" s="24">
        <v>1578</v>
      </c>
      <c r="N1054" s="24">
        <v>1644</v>
      </c>
      <c r="O1054" s="24">
        <v>1674</v>
      </c>
      <c r="P1054" s="24">
        <v>1784</v>
      </c>
      <c r="Q1054">
        <v>1665</v>
      </c>
      <c r="R1054">
        <v>2017</v>
      </c>
      <c r="S1054">
        <v>2324</v>
      </c>
      <c r="T1054">
        <v>2761</v>
      </c>
      <c r="U1054">
        <v>2986</v>
      </c>
      <c r="V1054">
        <v>3560</v>
      </c>
      <c r="W1054">
        <v>5125</v>
      </c>
      <c r="X1054">
        <v>5951</v>
      </c>
    </row>
    <row r="1055" spans="2:24" x14ac:dyDescent="0.35">
      <c r="B1055" s="23" t="s">
        <v>1329</v>
      </c>
      <c r="D1055" t="s">
        <v>1206</v>
      </c>
      <c r="E1055" t="s">
        <v>1207</v>
      </c>
      <c r="F1055" s="46" t="s">
        <v>1329</v>
      </c>
      <c r="G1055" t="s">
        <v>265</v>
      </c>
      <c r="H1055" s="23">
        <v>6</v>
      </c>
      <c r="I1055" s="23" t="s">
        <v>1254</v>
      </c>
      <c r="J1055" t="s">
        <v>894</v>
      </c>
      <c r="K1055">
        <v>978</v>
      </c>
      <c r="L1055">
        <v>1009</v>
      </c>
      <c r="M1055" s="24">
        <v>1188</v>
      </c>
      <c r="N1055" s="24">
        <v>1208</v>
      </c>
      <c r="O1055" s="24">
        <v>1380</v>
      </c>
      <c r="P1055" s="24">
        <v>1424</v>
      </c>
      <c r="Q1055">
        <v>1399</v>
      </c>
      <c r="R1055">
        <v>1543</v>
      </c>
      <c r="S1055">
        <v>1674</v>
      </c>
      <c r="T1055">
        <v>1822</v>
      </c>
      <c r="U1055">
        <v>1813</v>
      </c>
      <c r="V1055">
        <v>2007</v>
      </c>
      <c r="W1055">
        <v>2481</v>
      </c>
      <c r="X1055">
        <v>2796</v>
      </c>
    </row>
    <row r="1056" spans="2:24" x14ac:dyDescent="0.35">
      <c r="B1056" s="23" t="s">
        <v>1330</v>
      </c>
      <c r="D1056" t="s">
        <v>1206</v>
      </c>
      <c r="E1056" t="s">
        <v>1207</v>
      </c>
      <c r="F1056" s="46" t="s">
        <v>1330</v>
      </c>
      <c r="G1056" t="s">
        <v>265</v>
      </c>
      <c r="H1056" s="23">
        <v>6</v>
      </c>
      <c r="I1056" s="23" t="s">
        <v>1254</v>
      </c>
      <c r="J1056" t="s">
        <v>924</v>
      </c>
      <c r="K1056">
        <v>219</v>
      </c>
      <c r="L1056">
        <v>240</v>
      </c>
      <c r="M1056" s="24">
        <v>256</v>
      </c>
      <c r="N1056" s="24">
        <v>265</v>
      </c>
      <c r="O1056" s="24">
        <v>312</v>
      </c>
      <c r="P1056" s="24">
        <v>332</v>
      </c>
      <c r="Q1056">
        <v>289</v>
      </c>
      <c r="R1056">
        <v>357</v>
      </c>
      <c r="S1056">
        <v>380</v>
      </c>
      <c r="T1056">
        <v>448</v>
      </c>
      <c r="U1056">
        <v>451</v>
      </c>
      <c r="V1056">
        <v>545</v>
      </c>
      <c r="W1056">
        <v>759</v>
      </c>
      <c r="X1056">
        <v>928</v>
      </c>
    </row>
    <row r="1057" spans="2:24" x14ac:dyDescent="0.35">
      <c r="B1057" s="23" t="s">
        <v>1331</v>
      </c>
      <c r="D1057" t="s">
        <v>1206</v>
      </c>
      <c r="E1057" t="s">
        <v>1207</v>
      </c>
      <c r="F1057" s="46" t="s">
        <v>1331</v>
      </c>
      <c r="G1057" t="s">
        <v>265</v>
      </c>
      <c r="H1057" s="23">
        <v>6</v>
      </c>
      <c r="I1057" s="23" t="s">
        <v>1254</v>
      </c>
      <c r="J1057" t="s">
        <v>1065</v>
      </c>
      <c r="K1057">
        <v>244</v>
      </c>
      <c r="L1057">
        <v>254</v>
      </c>
      <c r="M1057" s="24">
        <v>252</v>
      </c>
      <c r="N1057" s="24">
        <v>256</v>
      </c>
      <c r="O1057" s="24">
        <v>253</v>
      </c>
      <c r="P1057" s="24">
        <v>268</v>
      </c>
      <c r="Q1057">
        <v>250</v>
      </c>
      <c r="R1057">
        <v>296</v>
      </c>
      <c r="S1057">
        <v>340</v>
      </c>
      <c r="T1057">
        <v>390</v>
      </c>
      <c r="U1057">
        <v>469</v>
      </c>
      <c r="V1057">
        <v>532</v>
      </c>
      <c r="W1057">
        <v>675</v>
      </c>
      <c r="X1057">
        <v>799</v>
      </c>
    </row>
    <row r="1058" spans="2:24" x14ac:dyDescent="0.35">
      <c r="B1058" s="23" t="s">
        <v>1332</v>
      </c>
      <c r="D1058" t="s">
        <v>1206</v>
      </c>
      <c r="E1058" t="s">
        <v>1207</v>
      </c>
      <c r="F1058" s="46" t="s">
        <v>1332</v>
      </c>
      <c r="G1058" t="s">
        <v>265</v>
      </c>
      <c r="H1058" s="23">
        <v>6</v>
      </c>
      <c r="I1058" s="23" t="s">
        <v>1254</v>
      </c>
      <c r="J1058" t="s">
        <v>389</v>
      </c>
      <c r="K1058">
        <v>518</v>
      </c>
      <c r="L1058">
        <v>548</v>
      </c>
      <c r="M1058" s="24">
        <v>546</v>
      </c>
      <c r="N1058" s="24">
        <v>566</v>
      </c>
      <c r="O1058" s="24">
        <v>640</v>
      </c>
      <c r="P1058" s="24">
        <v>673</v>
      </c>
      <c r="Q1058">
        <v>647</v>
      </c>
      <c r="R1058">
        <v>760</v>
      </c>
      <c r="S1058">
        <v>824</v>
      </c>
      <c r="T1058">
        <v>942</v>
      </c>
      <c r="U1058">
        <v>1027</v>
      </c>
      <c r="V1058">
        <v>1179</v>
      </c>
      <c r="W1058">
        <v>1774</v>
      </c>
      <c r="X1058">
        <v>2039</v>
      </c>
    </row>
    <row r="1059" spans="2:24" x14ac:dyDescent="0.35">
      <c r="B1059" s="23" t="s">
        <v>1333</v>
      </c>
      <c r="D1059" t="s">
        <v>1206</v>
      </c>
      <c r="E1059" t="s">
        <v>1207</v>
      </c>
      <c r="F1059" s="46" t="s">
        <v>1333</v>
      </c>
      <c r="G1059" t="s">
        <v>265</v>
      </c>
      <c r="H1059" s="23">
        <v>6</v>
      </c>
      <c r="I1059" s="23" t="s">
        <v>1254</v>
      </c>
      <c r="J1059" t="s">
        <v>1334</v>
      </c>
      <c r="K1059">
        <v>246</v>
      </c>
      <c r="L1059">
        <v>267</v>
      </c>
      <c r="M1059" s="24">
        <v>278</v>
      </c>
      <c r="N1059" s="24">
        <v>292</v>
      </c>
      <c r="O1059" s="24">
        <v>279</v>
      </c>
      <c r="P1059" s="24">
        <v>301</v>
      </c>
      <c r="Q1059">
        <v>246</v>
      </c>
      <c r="R1059">
        <v>329</v>
      </c>
      <c r="S1059">
        <v>363</v>
      </c>
      <c r="T1059">
        <v>432</v>
      </c>
      <c r="U1059">
        <v>485</v>
      </c>
      <c r="V1059">
        <v>582</v>
      </c>
      <c r="W1059">
        <v>932</v>
      </c>
      <c r="X1059">
        <v>1098</v>
      </c>
    </row>
    <row r="1060" spans="2:24" x14ac:dyDescent="0.35">
      <c r="B1060" s="23" t="s">
        <v>1335</v>
      </c>
      <c r="D1060" t="s">
        <v>1206</v>
      </c>
      <c r="E1060" t="s">
        <v>1207</v>
      </c>
      <c r="F1060" s="46" t="s">
        <v>1335</v>
      </c>
      <c r="G1060" t="s">
        <v>265</v>
      </c>
      <c r="H1060" s="23">
        <v>6</v>
      </c>
      <c r="I1060" s="23" t="s">
        <v>1254</v>
      </c>
      <c r="J1060" t="s">
        <v>1336</v>
      </c>
      <c r="K1060">
        <v>467</v>
      </c>
      <c r="L1060">
        <v>499</v>
      </c>
      <c r="M1060" s="24">
        <v>481</v>
      </c>
      <c r="N1060" s="24">
        <v>501</v>
      </c>
      <c r="O1060" s="24">
        <v>568</v>
      </c>
      <c r="P1060" s="24">
        <v>603</v>
      </c>
      <c r="Q1060">
        <v>564</v>
      </c>
      <c r="R1060">
        <v>685</v>
      </c>
      <c r="S1060">
        <v>787</v>
      </c>
      <c r="T1060">
        <v>923</v>
      </c>
      <c r="U1060">
        <v>1055</v>
      </c>
      <c r="V1060">
        <v>1233</v>
      </c>
      <c r="W1060">
        <v>1849</v>
      </c>
      <c r="X1060">
        <v>2212</v>
      </c>
    </row>
    <row r="1061" spans="2:24" x14ac:dyDescent="0.35">
      <c r="B1061" s="46" t="s">
        <v>1337</v>
      </c>
      <c r="D1061" t="s">
        <v>1338</v>
      </c>
      <c r="E1061" t="s">
        <v>1339</v>
      </c>
      <c r="F1061" s="46" t="s">
        <v>1337</v>
      </c>
      <c r="G1061" t="s">
        <v>235</v>
      </c>
      <c r="H1061" s="47" t="s">
        <v>419</v>
      </c>
      <c r="I1061" s="47" t="s">
        <v>1340</v>
      </c>
      <c r="J1061" t="s">
        <v>2713</v>
      </c>
      <c r="K1061">
        <v>534</v>
      </c>
      <c r="L1061">
        <v>715</v>
      </c>
      <c r="M1061">
        <v>534</v>
      </c>
      <c r="N1061">
        <v>715</v>
      </c>
      <c r="O1061" s="24">
        <v>528</v>
      </c>
      <c r="P1061" s="24">
        <v>704</v>
      </c>
      <c r="Q1061">
        <v>385</v>
      </c>
      <c r="R1061">
        <v>645</v>
      </c>
      <c r="S1061">
        <v>463</v>
      </c>
      <c r="T1061">
        <v>732</v>
      </c>
      <c r="U1061">
        <v>509</v>
      </c>
      <c r="V1061">
        <v>802</v>
      </c>
      <c r="W1061">
        <v>751</v>
      </c>
      <c r="X1061">
        <v>1196</v>
      </c>
    </row>
    <row r="1062" spans="2:24" x14ac:dyDescent="0.35">
      <c r="B1062" s="46" t="s">
        <v>1341</v>
      </c>
      <c r="D1062" t="s">
        <v>1338</v>
      </c>
      <c r="E1062" t="s">
        <v>1339</v>
      </c>
      <c r="F1062" s="46" t="s">
        <v>1341</v>
      </c>
      <c r="G1062" t="s">
        <v>231</v>
      </c>
      <c r="H1062" s="47" t="s">
        <v>393</v>
      </c>
      <c r="I1062" s="47" t="s">
        <v>1342</v>
      </c>
      <c r="J1062" t="s">
        <v>2714</v>
      </c>
      <c r="K1062">
        <v>380</v>
      </c>
      <c r="L1062">
        <v>449</v>
      </c>
      <c r="M1062">
        <v>380</v>
      </c>
      <c r="N1062">
        <v>449</v>
      </c>
      <c r="O1062" s="24">
        <v>346</v>
      </c>
      <c r="P1062" s="24">
        <v>416</v>
      </c>
      <c r="Q1062">
        <v>332</v>
      </c>
      <c r="R1062">
        <v>453</v>
      </c>
      <c r="S1062">
        <v>403</v>
      </c>
      <c r="T1062">
        <v>559</v>
      </c>
      <c r="U1062">
        <v>457</v>
      </c>
      <c r="V1062">
        <v>661</v>
      </c>
      <c r="W1062">
        <v>534</v>
      </c>
      <c r="X1062">
        <v>956</v>
      </c>
    </row>
    <row r="1063" spans="2:24" x14ac:dyDescent="0.35">
      <c r="B1063" s="46" t="s">
        <v>1343</v>
      </c>
      <c r="D1063" t="s">
        <v>1338</v>
      </c>
      <c r="E1063" t="s">
        <v>1339</v>
      </c>
      <c r="F1063" s="46" t="s">
        <v>1343</v>
      </c>
      <c r="G1063" t="s">
        <v>231</v>
      </c>
      <c r="H1063" s="47" t="s">
        <v>393</v>
      </c>
      <c r="I1063" s="47" t="s">
        <v>1342</v>
      </c>
      <c r="J1063" t="s">
        <v>2715</v>
      </c>
      <c r="K1063">
        <v>149</v>
      </c>
      <c r="L1063">
        <v>174</v>
      </c>
      <c r="M1063">
        <v>149</v>
      </c>
      <c r="N1063">
        <v>174</v>
      </c>
      <c r="O1063" s="24">
        <v>125</v>
      </c>
      <c r="P1063" s="24">
        <v>148</v>
      </c>
      <c r="Q1063">
        <v>97</v>
      </c>
      <c r="R1063">
        <v>139</v>
      </c>
      <c r="S1063">
        <v>130</v>
      </c>
      <c r="T1063">
        <v>162</v>
      </c>
      <c r="U1063">
        <v>137</v>
      </c>
      <c r="V1063">
        <v>178</v>
      </c>
      <c r="W1063">
        <v>153</v>
      </c>
      <c r="X1063">
        <v>290</v>
      </c>
    </row>
    <row r="1064" spans="2:24" x14ac:dyDescent="0.35">
      <c r="B1064" s="46" t="s">
        <v>1344</v>
      </c>
      <c r="D1064" t="s">
        <v>1338</v>
      </c>
      <c r="E1064" t="s">
        <v>1339</v>
      </c>
      <c r="F1064" s="46" t="s">
        <v>1344</v>
      </c>
      <c r="G1064" t="s">
        <v>259</v>
      </c>
      <c r="H1064" s="47" t="s">
        <v>477</v>
      </c>
      <c r="I1064" s="47" t="s">
        <v>1345</v>
      </c>
      <c r="J1064" t="s">
        <v>2716</v>
      </c>
      <c r="K1064">
        <v>394</v>
      </c>
      <c r="L1064">
        <v>581</v>
      </c>
      <c r="M1064">
        <v>394</v>
      </c>
      <c r="N1064">
        <v>581</v>
      </c>
      <c r="O1064" s="24">
        <v>408</v>
      </c>
      <c r="P1064" s="24">
        <v>582</v>
      </c>
      <c r="Q1064">
        <v>394</v>
      </c>
      <c r="R1064">
        <v>601</v>
      </c>
      <c r="S1064">
        <v>480</v>
      </c>
      <c r="T1064">
        <v>755</v>
      </c>
      <c r="U1064">
        <v>562</v>
      </c>
      <c r="V1064">
        <v>891</v>
      </c>
      <c r="W1064">
        <v>723</v>
      </c>
      <c r="X1064">
        <v>1262</v>
      </c>
    </row>
    <row r="1065" spans="2:24" x14ac:dyDescent="0.35">
      <c r="B1065" s="46" t="s">
        <v>1346</v>
      </c>
      <c r="D1065" t="s">
        <v>1338</v>
      </c>
      <c r="E1065" t="s">
        <v>1339</v>
      </c>
      <c r="F1065" s="46" t="s">
        <v>1346</v>
      </c>
      <c r="G1065" t="s">
        <v>279</v>
      </c>
      <c r="H1065" s="47" t="s">
        <v>1347</v>
      </c>
      <c r="I1065" s="47" t="s">
        <v>1348</v>
      </c>
      <c r="J1065" t="s">
        <v>2717</v>
      </c>
      <c r="K1065">
        <v>1334</v>
      </c>
      <c r="L1065">
        <v>1482</v>
      </c>
      <c r="M1065">
        <v>1334</v>
      </c>
      <c r="N1065">
        <v>1482</v>
      </c>
      <c r="O1065" s="24">
        <v>1362</v>
      </c>
      <c r="P1065" s="24">
        <v>1566</v>
      </c>
      <c r="Q1065">
        <v>1353</v>
      </c>
      <c r="R1065">
        <v>1758</v>
      </c>
      <c r="S1065">
        <v>1533</v>
      </c>
      <c r="T1065">
        <v>2069</v>
      </c>
      <c r="U1065">
        <v>1584</v>
      </c>
      <c r="V1065">
        <v>2178</v>
      </c>
      <c r="W1065">
        <v>1461</v>
      </c>
      <c r="X1065">
        <v>3021</v>
      </c>
    </row>
    <row r="1066" spans="2:24" x14ac:dyDescent="0.35">
      <c r="B1066" s="46" t="s">
        <v>1349</v>
      </c>
      <c r="D1066" t="s">
        <v>1338</v>
      </c>
      <c r="E1066" t="s">
        <v>1339</v>
      </c>
      <c r="F1066" s="46" t="s">
        <v>1349</v>
      </c>
      <c r="G1066" t="s">
        <v>273</v>
      </c>
      <c r="H1066" s="47" t="s">
        <v>524</v>
      </c>
      <c r="I1066" s="47" t="s">
        <v>1350</v>
      </c>
      <c r="J1066" t="s">
        <v>2718</v>
      </c>
      <c r="K1066">
        <v>440</v>
      </c>
      <c r="L1066">
        <v>512</v>
      </c>
      <c r="M1066">
        <v>440</v>
      </c>
      <c r="N1066">
        <v>512</v>
      </c>
      <c r="O1066" s="24">
        <v>389</v>
      </c>
      <c r="P1066" s="24">
        <v>446</v>
      </c>
      <c r="Q1066">
        <v>389</v>
      </c>
      <c r="R1066">
        <v>476</v>
      </c>
      <c r="S1066">
        <v>399</v>
      </c>
      <c r="T1066">
        <v>526</v>
      </c>
      <c r="U1066">
        <v>398</v>
      </c>
      <c r="V1066">
        <v>559</v>
      </c>
      <c r="W1066">
        <v>503</v>
      </c>
      <c r="X1066">
        <v>753</v>
      </c>
    </row>
    <row r="1067" spans="2:24" x14ac:dyDescent="0.35">
      <c r="B1067" s="46" t="s">
        <v>1351</v>
      </c>
      <c r="D1067" t="s">
        <v>1338</v>
      </c>
      <c r="E1067" t="s">
        <v>1339</v>
      </c>
      <c r="F1067" s="46" t="s">
        <v>1351</v>
      </c>
      <c r="G1067" t="s">
        <v>255</v>
      </c>
      <c r="H1067" s="47" t="s">
        <v>467</v>
      </c>
      <c r="I1067" s="47" t="s">
        <v>1352</v>
      </c>
      <c r="J1067" t="s">
        <v>2719</v>
      </c>
      <c r="K1067">
        <v>719</v>
      </c>
      <c r="L1067">
        <v>806</v>
      </c>
      <c r="M1067">
        <v>719</v>
      </c>
      <c r="N1067">
        <v>806</v>
      </c>
      <c r="O1067" s="24">
        <v>772</v>
      </c>
      <c r="P1067" s="24">
        <v>885</v>
      </c>
      <c r="Q1067">
        <v>801</v>
      </c>
      <c r="R1067">
        <v>972</v>
      </c>
      <c r="S1067">
        <v>1033</v>
      </c>
      <c r="T1067">
        <v>1252</v>
      </c>
      <c r="U1067">
        <v>1014</v>
      </c>
      <c r="V1067">
        <v>1290</v>
      </c>
      <c r="W1067">
        <v>1041</v>
      </c>
      <c r="X1067">
        <v>1522</v>
      </c>
    </row>
    <row r="1068" spans="2:24" x14ac:dyDescent="0.35">
      <c r="B1068" s="46" t="s">
        <v>1353</v>
      </c>
      <c r="D1068" t="s">
        <v>1338</v>
      </c>
      <c r="E1068" t="s">
        <v>1339</v>
      </c>
      <c r="F1068" s="46" t="s">
        <v>1353</v>
      </c>
      <c r="G1068" t="s">
        <v>255</v>
      </c>
      <c r="H1068" s="47" t="s">
        <v>467</v>
      </c>
      <c r="I1068" s="47" t="s">
        <v>1352</v>
      </c>
      <c r="J1068" t="s">
        <v>456</v>
      </c>
      <c r="K1068">
        <v>739</v>
      </c>
      <c r="L1068">
        <v>864</v>
      </c>
      <c r="M1068">
        <v>739</v>
      </c>
      <c r="N1068">
        <v>864</v>
      </c>
      <c r="O1068" s="24">
        <v>721</v>
      </c>
      <c r="P1068" s="24">
        <v>845</v>
      </c>
      <c r="Q1068">
        <v>705</v>
      </c>
      <c r="R1068">
        <v>910</v>
      </c>
      <c r="S1068">
        <v>745</v>
      </c>
      <c r="T1068">
        <v>1012</v>
      </c>
      <c r="U1068">
        <v>770</v>
      </c>
      <c r="V1068">
        <v>1080</v>
      </c>
      <c r="W1068">
        <v>1072</v>
      </c>
      <c r="X1068">
        <v>1615</v>
      </c>
    </row>
    <row r="1069" spans="2:24" x14ac:dyDescent="0.35">
      <c r="B1069" s="46" t="s">
        <v>1354</v>
      </c>
      <c r="D1069" t="s">
        <v>1338</v>
      </c>
      <c r="E1069" t="s">
        <v>1339</v>
      </c>
      <c r="F1069" s="46" t="s">
        <v>1354</v>
      </c>
      <c r="G1069" t="s">
        <v>289</v>
      </c>
      <c r="H1069" s="47" t="s">
        <v>1355</v>
      </c>
      <c r="I1069" s="47" t="s">
        <v>1356</v>
      </c>
      <c r="J1069" t="s">
        <v>2720</v>
      </c>
      <c r="K1069">
        <v>297</v>
      </c>
      <c r="L1069">
        <v>409</v>
      </c>
      <c r="M1069">
        <v>297</v>
      </c>
      <c r="N1069">
        <v>409</v>
      </c>
      <c r="O1069" s="24">
        <v>300</v>
      </c>
      <c r="P1069" s="24">
        <v>423</v>
      </c>
      <c r="Q1069">
        <v>320</v>
      </c>
      <c r="R1069">
        <v>472</v>
      </c>
      <c r="S1069">
        <v>421</v>
      </c>
      <c r="T1069">
        <v>556</v>
      </c>
      <c r="U1069">
        <v>499</v>
      </c>
      <c r="V1069">
        <v>721</v>
      </c>
      <c r="W1069">
        <v>637</v>
      </c>
      <c r="X1069">
        <v>1006</v>
      </c>
    </row>
    <row r="1070" spans="2:24" x14ac:dyDescent="0.35">
      <c r="B1070" s="46" t="s">
        <v>1357</v>
      </c>
      <c r="D1070" t="s">
        <v>1338</v>
      </c>
      <c r="E1070" t="s">
        <v>1339</v>
      </c>
      <c r="F1070" s="46" t="s">
        <v>1357</v>
      </c>
      <c r="G1070" t="s">
        <v>259</v>
      </c>
      <c r="H1070" s="47" t="s">
        <v>477</v>
      </c>
      <c r="I1070" s="47" t="s">
        <v>1345</v>
      </c>
      <c r="J1070" t="s">
        <v>459</v>
      </c>
      <c r="K1070">
        <v>3417</v>
      </c>
      <c r="L1070">
        <v>5124</v>
      </c>
      <c r="M1070">
        <v>3417</v>
      </c>
      <c r="N1070">
        <v>5124</v>
      </c>
      <c r="O1070" s="24">
        <v>2803</v>
      </c>
      <c r="P1070" s="24">
        <v>4624</v>
      </c>
      <c r="Q1070">
        <v>2925</v>
      </c>
      <c r="R1070">
        <v>4716</v>
      </c>
      <c r="S1070">
        <v>3417</v>
      </c>
      <c r="T1070">
        <v>5781</v>
      </c>
      <c r="U1070">
        <v>3202</v>
      </c>
      <c r="V1070">
        <v>5594</v>
      </c>
      <c r="W1070">
        <v>4021</v>
      </c>
      <c r="X1070">
        <v>7552</v>
      </c>
    </row>
    <row r="1071" spans="2:24" x14ac:dyDescent="0.35">
      <c r="B1071" s="46" t="s">
        <v>1358</v>
      </c>
      <c r="D1071" t="s">
        <v>1338</v>
      </c>
      <c r="E1071" t="s">
        <v>1339</v>
      </c>
      <c r="F1071" s="46" t="s">
        <v>1358</v>
      </c>
      <c r="G1071" t="s">
        <v>231</v>
      </c>
      <c r="H1071" s="47" t="s">
        <v>393</v>
      </c>
      <c r="I1071" s="47" t="s">
        <v>1342</v>
      </c>
      <c r="J1071" t="s">
        <v>2721</v>
      </c>
      <c r="K1071">
        <v>1590</v>
      </c>
      <c r="L1071">
        <v>1905</v>
      </c>
      <c r="M1071">
        <v>1590</v>
      </c>
      <c r="N1071">
        <v>1905</v>
      </c>
      <c r="O1071" s="24">
        <v>1490</v>
      </c>
      <c r="P1071" s="24">
        <v>1839</v>
      </c>
      <c r="Q1071">
        <v>1379</v>
      </c>
      <c r="R1071">
        <v>1926</v>
      </c>
      <c r="S1071">
        <v>1626</v>
      </c>
      <c r="T1071">
        <v>2243</v>
      </c>
      <c r="U1071">
        <v>1826</v>
      </c>
      <c r="V1071">
        <v>2567</v>
      </c>
      <c r="W1071">
        <v>2554</v>
      </c>
      <c r="X1071">
        <v>4732</v>
      </c>
    </row>
    <row r="1072" spans="2:24" x14ac:dyDescent="0.35">
      <c r="B1072" s="46" t="s">
        <v>1359</v>
      </c>
      <c r="D1072" t="s">
        <v>1338</v>
      </c>
      <c r="E1072" t="s">
        <v>1339</v>
      </c>
      <c r="F1072" s="46" t="s">
        <v>1359</v>
      </c>
      <c r="G1072" t="s">
        <v>289</v>
      </c>
      <c r="H1072" s="47" t="s">
        <v>1355</v>
      </c>
      <c r="I1072" s="47" t="s">
        <v>1356</v>
      </c>
      <c r="J1072" t="s">
        <v>319</v>
      </c>
      <c r="K1072">
        <v>763</v>
      </c>
      <c r="L1072">
        <v>1004</v>
      </c>
      <c r="M1072">
        <v>763</v>
      </c>
      <c r="N1072">
        <v>1004</v>
      </c>
      <c r="O1072" s="24">
        <v>709</v>
      </c>
      <c r="P1072" s="24">
        <v>931</v>
      </c>
      <c r="Q1072">
        <v>665</v>
      </c>
      <c r="R1072">
        <v>973</v>
      </c>
      <c r="S1072">
        <v>903</v>
      </c>
      <c r="T1072">
        <v>1267</v>
      </c>
      <c r="U1072">
        <v>1137</v>
      </c>
      <c r="V1072">
        <v>1592</v>
      </c>
      <c r="W1072">
        <v>1829</v>
      </c>
      <c r="X1072">
        <v>2776</v>
      </c>
    </row>
    <row r="1073" spans="2:24" x14ac:dyDescent="0.35">
      <c r="B1073" s="46" t="s">
        <v>1360</v>
      </c>
      <c r="D1073" t="s">
        <v>1338</v>
      </c>
      <c r="E1073" t="s">
        <v>1339</v>
      </c>
      <c r="F1073" s="46" t="s">
        <v>1360</v>
      </c>
      <c r="G1073" t="s">
        <v>231</v>
      </c>
      <c r="H1073" s="47" t="s">
        <v>393</v>
      </c>
      <c r="I1073" s="47" t="s">
        <v>1342</v>
      </c>
      <c r="J1073" t="s">
        <v>1505</v>
      </c>
      <c r="K1073">
        <v>267</v>
      </c>
      <c r="L1073">
        <v>307</v>
      </c>
      <c r="M1073">
        <v>267</v>
      </c>
      <c r="N1073">
        <v>307</v>
      </c>
      <c r="O1073" s="24">
        <v>249</v>
      </c>
      <c r="P1073" s="24">
        <v>303</v>
      </c>
      <c r="Q1073">
        <v>251</v>
      </c>
      <c r="R1073">
        <v>367</v>
      </c>
      <c r="S1073">
        <v>294</v>
      </c>
      <c r="T1073">
        <v>471</v>
      </c>
      <c r="U1073">
        <v>301</v>
      </c>
      <c r="V1073">
        <v>510</v>
      </c>
      <c r="W1073">
        <v>346</v>
      </c>
      <c r="X1073">
        <v>641</v>
      </c>
    </row>
    <row r="1074" spans="2:24" x14ac:dyDescent="0.35">
      <c r="B1074" s="46" t="s">
        <v>1361</v>
      </c>
      <c r="D1074" t="s">
        <v>1338</v>
      </c>
      <c r="E1074" t="s">
        <v>1339</v>
      </c>
      <c r="F1074" s="46" t="s">
        <v>1361</v>
      </c>
      <c r="G1074" t="s">
        <v>259</v>
      </c>
      <c r="H1074" s="47" t="s">
        <v>477</v>
      </c>
      <c r="I1074" s="47" t="s">
        <v>1345</v>
      </c>
      <c r="J1074" t="s">
        <v>2722</v>
      </c>
      <c r="K1074">
        <v>686</v>
      </c>
      <c r="L1074">
        <v>954</v>
      </c>
      <c r="M1074">
        <v>686</v>
      </c>
      <c r="N1074">
        <v>954</v>
      </c>
      <c r="O1074" s="24">
        <v>667</v>
      </c>
      <c r="P1074" s="24">
        <v>910</v>
      </c>
      <c r="Q1074">
        <v>566</v>
      </c>
      <c r="R1074">
        <v>939</v>
      </c>
      <c r="S1074">
        <v>702</v>
      </c>
      <c r="T1074">
        <v>1216</v>
      </c>
      <c r="U1074">
        <v>793</v>
      </c>
      <c r="V1074">
        <v>1337</v>
      </c>
      <c r="W1074">
        <v>1123</v>
      </c>
      <c r="X1074">
        <v>2013</v>
      </c>
    </row>
    <row r="1075" spans="2:24" x14ac:dyDescent="0.35">
      <c r="B1075" s="46" t="s">
        <v>1362</v>
      </c>
      <c r="D1075" t="s">
        <v>1338</v>
      </c>
      <c r="E1075" t="s">
        <v>1339</v>
      </c>
      <c r="F1075" s="46" t="s">
        <v>1362</v>
      </c>
      <c r="G1075" t="s">
        <v>259</v>
      </c>
      <c r="H1075" s="47" t="s">
        <v>477</v>
      </c>
      <c r="I1075" s="47" t="s">
        <v>1345</v>
      </c>
      <c r="J1075" t="s">
        <v>882</v>
      </c>
      <c r="K1075">
        <v>1594</v>
      </c>
      <c r="L1075">
        <v>2274</v>
      </c>
      <c r="M1075">
        <v>1594</v>
      </c>
      <c r="N1075">
        <v>2274</v>
      </c>
      <c r="O1075" s="24">
        <v>1518</v>
      </c>
      <c r="P1075" s="24">
        <v>2241</v>
      </c>
      <c r="Q1075">
        <v>1246</v>
      </c>
      <c r="R1075">
        <v>2266</v>
      </c>
      <c r="S1075">
        <v>1567</v>
      </c>
      <c r="T1075">
        <v>2780</v>
      </c>
      <c r="U1075">
        <v>1615</v>
      </c>
      <c r="V1075">
        <v>2863</v>
      </c>
      <c r="W1075">
        <v>1818</v>
      </c>
      <c r="X1075">
        <v>3486</v>
      </c>
    </row>
    <row r="1076" spans="2:24" x14ac:dyDescent="0.35">
      <c r="B1076" s="46" t="s">
        <v>1363</v>
      </c>
      <c r="D1076" t="s">
        <v>1338</v>
      </c>
      <c r="E1076" t="s">
        <v>1339</v>
      </c>
      <c r="F1076" s="46" t="s">
        <v>1363</v>
      </c>
      <c r="G1076" t="s">
        <v>289</v>
      </c>
      <c r="H1076" s="47" t="s">
        <v>1355</v>
      </c>
      <c r="I1076" s="47" t="s">
        <v>1356</v>
      </c>
      <c r="J1076" t="s">
        <v>2723</v>
      </c>
      <c r="K1076">
        <v>1405</v>
      </c>
      <c r="L1076">
        <v>2158</v>
      </c>
      <c r="M1076">
        <v>1405</v>
      </c>
      <c r="N1076">
        <v>2158</v>
      </c>
      <c r="O1076" s="24">
        <v>1352</v>
      </c>
      <c r="P1076" s="24">
        <v>2087</v>
      </c>
      <c r="Q1076">
        <v>1334</v>
      </c>
      <c r="R1076">
        <v>2217</v>
      </c>
      <c r="S1076">
        <v>1774</v>
      </c>
      <c r="T1076">
        <v>2774</v>
      </c>
      <c r="U1076">
        <v>1851</v>
      </c>
      <c r="V1076">
        <v>2971</v>
      </c>
      <c r="W1076">
        <v>2319</v>
      </c>
      <c r="X1076">
        <v>4159</v>
      </c>
    </row>
    <row r="1077" spans="2:24" x14ac:dyDescent="0.35">
      <c r="B1077" s="46" t="s">
        <v>1364</v>
      </c>
      <c r="D1077" t="s">
        <v>1338</v>
      </c>
      <c r="E1077" t="s">
        <v>1339</v>
      </c>
      <c r="F1077" s="46" t="s">
        <v>1364</v>
      </c>
      <c r="G1077" t="s">
        <v>231</v>
      </c>
      <c r="H1077" s="47" t="s">
        <v>393</v>
      </c>
      <c r="I1077" s="47" t="s">
        <v>1342</v>
      </c>
      <c r="J1077" t="s">
        <v>463</v>
      </c>
      <c r="K1077">
        <v>304</v>
      </c>
      <c r="L1077">
        <v>362</v>
      </c>
      <c r="M1077">
        <v>304</v>
      </c>
      <c r="N1077">
        <v>362</v>
      </c>
      <c r="O1077" s="24">
        <v>309</v>
      </c>
      <c r="P1077" s="24">
        <v>361</v>
      </c>
      <c r="Q1077">
        <v>270</v>
      </c>
      <c r="R1077">
        <v>355</v>
      </c>
      <c r="S1077">
        <v>260</v>
      </c>
      <c r="T1077">
        <v>365</v>
      </c>
      <c r="U1077">
        <v>239</v>
      </c>
      <c r="V1077">
        <v>361</v>
      </c>
      <c r="W1077">
        <v>269</v>
      </c>
      <c r="X1077">
        <v>495</v>
      </c>
    </row>
    <row r="1078" spans="2:24" x14ac:dyDescent="0.35">
      <c r="B1078" s="46" t="s">
        <v>1365</v>
      </c>
      <c r="D1078" t="s">
        <v>1338</v>
      </c>
      <c r="E1078" t="s">
        <v>1339</v>
      </c>
      <c r="F1078" s="46" t="s">
        <v>1365</v>
      </c>
      <c r="G1078" t="s">
        <v>283</v>
      </c>
      <c r="H1078" s="47" t="s">
        <v>1366</v>
      </c>
      <c r="I1078" s="47" t="s">
        <v>1367</v>
      </c>
      <c r="J1078" t="s">
        <v>1794</v>
      </c>
      <c r="K1078">
        <v>176</v>
      </c>
      <c r="L1078">
        <v>227</v>
      </c>
      <c r="M1078">
        <v>176</v>
      </c>
      <c r="N1078">
        <v>227</v>
      </c>
      <c r="O1078" s="24">
        <v>179</v>
      </c>
      <c r="P1078" s="24">
        <v>223</v>
      </c>
      <c r="Q1078">
        <v>173</v>
      </c>
      <c r="R1078">
        <v>237</v>
      </c>
      <c r="S1078">
        <v>230</v>
      </c>
      <c r="T1078">
        <v>288</v>
      </c>
      <c r="U1078">
        <v>245</v>
      </c>
      <c r="V1078">
        <v>331</v>
      </c>
      <c r="W1078">
        <v>377</v>
      </c>
      <c r="X1078">
        <v>527</v>
      </c>
    </row>
    <row r="1079" spans="2:24" x14ac:dyDescent="0.35">
      <c r="B1079" s="46" t="s">
        <v>1368</v>
      </c>
      <c r="D1079" t="s">
        <v>1338</v>
      </c>
      <c r="E1079" t="s">
        <v>1339</v>
      </c>
      <c r="F1079" s="46" t="s">
        <v>1368</v>
      </c>
      <c r="G1079" t="s">
        <v>239</v>
      </c>
      <c r="H1079" s="47" t="s">
        <v>450</v>
      </c>
      <c r="I1079" s="47" t="s">
        <v>1369</v>
      </c>
      <c r="J1079" t="s">
        <v>2313</v>
      </c>
      <c r="K1079">
        <v>1997</v>
      </c>
      <c r="L1079">
        <v>3320</v>
      </c>
      <c r="M1079">
        <v>1997</v>
      </c>
      <c r="N1079">
        <v>3320</v>
      </c>
      <c r="O1079" s="24">
        <v>1670</v>
      </c>
      <c r="P1079" s="24">
        <v>3002</v>
      </c>
      <c r="Q1079">
        <v>1886</v>
      </c>
      <c r="R1079">
        <v>3269</v>
      </c>
      <c r="S1079">
        <v>2300</v>
      </c>
      <c r="T1079">
        <v>3833</v>
      </c>
      <c r="U1079">
        <v>2353</v>
      </c>
      <c r="V1079">
        <v>3910</v>
      </c>
      <c r="W1079">
        <v>2514</v>
      </c>
      <c r="X1079">
        <v>5135</v>
      </c>
    </row>
    <row r="1080" spans="2:24" x14ac:dyDescent="0.35">
      <c r="B1080" s="46" t="s">
        <v>1370</v>
      </c>
      <c r="D1080" t="s">
        <v>1338</v>
      </c>
      <c r="E1080" t="s">
        <v>1339</v>
      </c>
      <c r="F1080" s="46" t="s">
        <v>1370</v>
      </c>
      <c r="G1080" t="s">
        <v>279</v>
      </c>
      <c r="H1080" s="47" t="s">
        <v>1347</v>
      </c>
      <c r="I1080" s="47" t="s">
        <v>1348</v>
      </c>
      <c r="J1080" t="s">
        <v>2724</v>
      </c>
      <c r="K1080">
        <v>404</v>
      </c>
      <c r="L1080">
        <v>476</v>
      </c>
      <c r="M1080">
        <v>404</v>
      </c>
      <c r="N1080">
        <v>476</v>
      </c>
      <c r="O1080" s="24">
        <v>428</v>
      </c>
      <c r="P1080" s="24">
        <v>492</v>
      </c>
      <c r="Q1080">
        <v>379</v>
      </c>
      <c r="R1080">
        <v>519</v>
      </c>
      <c r="S1080">
        <v>461</v>
      </c>
      <c r="T1080">
        <v>666</v>
      </c>
      <c r="U1080">
        <v>483</v>
      </c>
      <c r="V1080">
        <v>735</v>
      </c>
      <c r="W1080">
        <v>610</v>
      </c>
      <c r="X1080">
        <v>971</v>
      </c>
    </row>
    <row r="1081" spans="2:24" x14ac:dyDescent="0.35">
      <c r="B1081" s="46" t="s">
        <v>1371</v>
      </c>
      <c r="D1081" t="s">
        <v>1338</v>
      </c>
      <c r="E1081" t="s">
        <v>1339</v>
      </c>
      <c r="F1081" s="46" t="s">
        <v>1371</v>
      </c>
      <c r="G1081" t="s">
        <v>259</v>
      </c>
      <c r="H1081" s="47" t="s">
        <v>477</v>
      </c>
      <c r="I1081" s="47" t="s">
        <v>1345</v>
      </c>
      <c r="J1081" t="s">
        <v>2725</v>
      </c>
      <c r="K1081">
        <v>203</v>
      </c>
      <c r="L1081">
        <v>298</v>
      </c>
      <c r="M1081">
        <v>203</v>
      </c>
      <c r="N1081">
        <v>298</v>
      </c>
      <c r="O1081" s="24">
        <v>198</v>
      </c>
      <c r="P1081" s="24">
        <v>284</v>
      </c>
      <c r="Q1081">
        <v>180</v>
      </c>
      <c r="R1081">
        <v>269</v>
      </c>
      <c r="S1081">
        <v>228</v>
      </c>
      <c r="T1081">
        <v>321</v>
      </c>
      <c r="U1081">
        <v>235</v>
      </c>
      <c r="V1081">
        <v>356</v>
      </c>
      <c r="W1081">
        <v>269</v>
      </c>
      <c r="X1081">
        <v>428</v>
      </c>
    </row>
    <row r="1082" spans="2:24" x14ac:dyDescent="0.35">
      <c r="B1082" s="46" t="s">
        <v>1372</v>
      </c>
      <c r="D1082" t="s">
        <v>1338</v>
      </c>
      <c r="E1082" t="s">
        <v>1339</v>
      </c>
      <c r="F1082" s="46" t="s">
        <v>1372</v>
      </c>
      <c r="G1082" t="s">
        <v>279</v>
      </c>
      <c r="H1082" s="47" t="s">
        <v>1347</v>
      </c>
      <c r="I1082" s="47" t="s">
        <v>1348</v>
      </c>
      <c r="J1082" t="s">
        <v>2726</v>
      </c>
      <c r="K1082">
        <v>3754</v>
      </c>
      <c r="L1082">
        <v>4105</v>
      </c>
      <c r="M1082">
        <v>3754</v>
      </c>
      <c r="N1082">
        <v>4105</v>
      </c>
      <c r="O1082" s="24">
        <v>3704</v>
      </c>
      <c r="P1082" s="24">
        <v>4311</v>
      </c>
      <c r="Q1082">
        <v>3483</v>
      </c>
      <c r="R1082">
        <v>4669</v>
      </c>
      <c r="S1082">
        <v>3843</v>
      </c>
      <c r="T1082">
        <v>5411</v>
      </c>
      <c r="U1082">
        <v>3923</v>
      </c>
      <c r="V1082">
        <v>5562</v>
      </c>
      <c r="W1082">
        <v>3849</v>
      </c>
      <c r="X1082">
        <v>6650</v>
      </c>
    </row>
    <row r="1083" spans="2:24" x14ac:dyDescent="0.35">
      <c r="B1083" s="46" t="s">
        <v>1373</v>
      </c>
      <c r="D1083" t="s">
        <v>1338</v>
      </c>
      <c r="E1083" t="s">
        <v>1339</v>
      </c>
      <c r="F1083" s="46" t="s">
        <v>1373</v>
      </c>
      <c r="G1083" t="s">
        <v>235</v>
      </c>
      <c r="H1083" s="47" t="s">
        <v>419</v>
      </c>
      <c r="I1083" s="47" t="s">
        <v>1340</v>
      </c>
      <c r="J1083" t="s">
        <v>469</v>
      </c>
      <c r="K1083">
        <v>178</v>
      </c>
      <c r="L1083">
        <v>241</v>
      </c>
      <c r="M1083">
        <v>178</v>
      </c>
      <c r="N1083">
        <v>241</v>
      </c>
      <c r="O1083" s="24">
        <v>163</v>
      </c>
      <c r="P1083" s="24">
        <v>217</v>
      </c>
      <c r="Q1083">
        <v>182</v>
      </c>
      <c r="R1083">
        <v>234</v>
      </c>
      <c r="S1083">
        <v>212</v>
      </c>
      <c r="T1083">
        <v>282</v>
      </c>
      <c r="U1083">
        <v>204</v>
      </c>
      <c r="V1083">
        <v>274</v>
      </c>
      <c r="W1083">
        <v>264</v>
      </c>
      <c r="X1083">
        <v>361</v>
      </c>
    </row>
    <row r="1084" spans="2:24" x14ac:dyDescent="0.35">
      <c r="B1084" s="46" t="s">
        <v>1374</v>
      </c>
      <c r="D1084" t="s">
        <v>1338</v>
      </c>
      <c r="E1084" t="s">
        <v>1339</v>
      </c>
      <c r="F1084" s="46" t="s">
        <v>1374</v>
      </c>
      <c r="G1084" t="s">
        <v>239</v>
      </c>
      <c r="H1084" s="47" t="s">
        <v>450</v>
      </c>
      <c r="I1084" s="47" t="s">
        <v>1369</v>
      </c>
      <c r="J1084" t="s">
        <v>329</v>
      </c>
      <c r="K1084">
        <v>4784</v>
      </c>
      <c r="L1084">
        <v>7803</v>
      </c>
      <c r="M1084">
        <v>4784</v>
      </c>
      <c r="N1084">
        <v>7803</v>
      </c>
      <c r="O1084" s="24">
        <v>4133</v>
      </c>
      <c r="P1084" s="24">
        <v>6928</v>
      </c>
      <c r="Q1084">
        <v>4492</v>
      </c>
      <c r="R1084">
        <v>7396</v>
      </c>
      <c r="S1084">
        <v>5269</v>
      </c>
      <c r="T1084">
        <v>8931</v>
      </c>
      <c r="U1084">
        <v>5476</v>
      </c>
      <c r="V1084">
        <v>9017</v>
      </c>
      <c r="W1084">
        <v>6264</v>
      </c>
      <c r="X1084">
        <v>12171</v>
      </c>
    </row>
    <row r="1085" spans="2:24" x14ac:dyDescent="0.35">
      <c r="B1085" s="46" t="s">
        <v>1375</v>
      </c>
      <c r="D1085" t="s">
        <v>1338</v>
      </c>
      <c r="E1085" t="s">
        <v>1339</v>
      </c>
      <c r="F1085" s="46" t="s">
        <v>1375</v>
      </c>
      <c r="G1085" t="s">
        <v>231</v>
      </c>
      <c r="H1085" s="47" t="s">
        <v>393</v>
      </c>
      <c r="I1085" s="47" t="s">
        <v>1342</v>
      </c>
      <c r="J1085" t="s">
        <v>2727</v>
      </c>
      <c r="K1085">
        <v>479</v>
      </c>
      <c r="L1085">
        <v>558</v>
      </c>
      <c r="M1085">
        <v>479</v>
      </c>
      <c r="N1085">
        <v>558</v>
      </c>
      <c r="O1085" s="24">
        <v>480</v>
      </c>
      <c r="P1085" s="24">
        <v>596</v>
      </c>
      <c r="Q1085">
        <v>418</v>
      </c>
      <c r="R1085">
        <v>599</v>
      </c>
      <c r="S1085">
        <v>445</v>
      </c>
      <c r="T1085">
        <v>677</v>
      </c>
      <c r="U1085">
        <v>375</v>
      </c>
      <c r="V1085">
        <v>654</v>
      </c>
      <c r="W1085">
        <v>375</v>
      </c>
      <c r="X1085">
        <v>826</v>
      </c>
    </row>
    <row r="1086" spans="2:24" x14ac:dyDescent="0.35">
      <c r="B1086" s="46" t="s">
        <v>1376</v>
      </c>
      <c r="D1086" t="s">
        <v>1338</v>
      </c>
      <c r="E1086" t="s">
        <v>1339</v>
      </c>
      <c r="F1086" s="46" t="s">
        <v>1376</v>
      </c>
      <c r="G1086" t="s">
        <v>259</v>
      </c>
      <c r="H1086" s="47" t="s">
        <v>477</v>
      </c>
      <c r="I1086" s="47" t="s">
        <v>1345</v>
      </c>
      <c r="J1086" t="s">
        <v>2728</v>
      </c>
      <c r="K1086">
        <v>1206</v>
      </c>
      <c r="L1086">
        <v>1672</v>
      </c>
      <c r="M1086">
        <v>1206</v>
      </c>
      <c r="N1086">
        <v>1672</v>
      </c>
      <c r="O1086" s="24">
        <v>1109</v>
      </c>
      <c r="P1086" s="24">
        <v>1616</v>
      </c>
      <c r="Q1086">
        <v>1003</v>
      </c>
      <c r="R1086">
        <v>1732</v>
      </c>
      <c r="S1086">
        <v>1250</v>
      </c>
      <c r="T1086">
        <v>2057</v>
      </c>
      <c r="U1086">
        <v>1307</v>
      </c>
      <c r="V1086">
        <v>2125</v>
      </c>
      <c r="W1086">
        <v>1682</v>
      </c>
      <c r="X1086">
        <v>2927</v>
      </c>
    </row>
    <row r="1087" spans="2:24" x14ac:dyDescent="0.35">
      <c r="B1087" s="46" t="s">
        <v>1377</v>
      </c>
      <c r="D1087" t="s">
        <v>1338</v>
      </c>
      <c r="E1087" t="s">
        <v>1339</v>
      </c>
      <c r="F1087" s="46" t="s">
        <v>1377</v>
      </c>
      <c r="G1087" t="s">
        <v>259</v>
      </c>
      <c r="H1087" s="47" t="s">
        <v>477</v>
      </c>
      <c r="I1087" s="47" t="s">
        <v>1345</v>
      </c>
      <c r="J1087" t="s">
        <v>2729</v>
      </c>
      <c r="K1087">
        <v>356</v>
      </c>
      <c r="L1087">
        <v>500</v>
      </c>
      <c r="M1087">
        <v>356</v>
      </c>
      <c r="N1087">
        <v>500</v>
      </c>
      <c r="O1087" s="24">
        <v>345</v>
      </c>
      <c r="P1087" s="24">
        <v>474</v>
      </c>
      <c r="Q1087">
        <v>296</v>
      </c>
      <c r="R1087">
        <v>499</v>
      </c>
      <c r="S1087">
        <v>380</v>
      </c>
      <c r="T1087">
        <v>608</v>
      </c>
      <c r="U1087">
        <v>474</v>
      </c>
      <c r="V1087">
        <v>753</v>
      </c>
      <c r="W1087">
        <v>688</v>
      </c>
      <c r="X1087">
        <v>1153</v>
      </c>
    </row>
    <row r="1088" spans="2:24" x14ac:dyDescent="0.35">
      <c r="B1088" s="46" t="s">
        <v>1378</v>
      </c>
      <c r="D1088" t="s">
        <v>1338</v>
      </c>
      <c r="E1088" t="s">
        <v>1339</v>
      </c>
      <c r="F1088" s="46" t="s">
        <v>1378</v>
      </c>
      <c r="G1088" t="s">
        <v>283</v>
      </c>
      <c r="H1088" s="47" t="s">
        <v>1366</v>
      </c>
      <c r="I1088" s="47" t="s">
        <v>1367</v>
      </c>
      <c r="J1088" t="s">
        <v>526</v>
      </c>
      <c r="K1088">
        <v>614</v>
      </c>
      <c r="L1088">
        <v>790</v>
      </c>
      <c r="M1088">
        <v>614</v>
      </c>
      <c r="N1088">
        <v>790</v>
      </c>
      <c r="O1088" s="24">
        <v>547</v>
      </c>
      <c r="P1088" s="24">
        <v>740</v>
      </c>
      <c r="Q1088">
        <v>520</v>
      </c>
      <c r="R1088">
        <v>752</v>
      </c>
      <c r="S1088">
        <v>573</v>
      </c>
      <c r="T1088">
        <v>830</v>
      </c>
      <c r="U1088">
        <v>628</v>
      </c>
      <c r="V1088">
        <v>900</v>
      </c>
      <c r="W1088">
        <v>975</v>
      </c>
      <c r="X1088">
        <v>1458</v>
      </c>
    </row>
    <row r="1089" spans="2:24" x14ac:dyDescent="0.35">
      <c r="B1089" s="46" t="s">
        <v>1379</v>
      </c>
      <c r="D1089" t="s">
        <v>1338</v>
      </c>
      <c r="E1089" t="s">
        <v>1339</v>
      </c>
      <c r="F1089" s="46" t="s">
        <v>1379</v>
      </c>
      <c r="G1089" t="s">
        <v>279</v>
      </c>
      <c r="H1089" s="47" t="s">
        <v>1347</v>
      </c>
      <c r="I1089" s="47" t="s">
        <v>1348</v>
      </c>
      <c r="J1089" t="s">
        <v>899</v>
      </c>
      <c r="K1089">
        <v>324</v>
      </c>
      <c r="L1089">
        <v>392</v>
      </c>
      <c r="M1089">
        <v>324</v>
      </c>
      <c r="N1089">
        <v>392</v>
      </c>
      <c r="O1089" s="24">
        <v>308</v>
      </c>
      <c r="P1089" s="24">
        <v>368</v>
      </c>
      <c r="Q1089">
        <v>292</v>
      </c>
      <c r="R1089">
        <v>393</v>
      </c>
      <c r="S1089">
        <v>292</v>
      </c>
      <c r="T1089">
        <v>421</v>
      </c>
      <c r="U1089">
        <v>299</v>
      </c>
      <c r="V1089">
        <v>444</v>
      </c>
      <c r="W1089">
        <v>383</v>
      </c>
      <c r="X1089">
        <v>560</v>
      </c>
    </row>
    <row r="1090" spans="2:24" x14ac:dyDescent="0.35">
      <c r="B1090" s="46" t="s">
        <v>1380</v>
      </c>
      <c r="D1090" t="s">
        <v>1338</v>
      </c>
      <c r="E1090" t="s">
        <v>1339</v>
      </c>
      <c r="F1090" s="46" t="s">
        <v>1380</v>
      </c>
      <c r="G1090" t="s">
        <v>279</v>
      </c>
      <c r="H1090" s="47" t="s">
        <v>1347</v>
      </c>
      <c r="I1090" s="47" t="s">
        <v>1348</v>
      </c>
      <c r="J1090" t="s">
        <v>347</v>
      </c>
      <c r="K1090">
        <v>697</v>
      </c>
      <c r="L1090">
        <v>769</v>
      </c>
      <c r="M1090">
        <v>697</v>
      </c>
      <c r="N1090">
        <v>769</v>
      </c>
      <c r="O1090" s="24">
        <v>682</v>
      </c>
      <c r="P1090" s="24">
        <v>737</v>
      </c>
      <c r="Q1090">
        <v>617</v>
      </c>
      <c r="R1090">
        <v>818</v>
      </c>
      <c r="S1090">
        <v>735</v>
      </c>
      <c r="T1090">
        <v>973</v>
      </c>
      <c r="U1090">
        <v>728</v>
      </c>
      <c r="V1090">
        <v>1028</v>
      </c>
      <c r="W1090">
        <v>1006</v>
      </c>
      <c r="X1090">
        <v>1499</v>
      </c>
    </row>
    <row r="1091" spans="2:24" x14ac:dyDescent="0.35">
      <c r="B1091" s="46" t="s">
        <v>1381</v>
      </c>
      <c r="D1091" t="s">
        <v>1338</v>
      </c>
      <c r="E1091" t="s">
        <v>1339</v>
      </c>
      <c r="F1091" s="46" t="s">
        <v>1381</v>
      </c>
      <c r="G1091" t="s">
        <v>231</v>
      </c>
      <c r="H1091" s="47" t="s">
        <v>393</v>
      </c>
      <c r="I1091" s="47" t="s">
        <v>1342</v>
      </c>
      <c r="J1091" t="s">
        <v>2730</v>
      </c>
      <c r="K1091">
        <v>237</v>
      </c>
      <c r="L1091">
        <v>297</v>
      </c>
      <c r="M1091">
        <v>237</v>
      </c>
      <c r="N1091">
        <v>297</v>
      </c>
      <c r="O1091" s="24">
        <v>177</v>
      </c>
      <c r="P1091" s="24">
        <v>254</v>
      </c>
      <c r="Q1091">
        <v>164</v>
      </c>
      <c r="R1091">
        <v>265</v>
      </c>
      <c r="S1091">
        <v>196</v>
      </c>
      <c r="T1091">
        <v>330</v>
      </c>
      <c r="U1091">
        <v>198</v>
      </c>
      <c r="V1091">
        <v>330</v>
      </c>
      <c r="W1091">
        <v>254</v>
      </c>
      <c r="X1091">
        <v>499</v>
      </c>
    </row>
    <row r="1092" spans="2:24" x14ac:dyDescent="0.35">
      <c r="B1092" s="46" t="s">
        <v>1382</v>
      </c>
      <c r="D1092" t="s">
        <v>1338</v>
      </c>
      <c r="E1092" t="s">
        <v>1339</v>
      </c>
      <c r="F1092" s="46" t="s">
        <v>1382</v>
      </c>
      <c r="G1092" t="s">
        <v>231</v>
      </c>
      <c r="H1092" s="47" t="s">
        <v>393</v>
      </c>
      <c r="I1092" s="47" t="s">
        <v>1342</v>
      </c>
      <c r="J1092" t="s">
        <v>2731</v>
      </c>
      <c r="K1092">
        <v>288</v>
      </c>
      <c r="L1092">
        <v>323</v>
      </c>
      <c r="M1092">
        <v>288</v>
      </c>
      <c r="N1092">
        <v>323</v>
      </c>
      <c r="O1092" s="24">
        <v>257</v>
      </c>
      <c r="P1092" s="24">
        <v>316</v>
      </c>
      <c r="Q1092">
        <v>233</v>
      </c>
      <c r="R1092">
        <v>329</v>
      </c>
      <c r="S1092">
        <v>256</v>
      </c>
      <c r="T1092">
        <v>392</v>
      </c>
      <c r="U1092">
        <v>283</v>
      </c>
      <c r="V1092">
        <v>409</v>
      </c>
      <c r="W1092">
        <v>257</v>
      </c>
      <c r="X1092">
        <v>440</v>
      </c>
    </row>
    <row r="1093" spans="2:24" x14ac:dyDescent="0.35">
      <c r="B1093" s="46" t="s">
        <v>1383</v>
      </c>
      <c r="D1093" t="s">
        <v>1338</v>
      </c>
      <c r="E1093" t="s">
        <v>1339</v>
      </c>
      <c r="F1093" s="46" t="s">
        <v>1383</v>
      </c>
      <c r="G1093" t="s">
        <v>283</v>
      </c>
      <c r="H1093" s="47" t="s">
        <v>1366</v>
      </c>
      <c r="I1093" s="47" t="s">
        <v>1367</v>
      </c>
      <c r="J1093" t="s">
        <v>2732</v>
      </c>
      <c r="K1093">
        <v>397</v>
      </c>
      <c r="L1093">
        <v>543</v>
      </c>
      <c r="M1093">
        <v>397</v>
      </c>
      <c r="N1093">
        <v>543</v>
      </c>
      <c r="O1093" s="24">
        <v>367</v>
      </c>
      <c r="P1093" s="24">
        <v>494</v>
      </c>
      <c r="Q1093">
        <v>314</v>
      </c>
      <c r="R1093">
        <v>523</v>
      </c>
      <c r="S1093">
        <v>395</v>
      </c>
      <c r="T1093">
        <v>631</v>
      </c>
      <c r="U1093">
        <v>384</v>
      </c>
      <c r="V1093">
        <v>618</v>
      </c>
      <c r="W1093">
        <v>651</v>
      </c>
      <c r="X1093">
        <v>1030</v>
      </c>
    </row>
    <row r="1094" spans="2:24" x14ac:dyDescent="0.35">
      <c r="B1094" s="46" t="s">
        <v>1384</v>
      </c>
      <c r="D1094" t="s">
        <v>1338</v>
      </c>
      <c r="E1094" t="s">
        <v>1339</v>
      </c>
      <c r="F1094" s="46" t="s">
        <v>1384</v>
      </c>
      <c r="G1094" t="s">
        <v>279</v>
      </c>
      <c r="H1094" s="47" t="s">
        <v>1347</v>
      </c>
      <c r="I1094" s="47" t="s">
        <v>1348</v>
      </c>
      <c r="J1094" t="s">
        <v>828</v>
      </c>
      <c r="K1094">
        <v>708</v>
      </c>
      <c r="L1094">
        <v>784</v>
      </c>
      <c r="M1094">
        <v>708</v>
      </c>
      <c r="N1094">
        <v>784</v>
      </c>
      <c r="O1094" s="24">
        <v>647</v>
      </c>
      <c r="P1094" s="24">
        <v>689</v>
      </c>
      <c r="Q1094">
        <v>714</v>
      </c>
      <c r="R1094">
        <v>792</v>
      </c>
      <c r="S1094">
        <v>817</v>
      </c>
      <c r="T1094">
        <v>986</v>
      </c>
      <c r="U1094">
        <v>716</v>
      </c>
      <c r="V1094">
        <v>963</v>
      </c>
      <c r="W1094">
        <v>976</v>
      </c>
      <c r="X1094">
        <v>1378</v>
      </c>
    </row>
    <row r="1095" spans="2:24" x14ac:dyDescent="0.35">
      <c r="B1095" s="46" t="s">
        <v>1385</v>
      </c>
      <c r="D1095" t="s">
        <v>1338</v>
      </c>
      <c r="E1095" t="s">
        <v>1339</v>
      </c>
      <c r="F1095" s="46" t="s">
        <v>1385</v>
      </c>
      <c r="G1095" t="s">
        <v>289</v>
      </c>
      <c r="H1095" s="47" t="s">
        <v>1355</v>
      </c>
      <c r="I1095" s="47" t="s">
        <v>1356</v>
      </c>
      <c r="J1095" t="s">
        <v>2733</v>
      </c>
      <c r="K1095">
        <v>503</v>
      </c>
      <c r="L1095">
        <v>683</v>
      </c>
      <c r="M1095">
        <v>503</v>
      </c>
      <c r="N1095">
        <v>683</v>
      </c>
      <c r="O1095" s="24">
        <v>499</v>
      </c>
      <c r="P1095" s="24">
        <v>680</v>
      </c>
      <c r="Q1095">
        <v>534</v>
      </c>
      <c r="R1095">
        <v>755</v>
      </c>
      <c r="S1095">
        <v>737</v>
      </c>
      <c r="T1095">
        <v>976</v>
      </c>
      <c r="U1095">
        <v>935</v>
      </c>
      <c r="V1095">
        <v>1208</v>
      </c>
      <c r="W1095">
        <v>1468</v>
      </c>
      <c r="X1095">
        <v>2149</v>
      </c>
    </row>
    <row r="1096" spans="2:24" x14ac:dyDescent="0.35">
      <c r="B1096" s="46" t="s">
        <v>1386</v>
      </c>
      <c r="D1096" t="s">
        <v>1338</v>
      </c>
      <c r="E1096" t="s">
        <v>1339</v>
      </c>
      <c r="F1096" s="46" t="s">
        <v>1386</v>
      </c>
      <c r="G1096" t="s">
        <v>265</v>
      </c>
      <c r="H1096" s="47" t="s">
        <v>501</v>
      </c>
      <c r="I1096" s="47" t="s">
        <v>1387</v>
      </c>
      <c r="J1096" t="s">
        <v>355</v>
      </c>
      <c r="K1096">
        <v>3049</v>
      </c>
      <c r="L1096">
        <v>3898</v>
      </c>
      <c r="M1096">
        <v>3049</v>
      </c>
      <c r="N1096">
        <v>3898</v>
      </c>
      <c r="O1096" s="24">
        <v>2768</v>
      </c>
      <c r="P1096" s="24">
        <v>3591</v>
      </c>
      <c r="Q1096">
        <v>2823</v>
      </c>
      <c r="R1096">
        <v>3860</v>
      </c>
      <c r="S1096">
        <v>3099</v>
      </c>
      <c r="T1096">
        <v>4400</v>
      </c>
      <c r="U1096">
        <v>3093</v>
      </c>
      <c r="V1096">
        <v>4641</v>
      </c>
      <c r="W1096">
        <v>3549</v>
      </c>
      <c r="X1096">
        <v>6210</v>
      </c>
    </row>
    <row r="1097" spans="2:24" x14ac:dyDescent="0.35">
      <c r="B1097" s="46" t="s">
        <v>1388</v>
      </c>
      <c r="D1097" t="s">
        <v>1338</v>
      </c>
      <c r="E1097" t="s">
        <v>1339</v>
      </c>
      <c r="F1097" s="46" t="s">
        <v>1388</v>
      </c>
      <c r="G1097" t="s">
        <v>259</v>
      </c>
      <c r="H1097" s="47" t="s">
        <v>477</v>
      </c>
      <c r="I1097" s="47" t="s">
        <v>1345</v>
      </c>
      <c r="J1097" t="s">
        <v>2734</v>
      </c>
      <c r="K1097">
        <v>477</v>
      </c>
      <c r="L1097">
        <v>658</v>
      </c>
      <c r="M1097">
        <v>477</v>
      </c>
      <c r="N1097">
        <v>658</v>
      </c>
      <c r="O1097" s="24">
        <v>460</v>
      </c>
      <c r="P1097" s="24">
        <v>640</v>
      </c>
      <c r="Q1097">
        <v>481</v>
      </c>
      <c r="R1097">
        <v>681</v>
      </c>
      <c r="S1097">
        <v>632</v>
      </c>
      <c r="T1097">
        <v>875</v>
      </c>
      <c r="U1097">
        <v>659</v>
      </c>
      <c r="V1097">
        <v>957</v>
      </c>
      <c r="W1097">
        <v>779</v>
      </c>
      <c r="X1097">
        <v>1214</v>
      </c>
    </row>
    <row r="1098" spans="2:24" x14ac:dyDescent="0.35">
      <c r="B1098" s="46" t="s">
        <v>1389</v>
      </c>
      <c r="D1098" t="s">
        <v>1338</v>
      </c>
      <c r="E1098" t="s">
        <v>1339</v>
      </c>
      <c r="F1098" s="46" t="s">
        <v>1389</v>
      </c>
      <c r="G1098" t="s">
        <v>231</v>
      </c>
      <c r="H1098" s="47" t="s">
        <v>393</v>
      </c>
      <c r="I1098" s="47" t="s">
        <v>1342</v>
      </c>
      <c r="J1098" t="s">
        <v>2735</v>
      </c>
      <c r="K1098">
        <v>312</v>
      </c>
      <c r="L1098">
        <v>340</v>
      </c>
      <c r="M1098">
        <v>312</v>
      </c>
      <c r="N1098">
        <v>340</v>
      </c>
      <c r="O1098" s="24">
        <v>291</v>
      </c>
      <c r="P1098" s="24">
        <v>329</v>
      </c>
      <c r="Q1098">
        <v>298</v>
      </c>
      <c r="R1098">
        <v>338</v>
      </c>
      <c r="S1098">
        <v>322</v>
      </c>
      <c r="T1098">
        <v>382</v>
      </c>
      <c r="U1098">
        <v>319</v>
      </c>
      <c r="V1098">
        <v>379</v>
      </c>
      <c r="W1098">
        <v>344</v>
      </c>
      <c r="X1098">
        <v>499</v>
      </c>
    </row>
    <row r="1099" spans="2:24" x14ac:dyDescent="0.35">
      <c r="B1099" s="46" t="s">
        <v>1390</v>
      </c>
      <c r="D1099" t="s">
        <v>1338</v>
      </c>
      <c r="E1099" t="s">
        <v>1339</v>
      </c>
      <c r="F1099" s="46" t="s">
        <v>1390</v>
      </c>
      <c r="G1099" t="s">
        <v>279</v>
      </c>
      <c r="H1099" s="47" t="s">
        <v>1347</v>
      </c>
      <c r="I1099" s="47" t="s">
        <v>1348</v>
      </c>
      <c r="J1099" t="s">
        <v>305</v>
      </c>
      <c r="K1099">
        <v>11214</v>
      </c>
      <c r="L1099">
        <v>12685</v>
      </c>
      <c r="M1099">
        <v>11214</v>
      </c>
      <c r="N1099">
        <v>12685</v>
      </c>
      <c r="O1099" s="24">
        <v>10795</v>
      </c>
      <c r="P1099" s="24">
        <v>12899</v>
      </c>
      <c r="Q1099">
        <v>10003</v>
      </c>
      <c r="R1099">
        <v>13735</v>
      </c>
      <c r="S1099">
        <v>11059</v>
      </c>
      <c r="T1099">
        <v>15752</v>
      </c>
      <c r="U1099">
        <v>10949</v>
      </c>
      <c r="V1099">
        <v>15871</v>
      </c>
      <c r="W1099">
        <v>9902</v>
      </c>
      <c r="X1099">
        <v>20789</v>
      </c>
    </row>
    <row r="1100" spans="2:24" x14ac:dyDescent="0.35">
      <c r="B1100" s="46" t="s">
        <v>1391</v>
      </c>
      <c r="D1100" t="s">
        <v>1338</v>
      </c>
      <c r="E1100" t="s">
        <v>1339</v>
      </c>
      <c r="F1100" s="46" t="s">
        <v>1391</v>
      </c>
      <c r="G1100" t="s">
        <v>231</v>
      </c>
      <c r="H1100" s="47" t="s">
        <v>393</v>
      </c>
      <c r="I1100" s="47" t="s">
        <v>1342</v>
      </c>
      <c r="J1100" t="s">
        <v>1835</v>
      </c>
      <c r="K1100">
        <v>198</v>
      </c>
      <c r="L1100">
        <v>242</v>
      </c>
      <c r="M1100">
        <v>198</v>
      </c>
      <c r="N1100">
        <v>242</v>
      </c>
      <c r="O1100" s="24">
        <v>126</v>
      </c>
      <c r="P1100" s="24">
        <v>195</v>
      </c>
      <c r="Q1100">
        <v>142</v>
      </c>
      <c r="R1100">
        <v>229</v>
      </c>
      <c r="S1100">
        <v>160</v>
      </c>
      <c r="T1100">
        <v>267</v>
      </c>
      <c r="U1100">
        <v>159</v>
      </c>
      <c r="V1100">
        <v>276</v>
      </c>
      <c r="W1100">
        <v>198</v>
      </c>
      <c r="X1100">
        <v>389</v>
      </c>
    </row>
    <row r="1101" spans="2:24" x14ac:dyDescent="0.35">
      <c r="B1101" s="46" t="s">
        <v>1392</v>
      </c>
      <c r="D1101" t="s">
        <v>1338</v>
      </c>
      <c r="E1101" t="s">
        <v>1339</v>
      </c>
      <c r="F1101" s="46" t="s">
        <v>1392</v>
      </c>
      <c r="G1101" t="s">
        <v>231</v>
      </c>
      <c r="H1101" s="47" t="s">
        <v>393</v>
      </c>
      <c r="I1101" s="47" t="s">
        <v>1342</v>
      </c>
      <c r="J1101" t="s">
        <v>1250</v>
      </c>
      <c r="K1101">
        <v>261</v>
      </c>
      <c r="L1101">
        <v>306</v>
      </c>
      <c r="M1101">
        <v>261</v>
      </c>
      <c r="N1101">
        <v>306</v>
      </c>
      <c r="O1101" s="24">
        <v>251</v>
      </c>
      <c r="P1101" s="24">
        <v>292</v>
      </c>
      <c r="Q1101">
        <v>241</v>
      </c>
      <c r="R1101">
        <v>295</v>
      </c>
      <c r="S1101">
        <v>280</v>
      </c>
      <c r="T1101">
        <v>345</v>
      </c>
      <c r="U1101">
        <v>255</v>
      </c>
      <c r="V1101">
        <v>332</v>
      </c>
      <c r="W1101">
        <v>277</v>
      </c>
      <c r="X1101">
        <v>438</v>
      </c>
    </row>
    <row r="1102" spans="2:24" x14ac:dyDescent="0.35">
      <c r="B1102" s="46" t="s">
        <v>1393</v>
      </c>
      <c r="D1102" t="s">
        <v>1338</v>
      </c>
      <c r="E1102" t="s">
        <v>1339</v>
      </c>
      <c r="F1102" s="46" t="s">
        <v>1393</v>
      </c>
      <c r="G1102" t="s">
        <v>255</v>
      </c>
      <c r="H1102" s="47" t="s">
        <v>467</v>
      </c>
      <c r="I1102" s="47" t="s">
        <v>1352</v>
      </c>
      <c r="J1102" t="s">
        <v>269</v>
      </c>
      <c r="K1102">
        <v>595</v>
      </c>
      <c r="L1102">
        <v>712</v>
      </c>
      <c r="M1102">
        <v>595</v>
      </c>
      <c r="N1102">
        <v>712</v>
      </c>
      <c r="O1102" s="24">
        <v>574</v>
      </c>
      <c r="P1102" s="24">
        <v>711</v>
      </c>
      <c r="Q1102">
        <v>481</v>
      </c>
      <c r="R1102">
        <v>763</v>
      </c>
      <c r="S1102">
        <v>560</v>
      </c>
      <c r="T1102">
        <v>875</v>
      </c>
      <c r="U1102">
        <v>484</v>
      </c>
      <c r="V1102">
        <v>829</v>
      </c>
      <c r="W1102">
        <v>516</v>
      </c>
      <c r="X1102">
        <v>1127</v>
      </c>
    </row>
    <row r="1103" spans="2:24" x14ac:dyDescent="0.35">
      <c r="B1103" s="46" t="s">
        <v>1394</v>
      </c>
      <c r="D1103" t="s">
        <v>1338</v>
      </c>
      <c r="E1103" t="s">
        <v>1339</v>
      </c>
      <c r="F1103" s="46" t="s">
        <v>1394</v>
      </c>
      <c r="G1103" t="s">
        <v>279</v>
      </c>
      <c r="H1103" s="47" t="s">
        <v>1347</v>
      </c>
      <c r="I1103" s="47" t="s">
        <v>1348</v>
      </c>
      <c r="J1103" t="s">
        <v>2736</v>
      </c>
      <c r="K1103">
        <v>406</v>
      </c>
      <c r="L1103">
        <v>463</v>
      </c>
      <c r="M1103">
        <v>406</v>
      </c>
      <c r="N1103">
        <v>463</v>
      </c>
      <c r="O1103" s="24">
        <v>365</v>
      </c>
      <c r="P1103" s="24">
        <v>404</v>
      </c>
      <c r="Q1103">
        <v>339</v>
      </c>
      <c r="R1103">
        <v>450</v>
      </c>
      <c r="S1103">
        <v>350</v>
      </c>
      <c r="T1103">
        <v>481</v>
      </c>
      <c r="U1103">
        <v>363</v>
      </c>
      <c r="V1103">
        <v>502</v>
      </c>
      <c r="W1103">
        <v>409</v>
      </c>
      <c r="X1103">
        <v>625</v>
      </c>
    </row>
    <row r="1104" spans="2:24" x14ac:dyDescent="0.35">
      <c r="B1104" s="46" t="s">
        <v>1395</v>
      </c>
      <c r="D1104" t="s">
        <v>1338</v>
      </c>
      <c r="E1104" t="s">
        <v>1339</v>
      </c>
      <c r="F1104" s="46" t="s">
        <v>1395</v>
      </c>
      <c r="G1104" t="s">
        <v>231</v>
      </c>
      <c r="H1104" s="47" t="s">
        <v>393</v>
      </c>
      <c r="I1104" s="47" t="s">
        <v>1342</v>
      </c>
      <c r="J1104" t="s">
        <v>2737</v>
      </c>
      <c r="K1104">
        <v>168</v>
      </c>
      <c r="L1104">
        <v>201</v>
      </c>
      <c r="M1104">
        <v>168</v>
      </c>
      <c r="N1104">
        <v>201</v>
      </c>
      <c r="O1104" s="24">
        <v>148</v>
      </c>
      <c r="P1104" s="24">
        <v>184</v>
      </c>
      <c r="Q1104">
        <v>134</v>
      </c>
      <c r="R1104">
        <v>178</v>
      </c>
      <c r="S1104">
        <v>132</v>
      </c>
      <c r="T1104">
        <v>183</v>
      </c>
      <c r="U1104">
        <v>126</v>
      </c>
      <c r="V1104">
        <v>204</v>
      </c>
      <c r="W1104">
        <v>123</v>
      </c>
      <c r="X1104">
        <v>225</v>
      </c>
    </row>
    <row r="1105" spans="2:24" x14ac:dyDescent="0.35">
      <c r="B1105" s="46" t="s">
        <v>1396</v>
      </c>
      <c r="D1105" t="s">
        <v>1338</v>
      </c>
      <c r="E1105" t="s">
        <v>1339</v>
      </c>
      <c r="F1105" s="46" t="s">
        <v>1396</v>
      </c>
      <c r="G1105" t="s">
        <v>259</v>
      </c>
      <c r="H1105" s="47" t="s">
        <v>477</v>
      </c>
      <c r="I1105" s="47" t="s">
        <v>1345</v>
      </c>
      <c r="J1105" t="s">
        <v>520</v>
      </c>
      <c r="K1105">
        <v>255</v>
      </c>
      <c r="L1105">
        <v>350</v>
      </c>
      <c r="M1105">
        <v>255</v>
      </c>
      <c r="N1105">
        <v>350</v>
      </c>
      <c r="O1105" s="24">
        <v>193</v>
      </c>
      <c r="P1105" s="24">
        <v>279</v>
      </c>
      <c r="Q1105">
        <v>185</v>
      </c>
      <c r="R1105">
        <v>323</v>
      </c>
      <c r="S1105">
        <v>220</v>
      </c>
      <c r="T1105">
        <v>364</v>
      </c>
      <c r="U1105">
        <v>220</v>
      </c>
      <c r="V1105">
        <v>375</v>
      </c>
      <c r="W1105">
        <v>272</v>
      </c>
      <c r="X1105">
        <v>497</v>
      </c>
    </row>
    <row r="1106" spans="2:24" x14ac:dyDescent="0.35">
      <c r="B1106" s="46" t="s">
        <v>1397</v>
      </c>
      <c r="D1106" t="s">
        <v>1338</v>
      </c>
      <c r="E1106" t="s">
        <v>1339</v>
      </c>
      <c r="F1106" s="46" t="s">
        <v>1397</v>
      </c>
      <c r="G1106" t="s">
        <v>283</v>
      </c>
      <c r="H1106" s="47" t="s">
        <v>1366</v>
      </c>
      <c r="I1106" s="47" t="s">
        <v>1367</v>
      </c>
      <c r="J1106" t="s">
        <v>2738</v>
      </c>
      <c r="K1106">
        <v>1172</v>
      </c>
      <c r="L1106">
        <v>1592</v>
      </c>
      <c r="M1106">
        <v>1172</v>
      </c>
      <c r="N1106">
        <v>1592</v>
      </c>
      <c r="O1106" s="24">
        <v>1097</v>
      </c>
      <c r="P1106" s="24">
        <v>1555</v>
      </c>
      <c r="Q1106">
        <v>948</v>
      </c>
      <c r="R1106">
        <v>1643</v>
      </c>
      <c r="S1106">
        <v>1116</v>
      </c>
      <c r="T1106">
        <v>1783</v>
      </c>
      <c r="U1106">
        <v>1114</v>
      </c>
      <c r="V1106">
        <v>1809</v>
      </c>
      <c r="W1106">
        <v>1507</v>
      </c>
      <c r="X1106">
        <v>2424</v>
      </c>
    </row>
    <row r="1107" spans="2:24" x14ac:dyDescent="0.35">
      <c r="B1107" s="46" t="s">
        <v>1398</v>
      </c>
      <c r="D1107" t="s">
        <v>1338</v>
      </c>
      <c r="E1107" t="s">
        <v>1339</v>
      </c>
      <c r="F1107" s="46" t="s">
        <v>1398</v>
      </c>
      <c r="G1107" t="s">
        <v>283</v>
      </c>
      <c r="H1107" s="47" t="s">
        <v>1366</v>
      </c>
      <c r="I1107" s="47" t="s">
        <v>1367</v>
      </c>
      <c r="J1107" t="s">
        <v>2739</v>
      </c>
      <c r="K1107">
        <v>181</v>
      </c>
      <c r="L1107">
        <v>265</v>
      </c>
      <c r="M1107">
        <v>181</v>
      </c>
      <c r="N1107">
        <v>265</v>
      </c>
      <c r="O1107" s="24">
        <v>197</v>
      </c>
      <c r="P1107" s="24">
        <v>268</v>
      </c>
      <c r="Q1107">
        <v>190</v>
      </c>
      <c r="R1107">
        <v>280</v>
      </c>
      <c r="S1107">
        <v>188</v>
      </c>
      <c r="T1107">
        <v>292</v>
      </c>
      <c r="U1107">
        <v>231</v>
      </c>
      <c r="V1107">
        <v>324</v>
      </c>
      <c r="W1107">
        <v>387</v>
      </c>
      <c r="X1107">
        <v>567</v>
      </c>
    </row>
    <row r="1108" spans="2:24" x14ac:dyDescent="0.35">
      <c r="B1108" s="46" t="s">
        <v>1399</v>
      </c>
      <c r="D1108" t="s">
        <v>1338</v>
      </c>
      <c r="E1108" t="s">
        <v>1339</v>
      </c>
      <c r="F1108" s="46" t="s">
        <v>1399</v>
      </c>
      <c r="G1108" t="s">
        <v>239</v>
      </c>
      <c r="H1108" s="47" t="s">
        <v>450</v>
      </c>
      <c r="I1108" s="47" t="s">
        <v>1369</v>
      </c>
      <c r="J1108" t="s">
        <v>357</v>
      </c>
      <c r="K1108">
        <v>12582</v>
      </c>
      <c r="L1108">
        <v>22193</v>
      </c>
      <c r="M1108">
        <v>12582</v>
      </c>
      <c r="N1108">
        <v>22193</v>
      </c>
      <c r="O1108" s="24">
        <v>10259</v>
      </c>
      <c r="P1108" s="24">
        <v>19116</v>
      </c>
      <c r="Q1108">
        <v>10862</v>
      </c>
      <c r="R1108">
        <v>20347</v>
      </c>
      <c r="S1108">
        <v>13588</v>
      </c>
      <c r="T1108">
        <v>24621</v>
      </c>
      <c r="U1108">
        <v>16185</v>
      </c>
      <c r="V1108">
        <v>26938</v>
      </c>
      <c r="W1108">
        <v>21804</v>
      </c>
      <c r="X1108">
        <v>44881</v>
      </c>
    </row>
    <row r="1109" spans="2:24" x14ac:dyDescent="0.35">
      <c r="B1109" s="46" t="s">
        <v>1400</v>
      </c>
      <c r="D1109" t="s">
        <v>1338</v>
      </c>
      <c r="E1109" t="s">
        <v>1339</v>
      </c>
      <c r="F1109" s="46" t="s">
        <v>1400</v>
      </c>
      <c r="G1109" t="s">
        <v>273</v>
      </c>
      <c r="H1109" s="47" t="s">
        <v>524</v>
      </c>
      <c r="I1109" s="47" t="s">
        <v>1350</v>
      </c>
      <c r="J1109" t="s">
        <v>837</v>
      </c>
      <c r="K1109">
        <v>3002</v>
      </c>
      <c r="L1109">
        <v>3464</v>
      </c>
      <c r="M1109">
        <v>3002</v>
      </c>
      <c r="N1109">
        <v>3464</v>
      </c>
      <c r="O1109" s="24">
        <v>2975</v>
      </c>
      <c r="P1109" s="24">
        <v>3509</v>
      </c>
      <c r="Q1109">
        <v>2520</v>
      </c>
      <c r="R1109">
        <v>3800</v>
      </c>
      <c r="S1109">
        <v>2897</v>
      </c>
      <c r="T1109">
        <v>4396</v>
      </c>
      <c r="U1109">
        <v>3104</v>
      </c>
      <c r="V1109">
        <v>4678</v>
      </c>
      <c r="W1109">
        <v>4548</v>
      </c>
      <c r="X1109">
        <v>7256</v>
      </c>
    </row>
    <row r="1110" spans="2:24" x14ac:dyDescent="0.35">
      <c r="B1110" s="46" t="s">
        <v>1401</v>
      </c>
      <c r="D1110" t="s">
        <v>1338</v>
      </c>
      <c r="E1110" t="s">
        <v>1339</v>
      </c>
      <c r="F1110" s="46" t="s">
        <v>1401</v>
      </c>
      <c r="G1110" t="s">
        <v>265</v>
      </c>
      <c r="H1110" s="47" t="s">
        <v>501</v>
      </c>
      <c r="I1110" s="47" t="s">
        <v>1387</v>
      </c>
      <c r="J1110" t="s">
        <v>247</v>
      </c>
      <c r="K1110">
        <v>5824</v>
      </c>
      <c r="L1110">
        <v>7979</v>
      </c>
      <c r="M1110">
        <v>5824</v>
      </c>
      <c r="N1110">
        <v>7979</v>
      </c>
      <c r="O1110" s="24">
        <v>5092</v>
      </c>
      <c r="P1110" s="24">
        <v>7026</v>
      </c>
      <c r="Q1110">
        <v>5215</v>
      </c>
      <c r="R1110">
        <v>7357</v>
      </c>
      <c r="S1110">
        <v>5764</v>
      </c>
      <c r="T1110">
        <v>8444</v>
      </c>
      <c r="U1110">
        <v>5681</v>
      </c>
      <c r="V1110">
        <v>8591</v>
      </c>
      <c r="W1110">
        <v>6281</v>
      </c>
      <c r="X1110">
        <v>11072</v>
      </c>
    </row>
    <row r="1111" spans="2:24" x14ac:dyDescent="0.35">
      <c r="B1111" s="46" t="s">
        <v>1402</v>
      </c>
      <c r="D1111" t="s">
        <v>1338</v>
      </c>
      <c r="E1111" t="s">
        <v>1339</v>
      </c>
      <c r="F1111" s="46" t="s">
        <v>1402</v>
      </c>
      <c r="G1111" t="s">
        <v>255</v>
      </c>
      <c r="H1111" s="47" t="s">
        <v>467</v>
      </c>
      <c r="I1111" s="47" t="s">
        <v>1352</v>
      </c>
      <c r="J1111" t="s">
        <v>535</v>
      </c>
      <c r="K1111">
        <v>1067</v>
      </c>
      <c r="L1111">
        <v>1227</v>
      </c>
      <c r="M1111">
        <v>1067</v>
      </c>
      <c r="N1111">
        <v>1227</v>
      </c>
      <c r="O1111" s="24">
        <v>986</v>
      </c>
      <c r="P1111" s="24">
        <v>1223</v>
      </c>
      <c r="Q1111">
        <v>908</v>
      </c>
      <c r="R1111">
        <v>1337</v>
      </c>
      <c r="S1111">
        <v>1026</v>
      </c>
      <c r="T1111">
        <v>1614</v>
      </c>
      <c r="U1111">
        <v>1057</v>
      </c>
      <c r="V1111">
        <v>1738</v>
      </c>
      <c r="W1111">
        <v>1304</v>
      </c>
      <c r="X1111">
        <v>2469</v>
      </c>
    </row>
    <row r="1112" spans="2:24" x14ac:dyDescent="0.35">
      <c r="B1112" s="46" t="s">
        <v>1403</v>
      </c>
      <c r="D1112" t="s">
        <v>1338</v>
      </c>
      <c r="E1112" t="s">
        <v>1339</v>
      </c>
      <c r="F1112" s="46" t="s">
        <v>1403</v>
      </c>
      <c r="G1112" t="s">
        <v>235</v>
      </c>
      <c r="H1112" s="47" t="s">
        <v>419</v>
      </c>
      <c r="I1112" s="47" t="s">
        <v>1340</v>
      </c>
      <c r="J1112" t="s">
        <v>1819</v>
      </c>
      <c r="K1112">
        <v>162</v>
      </c>
      <c r="L1112">
        <v>214</v>
      </c>
      <c r="M1112">
        <v>162</v>
      </c>
      <c r="N1112">
        <v>214</v>
      </c>
      <c r="O1112" s="24">
        <v>164</v>
      </c>
      <c r="P1112" s="24">
        <v>211</v>
      </c>
      <c r="Q1112">
        <v>127</v>
      </c>
      <c r="R1112">
        <v>201</v>
      </c>
      <c r="S1112">
        <v>144</v>
      </c>
      <c r="T1112">
        <v>214</v>
      </c>
      <c r="U1112">
        <v>141</v>
      </c>
      <c r="V1112">
        <v>207</v>
      </c>
      <c r="W1112">
        <v>146</v>
      </c>
      <c r="X1112">
        <v>237</v>
      </c>
    </row>
    <row r="1113" spans="2:24" x14ac:dyDescent="0.35">
      <c r="B1113" s="46" t="s">
        <v>1404</v>
      </c>
      <c r="D1113" t="s">
        <v>1338</v>
      </c>
      <c r="E1113" t="s">
        <v>1339</v>
      </c>
      <c r="F1113" s="46" t="s">
        <v>1404</v>
      </c>
      <c r="G1113" t="s">
        <v>279</v>
      </c>
      <c r="H1113" s="47" t="s">
        <v>1347</v>
      </c>
      <c r="I1113" s="47" t="s">
        <v>1348</v>
      </c>
      <c r="J1113" t="s">
        <v>2740</v>
      </c>
      <c r="K1113">
        <v>1698</v>
      </c>
      <c r="L1113">
        <v>1891</v>
      </c>
      <c r="M1113">
        <v>1698</v>
      </c>
      <c r="N1113">
        <v>1891</v>
      </c>
      <c r="O1113" s="24">
        <v>1811</v>
      </c>
      <c r="P1113" s="24">
        <v>1965</v>
      </c>
      <c r="Q1113">
        <v>1879</v>
      </c>
      <c r="R1113">
        <v>2211</v>
      </c>
      <c r="S1113">
        <v>2092</v>
      </c>
      <c r="T1113">
        <v>2508</v>
      </c>
      <c r="U1113">
        <v>2045</v>
      </c>
      <c r="V1113">
        <v>2437</v>
      </c>
      <c r="W1113">
        <v>2321</v>
      </c>
      <c r="X1113">
        <v>3076</v>
      </c>
    </row>
    <row r="1114" spans="2:24" x14ac:dyDescent="0.35">
      <c r="B1114" s="46" t="s">
        <v>1405</v>
      </c>
      <c r="D1114" t="s">
        <v>1338</v>
      </c>
      <c r="E1114" t="s">
        <v>1339</v>
      </c>
      <c r="F1114" s="46" t="s">
        <v>1405</v>
      </c>
      <c r="G1114" t="s">
        <v>255</v>
      </c>
      <c r="H1114" s="47" t="s">
        <v>467</v>
      </c>
      <c r="I1114" s="47" t="s">
        <v>1352</v>
      </c>
      <c r="J1114" t="s">
        <v>504</v>
      </c>
      <c r="K1114">
        <v>1056</v>
      </c>
      <c r="L1114">
        <v>1171</v>
      </c>
      <c r="M1114">
        <v>1056</v>
      </c>
      <c r="N1114">
        <v>1171</v>
      </c>
      <c r="O1114" s="24">
        <v>1001</v>
      </c>
      <c r="P1114" s="24">
        <v>1142</v>
      </c>
      <c r="Q1114">
        <v>891</v>
      </c>
      <c r="R1114">
        <v>1189</v>
      </c>
      <c r="S1114">
        <v>883</v>
      </c>
      <c r="T1114">
        <v>1288</v>
      </c>
      <c r="U1114">
        <v>839</v>
      </c>
      <c r="V1114">
        <v>1322</v>
      </c>
      <c r="W1114">
        <v>929</v>
      </c>
      <c r="X1114">
        <v>1748</v>
      </c>
    </row>
    <row r="1115" spans="2:24" x14ac:dyDescent="0.35">
      <c r="B1115" s="46" t="s">
        <v>1406</v>
      </c>
      <c r="D1115" t="s">
        <v>1338</v>
      </c>
      <c r="E1115" t="s">
        <v>1339</v>
      </c>
      <c r="F1115" s="46" t="s">
        <v>1406</v>
      </c>
      <c r="G1115" t="s">
        <v>279</v>
      </c>
      <c r="H1115" s="47" t="s">
        <v>1347</v>
      </c>
      <c r="I1115" s="47" t="s">
        <v>1348</v>
      </c>
      <c r="J1115" t="s">
        <v>261</v>
      </c>
      <c r="K1115">
        <v>1294</v>
      </c>
      <c r="L1115">
        <v>1460</v>
      </c>
      <c r="M1115">
        <v>1294</v>
      </c>
      <c r="N1115">
        <v>1460</v>
      </c>
      <c r="O1115" s="24">
        <v>1216</v>
      </c>
      <c r="P1115" s="24">
        <v>1436</v>
      </c>
      <c r="Q1115">
        <v>1114</v>
      </c>
      <c r="R1115">
        <v>1529</v>
      </c>
      <c r="S1115">
        <v>1359</v>
      </c>
      <c r="T1115">
        <v>1840</v>
      </c>
      <c r="U1115">
        <v>1376</v>
      </c>
      <c r="V1115">
        <v>1906</v>
      </c>
      <c r="W1115">
        <v>1286</v>
      </c>
      <c r="X1115">
        <v>2549</v>
      </c>
    </row>
    <row r="1116" spans="2:24" x14ac:dyDescent="0.35">
      <c r="B1116" s="46" t="s">
        <v>1407</v>
      </c>
      <c r="D1116" t="s">
        <v>1338</v>
      </c>
      <c r="E1116" t="s">
        <v>1339</v>
      </c>
      <c r="F1116" s="46" t="s">
        <v>1407</v>
      </c>
      <c r="G1116" t="s">
        <v>235</v>
      </c>
      <c r="H1116" s="47" t="s">
        <v>419</v>
      </c>
      <c r="I1116" s="47" t="s">
        <v>1340</v>
      </c>
      <c r="J1116" t="s">
        <v>1927</v>
      </c>
      <c r="K1116">
        <v>227</v>
      </c>
      <c r="L1116">
        <v>309</v>
      </c>
      <c r="M1116">
        <v>227</v>
      </c>
      <c r="N1116">
        <v>309</v>
      </c>
      <c r="O1116" s="24">
        <v>205</v>
      </c>
      <c r="P1116" s="24">
        <v>279</v>
      </c>
      <c r="Q1116">
        <v>193</v>
      </c>
      <c r="R1116">
        <v>266</v>
      </c>
      <c r="S1116">
        <v>211</v>
      </c>
      <c r="T1116">
        <v>298</v>
      </c>
      <c r="U1116">
        <v>210</v>
      </c>
      <c r="V1116">
        <v>314</v>
      </c>
      <c r="W1116">
        <v>268</v>
      </c>
      <c r="X1116">
        <v>392</v>
      </c>
    </row>
    <row r="1117" spans="2:24" x14ac:dyDescent="0.35">
      <c r="B1117" s="46" t="s">
        <v>1408</v>
      </c>
      <c r="D1117" t="s">
        <v>1338</v>
      </c>
      <c r="E1117" t="s">
        <v>1339</v>
      </c>
      <c r="F1117" s="46" t="s">
        <v>1408</v>
      </c>
      <c r="G1117" t="s">
        <v>265</v>
      </c>
      <c r="H1117" s="47" t="s">
        <v>501</v>
      </c>
      <c r="I1117" s="47" t="s">
        <v>1387</v>
      </c>
      <c r="J1117" t="s">
        <v>494</v>
      </c>
      <c r="K1117">
        <v>1170</v>
      </c>
      <c r="L1117">
        <v>1673</v>
      </c>
      <c r="M1117">
        <v>1170</v>
      </c>
      <c r="N1117">
        <v>1673</v>
      </c>
      <c r="O1117" s="24">
        <v>1066</v>
      </c>
      <c r="P1117" s="24">
        <v>1531</v>
      </c>
      <c r="Q1117">
        <v>1045</v>
      </c>
      <c r="R1117">
        <v>1610</v>
      </c>
      <c r="S1117">
        <v>1300</v>
      </c>
      <c r="T1117">
        <v>2029</v>
      </c>
      <c r="U1117">
        <v>1281</v>
      </c>
      <c r="V1117">
        <v>2110</v>
      </c>
      <c r="W1117">
        <v>1593</v>
      </c>
      <c r="X1117">
        <v>3059</v>
      </c>
    </row>
    <row r="1118" spans="2:24" x14ac:dyDescent="0.35">
      <c r="B1118" s="46" t="s">
        <v>1409</v>
      </c>
      <c r="D1118" t="s">
        <v>1338</v>
      </c>
      <c r="E1118" t="s">
        <v>1339</v>
      </c>
      <c r="F1118" s="46" t="s">
        <v>1409</v>
      </c>
      <c r="G1118" t="s">
        <v>235</v>
      </c>
      <c r="H1118" s="47" t="s">
        <v>419</v>
      </c>
      <c r="I1118" s="47" t="s">
        <v>1340</v>
      </c>
      <c r="J1118" t="s">
        <v>2741</v>
      </c>
      <c r="K1118">
        <v>257</v>
      </c>
      <c r="L1118">
        <v>396</v>
      </c>
      <c r="M1118">
        <v>257</v>
      </c>
      <c r="N1118">
        <v>396</v>
      </c>
      <c r="O1118" s="24">
        <v>245</v>
      </c>
      <c r="P1118" s="24">
        <v>372</v>
      </c>
      <c r="Q1118">
        <v>167</v>
      </c>
      <c r="R1118">
        <v>362</v>
      </c>
      <c r="S1118">
        <v>203</v>
      </c>
      <c r="T1118">
        <v>381</v>
      </c>
      <c r="U1118">
        <v>231</v>
      </c>
      <c r="V1118">
        <v>380</v>
      </c>
      <c r="W1118">
        <v>290</v>
      </c>
      <c r="X1118">
        <v>473</v>
      </c>
    </row>
    <row r="1119" spans="2:24" x14ac:dyDescent="0.35">
      <c r="B1119" s="46" t="s">
        <v>1410</v>
      </c>
      <c r="D1119" t="s">
        <v>1338</v>
      </c>
      <c r="E1119" t="s">
        <v>1339</v>
      </c>
      <c r="F1119" s="46" t="s">
        <v>1410</v>
      </c>
      <c r="G1119" t="s">
        <v>231</v>
      </c>
      <c r="H1119" s="47" t="s">
        <v>393</v>
      </c>
      <c r="I1119" s="47" t="s">
        <v>1342</v>
      </c>
      <c r="J1119" t="s">
        <v>2742</v>
      </c>
      <c r="K1119">
        <v>330</v>
      </c>
      <c r="L1119">
        <v>400</v>
      </c>
      <c r="M1119">
        <v>330</v>
      </c>
      <c r="N1119">
        <v>400</v>
      </c>
      <c r="O1119" s="24">
        <v>250</v>
      </c>
      <c r="P1119" s="24">
        <v>399</v>
      </c>
      <c r="Q1119">
        <v>236</v>
      </c>
      <c r="R1119">
        <v>421</v>
      </c>
      <c r="S1119">
        <v>254</v>
      </c>
      <c r="T1119">
        <v>516</v>
      </c>
      <c r="U1119">
        <v>227</v>
      </c>
      <c r="V1119">
        <v>509</v>
      </c>
      <c r="W1119">
        <v>252</v>
      </c>
      <c r="X1119">
        <v>618</v>
      </c>
    </row>
    <row r="1120" spans="2:24" x14ac:dyDescent="0.35">
      <c r="B1120" s="46" t="s">
        <v>1411</v>
      </c>
      <c r="D1120" t="s">
        <v>1338</v>
      </c>
      <c r="E1120" t="s">
        <v>1339</v>
      </c>
      <c r="F1120" s="46" t="s">
        <v>1411</v>
      </c>
      <c r="G1120" t="s">
        <v>273</v>
      </c>
      <c r="H1120" s="47" t="s">
        <v>524</v>
      </c>
      <c r="I1120" s="47" t="s">
        <v>1350</v>
      </c>
      <c r="J1120" t="s">
        <v>2743</v>
      </c>
      <c r="K1120">
        <v>574</v>
      </c>
      <c r="L1120">
        <v>670</v>
      </c>
      <c r="M1120">
        <v>574</v>
      </c>
      <c r="N1120">
        <v>670</v>
      </c>
      <c r="O1120" s="24">
        <v>551</v>
      </c>
      <c r="P1120" s="24">
        <v>633</v>
      </c>
      <c r="Q1120">
        <v>530</v>
      </c>
      <c r="R1120">
        <v>782</v>
      </c>
      <c r="S1120">
        <v>581</v>
      </c>
      <c r="T1120">
        <v>863</v>
      </c>
      <c r="U1120">
        <v>710</v>
      </c>
      <c r="V1120">
        <v>1016</v>
      </c>
      <c r="W1120">
        <v>1242</v>
      </c>
      <c r="X1120">
        <v>1855</v>
      </c>
    </row>
    <row r="1121" spans="2:24" x14ac:dyDescent="0.35">
      <c r="B1121" s="46" t="s">
        <v>1412</v>
      </c>
      <c r="D1121" t="s">
        <v>1338</v>
      </c>
      <c r="E1121" t="s">
        <v>1339</v>
      </c>
      <c r="F1121" s="46" t="s">
        <v>1412</v>
      </c>
      <c r="G1121" t="s">
        <v>235</v>
      </c>
      <c r="H1121" s="47" t="s">
        <v>419</v>
      </c>
      <c r="I1121" s="47" t="s">
        <v>1340</v>
      </c>
      <c r="J1121" t="s">
        <v>361</v>
      </c>
      <c r="K1121">
        <v>332</v>
      </c>
      <c r="L1121">
        <v>466</v>
      </c>
      <c r="M1121">
        <v>332</v>
      </c>
      <c r="N1121">
        <v>466</v>
      </c>
      <c r="O1121" s="24">
        <v>347</v>
      </c>
      <c r="P1121" s="24">
        <v>461</v>
      </c>
      <c r="Q1121">
        <v>278</v>
      </c>
      <c r="R1121">
        <v>468</v>
      </c>
      <c r="S1121">
        <v>320</v>
      </c>
      <c r="T1121">
        <v>482</v>
      </c>
      <c r="U1121">
        <v>337</v>
      </c>
      <c r="V1121">
        <v>538</v>
      </c>
      <c r="W1121">
        <v>439</v>
      </c>
      <c r="X1121">
        <v>694</v>
      </c>
    </row>
    <row r="1122" spans="2:24" x14ac:dyDescent="0.35">
      <c r="B1122" s="46" t="s">
        <v>1413</v>
      </c>
      <c r="D1122" t="s">
        <v>1338</v>
      </c>
      <c r="E1122" t="s">
        <v>1339</v>
      </c>
      <c r="F1122" s="46" t="s">
        <v>1413</v>
      </c>
      <c r="G1122" t="s">
        <v>289</v>
      </c>
      <c r="H1122" s="47" t="s">
        <v>1355</v>
      </c>
      <c r="I1122" s="47" t="s">
        <v>1356</v>
      </c>
      <c r="J1122" t="s">
        <v>287</v>
      </c>
      <c r="K1122">
        <v>244</v>
      </c>
      <c r="L1122">
        <v>330</v>
      </c>
      <c r="M1122">
        <v>244</v>
      </c>
      <c r="N1122">
        <v>330</v>
      </c>
      <c r="O1122" s="24">
        <v>239</v>
      </c>
      <c r="P1122" s="24">
        <v>333</v>
      </c>
      <c r="Q1122">
        <v>201</v>
      </c>
      <c r="R1122">
        <v>323</v>
      </c>
      <c r="S1122">
        <v>253</v>
      </c>
      <c r="T1122">
        <v>372</v>
      </c>
      <c r="U1122">
        <v>258</v>
      </c>
      <c r="V1122">
        <v>383</v>
      </c>
      <c r="W1122">
        <v>353</v>
      </c>
      <c r="X1122">
        <v>605</v>
      </c>
    </row>
    <row r="1123" spans="2:24" x14ac:dyDescent="0.35">
      <c r="B1123" s="46" t="s">
        <v>1414</v>
      </c>
      <c r="D1123" t="s">
        <v>1338</v>
      </c>
      <c r="E1123" t="s">
        <v>1339</v>
      </c>
      <c r="F1123" s="46" t="s">
        <v>1414</v>
      </c>
      <c r="G1123" t="s">
        <v>259</v>
      </c>
      <c r="H1123" s="47" t="s">
        <v>477</v>
      </c>
      <c r="I1123" s="47" t="s">
        <v>1345</v>
      </c>
      <c r="J1123" t="s">
        <v>2744</v>
      </c>
      <c r="K1123">
        <v>189</v>
      </c>
      <c r="L1123">
        <v>266</v>
      </c>
      <c r="M1123">
        <v>189</v>
      </c>
      <c r="N1123">
        <v>266</v>
      </c>
      <c r="O1123" s="24">
        <v>199</v>
      </c>
      <c r="P1123" s="24">
        <v>258</v>
      </c>
      <c r="Q1123">
        <v>329</v>
      </c>
      <c r="R1123">
        <v>410</v>
      </c>
      <c r="S1123">
        <v>416</v>
      </c>
      <c r="T1123">
        <v>498</v>
      </c>
      <c r="U1123">
        <v>485</v>
      </c>
      <c r="V1123">
        <v>614</v>
      </c>
      <c r="W1123">
        <v>552</v>
      </c>
      <c r="X1123">
        <v>750</v>
      </c>
    </row>
    <row r="1124" spans="2:24" x14ac:dyDescent="0.35">
      <c r="B1124" s="46" t="s">
        <v>1415</v>
      </c>
      <c r="D1124" t="s">
        <v>1338</v>
      </c>
      <c r="E1124" t="s">
        <v>1339</v>
      </c>
      <c r="F1124" s="46" t="s">
        <v>1415</v>
      </c>
      <c r="G1124" t="s">
        <v>235</v>
      </c>
      <c r="H1124" s="47" t="s">
        <v>419</v>
      </c>
      <c r="I1124" s="47" t="s">
        <v>1340</v>
      </c>
      <c r="J1124" t="s">
        <v>365</v>
      </c>
      <c r="K1124">
        <v>589</v>
      </c>
      <c r="L1124">
        <v>809</v>
      </c>
      <c r="M1124">
        <v>589</v>
      </c>
      <c r="N1124">
        <v>809</v>
      </c>
      <c r="O1124" s="24">
        <v>520</v>
      </c>
      <c r="P1124" s="24">
        <v>751</v>
      </c>
      <c r="Q1124">
        <v>543</v>
      </c>
      <c r="R1124">
        <v>831</v>
      </c>
      <c r="S1124">
        <v>617</v>
      </c>
      <c r="T1124">
        <v>947</v>
      </c>
      <c r="U1124">
        <v>673</v>
      </c>
      <c r="V1124">
        <v>1022</v>
      </c>
      <c r="W1124">
        <v>970</v>
      </c>
      <c r="X1124">
        <v>1440</v>
      </c>
    </row>
    <row r="1125" spans="2:24" x14ac:dyDescent="0.35">
      <c r="B1125" s="46" t="s">
        <v>1416</v>
      </c>
      <c r="D1125" t="s">
        <v>1338</v>
      </c>
      <c r="E1125" t="s">
        <v>1339</v>
      </c>
      <c r="F1125" s="46" t="s">
        <v>1416</v>
      </c>
      <c r="G1125" t="s">
        <v>231</v>
      </c>
      <c r="H1125" s="47" t="s">
        <v>393</v>
      </c>
      <c r="I1125" s="47" t="s">
        <v>1342</v>
      </c>
      <c r="J1125" t="s">
        <v>2745</v>
      </c>
      <c r="K1125">
        <v>98</v>
      </c>
      <c r="L1125">
        <v>106</v>
      </c>
      <c r="M1125">
        <v>98</v>
      </c>
      <c r="N1125">
        <v>106</v>
      </c>
      <c r="O1125" s="24">
        <v>77</v>
      </c>
      <c r="P1125" s="24">
        <v>97</v>
      </c>
      <c r="Q1125">
        <v>76</v>
      </c>
      <c r="R1125">
        <v>102</v>
      </c>
      <c r="S1125">
        <v>90</v>
      </c>
      <c r="T1125">
        <v>126</v>
      </c>
      <c r="U1125">
        <v>86</v>
      </c>
      <c r="V1125">
        <v>125</v>
      </c>
      <c r="W1125">
        <v>83</v>
      </c>
      <c r="X1125">
        <v>146</v>
      </c>
    </row>
    <row r="1126" spans="2:24" x14ac:dyDescent="0.35">
      <c r="B1126" s="46" t="s">
        <v>1417</v>
      </c>
      <c r="D1126" t="s">
        <v>1338</v>
      </c>
      <c r="E1126" t="s">
        <v>1339</v>
      </c>
      <c r="F1126" s="46" t="s">
        <v>1417</v>
      </c>
      <c r="G1126" t="s">
        <v>259</v>
      </c>
      <c r="H1126" s="47" t="s">
        <v>477</v>
      </c>
      <c r="I1126" s="47" t="s">
        <v>1345</v>
      </c>
      <c r="J1126" t="s">
        <v>516</v>
      </c>
      <c r="K1126">
        <v>734</v>
      </c>
      <c r="L1126">
        <v>1003</v>
      </c>
      <c r="M1126">
        <v>734</v>
      </c>
      <c r="N1126">
        <v>1003</v>
      </c>
      <c r="O1126" s="24">
        <v>736</v>
      </c>
      <c r="P1126" s="24">
        <v>1000</v>
      </c>
      <c r="Q1126">
        <v>578</v>
      </c>
      <c r="R1126">
        <v>973</v>
      </c>
      <c r="S1126">
        <v>688</v>
      </c>
      <c r="T1126">
        <v>1134</v>
      </c>
      <c r="U1126">
        <v>708</v>
      </c>
      <c r="V1126">
        <v>1213</v>
      </c>
      <c r="W1126">
        <v>894</v>
      </c>
      <c r="X1126">
        <v>1630</v>
      </c>
    </row>
    <row r="1127" spans="2:24" x14ac:dyDescent="0.35">
      <c r="B1127" s="46" t="s">
        <v>1418</v>
      </c>
      <c r="D1127" t="s">
        <v>1338</v>
      </c>
      <c r="E1127" t="s">
        <v>1339</v>
      </c>
      <c r="F1127" s="46" t="s">
        <v>1418</v>
      </c>
      <c r="G1127" t="s">
        <v>289</v>
      </c>
      <c r="H1127" s="47" t="s">
        <v>1355</v>
      </c>
      <c r="I1127" s="47" t="s">
        <v>1356</v>
      </c>
      <c r="J1127" t="s">
        <v>438</v>
      </c>
      <c r="K1127">
        <v>187</v>
      </c>
      <c r="L1127">
        <v>271</v>
      </c>
      <c r="M1127">
        <v>187</v>
      </c>
      <c r="N1127">
        <v>271</v>
      </c>
      <c r="O1127" s="24">
        <v>183</v>
      </c>
      <c r="P1127" s="24">
        <v>252</v>
      </c>
      <c r="Q1127">
        <v>165</v>
      </c>
      <c r="R1127">
        <v>242</v>
      </c>
      <c r="S1127">
        <v>252</v>
      </c>
      <c r="T1127">
        <v>341</v>
      </c>
      <c r="U1127">
        <v>343</v>
      </c>
      <c r="V1127">
        <v>463</v>
      </c>
      <c r="W1127">
        <v>564</v>
      </c>
      <c r="X1127">
        <v>897</v>
      </c>
    </row>
    <row r="1128" spans="2:24" x14ac:dyDescent="0.35">
      <c r="B1128" s="46" t="s">
        <v>1419</v>
      </c>
      <c r="D1128" t="s">
        <v>1338</v>
      </c>
      <c r="E1128" t="s">
        <v>1339</v>
      </c>
      <c r="F1128" s="46" t="s">
        <v>1419</v>
      </c>
      <c r="G1128" t="s">
        <v>259</v>
      </c>
      <c r="H1128" s="47" t="s">
        <v>477</v>
      </c>
      <c r="I1128" s="47" t="s">
        <v>1345</v>
      </c>
      <c r="J1128" t="s">
        <v>2746</v>
      </c>
      <c r="K1128">
        <v>279</v>
      </c>
      <c r="L1128">
        <v>380</v>
      </c>
      <c r="M1128">
        <v>279</v>
      </c>
      <c r="N1128">
        <v>380</v>
      </c>
      <c r="O1128" s="24">
        <v>269</v>
      </c>
      <c r="P1128" s="24">
        <v>360</v>
      </c>
      <c r="Q1128">
        <v>249</v>
      </c>
      <c r="R1128">
        <v>388</v>
      </c>
      <c r="S1128">
        <v>275</v>
      </c>
      <c r="T1128">
        <v>475</v>
      </c>
      <c r="U1128">
        <v>296</v>
      </c>
      <c r="V1128">
        <v>561</v>
      </c>
      <c r="W1128">
        <v>324</v>
      </c>
      <c r="X1128">
        <v>662</v>
      </c>
    </row>
    <row r="1129" spans="2:24" x14ac:dyDescent="0.35">
      <c r="B1129" s="46" t="s">
        <v>1420</v>
      </c>
      <c r="D1129" t="s">
        <v>1338</v>
      </c>
      <c r="E1129" t="s">
        <v>1339</v>
      </c>
      <c r="F1129" s="46" t="s">
        <v>1420</v>
      </c>
      <c r="G1129" t="s">
        <v>259</v>
      </c>
      <c r="H1129" s="47" t="s">
        <v>477</v>
      </c>
      <c r="I1129" s="47" t="s">
        <v>1345</v>
      </c>
      <c r="J1129" t="s">
        <v>369</v>
      </c>
      <c r="K1129">
        <v>283</v>
      </c>
      <c r="L1129">
        <v>362</v>
      </c>
      <c r="M1129">
        <v>283</v>
      </c>
      <c r="N1129">
        <v>362</v>
      </c>
      <c r="O1129" s="24">
        <v>244</v>
      </c>
      <c r="P1129" s="24">
        <v>343</v>
      </c>
      <c r="Q1129">
        <v>244</v>
      </c>
      <c r="R1129">
        <v>351</v>
      </c>
      <c r="S1129">
        <v>282</v>
      </c>
      <c r="T1129">
        <v>412</v>
      </c>
      <c r="U1129">
        <v>303</v>
      </c>
      <c r="V1129">
        <v>478</v>
      </c>
      <c r="W1129">
        <v>367</v>
      </c>
      <c r="X1129">
        <v>627</v>
      </c>
    </row>
    <row r="1130" spans="2:24" x14ac:dyDescent="0.35">
      <c r="B1130" s="46" t="s">
        <v>1421</v>
      </c>
      <c r="D1130" t="s">
        <v>1338</v>
      </c>
      <c r="E1130" t="s">
        <v>1339</v>
      </c>
      <c r="F1130" s="46" t="s">
        <v>1421</v>
      </c>
      <c r="G1130" t="s">
        <v>259</v>
      </c>
      <c r="H1130" s="47" t="s">
        <v>477</v>
      </c>
      <c r="I1130" s="47" t="s">
        <v>1345</v>
      </c>
      <c r="J1130" t="s">
        <v>301</v>
      </c>
      <c r="K1130">
        <v>293</v>
      </c>
      <c r="L1130">
        <v>406</v>
      </c>
      <c r="M1130">
        <v>293</v>
      </c>
      <c r="N1130">
        <v>406</v>
      </c>
      <c r="O1130" s="24">
        <v>281</v>
      </c>
      <c r="P1130" s="24">
        <v>392</v>
      </c>
      <c r="Q1130">
        <v>275</v>
      </c>
      <c r="R1130">
        <v>406</v>
      </c>
      <c r="S1130">
        <v>333</v>
      </c>
      <c r="T1130">
        <v>467</v>
      </c>
      <c r="U1130">
        <v>324</v>
      </c>
      <c r="V1130">
        <v>474</v>
      </c>
      <c r="W1130">
        <v>358</v>
      </c>
      <c r="X1130">
        <v>601</v>
      </c>
    </row>
    <row r="1131" spans="2:24" x14ac:dyDescent="0.35">
      <c r="B1131" s="46" t="s">
        <v>1422</v>
      </c>
      <c r="D1131" t="s">
        <v>1338</v>
      </c>
      <c r="E1131" t="s">
        <v>1339</v>
      </c>
      <c r="F1131" s="46" t="s">
        <v>1422</v>
      </c>
      <c r="G1131" t="s">
        <v>259</v>
      </c>
      <c r="H1131" s="47" t="s">
        <v>477</v>
      </c>
      <c r="I1131" s="47" t="s">
        <v>1345</v>
      </c>
      <c r="J1131" t="s">
        <v>263</v>
      </c>
      <c r="K1131">
        <v>567</v>
      </c>
      <c r="L1131">
        <v>805</v>
      </c>
      <c r="M1131">
        <v>567</v>
      </c>
      <c r="N1131">
        <v>805</v>
      </c>
      <c r="O1131" s="24">
        <v>511</v>
      </c>
      <c r="P1131" s="24">
        <v>736</v>
      </c>
      <c r="Q1131">
        <v>449</v>
      </c>
      <c r="R1131">
        <v>784</v>
      </c>
      <c r="S1131">
        <v>564</v>
      </c>
      <c r="T1131">
        <v>945</v>
      </c>
      <c r="U1131">
        <v>587</v>
      </c>
      <c r="V1131">
        <v>923</v>
      </c>
      <c r="W1131">
        <v>698</v>
      </c>
      <c r="X1131">
        <v>1218</v>
      </c>
    </row>
    <row r="1132" spans="2:24" x14ac:dyDescent="0.35">
      <c r="B1132" s="46" t="s">
        <v>1423</v>
      </c>
      <c r="D1132" t="s">
        <v>1338</v>
      </c>
      <c r="E1132" t="s">
        <v>1339</v>
      </c>
      <c r="F1132" s="46" t="s">
        <v>1423</v>
      </c>
      <c r="G1132" t="s">
        <v>289</v>
      </c>
      <c r="H1132" s="47" t="s">
        <v>1355</v>
      </c>
      <c r="I1132" s="47" t="s">
        <v>1356</v>
      </c>
      <c r="J1132" t="s">
        <v>2747</v>
      </c>
      <c r="K1132">
        <v>329</v>
      </c>
      <c r="L1132">
        <v>449</v>
      </c>
      <c r="M1132">
        <v>329</v>
      </c>
      <c r="N1132">
        <v>449</v>
      </c>
      <c r="O1132" s="24">
        <v>279</v>
      </c>
      <c r="P1132" s="24">
        <v>394</v>
      </c>
      <c r="Q1132">
        <v>315</v>
      </c>
      <c r="R1132">
        <v>470</v>
      </c>
      <c r="S1132">
        <v>413</v>
      </c>
      <c r="T1132">
        <v>563</v>
      </c>
      <c r="U1132">
        <v>537</v>
      </c>
      <c r="V1132">
        <v>751</v>
      </c>
      <c r="W1132">
        <v>806</v>
      </c>
      <c r="X1132">
        <v>1310</v>
      </c>
    </row>
    <row r="1133" spans="2:24" x14ac:dyDescent="0.35">
      <c r="B1133" s="46" t="s">
        <v>1424</v>
      </c>
      <c r="D1133" t="s">
        <v>1338</v>
      </c>
      <c r="E1133" t="s">
        <v>1339</v>
      </c>
      <c r="F1133" s="46" t="s">
        <v>1424</v>
      </c>
      <c r="G1133" t="s">
        <v>273</v>
      </c>
      <c r="H1133" s="47" t="s">
        <v>524</v>
      </c>
      <c r="I1133" s="47" t="s">
        <v>1350</v>
      </c>
      <c r="J1133" t="s">
        <v>461</v>
      </c>
      <c r="K1133">
        <v>1798</v>
      </c>
      <c r="L1133">
        <v>2075</v>
      </c>
      <c r="M1133">
        <v>1798</v>
      </c>
      <c r="N1133">
        <v>2075</v>
      </c>
      <c r="O1133" s="24">
        <v>1764</v>
      </c>
      <c r="P1133" s="24">
        <v>2038</v>
      </c>
      <c r="Q1133">
        <v>1496</v>
      </c>
      <c r="R1133">
        <v>2148</v>
      </c>
      <c r="S1133">
        <v>1608</v>
      </c>
      <c r="T1133">
        <v>2385</v>
      </c>
      <c r="U1133">
        <v>1658</v>
      </c>
      <c r="V1133">
        <v>2514</v>
      </c>
      <c r="W1133">
        <v>2168</v>
      </c>
      <c r="X1133">
        <v>3446</v>
      </c>
    </row>
    <row r="1134" spans="2:24" x14ac:dyDescent="0.35">
      <c r="B1134" s="46" t="s">
        <v>1425</v>
      </c>
      <c r="D1134" t="s">
        <v>1338</v>
      </c>
      <c r="E1134" t="s">
        <v>1339</v>
      </c>
      <c r="F1134" s="46" t="s">
        <v>1425</v>
      </c>
      <c r="G1134" t="s">
        <v>231</v>
      </c>
      <c r="H1134" s="47" t="s">
        <v>393</v>
      </c>
      <c r="I1134" s="47" t="s">
        <v>1342</v>
      </c>
      <c r="J1134" t="s">
        <v>2748</v>
      </c>
      <c r="K1134">
        <v>600</v>
      </c>
      <c r="L1134">
        <v>695</v>
      </c>
      <c r="M1134">
        <v>600</v>
      </c>
      <c r="N1134">
        <v>695</v>
      </c>
      <c r="O1134" s="24">
        <v>558</v>
      </c>
      <c r="P1134" s="24">
        <v>658</v>
      </c>
      <c r="Q1134">
        <v>526</v>
      </c>
      <c r="R1134">
        <v>663</v>
      </c>
      <c r="S1134">
        <v>508</v>
      </c>
      <c r="T1134">
        <v>692</v>
      </c>
      <c r="U1134">
        <v>475</v>
      </c>
      <c r="V1134">
        <v>698</v>
      </c>
      <c r="W1134">
        <v>509</v>
      </c>
      <c r="X1134">
        <v>906</v>
      </c>
    </row>
    <row r="1135" spans="2:24" x14ac:dyDescent="0.35">
      <c r="B1135" s="46" t="s">
        <v>1426</v>
      </c>
      <c r="D1135" t="s">
        <v>1338</v>
      </c>
      <c r="E1135" t="s">
        <v>1339</v>
      </c>
      <c r="F1135" s="46" t="s">
        <v>1426</v>
      </c>
      <c r="G1135" t="s">
        <v>283</v>
      </c>
      <c r="H1135" s="47" t="s">
        <v>1366</v>
      </c>
      <c r="I1135" s="47" t="s">
        <v>1367</v>
      </c>
      <c r="J1135" t="s">
        <v>2749</v>
      </c>
      <c r="K1135">
        <v>294</v>
      </c>
      <c r="L1135">
        <v>403</v>
      </c>
      <c r="M1135">
        <v>294</v>
      </c>
      <c r="N1135">
        <v>403</v>
      </c>
      <c r="O1135" s="24">
        <v>303</v>
      </c>
      <c r="P1135" s="24">
        <v>404</v>
      </c>
      <c r="Q1135">
        <v>293</v>
      </c>
      <c r="R1135">
        <v>425</v>
      </c>
      <c r="S1135">
        <v>323</v>
      </c>
      <c r="T1135">
        <v>457</v>
      </c>
      <c r="U1135">
        <v>331</v>
      </c>
      <c r="V1135">
        <v>440</v>
      </c>
      <c r="W1135">
        <v>423</v>
      </c>
      <c r="X1135">
        <v>625</v>
      </c>
    </row>
    <row r="1136" spans="2:24" x14ac:dyDescent="0.35">
      <c r="B1136" s="46" t="s">
        <v>1428</v>
      </c>
      <c r="D1136" t="s">
        <v>1338</v>
      </c>
      <c r="E1136" t="s">
        <v>1339</v>
      </c>
      <c r="F1136" s="46" t="s">
        <v>1428</v>
      </c>
      <c r="G1136" t="s">
        <v>259</v>
      </c>
      <c r="H1136" s="47" t="s">
        <v>477</v>
      </c>
      <c r="I1136" s="47" t="s">
        <v>1345</v>
      </c>
      <c r="J1136" t="s">
        <v>2750</v>
      </c>
      <c r="K1136">
        <v>291</v>
      </c>
      <c r="L1136">
        <v>369</v>
      </c>
      <c r="M1136">
        <v>291</v>
      </c>
      <c r="N1136">
        <v>369</v>
      </c>
      <c r="O1136" s="24">
        <v>257</v>
      </c>
      <c r="P1136" s="24">
        <v>333</v>
      </c>
      <c r="Q1136">
        <v>206</v>
      </c>
      <c r="R1136">
        <v>317</v>
      </c>
      <c r="S1136">
        <v>268</v>
      </c>
      <c r="T1136">
        <v>431</v>
      </c>
      <c r="U1136">
        <v>291</v>
      </c>
      <c r="V1136">
        <v>472</v>
      </c>
      <c r="W1136">
        <v>351</v>
      </c>
      <c r="X1136">
        <v>591</v>
      </c>
    </row>
    <row r="1137" spans="2:24" x14ac:dyDescent="0.35">
      <c r="B1137" s="46" t="s">
        <v>1429</v>
      </c>
      <c r="D1137" t="s">
        <v>1338</v>
      </c>
      <c r="E1137" t="s">
        <v>1339</v>
      </c>
      <c r="F1137" s="46" t="s">
        <v>1429</v>
      </c>
      <c r="G1137" t="s">
        <v>279</v>
      </c>
      <c r="H1137" s="47" t="s">
        <v>1347</v>
      </c>
      <c r="I1137" s="47" t="s">
        <v>1348</v>
      </c>
      <c r="J1137" t="s">
        <v>2751</v>
      </c>
      <c r="K1137">
        <v>351</v>
      </c>
      <c r="L1137">
        <v>417</v>
      </c>
      <c r="M1137">
        <v>351</v>
      </c>
      <c r="N1137">
        <v>417</v>
      </c>
      <c r="O1137" s="24">
        <v>311</v>
      </c>
      <c r="P1137" s="24">
        <v>377</v>
      </c>
      <c r="Q1137">
        <v>332</v>
      </c>
      <c r="R1137">
        <v>417</v>
      </c>
      <c r="S1137">
        <v>365</v>
      </c>
      <c r="T1137">
        <v>484</v>
      </c>
      <c r="U1137">
        <v>372</v>
      </c>
      <c r="V1137">
        <v>501</v>
      </c>
      <c r="W1137">
        <v>455</v>
      </c>
      <c r="X1137">
        <v>695</v>
      </c>
    </row>
    <row r="1138" spans="2:24" x14ac:dyDescent="0.35">
      <c r="B1138" s="46" t="s">
        <v>1430</v>
      </c>
      <c r="D1138" t="s">
        <v>1338</v>
      </c>
      <c r="E1138" t="s">
        <v>1339</v>
      </c>
      <c r="F1138" s="46" t="s">
        <v>1430</v>
      </c>
      <c r="G1138" t="s">
        <v>289</v>
      </c>
      <c r="H1138" s="47" t="s">
        <v>1355</v>
      </c>
      <c r="I1138" s="47" t="s">
        <v>1356</v>
      </c>
      <c r="J1138" t="s">
        <v>2752</v>
      </c>
      <c r="K1138">
        <v>332</v>
      </c>
      <c r="L1138">
        <v>421</v>
      </c>
      <c r="M1138">
        <v>332</v>
      </c>
      <c r="N1138">
        <v>421</v>
      </c>
      <c r="O1138" s="24">
        <v>297</v>
      </c>
      <c r="P1138" s="24">
        <v>369</v>
      </c>
      <c r="Q1138">
        <v>280</v>
      </c>
      <c r="R1138">
        <v>376</v>
      </c>
      <c r="S1138">
        <v>357</v>
      </c>
      <c r="T1138">
        <v>486</v>
      </c>
      <c r="U1138">
        <v>489</v>
      </c>
      <c r="V1138">
        <v>663</v>
      </c>
      <c r="W1138">
        <v>805</v>
      </c>
      <c r="X1138">
        <v>1225</v>
      </c>
    </row>
    <row r="1139" spans="2:24" x14ac:dyDescent="0.35">
      <c r="B1139" s="46" t="s">
        <v>1431</v>
      </c>
      <c r="D1139" t="s">
        <v>1338</v>
      </c>
      <c r="E1139" t="s">
        <v>1339</v>
      </c>
      <c r="F1139" s="46" t="s">
        <v>1431</v>
      </c>
      <c r="G1139" t="s">
        <v>289</v>
      </c>
      <c r="H1139" s="47" t="s">
        <v>1355</v>
      </c>
      <c r="I1139" s="47" t="s">
        <v>1356</v>
      </c>
      <c r="J1139" t="s">
        <v>371</v>
      </c>
      <c r="K1139">
        <v>411</v>
      </c>
      <c r="L1139">
        <v>559</v>
      </c>
      <c r="M1139">
        <v>411</v>
      </c>
      <c r="N1139">
        <v>559</v>
      </c>
      <c r="O1139" s="24">
        <v>376</v>
      </c>
      <c r="P1139" s="24">
        <v>548</v>
      </c>
      <c r="Q1139">
        <v>360</v>
      </c>
      <c r="R1139">
        <v>592</v>
      </c>
      <c r="S1139">
        <v>432</v>
      </c>
      <c r="T1139">
        <v>687</v>
      </c>
      <c r="U1139">
        <v>403</v>
      </c>
      <c r="V1139">
        <v>660</v>
      </c>
      <c r="W1139">
        <v>451</v>
      </c>
      <c r="X1139">
        <v>846</v>
      </c>
    </row>
    <row r="1140" spans="2:24" x14ac:dyDescent="0.35">
      <c r="B1140" s="46" t="s">
        <v>1432</v>
      </c>
      <c r="D1140" t="s">
        <v>1338</v>
      </c>
      <c r="E1140" t="s">
        <v>1339</v>
      </c>
      <c r="F1140" s="46" t="s">
        <v>1432</v>
      </c>
      <c r="G1140" t="s">
        <v>255</v>
      </c>
      <c r="H1140" s="47" t="s">
        <v>467</v>
      </c>
      <c r="I1140" s="47" t="s">
        <v>1352</v>
      </c>
      <c r="J1140" t="s">
        <v>2753</v>
      </c>
      <c r="K1140">
        <v>1187</v>
      </c>
      <c r="L1140">
        <v>1385</v>
      </c>
      <c r="M1140">
        <v>1187</v>
      </c>
      <c r="N1140">
        <v>1385</v>
      </c>
      <c r="O1140" s="24">
        <v>1101</v>
      </c>
      <c r="P1140" s="24">
        <v>1312</v>
      </c>
      <c r="Q1140">
        <v>1118</v>
      </c>
      <c r="R1140">
        <v>1411</v>
      </c>
      <c r="S1140">
        <v>1228</v>
      </c>
      <c r="T1140">
        <v>1588</v>
      </c>
      <c r="U1140">
        <v>1179</v>
      </c>
      <c r="V1140">
        <v>1599</v>
      </c>
      <c r="W1140">
        <v>1423</v>
      </c>
      <c r="X1140">
        <v>2217</v>
      </c>
    </row>
    <row r="1141" spans="2:24" x14ac:dyDescent="0.35">
      <c r="B1141" s="46" t="s">
        <v>1433</v>
      </c>
      <c r="D1141" t="s">
        <v>1338</v>
      </c>
      <c r="E1141" t="s">
        <v>1339</v>
      </c>
      <c r="F1141" s="46" t="s">
        <v>1433</v>
      </c>
      <c r="G1141" t="s">
        <v>283</v>
      </c>
      <c r="H1141" s="47" t="s">
        <v>1366</v>
      </c>
      <c r="I1141" s="47" t="s">
        <v>1367</v>
      </c>
      <c r="J1141" t="s">
        <v>2754</v>
      </c>
      <c r="K1141">
        <v>1040</v>
      </c>
      <c r="L1141">
        <v>1416</v>
      </c>
      <c r="M1141">
        <v>1040</v>
      </c>
      <c r="N1141">
        <v>1416</v>
      </c>
      <c r="O1141" s="24">
        <v>918</v>
      </c>
      <c r="P1141" s="24">
        <v>1288</v>
      </c>
      <c r="Q1141">
        <v>737</v>
      </c>
      <c r="R1141">
        <v>1237</v>
      </c>
      <c r="S1141">
        <v>736</v>
      </c>
      <c r="T1141">
        <v>1233</v>
      </c>
      <c r="U1141">
        <v>725</v>
      </c>
      <c r="V1141">
        <v>1126</v>
      </c>
      <c r="W1141">
        <v>1062</v>
      </c>
      <c r="X1141">
        <v>1680</v>
      </c>
    </row>
    <row r="1142" spans="2:24" x14ac:dyDescent="0.35">
      <c r="B1142" s="46" t="s">
        <v>1434</v>
      </c>
      <c r="D1142" t="s">
        <v>1338</v>
      </c>
      <c r="E1142" t="s">
        <v>1339</v>
      </c>
      <c r="F1142" s="46" t="s">
        <v>1434</v>
      </c>
      <c r="G1142" t="s">
        <v>235</v>
      </c>
      <c r="H1142" s="47" t="s">
        <v>419</v>
      </c>
      <c r="I1142" s="47" t="s">
        <v>1340</v>
      </c>
      <c r="J1142" t="s">
        <v>375</v>
      </c>
      <c r="K1142">
        <v>392</v>
      </c>
      <c r="L1142">
        <v>563</v>
      </c>
      <c r="M1142">
        <v>392</v>
      </c>
      <c r="N1142">
        <v>563</v>
      </c>
      <c r="O1142" s="24">
        <v>401</v>
      </c>
      <c r="P1142" s="24">
        <v>562</v>
      </c>
      <c r="Q1142">
        <v>300</v>
      </c>
      <c r="R1142">
        <v>575</v>
      </c>
      <c r="S1142">
        <v>334</v>
      </c>
      <c r="T1142">
        <v>600</v>
      </c>
      <c r="U1142">
        <v>308</v>
      </c>
      <c r="V1142">
        <v>591</v>
      </c>
      <c r="W1142">
        <v>414</v>
      </c>
      <c r="X1142">
        <v>790</v>
      </c>
    </row>
    <row r="1143" spans="2:24" x14ac:dyDescent="0.35">
      <c r="B1143" s="46" t="s">
        <v>1435</v>
      </c>
      <c r="D1143" t="s">
        <v>1338</v>
      </c>
      <c r="E1143" t="s">
        <v>1339</v>
      </c>
      <c r="F1143" s="46" t="s">
        <v>1435</v>
      </c>
      <c r="G1143" t="s">
        <v>239</v>
      </c>
      <c r="H1143" s="47" t="s">
        <v>450</v>
      </c>
      <c r="I1143" s="47" t="s">
        <v>1369</v>
      </c>
      <c r="J1143" t="s">
        <v>2755</v>
      </c>
      <c r="K1143">
        <v>1978</v>
      </c>
      <c r="L1143">
        <v>3405</v>
      </c>
      <c r="M1143">
        <v>1978</v>
      </c>
      <c r="N1143">
        <v>3405</v>
      </c>
      <c r="O1143" s="24">
        <v>1656</v>
      </c>
      <c r="P1143" s="24">
        <v>3009</v>
      </c>
      <c r="Q1143">
        <v>1738</v>
      </c>
      <c r="R1143">
        <v>3192</v>
      </c>
      <c r="S1143">
        <v>2024</v>
      </c>
      <c r="T1143">
        <v>3729</v>
      </c>
      <c r="U1143">
        <v>2119</v>
      </c>
      <c r="V1143">
        <v>3835</v>
      </c>
      <c r="W1143">
        <v>2484</v>
      </c>
      <c r="X1143">
        <v>5109</v>
      </c>
    </row>
    <row r="1144" spans="2:24" x14ac:dyDescent="0.35">
      <c r="B1144" s="46" t="s">
        <v>1436</v>
      </c>
      <c r="D1144" t="s">
        <v>1338</v>
      </c>
      <c r="E1144" t="s">
        <v>1339</v>
      </c>
      <c r="F1144" s="46" t="s">
        <v>1436</v>
      </c>
      <c r="G1144" t="s">
        <v>279</v>
      </c>
      <c r="H1144" s="47" t="s">
        <v>1347</v>
      </c>
      <c r="I1144" s="47" t="s">
        <v>1348</v>
      </c>
      <c r="J1144" t="s">
        <v>530</v>
      </c>
      <c r="K1144">
        <v>1079</v>
      </c>
      <c r="L1144">
        <v>1245</v>
      </c>
      <c r="M1144">
        <v>1079</v>
      </c>
      <c r="N1144">
        <v>1245</v>
      </c>
      <c r="O1144" s="24">
        <v>1040</v>
      </c>
      <c r="P1144" s="24">
        <v>1160</v>
      </c>
      <c r="Q1144">
        <v>954</v>
      </c>
      <c r="R1144">
        <v>1297</v>
      </c>
      <c r="S1144">
        <v>1034</v>
      </c>
      <c r="T1144">
        <v>1474</v>
      </c>
      <c r="U1144">
        <v>1025</v>
      </c>
      <c r="V1144">
        <v>1433</v>
      </c>
      <c r="W1144">
        <v>1249</v>
      </c>
      <c r="X1144">
        <v>1941</v>
      </c>
    </row>
    <row r="1145" spans="2:24" x14ac:dyDescent="0.35">
      <c r="B1145" s="46" t="s">
        <v>1437</v>
      </c>
      <c r="D1145" t="s">
        <v>1338</v>
      </c>
      <c r="E1145" t="s">
        <v>1339</v>
      </c>
      <c r="F1145" s="46" t="s">
        <v>1437</v>
      </c>
      <c r="G1145" t="s">
        <v>283</v>
      </c>
      <c r="H1145" s="47" t="s">
        <v>1366</v>
      </c>
      <c r="I1145" s="47" t="s">
        <v>1367</v>
      </c>
      <c r="J1145" t="s">
        <v>398</v>
      </c>
      <c r="K1145">
        <v>633</v>
      </c>
      <c r="L1145">
        <v>842</v>
      </c>
      <c r="M1145">
        <v>633</v>
      </c>
      <c r="N1145">
        <v>842</v>
      </c>
      <c r="O1145" s="24">
        <v>639</v>
      </c>
      <c r="P1145" s="24">
        <v>871</v>
      </c>
      <c r="Q1145">
        <v>605</v>
      </c>
      <c r="R1145">
        <v>876</v>
      </c>
      <c r="S1145">
        <v>707</v>
      </c>
      <c r="T1145">
        <v>994</v>
      </c>
      <c r="U1145">
        <v>729</v>
      </c>
      <c r="V1145">
        <v>1009</v>
      </c>
      <c r="W1145">
        <v>1163</v>
      </c>
      <c r="X1145">
        <v>1670</v>
      </c>
    </row>
    <row r="1146" spans="2:24" x14ac:dyDescent="0.35">
      <c r="B1146" s="46" t="s">
        <v>1438</v>
      </c>
      <c r="D1146" t="s">
        <v>1338</v>
      </c>
      <c r="E1146" t="s">
        <v>1339</v>
      </c>
      <c r="F1146" s="46" t="s">
        <v>1438</v>
      </c>
      <c r="G1146" t="s">
        <v>235</v>
      </c>
      <c r="H1146" s="47" t="s">
        <v>419</v>
      </c>
      <c r="I1146" s="47" t="s">
        <v>1340</v>
      </c>
      <c r="J1146" t="s">
        <v>729</v>
      </c>
      <c r="K1146">
        <v>152</v>
      </c>
      <c r="L1146">
        <v>192</v>
      </c>
      <c r="M1146">
        <v>152</v>
      </c>
      <c r="N1146">
        <v>192</v>
      </c>
      <c r="O1146" s="24">
        <v>171</v>
      </c>
      <c r="P1146" s="24">
        <v>211</v>
      </c>
      <c r="Q1146">
        <v>83</v>
      </c>
      <c r="R1146">
        <v>186</v>
      </c>
      <c r="S1146">
        <v>121</v>
      </c>
      <c r="T1146">
        <v>223</v>
      </c>
      <c r="U1146">
        <v>127</v>
      </c>
      <c r="V1146">
        <v>208</v>
      </c>
      <c r="W1146">
        <v>130</v>
      </c>
      <c r="X1146">
        <v>252</v>
      </c>
    </row>
    <row r="1147" spans="2:24" x14ac:dyDescent="0.35">
      <c r="B1147" s="46" t="s">
        <v>1439</v>
      </c>
      <c r="D1147" t="s">
        <v>1338</v>
      </c>
      <c r="E1147" t="s">
        <v>1339</v>
      </c>
      <c r="F1147" s="46" t="s">
        <v>1439</v>
      </c>
      <c r="G1147" t="s">
        <v>235</v>
      </c>
      <c r="H1147" s="47" t="s">
        <v>419</v>
      </c>
      <c r="I1147" s="47" t="s">
        <v>1340</v>
      </c>
      <c r="J1147" t="s">
        <v>2756</v>
      </c>
      <c r="K1147">
        <v>222</v>
      </c>
      <c r="L1147">
        <v>316</v>
      </c>
      <c r="M1147">
        <v>222</v>
      </c>
      <c r="N1147">
        <v>316</v>
      </c>
      <c r="O1147" s="24">
        <v>205</v>
      </c>
      <c r="P1147" s="24">
        <v>291</v>
      </c>
      <c r="Q1147">
        <v>168</v>
      </c>
      <c r="R1147">
        <v>301</v>
      </c>
      <c r="S1147">
        <v>192</v>
      </c>
      <c r="T1147">
        <v>315</v>
      </c>
      <c r="U1147">
        <v>193</v>
      </c>
      <c r="V1147">
        <v>331</v>
      </c>
      <c r="W1147">
        <v>231</v>
      </c>
      <c r="X1147">
        <v>410</v>
      </c>
    </row>
    <row r="1148" spans="2:24" x14ac:dyDescent="0.35">
      <c r="B1148" s="46" t="s">
        <v>1440</v>
      </c>
      <c r="D1148" t="s">
        <v>1338</v>
      </c>
      <c r="E1148" t="s">
        <v>1339</v>
      </c>
      <c r="F1148" s="46" t="s">
        <v>1440</v>
      </c>
      <c r="G1148" t="s">
        <v>259</v>
      </c>
      <c r="H1148" s="47" t="s">
        <v>477</v>
      </c>
      <c r="I1148" s="47" t="s">
        <v>1345</v>
      </c>
      <c r="J1148" t="s">
        <v>377</v>
      </c>
      <c r="K1148">
        <v>427</v>
      </c>
      <c r="L1148">
        <v>601</v>
      </c>
      <c r="M1148">
        <v>427</v>
      </c>
      <c r="N1148">
        <v>601</v>
      </c>
      <c r="O1148" s="24">
        <v>400</v>
      </c>
      <c r="P1148" s="24">
        <v>574</v>
      </c>
      <c r="Q1148">
        <v>380</v>
      </c>
      <c r="R1148">
        <v>584</v>
      </c>
      <c r="S1148">
        <v>471</v>
      </c>
      <c r="T1148">
        <v>746</v>
      </c>
      <c r="U1148">
        <v>487</v>
      </c>
      <c r="V1148">
        <v>750</v>
      </c>
      <c r="W1148">
        <v>604</v>
      </c>
      <c r="X1148">
        <v>1011</v>
      </c>
    </row>
    <row r="1149" spans="2:24" x14ac:dyDescent="0.35">
      <c r="B1149" s="46" t="s">
        <v>1441</v>
      </c>
      <c r="D1149" t="s">
        <v>1338</v>
      </c>
      <c r="E1149" t="s">
        <v>1339</v>
      </c>
      <c r="F1149" s="46" t="s">
        <v>1441</v>
      </c>
      <c r="G1149" t="s">
        <v>231</v>
      </c>
      <c r="H1149" s="47" t="s">
        <v>393</v>
      </c>
      <c r="I1149" s="47" t="s">
        <v>1342</v>
      </c>
      <c r="J1149" t="s">
        <v>2757</v>
      </c>
      <c r="K1149">
        <v>554</v>
      </c>
      <c r="L1149">
        <v>726</v>
      </c>
      <c r="M1149">
        <v>554</v>
      </c>
      <c r="N1149">
        <v>726</v>
      </c>
      <c r="O1149" s="24">
        <v>477</v>
      </c>
      <c r="P1149" s="24">
        <v>726</v>
      </c>
      <c r="Q1149">
        <v>472</v>
      </c>
      <c r="R1149">
        <v>708</v>
      </c>
      <c r="S1149">
        <v>524</v>
      </c>
      <c r="T1149">
        <v>785</v>
      </c>
      <c r="U1149">
        <v>459</v>
      </c>
      <c r="V1149">
        <v>754</v>
      </c>
      <c r="W1149">
        <v>515</v>
      </c>
      <c r="X1149">
        <v>1068</v>
      </c>
    </row>
    <row r="1150" spans="2:24" x14ac:dyDescent="0.35">
      <c r="B1150" s="46" t="s">
        <v>1442</v>
      </c>
      <c r="D1150" t="s">
        <v>1338</v>
      </c>
      <c r="E1150" t="s">
        <v>1339</v>
      </c>
      <c r="F1150" s="46" t="s">
        <v>1442</v>
      </c>
      <c r="G1150" t="s">
        <v>283</v>
      </c>
      <c r="H1150" s="47" t="s">
        <v>1366</v>
      </c>
      <c r="I1150" s="47" t="s">
        <v>1367</v>
      </c>
      <c r="J1150" t="s">
        <v>2758</v>
      </c>
      <c r="K1150">
        <v>216</v>
      </c>
      <c r="L1150">
        <v>257</v>
      </c>
      <c r="M1150">
        <v>216</v>
      </c>
      <c r="N1150">
        <v>257</v>
      </c>
      <c r="O1150" s="24">
        <v>201</v>
      </c>
      <c r="P1150" s="24">
        <v>247</v>
      </c>
      <c r="Q1150">
        <v>162</v>
      </c>
      <c r="R1150">
        <v>240</v>
      </c>
      <c r="S1150">
        <v>166</v>
      </c>
      <c r="T1150">
        <v>236</v>
      </c>
      <c r="U1150">
        <v>168</v>
      </c>
      <c r="V1150">
        <v>225</v>
      </c>
      <c r="W1150">
        <v>212</v>
      </c>
      <c r="X1150">
        <v>318</v>
      </c>
    </row>
    <row r="1151" spans="2:24" x14ac:dyDescent="0.35">
      <c r="B1151" s="46" t="s">
        <v>1443</v>
      </c>
      <c r="D1151" t="s">
        <v>1338</v>
      </c>
      <c r="E1151" t="s">
        <v>1339</v>
      </c>
      <c r="F1151" s="46" t="s">
        <v>1443</v>
      </c>
      <c r="G1151" t="s">
        <v>283</v>
      </c>
      <c r="H1151" s="47" t="s">
        <v>1366</v>
      </c>
      <c r="I1151" s="47" t="s">
        <v>1367</v>
      </c>
      <c r="J1151" t="s">
        <v>2759</v>
      </c>
      <c r="K1151">
        <v>222</v>
      </c>
      <c r="L1151">
        <v>299</v>
      </c>
      <c r="M1151">
        <v>222</v>
      </c>
      <c r="N1151">
        <v>299</v>
      </c>
      <c r="O1151" s="24">
        <v>224</v>
      </c>
      <c r="P1151" s="24">
        <v>307</v>
      </c>
      <c r="Q1151">
        <v>200</v>
      </c>
      <c r="R1151">
        <v>301</v>
      </c>
      <c r="S1151">
        <v>256</v>
      </c>
      <c r="T1151">
        <v>359</v>
      </c>
      <c r="U1151">
        <v>258</v>
      </c>
      <c r="V1151">
        <v>362</v>
      </c>
      <c r="W1151">
        <v>447</v>
      </c>
      <c r="X1151">
        <v>644</v>
      </c>
    </row>
    <row r="1152" spans="2:24" x14ac:dyDescent="0.35">
      <c r="B1152" s="46" t="s">
        <v>1444</v>
      </c>
      <c r="D1152" t="s">
        <v>1338</v>
      </c>
      <c r="E1152" t="s">
        <v>1339</v>
      </c>
      <c r="F1152" s="46" t="s">
        <v>1444</v>
      </c>
      <c r="G1152" t="s">
        <v>255</v>
      </c>
      <c r="H1152" s="47" t="s">
        <v>467</v>
      </c>
      <c r="I1152" s="47" t="s">
        <v>1352</v>
      </c>
      <c r="J1152" t="s">
        <v>2760</v>
      </c>
      <c r="K1152">
        <v>9258</v>
      </c>
      <c r="L1152">
        <v>13154</v>
      </c>
      <c r="M1152">
        <v>9258</v>
      </c>
      <c r="N1152">
        <v>13154</v>
      </c>
      <c r="O1152" s="24">
        <v>7988</v>
      </c>
      <c r="P1152" s="24">
        <v>12201</v>
      </c>
      <c r="Q1152">
        <v>8067</v>
      </c>
      <c r="R1152">
        <v>12872</v>
      </c>
      <c r="S1152">
        <v>8900</v>
      </c>
      <c r="T1152">
        <v>14523</v>
      </c>
      <c r="U1152">
        <v>8502</v>
      </c>
      <c r="V1152">
        <v>14180</v>
      </c>
      <c r="W1152">
        <v>8917</v>
      </c>
      <c r="X1152">
        <v>16667</v>
      </c>
    </row>
    <row r="1153" spans="2:24" x14ac:dyDescent="0.35">
      <c r="B1153" s="46" t="s">
        <v>1445</v>
      </c>
      <c r="D1153" t="s">
        <v>1338</v>
      </c>
      <c r="E1153" t="s">
        <v>1339</v>
      </c>
      <c r="F1153" s="46" t="s">
        <v>1445</v>
      </c>
      <c r="G1153" t="s">
        <v>235</v>
      </c>
      <c r="H1153" s="47" t="s">
        <v>419</v>
      </c>
      <c r="I1153" s="47" t="s">
        <v>1340</v>
      </c>
      <c r="J1153" t="s">
        <v>251</v>
      </c>
      <c r="K1153">
        <v>333</v>
      </c>
      <c r="L1153">
        <v>392</v>
      </c>
      <c r="M1153">
        <v>333</v>
      </c>
      <c r="N1153">
        <v>392</v>
      </c>
      <c r="O1153" s="24">
        <v>317</v>
      </c>
      <c r="P1153" s="24">
        <v>375</v>
      </c>
      <c r="Q1153">
        <v>283</v>
      </c>
      <c r="R1153">
        <v>371</v>
      </c>
      <c r="S1153">
        <v>318</v>
      </c>
      <c r="T1153">
        <v>447</v>
      </c>
      <c r="U1153">
        <v>300</v>
      </c>
      <c r="V1153">
        <v>450</v>
      </c>
      <c r="W1153">
        <v>361</v>
      </c>
      <c r="X1153">
        <v>573</v>
      </c>
    </row>
    <row r="1154" spans="2:24" x14ac:dyDescent="0.35">
      <c r="B1154" s="46" t="s">
        <v>1446</v>
      </c>
      <c r="D1154" t="s">
        <v>1338</v>
      </c>
      <c r="E1154" t="s">
        <v>1339</v>
      </c>
      <c r="F1154" s="46" t="s">
        <v>1446</v>
      </c>
      <c r="G1154" t="s">
        <v>235</v>
      </c>
      <c r="H1154" s="47" t="s">
        <v>419</v>
      </c>
      <c r="I1154" s="47" t="s">
        <v>1340</v>
      </c>
      <c r="J1154" t="s">
        <v>2761</v>
      </c>
      <c r="K1154">
        <v>409</v>
      </c>
      <c r="L1154">
        <v>542</v>
      </c>
      <c r="M1154">
        <v>409</v>
      </c>
      <c r="N1154">
        <v>542</v>
      </c>
      <c r="O1154" s="24">
        <v>328</v>
      </c>
      <c r="P1154" s="24">
        <v>480</v>
      </c>
      <c r="Q1154">
        <v>347</v>
      </c>
      <c r="R1154">
        <v>532</v>
      </c>
      <c r="S1154">
        <v>369</v>
      </c>
      <c r="T1154">
        <v>590</v>
      </c>
      <c r="U1154">
        <v>352</v>
      </c>
      <c r="V1154">
        <v>553</v>
      </c>
      <c r="W1154">
        <v>411</v>
      </c>
      <c r="X1154">
        <v>732</v>
      </c>
    </row>
    <row r="1155" spans="2:24" x14ac:dyDescent="0.35">
      <c r="B1155" s="46" t="s">
        <v>1447</v>
      </c>
      <c r="D1155" t="s">
        <v>1338</v>
      </c>
      <c r="E1155" t="s">
        <v>1339</v>
      </c>
      <c r="F1155" s="46" t="s">
        <v>1447</v>
      </c>
      <c r="G1155" t="s">
        <v>289</v>
      </c>
      <c r="H1155" s="47" t="s">
        <v>1355</v>
      </c>
      <c r="I1155" s="47" t="s">
        <v>1356</v>
      </c>
      <c r="J1155" t="s">
        <v>2762</v>
      </c>
      <c r="K1155">
        <v>1193</v>
      </c>
      <c r="L1155">
        <v>1579</v>
      </c>
      <c r="M1155">
        <v>1193</v>
      </c>
      <c r="N1155">
        <v>1579</v>
      </c>
      <c r="O1155" s="24">
        <v>1027</v>
      </c>
      <c r="P1155" s="24">
        <v>1503</v>
      </c>
      <c r="Q1155">
        <v>1002</v>
      </c>
      <c r="R1155">
        <v>1524</v>
      </c>
      <c r="S1155">
        <v>1398</v>
      </c>
      <c r="T1155">
        <v>1955</v>
      </c>
      <c r="U1155">
        <v>1330</v>
      </c>
      <c r="V1155">
        <v>2017</v>
      </c>
      <c r="W1155">
        <v>1733</v>
      </c>
      <c r="X1155">
        <v>2937</v>
      </c>
    </row>
    <row r="1156" spans="2:24" x14ac:dyDescent="0.35">
      <c r="B1156" s="46" t="s">
        <v>1448</v>
      </c>
      <c r="D1156" t="s">
        <v>1338</v>
      </c>
      <c r="E1156" t="s">
        <v>1339</v>
      </c>
      <c r="F1156" s="46" t="s">
        <v>1448</v>
      </c>
      <c r="G1156" t="s">
        <v>283</v>
      </c>
      <c r="H1156" s="47" t="s">
        <v>1366</v>
      </c>
      <c r="I1156" s="47" t="s">
        <v>1367</v>
      </c>
      <c r="J1156" t="s">
        <v>2763</v>
      </c>
      <c r="K1156">
        <v>29263</v>
      </c>
      <c r="L1156">
        <v>45042</v>
      </c>
      <c r="M1156">
        <v>29263</v>
      </c>
      <c r="N1156">
        <v>45042</v>
      </c>
      <c r="O1156" s="24">
        <v>24909</v>
      </c>
      <c r="P1156" s="24">
        <v>39810</v>
      </c>
      <c r="Q1156">
        <v>25883</v>
      </c>
      <c r="R1156">
        <v>42588</v>
      </c>
      <c r="S1156">
        <v>29867</v>
      </c>
      <c r="T1156">
        <v>48200</v>
      </c>
      <c r="U1156">
        <v>29657</v>
      </c>
      <c r="V1156">
        <v>47620</v>
      </c>
      <c r="W1156">
        <v>32887</v>
      </c>
      <c r="X1156">
        <v>61857</v>
      </c>
    </row>
    <row r="1157" spans="2:24" x14ac:dyDescent="0.35">
      <c r="B1157" s="46" t="s">
        <v>1449</v>
      </c>
      <c r="D1157" t="s">
        <v>1338</v>
      </c>
      <c r="E1157" t="s">
        <v>1339</v>
      </c>
      <c r="F1157" s="46" t="s">
        <v>1449</v>
      </c>
      <c r="G1157" t="s">
        <v>235</v>
      </c>
      <c r="H1157" s="47" t="s">
        <v>419</v>
      </c>
      <c r="I1157" s="47" t="s">
        <v>1340</v>
      </c>
      <c r="J1157" t="s">
        <v>405</v>
      </c>
      <c r="K1157">
        <v>488</v>
      </c>
      <c r="L1157">
        <v>577</v>
      </c>
      <c r="M1157">
        <v>488</v>
      </c>
      <c r="N1157">
        <v>577</v>
      </c>
      <c r="O1157" s="24">
        <v>431</v>
      </c>
      <c r="P1157" s="24">
        <v>509</v>
      </c>
      <c r="Q1157">
        <v>411</v>
      </c>
      <c r="R1157">
        <v>557</v>
      </c>
      <c r="S1157">
        <v>394</v>
      </c>
      <c r="T1157">
        <v>584</v>
      </c>
      <c r="U1157">
        <v>388</v>
      </c>
      <c r="V1157">
        <v>590</v>
      </c>
      <c r="W1157">
        <v>596</v>
      </c>
      <c r="X1157">
        <v>948</v>
      </c>
    </row>
    <row r="1158" spans="2:24" x14ac:dyDescent="0.35">
      <c r="B1158" s="46" t="s">
        <v>1450</v>
      </c>
      <c r="D1158" t="s">
        <v>1338</v>
      </c>
      <c r="E1158" t="s">
        <v>1339</v>
      </c>
      <c r="F1158" s="46" t="s">
        <v>1450</v>
      </c>
      <c r="G1158" t="s">
        <v>265</v>
      </c>
      <c r="H1158" s="47" t="s">
        <v>501</v>
      </c>
      <c r="I1158" s="47" t="s">
        <v>1387</v>
      </c>
      <c r="J1158" t="s">
        <v>2764</v>
      </c>
      <c r="K1158">
        <v>109</v>
      </c>
      <c r="L1158">
        <v>153</v>
      </c>
      <c r="M1158">
        <v>109</v>
      </c>
      <c r="N1158">
        <v>153</v>
      </c>
      <c r="O1158" s="24">
        <v>103</v>
      </c>
      <c r="P1158" s="24">
        <v>150</v>
      </c>
      <c r="Q1158">
        <v>106</v>
      </c>
      <c r="R1158">
        <v>164</v>
      </c>
      <c r="S1158">
        <v>123</v>
      </c>
      <c r="T1158">
        <v>192</v>
      </c>
      <c r="U1158">
        <v>102</v>
      </c>
      <c r="V1158">
        <v>179</v>
      </c>
      <c r="W1158">
        <v>119</v>
      </c>
      <c r="X1158">
        <v>194</v>
      </c>
    </row>
    <row r="1159" spans="2:24" x14ac:dyDescent="0.35">
      <c r="B1159" s="46" t="s">
        <v>1451</v>
      </c>
      <c r="D1159" t="s">
        <v>1338</v>
      </c>
      <c r="E1159" t="s">
        <v>1339</v>
      </c>
      <c r="F1159" s="46" t="s">
        <v>1451</v>
      </c>
      <c r="G1159" t="s">
        <v>255</v>
      </c>
      <c r="H1159" s="47" t="s">
        <v>467</v>
      </c>
      <c r="I1159" s="47" t="s">
        <v>1352</v>
      </c>
      <c r="J1159" t="s">
        <v>1572</v>
      </c>
      <c r="K1159">
        <v>191</v>
      </c>
      <c r="L1159">
        <v>250</v>
      </c>
      <c r="M1159">
        <v>191</v>
      </c>
      <c r="N1159">
        <v>250</v>
      </c>
      <c r="O1159" s="24">
        <v>167</v>
      </c>
      <c r="P1159" s="24">
        <v>213</v>
      </c>
      <c r="Q1159">
        <v>152</v>
      </c>
      <c r="R1159">
        <v>210</v>
      </c>
      <c r="S1159">
        <v>176</v>
      </c>
      <c r="T1159">
        <v>246</v>
      </c>
      <c r="U1159">
        <v>205</v>
      </c>
      <c r="V1159">
        <v>278</v>
      </c>
      <c r="W1159">
        <v>210</v>
      </c>
      <c r="X1159">
        <v>297</v>
      </c>
    </row>
    <row r="1160" spans="2:24" x14ac:dyDescent="0.35">
      <c r="B1160" s="46" t="s">
        <v>1452</v>
      </c>
      <c r="D1160" t="s">
        <v>1338</v>
      </c>
      <c r="E1160" t="s">
        <v>1339</v>
      </c>
      <c r="F1160" s="46" t="s">
        <v>1452</v>
      </c>
      <c r="G1160" t="s">
        <v>265</v>
      </c>
      <c r="H1160" s="47" t="s">
        <v>501</v>
      </c>
      <c r="I1160" s="47" t="s">
        <v>1387</v>
      </c>
      <c r="J1160" t="s">
        <v>528</v>
      </c>
      <c r="K1160">
        <v>704</v>
      </c>
      <c r="L1160">
        <v>968</v>
      </c>
      <c r="M1160">
        <v>704</v>
      </c>
      <c r="N1160">
        <v>968</v>
      </c>
      <c r="O1160" s="24">
        <v>662</v>
      </c>
      <c r="P1160" s="24">
        <v>894</v>
      </c>
      <c r="Q1160">
        <v>618</v>
      </c>
      <c r="R1160">
        <v>914</v>
      </c>
      <c r="S1160">
        <v>845</v>
      </c>
      <c r="T1160">
        <v>1204</v>
      </c>
      <c r="U1160">
        <v>929</v>
      </c>
      <c r="V1160">
        <v>1415</v>
      </c>
      <c r="W1160">
        <v>1328</v>
      </c>
      <c r="X1160">
        <v>2279</v>
      </c>
    </row>
    <row r="1161" spans="2:24" x14ac:dyDescent="0.35">
      <c r="B1161" s="46" t="s">
        <v>1453</v>
      </c>
      <c r="D1161" t="s">
        <v>1338</v>
      </c>
      <c r="E1161" t="s">
        <v>1339</v>
      </c>
      <c r="F1161" s="46" t="s">
        <v>1453</v>
      </c>
      <c r="G1161" t="s">
        <v>265</v>
      </c>
      <c r="H1161" s="47" t="s">
        <v>501</v>
      </c>
      <c r="I1161" s="47" t="s">
        <v>1387</v>
      </c>
      <c r="J1161" t="s">
        <v>2765</v>
      </c>
      <c r="K1161">
        <v>395</v>
      </c>
      <c r="L1161">
        <v>507</v>
      </c>
      <c r="M1161">
        <v>395</v>
      </c>
      <c r="N1161">
        <v>507</v>
      </c>
      <c r="O1161" s="24">
        <v>375</v>
      </c>
      <c r="P1161" s="24">
        <v>488</v>
      </c>
      <c r="Q1161">
        <v>390</v>
      </c>
      <c r="R1161">
        <v>515</v>
      </c>
      <c r="S1161">
        <v>451</v>
      </c>
      <c r="T1161">
        <v>593</v>
      </c>
      <c r="U1161">
        <v>408</v>
      </c>
      <c r="V1161">
        <v>523</v>
      </c>
      <c r="W1161">
        <v>452</v>
      </c>
      <c r="X1161">
        <v>644</v>
      </c>
    </row>
    <row r="1162" spans="2:24" x14ac:dyDescent="0.35">
      <c r="B1162" s="46" t="s">
        <v>1454</v>
      </c>
      <c r="D1162" t="s">
        <v>1338</v>
      </c>
      <c r="E1162" t="s">
        <v>1339</v>
      </c>
      <c r="F1162" s="46" t="s">
        <v>1454</v>
      </c>
      <c r="G1162" t="s">
        <v>265</v>
      </c>
      <c r="H1162" s="47" t="s">
        <v>501</v>
      </c>
      <c r="I1162" s="47" t="s">
        <v>1387</v>
      </c>
      <c r="J1162" t="s">
        <v>249</v>
      </c>
      <c r="K1162">
        <v>206</v>
      </c>
      <c r="L1162">
        <v>299</v>
      </c>
      <c r="M1162">
        <v>206</v>
      </c>
      <c r="N1162">
        <v>299</v>
      </c>
      <c r="O1162" s="24">
        <v>193</v>
      </c>
      <c r="P1162" s="24">
        <v>279</v>
      </c>
      <c r="Q1162">
        <v>145</v>
      </c>
      <c r="R1162">
        <v>254</v>
      </c>
      <c r="S1162">
        <v>155</v>
      </c>
      <c r="T1162">
        <v>256</v>
      </c>
      <c r="U1162">
        <v>139</v>
      </c>
      <c r="V1162">
        <v>225</v>
      </c>
      <c r="W1162">
        <v>124</v>
      </c>
      <c r="X1162">
        <v>229</v>
      </c>
    </row>
    <row r="1163" spans="2:24" x14ac:dyDescent="0.35">
      <c r="B1163" s="46" t="s">
        <v>1455</v>
      </c>
      <c r="D1163" t="s">
        <v>1338</v>
      </c>
      <c r="E1163" t="s">
        <v>1339</v>
      </c>
      <c r="F1163" s="46" t="s">
        <v>1455</v>
      </c>
      <c r="G1163" t="s">
        <v>265</v>
      </c>
      <c r="H1163" s="47" t="s">
        <v>501</v>
      </c>
      <c r="I1163" s="47" t="s">
        <v>1387</v>
      </c>
      <c r="J1163" t="s">
        <v>2766</v>
      </c>
      <c r="K1163">
        <v>643</v>
      </c>
      <c r="L1163">
        <v>921</v>
      </c>
      <c r="M1163">
        <v>643</v>
      </c>
      <c r="N1163">
        <v>921</v>
      </c>
      <c r="O1163" s="24">
        <v>666</v>
      </c>
      <c r="P1163" s="24">
        <v>935</v>
      </c>
      <c r="Q1163">
        <v>613</v>
      </c>
      <c r="R1163">
        <v>926</v>
      </c>
      <c r="S1163">
        <v>815</v>
      </c>
      <c r="T1163">
        <v>1127</v>
      </c>
      <c r="U1163">
        <v>880</v>
      </c>
      <c r="V1163">
        <v>1272</v>
      </c>
      <c r="W1163">
        <v>1101</v>
      </c>
      <c r="X1163">
        <v>1720</v>
      </c>
    </row>
    <row r="1164" spans="2:24" x14ac:dyDescent="0.35">
      <c r="B1164" s="46" t="s">
        <v>1456</v>
      </c>
      <c r="D1164" t="s">
        <v>1338</v>
      </c>
      <c r="E1164" t="s">
        <v>1339</v>
      </c>
      <c r="F1164" s="46" t="s">
        <v>1456</v>
      </c>
      <c r="G1164" t="s">
        <v>289</v>
      </c>
      <c r="H1164" s="47" t="s">
        <v>1355</v>
      </c>
      <c r="I1164" s="47" t="s">
        <v>1356</v>
      </c>
      <c r="J1164" t="s">
        <v>448</v>
      </c>
      <c r="K1164">
        <v>1531</v>
      </c>
      <c r="L1164">
        <v>1857</v>
      </c>
      <c r="M1164">
        <v>1531</v>
      </c>
      <c r="N1164">
        <v>1857</v>
      </c>
      <c r="O1164" s="24">
        <v>1458</v>
      </c>
      <c r="P1164" s="24">
        <v>1719</v>
      </c>
      <c r="Q1164">
        <v>1352</v>
      </c>
      <c r="R1164">
        <v>1901</v>
      </c>
      <c r="S1164">
        <v>1541</v>
      </c>
      <c r="T1164">
        <v>2263</v>
      </c>
      <c r="U1164">
        <v>1568</v>
      </c>
      <c r="V1164">
        <v>2390</v>
      </c>
      <c r="W1164">
        <v>1522</v>
      </c>
      <c r="X1164">
        <v>3086</v>
      </c>
    </row>
    <row r="1165" spans="2:24" x14ac:dyDescent="0.35">
      <c r="B1165" s="46" t="s">
        <v>1457</v>
      </c>
      <c r="D1165" t="s">
        <v>1338</v>
      </c>
      <c r="E1165" t="s">
        <v>1339</v>
      </c>
      <c r="F1165" s="46" t="s">
        <v>1457</v>
      </c>
      <c r="G1165" t="s">
        <v>279</v>
      </c>
      <c r="H1165" s="47" t="s">
        <v>1347</v>
      </c>
      <c r="I1165" s="47" t="s">
        <v>1348</v>
      </c>
      <c r="J1165" t="s">
        <v>1801</v>
      </c>
      <c r="K1165">
        <v>141</v>
      </c>
      <c r="L1165">
        <v>199</v>
      </c>
      <c r="M1165">
        <v>141</v>
      </c>
      <c r="N1165">
        <v>199</v>
      </c>
      <c r="O1165" s="24">
        <v>162</v>
      </c>
      <c r="P1165" s="24">
        <v>202</v>
      </c>
      <c r="Q1165">
        <v>131</v>
      </c>
      <c r="R1165">
        <v>206</v>
      </c>
      <c r="S1165">
        <v>133</v>
      </c>
      <c r="T1165">
        <v>205</v>
      </c>
      <c r="U1165">
        <v>136</v>
      </c>
      <c r="V1165">
        <v>197</v>
      </c>
      <c r="W1165">
        <v>175</v>
      </c>
      <c r="X1165">
        <v>260</v>
      </c>
    </row>
    <row r="1166" spans="2:24" x14ac:dyDescent="0.35">
      <c r="B1166" s="46" t="s">
        <v>1458</v>
      </c>
      <c r="D1166" t="s">
        <v>1338</v>
      </c>
      <c r="E1166" t="s">
        <v>1339</v>
      </c>
      <c r="F1166" s="46" t="s">
        <v>1458</v>
      </c>
      <c r="G1166" t="s">
        <v>235</v>
      </c>
      <c r="H1166" s="47" t="s">
        <v>419</v>
      </c>
      <c r="I1166" s="47" t="s">
        <v>1340</v>
      </c>
      <c r="J1166" t="s">
        <v>2767</v>
      </c>
      <c r="K1166">
        <v>2459</v>
      </c>
      <c r="L1166">
        <v>2940</v>
      </c>
      <c r="M1166">
        <v>2459</v>
      </c>
      <c r="N1166">
        <v>2940</v>
      </c>
      <c r="O1166" s="24">
        <v>2361</v>
      </c>
      <c r="P1166" s="24">
        <v>2712</v>
      </c>
      <c r="Q1166">
        <v>2418</v>
      </c>
      <c r="R1166">
        <v>2971</v>
      </c>
      <c r="S1166">
        <v>2677</v>
      </c>
      <c r="T1166">
        <v>3492</v>
      </c>
      <c r="U1166">
        <v>2569</v>
      </c>
      <c r="V1166">
        <v>3500</v>
      </c>
      <c r="W1166">
        <v>2334</v>
      </c>
      <c r="X1166">
        <v>4800</v>
      </c>
    </row>
    <row r="1167" spans="2:24" x14ac:dyDescent="0.35">
      <c r="B1167" s="46" t="s">
        <v>1459</v>
      </c>
      <c r="D1167" t="s">
        <v>1338</v>
      </c>
      <c r="E1167" t="s">
        <v>1339</v>
      </c>
      <c r="F1167" s="46" t="s">
        <v>1459</v>
      </c>
      <c r="G1167" t="s">
        <v>279</v>
      </c>
      <c r="H1167" s="47" t="s">
        <v>1347</v>
      </c>
      <c r="I1167" s="47" t="s">
        <v>1348</v>
      </c>
      <c r="J1167" t="s">
        <v>2768</v>
      </c>
      <c r="K1167">
        <v>699</v>
      </c>
      <c r="L1167">
        <v>872</v>
      </c>
      <c r="M1167">
        <v>699</v>
      </c>
      <c r="N1167">
        <v>872</v>
      </c>
      <c r="O1167" s="24">
        <v>687</v>
      </c>
      <c r="P1167" s="24">
        <v>854</v>
      </c>
      <c r="Q1167">
        <v>572</v>
      </c>
      <c r="R1167">
        <v>880</v>
      </c>
      <c r="S1167">
        <v>704</v>
      </c>
      <c r="T1167">
        <v>1034</v>
      </c>
      <c r="U1167">
        <v>706</v>
      </c>
      <c r="V1167">
        <v>1039</v>
      </c>
      <c r="W1167">
        <v>956</v>
      </c>
      <c r="X1167">
        <v>1434</v>
      </c>
    </row>
    <row r="1168" spans="2:24" x14ac:dyDescent="0.35">
      <c r="B1168" s="46" t="s">
        <v>1461</v>
      </c>
      <c r="D1168" t="s">
        <v>1338</v>
      </c>
      <c r="E1168" t="s">
        <v>1339</v>
      </c>
      <c r="F1168" s="46" t="s">
        <v>1461</v>
      </c>
      <c r="G1168" t="s">
        <v>283</v>
      </c>
      <c r="H1168" s="47" t="s">
        <v>1366</v>
      </c>
      <c r="I1168" s="47" t="s">
        <v>1367</v>
      </c>
      <c r="J1168" t="s">
        <v>2769</v>
      </c>
      <c r="K1168">
        <v>517</v>
      </c>
      <c r="L1168">
        <v>646</v>
      </c>
      <c r="M1168">
        <v>517</v>
      </c>
      <c r="N1168">
        <v>646</v>
      </c>
      <c r="O1168" s="24">
        <v>532</v>
      </c>
      <c r="P1168" s="24">
        <v>655</v>
      </c>
      <c r="Q1168">
        <v>550</v>
      </c>
      <c r="R1168">
        <v>750</v>
      </c>
      <c r="S1168">
        <v>617</v>
      </c>
      <c r="T1168">
        <v>901</v>
      </c>
      <c r="U1168">
        <v>620</v>
      </c>
      <c r="V1168">
        <v>910</v>
      </c>
      <c r="W1168">
        <v>850</v>
      </c>
      <c r="X1168">
        <v>1296</v>
      </c>
    </row>
    <row r="1169" spans="2:24" x14ac:dyDescent="0.35">
      <c r="B1169" s="46" t="s">
        <v>1462</v>
      </c>
      <c r="D1169" t="s">
        <v>1338</v>
      </c>
      <c r="E1169" t="s">
        <v>1339</v>
      </c>
      <c r="F1169" s="46" t="s">
        <v>1462</v>
      </c>
      <c r="G1169" t="s">
        <v>255</v>
      </c>
      <c r="H1169" s="47" t="s">
        <v>467</v>
      </c>
      <c r="I1169" s="47" t="s">
        <v>1352</v>
      </c>
      <c r="J1169" t="s">
        <v>873</v>
      </c>
      <c r="K1169">
        <v>711</v>
      </c>
      <c r="L1169">
        <v>985</v>
      </c>
      <c r="M1169">
        <v>711</v>
      </c>
      <c r="N1169">
        <v>985</v>
      </c>
      <c r="O1169" s="24">
        <v>694</v>
      </c>
      <c r="P1169" s="24">
        <v>967</v>
      </c>
      <c r="Q1169">
        <v>694</v>
      </c>
      <c r="R1169">
        <v>1024</v>
      </c>
      <c r="S1169">
        <v>839</v>
      </c>
      <c r="T1169">
        <v>1266</v>
      </c>
      <c r="U1169">
        <v>816</v>
      </c>
      <c r="V1169">
        <v>1276</v>
      </c>
      <c r="W1169">
        <v>898</v>
      </c>
      <c r="X1169">
        <v>1653</v>
      </c>
    </row>
    <row r="1170" spans="2:24" x14ac:dyDescent="0.35">
      <c r="B1170" s="46" t="s">
        <v>1463</v>
      </c>
      <c r="D1170" t="s">
        <v>1338</v>
      </c>
      <c r="E1170" t="s">
        <v>1339</v>
      </c>
      <c r="F1170" s="46" t="s">
        <v>1463</v>
      </c>
      <c r="G1170" t="s">
        <v>265</v>
      </c>
      <c r="H1170" s="47" t="s">
        <v>501</v>
      </c>
      <c r="I1170" s="47" t="s">
        <v>1387</v>
      </c>
      <c r="J1170" t="s">
        <v>385</v>
      </c>
      <c r="K1170">
        <v>461</v>
      </c>
      <c r="L1170">
        <v>563</v>
      </c>
      <c r="M1170">
        <v>461</v>
      </c>
      <c r="N1170">
        <v>563</v>
      </c>
      <c r="O1170" s="24">
        <v>379</v>
      </c>
      <c r="P1170" s="24">
        <v>529</v>
      </c>
      <c r="Q1170">
        <v>374</v>
      </c>
      <c r="R1170">
        <v>553</v>
      </c>
      <c r="S1170">
        <v>471</v>
      </c>
      <c r="T1170">
        <v>722</v>
      </c>
      <c r="U1170">
        <v>489</v>
      </c>
      <c r="V1170">
        <v>759</v>
      </c>
      <c r="W1170">
        <v>761</v>
      </c>
      <c r="X1170">
        <v>1361</v>
      </c>
    </row>
    <row r="1171" spans="2:24" x14ac:dyDescent="0.35">
      <c r="B1171" s="46" t="s">
        <v>1464</v>
      </c>
      <c r="D1171" t="s">
        <v>1338</v>
      </c>
      <c r="E1171" t="s">
        <v>1339</v>
      </c>
      <c r="F1171" s="46" t="s">
        <v>1464</v>
      </c>
      <c r="G1171" t="s">
        <v>265</v>
      </c>
      <c r="H1171" s="47" t="s">
        <v>501</v>
      </c>
      <c r="I1171" s="47" t="s">
        <v>1387</v>
      </c>
      <c r="J1171" t="s">
        <v>894</v>
      </c>
      <c r="K1171">
        <v>330</v>
      </c>
      <c r="L1171">
        <v>428</v>
      </c>
      <c r="M1171">
        <v>330</v>
      </c>
      <c r="N1171">
        <v>428</v>
      </c>
      <c r="O1171" s="24">
        <v>312</v>
      </c>
      <c r="P1171" s="24">
        <v>395</v>
      </c>
      <c r="Q1171">
        <v>323</v>
      </c>
      <c r="R1171">
        <v>418</v>
      </c>
      <c r="S1171">
        <v>409</v>
      </c>
      <c r="T1171">
        <v>502</v>
      </c>
      <c r="U1171">
        <v>407</v>
      </c>
      <c r="V1171">
        <v>516</v>
      </c>
      <c r="W1171">
        <v>499</v>
      </c>
      <c r="X1171">
        <v>717</v>
      </c>
    </row>
    <row r="1172" spans="2:24" x14ac:dyDescent="0.35">
      <c r="B1172" s="46" t="s">
        <v>1465</v>
      </c>
      <c r="D1172" t="s">
        <v>1338</v>
      </c>
      <c r="E1172" t="s">
        <v>1339</v>
      </c>
      <c r="F1172" s="46" t="s">
        <v>1465</v>
      </c>
      <c r="G1172" t="s">
        <v>289</v>
      </c>
      <c r="H1172" s="47" t="s">
        <v>1355</v>
      </c>
      <c r="I1172" s="47" t="s">
        <v>1356</v>
      </c>
      <c r="J1172" t="s">
        <v>924</v>
      </c>
      <c r="K1172">
        <v>1371</v>
      </c>
      <c r="L1172">
        <v>1608</v>
      </c>
      <c r="M1172">
        <v>1371</v>
      </c>
      <c r="N1172">
        <v>1608</v>
      </c>
      <c r="O1172" s="24">
        <v>1330</v>
      </c>
      <c r="P1172" s="24">
        <v>1526</v>
      </c>
      <c r="Q1172">
        <v>1276</v>
      </c>
      <c r="R1172">
        <v>1698</v>
      </c>
      <c r="S1172">
        <v>1415</v>
      </c>
      <c r="T1172">
        <v>1960</v>
      </c>
      <c r="U1172">
        <v>1319</v>
      </c>
      <c r="V1172">
        <v>1857</v>
      </c>
      <c r="W1172">
        <v>1297</v>
      </c>
      <c r="X1172">
        <v>2369</v>
      </c>
    </row>
    <row r="1173" spans="2:24" x14ac:dyDescent="0.35">
      <c r="B1173" s="46" t="s">
        <v>1466</v>
      </c>
      <c r="D1173" t="s">
        <v>1338</v>
      </c>
      <c r="E1173" t="s">
        <v>1339</v>
      </c>
      <c r="F1173" s="46" t="s">
        <v>1466</v>
      </c>
      <c r="G1173" t="s">
        <v>279</v>
      </c>
      <c r="H1173" s="47" t="s">
        <v>1347</v>
      </c>
      <c r="I1173" s="47" t="s">
        <v>1348</v>
      </c>
      <c r="J1173" t="s">
        <v>799</v>
      </c>
      <c r="K1173">
        <v>79</v>
      </c>
      <c r="L1173">
        <v>93</v>
      </c>
      <c r="M1173">
        <v>79</v>
      </c>
      <c r="N1173">
        <v>93</v>
      </c>
      <c r="O1173" s="24">
        <v>73</v>
      </c>
      <c r="P1173" s="24">
        <v>90</v>
      </c>
      <c r="Q1173">
        <v>63</v>
      </c>
      <c r="R1173">
        <v>88</v>
      </c>
      <c r="S1173">
        <v>72</v>
      </c>
      <c r="T1173">
        <v>94</v>
      </c>
      <c r="U1173">
        <v>67</v>
      </c>
      <c r="V1173">
        <v>105</v>
      </c>
      <c r="W1173">
        <v>71</v>
      </c>
      <c r="X1173">
        <v>128</v>
      </c>
    </row>
    <row r="1174" spans="2:24" x14ac:dyDescent="0.35">
      <c r="B1174" s="46" t="s">
        <v>1467</v>
      </c>
      <c r="D1174" t="s">
        <v>1338</v>
      </c>
      <c r="E1174" t="s">
        <v>1339</v>
      </c>
      <c r="F1174" s="46" t="s">
        <v>1467</v>
      </c>
      <c r="G1174" t="s">
        <v>231</v>
      </c>
      <c r="H1174" s="47" t="s">
        <v>393</v>
      </c>
      <c r="I1174" s="47" t="s">
        <v>1342</v>
      </c>
      <c r="J1174" t="s">
        <v>2770</v>
      </c>
      <c r="K1174">
        <v>770</v>
      </c>
      <c r="L1174">
        <v>888</v>
      </c>
      <c r="M1174">
        <v>770</v>
      </c>
      <c r="N1174">
        <v>888</v>
      </c>
      <c r="O1174" s="24">
        <v>713</v>
      </c>
      <c r="P1174" s="24">
        <v>781</v>
      </c>
      <c r="Q1174">
        <v>704</v>
      </c>
      <c r="R1174">
        <v>898</v>
      </c>
      <c r="S1174">
        <v>772</v>
      </c>
      <c r="T1174">
        <v>997</v>
      </c>
      <c r="U1174">
        <v>771</v>
      </c>
      <c r="V1174">
        <v>1010</v>
      </c>
      <c r="W1174">
        <v>928</v>
      </c>
      <c r="X1174">
        <v>1294</v>
      </c>
    </row>
    <row r="1175" spans="2:24" x14ac:dyDescent="0.35">
      <c r="B1175" s="46" t="s">
        <v>1468</v>
      </c>
      <c r="D1175" t="s">
        <v>1338</v>
      </c>
      <c r="E1175" t="s">
        <v>1339</v>
      </c>
      <c r="F1175" s="46" t="s">
        <v>1468</v>
      </c>
      <c r="G1175" t="s">
        <v>279</v>
      </c>
      <c r="H1175" s="47" t="s">
        <v>1347</v>
      </c>
      <c r="I1175" s="47" t="s">
        <v>1348</v>
      </c>
      <c r="J1175" t="s">
        <v>1469</v>
      </c>
      <c r="K1175">
        <v>8801</v>
      </c>
      <c r="L1175">
        <v>14539</v>
      </c>
      <c r="M1175">
        <v>8801</v>
      </c>
      <c r="N1175">
        <v>14539</v>
      </c>
      <c r="O1175" s="24">
        <v>6915</v>
      </c>
      <c r="P1175" s="24">
        <v>11900</v>
      </c>
      <c r="Q1175">
        <v>7032</v>
      </c>
      <c r="R1175">
        <v>12481</v>
      </c>
      <c r="S1175">
        <v>8528</v>
      </c>
      <c r="T1175">
        <v>14178</v>
      </c>
      <c r="U1175">
        <v>8867</v>
      </c>
      <c r="V1175">
        <v>14635</v>
      </c>
      <c r="W1175">
        <v>11899</v>
      </c>
      <c r="X1175">
        <v>23544</v>
      </c>
    </row>
    <row r="1176" spans="2:24" x14ac:dyDescent="0.35">
      <c r="B1176" s="46" t="s">
        <v>1470</v>
      </c>
      <c r="D1176" t="s">
        <v>1471</v>
      </c>
      <c r="E1176" t="s">
        <v>1472</v>
      </c>
      <c r="F1176" s="46" t="s">
        <v>1579</v>
      </c>
      <c r="G1176" t="s">
        <v>293</v>
      </c>
      <c r="H1176" s="23">
        <v>11</v>
      </c>
      <c r="I1176" s="23" t="s">
        <v>1580</v>
      </c>
      <c r="J1176" t="s">
        <v>1581</v>
      </c>
      <c r="K1176">
        <v>4689</v>
      </c>
      <c r="L1176">
        <v>6635</v>
      </c>
      <c r="M1176" s="24">
        <v>4005</v>
      </c>
      <c r="N1176" s="24">
        <v>6215</v>
      </c>
      <c r="O1176" s="24">
        <v>3932</v>
      </c>
      <c r="P1176" s="24">
        <v>6276</v>
      </c>
      <c r="Q1176">
        <v>3658</v>
      </c>
      <c r="R1176">
        <v>6683</v>
      </c>
      <c r="S1176">
        <v>4520</v>
      </c>
      <c r="T1176">
        <v>8510</v>
      </c>
      <c r="U1176">
        <v>5654</v>
      </c>
      <c r="V1176">
        <v>10553</v>
      </c>
      <c r="W1176">
        <v>5725</v>
      </c>
      <c r="X1176">
        <v>13459</v>
      </c>
    </row>
    <row r="1177" spans="2:24" x14ac:dyDescent="0.35">
      <c r="B1177" s="46" t="s">
        <v>1475</v>
      </c>
      <c r="D1177" t="s">
        <v>1471</v>
      </c>
      <c r="E1177" t="s">
        <v>1472</v>
      </c>
      <c r="F1177" s="46" t="s">
        <v>1500</v>
      </c>
      <c r="G1177" t="s">
        <v>235</v>
      </c>
      <c r="H1177" s="23">
        <v>2</v>
      </c>
      <c r="I1177" s="23" t="s">
        <v>1501</v>
      </c>
      <c r="J1177" t="s">
        <v>1502</v>
      </c>
      <c r="K1177">
        <v>1401</v>
      </c>
      <c r="L1177">
        <v>1838</v>
      </c>
      <c r="M1177" s="24">
        <v>1149</v>
      </c>
      <c r="N1177" s="24">
        <v>1816</v>
      </c>
      <c r="O1177" s="24">
        <v>1139</v>
      </c>
      <c r="P1177" s="24">
        <v>1910</v>
      </c>
      <c r="Q1177">
        <v>1133</v>
      </c>
      <c r="R1177">
        <v>2140</v>
      </c>
      <c r="S1177">
        <v>1417</v>
      </c>
      <c r="T1177">
        <v>2541</v>
      </c>
      <c r="U1177">
        <v>1593</v>
      </c>
      <c r="V1177">
        <v>3024</v>
      </c>
      <c r="W1177">
        <v>2132</v>
      </c>
      <c r="X1177">
        <v>3834</v>
      </c>
    </row>
    <row r="1178" spans="2:24" x14ac:dyDescent="0.35">
      <c r="B1178" s="46" t="s">
        <v>1477</v>
      </c>
      <c r="D1178" t="s">
        <v>1471</v>
      </c>
      <c r="E1178" t="s">
        <v>1472</v>
      </c>
      <c r="F1178" s="46" t="s">
        <v>1510</v>
      </c>
      <c r="G1178" t="s">
        <v>239</v>
      </c>
      <c r="H1178" s="23">
        <v>3</v>
      </c>
      <c r="I1178" s="23" t="s">
        <v>1511</v>
      </c>
      <c r="J1178" t="s">
        <v>1512</v>
      </c>
      <c r="K1178">
        <v>569</v>
      </c>
      <c r="L1178">
        <v>744</v>
      </c>
      <c r="M1178" s="24">
        <v>459</v>
      </c>
      <c r="N1178" s="24">
        <v>694</v>
      </c>
      <c r="O1178" s="24">
        <v>442</v>
      </c>
      <c r="P1178" s="24">
        <v>692</v>
      </c>
      <c r="Q1178">
        <v>345</v>
      </c>
      <c r="R1178">
        <v>693</v>
      </c>
      <c r="S1178">
        <v>382</v>
      </c>
      <c r="T1178">
        <v>788</v>
      </c>
      <c r="U1178">
        <v>396</v>
      </c>
      <c r="V1178">
        <v>855</v>
      </c>
      <c r="W1178">
        <v>376</v>
      </c>
      <c r="X1178">
        <v>939</v>
      </c>
    </row>
    <row r="1179" spans="2:24" x14ac:dyDescent="0.35">
      <c r="B1179" s="46" t="s">
        <v>1478</v>
      </c>
      <c r="D1179" t="s">
        <v>1471</v>
      </c>
      <c r="E1179" t="s">
        <v>1472</v>
      </c>
      <c r="F1179" s="46" t="s">
        <v>1518</v>
      </c>
      <c r="G1179" t="s">
        <v>255</v>
      </c>
      <c r="H1179" s="23">
        <v>4</v>
      </c>
      <c r="I1179" s="23" t="s">
        <v>1519</v>
      </c>
      <c r="J1179" t="s">
        <v>1520</v>
      </c>
      <c r="K1179">
        <v>670</v>
      </c>
      <c r="L1179">
        <v>919</v>
      </c>
      <c r="M1179" s="24">
        <v>617</v>
      </c>
      <c r="N1179" s="24">
        <v>866</v>
      </c>
      <c r="O1179" s="24">
        <v>583</v>
      </c>
      <c r="P1179" s="24">
        <v>840</v>
      </c>
      <c r="Q1179">
        <v>564</v>
      </c>
      <c r="R1179">
        <v>896</v>
      </c>
      <c r="S1179">
        <v>676</v>
      </c>
      <c r="T1179">
        <v>1118</v>
      </c>
      <c r="U1179">
        <v>916</v>
      </c>
      <c r="V1179">
        <v>1405</v>
      </c>
      <c r="W1179">
        <v>1466</v>
      </c>
      <c r="X1179">
        <v>2357</v>
      </c>
    </row>
    <row r="1180" spans="2:24" x14ac:dyDescent="0.35">
      <c r="B1180" s="46" t="s">
        <v>1479</v>
      </c>
      <c r="D1180" t="s">
        <v>1471</v>
      </c>
      <c r="E1180" t="s">
        <v>1472</v>
      </c>
      <c r="F1180" s="46" t="s">
        <v>1513</v>
      </c>
      <c r="G1180" t="s">
        <v>239</v>
      </c>
      <c r="H1180" s="23">
        <v>3</v>
      </c>
      <c r="I1180" s="23" t="s">
        <v>1511</v>
      </c>
      <c r="J1180" t="s">
        <v>1514</v>
      </c>
      <c r="K1180">
        <v>1409</v>
      </c>
      <c r="L1180">
        <v>1898</v>
      </c>
      <c r="M1180" s="24">
        <v>1250</v>
      </c>
      <c r="N1180" s="24">
        <v>1838</v>
      </c>
      <c r="O1180" s="24">
        <v>1110</v>
      </c>
      <c r="P1180" s="24">
        <v>1775</v>
      </c>
      <c r="Q1180">
        <v>1053</v>
      </c>
      <c r="R1180">
        <v>1836</v>
      </c>
      <c r="S1180">
        <v>1065</v>
      </c>
      <c r="T1180">
        <v>2107</v>
      </c>
      <c r="U1180">
        <v>1200</v>
      </c>
      <c r="V1180">
        <v>2258</v>
      </c>
      <c r="W1180">
        <v>1137</v>
      </c>
      <c r="X1180">
        <v>2357</v>
      </c>
    </row>
    <row r="1181" spans="2:24" x14ac:dyDescent="0.35">
      <c r="B1181" s="46" t="s">
        <v>1481</v>
      </c>
      <c r="D1181" t="s">
        <v>1471</v>
      </c>
      <c r="E1181" t="s">
        <v>1472</v>
      </c>
      <c r="F1181" s="46" t="s">
        <v>1470</v>
      </c>
      <c r="G1181" t="s">
        <v>231</v>
      </c>
      <c r="H1181" s="23">
        <v>1</v>
      </c>
      <c r="I1181" s="23" t="s">
        <v>1473</v>
      </c>
      <c r="J1181" t="s">
        <v>1474</v>
      </c>
      <c r="K1181">
        <v>962</v>
      </c>
      <c r="L1181">
        <v>1249</v>
      </c>
      <c r="M1181" s="24">
        <v>794</v>
      </c>
      <c r="N1181" s="24">
        <v>1162</v>
      </c>
      <c r="O1181" s="24">
        <v>785</v>
      </c>
      <c r="P1181" s="24">
        <v>1225</v>
      </c>
      <c r="Q1181">
        <v>762</v>
      </c>
      <c r="R1181">
        <v>1353</v>
      </c>
      <c r="S1181">
        <v>848</v>
      </c>
      <c r="T1181">
        <v>1582</v>
      </c>
      <c r="U1181">
        <v>824</v>
      </c>
      <c r="V1181">
        <v>1708</v>
      </c>
      <c r="W1181">
        <v>819</v>
      </c>
      <c r="X1181">
        <v>1935</v>
      </c>
    </row>
    <row r="1182" spans="2:24" x14ac:dyDescent="0.35">
      <c r="B1182" s="46" t="s">
        <v>1483</v>
      </c>
      <c r="D1182" t="s">
        <v>1471</v>
      </c>
      <c r="E1182" t="s">
        <v>1472</v>
      </c>
      <c r="F1182" s="46" t="s">
        <v>1642</v>
      </c>
      <c r="G1182" t="s">
        <v>585</v>
      </c>
      <c r="H1182" s="23">
        <v>16</v>
      </c>
      <c r="I1182" s="23" t="s">
        <v>1643</v>
      </c>
      <c r="J1182" t="s">
        <v>1644</v>
      </c>
      <c r="K1182">
        <v>2858</v>
      </c>
      <c r="L1182">
        <v>3391</v>
      </c>
      <c r="M1182" s="24">
        <v>2493</v>
      </c>
      <c r="N1182" s="24">
        <v>3340</v>
      </c>
      <c r="O1182" s="24">
        <v>2268</v>
      </c>
      <c r="P1182" s="24">
        <v>3261</v>
      </c>
      <c r="Q1182">
        <v>2103</v>
      </c>
      <c r="R1182">
        <v>3543</v>
      </c>
      <c r="S1182">
        <v>2935</v>
      </c>
      <c r="T1182">
        <v>4642</v>
      </c>
      <c r="U1182">
        <v>3055</v>
      </c>
      <c r="V1182">
        <v>5466</v>
      </c>
      <c r="W1182">
        <v>3465</v>
      </c>
      <c r="X1182">
        <v>6976</v>
      </c>
    </row>
    <row r="1183" spans="2:24" x14ac:dyDescent="0.35">
      <c r="B1183" s="46" t="s">
        <v>1485</v>
      </c>
      <c r="D1183" t="s">
        <v>1471</v>
      </c>
      <c r="E1183" t="s">
        <v>1472</v>
      </c>
      <c r="F1183" s="46" t="s">
        <v>1591</v>
      </c>
      <c r="G1183" t="s">
        <v>303</v>
      </c>
      <c r="H1183" s="23">
        <v>12</v>
      </c>
      <c r="I1183" s="23" t="s">
        <v>1592</v>
      </c>
      <c r="J1183" t="s">
        <v>1593</v>
      </c>
      <c r="K1183">
        <v>686</v>
      </c>
      <c r="L1183">
        <v>843</v>
      </c>
      <c r="M1183" s="24">
        <v>559</v>
      </c>
      <c r="N1183" s="24">
        <v>768</v>
      </c>
      <c r="O1183" s="24">
        <v>565</v>
      </c>
      <c r="P1183" s="24">
        <v>801</v>
      </c>
      <c r="Q1183">
        <v>487</v>
      </c>
      <c r="R1183">
        <v>842</v>
      </c>
      <c r="S1183">
        <v>625</v>
      </c>
      <c r="T1183">
        <v>994</v>
      </c>
      <c r="U1183">
        <v>716</v>
      </c>
      <c r="V1183">
        <v>1145</v>
      </c>
      <c r="W1183">
        <v>808</v>
      </c>
      <c r="X1183">
        <v>1614</v>
      </c>
    </row>
    <row r="1184" spans="2:24" x14ac:dyDescent="0.35">
      <c r="B1184" s="46" t="s">
        <v>1486</v>
      </c>
      <c r="D1184" t="s">
        <v>1471</v>
      </c>
      <c r="E1184" t="s">
        <v>1472</v>
      </c>
      <c r="F1184" s="46" t="s">
        <v>1557</v>
      </c>
      <c r="G1184" t="s">
        <v>283</v>
      </c>
      <c r="H1184" s="23">
        <v>9</v>
      </c>
      <c r="I1184" s="23" t="s">
        <v>1558</v>
      </c>
      <c r="J1184" t="s">
        <v>1559</v>
      </c>
      <c r="K1184">
        <v>1081</v>
      </c>
      <c r="L1184">
        <v>1349</v>
      </c>
      <c r="M1184" s="24">
        <v>981</v>
      </c>
      <c r="N1184" s="24">
        <v>1335</v>
      </c>
      <c r="O1184" s="24">
        <v>963</v>
      </c>
      <c r="P1184" s="24">
        <v>1371</v>
      </c>
      <c r="Q1184">
        <v>692</v>
      </c>
      <c r="R1184">
        <v>1412</v>
      </c>
      <c r="S1184">
        <v>1057</v>
      </c>
      <c r="T1184">
        <v>1922</v>
      </c>
      <c r="U1184">
        <v>1634</v>
      </c>
      <c r="V1184">
        <v>3080</v>
      </c>
      <c r="W1184">
        <v>2901</v>
      </c>
      <c r="X1184">
        <v>4796</v>
      </c>
    </row>
    <row r="1185" spans="2:24" x14ac:dyDescent="0.35">
      <c r="B1185" s="46" t="s">
        <v>1487</v>
      </c>
      <c r="D1185" t="s">
        <v>1471</v>
      </c>
      <c r="E1185" t="s">
        <v>1472</v>
      </c>
      <c r="F1185" s="46" t="s">
        <v>1629</v>
      </c>
      <c r="G1185" t="s">
        <v>581</v>
      </c>
      <c r="H1185" s="23">
        <v>15</v>
      </c>
      <c r="I1185" s="23" t="s">
        <v>1630</v>
      </c>
      <c r="J1185" t="s">
        <v>1631</v>
      </c>
      <c r="K1185">
        <v>5179</v>
      </c>
      <c r="L1185">
        <v>7464</v>
      </c>
      <c r="M1185" s="24">
        <v>4347</v>
      </c>
      <c r="N1185" s="24">
        <v>7644</v>
      </c>
      <c r="O1185" s="24">
        <v>4638</v>
      </c>
      <c r="P1185" s="24">
        <v>8328</v>
      </c>
      <c r="Q1185">
        <v>4481</v>
      </c>
      <c r="R1185">
        <v>9151</v>
      </c>
      <c r="S1185">
        <v>5691</v>
      </c>
      <c r="T1185">
        <v>11322</v>
      </c>
      <c r="U1185">
        <v>6037</v>
      </c>
      <c r="V1185">
        <v>13054</v>
      </c>
      <c r="W1185">
        <v>6351</v>
      </c>
      <c r="X1185">
        <v>15644</v>
      </c>
    </row>
    <row r="1186" spans="2:24" x14ac:dyDescent="0.35">
      <c r="B1186" s="46" t="s">
        <v>1488</v>
      </c>
      <c r="D1186" t="s">
        <v>1471</v>
      </c>
      <c r="E1186" t="s">
        <v>1472</v>
      </c>
      <c r="F1186" s="46" t="s">
        <v>1475</v>
      </c>
      <c r="G1186" t="s">
        <v>231</v>
      </c>
      <c r="H1186" s="23">
        <v>1</v>
      </c>
      <c r="I1186" s="23" t="s">
        <v>1473</v>
      </c>
      <c r="J1186" t="s">
        <v>1476</v>
      </c>
      <c r="K1186">
        <v>13626</v>
      </c>
      <c r="L1186">
        <v>21283</v>
      </c>
      <c r="M1186" s="24">
        <v>11558</v>
      </c>
      <c r="N1186" s="24">
        <v>20707</v>
      </c>
      <c r="O1186" s="24">
        <v>11042</v>
      </c>
      <c r="P1186" s="24">
        <v>21002</v>
      </c>
      <c r="Q1186">
        <v>10799</v>
      </c>
      <c r="R1186">
        <v>23208</v>
      </c>
      <c r="S1186">
        <v>12825</v>
      </c>
      <c r="T1186">
        <v>28120</v>
      </c>
      <c r="U1186">
        <v>13079</v>
      </c>
      <c r="V1186">
        <v>30639</v>
      </c>
      <c r="W1186">
        <v>12835</v>
      </c>
      <c r="X1186">
        <v>34681</v>
      </c>
    </row>
    <row r="1187" spans="2:24" x14ac:dyDescent="0.35">
      <c r="B1187" s="46" t="s">
        <v>1490</v>
      </c>
      <c r="D1187" t="s">
        <v>1471</v>
      </c>
      <c r="E1187" t="s">
        <v>1472</v>
      </c>
      <c r="F1187" s="46" t="s">
        <v>1503</v>
      </c>
      <c r="G1187" t="s">
        <v>235</v>
      </c>
      <c r="H1187" s="23">
        <v>2</v>
      </c>
      <c r="I1187" s="23" t="s">
        <v>1501</v>
      </c>
      <c r="J1187" t="s">
        <v>856</v>
      </c>
      <c r="K1187">
        <v>2695</v>
      </c>
      <c r="L1187">
        <v>3631</v>
      </c>
      <c r="M1187" s="24">
        <v>2426</v>
      </c>
      <c r="N1187" s="24">
        <v>3679</v>
      </c>
      <c r="O1187" s="24">
        <v>2472</v>
      </c>
      <c r="P1187" s="24">
        <v>3856</v>
      </c>
      <c r="Q1187">
        <v>2549</v>
      </c>
      <c r="R1187">
        <v>4265</v>
      </c>
      <c r="S1187">
        <v>2958</v>
      </c>
      <c r="T1187">
        <v>5231</v>
      </c>
      <c r="U1187">
        <v>3010</v>
      </c>
      <c r="V1187">
        <v>6196</v>
      </c>
      <c r="W1187">
        <v>4650</v>
      </c>
      <c r="X1187">
        <v>8454</v>
      </c>
    </row>
    <row r="1188" spans="2:24" x14ac:dyDescent="0.35">
      <c r="B1188" s="46" t="s">
        <v>1491</v>
      </c>
      <c r="D1188" t="s">
        <v>1471</v>
      </c>
      <c r="E1188" t="s">
        <v>1472</v>
      </c>
      <c r="F1188" s="46" t="s">
        <v>1521</v>
      </c>
      <c r="G1188" t="s">
        <v>255</v>
      </c>
      <c r="H1188" s="23">
        <v>4</v>
      </c>
      <c r="I1188" s="23" t="s">
        <v>1519</v>
      </c>
      <c r="J1188" t="s">
        <v>1522</v>
      </c>
      <c r="K1188">
        <v>7066</v>
      </c>
      <c r="L1188">
        <v>10478</v>
      </c>
      <c r="M1188" s="24">
        <v>5748</v>
      </c>
      <c r="N1188" s="24">
        <v>9894</v>
      </c>
      <c r="O1188" s="24">
        <v>4862</v>
      </c>
      <c r="P1188" s="24">
        <v>9986</v>
      </c>
      <c r="Q1188">
        <v>4592</v>
      </c>
      <c r="R1188">
        <v>10375</v>
      </c>
      <c r="S1188">
        <v>7875</v>
      </c>
      <c r="T1188">
        <v>14953</v>
      </c>
      <c r="U1188">
        <v>10761</v>
      </c>
      <c r="V1188">
        <v>18974</v>
      </c>
      <c r="W1188">
        <v>14258</v>
      </c>
      <c r="X1188">
        <v>25189</v>
      </c>
    </row>
    <row r="1189" spans="2:24" x14ac:dyDescent="0.35">
      <c r="B1189" s="46" t="s">
        <v>1492</v>
      </c>
      <c r="D1189" t="s">
        <v>1471</v>
      </c>
      <c r="E1189" t="s">
        <v>1472</v>
      </c>
      <c r="F1189" s="46" t="s">
        <v>1504</v>
      </c>
      <c r="G1189" t="s">
        <v>235</v>
      </c>
      <c r="H1189" s="23">
        <v>2</v>
      </c>
      <c r="I1189" s="23" t="s">
        <v>1501</v>
      </c>
      <c r="J1189" t="s">
        <v>1505</v>
      </c>
      <c r="K1189">
        <v>3081</v>
      </c>
      <c r="L1189">
        <v>3904</v>
      </c>
      <c r="M1189" s="24">
        <v>2677</v>
      </c>
      <c r="N1189" s="24">
        <v>3982</v>
      </c>
      <c r="O1189" s="24">
        <v>2938</v>
      </c>
      <c r="P1189" s="24">
        <v>4489</v>
      </c>
      <c r="Q1189">
        <v>3096</v>
      </c>
      <c r="R1189">
        <v>4971</v>
      </c>
      <c r="S1189">
        <v>3306</v>
      </c>
      <c r="T1189">
        <v>5829</v>
      </c>
      <c r="U1189">
        <v>3351</v>
      </c>
      <c r="V1189">
        <v>6312</v>
      </c>
      <c r="W1189">
        <v>4514</v>
      </c>
      <c r="X1189">
        <v>7973</v>
      </c>
    </row>
    <row r="1190" spans="2:24" x14ac:dyDescent="0.35">
      <c r="B1190" s="46" t="s">
        <v>1494</v>
      </c>
      <c r="D1190" t="s">
        <v>1471</v>
      </c>
      <c r="E1190" t="s">
        <v>1472</v>
      </c>
      <c r="F1190" s="46" t="s">
        <v>1594</v>
      </c>
      <c r="G1190" t="s">
        <v>303</v>
      </c>
      <c r="H1190" s="23">
        <v>12</v>
      </c>
      <c r="I1190" s="23" t="s">
        <v>1592</v>
      </c>
      <c r="J1190" t="s">
        <v>882</v>
      </c>
      <c r="K1190">
        <v>248</v>
      </c>
      <c r="L1190">
        <v>369</v>
      </c>
      <c r="M1190" s="24">
        <v>215</v>
      </c>
      <c r="N1190" s="24">
        <v>346</v>
      </c>
      <c r="O1190" s="24">
        <v>229</v>
      </c>
      <c r="P1190" s="24">
        <v>372</v>
      </c>
      <c r="Q1190">
        <v>215</v>
      </c>
      <c r="R1190">
        <v>377</v>
      </c>
      <c r="S1190">
        <v>278</v>
      </c>
      <c r="T1190">
        <v>495</v>
      </c>
      <c r="U1190">
        <v>333</v>
      </c>
      <c r="V1190">
        <v>677</v>
      </c>
      <c r="W1190">
        <v>450</v>
      </c>
      <c r="X1190">
        <v>1007</v>
      </c>
    </row>
    <row r="1191" spans="2:24" x14ac:dyDescent="0.35">
      <c r="B1191" s="46" t="s">
        <v>1496</v>
      </c>
      <c r="D1191" t="s">
        <v>1471</v>
      </c>
      <c r="E1191" t="s">
        <v>1472</v>
      </c>
      <c r="F1191" s="46" t="s">
        <v>1645</v>
      </c>
      <c r="G1191" t="s">
        <v>585</v>
      </c>
      <c r="H1191" s="23">
        <v>16</v>
      </c>
      <c r="I1191" s="23" t="s">
        <v>1643</v>
      </c>
      <c r="J1191" t="s">
        <v>1646</v>
      </c>
      <c r="K1191">
        <v>3917</v>
      </c>
      <c r="L1191">
        <v>5206</v>
      </c>
      <c r="M1191" s="24">
        <v>3372</v>
      </c>
      <c r="N1191" s="24">
        <v>5088</v>
      </c>
      <c r="O1191" s="24">
        <v>3276</v>
      </c>
      <c r="P1191" s="24">
        <v>5274</v>
      </c>
      <c r="Q1191">
        <v>3115</v>
      </c>
      <c r="R1191">
        <v>5609</v>
      </c>
      <c r="S1191">
        <v>4020</v>
      </c>
      <c r="T1191">
        <v>6817</v>
      </c>
      <c r="U1191">
        <v>4024</v>
      </c>
      <c r="V1191">
        <v>7613</v>
      </c>
      <c r="W1191">
        <v>4039</v>
      </c>
      <c r="X1191">
        <v>8638</v>
      </c>
    </row>
    <row r="1192" spans="2:24" x14ac:dyDescent="0.35">
      <c r="B1192" s="46" t="s">
        <v>1498</v>
      </c>
      <c r="D1192" t="s">
        <v>1471</v>
      </c>
      <c r="E1192" t="s">
        <v>1472</v>
      </c>
      <c r="F1192" s="46" t="s">
        <v>1582</v>
      </c>
      <c r="G1192" t="s">
        <v>293</v>
      </c>
      <c r="H1192" s="23">
        <v>11</v>
      </c>
      <c r="I1192" s="23" t="s">
        <v>1580</v>
      </c>
      <c r="J1192" t="s">
        <v>1583</v>
      </c>
      <c r="K1192">
        <v>687</v>
      </c>
      <c r="L1192">
        <v>877</v>
      </c>
      <c r="M1192" s="24">
        <v>592</v>
      </c>
      <c r="N1192" s="24">
        <v>867</v>
      </c>
      <c r="O1192" s="24">
        <v>564</v>
      </c>
      <c r="P1192" s="24">
        <v>847</v>
      </c>
      <c r="Q1192">
        <v>512</v>
      </c>
      <c r="R1192">
        <v>855</v>
      </c>
      <c r="S1192">
        <v>569</v>
      </c>
      <c r="T1192">
        <v>1033</v>
      </c>
      <c r="U1192">
        <v>729</v>
      </c>
      <c r="V1192">
        <v>1322</v>
      </c>
      <c r="W1192">
        <v>830</v>
      </c>
      <c r="X1192">
        <v>1999</v>
      </c>
    </row>
    <row r="1193" spans="2:24" x14ac:dyDescent="0.35">
      <c r="B1193" s="46" t="s">
        <v>1500</v>
      </c>
      <c r="D1193" t="s">
        <v>1471</v>
      </c>
      <c r="E1193" t="s">
        <v>1472</v>
      </c>
      <c r="F1193" s="46" t="s">
        <v>1506</v>
      </c>
      <c r="G1193" t="s">
        <v>235</v>
      </c>
      <c r="H1193" s="23">
        <v>2</v>
      </c>
      <c r="I1193" s="23" t="s">
        <v>1501</v>
      </c>
      <c r="J1193" t="s">
        <v>1507</v>
      </c>
      <c r="K1193">
        <v>6396</v>
      </c>
      <c r="L1193">
        <v>8355</v>
      </c>
      <c r="M1193" s="24">
        <v>5360</v>
      </c>
      <c r="N1193" s="24">
        <v>8270</v>
      </c>
      <c r="O1193" s="24">
        <v>5460</v>
      </c>
      <c r="P1193" s="24">
        <v>8860</v>
      </c>
      <c r="Q1193">
        <v>5739</v>
      </c>
      <c r="R1193">
        <v>9884</v>
      </c>
      <c r="S1193">
        <v>6537</v>
      </c>
      <c r="T1193">
        <v>12269</v>
      </c>
      <c r="U1193">
        <v>6491</v>
      </c>
      <c r="V1193">
        <v>13138</v>
      </c>
      <c r="W1193">
        <v>8519</v>
      </c>
      <c r="X1193">
        <v>15881</v>
      </c>
    </row>
    <row r="1194" spans="2:24" x14ac:dyDescent="0.35">
      <c r="B1194" s="46" t="s">
        <v>1503</v>
      </c>
      <c r="D1194" t="s">
        <v>1471</v>
      </c>
      <c r="E1194" t="s">
        <v>1472</v>
      </c>
      <c r="F1194" s="46" t="s">
        <v>1584</v>
      </c>
      <c r="G1194" t="s">
        <v>293</v>
      </c>
      <c r="H1194" s="23">
        <v>11</v>
      </c>
      <c r="I1194" s="23" t="s">
        <v>1580</v>
      </c>
      <c r="J1194" t="s">
        <v>1013</v>
      </c>
      <c r="K1194">
        <v>2240</v>
      </c>
      <c r="L1194">
        <v>3626</v>
      </c>
      <c r="M1194" s="24">
        <v>1839</v>
      </c>
      <c r="N1194" s="24">
        <v>3373</v>
      </c>
      <c r="O1194" s="24">
        <v>1699</v>
      </c>
      <c r="P1194" s="24">
        <v>3307</v>
      </c>
      <c r="Q1194">
        <v>1637</v>
      </c>
      <c r="R1194">
        <v>3633</v>
      </c>
      <c r="S1194">
        <v>2017</v>
      </c>
      <c r="T1194">
        <v>4356</v>
      </c>
      <c r="U1194">
        <v>2327</v>
      </c>
      <c r="V1194">
        <v>5313</v>
      </c>
      <c r="W1194">
        <v>2552</v>
      </c>
      <c r="X1194">
        <v>6717</v>
      </c>
    </row>
    <row r="1195" spans="2:24" x14ac:dyDescent="0.35">
      <c r="B1195" s="46" t="s">
        <v>1504</v>
      </c>
      <c r="D1195" t="s">
        <v>1471</v>
      </c>
      <c r="E1195" t="s">
        <v>1472</v>
      </c>
      <c r="F1195" s="46" t="s">
        <v>1477</v>
      </c>
      <c r="G1195" t="s">
        <v>231</v>
      </c>
      <c r="H1195" s="23">
        <v>1</v>
      </c>
      <c r="I1195" s="23" t="s">
        <v>1473</v>
      </c>
      <c r="J1195" t="s">
        <v>323</v>
      </c>
      <c r="K1195">
        <v>1198</v>
      </c>
      <c r="L1195">
        <v>1599</v>
      </c>
      <c r="M1195" s="24">
        <v>1084</v>
      </c>
      <c r="N1195" s="24">
        <v>1627</v>
      </c>
      <c r="O1195" s="24">
        <v>1045</v>
      </c>
      <c r="P1195" s="24">
        <v>1661</v>
      </c>
      <c r="Q1195">
        <v>1068</v>
      </c>
      <c r="R1195">
        <v>1825</v>
      </c>
      <c r="S1195">
        <v>1511</v>
      </c>
      <c r="T1195">
        <v>2373</v>
      </c>
      <c r="U1195">
        <v>1591</v>
      </c>
      <c r="V1195">
        <v>2813</v>
      </c>
      <c r="W1195">
        <v>1730</v>
      </c>
      <c r="X1195">
        <v>3473</v>
      </c>
    </row>
    <row r="1196" spans="2:24" x14ac:dyDescent="0.35">
      <c r="B1196" s="46" t="s">
        <v>1506</v>
      </c>
      <c r="D1196" t="s">
        <v>1471</v>
      </c>
      <c r="E1196" t="s">
        <v>1472</v>
      </c>
      <c r="F1196" s="46" t="s">
        <v>1595</v>
      </c>
      <c r="G1196" t="s">
        <v>303</v>
      </c>
      <c r="H1196" s="23">
        <v>12</v>
      </c>
      <c r="I1196" s="23" t="s">
        <v>1592</v>
      </c>
      <c r="J1196" t="s">
        <v>1596</v>
      </c>
      <c r="K1196">
        <v>533</v>
      </c>
      <c r="L1196">
        <v>728</v>
      </c>
      <c r="M1196" s="24">
        <v>458</v>
      </c>
      <c r="N1196" s="24">
        <v>724</v>
      </c>
      <c r="O1196" s="24">
        <v>410</v>
      </c>
      <c r="P1196" s="24">
        <v>727</v>
      </c>
      <c r="Q1196">
        <v>360</v>
      </c>
      <c r="R1196">
        <v>771</v>
      </c>
      <c r="S1196">
        <v>496</v>
      </c>
      <c r="T1196">
        <v>918</v>
      </c>
      <c r="U1196">
        <v>540</v>
      </c>
      <c r="V1196">
        <v>1023</v>
      </c>
      <c r="W1196">
        <v>632</v>
      </c>
      <c r="X1196">
        <v>1401</v>
      </c>
    </row>
    <row r="1197" spans="2:24" x14ac:dyDescent="0.35">
      <c r="B1197" s="46" t="s">
        <v>1508</v>
      </c>
      <c r="D1197" t="s">
        <v>1471</v>
      </c>
      <c r="E1197" t="s">
        <v>1472</v>
      </c>
      <c r="F1197" s="46" t="s">
        <v>1478</v>
      </c>
      <c r="G1197" t="s">
        <v>231</v>
      </c>
      <c r="H1197" s="23">
        <v>1</v>
      </c>
      <c r="I1197" s="23" t="s">
        <v>1473</v>
      </c>
      <c r="J1197" t="s">
        <v>329</v>
      </c>
      <c r="K1197">
        <v>546</v>
      </c>
      <c r="L1197">
        <v>733</v>
      </c>
      <c r="M1197" s="24">
        <v>450</v>
      </c>
      <c r="N1197" s="24">
        <v>726</v>
      </c>
      <c r="O1197" s="24">
        <v>430</v>
      </c>
      <c r="P1197" s="24">
        <v>714</v>
      </c>
      <c r="Q1197">
        <v>418</v>
      </c>
      <c r="R1197">
        <v>763</v>
      </c>
      <c r="S1197">
        <v>593</v>
      </c>
      <c r="T1197">
        <v>954</v>
      </c>
      <c r="U1197">
        <v>581</v>
      </c>
      <c r="V1197">
        <v>1035</v>
      </c>
      <c r="W1197">
        <v>525</v>
      </c>
      <c r="X1197">
        <v>1174</v>
      </c>
    </row>
    <row r="1198" spans="2:24" x14ac:dyDescent="0.35">
      <c r="B1198" s="46" t="s">
        <v>1510</v>
      </c>
      <c r="D1198" t="s">
        <v>1471</v>
      </c>
      <c r="E1198" t="s">
        <v>1472</v>
      </c>
      <c r="F1198" s="46" t="s">
        <v>1530</v>
      </c>
      <c r="G1198" t="s">
        <v>259</v>
      </c>
      <c r="H1198" s="23">
        <v>5</v>
      </c>
      <c r="I1198" s="23" t="s">
        <v>1531</v>
      </c>
      <c r="J1198" t="s">
        <v>481</v>
      </c>
      <c r="K1198">
        <v>2629</v>
      </c>
      <c r="L1198">
        <v>3723</v>
      </c>
      <c r="M1198" s="24">
        <v>2219</v>
      </c>
      <c r="N1198" s="24">
        <v>3530</v>
      </c>
      <c r="O1198" s="24">
        <v>2039</v>
      </c>
      <c r="P1198" s="24">
        <v>3464</v>
      </c>
      <c r="Q1198">
        <v>1990</v>
      </c>
      <c r="R1198">
        <v>3554</v>
      </c>
      <c r="S1198">
        <v>1935</v>
      </c>
      <c r="T1198">
        <v>4191</v>
      </c>
      <c r="U1198">
        <v>3164</v>
      </c>
      <c r="V1198">
        <v>5666</v>
      </c>
      <c r="W1198">
        <v>5211</v>
      </c>
      <c r="X1198">
        <v>9198</v>
      </c>
    </row>
    <row r="1199" spans="2:24" x14ac:dyDescent="0.35">
      <c r="B1199" s="46" t="s">
        <v>1513</v>
      </c>
      <c r="D1199" t="s">
        <v>1471</v>
      </c>
      <c r="E1199" t="s">
        <v>1472</v>
      </c>
      <c r="F1199" s="46" t="s">
        <v>1632</v>
      </c>
      <c r="G1199" t="s">
        <v>581</v>
      </c>
      <c r="H1199" s="23">
        <v>15</v>
      </c>
      <c r="I1199" s="23" t="s">
        <v>1630</v>
      </c>
      <c r="J1199" t="s">
        <v>1633</v>
      </c>
      <c r="K1199">
        <v>1787</v>
      </c>
      <c r="L1199">
        <v>2360</v>
      </c>
      <c r="M1199" s="24">
        <v>1658</v>
      </c>
      <c r="N1199" s="24">
        <v>2392</v>
      </c>
      <c r="O1199" s="24">
        <v>1825</v>
      </c>
      <c r="P1199" s="24">
        <v>2626</v>
      </c>
      <c r="Q1199">
        <v>1848</v>
      </c>
      <c r="R1199">
        <v>2878</v>
      </c>
      <c r="S1199">
        <v>1837</v>
      </c>
      <c r="T1199">
        <v>3442</v>
      </c>
      <c r="U1199">
        <v>2172</v>
      </c>
      <c r="V1199">
        <v>4219</v>
      </c>
      <c r="W1199">
        <v>3624</v>
      </c>
      <c r="X1199">
        <v>5999</v>
      </c>
    </row>
    <row r="1200" spans="2:24" x14ac:dyDescent="0.35">
      <c r="B1200" s="46" t="s">
        <v>1515</v>
      </c>
      <c r="D1200" t="s">
        <v>1471</v>
      </c>
      <c r="E1200" t="s">
        <v>1472</v>
      </c>
      <c r="F1200" s="46" t="s">
        <v>1647</v>
      </c>
      <c r="G1200" t="s">
        <v>585</v>
      </c>
      <c r="H1200" s="23">
        <v>16</v>
      </c>
      <c r="I1200" s="23" t="s">
        <v>1643</v>
      </c>
      <c r="J1200" t="s">
        <v>1648</v>
      </c>
      <c r="K1200">
        <v>3851</v>
      </c>
      <c r="L1200">
        <v>4851</v>
      </c>
      <c r="M1200" s="24">
        <v>3455</v>
      </c>
      <c r="N1200" s="24">
        <v>4816</v>
      </c>
      <c r="O1200" s="24">
        <v>3331</v>
      </c>
      <c r="P1200" s="24">
        <v>4932</v>
      </c>
      <c r="Q1200">
        <v>3312</v>
      </c>
      <c r="R1200">
        <v>5389</v>
      </c>
      <c r="S1200">
        <v>4114</v>
      </c>
      <c r="T1200">
        <v>6490</v>
      </c>
      <c r="U1200">
        <v>4057</v>
      </c>
      <c r="V1200">
        <v>7171</v>
      </c>
      <c r="W1200">
        <v>4248</v>
      </c>
      <c r="X1200">
        <v>8771</v>
      </c>
    </row>
    <row r="1201" spans="2:24" x14ac:dyDescent="0.35">
      <c r="B1201" s="46" t="s">
        <v>1517</v>
      </c>
      <c r="D1201" t="s">
        <v>1471</v>
      </c>
      <c r="E1201" t="s">
        <v>1472</v>
      </c>
      <c r="F1201" s="46" t="s">
        <v>1560</v>
      </c>
      <c r="G1201" t="s">
        <v>283</v>
      </c>
      <c r="H1201" s="23">
        <v>9</v>
      </c>
      <c r="I1201" s="23" t="s">
        <v>1558</v>
      </c>
      <c r="J1201" t="s">
        <v>1561</v>
      </c>
      <c r="K1201">
        <v>7985</v>
      </c>
      <c r="L1201">
        <v>10160</v>
      </c>
      <c r="M1201" s="24">
        <v>7333</v>
      </c>
      <c r="N1201" s="24">
        <v>9934</v>
      </c>
      <c r="O1201" s="24">
        <v>7553</v>
      </c>
      <c r="P1201" s="24">
        <v>10606</v>
      </c>
      <c r="Q1201">
        <v>6500</v>
      </c>
      <c r="R1201">
        <v>11596</v>
      </c>
      <c r="S1201">
        <v>8479</v>
      </c>
      <c r="T1201">
        <v>14568</v>
      </c>
      <c r="U1201">
        <v>10982</v>
      </c>
      <c r="V1201">
        <v>18710</v>
      </c>
      <c r="W1201">
        <v>16596</v>
      </c>
      <c r="X1201">
        <v>26520</v>
      </c>
    </row>
    <row r="1202" spans="2:24" x14ac:dyDescent="0.35">
      <c r="B1202" s="46" t="s">
        <v>1518</v>
      </c>
      <c r="D1202" t="s">
        <v>1471</v>
      </c>
      <c r="E1202" t="s">
        <v>1472</v>
      </c>
      <c r="F1202" s="46" t="s">
        <v>1597</v>
      </c>
      <c r="G1202" t="s">
        <v>303</v>
      </c>
      <c r="H1202" s="23">
        <v>12</v>
      </c>
      <c r="I1202" s="23" t="s">
        <v>1592</v>
      </c>
      <c r="J1202" t="s">
        <v>1598</v>
      </c>
      <c r="K1202">
        <v>1033</v>
      </c>
      <c r="L1202">
        <v>1458</v>
      </c>
      <c r="M1202" s="24">
        <v>902</v>
      </c>
      <c r="N1202" s="24">
        <v>1452</v>
      </c>
      <c r="O1202" s="24">
        <v>832</v>
      </c>
      <c r="P1202" s="24">
        <v>1490</v>
      </c>
      <c r="Q1202">
        <v>780</v>
      </c>
      <c r="R1202">
        <v>1614</v>
      </c>
      <c r="S1202">
        <v>1072</v>
      </c>
      <c r="T1202">
        <v>2018</v>
      </c>
      <c r="U1202">
        <v>1037</v>
      </c>
      <c r="V1202">
        <v>2190</v>
      </c>
      <c r="W1202">
        <v>1014</v>
      </c>
      <c r="X1202">
        <v>2528</v>
      </c>
    </row>
    <row r="1203" spans="2:24" x14ac:dyDescent="0.35">
      <c r="B1203" s="46" t="s">
        <v>1521</v>
      </c>
      <c r="D1203" t="s">
        <v>1471</v>
      </c>
      <c r="E1203" t="s">
        <v>1472</v>
      </c>
      <c r="F1203" s="46" t="s">
        <v>1649</v>
      </c>
      <c r="G1203" t="s">
        <v>585</v>
      </c>
      <c r="H1203" s="23">
        <v>16</v>
      </c>
      <c r="I1203" s="23" t="s">
        <v>1643</v>
      </c>
      <c r="J1203" t="s">
        <v>1650</v>
      </c>
      <c r="K1203">
        <v>3141</v>
      </c>
      <c r="L1203">
        <v>4559</v>
      </c>
      <c r="M1203" s="24">
        <v>2607</v>
      </c>
      <c r="N1203" s="24">
        <v>4520</v>
      </c>
      <c r="O1203" s="24">
        <v>2431</v>
      </c>
      <c r="P1203" s="24">
        <v>4529</v>
      </c>
      <c r="Q1203">
        <v>2294</v>
      </c>
      <c r="R1203">
        <v>4841</v>
      </c>
      <c r="S1203">
        <v>2713</v>
      </c>
      <c r="T1203">
        <v>5672</v>
      </c>
      <c r="U1203">
        <v>2572</v>
      </c>
      <c r="V1203">
        <v>5941</v>
      </c>
      <c r="W1203">
        <v>2663</v>
      </c>
      <c r="X1203">
        <v>6394</v>
      </c>
    </row>
    <row r="1204" spans="2:24" x14ac:dyDescent="0.35">
      <c r="B1204" s="46" t="s">
        <v>1523</v>
      </c>
      <c r="D1204" t="s">
        <v>1471</v>
      </c>
      <c r="E1204" t="s">
        <v>1472</v>
      </c>
      <c r="F1204" s="46" t="s">
        <v>1535</v>
      </c>
      <c r="G1204" t="s">
        <v>265</v>
      </c>
      <c r="H1204" s="23">
        <v>6</v>
      </c>
      <c r="I1204" s="23" t="s">
        <v>1536</v>
      </c>
      <c r="J1204" t="s">
        <v>1537</v>
      </c>
      <c r="K1204">
        <v>6163</v>
      </c>
      <c r="L1204">
        <v>8239</v>
      </c>
      <c r="M1204" s="24">
        <v>5621</v>
      </c>
      <c r="N1204" s="24">
        <v>8076</v>
      </c>
      <c r="O1204" s="24">
        <v>4952</v>
      </c>
      <c r="P1204" s="24">
        <v>8098</v>
      </c>
      <c r="Q1204">
        <v>4504</v>
      </c>
      <c r="R1204">
        <v>8379</v>
      </c>
      <c r="S1204">
        <v>5562</v>
      </c>
      <c r="T1204">
        <v>10337</v>
      </c>
      <c r="U1204">
        <v>6447</v>
      </c>
      <c r="V1204">
        <v>12933</v>
      </c>
      <c r="W1204">
        <v>7339</v>
      </c>
      <c r="X1204">
        <v>16860</v>
      </c>
    </row>
    <row r="1205" spans="2:24" x14ac:dyDescent="0.35">
      <c r="B1205" s="46" t="s">
        <v>1525</v>
      </c>
      <c r="D1205" t="s">
        <v>1471</v>
      </c>
      <c r="E1205" t="s">
        <v>1472</v>
      </c>
      <c r="F1205" s="46" t="s">
        <v>1538</v>
      </c>
      <c r="G1205" t="s">
        <v>265</v>
      </c>
      <c r="H1205" s="23">
        <v>6</v>
      </c>
      <c r="I1205" s="23" t="s">
        <v>1536</v>
      </c>
      <c r="J1205" t="s">
        <v>1539</v>
      </c>
      <c r="K1205">
        <v>1559</v>
      </c>
      <c r="L1205">
        <v>2149</v>
      </c>
      <c r="M1205" s="24">
        <v>1370</v>
      </c>
      <c r="N1205" s="24">
        <v>2036</v>
      </c>
      <c r="O1205" s="24">
        <v>1141</v>
      </c>
      <c r="P1205" s="24">
        <v>2056</v>
      </c>
      <c r="Q1205">
        <v>1024</v>
      </c>
      <c r="R1205">
        <v>2073</v>
      </c>
      <c r="S1205">
        <v>1245</v>
      </c>
      <c r="T1205">
        <v>2501</v>
      </c>
      <c r="U1205">
        <v>1324</v>
      </c>
      <c r="V1205">
        <v>2862</v>
      </c>
      <c r="W1205">
        <v>1546</v>
      </c>
      <c r="X1205">
        <v>3484</v>
      </c>
    </row>
    <row r="1206" spans="2:24" x14ac:dyDescent="0.35">
      <c r="B1206" s="46" t="s">
        <v>1527</v>
      </c>
      <c r="D1206" t="s">
        <v>1471</v>
      </c>
      <c r="E1206" t="s">
        <v>1472</v>
      </c>
      <c r="F1206" s="46" t="s">
        <v>1634</v>
      </c>
      <c r="G1206" t="s">
        <v>581</v>
      </c>
      <c r="H1206" s="23">
        <v>15</v>
      </c>
      <c r="I1206" s="23" t="s">
        <v>1630</v>
      </c>
      <c r="J1206" t="s">
        <v>1635</v>
      </c>
      <c r="K1206">
        <v>1770</v>
      </c>
      <c r="L1206">
        <v>2202</v>
      </c>
      <c r="M1206" s="24">
        <v>1615</v>
      </c>
      <c r="N1206" s="24">
        <v>2239</v>
      </c>
      <c r="O1206" s="24">
        <v>1666</v>
      </c>
      <c r="P1206" s="24">
        <v>2385</v>
      </c>
      <c r="Q1206">
        <v>1493</v>
      </c>
      <c r="R1206">
        <v>2497</v>
      </c>
      <c r="S1206">
        <v>1898</v>
      </c>
      <c r="T1206">
        <v>3185</v>
      </c>
      <c r="U1206">
        <v>2191</v>
      </c>
      <c r="V1206">
        <v>4536</v>
      </c>
      <c r="W1206">
        <v>2470</v>
      </c>
      <c r="X1206">
        <v>7156</v>
      </c>
    </row>
    <row r="1207" spans="2:24" x14ac:dyDescent="0.35">
      <c r="B1207" s="46" t="s">
        <v>1529</v>
      </c>
      <c r="D1207" t="s">
        <v>1471</v>
      </c>
      <c r="E1207" t="s">
        <v>1472</v>
      </c>
      <c r="F1207" s="46" t="s">
        <v>1585</v>
      </c>
      <c r="G1207" t="s">
        <v>293</v>
      </c>
      <c r="H1207" s="23">
        <v>11</v>
      </c>
      <c r="I1207" s="23" t="s">
        <v>1580</v>
      </c>
      <c r="J1207" t="s">
        <v>1586</v>
      </c>
      <c r="K1207">
        <v>8976</v>
      </c>
      <c r="L1207">
        <v>14208</v>
      </c>
      <c r="M1207" s="24">
        <v>7578</v>
      </c>
      <c r="N1207" s="24">
        <v>13028</v>
      </c>
      <c r="O1207" s="24">
        <v>6975</v>
      </c>
      <c r="P1207" s="24">
        <v>12418</v>
      </c>
      <c r="Q1207">
        <v>6437</v>
      </c>
      <c r="R1207">
        <v>13242</v>
      </c>
      <c r="S1207">
        <v>8560</v>
      </c>
      <c r="T1207">
        <v>16479</v>
      </c>
      <c r="U1207">
        <v>11511</v>
      </c>
      <c r="V1207">
        <v>21443</v>
      </c>
      <c r="W1207">
        <v>11637</v>
      </c>
      <c r="X1207">
        <v>29270</v>
      </c>
    </row>
    <row r="1208" spans="2:24" x14ac:dyDescent="0.35">
      <c r="B1208" s="46" t="s">
        <v>1530</v>
      </c>
      <c r="D1208" t="s">
        <v>1471</v>
      </c>
      <c r="E1208" t="s">
        <v>1472</v>
      </c>
      <c r="F1208" s="46" t="s">
        <v>1618</v>
      </c>
      <c r="G1208" t="s">
        <v>577</v>
      </c>
      <c r="H1208" s="23">
        <v>14</v>
      </c>
      <c r="I1208" s="23" t="s">
        <v>1619</v>
      </c>
      <c r="J1208" t="s">
        <v>1620</v>
      </c>
      <c r="K1208">
        <v>1877</v>
      </c>
      <c r="L1208">
        <v>2211</v>
      </c>
      <c r="M1208" s="24">
        <v>1570</v>
      </c>
      <c r="N1208" s="24">
        <v>2039</v>
      </c>
      <c r="O1208" s="24">
        <v>1361</v>
      </c>
      <c r="P1208" s="24">
        <v>1885</v>
      </c>
      <c r="Q1208">
        <v>1278</v>
      </c>
      <c r="R1208">
        <v>2029</v>
      </c>
      <c r="S1208">
        <v>1250</v>
      </c>
      <c r="T1208">
        <v>2477</v>
      </c>
      <c r="U1208">
        <v>1696</v>
      </c>
      <c r="V1208">
        <v>3110</v>
      </c>
      <c r="W1208">
        <v>3491</v>
      </c>
      <c r="X1208">
        <v>5111</v>
      </c>
    </row>
    <row r="1209" spans="2:24" x14ac:dyDescent="0.35">
      <c r="B1209" s="46" t="s">
        <v>1532</v>
      </c>
      <c r="D1209" t="s">
        <v>1471</v>
      </c>
      <c r="E1209" t="s">
        <v>1472</v>
      </c>
      <c r="F1209" s="46" t="s">
        <v>1540</v>
      </c>
      <c r="G1209" t="s">
        <v>265</v>
      </c>
      <c r="H1209" s="23">
        <v>6</v>
      </c>
      <c r="I1209" s="23" t="s">
        <v>1536</v>
      </c>
      <c r="J1209" t="s">
        <v>831</v>
      </c>
      <c r="K1209">
        <v>13465</v>
      </c>
      <c r="L1209">
        <v>18419</v>
      </c>
      <c r="M1209" s="24">
        <v>11973</v>
      </c>
      <c r="N1209" s="24">
        <v>17704</v>
      </c>
      <c r="O1209" s="24">
        <v>10414</v>
      </c>
      <c r="P1209" s="24">
        <v>17730</v>
      </c>
      <c r="Q1209">
        <v>9550</v>
      </c>
      <c r="R1209">
        <v>18774</v>
      </c>
      <c r="S1209">
        <v>11980</v>
      </c>
      <c r="T1209">
        <v>23622</v>
      </c>
      <c r="U1209">
        <v>13157</v>
      </c>
      <c r="V1209">
        <v>27239</v>
      </c>
      <c r="W1209">
        <v>15509</v>
      </c>
      <c r="X1209">
        <v>34048</v>
      </c>
    </row>
    <row r="1210" spans="2:24" x14ac:dyDescent="0.35">
      <c r="B1210" s="46" t="s">
        <v>1534</v>
      </c>
      <c r="D1210" t="s">
        <v>1471</v>
      </c>
      <c r="E1210" t="s">
        <v>1472</v>
      </c>
      <c r="F1210" s="46" t="s">
        <v>1612</v>
      </c>
      <c r="G1210" t="s">
        <v>311</v>
      </c>
      <c r="H1210" s="23">
        <v>13</v>
      </c>
      <c r="I1210" s="23" t="s">
        <v>1613</v>
      </c>
      <c r="J1210" t="s">
        <v>355</v>
      </c>
      <c r="K1210">
        <v>2188</v>
      </c>
      <c r="L1210">
        <v>3113</v>
      </c>
      <c r="M1210" s="24">
        <v>1907</v>
      </c>
      <c r="N1210" s="24">
        <v>3000</v>
      </c>
      <c r="O1210" s="24">
        <v>1762</v>
      </c>
      <c r="P1210" s="24">
        <v>3002</v>
      </c>
      <c r="Q1210">
        <v>1501</v>
      </c>
      <c r="R1210">
        <v>2964</v>
      </c>
      <c r="S1210">
        <v>2219</v>
      </c>
      <c r="T1210">
        <v>4128</v>
      </c>
      <c r="U1210">
        <v>2689</v>
      </c>
      <c r="V1210">
        <v>5345</v>
      </c>
      <c r="W1210">
        <v>3869</v>
      </c>
      <c r="X1210">
        <v>7322</v>
      </c>
    </row>
    <row r="1211" spans="2:24" x14ac:dyDescent="0.35">
      <c r="B1211" s="46" t="s">
        <v>1535</v>
      </c>
      <c r="D1211" t="s">
        <v>1471</v>
      </c>
      <c r="E1211" t="s">
        <v>1472</v>
      </c>
      <c r="F1211" s="46" t="s">
        <v>1532</v>
      </c>
      <c r="G1211" t="s">
        <v>259</v>
      </c>
      <c r="H1211" s="23">
        <v>5</v>
      </c>
      <c r="I1211" s="23" t="s">
        <v>1531</v>
      </c>
      <c r="J1211" t="s">
        <v>1533</v>
      </c>
      <c r="K1211">
        <v>5875</v>
      </c>
      <c r="L1211">
        <v>8527</v>
      </c>
      <c r="M1211" s="24">
        <v>5080</v>
      </c>
      <c r="N1211" s="24">
        <v>8177</v>
      </c>
      <c r="O1211" s="24">
        <v>4233</v>
      </c>
      <c r="P1211" s="24">
        <v>7975</v>
      </c>
      <c r="Q1211">
        <v>3906</v>
      </c>
      <c r="R1211">
        <v>8057</v>
      </c>
      <c r="S1211">
        <v>6653</v>
      </c>
      <c r="T1211">
        <v>12155</v>
      </c>
      <c r="U1211">
        <v>9138</v>
      </c>
      <c r="V1211">
        <v>16243</v>
      </c>
      <c r="W1211">
        <v>13955</v>
      </c>
      <c r="X1211">
        <v>24191</v>
      </c>
    </row>
    <row r="1212" spans="2:24" x14ac:dyDescent="0.35">
      <c r="B1212" s="46" t="s">
        <v>1538</v>
      </c>
      <c r="D1212" t="s">
        <v>1471</v>
      </c>
      <c r="E1212" t="s">
        <v>1472</v>
      </c>
      <c r="F1212" s="46" t="s">
        <v>1599</v>
      </c>
      <c r="G1212" t="s">
        <v>303</v>
      </c>
      <c r="H1212" s="23">
        <v>12</v>
      </c>
      <c r="I1212" s="23" t="s">
        <v>1592</v>
      </c>
      <c r="J1212" t="s">
        <v>1600</v>
      </c>
      <c r="K1212">
        <v>310</v>
      </c>
      <c r="L1212">
        <v>419</v>
      </c>
      <c r="M1212" s="24">
        <v>252</v>
      </c>
      <c r="N1212" s="24">
        <v>387</v>
      </c>
      <c r="O1212" s="24">
        <v>246</v>
      </c>
      <c r="P1212" s="24">
        <v>403</v>
      </c>
      <c r="Q1212">
        <v>242</v>
      </c>
      <c r="R1212">
        <v>436</v>
      </c>
      <c r="S1212">
        <v>328</v>
      </c>
      <c r="T1212">
        <v>529</v>
      </c>
      <c r="U1212">
        <v>347</v>
      </c>
      <c r="V1212">
        <v>601</v>
      </c>
      <c r="W1212">
        <v>379</v>
      </c>
      <c r="X1212">
        <v>767</v>
      </c>
    </row>
    <row r="1213" spans="2:24" x14ac:dyDescent="0.35">
      <c r="B1213" s="46" t="s">
        <v>1540</v>
      </c>
      <c r="D1213" t="s">
        <v>1471</v>
      </c>
      <c r="E1213" t="s">
        <v>1472</v>
      </c>
      <c r="F1213" s="46" t="s">
        <v>1479</v>
      </c>
      <c r="G1213" t="s">
        <v>231</v>
      </c>
      <c r="H1213" s="23">
        <v>1</v>
      </c>
      <c r="I1213" s="23" t="s">
        <v>1473</v>
      </c>
      <c r="J1213" t="s">
        <v>1480</v>
      </c>
      <c r="K1213">
        <v>333</v>
      </c>
      <c r="L1213">
        <v>410</v>
      </c>
      <c r="M1213" s="24">
        <v>304</v>
      </c>
      <c r="N1213" s="24">
        <v>434</v>
      </c>
      <c r="O1213" s="24">
        <v>246</v>
      </c>
      <c r="P1213" s="24">
        <v>406</v>
      </c>
      <c r="Q1213">
        <v>245</v>
      </c>
      <c r="R1213">
        <v>428</v>
      </c>
      <c r="S1213">
        <v>288</v>
      </c>
      <c r="T1213">
        <v>502</v>
      </c>
      <c r="U1213">
        <v>311</v>
      </c>
      <c r="V1213">
        <v>557</v>
      </c>
      <c r="W1213">
        <v>359</v>
      </c>
      <c r="X1213">
        <v>677</v>
      </c>
    </row>
    <row r="1214" spans="2:24" x14ac:dyDescent="0.35">
      <c r="B1214" s="46" t="s">
        <v>1541</v>
      </c>
      <c r="D1214" t="s">
        <v>1471</v>
      </c>
      <c r="E1214" t="s">
        <v>1472</v>
      </c>
      <c r="F1214" s="46" t="s">
        <v>1573</v>
      </c>
      <c r="G1214" t="s">
        <v>289</v>
      </c>
      <c r="H1214" s="23">
        <v>10</v>
      </c>
      <c r="I1214" s="23" t="s">
        <v>1574</v>
      </c>
      <c r="J1214" t="s">
        <v>1575</v>
      </c>
      <c r="K1214">
        <v>1537</v>
      </c>
      <c r="L1214">
        <v>2217</v>
      </c>
      <c r="M1214" s="24">
        <v>1307</v>
      </c>
      <c r="N1214" s="24">
        <v>2116</v>
      </c>
      <c r="O1214" s="24">
        <v>1008</v>
      </c>
      <c r="P1214" s="24">
        <v>1826</v>
      </c>
      <c r="Q1214">
        <v>947</v>
      </c>
      <c r="R1214">
        <v>1801</v>
      </c>
      <c r="S1214">
        <v>1259</v>
      </c>
      <c r="T1214">
        <v>2443</v>
      </c>
      <c r="U1214">
        <v>1630</v>
      </c>
      <c r="V1214">
        <v>3121</v>
      </c>
      <c r="W1214">
        <v>2435</v>
      </c>
      <c r="X1214">
        <v>4420</v>
      </c>
    </row>
    <row r="1215" spans="2:24" x14ac:dyDescent="0.35">
      <c r="B1215" s="46" t="s">
        <v>1543</v>
      </c>
      <c r="D1215" t="s">
        <v>1471</v>
      </c>
      <c r="E1215" t="s">
        <v>1472</v>
      </c>
      <c r="F1215" s="46" t="s">
        <v>1621</v>
      </c>
      <c r="G1215" t="s">
        <v>577</v>
      </c>
      <c r="H1215" s="23">
        <v>14</v>
      </c>
      <c r="I1215" s="23" t="s">
        <v>1619</v>
      </c>
      <c r="J1215" t="s">
        <v>305</v>
      </c>
      <c r="K1215">
        <v>675</v>
      </c>
      <c r="L1215">
        <v>814</v>
      </c>
      <c r="M1215" s="24">
        <v>611</v>
      </c>
      <c r="N1215" s="24">
        <v>852</v>
      </c>
      <c r="O1215" s="24">
        <v>533</v>
      </c>
      <c r="P1215" s="24">
        <v>791</v>
      </c>
      <c r="Q1215">
        <v>537</v>
      </c>
      <c r="R1215">
        <v>875</v>
      </c>
      <c r="S1215">
        <v>485</v>
      </c>
      <c r="T1215">
        <v>1018</v>
      </c>
      <c r="U1215">
        <v>618</v>
      </c>
      <c r="V1215">
        <v>1296</v>
      </c>
      <c r="W1215">
        <v>1293</v>
      </c>
      <c r="X1215">
        <v>2021</v>
      </c>
    </row>
    <row r="1216" spans="2:24" x14ac:dyDescent="0.35">
      <c r="B1216" s="46" t="s">
        <v>1545</v>
      </c>
      <c r="D1216" t="s">
        <v>1471</v>
      </c>
      <c r="E1216" t="s">
        <v>1472</v>
      </c>
      <c r="F1216" s="46" t="s">
        <v>1547</v>
      </c>
      <c r="G1216" t="s">
        <v>273</v>
      </c>
      <c r="H1216" s="23">
        <v>7</v>
      </c>
      <c r="I1216" s="23" t="s">
        <v>1548</v>
      </c>
      <c r="J1216" t="s">
        <v>1549</v>
      </c>
      <c r="K1216">
        <v>22375</v>
      </c>
      <c r="L1216">
        <v>29467</v>
      </c>
      <c r="M1216" s="24">
        <v>20140</v>
      </c>
      <c r="N1216" s="24">
        <v>28680</v>
      </c>
      <c r="O1216" s="24">
        <v>17821</v>
      </c>
      <c r="P1216" s="24">
        <v>28516</v>
      </c>
      <c r="Q1216">
        <v>16026</v>
      </c>
      <c r="R1216">
        <v>29040</v>
      </c>
      <c r="S1216">
        <v>19501</v>
      </c>
      <c r="T1216">
        <v>35599</v>
      </c>
      <c r="U1216">
        <v>23501</v>
      </c>
      <c r="V1216">
        <v>41137</v>
      </c>
      <c r="W1216">
        <v>22718</v>
      </c>
      <c r="X1216">
        <v>50886</v>
      </c>
    </row>
    <row r="1217" spans="2:24" x14ac:dyDescent="0.35">
      <c r="B1217" s="46" t="s">
        <v>1547</v>
      </c>
      <c r="D1217" t="s">
        <v>1471</v>
      </c>
      <c r="E1217" t="s">
        <v>1472</v>
      </c>
      <c r="F1217" s="46" t="s">
        <v>1601</v>
      </c>
      <c r="G1217" t="s">
        <v>303</v>
      </c>
      <c r="H1217" s="23">
        <v>12</v>
      </c>
      <c r="I1217" s="23" t="s">
        <v>1592</v>
      </c>
      <c r="J1217" t="s">
        <v>1602</v>
      </c>
      <c r="K1217">
        <v>1935</v>
      </c>
      <c r="L1217">
        <v>2367</v>
      </c>
      <c r="M1217" s="24">
        <v>1655</v>
      </c>
      <c r="N1217" s="24">
        <v>2220</v>
      </c>
      <c r="O1217" s="24">
        <v>1538</v>
      </c>
      <c r="P1217" s="24">
        <v>2163</v>
      </c>
      <c r="Q1217">
        <v>1421</v>
      </c>
      <c r="R1217">
        <v>2391</v>
      </c>
      <c r="S1217">
        <v>2021</v>
      </c>
      <c r="T1217">
        <v>3075</v>
      </c>
      <c r="U1217">
        <v>2361</v>
      </c>
      <c r="V1217">
        <v>3825</v>
      </c>
      <c r="W1217">
        <v>2692</v>
      </c>
      <c r="X1217">
        <v>5411</v>
      </c>
    </row>
    <row r="1218" spans="2:24" x14ac:dyDescent="0.35">
      <c r="B1218" s="46" t="s">
        <v>1550</v>
      </c>
      <c r="D1218" t="s">
        <v>1471</v>
      </c>
      <c r="E1218" t="s">
        <v>1472</v>
      </c>
      <c r="F1218" s="46" t="s">
        <v>1562</v>
      </c>
      <c r="G1218" t="s">
        <v>283</v>
      </c>
      <c r="H1218" s="23">
        <v>9</v>
      </c>
      <c r="I1218" s="23" t="s">
        <v>1558</v>
      </c>
      <c r="J1218" t="s">
        <v>1563</v>
      </c>
      <c r="K1218">
        <v>3318</v>
      </c>
      <c r="L1218">
        <v>4401</v>
      </c>
      <c r="M1218" s="24">
        <v>2845</v>
      </c>
      <c r="N1218" s="24">
        <v>4292</v>
      </c>
      <c r="O1218" s="24">
        <v>2646</v>
      </c>
      <c r="P1218" s="24">
        <v>4229</v>
      </c>
      <c r="Q1218">
        <v>2198</v>
      </c>
      <c r="R1218">
        <v>4377</v>
      </c>
      <c r="S1218">
        <v>2995</v>
      </c>
      <c r="T1218">
        <v>5644</v>
      </c>
      <c r="U1218">
        <v>3887</v>
      </c>
      <c r="V1218">
        <v>7596</v>
      </c>
      <c r="W1218">
        <v>5744</v>
      </c>
      <c r="X1218">
        <v>10559</v>
      </c>
    </row>
    <row r="1219" spans="2:24" x14ac:dyDescent="0.35">
      <c r="B1219" s="46" t="s">
        <v>1551</v>
      </c>
      <c r="D1219" t="s">
        <v>1471</v>
      </c>
      <c r="E1219" t="s">
        <v>1472</v>
      </c>
      <c r="F1219" s="46" t="s">
        <v>1481</v>
      </c>
      <c r="G1219" t="s">
        <v>231</v>
      </c>
      <c r="H1219" s="23">
        <v>1</v>
      </c>
      <c r="I1219" s="23" t="s">
        <v>1473</v>
      </c>
      <c r="J1219" t="s">
        <v>1482</v>
      </c>
      <c r="K1219">
        <v>2520</v>
      </c>
      <c r="L1219">
        <v>3541</v>
      </c>
      <c r="M1219" s="24">
        <v>2163</v>
      </c>
      <c r="N1219" s="24">
        <v>3426</v>
      </c>
      <c r="O1219" s="24">
        <v>2049</v>
      </c>
      <c r="P1219" s="24">
        <v>3470</v>
      </c>
      <c r="Q1219">
        <v>1905</v>
      </c>
      <c r="R1219">
        <v>3741</v>
      </c>
      <c r="S1219">
        <v>2310</v>
      </c>
      <c r="T1219">
        <v>4592</v>
      </c>
      <c r="U1219">
        <v>2496</v>
      </c>
      <c r="V1219">
        <v>5171</v>
      </c>
      <c r="W1219">
        <v>2524</v>
      </c>
      <c r="X1219">
        <v>6056</v>
      </c>
    </row>
    <row r="1220" spans="2:24" x14ac:dyDescent="0.35">
      <c r="B1220" s="46" t="s">
        <v>1553</v>
      </c>
      <c r="D1220" t="s">
        <v>1471</v>
      </c>
      <c r="E1220" t="s">
        <v>1472</v>
      </c>
      <c r="F1220" s="46" t="s">
        <v>1483</v>
      </c>
      <c r="G1220" t="s">
        <v>231</v>
      </c>
      <c r="H1220" s="23">
        <v>1</v>
      </c>
      <c r="I1220" s="23" t="s">
        <v>1473</v>
      </c>
      <c r="J1220" t="s">
        <v>1484</v>
      </c>
      <c r="K1220">
        <v>4403</v>
      </c>
      <c r="L1220">
        <v>6522</v>
      </c>
      <c r="M1220" s="24">
        <v>3589</v>
      </c>
      <c r="N1220" s="24">
        <v>6222</v>
      </c>
      <c r="O1220" s="24">
        <v>3406</v>
      </c>
      <c r="P1220" s="24">
        <v>6342</v>
      </c>
      <c r="Q1220">
        <v>3377</v>
      </c>
      <c r="R1220">
        <v>6853</v>
      </c>
      <c r="S1220">
        <v>3978</v>
      </c>
      <c r="T1220">
        <v>8331</v>
      </c>
      <c r="U1220">
        <v>3838</v>
      </c>
      <c r="V1220">
        <v>9150</v>
      </c>
      <c r="W1220">
        <v>3793</v>
      </c>
      <c r="X1220">
        <v>10701</v>
      </c>
    </row>
    <row r="1221" spans="2:24" x14ac:dyDescent="0.35">
      <c r="B1221" s="46" t="s">
        <v>1555</v>
      </c>
      <c r="D1221" t="s">
        <v>1471</v>
      </c>
      <c r="E1221" t="s">
        <v>1472</v>
      </c>
      <c r="F1221" s="46" t="s">
        <v>1603</v>
      </c>
      <c r="G1221" t="s">
        <v>303</v>
      </c>
      <c r="H1221" s="23">
        <v>12</v>
      </c>
      <c r="I1221" s="23" t="s">
        <v>1592</v>
      </c>
      <c r="J1221" t="s">
        <v>1604</v>
      </c>
      <c r="K1221">
        <v>677</v>
      </c>
      <c r="L1221">
        <v>807</v>
      </c>
      <c r="M1221" s="24">
        <v>574</v>
      </c>
      <c r="N1221" s="24">
        <v>765</v>
      </c>
      <c r="O1221" s="24">
        <v>490</v>
      </c>
      <c r="P1221" s="24">
        <v>713</v>
      </c>
      <c r="Q1221">
        <v>425</v>
      </c>
      <c r="R1221">
        <v>767</v>
      </c>
      <c r="S1221">
        <v>568</v>
      </c>
      <c r="T1221">
        <v>961</v>
      </c>
      <c r="U1221">
        <v>748</v>
      </c>
      <c r="V1221">
        <v>1242</v>
      </c>
      <c r="W1221">
        <v>815</v>
      </c>
      <c r="X1221">
        <v>1693</v>
      </c>
    </row>
    <row r="1222" spans="2:24" x14ac:dyDescent="0.35">
      <c r="B1222" s="46" t="s">
        <v>1557</v>
      </c>
      <c r="D1222" t="s">
        <v>1471</v>
      </c>
      <c r="E1222" t="s">
        <v>1472</v>
      </c>
      <c r="F1222" s="46" t="s">
        <v>1564</v>
      </c>
      <c r="G1222" t="s">
        <v>283</v>
      </c>
      <c r="H1222" s="23">
        <v>9</v>
      </c>
      <c r="I1222" s="23" t="s">
        <v>1558</v>
      </c>
      <c r="J1222" t="s">
        <v>1565</v>
      </c>
      <c r="K1222">
        <v>1251</v>
      </c>
      <c r="L1222">
        <v>1543</v>
      </c>
      <c r="M1222" s="24">
        <v>1169</v>
      </c>
      <c r="N1222" s="24">
        <v>1559</v>
      </c>
      <c r="O1222" s="24">
        <v>1133</v>
      </c>
      <c r="P1222" s="24">
        <v>1594</v>
      </c>
      <c r="Q1222">
        <v>961</v>
      </c>
      <c r="R1222">
        <v>1749</v>
      </c>
      <c r="S1222">
        <v>1303</v>
      </c>
      <c r="T1222">
        <v>2180</v>
      </c>
      <c r="U1222">
        <v>1724</v>
      </c>
      <c r="V1222">
        <v>3102</v>
      </c>
      <c r="W1222">
        <v>2825</v>
      </c>
      <c r="X1222">
        <v>4852</v>
      </c>
    </row>
    <row r="1223" spans="2:24" x14ac:dyDescent="0.35">
      <c r="B1223" s="46" t="s">
        <v>1560</v>
      </c>
      <c r="D1223" t="s">
        <v>1471</v>
      </c>
      <c r="E1223" t="s">
        <v>1472</v>
      </c>
      <c r="F1223" s="46" t="s">
        <v>1651</v>
      </c>
      <c r="G1223" t="s">
        <v>585</v>
      </c>
      <c r="H1223" s="23">
        <v>16</v>
      </c>
      <c r="I1223" s="23" t="s">
        <v>1643</v>
      </c>
      <c r="J1223" t="s">
        <v>1652</v>
      </c>
      <c r="K1223">
        <v>284</v>
      </c>
      <c r="L1223">
        <v>384</v>
      </c>
      <c r="M1223" s="24">
        <v>229</v>
      </c>
      <c r="N1223" s="24">
        <v>355</v>
      </c>
      <c r="O1223" s="24">
        <v>215</v>
      </c>
      <c r="P1223" s="24">
        <v>339</v>
      </c>
      <c r="Q1223">
        <v>212</v>
      </c>
      <c r="R1223">
        <v>368</v>
      </c>
      <c r="S1223">
        <v>261</v>
      </c>
      <c r="T1223">
        <v>473</v>
      </c>
      <c r="U1223">
        <v>258</v>
      </c>
      <c r="V1223">
        <v>514</v>
      </c>
      <c r="W1223">
        <v>278</v>
      </c>
      <c r="X1223">
        <v>571</v>
      </c>
    </row>
    <row r="1224" spans="2:24" x14ac:dyDescent="0.35">
      <c r="B1224" s="46" t="s">
        <v>1562</v>
      </c>
      <c r="D1224" t="s">
        <v>1471</v>
      </c>
      <c r="E1224" t="s">
        <v>1472</v>
      </c>
      <c r="F1224" s="46" t="s">
        <v>1508</v>
      </c>
      <c r="G1224" t="s">
        <v>235</v>
      </c>
      <c r="H1224" s="23">
        <v>2</v>
      </c>
      <c r="I1224" s="23" t="s">
        <v>1501</v>
      </c>
      <c r="J1224" t="s">
        <v>1509</v>
      </c>
      <c r="K1224">
        <v>7207</v>
      </c>
      <c r="L1224">
        <v>10330</v>
      </c>
      <c r="M1224" s="24">
        <v>6001</v>
      </c>
      <c r="N1224" s="24">
        <v>10151</v>
      </c>
      <c r="O1224" s="24">
        <v>6317</v>
      </c>
      <c r="P1224" s="24">
        <v>11100</v>
      </c>
      <c r="Q1224">
        <v>5885</v>
      </c>
      <c r="R1224">
        <v>12072</v>
      </c>
      <c r="S1224">
        <v>7296</v>
      </c>
      <c r="T1224">
        <v>14471</v>
      </c>
      <c r="U1224">
        <v>7820</v>
      </c>
      <c r="V1224">
        <v>16408</v>
      </c>
      <c r="W1224">
        <v>10222</v>
      </c>
      <c r="X1224">
        <v>19597</v>
      </c>
    </row>
    <row r="1225" spans="2:24" x14ac:dyDescent="0.35">
      <c r="B1225" s="46" t="s">
        <v>1564</v>
      </c>
      <c r="D1225" t="s">
        <v>1471</v>
      </c>
      <c r="E1225" t="s">
        <v>1472</v>
      </c>
      <c r="F1225" s="46" t="s">
        <v>1485</v>
      </c>
      <c r="G1225" t="s">
        <v>231</v>
      </c>
      <c r="H1225" s="23">
        <v>1</v>
      </c>
      <c r="I1225" s="23" t="s">
        <v>1473</v>
      </c>
      <c r="J1225" t="s">
        <v>357</v>
      </c>
      <c r="K1225">
        <v>1356</v>
      </c>
      <c r="L1225">
        <v>1939</v>
      </c>
      <c r="M1225" s="24">
        <v>1167</v>
      </c>
      <c r="N1225" s="24">
        <v>1837</v>
      </c>
      <c r="O1225" s="24">
        <v>1068</v>
      </c>
      <c r="P1225" s="24">
        <v>1890</v>
      </c>
      <c r="Q1225">
        <v>987</v>
      </c>
      <c r="R1225">
        <v>2020</v>
      </c>
      <c r="S1225">
        <v>1202</v>
      </c>
      <c r="T1225">
        <v>2485</v>
      </c>
      <c r="U1225">
        <v>1299</v>
      </c>
      <c r="V1225">
        <v>2914</v>
      </c>
      <c r="W1225">
        <v>1363</v>
      </c>
      <c r="X1225">
        <v>3620</v>
      </c>
    </row>
    <row r="1226" spans="2:24" x14ac:dyDescent="0.35">
      <c r="B1226" s="46" t="s">
        <v>1566</v>
      </c>
      <c r="D1226" t="s">
        <v>1471</v>
      </c>
      <c r="E1226" t="s">
        <v>1472</v>
      </c>
      <c r="F1226" s="46" t="s">
        <v>1614</v>
      </c>
      <c r="G1226" t="s">
        <v>311</v>
      </c>
      <c r="H1226" s="23">
        <v>13</v>
      </c>
      <c r="I1226" s="23" t="s">
        <v>1613</v>
      </c>
      <c r="J1226" t="s">
        <v>1615</v>
      </c>
      <c r="K1226">
        <v>5691</v>
      </c>
      <c r="L1226">
        <v>8563</v>
      </c>
      <c r="M1226" s="24">
        <v>4611</v>
      </c>
      <c r="N1226" s="24">
        <v>7792</v>
      </c>
      <c r="O1226" s="24">
        <v>4328</v>
      </c>
      <c r="P1226" s="24">
        <v>7891</v>
      </c>
      <c r="Q1226">
        <v>4063</v>
      </c>
      <c r="R1226">
        <v>8789</v>
      </c>
      <c r="S1226">
        <v>5836</v>
      </c>
      <c r="T1226">
        <v>11423</v>
      </c>
      <c r="U1226">
        <v>7642</v>
      </c>
      <c r="V1226">
        <v>15129</v>
      </c>
      <c r="W1226">
        <v>10732</v>
      </c>
      <c r="X1226">
        <v>19850</v>
      </c>
    </row>
    <row r="1227" spans="2:24" x14ac:dyDescent="0.35">
      <c r="B1227" s="46" t="s">
        <v>1567</v>
      </c>
      <c r="D1227" t="s">
        <v>1471</v>
      </c>
      <c r="E1227" t="s">
        <v>1472</v>
      </c>
      <c r="F1227" s="46" t="s">
        <v>1653</v>
      </c>
      <c r="G1227" t="s">
        <v>585</v>
      </c>
      <c r="H1227" s="23">
        <v>16</v>
      </c>
      <c r="I1227" s="23" t="s">
        <v>1643</v>
      </c>
      <c r="J1227" t="s">
        <v>983</v>
      </c>
      <c r="K1227">
        <v>463</v>
      </c>
      <c r="L1227">
        <v>562</v>
      </c>
      <c r="M1227" s="24">
        <v>406</v>
      </c>
      <c r="N1227" s="24">
        <v>517</v>
      </c>
      <c r="O1227" s="24">
        <v>380</v>
      </c>
      <c r="P1227" s="24">
        <v>537</v>
      </c>
      <c r="Q1227">
        <v>360</v>
      </c>
      <c r="R1227">
        <v>572</v>
      </c>
      <c r="S1227">
        <v>488</v>
      </c>
      <c r="T1227">
        <v>727</v>
      </c>
      <c r="U1227">
        <v>616</v>
      </c>
      <c r="V1227">
        <v>1069</v>
      </c>
      <c r="W1227">
        <v>938</v>
      </c>
      <c r="X1227">
        <v>1751</v>
      </c>
    </row>
    <row r="1228" spans="2:24" x14ac:dyDescent="0.35">
      <c r="B1228" s="46" t="s">
        <v>1569</v>
      </c>
      <c r="D1228" t="s">
        <v>1471</v>
      </c>
      <c r="E1228" t="s">
        <v>1472</v>
      </c>
      <c r="F1228" s="46" t="s">
        <v>1587</v>
      </c>
      <c r="G1228" t="s">
        <v>293</v>
      </c>
      <c r="H1228" s="23">
        <v>11</v>
      </c>
      <c r="I1228" s="23" t="s">
        <v>1580</v>
      </c>
      <c r="J1228" t="s">
        <v>237</v>
      </c>
      <c r="K1228">
        <v>1765</v>
      </c>
      <c r="L1228">
        <v>2428</v>
      </c>
      <c r="M1228" s="24">
        <v>1543</v>
      </c>
      <c r="N1228" s="24">
        <v>2279</v>
      </c>
      <c r="O1228" s="24">
        <v>1470</v>
      </c>
      <c r="P1228" s="24">
        <v>2269</v>
      </c>
      <c r="Q1228">
        <v>1367</v>
      </c>
      <c r="R1228">
        <v>2439</v>
      </c>
      <c r="S1228">
        <v>1727</v>
      </c>
      <c r="T1228">
        <v>3060</v>
      </c>
      <c r="U1228">
        <v>2020</v>
      </c>
      <c r="V1228">
        <v>3750</v>
      </c>
      <c r="W1228">
        <v>2050</v>
      </c>
      <c r="X1228">
        <v>4905</v>
      </c>
    </row>
    <row r="1229" spans="2:24" x14ac:dyDescent="0.35">
      <c r="B1229" s="46" t="s">
        <v>1571</v>
      </c>
      <c r="D1229" t="s">
        <v>1471</v>
      </c>
      <c r="E1229" t="s">
        <v>1472</v>
      </c>
      <c r="F1229" s="46" t="s">
        <v>1654</v>
      </c>
      <c r="G1229" t="s">
        <v>585</v>
      </c>
      <c r="H1229" s="23">
        <v>16</v>
      </c>
      <c r="I1229" s="23" t="s">
        <v>1643</v>
      </c>
      <c r="J1229" t="s">
        <v>1655</v>
      </c>
      <c r="K1229">
        <v>1774</v>
      </c>
      <c r="L1229">
        <v>2287</v>
      </c>
      <c r="M1229" s="24">
        <v>1589</v>
      </c>
      <c r="N1229" s="24">
        <v>2244</v>
      </c>
      <c r="O1229" s="24">
        <v>1482</v>
      </c>
      <c r="P1229" s="24">
        <v>2217</v>
      </c>
      <c r="Q1229">
        <v>1486</v>
      </c>
      <c r="R1229">
        <v>2386</v>
      </c>
      <c r="S1229">
        <v>2118</v>
      </c>
      <c r="T1229">
        <v>3184</v>
      </c>
      <c r="U1229">
        <v>2134</v>
      </c>
      <c r="V1229">
        <v>3741</v>
      </c>
      <c r="W1229">
        <v>2562</v>
      </c>
      <c r="X1229">
        <v>4933</v>
      </c>
    </row>
    <row r="1230" spans="2:24" x14ac:dyDescent="0.35">
      <c r="B1230" s="46" t="s">
        <v>1573</v>
      </c>
      <c r="D1230" t="s">
        <v>1471</v>
      </c>
      <c r="E1230" t="s">
        <v>1472</v>
      </c>
      <c r="F1230" s="46" t="s">
        <v>1534</v>
      </c>
      <c r="G1230" t="s">
        <v>259</v>
      </c>
      <c r="H1230" s="23">
        <v>5</v>
      </c>
      <c r="I1230" s="23" t="s">
        <v>1531</v>
      </c>
      <c r="J1230" t="s">
        <v>494</v>
      </c>
      <c r="K1230">
        <v>2717</v>
      </c>
      <c r="L1230">
        <v>3874</v>
      </c>
      <c r="M1230" s="24">
        <v>2254</v>
      </c>
      <c r="N1230" s="24">
        <v>3754</v>
      </c>
      <c r="O1230" s="24">
        <v>2027</v>
      </c>
      <c r="P1230" s="24">
        <v>3730</v>
      </c>
      <c r="Q1230">
        <v>1880</v>
      </c>
      <c r="R1230">
        <v>3843</v>
      </c>
      <c r="S1230">
        <v>2740</v>
      </c>
      <c r="T1230">
        <v>5118</v>
      </c>
      <c r="U1230">
        <v>2812</v>
      </c>
      <c r="V1230">
        <v>5893</v>
      </c>
      <c r="W1230">
        <v>3422</v>
      </c>
      <c r="X1230">
        <v>7116</v>
      </c>
    </row>
    <row r="1231" spans="2:24" x14ac:dyDescent="0.35">
      <c r="B1231" s="46" t="s">
        <v>1576</v>
      </c>
      <c r="D1231" t="s">
        <v>1471</v>
      </c>
      <c r="E1231" t="s">
        <v>1472</v>
      </c>
      <c r="F1231" s="46" t="s">
        <v>1488</v>
      </c>
      <c r="G1231" t="s">
        <v>231</v>
      </c>
      <c r="H1231" s="23">
        <v>1</v>
      </c>
      <c r="I1231" s="23" t="s">
        <v>1473</v>
      </c>
      <c r="J1231" t="s">
        <v>1489</v>
      </c>
      <c r="K1231">
        <v>1507</v>
      </c>
      <c r="L1231">
        <v>1956</v>
      </c>
      <c r="M1231" s="24">
        <v>1281</v>
      </c>
      <c r="N1231" s="24">
        <v>1903</v>
      </c>
      <c r="O1231" s="24">
        <v>1292</v>
      </c>
      <c r="P1231" s="24">
        <v>2087</v>
      </c>
      <c r="Q1231">
        <v>1238</v>
      </c>
      <c r="R1231">
        <v>2305</v>
      </c>
      <c r="S1231">
        <v>1658</v>
      </c>
      <c r="T1231">
        <v>3074</v>
      </c>
      <c r="U1231">
        <v>1887</v>
      </c>
      <c r="V1231">
        <v>3689</v>
      </c>
      <c r="W1231">
        <v>2037</v>
      </c>
      <c r="X1231">
        <v>4529</v>
      </c>
    </row>
    <row r="1232" spans="2:24" x14ac:dyDescent="0.35">
      <c r="B1232" s="46" t="s">
        <v>1578</v>
      </c>
      <c r="D1232" t="s">
        <v>1471</v>
      </c>
      <c r="E1232" t="s">
        <v>1472</v>
      </c>
      <c r="F1232" s="46" t="s">
        <v>1486</v>
      </c>
      <c r="G1232" t="s">
        <v>231</v>
      </c>
      <c r="H1232" s="23">
        <v>1</v>
      </c>
      <c r="I1232" s="23" t="s">
        <v>1473</v>
      </c>
      <c r="J1232" t="s">
        <v>361</v>
      </c>
      <c r="K1232">
        <v>1665</v>
      </c>
      <c r="L1232">
        <v>2322</v>
      </c>
      <c r="M1232" s="24">
        <v>1476</v>
      </c>
      <c r="N1232" s="24">
        <v>2359</v>
      </c>
      <c r="O1232" s="24">
        <v>1418</v>
      </c>
      <c r="P1232" s="24">
        <v>2455</v>
      </c>
      <c r="Q1232">
        <v>1316</v>
      </c>
      <c r="R1232">
        <v>2628</v>
      </c>
      <c r="S1232">
        <v>1643</v>
      </c>
      <c r="T1232">
        <v>3258</v>
      </c>
      <c r="U1232">
        <v>1700</v>
      </c>
      <c r="V1232">
        <v>3664</v>
      </c>
      <c r="W1232">
        <v>1691</v>
      </c>
      <c r="X1232">
        <v>4193</v>
      </c>
    </row>
    <row r="1233" spans="2:24" x14ac:dyDescent="0.35">
      <c r="B1233" s="46" t="s">
        <v>1579</v>
      </c>
      <c r="D1233" t="s">
        <v>1471</v>
      </c>
      <c r="E1233" t="s">
        <v>1472</v>
      </c>
      <c r="F1233" s="46" t="s">
        <v>1487</v>
      </c>
      <c r="G1233" t="s">
        <v>231</v>
      </c>
      <c r="H1233" s="23">
        <v>1</v>
      </c>
      <c r="I1233" s="23" t="s">
        <v>1473</v>
      </c>
      <c r="J1233" t="s">
        <v>287</v>
      </c>
      <c r="K1233">
        <v>1072</v>
      </c>
      <c r="L1233">
        <v>1560</v>
      </c>
      <c r="M1233" s="24">
        <v>908</v>
      </c>
      <c r="N1233" s="24">
        <v>1497</v>
      </c>
      <c r="O1233" s="24">
        <v>879</v>
      </c>
      <c r="P1233" s="24">
        <v>1488</v>
      </c>
      <c r="Q1233">
        <v>826</v>
      </c>
      <c r="R1233">
        <v>1628</v>
      </c>
      <c r="S1233">
        <v>1025</v>
      </c>
      <c r="T1233">
        <v>2077</v>
      </c>
      <c r="U1233">
        <v>992</v>
      </c>
      <c r="V1233">
        <v>2179</v>
      </c>
      <c r="W1233">
        <v>960</v>
      </c>
      <c r="X1233">
        <v>2336</v>
      </c>
    </row>
    <row r="1234" spans="2:24" x14ac:dyDescent="0.35">
      <c r="B1234" s="46" t="s">
        <v>1582</v>
      </c>
      <c r="D1234" t="s">
        <v>1471</v>
      </c>
      <c r="E1234" t="s">
        <v>1472</v>
      </c>
      <c r="F1234" s="46" t="s">
        <v>1605</v>
      </c>
      <c r="G1234" t="s">
        <v>303</v>
      </c>
      <c r="H1234" s="23">
        <v>12</v>
      </c>
      <c r="I1234" s="23" t="s">
        <v>1592</v>
      </c>
      <c r="J1234" t="s">
        <v>683</v>
      </c>
      <c r="K1234">
        <v>1149</v>
      </c>
      <c r="L1234">
        <v>1369</v>
      </c>
      <c r="M1234" s="24">
        <v>992</v>
      </c>
      <c r="N1234" s="24">
        <v>1354</v>
      </c>
      <c r="O1234" s="24">
        <v>944</v>
      </c>
      <c r="P1234" s="24">
        <v>1338</v>
      </c>
      <c r="Q1234">
        <v>764</v>
      </c>
      <c r="R1234">
        <v>1402</v>
      </c>
      <c r="S1234">
        <v>1079</v>
      </c>
      <c r="T1234">
        <v>1720</v>
      </c>
      <c r="U1234">
        <v>1143</v>
      </c>
      <c r="V1234">
        <v>2002</v>
      </c>
      <c r="W1234">
        <v>1215</v>
      </c>
      <c r="X1234">
        <v>2551</v>
      </c>
    </row>
    <row r="1235" spans="2:24" x14ac:dyDescent="0.35">
      <c r="B1235" s="46" t="s">
        <v>1584</v>
      </c>
      <c r="D1235" t="s">
        <v>1471</v>
      </c>
      <c r="E1235" t="s">
        <v>1472</v>
      </c>
      <c r="F1235" s="46" t="s">
        <v>1523</v>
      </c>
      <c r="G1235" t="s">
        <v>255</v>
      </c>
      <c r="H1235" s="23">
        <v>4</v>
      </c>
      <c r="I1235" s="23" t="s">
        <v>1519</v>
      </c>
      <c r="J1235" t="s">
        <v>1524</v>
      </c>
      <c r="K1235">
        <v>42326</v>
      </c>
      <c r="L1235">
        <v>62633</v>
      </c>
      <c r="M1235" s="24">
        <v>37509</v>
      </c>
      <c r="N1235" s="24">
        <v>60229</v>
      </c>
      <c r="O1235" s="24">
        <v>32830</v>
      </c>
      <c r="P1235" s="24">
        <v>60438</v>
      </c>
      <c r="Q1235">
        <v>31020</v>
      </c>
      <c r="R1235">
        <v>63724</v>
      </c>
      <c r="S1235">
        <v>45797</v>
      </c>
      <c r="T1235">
        <v>84786</v>
      </c>
      <c r="U1235">
        <v>62884</v>
      </c>
      <c r="V1235">
        <v>107166</v>
      </c>
      <c r="W1235">
        <v>87368</v>
      </c>
      <c r="X1235">
        <v>142911</v>
      </c>
    </row>
    <row r="1236" spans="2:24" x14ac:dyDescent="0.35">
      <c r="B1236" s="46" t="s">
        <v>1585</v>
      </c>
      <c r="D1236" t="s">
        <v>1471</v>
      </c>
      <c r="E1236" t="s">
        <v>1472</v>
      </c>
      <c r="F1236" s="46" t="s">
        <v>1490</v>
      </c>
      <c r="G1236" t="s">
        <v>231</v>
      </c>
      <c r="H1236" s="23">
        <v>1</v>
      </c>
      <c r="I1236" s="23" t="s">
        <v>1473</v>
      </c>
      <c r="J1236" t="s">
        <v>791</v>
      </c>
      <c r="K1236">
        <v>727</v>
      </c>
      <c r="L1236">
        <v>941</v>
      </c>
      <c r="M1236" s="24">
        <v>646</v>
      </c>
      <c r="N1236" s="24">
        <v>912</v>
      </c>
      <c r="O1236" s="24">
        <v>617</v>
      </c>
      <c r="P1236" s="24">
        <v>921</v>
      </c>
      <c r="Q1236">
        <v>618</v>
      </c>
      <c r="R1236">
        <v>1002</v>
      </c>
      <c r="S1236">
        <v>808</v>
      </c>
      <c r="T1236">
        <v>1312</v>
      </c>
      <c r="U1236">
        <v>804</v>
      </c>
      <c r="V1236">
        <v>1394</v>
      </c>
      <c r="W1236">
        <v>802</v>
      </c>
      <c r="X1236">
        <v>1504</v>
      </c>
    </row>
    <row r="1237" spans="2:24" x14ac:dyDescent="0.35">
      <c r="B1237" s="46" t="s">
        <v>1587</v>
      </c>
      <c r="D1237" t="s">
        <v>1471</v>
      </c>
      <c r="E1237" t="s">
        <v>1472</v>
      </c>
      <c r="F1237" s="46" t="s">
        <v>1553</v>
      </c>
      <c r="G1237" t="s">
        <v>279</v>
      </c>
      <c r="H1237" s="23">
        <v>8</v>
      </c>
      <c r="I1237" s="23" t="s">
        <v>1554</v>
      </c>
      <c r="J1237" t="s">
        <v>301</v>
      </c>
      <c r="K1237">
        <v>827</v>
      </c>
      <c r="L1237">
        <v>1053</v>
      </c>
      <c r="M1237" s="24">
        <v>646</v>
      </c>
      <c r="N1237" s="24">
        <v>961</v>
      </c>
      <c r="O1237" s="24">
        <v>670</v>
      </c>
      <c r="P1237" s="24">
        <v>1016</v>
      </c>
      <c r="Q1237">
        <v>479</v>
      </c>
      <c r="R1237">
        <v>1058</v>
      </c>
      <c r="S1237">
        <v>567</v>
      </c>
      <c r="T1237">
        <v>1176</v>
      </c>
      <c r="U1237">
        <v>914</v>
      </c>
      <c r="V1237">
        <v>1629</v>
      </c>
      <c r="W1237">
        <v>1850</v>
      </c>
      <c r="X1237">
        <v>2754</v>
      </c>
    </row>
    <row r="1238" spans="2:24" x14ac:dyDescent="0.35">
      <c r="B1238" s="46" t="s">
        <v>1588</v>
      </c>
      <c r="D1238" t="s">
        <v>1471</v>
      </c>
      <c r="E1238" t="s">
        <v>1472</v>
      </c>
      <c r="F1238" s="46" t="s">
        <v>1555</v>
      </c>
      <c r="G1238" t="s">
        <v>279</v>
      </c>
      <c r="H1238" s="23">
        <v>8</v>
      </c>
      <c r="I1238" s="23" t="s">
        <v>1554</v>
      </c>
      <c r="J1238" t="s">
        <v>1556</v>
      </c>
      <c r="K1238">
        <v>3565</v>
      </c>
      <c r="L1238">
        <v>4905</v>
      </c>
      <c r="M1238" s="24">
        <v>2998</v>
      </c>
      <c r="N1238" s="24">
        <v>4767</v>
      </c>
      <c r="O1238" s="24">
        <v>2899</v>
      </c>
      <c r="P1238" s="24">
        <v>4804</v>
      </c>
      <c r="Q1238">
        <v>2155</v>
      </c>
      <c r="R1238">
        <v>4917</v>
      </c>
      <c r="S1238">
        <v>2341</v>
      </c>
      <c r="T1238">
        <v>5436</v>
      </c>
      <c r="U1238">
        <v>2823</v>
      </c>
      <c r="V1238">
        <v>6181</v>
      </c>
      <c r="W1238">
        <v>3848</v>
      </c>
      <c r="X1238">
        <v>7631</v>
      </c>
    </row>
    <row r="1239" spans="2:24" x14ac:dyDescent="0.35">
      <c r="B1239" s="46" t="s">
        <v>1589</v>
      </c>
      <c r="D1239" t="s">
        <v>1471</v>
      </c>
      <c r="E1239" t="s">
        <v>1472</v>
      </c>
      <c r="F1239" s="46" t="s">
        <v>1622</v>
      </c>
      <c r="G1239" t="s">
        <v>577</v>
      </c>
      <c r="H1239" s="23">
        <v>14</v>
      </c>
      <c r="I1239" s="23" t="s">
        <v>1619</v>
      </c>
      <c r="J1239" t="s">
        <v>1623</v>
      </c>
      <c r="K1239">
        <v>2576</v>
      </c>
      <c r="L1239">
        <v>3720</v>
      </c>
      <c r="M1239" s="24">
        <v>1878</v>
      </c>
      <c r="N1239" s="24">
        <v>3163</v>
      </c>
      <c r="O1239" s="24">
        <v>1568</v>
      </c>
      <c r="P1239" s="24">
        <v>3007</v>
      </c>
      <c r="Q1239">
        <v>1625</v>
      </c>
      <c r="R1239">
        <v>3232</v>
      </c>
      <c r="S1239">
        <v>2285</v>
      </c>
      <c r="T1239">
        <v>4251</v>
      </c>
      <c r="U1239">
        <v>2902</v>
      </c>
      <c r="V1239">
        <v>5592</v>
      </c>
      <c r="W1239">
        <v>2937</v>
      </c>
      <c r="X1239">
        <v>7518</v>
      </c>
    </row>
    <row r="1240" spans="2:24" x14ac:dyDescent="0.35">
      <c r="B1240" s="46" t="s">
        <v>1591</v>
      </c>
      <c r="D1240" t="s">
        <v>1471</v>
      </c>
      <c r="E1240" t="s">
        <v>1472</v>
      </c>
      <c r="F1240" s="46" t="s">
        <v>1636</v>
      </c>
      <c r="G1240" t="s">
        <v>581</v>
      </c>
      <c r="H1240" s="23">
        <v>15</v>
      </c>
      <c r="I1240" s="23" t="s">
        <v>1630</v>
      </c>
      <c r="J1240" t="s">
        <v>1637</v>
      </c>
      <c r="K1240">
        <v>10380</v>
      </c>
      <c r="L1240">
        <v>15082</v>
      </c>
      <c r="M1240" s="24">
        <v>8613</v>
      </c>
      <c r="N1240" s="24">
        <v>15058</v>
      </c>
      <c r="O1240" s="24">
        <v>8855</v>
      </c>
      <c r="P1240" s="24">
        <v>16037</v>
      </c>
      <c r="Q1240">
        <v>8229</v>
      </c>
      <c r="R1240">
        <v>17182</v>
      </c>
      <c r="S1240">
        <v>10163</v>
      </c>
      <c r="T1240">
        <v>20678</v>
      </c>
      <c r="U1240">
        <v>10644</v>
      </c>
      <c r="V1240">
        <v>23184</v>
      </c>
      <c r="W1240">
        <v>12627</v>
      </c>
      <c r="X1240">
        <v>27946</v>
      </c>
    </row>
    <row r="1241" spans="2:24" x14ac:dyDescent="0.35">
      <c r="B1241" s="46" t="s">
        <v>1594</v>
      </c>
      <c r="D1241" t="s">
        <v>1471</v>
      </c>
      <c r="E1241" t="s">
        <v>1472</v>
      </c>
      <c r="F1241" s="46" t="s">
        <v>1606</v>
      </c>
      <c r="G1241" t="s">
        <v>303</v>
      </c>
      <c r="H1241" s="23">
        <v>12</v>
      </c>
      <c r="I1241" s="23" t="s">
        <v>1592</v>
      </c>
      <c r="J1241" t="s">
        <v>1607</v>
      </c>
      <c r="K1241">
        <v>595</v>
      </c>
      <c r="L1241">
        <v>714</v>
      </c>
      <c r="M1241" s="24">
        <v>496</v>
      </c>
      <c r="N1241" s="24">
        <v>698</v>
      </c>
      <c r="O1241" s="24">
        <v>477</v>
      </c>
      <c r="P1241" s="24">
        <v>666</v>
      </c>
      <c r="Q1241">
        <v>450</v>
      </c>
      <c r="R1241">
        <v>744</v>
      </c>
      <c r="S1241">
        <v>619</v>
      </c>
      <c r="T1241">
        <v>991</v>
      </c>
      <c r="U1241">
        <v>682</v>
      </c>
      <c r="V1241">
        <v>1211</v>
      </c>
      <c r="W1241">
        <v>756</v>
      </c>
      <c r="X1241">
        <v>1621</v>
      </c>
    </row>
    <row r="1242" spans="2:24" x14ac:dyDescent="0.35">
      <c r="B1242" s="46" t="s">
        <v>1595</v>
      </c>
      <c r="D1242" t="s">
        <v>1471</v>
      </c>
      <c r="E1242" t="s">
        <v>1472</v>
      </c>
      <c r="F1242" s="46" t="s">
        <v>1638</v>
      </c>
      <c r="G1242" t="s">
        <v>581</v>
      </c>
      <c r="H1242" s="23">
        <v>15</v>
      </c>
      <c r="I1242" s="23" t="s">
        <v>1630</v>
      </c>
      <c r="J1242" t="s">
        <v>1639</v>
      </c>
      <c r="K1242">
        <v>4098</v>
      </c>
      <c r="L1242">
        <v>5466</v>
      </c>
      <c r="M1242" s="24">
        <v>3883</v>
      </c>
      <c r="N1242" s="24">
        <v>5975</v>
      </c>
      <c r="O1242" s="24">
        <v>4376</v>
      </c>
      <c r="P1242" s="24">
        <v>6887</v>
      </c>
      <c r="Q1242">
        <v>4466</v>
      </c>
      <c r="R1242">
        <v>7527</v>
      </c>
      <c r="S1242">
        <v>6014</v>
      </c>
      <c r="T1242">
        <v>9233</v>
      </c>
      <c r="U1242">
        <v>6326</v>
      </c>
      <c r="V1242">
        <v>10070</v>
      </c>
      <c r="W1242">
        <v>7108</v>
      </c>
      <c r="X1242">
        <v>11336</v>
      </c>
    </row>
    <row r="1243" spans="2:24" x14ac:dyDescent="0.35">
      <c r="B1243" s="46" t="s">
        <v>1597</v>
      </c>
      <c r="D1243" t="s">
        <v>1471</v>
      </c>
      <c r="E1243" t="s">
        <v>1472</v>
      </c>
      <c r="F1243" s="46" t="s">
        <v>1588</v>
      </c>
      <c r="G1243" t="s">
        <v>293</v>
      </c>
      <c r="H1243" s="23">
        <v>11</v>
      </c>
      <c r="I1243" s="23" t="s">
        <v>1580</v>
      </c>
      <c r="J1243" t="s">
        <v>706</v>
      </c>
      <c r="K1243">
        <v>3928</v>
      </c>
      <c r="L1243">
        <v>7104</v>
      </c>
      <c r="M1243" s="24">
        <v>3208</v>
      </c>
      <c r="N1243" s="24">
        <v>6507</v>
      </c>
      <c r="O1243" s="24">
        <v>2992</v>
      </c>
      <c r="P1243" s="24">
        <v>6391</v>
      </c>
      <c r="Q1243">
        <v>2797</v>
      </c>
      <c r="R1243">
        <v>6679</v>
      </c>
      <c r="S1243">
        <v>3591</v>
      </c>
      <c r="T1243">
        <v>7721</v>
      </c>
      <c r="U1243">
        <v>3907</v>
      </c>
      <c r="V1243">
        <v>8485</v>
      </c>
      <c r="W1243">
        <v>3954</v>
      </c>
      <c r="X1243">
        <v>9973</v>
      </c>
    </row>
    <row r="1244" spans="2:24" x14ac:dyDescent="0.35">
      <c r="B1244" s="46" t="s">
        <v>1599</v>
      </c>
      <c r="D1244" t="s">
        <v>1471</v>
      </c>
      <c r="E1244" t="s">
        <v>1472</v>
      </c>
      <c r="F1244" s="46" t="s">
        <v>1656</v>
      </c>
      <c r="G1244" t="s">
        <v>585</v>
      </c>
      <c r="H1244" s="23">
        <v>16</v>
      </c>
      <c r="I1244" s="23" t="s">
        <v>1643</v>
      </c>
      <c r="J1244" t="s">
        <v>1657</v>
      </c>
      <c r="K1244">
        <v>548</v>
      </c>
      <c r="L1244">
        <v>707</v>
      </c>
      <c r="M1244" s="24">
        <v>482</v>
      </c>
      <c r="N1244" s="24">
        <v>704</v>
      </c>
      <c r="O1244" s="24">
        <v>448</v>
      </c>
      <c r="P1244" s="24">
        <v>682</v>
      </c>
      <c r="Q1244">
        <v>421</v>
      </c>
      <c r="R1244">
        <v>695</v>
      </c>
      <c r="S1244">
        <v>529</v>
      </c>
      <c r="T1244">
        <v>931</v>
      </c>
      <c r="U1244">
        <v>646</v>
      </c>
      <c r="V1244">
        <v>1162</v>
      </c>
      <c r="W1244">
        <v>910</v>
      </c>
      <c r="X1244">
        <v>1575</v>
      </c>
    </row>
    <row r="1245" spans="2:24" x14ac:dyDescent="0.35">
      <c r="B1245" s="46" t="s">
        <v>1601</v>
      </c>
      <c r="D1245" t="s">
        <v>1471</v>
      </c>
      <c r="E1245" t="s">
        <v>1472</v>
      </c>
      <c r="F1245" s="46" t="s">
        <v>1608</v>
      </c>
      <c r="G1245" t="s">
        <v>303</v>
      </c>
      <c r="H1245" s="23">
        <v>12</v>
      </c>
      <c r="I1245" s="23" t="s">
        <v>1592</v>
      </c>
      <c r="J1245" t="s">
        <v>1609</v>
      </c>
      <c r="K1245">
        <v>1261</v>
      </c>
      <c r="L1245">
        <v>1660</v>
      </c>
      <c r="M1245" s="24">
        <v>1091</v>
      </c>
      <c r="N1245" s="24">
        <v>1604</v>
      </c>
      <c r="O1245" s="24">
        <v>1033</v>
      </c>
      <c r="P1245" s="24">
        <v>1594</v>
      </c>
      <c r="Q1245">
        <v>916</v>
      </c>
      <c r="R1245">
        <v>1678</v>
      </c>
      <c r="S1245">
        <v>1308</v>
      </c>
      <c r="T1245">
        <v>2063</v>
      </c>
      <c r="U1245">
        <v>1376</v>
      </c>
      <c r="V1245">
        <v>2361</v>
      </c>
      <c r="W1245">
        <v>1356</v>
      </c>
      <c r="X1245">
        <v>2846</v>
      </c>
    </row>
    <row r="1246" spans="2:24" x14ac:dyDescent="0.35">
      <c r="B1246" s="46" t="s">
        <v>1603</v>
      </c>
      <c r="D1246" t="s">
        <v>1471</v>
      </c>
      <c r="E1246" t="s">
        <v>1472</v>
      </c>
      <c r="F1246" s="46" t="s">
        <v>1640</v>
      </c>
      <c r="G1246" t="s">
        <v>581</v>
      </c>
      <c r="H1246" s="23">
        <v>15</v>
      </c>
      <c r="I1246" s="23" t="s">
        <v>1630</v>
      </c>
      <c r="J1246" t="s">
        <v>1641</v>
      </c>
      <c r="K1246">
        <v>2379</v>
      </c>
      <c r="L1246">
        <v>3405</v>
      </c>
      <c r="M1246" s="24">
        <v>1891</v>
      </c>
      <c r="N1246" s="24">
        <v>3384</v>
      </c>
      <c r="O1246" s="24">
        <v>1930</v>
      </c>
      <c r="P1246" s="24">
        <v>3594</v>
      </c>
      <c r="Q1246">
        <v>1831</v>
      </c>
      <c r="R1246">
        <v>3816</v>
      </c>
      <c r="S1246">
        <v>2325</v>
      </c>
      <c r="T1246">
        <v>4716</v>
      </c>
      <c r="U1246">
        <v>2452</v>
      </c>
      <c r="V1246">
        <v>5417</v>
      </c>
      <c r="W1246">
        <v>2730</v>
      </c>
      <c r="X1246">
        <v>6507</v>
      </c>
    </row>
    <row r="1247" spans="2:24" x14ac:dyDescent="0.35">
      <c r="B1247" s="46" t="s">
        <v>1605</v>
      </c>
      <c r="D1247" t="s">
        <v>1471</v>
      </c>
      <c r="E1247" t="s">
        <v>1472</v>
      </c>
      <c r="F1247" s="46" t="s">
        <v>1610</v>
      </c>
      <c r="G1247" t="s">
        <v>303</v>
      </c>
      <c r="H1247" s="23">
        <v>12</v>
      </c>
      <c r="I1247" s="23" t="s">
        <v>1592</v>
      </c>
      <c r="J1247" t="s">
        <v>1611</v>
      </c>
      <c r="K1247">
        <v>487</v>
      </c>
      <c r="L1247">
        <v>627</v>
      </c>
      <c r="M1247" s="24">
        <v>399</v>
      </c>
      <c r="N1247" s="24">
        <v>595</v>
      </c>
      <c r="O1247" s="24">
        <v>345</v>
      </c>
      <c r="P1247" s="24">
        <v>573</v>
      </c>
      <c r="Q1247">
        <v>300</v>
      </c>
      <c r="R1247">
        <v>593</v>
      </c>
      <c r="S1247">
        <v>404</v>
      </c>
      <c r="T1247">
        <v>713</v>
      </c>
      <c r="U1247">
        <v>452</v>
      </c>
      <c r="V1247">
        <v>909</v>
      </c>
      <c r="W1247">
        <v>443</v>
      </c>
      <c r="X1247">
        <v>1024</v>
      </c>
    </row>
    <row r="1248" spans="2:24" x14ac:dyDescent="0.35">
      <c r="B1248" s="46" t="s">
        <v>1606</v>
      </c>
      <c r="D1248" t="s">
        <v>1471</v>
      </c>
      <c r="E1248" t="s">
        <v>1472</v>
      </c>
      <c r="F1248" s="46" t="s">
        <v>1589</v>
      </c>
      <c r="G1248" t="s">
        <v>293</v>
      </c>
      <c r="H1248" s="23">
        <v>11</v>
      </c>
      <c r="I1248" s="23" t="s">
        <v>1580</v>
      </c>
      <c r="J1248" t="s">
        <v>1590</v>
      </c>
      <c r="K1248">
        <v>1392</v>
      </c>
      <c r="L1248">
        <v>1814</v>
      </c>
      <c r="M1248" s="24">
        <v>1133</v>
      </c>
      <c r="N1248" s="24">
        <v>1663</v>
      </c>
      <c r="O1248" s="24">
        <v>1082</v>
      </c>
      <c r="P1248" s="24">
        <v>1663</v>
      </c>
      <c r="Q1248">
        <v>987</v>
      </c>
      <c r="R1248">
        <v>1687</v>
      </c>
      <c r="S1248">
        <v>1190</v>
      </c>
      <c r="T1248">
        <v>2055</v>
      </c>
      <c r="U1248">
        <v>1320</v>
      </c>
      <c r="V1248">
        <v>2379</v>
      </c>
      <c r="W1248">
        <v>1291</v>
      </c>
      <c r="X1248">
        <v>3022</v>
      </c>
    </row>
    <row r="1249" spans="2:24" x14ac:dyDescent="0.35">
      <c r="B1249" s="46" t="s">
        <v>1608</v>
      </c>
      <c r="D1249" t="s">
        <v>1471</v>
      </c>
      <c r="E1249" t="s">
        <v>1472</v>
      </c>
      <c r="F1249" s="46" t="s">
        <v>1624</v>
      </c>
      <c r="G1249" t="s">
        <v>577</v>
      </c>
      <c r="H1249" s="23">
        <v>14</v>
      </c>
      <c r="I1249" s="23" t="s">
        <v>1619</v>
      </c>
      <c r="J1249" t="s">
        <v>1625</v>
      </c>
      <c r="K1249">
        <v>7004</v>
      </c>
      <c r="L1249">
        <v>8752</v>
      </c>
      <c r="M1249" s="24">
        <v>5991</v>
      </c>
      <c r="N1249" s="24">
        <v>8454</v>
      </c>
      <c r="O1249" s="24">
        <v>5676</v>
      </c>
      <c r="P1249" s="24">
        <v>8369</v>
      </c>
      <c r="Q1249">
        <v>5673</v>
      </c>
      <c r="R1249">
        <v>9264</v>
      </c>
      <c r="S1249">
        <v>4798</v>
      </c>
      <c r="T1249">
        <v>10171</v>
      </c>
      <c r="U1249">
        <v>5367</v>
      </c>
      <c r="V1249">
        <v>10738</v>
      </c>
      <c r="W1249">
        <v>8215</v>
      </c>
      <c r="X1249">
        <v>13798</v>
      </c>
    </row>
    <row r="1250" spans="2:24" x14ac:dyDescent="0.35">
      <c r="B1250" s="46" t="s">
        <v>1610</v>
      </c>
      <c r="D1250" t="s">
        <v>1471</v>
      </c>
      <c r="E1250" t="s">
        <v>1472</v>
      </c>
      <c r="F1250" s="46" t="s">
        <v>1491</v>
      </c>
      <c r="G1250" t="s">
        <v>231</v>
      </c>
      <c r="H1250" s="23">
        <v>1</v>
      </c>
      <c r="I1250" s="23" t="s">
        <v>1473</v>
      </c>
      <c r="J1250" t="s">
        <v>530</v>
      </c>
      <c r="K1250">
        <v>856</v>
      </c>
      <c r="L1250">
        <v>1250</v>
      </c>
      <c r="M1250" s="24">
        <v>742</v>
      </c>
      <c r="N1250" s="24">
        <v>1229</v>
      </c>
      <c r="O1250" s="24">
        <v>678</v>
      </c>
      <c r="P1250" s="24">
        <v>1212</v>
      </c>
      <c r="Q1250">
        <v>684</v>
      </c>
      <c r="R1250">
        <v>1318</v>
      </c>
      <c r="S1250">
        <v>856</v>
      </c>
      <c r="T1250">
        <v>1601</v>
      </c>
      <c r="U1250">
        <v>896</v>
      </c>
      <c r="V1250">
        <v>1825</v>
      </c>
      <c r="W1250">
        <v>798</v>
      </c>
      <c r="X1250">
        <v>2023</v>
      </c>
    </row>
    <row r="1251" spans="2:24" x14ac:dyDescent="0.35">
      <c r="B1251" s="46" t="s">
        <v>1612</v>
      </c>
      <c r="D1251" t="s">
        <v>1471</v>
      </c>
      <c r="E1251" t="s">
        <v>1472</v>
      </c>
      <c r="F1251" s="46" t="s">
        <v>1550</v>
      </c>
      <c r="G1251" t="s">
        <v>273</v>
      </c>
      <c r="H1251" s="23">
        <v>7</v>
      </c>
      <c r="I1251" s="23" t="s">
        <v>1548</v>
      </c>
      <c r="J1251" t="s">
        <v>377</v>
      </c>
      <c r="K1251">
        <v>5536</v>
      </c>
      <c r="L1251">
        <v>7207</v>
      </c>
      <c r="M1251" s="24">
        <v>4790</v>
      </c>
      <c r="N1251" s="24">
        <v>6891</v>
      </c>
      <c r="O1251" s="24">
        <v>4069</v>
      </c>
      <c r="P1251" s="24">
        <v>6685</v>
      </c>
      <c r="Q1251">
        <v>3646</v>
      </c>
      <c r="R1251">
        <v>6681</v>
      </c>
      <c r="S1251">
        <v>4417</v>
      </c>
      <c r="T1251">
        <v>8207</v>
      </c>
      <c r="U1251">
        <v>5409</v>
      </c>
      <c r="V1251">
        <v>9951</v>
      </c>
      <c r="W1251">
        <v>5549</v>
      </c>
      <c r="X1251">
        <v>12350</v>
      </c>
    </row>
    <row r="1252" spans="2:24" x14ac:dyDescent="0.35">
      <c r="B1252" s="46" t="s">
        <v>1614</v>
      </c>
      <c r="D1252" t="s">
        <v>1471</v>
      </c>
      <c r="E1252" t="s">
        <v>1472</v>
      </c>
      <c r="F1252" s="46" t="s">
        <v>1566</v>
      </c>
      <c r="G1252" t="s">
        <v>283</v>
      </c>
      <c r="H1252" s="23">
        <v>9</v>
      </c>
      <c r="I1252" s="23" t="s">
        <v>1558</v>
      </c>
      <c r="J1252" t="s">
        <v>869</v>
      </c>
      <c r="K1252">
        <v>1213</v>
      </c>
      <c r="L1252">
        <v>1464</v>
      </c>
      <c r="M1252" s="24">
        <v>1110</v>
      </c>
      <c r="N1252" s="24">
        <v>1458</v>
      </c>
      <c r="O1252" s="24">
        <v>1035</v>
      </c>
      <c r="P1252" s="24">
        <v>1407</v>
      </c>
      <c r="Q1252">
        <v>840</v>
      </c>
      <c r="R1252">
        <v>1483</v>
      </c>
      <c r="S1252">
        <v>1133</v>
      </c>
      <c r="T1252">
        <v>1866</v>
      </c>
      <c r="U1252">
        <v>1792</v>
      </c>
      <c r="V1252">
        <v>2819</v>
      </c>
      <c r="W1252">
        <v>3029</v>
      </c>
      <c r="X1252">
        <v>4487</v>
      </c>
    </row>
    <row r="1253" spans="2:24" x14ac:dyDescent="0.35">
      <c r="B1253" s="46" t="s">
        <v>1616</v>
      </c>
      <c r="D1253" t="s">
        <v>1471</v>
      </c>
      <c r="E1253" t="s">
        <v>1472</v>
      </c>
      <c r="F1253" s="46" t="s">
        <v>1567</v>
      </c>
      <c r="G1253" t="s">
        <v>283</v>
      </c>
      <c r="H1253" s="23">
        <v>9</v>
      </c>
      <c r="I1253" s="23" t="s">
        <v>1558</v>
      </c>
      <c r="J1253" t="s">
        <v>1568</v>
      </c>
      <c r="K1253">
        <v>5246</v>
      </c>
      <c r="L1253">
        <v>5902</v>
      </c>
      <c r="M1253" s="24">
        <v>4857</v>
      </c>
      <c r="N1253" s="24">
        <v>5742</v>
      </c>
      <c r="O1253" s="24">
        <v>5003</v>
      </c>
      <c r="P1253" s="24">
        <v>5976</v>
      </c>
      <c r="Q1253">
        <v>4184</v>
      </c>
      <c r="R1253">
        <v>6256</v>
      </c>
      <c r="S1253">
        <v>4532</v>
      </c>
      <c r="T1253">
        <v>7307</v>
      </c>
      <c r="U1253">
        <v>6823</v>
      </c>
      <c r="V1253">
        <v>10186</v>
      </c>
      <c r="W1253">
        <v>10057</v>
      </c>
      <c r="X1253">
        <v>14982</v>
      </c>
    </row>
    <row r="1254" spans="2:24" x14ac:dyDescent="0.35">
      <c r="B1254" s="46" t="s">
        <v>1618</v>
      </c>
      <c r="D1254" t="s">
        <v>1471</v>
      </c>
      <c r="E1254" t="s">
        <v>1472</v>
      </c>
      <c r="F1254" s="46" t="s">
        <v>1551</v>
      </c>
      <c r="G1254" t="s">
        <v>273</v>
      </c>
      <c r="H1254" s="23">
        <v>7</v>
      </c>
      <c r="I1254" s="23" t="s">
        <v>1548</v>
      </c>
      <c r="J1254" t="s">
        <v>1552</v>
      </c>
      <c r="K1254">
        <v>3486</v>
      </c>
      <c r="L1254">
        <v>4324</v>
      </c>
      <c r="M1254" s="24">
        <v>2893</v>
      </c>
      <c r="N1254" s="24">
        <v>3984</v>
      </c>
      <c r="O1254" s="24">
        <v>2269</v>
      </c>
      <c r="P1254" s="24">
        <v>3750</v>
      </c>
      <c r="Q1254">
        <v>1992</v>
      </c>
      <c r="R1254">
        <v>3737</v>
      </c>
      <c r="S1254">
        <v>2430</v>
      </c>
      <c r="T1254">
        <v>4463</v>
      </c>
      <c r="U1254">
        <v>2821</v>
      </c>
      <c r="V1254">
        <v>5084</v>
      </c>
      <c r="W1254">
        <v>2928</v>
      </c>
      <c r="X1254">
        <v>6747</v>
      </c>
    </row>
    <row r="1255" spans="2:24" x14ac:dyDescent="0.35">
      <c r="B1255" s="46" t="s">
        <v>1621</v>
      </c>
      <c r="D1255" t="s">
        <v>1471</v>
      </c>
      <c r="E1255" t="s">
        <v>1472</v>
      </c>
      <c r="F1255" s="46" t="s">
        <v>1525</v>
      </c>
      <c r="G1255" t="s">
        <v>255</v>
      </c>
      <c r="H1255" s="23">
        <v>4</v>
      </c>
      <c r="I1255" s="23" t="s">
        <v>1519</v>
      </c>
      <c r="J1255" t="s">
        <v>1526</v>
      </c>
      <c r="K1255">
        <v>4788</v>
      </c>
      <c r="L1255">
        <v>6464</v>
      </c>
      <c r="M1255" s="24">
        <v>4241</v>
      </c>
      <c r="N1255" s="24">
        <v>6221</v>
      </c>
      <c r="O1255" s="24">
        <v>3636</v>
      </c>
      <c r="P1255" s="24">
        <v>6105</v>
      </c>
      <c r="Q1255">
        <v>3080</v>
      </c>
      <c r="R1255">
        <v>5913</v>
      </c>
      <c r="S1255">
        <v>4399</v>
      </c>
      <c r="T1255">
        <v>7775</v>
      </c>
      <c r="U1255">
        <v>5693</v>
      </c>
      <c r="V1255">
        <v>9738</v>
      </c>
      <c r="W1255">
        <v>5840</v>
      </c>
      <c r="X1255">
        <v>13011</v>
      </c>
    </row>
    <row r="1256" spans="2:24" x14ac:dyDescent="0.35">
      <c r="B1256" s="46" t="s">
        <v>1622</v>
      </c>
      <c r="D1256" t="s">
        <v>1471</v>
      </c>
      <c r="E1256" t="s">
        <v>1472</v>
      </c>
      <c r="F1256" s="46" t="s">
        <v>1492</v>
      </c>
      <c r="G1256" t="s">
        <v>231</v>
      </c>
      <c r="H1256" s="23">
        <v>1</v>
      </c>
      <c r="I1256" s="23" t="s">
        <v>1473</v>
      </c>
      <c r="J1256" t="s">
        <v>1493</v>
      </c>
      <c r="K1256">
        <v>2249</v>
      </c>
      <c r="L1256">
        <v>3143</v>
      </c>
      <c r="M1256" s="24">
        <v>1911</v>
      </c>
      <c r="N1256" s="24">
        <v>3065</v>
      </c>
      <c r="O1256" s="24">
        <v>1915</v>
      </c>
      <c r="P1256" s="24">
        <v>3121</v>
      </c>
      <c r="Q1256">
        <v>1823</v>
      </c>
      <c r="R1256">
        <v>3342</v>
      </c>
      <c r="S1256">
        <v>2434</v>
      </c>
      <c r="T1256">
        <v>4339</v>
      </c>
      <c r="U1256">
        <v>2457</v>
      </c>
      <c r="V1256">
        <v>5037</v>
      </c>
      <c r="W1256">
        <v>2577</v>
      </c>
      <c r="X1256">
        <v>6430</v>
      </c>
    </row>
    <row r="1257" spans="2:24" x14ac:dyDescent="0.35">
      <c r="B1257" s="46" t="s">
        <v>1624</v>
      </c>
      <c r="D1257" t="s">
        <v>1471</v>
      </c>
      <c r="E1257" t="s">
        <v>1472</v>
      </c>
      <c r="F1257" s="46" t="s">
        <v>1569</v>
      </c>
      <c r="G1257" t="s">
        <v>283</v>
      </c>
      <c r="H1257" s="23">
        <v>9</v>
      </c>
      <c r="I1257" s="23" t="s">
        <v>1558</v>
      </c>
      <c r="J1257" t="s">
        <v>1570</v>
      </c>
      <c r="K1257">
        <v>1970</v>
      </c>
      <c r="L1257">
        <v>2442</v>
      </c>
      <c r="M1257" s="24">
        <v>1772</v>
      </c>
      <c r="N1257" s="24">
        <v>2400</v>
      </c>
      <c r="O1257" s="24">
        <v>1582</v>
      </c>
      <c r="P1257" s="24">
        <v>2348</v>
      </c>
      <c r="Q1257">
        <v>1239</v>
      </c>
      <c r="R1257">
        <v>2401</v>
      </c>
      <c r="S1257">
        <v>1553</v>
      </c>
      <c r="T1257">
        <v>2846</v>
      </c>
      <c r="U1257">
        <v>2780</v>
      </c>
      <c r="V1257">
        <v>4437</v>
      </c>
      <c r="W1257">
        <v>4978</v>
      </c>
      <c r="X1257">
        <v>7200</v>
      </c>
    </row>
    <row r="1258" spans="2:24" x14ac:dyDescent="0.35">
      <c r="B1258" s="46" t="s">
        <v>1626</v>
      </c>
      <c r="D1258" t="s">
        <v>1471</v>
      </c>
      <c r="E1258" t="s">
        <v>1472</v>
      </c>
      <c r="F1258" s="46" t="s">
        <v>1571</v>
      </c>
      <c r="G1258" t="s">
        <v>283</v>
      </c>
      <c r="H1258" s="23">
        <v>9</v>
      </c>
      <c r="I1258" s="23" t="s">
        <v>1558</v>
      </c>
      <c r="J1258" t="s">
        <v>1572</v>
      </c>
      <c r="K1258">
        <v>948</v>
      </c>
      <c r="L1258">
        <v>1149</v>
      </c>
      <c r="M1258" s="24">
        <v>844</v>
      </c>
      <c r="N1258" s="24">
        <v>1131</v>
      </c>
      <c r="O1258" s="24">
        <v>829</v>
      </c>
      <c r="P1258" s="24">
        <v>1135</v>
      </c>
      <c r="Q1258">
        <v>674</v>
      </c>
      <c r="R1258">
        <v>1171</v>
      </c>
      <c r="S1258">
        <v>842</v>
      </c>
      <c r="T1258">
        <v>1423</v>
      </c>
      <c r="U1258">
        <v>1350</v>
      </c>
      <c r="V1258">
        <v>2141</v>
      </c>
      <c r="W1258">
        <v>2276</v>
      </c>
      <c r="X1258">
        <v>3385</v>
      </c>
    </row>
    <row r="1259" spans="2:24" x14ac:dyDescent="0.35">
      <c r="B1259" s="46" t="s">
        <v>1627</v>
      </c>
      <c r="D1259" t="s">
        <v>1471</v>
      </c>
      <c r="E1259" t="s">
        <v>1472</v>
      </c>
      <c r="F1259" s="46" t="s">
        <v>1527</v>
      </c>
      <c r="G1259" t="s">
        <v>255</v>
      </c>
      <c r="H1259" s="23">
        <v>4</v>
      </c>
      <c r="I1259" s="23" t="s">
        <v>1519</v>
      </c>
      <c r="J1259" t="s">
        <v>1528</v>
      </c>
      <c r="K1259">
        <v>2024</v>
      </c>
      <c r="L1259">
        <v>2865</v>
      </c>
      <c r="M1259" s="24">
        <v>1625</v>
      </c>
      <c r="N1259" s="24">
        <v>2771</v>
      </c>
      <c r="O1259" s="24">
        <v>1376</v>
      </c>
      <c r="P1259" s="24">
        <v>2591</v>
      </c>
      <c r="Q1259">
        <v>1276</v>
      </c>
      <c r="R1259">
        <v>2664</v>
      </c>
      <c r="S1259">
        <v>1728</v>
      </c>
      <c r="T1259">
        <v>3254</v>
      </c>
      <c r="U1259">
        <v>2148</v>
      </c>
      <c r="V1259">
        <v>3957</v>
      </c>
      <c r="W1259">
        <v>2776</v>
      </c>
      <c r="X1259">
        <v>5174</v>
      </c>
    </row>
    <row r="1260" spans="2:24" x14ac:dyDescent="0.35">
      <c r="B1260" s="46" t="s">
        <v>1629</v>
      </c>
      <c r="D1260" t="s">
        <v>1471</v>
      </c>
      <c r="E1260" t="s">
        <v>1472</v>
      </c>
      <c r="F1260" s="46" t="s">
        <v>1541</v>
      </c>
      <c r="G1260" t="s">
        <v>265</v>
      </c>
      <c r="H1260" s="23">
        <v>6</v>
      </c>
      <c r="I1260" s="23" t="s">
        <v>1536</v>
      </c>
      <c r="J1260" t="s">
        <v>1542</v>
      </c>
      <c r="K1260">
        <v>1806</v>
      </c>
      <c r="L1260">
        <v>2255</v>
      </c>
      <c r="M1260" s="24">
        <v>1565</v>
      </c>
      <c r="N1260" s="24">
        <v>2192</v>
      </c>
      <c r="O1260" s="24">
        <v>1337</v>
      </c>
      <c r="P1260" s="24">
        <v>2204</v>
      </c>
      <c r="Q1260">
        <v>1116</v>
      </c>
      <c r="R1260">
        <v>2128</v>
      </c>
      <c r="S1260">
        <v>1360</v>
      </c>
      <c r="T1260">
        <v>2566</v>
      </c>
      <c r="U1260">
        <v>1364</v>
      </c>
      <c r="V1260">
        <v>2860</v>
      </c>
      <c r="W1260">
        <v>1600</v>
      </c>
      <c r="X1260">
        <v>3665</v>
      </c>
    </row>
    <row r="1261" spans="2:24" x14ac:dyDescent="0.35">
      <c r="B1261" s="46" t="s">
        <v>1632</v>
      </c>
      <c r="D1261" t="s">
        <v>1471</v>
      </c>
      <c r="E1261" t="s">
        <v>1472</v>
      </c>
      <c r="F1261" s="46" t="s">
        <v>1543</v>
      </c>
      <c r="G1261" t="s">
        <v>265</v>
      </c>
      <c r="H1261" s="23">
        <v>6</v>
      </c>
      <c r="I1261" s="23" t="s">
        <v>1536</v>
      </c>
      <c r="J1261" t="s">
        <v>1544</v>
      </c>
      <c r="K1261">
        <v>2778</v>
      </c>
      <c r="L1261">
        <v>3629</v>
      </c>
      <c r="M1261" s="24">
        <v>2526</v>
      </c>
      <c r="N1261" s="24">
        <v>3533</v>
      </c>
      <c r="O1261" s="24">
        <v>2470</v>
      </c>
      <c r="P1261" s="24">
        <v>3675</v>
      </c>
      <c r="Q1261">
        <v>2341</v>
      </c>
      <c r="R1261">
        <v>3801</v>
      </c>
      <c r="S1261">
        <v>2669</v>
      </c>
      <c r="T1261">
        <v>4456</v>
      </c>
      <c r="U1261">
        <v>2626</v>
      </c>
      <c r="V1261">
        <v>4883</v>
      </c>
      <c r="W1261">
        <v>2576</v>
      </c>
      <c r="X1261">
        <v>5559</v>
      </c>
    </row>
    <row r="1262" spans="2:24" x14ac:dyDescent="0.35">
      <c r="B1262" s="46" t="s">
        <v>1634</v>
      </c>
      <c r="D1262" t="s">
        <v>1471</v>
      </c>
      <c r="E1262" t="s">
        <v>1472</v>
      </c>
      <c r="F1262" s="46" t="s">
        <v>1494</v>
      </c>
      <c r="G1262" t="s">
        <v>231</v>
      </c>
      <c r="H1262" s="23">
        <v>1</v>
      </c>
      <c r="I1262" s="23" t="s">
        <v>1473</v>
      </c>
      <c r="J1262" t="s">
        <v>1495</v>
      </c>
      <c r="K1262">
        <v>604</v>
      </c>
      <c r="L1262">
        <v>839</v>
      </c>
      <c r="M1262" s="24">
        <v>505</v>
      </c>
      <c r="N1262" s="24">
        <v>859</v>
      </c>
      <c r="O1262" s="24">
        <v>449</v>
      </c>
      <c r="P1262" s="24">
        <v>896</v>
      </c>
      <c r="Q1262">
        <v>422</v>
      </c>
      <c r="R1262">
        <v>1007</v>
      </c>
      <c r="S1262">
        <v>526</v>
      </c>
      <c r="T1262">
        <v>1247</v>
      </c>
      <c r="U1262">
        <v>586</v>
      </c>
      <c r="V1262">
        <v>1414</v>
      </c>
      <c r="W1262">
        <v>656</v>
      </c>
      <c r="X1262">
        <v>1596</v>
      </c>
    </row>
    <row r="1263" spans="2:24" x14ac:dyDescent="0.35">
      <c r="B1263" s="46" t="s">
        <v>1636</v>
      </c>
      <c r="D1263" t="s">
        <v>1471</v>
      </c>
      <c r="E1263" t="s">
        <v>1472</v>
      </c>
      <c r="F1263" s="46" t="s">
        <v>1496</v>
      </c>
      <c r="G1263" t="s">
        <v>231</v>
      </c>
      <c r="H1263" s="23">
        <v>1</v>
      </c>
      <c r="I1263" s="23" t="s">
        <v>1473</v>
      </c>
      <c r="J1263" t="s">
        <v>1497</v>
      </c>
      <c r="K1263">
        <v>1771</v>
      </c>
      <c r="L1263">
        <v>2527</v>
      </c>
      <c r="M1263" s="24">
        <v>1494</v>
      </c>
      <c r="N1263" s="24">
        <v>2420</v>
      </c>
      <c r="O1263" s="24">
        <v>1346</v>
      </c>
      <c r="P1263" s="24">
        <v>2409</v>
      </c>
      <c r="Q1263">
        <v>1254</v>
      </c>
      <c r="R1263">
        <v>2619</v>
      </c>
      <c r="S1263">
        <v>1469</v>
      </c>
      <c r="T1263">
        <v>3069</v>
      </c>
      <c r="U1263">
        <v>1453</v>
      </c>
      <c r="V1263">
        <v>3366</v>
      </c>
      <c r="W1263">
        <v>1429</v>
      </c>
      <c r="X1263">
        <v>3733</v>
      </c>
    </row>
    <row r="1264" spans="2:24" x14ac:dyDescent="0.35">
      <c r="B1264" s="46" t="s">
        <v>1638</v>
      </c>
      <c r="D1264" t="s">
        <v>1471</v>
      </c>
      <c r="E1264" t="s">
        <v>1472</v>
      </c>
      <c r="F1264" s="46" t="s">
        <v>1658</v>
      </c>
      <c r="G1264" t="s">
        <v>585</v>
      </c>
      <c r="H1264" s="23">
        <v>16</v>
      </c>
      <c r="I1264" s="23" t="s">
        <v>1643</v>
      </c>
      <c r="J1264" t="s">
        <v>1659</v>
      </c>
      <c r="K1264">
        <v>332</v>
      </c>
      <c r="L1264">
        <v>385</v>
      </c>
      <c r="M1264" s="24">
        <v>299</v>
      </c>
      <c r="N1264" s="24">
        <v>363</v>
      </c>
      <c r="O1264" s="24">
        <v>235</v>
      </c>
      <c r="P1264" s="24">
        <v>327</v>
      </c>
      <c r="Q1264">
        <v>219</v>
      </c>
      <c r="R1264">
        <v>356</v>
      </c>
      <c r="S1264">
        <v>258</v>
      </c>
      <c r="T1264">
        <v>403</v>
      </c>
      <c r="U1264">
        <v>263</v>
      </c>
      <c r="V1264">
        <v>433</v>
      </c>
      <c r="W1264">
        <v>231</v>
      </c>
      <c r="X1264">
        <v>436</v>
      </c>
    </row>
    <row r="1265" spans="2:24" x14ac:dyDescent="0.35">
      <c r="B1265" s="46" t="s">
        <v>1640</v>
      </c>
      <c r="D1265" t="s">
        <v>1471</v>
      </c>
      <c r="E1265" t="s">
        <v>1472</v>
      </c>
      <c r="F1265" s="46" t="s">
        <v>1529</v>
      </c>
      <c r="G1265" t="s">
        <v>255</v>
      </c>
      <c r="H1265" s="23">
        <v>4</v>
      </c>
      <c r="I1265" s="23" t="s">
        <v>1519</v>
      </c>
      <c r="J1265" t="s">
        <v>518</v>
      </c>
      <c r="K1265">
        <v>9222</v>
      </c>
      <c r="L1265">
        <v>13665</v>
      </c>
      <c r="M1265" s="24">
        <v>7944</v>
      </c>
      <c r="N1265" s="24">
        <v>13352</v>
      </c>
      <c r="O1265" s="24">
        <v>6834</v>
      </c>
      <c r="P1265" s="24">
        <v>13479</v>
      </c>
      <c r="Q1265">
        <v>6441</v>
      </c>
      <c r="R1265">
        <v>13966</v>
      </c>
      <c r="S1265">
        <v>9087</v>
      </c>
      <c r="T1265">
        <v>17838</v>
      </c>
      <c r="U1265">
        <v>10975</v>
      </c>
      <c r="V1265">
        <v>20895</v>
      </c>
      <c r="W1265">
        <v>12847</v>
      </c>
      <c r="X1265">
        <v>24628</v>
      </c>
    </row>
    <row r="1266" spans="2:24" x14ac:dyDescent="0.35">
      <c r="B1266" s="46" t="s">
        <v>1642</v>
      </c>
      <c r="D1266" t="s">
        <v>1471</v>
      </c>
      <c r="E1266" t="s">
        <v>1472</v>
      </c>
      <c r="F1266" s="46" t="s">
        <v>1576</v>
      </c>
      <c r="G1266" t="s">
        <v>289</v>
      </c>
      <c r="H1266" s="23">
        <v>10</v>
      </c>
      <c r="I1266" s="23" t="s">
        <v>1574</v>
      </c>
      <c r="J1266" t="s">
        <v>1577</v>
      </c>
      <c r="K1266">
        <v>1356</v>
      </c>
      <c r="L1266">
        <v>1796</v>
      </c>
      <c r="M1266" s="24">
        <v>1165</v>
      </c>
      <c r="N1266" s="24">
        <v>1699</v>
      </c>
      <c r="O1266" s="24">
        <v>933</v>
      </c>
      <c r="P1266" s="24">
        <v>1612</v>
      </c>
      <c r="Q1266">
        <v>873</v>
      </c>
      <c r="R1266">
        <v>1497</v>
      </c>
      <c r="S1266">
        <v>1186</v>
      </c>
      <c r="T1266">
        <v>2059</v>
      </c>
      <c r="U1266">
        <v>1615</v>
      </c>
      <c r="V1266">
        <v>2890</v>
      </c>
      <c r="W1266">
        <v>2664</v>
      </c>
      <c r="X1266">
        <v>4320</v>
      </c>
    </row>
    <row r="1267" spans="2:24" x14ac:dyDescent="0.35">
      <c r="B1267" s="46" t="s">
        <v>1645</v>
      </c>
      <c r="D1267" t="s">
        <v>1471</v>
      </c>
      <c r="E1267" t="s">
        <v>1472</v>
      </c>
      <c r="F1267" s="46" t="s">
        <v>1616</v>
      </c>
      <c r="G1267" t="s">
        <v>311</v>
      </c>
      <c r="H1267" s="23">
        <v>13</v>
      </c>
      <c r="I1267" s="23" t="s">
        <v>1613</v>
      </c>
      <c r="J1267" t="s">
        <v>1617</v>
      </c>
      <c r="K1267">
        <v>35932</v>
      </c>
      <c r="L1267">
        <v>57544</v>
      </c>
      <c r="M1267" s="24">
        <v>30959</v>
      </c>
      <c r="N1267" s="24">
        <v>53759</v>
      </c>
      <c r="O1267" s="24">
        <v>28168</v>
      </c>
      <c r="P1267" s="24">
        <v>52807</v>
      </c>
      <c r="Q1267">
        <v>27188</v>
      </c>
      <c r="R1267">
        <v>56657</v>
      </c>
      <c r="S1267">
        <v>35598</v>
      </c>
      <c r="T1267">
        <v>70175</v>
      </c>
      <c r="U1267">
        <v>40198</v>
      </c>
      <c r="V1267">
        <v>81415</v>
      </c>
      <c r="W1267">
        <v>52659</v>
      </c>
      <c r="X1267">
        <v>100448</v>
      </c>
    </row>
    <row r="1268" spans="2:24" x14ac:dyDescent="0.35">
      <c r="B1268" s="46" t="s">
        <v>1647</v>
      </c>
      <c r="D1268" t="s">
        <v>1471</v>
      </c>
      <c r="E1268" t="s">
        <v>1472</v>
      </c>
      <c r="F1268" s="46" t="s">
        <v>1578</v>
      </c>
      <c r="G1268" t="s">
        <v>289</v>
      </c>
      <c r="H1268" s="23">
        <v>10</v>
      </c>
      <c r="I1268" s="23" t="s">
        <v>1574</v>
      </c>
      <c r="J1268" t="s">
        <v>873</v>
      </c>
      <c r="K1268">
        <v>536</v>
      </c>
      <c r="L1268">
        <v>688</v>
      </c>
      <c r="M1268" s="24">
        <v>481</v>
      </c>
      <c r="N1268" s="24">
        <v>658</v>
      </c>
      <c r="O1268" s="24">
        <v>326</v>
      </c>
      <c r="P1268" s="24">
        <v>566</v>
      </c>
      <c r="Q1268">
        <v>295</v>
      </c>
      <c r="R1268">
        <v>543</v>
      </c>
      <c r="S1268">
        <v>350</v>
      </c>
      <c r="T1268">
        <v>697</v>
      </c>
      <c r="U1268">
        <v>539</v>
      </c>
      <c r="V1268">
        <v>985</v>
      </c>
      <c r="W1268">
        <v>882</v>
      </c>
      <c r="X1268">
        <v>1418</v>
      </c>
    </row>
    <row r="1269" spans="2:24" x14ac:dyDescent="0.35">
      <c r="B1269" s="46" t="s">
        <v>1649</v>
      </c>
      <c r="D1269" t="s">
        <v>1471</v>
      </c>
      <c r="E1269" t="s">
        <v>1472</v>
      </c>
      <c r="F1269" s="46" t="s">
        <v>1660</v>
      </c>
      <c r="G1269" t="s">
        <v>585</v>
      </c>
      <c r="H1269" s="23">
        <v>16</v>
      </c>
      <c r="I1269" s="23" t="s">
        <v>1643</v>
      </c>
      <c r="J1269" t="s">
        <v>385</v>
      </c>
      <c r="K1269">
        <v>610</v>
      </c>
      <c r="L1269">
        <v>750</v>
      </c>
      <c r="M1269" s="24">
        <v>563</v>
      </c>
      <c r="N1269" s="24">
        <v>770</v>
      </c>
      <c r="O1269" s="24">
        <v>496</v>
      </c>
      <c r="P1269" s="24">
        <v>716</v>
      </c>
      <c r="Q1269">
        <v>469</v>
      </c>
      <c r="R1269">
        <v>726</v>
      </c>
      <c r="S1269">
        <v>593</v>
      </c>
      <c r="T1269">
        <v>877</v>
      </c>
      <c r="U1269">
        <v>541</v>
      </c>
      <c r="V1269">
        <v>955</v>
      </c>
      <c r="W1269">
        <v>602</v>
      </c>
      <c r="X1269">
        <v>1139</v>
      </c>
    </row>
    <row r="1270" spans="2:24" x14ac:dyDescent="0.35">
      <c r="B1270" s="46" t="s">
        <v>1651</v>
      </c>
      <c r="D1270" t="s">
        <v>1471</v>
      </c>
      <c r="E1270" t="s">
        <v>1472</v>
      </c>
      <c r="F1270" s="46" t="s">
        <v>1515</v>
      </c>
      <c r="G1270" t="s">
        <v>239</v>
      </c>
      <c r="H1270" s="23">
        <v>3</v>
      </c>
      <c r="I1270" s="23" t="s">
        <v>1511</v>
      </c>
      <c r="J1270" t="s">
        <v>1516</v>
      </c>
      <c r="K1270">
        <v>2447</v>
      </c>
      <c r="L1270">
        <v>3618</v>
      </c>
      <c r="M1270" s="24">
        <v>2049</v>
      </c>
      <c r="N1270" s="24">
        <v>3525</v>
      </c>
      <c r="O1270" s="24">
        <v>1832</v>
      </c>
      <c r="P1270" s="24">
        <v>3425</v>
      </c>
      <c r="Q1270">
        <v>1801</v>
      </c>
      <c r="R1270">
        <v>3614</v>
      </c>
      <c r="S1270">
        <v>2106</v>
      </c>
      <c r="T1270">
        <v>4185</v>
      </c>
      <c r="U1270">
        <v>2011</v>
      </c>
      <c r="V1270">
        <v>4326</v>
      </c>
      <c r="W1270">
        <v>1726</v>
      </c>
      <c r="X1270">
        <v>4150</v>
      </c>
    </row>
    <row r="1271" spans="2:24" x14ac:dyDescent="0.35">
      <c r="B1271" s="46" t="s">
        <v>1653</v>
      </c>
      <c r="D1271" t="s">
        <v>1471</v>
      </c>
      <c r="E1271" t="s">
        <v>1472</v>
      </c>
      <c r="F1271" s="46" t="s">
        <v>1626</v>
      </c>
      <c r="G1271" t="s">
        <v>577</v>
      </c>
      <c r="H1271" s="23">
        <v>14</v>
      </c>
      <c r="I1271" s="23" t="s">
        <v>1619</v>
      </c>
      <c r="J1271" t="s">
        <v>894</v>
      </c>
      <c r="K1271">
        <v>2995</v>
      </c>
      <c r="L1271">
        <v>3963</v>
      </c>
      <c r="M1271" s="24">
        <v>2676</v>
      </c>
      <c r="N1271" s="24">
        <v>3966</v>
      </c>
      <c r="O1271" s="24">
        <v>2602</v>
      </c>
      <c r="P1271" s="24">
        <v>4033</v>
      </c>
      <c r="Q1271">
        <v>2649</v>
      </c>
      <c r="R1271">
        <v>4361</v>
      </c>
      <c r="S1271">
        <v>2421</v>
      </c>
      <c r="T1271">
        <v>5266</v>
      </c>
      <c r="U1271">
        <v>3049</v>
      </c>
      <c r="V1271">
        <v>6609</v>
      </c>
      <c r="W1271">
        <v>6540</v>
      </c>
      <c r="X1271">
        <v>10037</v>
      </c>
    </row>
    <row r="1272" spans="2:24" x14ac:dyDescent="0.35">
      <c r="B1272" s="46" t="s">
        <v>1654</v>
      </c>
      <c r="D1272" t="s">
        <v>1471</v>
      </c>
      <c r="E1272" t="s">
        <v>1472</v>
      </c>
      <c r="F1272" s="46" t="s">
        <v>1517</v>
      </c>
      <c r="G1272" t="s">
        <v>239</v>
      </c>
      <c r="H1272" s="23">
        <v>3</v>
      </c>
      <c r="I1272" s="23" t="s">
        <v>1511</v>
      </c>
      <c r="J1272" t="s">
        <v>875</v>
      </c>
      <c r="K1272">
        <v>2812</v>
      </c>
      <c r="L1272">
        <v>3441</v>
      </c>
      <c r="M1272" s="24">
        <v>2407</v>
      </c>
      <c r="N1272" s="24">
        <v>3253</v>
      </c>
      <c r="O1272" s="24">
        <v>1924</v>
      </c>
      <c r="P1272" s="24">
        <v>3113</v>
      </c>
      <c r="Q1272">
        <v>1691</v>
      </c>
      <c r="R1272">
        <v>3050</v>
      </c>
      <c r="S1272">
        <v>2146</v>
      </c>
      <c r="T1272">
        <v>3793</v>
      </c>
      <c r="U1272">
        <v>2436</v>
      </c>
      <c r="V1272">
        <v>4567</v>
      </c>
      <c r="W1272">
        <v>2584</v>
      </c>
      <c r="X1272">
        <v>5639</v>
      </c>
    </row>
    <row r="1273" spans="2:24" x14ac:dyDescent="0.35">
      <c r="B1273" s="46" t="s">
        <v>1656</v>
      </c>
      <c r="D1273" t="s">
        <v>1471</v>
      </c>
      <c r="E1273" t="s">
        <v>1472</v>
      </c>
      <c r="F1273" s="46" t="s">
        <v>1627</v>
      </c>
      <c r="G1273" t="s">
        <v>577</v>
      </c>
      <c r="H1273" s="23">
        <v>14</v>
      </c>
      <c r="I1273" s="23" t="s">
        <v>1619</v>
      </c>
      <c r="J1273" t="s">
        <v>1628</v>
      </c>
      <c r="K1273">
        <v>2905</v>
      </c>
      <c r="L1273">
        <v>3637</v>
      </c>
      <c r="M1273" s="24">
        <v>2538</v>
      </c>
      <c r="N1273" s="24">
        <v>3609</v>
      </c>
      <c r="O1273" s="24">
        <v>2435</v>
      </c>
      <c r="P1273" s="24">
        <v>3599</v>
      </c>
      <c r="Q1273">
        <v>2440</v>
      </c>
      <c r="R1273">
        <v>3912</v>
      </c>
      <c r="S1273">
        <v>2365</v>
      </c>
      <c r="T1273">
        <v>4545</v>
      </c>
      <c r="U1273">
        <v>2897</v>
      </c>
      <c r="V1273">
        <v>5211</v>
      </c>
      <c r="W1273">
        <v>4830</v>
      </c>
      <c r="X1273">
        <v>7463</v>
      </c>
    </row>
    <row r="1274" spans="2:24" x14ac:dyDescent="0.35">
      <c r="B1274" s="46" t="s">
        <v>1658</v>
      </c>
      <c r="D1274" t="s">
        <v>1471</v>
      </c>
      <c r="E1274" t="s">
        <v>1472</v>
      </c>
      <c r="F1274" s="46" t="s">
        <v>1545</v>
      </c>
      <c r="G1274" t="s">
        <v>265</v>
      </c>
      <c r="H1274" s="23">
        <v>6</v>
      </c>
      <c r="I1274" s="23" t="s">
        <v>1536</v>
      </c>
      <c r="J1274" t="s">
        <v>1546</v>
      </c>
      <c r="K1274">
        <v>1426</v>
      </c>
      <c r="L1274">
        <v>1798</v>
      </c>
      <c r="M1274" s="24">
        <v>1322</v>
      </c>
      <c r="N1274" s="24">
        <v>1775</v>
      </c>
      <c r="O1274" s="24">
        <v>1105</v>
      </c>
      <c r="P1274" s="24">
        <v>1777</v>
      </c>
      <c r="Q1274">
        <v>939</v>
      </c>
      <c r="R1274">
        <v>1719</v>
      </c>
      <c r="S1274">
        <v>1141</v>
      </c>
      <c r="T1274">
        <v>2096</v>
      </c>
      <c r="U1274">
        <v>1153</v>
      </c>
      <c r="V1274">
        <v>2307</v>
      </c>
      <c r="W1274">
        <v>1246</v>
      </c>
      <c r="X1274">
        <v>2747</v>
      </c>
    </row>
    <row r="1275" spans="2:24" x14ac:dyDescent="0.35">
      <c r="B1275" s="46" t="s">
        <v>1660</v>
      </c>
      <c r="D1275" t="s">
        <v>1471</v>
      </c>
      <c r="E1275" t="s">
        <v>1472</v>
      </c>
      <c r="F1275" s="46" t="s">
        <v>1498</v>
      </c>
      <c r="G1275" t="s">
        <v>231</v>
      </c>
      <c r="H1275" s="23">
        <v>1</v>
      </c>
      <c r="I1275" s="23" t="s">
        <v>1473</v>
      </c>
      <c r="J1275" t="s">
        <v>1499</v>
      </c>
      <c r="K1275">
        <v>773</v>
      </c>
      <c r="L1275">
        <v>1095</v>
      </c>
      <c r="M1275" s="24">
        <v>649</v>
      </c>
      <c r="N1275" s="24">
        <v>1073</v>
      </c>
      <c r="O1275" s="24">
        <v>600</v>
      </c>
      <c r="P1275" s="24">
        <v>1101</v>
      </c>
      <c r="Q1275">
        <v>589</v>
      </c>
      <c r="R1275">
        <v>1201</v>
      </c>
      <c r="S1275">
        <v>807</v>
      </c>
      <c r="T1275">
        <v>1554</v>
      </c>
      <c r="U1275">
        <v>844</v>
      </c>
      <c r="V1275">
        <v>1720</v>
      </c>
      <c r="W1275">
        <v>807</v>
      </c>
      <c r="X1275">
        <v>1852</v>
      </c>
    </row>
    <row r="1276" spans="2:24" x14ac:dyDescent="0.35">
      <c r="B1276" s="46" t="s">
        <v>1661</v>
      </c>
      <c r="D1276" t="s">
        <v>1662</v>
      </c>
      <c r="E1276" t="s">
        <v>1663</v>
      </c>
      <c r="F1276" s="46" t="s">
        <v>1661</v>
      </c>
      <c r="G1276" t="s">
        <v>231</v>
      </c>
      <c r="H1276" s="23">
        <v>1</v>
      </c>
      <c r="I1276" s="23" t="s">
        <v>1664</v>
      </c>
      <c r="J1276" t="s">
        <v>1665</v>
      </c>
      <c r="K1276">
        <v>638</v>
      </c>
      <c r="L1276">
        <v>807</v>
      </c>
      <c r="M1276" s="24">
        <v>512</v>
      </c>
      <c r="N1276" s="24">
        <v>760</v>
      </c>
      <c r="O1276" s="24">
        <v>424</v>
      </c>
      <c r="P1276" s="24">
        <v>758</v>
      </c>
      <c r="Q1276">
        <v>386</v>
      </c>
      <c r="R1276">
        <v>795</v>
      </c>
      <c r="S1276">
        <v>492</v>
      </c>
      <c r="T1276">
        <v>1167</v>
      </c>
      <c r="U1276">
        <v>1047</v>
      </c>
      <c r="V1276">
        <v>1984</v>
      </c>
      <c r="W1276">
        <v>1890</v>
      </c>
      <c r="X1276">
        <v>3506</v>
      </c>
    </row>
    <row r="1277" spans="2:24" x14ac:dyDescent="0.35">
      <c r="B1277" s="46" t="s">
        <v>1666</v>
      </c>
      <c r="D1277" t="s">
        <v>1662</v>
      </c>
      <c r="E1277" t="s">
        <v>1663</v>
      </c>
      <c r="F1277" s="46" t="s">
        <v>1666</v>
      </c>
      <c r="G1277" t="s">
        <v>235</v>
      </c>
      <c r="H1277" s="23">
        <v>2</v>
      </c>
      <c r="I1277" s="23" t="s">
        <v>1667</v>
      </c>
      <c r="J1277" t="s">
        <v>1668</v>
      </c>
      <c r="K1277">
        <v>3801</v>
      </c>
      <c r="L1277">
        <v>5136</v>
      </c>
      <c r="M1277" s="24">
        <v>3294</v>
      </c>
      <c r="N1277" s="24">
        <v>5287</v>
      </c>
      <c r="O1277" s="24">
        <v>2530</v>
      </c>
      <c r="P1277" s="24">
        <v>5277</v>
      </c>
      <c r="Q1277">
        <v>2092</v>
      </c>
      <c r="R1277">
        <v>5675</v>
      </c>
      <c r="S1277">
        <v>3084</v>
      </c>
      <c r="T1277">
        <v>7670</v>
      </c>
      <c r="U1277">
        <v>4840</v>
      </c>
      <c r="V1277">
        <v>10610</v>
      </c>
      <c r="W1277">
        <v>7827</v>
      </c>
      <c r="X1277">
        <v>16960</v>
      </c>
    </row>
    <row r="1278" spans="2:24" x14ac:dyDescent="0.35">
      <c r="B1278" s="46" t="s">
        <v>1669</v>
      </c>
      <c r="D1278" t="s">
        <v>1662</v>
      </c>
      <c r="E1278" t="s">
        <v>1663</v>
      </c>
      <c r="F1278" s="46" t="s">
        <v>1669</v>
      </c>
      <c r="G1278" t="s">
        <v>239</v>
      </c>
      <c r="H1278" s="23">
        <v>3</v>
      </c>
      <c r="I1278" s="23" t="s">
        <v>1670</v>
      </c>
      <c r="J1278" t="s">
        <v>1671</v>
      </c>
      <c r="K1278">
        <v>166</v>
      </c>
      <c r="L1278">
        <v>206</v>
      </c>
      <c r="M1278" s="24">
        <v>165</v>
      </c>
      <c r="N1278" s="24">
        <v>259</v>
      </c>
      <c r="O1278" s="24">
        <v>104</v>
      </c>
      <c r="P1278" s="24">
        <v>221</v>
      </c>
      <c r="Q1278">
        <v>87</v>
      </c>
      <c r="R1278">
        <v>232</v>
      </c>
      <c r="S1278">
        <v>194</v>
      </c>
      <c r="T1278">
        <v>384</v>
      </c>
      <c r="U1278">
        <v>320</v>
      </c>
      <c r="V1278">
        <v>624</v>
      </c>
      <c r="W1278">
        <v>553</v>
      </c>
      <c r="X1278">
        <v>1204</v>
      </c>
    </row>
    <row r="1279" spans="2:24" x14ac:dyDescent="0.35">
      <c r="B1279" s="46" t="s">
        <v>1672</v>
      </c>
      <c r="D1279" t="s">
        <v>1662</v>
      </c>
      <c r="E1279" t="s">
        <v>1663</v>
      </c>
      <c r="F1279" s="46" t="s">
        <v>1672</v>
      </c>
      <c r="G1279" t="s">
        <v>255</v>
      </c>
      <c r="H1279" s="23">
        <v>4</v>
      </c>
      <c r="I1279" s="23" t="s">
        <v>1673</v>
      </c>
      <c r="J1279" t="s">
        <v>1674</v>
      </c>
      <c r="K1279">
        <v>5861</v>
      </c>
      <c r="L1279">
        <v>8195</v>
      </c>
      <c r="M1279" s="24">
        <v>4543</v>
      </c>
      <c r="N1279" s="24">
        <v>8109</v>
      </c>
      <c r="O1279" s="24">
        <v>3944</v>
      </c>
      <c r="P1279" s="24">
        <v>8242</v>
      </c>
      <c r="Q1279">
        <v>3986</v>
      </c>
      <c r="R1279">
        <v>8892</v>
      </c>
      <c r="S1279">
        <v>4623</v>
      </c>
      <c r="T1279">
        <v>11595</v>
      </c>
      <c r="U1279">
        <v>5979</v>
      </c>
      <c r="V1279">
        <v>14612</v>
      </c>
      <c r="W1279">
        <v>9571</v>
      </c>
      <c r="X1279">
        <v>22006</v>
      </c>
    </row>
    <row r="1280" spans="2:24" x14ac:dyDescent="0.35">
      <c r="B1280" s="46" t="s">
        <v>1675</v>
      </c>
      <c r="D1280" t="s">
        <v>1662</v>
      </c>
      <c r="E1280" t="s">
        <v>1663</v>
      </c>
      <c r="F1280" s="46" t="s">
        <v>1675</v>
      </c>
      <c r="G1280" t="s">
        <v>259</v>
      </c>
      <c r="H1280" s="23">
        <v>5</v>
      </c>
      <c r="I1280" s="23" t="s">
        <v>1676</v>
      </c>
      <c r="J1280" t="s">
        <v>1677</v>
      </c>
      <c r="K1280">
        <v>381</v>
      </c>
      <c r="L1280">
        <v>497</v>
      </c>
      <c r="M1280" s="24">
        <v>348</v>
      </c>
      <c r="N1280" s="24">
        <v>556</v>
      </c>
      <c r="O1280" s="24">
        <v>219</v>
      </c>
      <c r="P1280" s="24">
        <v>484</v>
      </c>
      <c r="Q1280">
        <v>205</v>
      </c>
      <c r="R1280">
        <v>512</v>
      </c>
      <c r="S1280">
        <v>250</v>
      </c>
      <c r="T1280">
        <v>629</v>
      </c>
      <c r="U1280">
        <v>467</v>
      </c>
      <c r="V1280">
        <v>934</v>
      </c>
      <c r="W1280">
        <v>855</v>
      </c>
      <c r="X1280">
        <v>1728</v>
      </c>
    </row>
    <row r="1281" spans="2:24" x14ac:dyDescent="0.35">
      <c r="B1281" s="46" t="s">
        <v>1678</v>
      </c>
      <c r="D1281" t="s">
        <v>1662</v>
      </c>
      <c r="E1281" t="s">
        <v>1663</v>
      </c>
      <c r="F1281" s="46" t="s">
        <v>1678</v>
      </c>
      <c r="G1281" t="s">
        <v>265</v>
      </c>
      <c r="H1281" s="23">
        <v>6</v>
      </c>
      <c r="I1281" s="23" t="s">
        <v>1679</v>
      </c>
      <c r="J1281" t="s">
        <v>1680</v>
      </c>
      <c r="K1281">
        <v>421</v>
      </c>
      <c r="L1281">
        <v>535</v>
      </c>
      <c r="M1281" s="24">
        <v>329</v>
      </c>
      <c r="N1281" s="24">
        <v>520</v>
      </c>
      <c r="O1281" s="24">
        <v>243</v>
      </c>
      <c r="P1281" s="24">
        <v>545</v>
      </c>
      <c r="Q1281">
        <v>203</v>
      </c>
      <c r="R1281">
        <v>534</v>
      </c>
      <c r="S1281">
        <v>346</v>
      </c>
      <c r="T1281">
        <v>745</v>
      </c>
      <c r="U1281">
        <v>489</v>
      </c>
      <c r="V1281">
        <v>1013</v>
      </c>
      <c r="W1281">
        <v>950</v>
      </c>
      <c r="X1281">
        <v>1985</v>
      </c>
    </row>
    <row r="1282" spans="2:24" x14ac:dyDescent="0.35">
      <c r="B1282" s="46" t="s">
        <v>1681</v>
      </c>
      <c r="D1282" t="s">
        <v>1662</v>
      </c>
      <c r="E1282" t="s">
        <v>1663</v>
      </c>
      <c r="F1282" s="46" t="s">
        <v>1681</v>
      </c>
      <c r="G1282" t="s">
        <v>273</v>
      </c>
      <c r="H1282" s="23">
        <v>7</v>
      </c>
      <c r="I1282" s="23" t="s">
        <v>1682</v>
      </c>
      <c r="J1282" t="s">
        <v>1644</v>
      </c>
      <c r="K1282">
        <v>5897</v>
      </c>
      <c r="L1282">
        <v>8953</v>
      </c>
      <c r="M1282" s="24">
        <v>4531</v>
      </c>
      <c r="N1282" s="24">
        <v>8482</v>
      </c>
      <c r="O1282" s="24">
        <v>3743</v>
      </c>
      <c r="P1282" s="24">
        <v>8363</v>
      </c>
      <c r="Q1282">
        <v>3854</v>
      </c>
      <c r="R1282">
        <v>8962</v>
      </c>
      <c r="S1282">
        <v>3960</v>
      </c>
      <c r="T1282">
        <v>12116</v>
      </c>
      <c r="U1282">
        <v>5949</v>
      </c>
      <c r="V1282">
        <v>15689</v>
      </c>
      <c r="W1282">
        <v>9743</v>
      </c>
      <c r="X1282">
        <v>21438</v>
      </c>
    </row>
    <row r="1283" spans="2:24" x14ac:dyDescent="0.35">
      <c r="B1283" s="46" t="s">
        <v>1683</v>
      </c>
      <c r="D1283" t="s">
        <v>1662</v>
      </c>
      <c r="E1283" t="s">
        <v>1663</v>
      </c>
      <c r="F1283" s="46" t="s">
        <v>1683</v>
      </c>
      <c r="G1283" t="s">
        <v>279</v>
      </c>
      <c r="H1283" s="23">
        <v>8</v>
      </c>
      <c r="I1283" s="23" t="s">
        <v>1684</v>
      </c>
      <c r="J1283" t="s">
        <v>1685</v>
      </c>
      <c r="K1283">
        <v>5571</v>
      </c>
      <c r="L1283">
        <v>8086</v>
      </c>
      <c r="M1283" s="24">
        <v>4425</v>
      </c>
      <c r="N1283" s="24">
        <v>8180</v>
      </c>
      <c r="O1283" s="24">
        <v>3770</v>
      </c>
      <c r="P1283" s="24">
        <v>8317</v>
      </c>
      <c r="Q1283">
        <v>3360</v>
      </c>
      <c r="R1283">
        <v>8914</v>
      </c>
      <c r="S1283">
        <v>5264</v>
      </c>
      <c r="T1283">
        <v>12748</v>
      </c>
      <c r="U1283">
        <v>8082</v>
      </c>
      <c r="V1283">
        <v>16715</v>
      </c>
      <c r="W1283">
        <v>12465</v>
      </c>
      <c r="X1283">
        <v>25309</v>
      </c>
    </row>
    <row r="1284" spans="2:24" x14ac:dyDescent="0.35">
      <c r="B1284" s="46" t="s">
        <v>1686</v>
      </c>
      <c r="D1284" t="s">
        <v>1662</v>
      </c>
      <c r="E1284" t="s">
        <v>1663</v>
      </c>
      <c r="F1284" s="46" t="s">
        <v>1686</v>
      </c>
      <c r="G1284" t="s">
        <v>283</v>
      </c>
      <c r="H1284" s="23">
        <v>9</v>
      </c>
      <c r="I1284" s="23" t="s">
        <v>1687</v>
      </c>
      <c r="J1284" t="s">
        <v>233</v>
      </c>
      <c r="K1284">
        <v>439</v>
      </c>
      <c r="L1284">
        <v>606</v>
      </c>
      <c r="M1284" s="24">
        <v>359</v>
      </c>
      <c r="N1284" s="24">
        <v>629</v>
      </c>
      <c r="O1284" s="24">
        <v>265</v>
      </c>
      <c r="P1284" s="24">
        <v>587</v>
      </c>
      <c r="Q1284">
        <v>212</v>
      </c>
      <c r="R1284">
        <v>630</v>
      </c>
      <c r="S1284">
        <v>296</v>
      </c>
      <c r="T1284">
        <v>924</v>
      </c>
      <c r="U1284">
        <v>710</v>
      </c>
      <c r="V1284">
        <v>1490</v>
      </c>
      <c r="W1284">
        <v>1106</v>
      </c>
      <c r="X1284">
        <v>2273</v>
      </c>
    </row>
    <row r="1285" spans="2:24" x14ac:dyDescent="0.35">
      <c r="B1285" s="46" t="s">
        <v>1688</v>
      </c>
      <c r="D1285" t="s">
        <v>1662</v>
      </c>
      <c r="E1285" t="s">
        <v>1663</v>
      </c>
      <c r="F1285" s="46" t="s">
        <v>1688</v>
      </c>
      <c r="G1285" t="s">
        <v>289</v>
      </c>
      <c r="H1285" s="23">
        <v>10</v>
      </c>
      <c r="I1285" s="23" t="s">
        <v>1689</v>
      </c>
      <c r="J1285" t="s">
        <v>1690</v>
      </c>
      <c r="K1285">
        <v>13713</v>
      </c>
      <c r="L1285">
        <v>21879</v>
      </c>
      <c r="M1285" s="24">
        <v>10297</v>
      </c>
      <c r="N1285" s="24">
        <v>21636</v>
      </c>
      <c r="O1285" s="24">
        <v>7293</v>
      </c>
      <c r="P1285" s="24">
        <v>20850</v>
      </c>
      <c r="Q1285">
        <v>7294</v>
      </c>
      <c r="R1285">
        <v>22181</v>
      </c>
      <c r="S1285">
        <v>8837</v>
      </c>
      <c r="T1285">
        <v>27577</v>
      </c>
      <c r="U1285">
        <v>12242</v>
      </c>
      <c r="V1285">
        <v>32824</v>
      </c>
      <c r="W1285">
        <v>19310</v>
      </c>
      <c r="X1285">
        <v>47039</v>
      </c>
    </row>
    <row r="1286" spans="2:24" x14ac:dyDescent="0.35">
      <c r="B1286" s="46" t="s">
        <v>1691</v>
      </c>
      <c r="D1286" t="s">
        <v>1662</v>
      </c>
      <c r="E1286" t="s">
        <v>1663</v>
      </c>
      <c r="F1286" s="46" t="s">
        <v>1691</v>
      </c>
      <c r="G1286" t="s">
        <v>293</v>
      </c>
      <c r="H1286" s="23">
        <v>11</v>
      </c>
      <c r="I1286" s="23" t="s">
        <v>1692</v>
      </c>
      <c r="J1286" t="s">
        <v>323</v>
      </c>
      <c r="K1286">
        <v>1332</v>
      </c>
      <c r="L1286">
        <v>1753</v>
      </c>
      <c r="M1286" s="24">
        <v>1073</v>
      </c>
      <c r="N1286" s="24">
        <v>1787</v>
      </c>
      <c r="O1286" s="24">
        <v>957</v>
      </c>
      <c r="P1286" s="24">
        <v>1847</v>
      </c>
      <c r="Q1286">
        <v>1041</v>
      </c>
      <c r="R1286">
        <v>2159</v>
      </c>
      <c r="S1286">
        <v>1425</v>
      </c>
      <c r="T1286">
        <v>2940</v>
      </c>
      <c r="U1286">
        <v>1797</v>
      </c>
      <c r="V1286">
        <v>4186</v>
      </c>
      <c r="W1286">
        <v>2985</v>
      </c>
      <c r="X1286">
        <v>6850</v>
      </c>
    </row>
    <row r="1287" spans="2:24" x14ac:dyDescent="0.35">
      <c r="B1287" s="46" t="s">
        <v>1693</v>
      </c>
      <c r="D1287" t="s">
        <v>1662</v>
      </c>
      <c r="E1287" t="s">
        <v>1663</v>
      </c>
      <c r="F1287" s="46" t="s">
        <v>1693</v>
      </c>
      <c r="G1287" t="s">
        <v>303</v>
      </c>
      <c r="H1287" s="23">
        <v>12</v>
      </c>
      <c r="I1287" s="23" t="s">
        <v>1694</v>
      </c>
      <c r="J1287" t="s">
        <v>1695</v>
      </c>
      <c r="K1287">
        <v>908</v>
      </c>
      <c r="L1287">
        <v>1184</v>
      </c>
      <c r="M1287" s="24">
        <v>690</v>
      </c>
      <c r="N1287" s="24">
        <v>1121</v>
      </c>
      <c r="O1287" s="24">
        <v>557</v>
      </c>
      <c r="P1287" s="24">
        <v>1061</v>
      </c>
      <c r="Q1287">
        <v>552</v>
      </c>
      <c r="R1287">
        <v>1218</v>
      </c>
      <c r="S1287">
        <v>650</v>
      </c>
      <c r="T1287">
        <v>1692</v>
      </c>
      <c r="U1287">
        <v>1264</v>
      </c>
      <c r="V1287">
        <v>2492</v>
      </c>
      <c r="W1287">
        <v>1348</v>
      </c>
      <c r="X1287">
        <v>4469</v>
      </c>
    </row>
    <row r="1288" spans="2:24" x14ac:dyDescent="0.35">
      <c r="B1288" s="46" t="s">
        <v>1696</v>
      </c>
      <c r="D1288" t="s">
        <v>1662</v>
      </c>
      <c r="E1288" t="s">
        <v>1663</v>
      </c>
      <c r="F1288" s="46" t="s">
        <v>1696</v>
      </c>
      <c r="G1288" t="s">
        <v>311</v>
      </c>
      <c r="H1288" s="23">
        <v>13</v>
      </c>
      <c r="I1288" s="23" t="s">
        <v>1697</v>
      </c>
      <c r="J1288" t="s">
        <v>1698</v>
      </c>
      <c r="K1288">
        <v>1047</v>
      </c>
      <c r="L1288">
        <v>1374</v>
      </c>
      <c r="M1288" s="24">
        <v>860</v>
      </c>
      <c r="N1288" s="24">
        <v>1330</v>
      </c>
      <c r="O1288" s="24">
        <v>699</v>
      </c>
      <c r="P1288" s="24">
        <v>1231</v>
      </c>
      <c r="Q1288">
        <v>554</v>
      </c>
      <c r="R1288">
        <v>1301</v>
      </c>
      <c r="S1288">
        <v>688</v>
      </c>
      <c r="T1288">
        <v>1710</v>
      </c>
      <c r="U1288">
        <v>1333</v>
      </c>
      <c r="V1288">
        <v>2601</v>
      </c>
      <c r="W1288">
        <v>2486</v>
      </c>
      <c r="X1288">
        <v>4833</v>
      </c>
    </row>
    <row r="1289" spans="2:24" x14ac:dyDescent="0.35">
      <c r="B1289" s="46" t="s">
        <v>1699</v>
      </c>
      <c r="D1289" t="s">
        <v>1662</v>
      </c>
      <c r="E1289" t="s">
        <v>1663</v>
      </c>
      <c r="F1289" s="46" t="s">
        <v>1699</v>
      </c>
      <c r="G1289" t="s">
        <v>577</v>
      </c>
      <c r="H1289" s="23">
        <v>14</v>
      </c>
      <c r="I1289" s="23" t="s">
        <v>1700</v>
      </c>
      <c r="J1289" t="s">
        <v>1701</v>
      </c>
      <c r="K1289">
        <v>1054</v>
      </c>
      <c r="L1289">
        <v>1379</v>
      </c>
      <c r="M1289" s="24">
        <v>887</v>
      </c>
      <c r="N1289" s="24">
        <v>1435</v>
      </c>
      <c r="O1289" s="24">
        <v>809</v>
      </c>
      <c r="P1289" s="24">
        <v>1434</v>
      </c>
      <c r="Q1289">
        <v>758</v>
      </c>
      <c r="R1289">
        <v>1474</v>
      </c>
      <c r="S1289">
        <v>770</v>
      </c>
      <c r="T1289">
        <v>1911</v>
      </c>
      <c r="U1289">
        <v>1141</v>
      </c>
      <c r="V1289">
        <v>2554</v>
      </c>
      <c r="W1289">
        <v>1923</v>
      </c>
      <c r="X1289">
        <v>3991</v>
      </c>
    </row>
    <row r="1290" spans="2:24" x14ac:dyDescent="0.35">
      <c r="B1290" s="46" t="s">
        <v>1702</v>
      </c>
      <c r="D1290" t="s">
        <v>1662</v>
      </c>
      <c r="E1290" t="s">
        <v>1663</v>
      </c>
      <c r="F1290" s="46" t="s">
        <v>1702</v>
      </c>
      <c r="G1290" t="s">
        <v>581</v>
      </c>
      <c r="H1290" s="23">
        <v>15</v>
      </c>
      <c r="I1290" s="23" t="s">
        <v>1703</v>
      </c>
      <c r="J1290" t="s">
        <v>1704</v>
      </c>
      <c r="K1290">
        <v>1859</v>
      </c>
      <c r="L1290">
        <v>2341</v>
      </c>
      <c r="M1290" s="24">
        <v>1671</v>
      </c>
      <c r="N1290" s="24">
        <v>2521</v>
      </c>
      <c r="O1290" s="24">
        <v>732</v>
      </c>
      <c r="P1290" s="24">
        <v>2182</v>
      </c>
      <c r="Q1290">
        <v>723</v>
      </c>
      <c r="R1290">
        <v>2154</v>
      </c>
      <c r="S1290">
        <v>1086</v>
      </c>
      <c r="T1290">
        <v>2706</v>
      </c>
      <c r="U1290">
        <v>1438</v>
      </c>
      <c r="V1290">
        <v>3288</v>
      </c>
      <c r="W1290">
        <v>2194</v>
      </c>
      <c r="X1290">
        <v>4879</v>
      </c>
    </row>
    <row r="1291" spans="2:24" x14ac:dyDescent="0.35">
      <c r="B1291" s="46" t="s">
        <v>1705</v>
      </c>
      <c r="D1291" t="s">
        <v>1662</v>
      </c>
      <c r="E1291" t="s">
        <v>1663</v>
      </c>
      <c r="F1291" s="46" t="s">
        <v>1705</v>
      </c>
      <c r="G1291" t="s">
        <v>585</v>
      </c>
      <c r="H1291" s="23">
        <v>16</v>
      </c>
      <c r="I1291" s="23" t="s">
        <v>1706</v>
      </c>
      <c r="J1291" t="s">
        <v>1707</v>
      </c>
      <c r="K1291">
        <v>2043</v>
      </c>
      <c r="L1291">
        <v>2697</v>
      </c>
      <c r="M1291" s="24">
        <v>1652</v>
      </c>
      <c r="N1291" s="24">
        <v>2688</v>
      </c>
      <c r="O1291" s="24">
        <v>1482</v>
      </c>
      <c r="P1291" s="24">
        <v>2772</v>
      </c>
      <c r="Q1291">
        <v>1105</v>
      </c>
      <c r="R1291">
        <v>2790</v>
      </c>
      <c r="S1291">
        <v>1271</v>
      </c>
      <c r="T1291">
        <v>3303</v>
      </c>
      <c r="U1291">
        <v>2208</v>
      </c>
      <c r="V1291">
        <v>4832</v>
      </c>
      <c r="W1291">
        <v>4171</v>
      </c>
      <c r="X1291">
        <v>8260</v>
      </c>
    </row>
    <row r="1292" spans="2:24" x14ac:dyDescent="0.35">
      <c r="B1292" s="46" t="s">
        <v>1708</v>
      </c>
      <c r="D1292" t="s">
        <v>1662</v>
      </c>
      <c r="E1292" t="s">
        <v>1663</v>
      </c>
      <c r="F1292" s="46" t="s">
        <v>1708</v>
      </c>
      <c r="G1292" t="s">
        <v>588</v>
      </c>
      <c r="H1292" s="23">
        <v>17</v>
      </c>
      <c r="I1292" s="23" t="s">
        <v>1709</v>
      </c>
      <c r="J1292" t="s">
        <v>1710</v>
      </c>
      <c r="K1292">
        <v>787</v>
      </c>
      <c r="L1292">
        <v>984</v>
      </c>
      <c r="M1292" s="24">
        <v>604</v>
      </c>
      <c r="N1292" s="24">
        <v>952</v>
      </c>
      <c r="O1292" s="24">
        <v>554</v>
      </c>
      <c r="P1292" s="24">
        <v>950</v>
      </c>
      <c r="Q1292">
        <v>355</v>
      </c>
      <c r="R1292">
        <v>975</v>
      </c>
      <c r="S1292">
        <v>462</v>
      </c>
      <c r="T1292">
        <v>1243</v>
      </c>
      <c r="U1292">
        <v>1122</v>
      </c>
      <c r="V1292">
        <v>2162</v>
      </c>
      <c r="W1292">
        <v>2265</v>
      </c>
      <c r="X1292">
        <v>4285</v>
      </c>
    </row>
    <row r="1293" spans="2:24" x14ac:dyDescent="0.35">
      <c r="B1293" s="46" t="s">
        <v>1711</v>
      </c>
      <c r="D1293" t="s">
        <v>1662</v>
      </c>
      <c r="E1293" t="s">
        <v>1663</v>
      </c>
      <c r="F1293" s="46" t="s">
        <v>1711</v>
      </c>
      <c r="G1293" t="s">
        <v>592</v>
      </c>
      <c r="H1293" s="23">
        <v>18</v>
      </c>
      <c r="I1293" s="23" t="s">
        <v>1712</v>
      </c>
      <c r="J1293" t="s">
        <v>1713</v>
      </c>
      <c r="K1293">
        <v>4420</v>
      </c>
      <c r="L1293">
        <v>6394</v>
      </c>
      <c r="M1293" s="24">
        <v>3506</v>
      </c>
      <c r="N1293" s="24">
        <v>6515</v>
      </c>
      <c r="O1293" s="24">
        <v>2994</v>
      </c>
      <c r="P1293" s="24">
        <v>6474</v>
      </c>
      <c r="Q1293">
        <v>2608</v>
      </c>
      <c r="R1293">
        <v>6597</v>
      </c>
      <c r="S1293">
        <v>3670</v>
      </c>
      <c r="T1293">
        <v>8629</v>
      </c>
      <c r="U1293">
        <v>4683</v>
      </c>
      <c r="V1293">
        <v>10521</v>
      </c>
      <c r="W1293">
        <v>7352</v>
      </c>
      <c r="X1293">
        <v>15449</v>
      </c>
    </row>
    <row r="1294" spans="2:24" x14ac:dyDescent="0.35">
      <c r="B1294" s="46" t="s">
        <v>1714</v>
      </c>
      <c r="D1294" t="s">
        <v>1662</v>
      </c>
      <c r="E1294" t="s">
        <v>1663</v>
      </c>
      <c r="F1294" s="46" t="s">
        <v>1714</v>
      </c>
      <c r="G1294" t="s">
        <v>595</v>
      </c>
      <c r="H1294" s="23">
        <v>19</v>
      </c>
      <c r="I1294" s="23" t="s">
        <v>1715</v>
      </c>
      <c r="J1294" t="s">
        <v>1716</v>
      </c>
      <c r="K1294">
        <v>611</v>
      </c>
      <c r="L1294">
        <v>773</v>
      </c>
      <c r="M1294" s="24">
        <v>525</v>
      </c>
      <c r="N1294" s="24">
        <v>805</v>
      </c>
      <c r="O1294" s="24">
        <v>322</v>
      </c>
      <c r="P1294" s="24">
        <v>772</v>
      </c>
      <c r="Q1294">
        <v>284</v>
      </c>
      <c r="R1294">
        <v>898</v>
      </c>
      <c r="S1294">
        <v>488</v>
      </c>
      <c r="T1294">
        <v>1234</v>
      </c>
      <c r="U1294">
        <v>726</v>
      </c>
      <c r="V1294">
        <v>1741</v>
      </c>
      <c r="W1294">
        <v>1138</v>
      </c>
      <c r="X1294">
        <v>2587</v>
      </c>
    </row>
    <row r="1295" spans="2:24" x14ac:dyDescent="0.35">
      <c r="B1295" s="46" t="s">
        <v>1717</v>
      </c>
      <c r="D1295" t="s">
        <v>1662</v>
      </c>
      <c r="E1295" t="s">
        <v>1663</v>
      </c>
      <c r="F1295" s="46" t="s">
        <v>1717</v>
      </c>
      <c r="G1295" t="s">
        <v>599</v>
      </c>
      <c r="H1295" s="23">
        <v>20</v>
      </c>
      <c r="I1295" s="23" t="s">
        <v>1718</v>
      </c>
      <c r="J1295" t="s">
        <v>1719</v>
      </c>
      <c r="K1295">
        <v>669</v>
      </c>
      <c r="L1295">
        <v>932</v>
      </c>
      <c r="M1295" s="24">
        <v>544</v>
      </c>
      <c r="N1295" s="24">
        <v>914</v>
      </c>
      <c r="O1295" s="24">
        <v>429</v>
      </c>
      <c r="P1295" s="24">
        <v>882</v>
      </c>
      <c r="Q1295">
        <v>450</v>
      </c>
      <c r="R1295">
        <v>949</v>
      </c>
      <c r="S1295">
        <v>615</v>
      </c>
      <c r="T1295">
        <v>1274</v>
      </c>
      <c r="U1295">
        <v>812</v>
      </c>
      <c r="V1295">
        <v>1784</v>
      </c>
      <c r="W1295">
        <v>1433</v>
      </c>
      <c r="X1295">
        <v>2967</v>
      </c>
    </row>
    <row r="1296" spans="2:24" x14ac:dyDescent="0.35">
      <c r="B1296" s="46" t="s">
        <v>1720</v>
      </c>
      <c r="D1296" t="s">
        <v>1662</v>
      </c>
      <c r="E1296" t="s">
        <v>1663</v>
      </c>
      <c r="F1296" s="46" t="s">
        <v>1720</v>
      </c>
      <c r="G1296" t="s">
        <v>603</v>
      </c>
      <c r="H1296" s="23">
        <v>21</v>
      </c>
      <c r="I1296" s="23" t="s">
        <v>1721</v>
      </c>
      <c r="J1296" t="s">
        <v>1722</v>
      </c>
      <c r="K1296">
        <v>4266</v>
      </c>
      <c r="L1296">
        <v>5902</v>
      </c>
      <c r="M1296" s="24">
        <v>3502</v>
      </c>
      <c r="N1296" s="24">
        <v>5854</v>
      </c>
      <c r="O1296" s="24">
        <v>2049</v>
      </c>
      <c r="P1296" s="24">
        <v>4889</v>
      </c>
      <c r="Q1296">
        <v>2060</v>
      </c>
      <c r="R1296">
        <v>4741</v>
      </c>
      <c r="S1296">
        <v>2899</v>
      </c>
      <c r="T1296">
        <v>6470</v>
      </c>
      <c r="U1296">
        <v>4442</v>
      </c>
      <c r="V1296">
        <v>8809</v>
      </c>
      <c r="W1296">
        <v>7339</v>
      </c>
      <c r="X1296">
        <v>14588</v>
      </c>
    </row>
    <row r="1297" spans="2:24" x14ac:dyDescent="0.35">
      <c r="B1297" s="46" t="s">
        <v>1723</v>
      </c>
      <c r="D1297" t="s">
        <v>1662</v>
      </c>
      <c r="E1297" t="s">
        <v>1663</v>
      </c>
      <c r="F1297" s="46" t="s">
        <v>1723</v>
      </c>
      <c r="G1297" t="s">
        <v>607</v>
      </c>
      <c r="H1297" s="23">
        <v>22</v>
      </c>
      <c r="I1297" s="23" t="s">
        <v>1724</v>
      </c>
      <c r="J1297" t="s">
        <v>1725</v>
      </c>
      <c r="K1297">
        <v>2369</v>
      </c>
      <c r="L1297">
        <v>3323</v>
      </c>
      <c r="M1297" s="24">
        <v>1910</v>
      </c>
      <c r="N1297" s="24">
        <v>3331</v>
      </c>
      <c r="O1297" s="24">
        <v>1585</v>
      </c>
      <c r="P1297" s="24">
        <v>3309</v>
      </c>
      <c r="Q1297">
        <v>1441</v>
      </c>
      <c r="R1297">
        <v>3441</v>
      </c>
      <c r="S1297">
        <v>1690</v>
      </c>
      <c r="T1297">
        <v>4468</v>
      </c>
      <c r="U1297">
        <v>2348</v>
      </c>
      <c r="V1297">
        <v>5644</v>
      </c>
      <c r="W1297">
        <v>3284</v>
      </c>
      <c r="X1297">
        <v>7876</v>
      </c>
    </row>
    <row r="1298" spans="2:24" x14ac:dyDescent="0.35">
      <c r="B1298" s="46" t="s">
        <v>1726</v>
      </c>
      <c r="D1298" t="s">
        <v>1662</v>
      </c>
      <c r="E1298" t="s">
        <v>1663</v>
      </c>
      <c r="F1298" s="46" t="s">
        <v>1726</v>
      </c>
      <c r="G1298" t="s">
        <v>611</v>
      </c>
      <c r="H1298" s="23">
        <v>23</v>
      </c>
      <c r="I1298" s="23" t="s">
        <v>1727</v>
      </c>
      <c r="J1298" t="s">
        <v>1728</v>
      </c>
      <c r="K1298">
        <v>16827</v>
      </c>
      <c r="L1298">
        <v>24805</v>
      </c>
      <c r="M1298" s="24">
        <v>13503</v>
      </c>
      <c r="N1298" s="24">
        <v>24797</v>
      </c>
      <c r="O1298" s="24">
        <v>11557</v>
      </c>
      <c r="P1298" s="24">
        <v>25538</v>
      </c>
      <c r="Q1298">
        <v>10082</v>
      </c>
      <c r="R1298">
        <v>27336</v>
      </c>
      <c r="S1298">
        <v>12418</v>
      </c>
      <c r="T1298">
        <v>33560</v>
      </c>
      <c r="U1298">
        <v>15278</v>
      </c>
      <c r="V1298">
        <v>41665</v>
      </c>
      <c r="W1298">
        <v>25171</v>
      </c>
      <c r="X1298">
        <v>60795</v>
      </c>
    </row>
    <row r="1299" spans="2:24" x14ac:dyDescent="0.35">
      <c r="B1299" s="46" t="s">
        <v>1729</v>
      </c>
      <c r="D1299" t="s">
        <v>1662</v>
      </c>
      <c r="E1299" t="s">
        <v>1663</v>
      </c>
      <c r="F1299" s="46" t="s">
        <v>1729</v>
      </c>
      <c r="G1299" t="s">
        <v>615</v>
      </c>
      <c r="H1299" s="23">
        <v>24</v>
      </c>
      <c r="I1299" s="23" t="s">
        <v>1730</v>
      </c>
      <c r="J1299" t="s">
        <v>1731</v>
      </c>
      <c r="K1299">
        <v>1732</v>
      </c>
      <c r="L1299">
        <v>2316</v>
      </c>
      <c r="M1299" s="24">
        <v>1338</v>
      </c>
      <c r="N1299" s="24">
        <v>2203</v>
      </c>
      <c r="O1299" s="24">
        <v>1159</v>
      </c>
      <c r="P1299" s="24">
        <v>2194</v>
      </c>
      <c r="Q1299">
        <v>980</v>
      </c>
      <c r="R1299">
        <v>2242</v>
      </c>
      <c r="S1299">
        <v>1256</v>
      </c>
      <c r="T1299">
        <v>2639</v>
      </c>
      <c r="U1299">
        <v>1865</v>
      </c>
      <c r="V1299">
        <v>3437</v>
      </c>
      <c r="W1299">
        <v>3152</v>
      </c>
      <c r="X1299">
        <v>6126</v>
      </c>
    </row>
    <row r="1300" spans="2:24" x14ac:dyDescent="0.35">
      <c r="B1300" s="46" t="s">
        <v>1732</v>
      </c>
      <c r="D1300" t="s">
        <v>1662</v>
      </c>
      <c r="E1300" t="s">
        <v>1663</v>
      </c>
      <c r="F1300" s="46" t="s">
        <v>1732</v>
      </c>
      <c r="G1300" t="s">
        <v>619</v>
      </c>
      <c r="H1300" s="23">
        <v>25</v>
      </c>
      <c r="I1300" s="23" t="s">
        <v>1733</v>
      </c>
      <c r="J1300" t="s">
        <v>1734</v>
      </c>
      <c r="K1300">
        <v>548</v>
      </c>
      <c r="L1300">
        <v>765</v>
      </c>
      <c r="M1300" s="24">
        <v>418</v>
      </c>
      <c r="N1300" s="24">
        <v>772</v>
      </c>
      <c r="O1300" s="24">
        <v>411</v>
      </c>
      <c r="P1300" s="24">
        <v>814</v>
      </c>
      <c r="Q1300">
        <v>424</v>
      </c>
      <c r="R1300">
        <v>836</v>
      </c>
      <c r="S1300">
        <v>410</v>
      </c>
      <c r="T1300">
        <v>1132</v>
      </c>
      <c r="U1300">
        <v>614</v>
      </c>
      <c r="V1300">
        <v>1453</v>
      </c>
      <c r="W1300">
        <v>1013</v>
      </c>
      <c r="X1300">
        <v>2362</v>
      </c>
    </row>
    <row r="1301" spans="2:24" x14ac:dyDescent="0.35">
      <c r="B1301" s="46" t="s">
        <v>1735</v>
      </c>
      <c r="D1301" t="s">
        <v>1662</v>
      </c>
      <c r="E1301" t="s">
        <v>1663</v>
      </c>
      <c r="F1301" s="46" t="s">
        <v>1735</v>
      </c>
      <c r="G1301" t="s">
        <v>623</v>
      </c>
      <c r="H1301" s="23">
        <v>26</v>
      </c>
      <c r="I1301" s="23" t="s">
        <v>1736</v>
      </c>
      <c r="J1301" t="s">
        <v>1737</v>
      </c>
      <c r="K1301">
        <v>16200</v>
      </c>
      <c r="L1301">
        <v>22418</v>
      </c>
      <c r="M1301" s="24">
        <v>13352</v>
      </c>
      <c r="N1301" s="24">
        <v>22576</v>
      </c>
      <c r="O1301" s="24">
        <v>11374</v>
      </c>
      <c r="P1301" s="24">
        <v>22769</v>
      </c>
      <c r="Q1301">
        <v>10708</v>
      </c>
      <c r="R1301">
        <v>24480</v>
      </c>
      <c r="S1301">
        <v>14037</v>
      </c>
      <c r="T1301">
        <v>33363</v>
      </c>
      <c r="U1301">
        <v>16505</v>
      </c>
      <c r="V1301">
        <v>40643</v>
      </c>
      <c r="W1301">
        <v>22581</v>
      </c>
      <c r="X1301">
        <v>53104</v>
      </c>
    </row>
    <row r="1302" spans="2:24" x14ac:dyDescent="0.35">
      <c r="B1302" s="46" t="s">
        <v>1738</v>
      </c>
      <c r="D1302" t="s">
        <v>1662</v>
      </c>
      <c r="E1302" t="s">
        <v>1663</v>
      </c>
      <c r="F1302" s="46" t="s">
        <v>1738</v>
      </c>
      <c r="G1302" t="s">
        <v>627</v>
      </c>
      <c r="H1302" s="23">
        <v>27</v>
      </c>
      <c r="I1302" s="23" t="s">
        <v>1739</v>
      </c>
      <c r="J1302" t="s">
        <v>837</v>
      </c>
      <c r="K1302">
        <v>852</v>
      </c>
      <c r="L1302">
        <v>1289</v>
      </c>
      <c r="M1302" s="24">
        <v>651</v>
      </c>
      <c r="N1302" s="24">
        <v>1339</v>
      </c>
      <c r="O1302" s="24">
        <v>628</v>
      </c>
      <c r="P1302" s="24">
        <v>1367</v>
      </c>
      <c r="Q1302">
        <v>720</v>
      </c>
      <c r="R1302">
        <v>1503</v>
      </c>
      <c r="S1302">
        <v>727</v>
      </c>
      <c r="T1302">
        <v>2132</v>
      </c>
      <c r="U1302">
        <v>1337</v>
      </c>
      <c r="V1302">
        <v>2931</v>
      </c>
      <c r="W1302">
        <v>2282</v>
      </c>
      <c r="X1302">
        <v>4750</v>
      </c>
    </row>
    <row r="1303" spans="2:24" x14ac:dyDescent="0.35">
      <c r="B1303" s="46" t="s">
        <v>1740</v>
      </c>
      <c r="D1303" t="s">
        <v>1662</v>
      </c>
      <c r="E1303" t="s">
        <v>1663</v>
      </c>
      <c r="F1303" s="46" t="s">
        <v>1740</v>
      </c>
      <c r="G1303" t="s">
        <v>631</v>
      </c>
      <c r="H1303" s="23">
        <v>28</v>
      </c>
      <c r="I1303" s="23" t="s">
        <v>1741</v>
      </c>
      <c r="J1303" t="s">
        <v>1742</v>
      </c>
      <c r="K1303">
        <v>2014</v>
      </c>
      <c r="L1303">
        <v>2741</v>
      </c>
      <c r="M1303" s="24">
        <v>1657</v>
      </c>
      <c r="N1303" s="24">
        <v>2788</v>
      </c>
      <c r="O1303" s="24">
        <v>1383</v>
      </c>
      <c r="P1303" s="24">
        <v>2836</v>
      </c>
      <c r="Q1303">
        <v>1323</v>
      </c>
      <c r="R1303">
        <v>3151</v>
      </c>
      <c r="S1303">
        <v>1569</v>
      </c>
      <c r="T1303">
        <v>4133</v>
      </c>
      <c r="U1303">
        <v>1848</v>
      </c>
      <c r="V1303">
        <v>5372</v>
      </c>
      <c r="W1303">
        <v>3190</v>
      </c>
      <c r="X1303">
        <v>7620</v>
      </c>
    </row>
    <row r="1304" spans="2:24" x14ac:dyDescent="0.35">
      <c r="B1304" s="46" t="s">
        <v>1743</v>
      </c>
      <c r="D1304" t="s">
        <v>1662</v>
      </c>
      <c r="E1304" t="s">
        <v>1663</v>
      </c>
      <c r="F1304" s="46" t="s">
        <v>1743</v>
      </c>
      <c r="G1304" t="s">
        <v>635</v>
      </c>
      <c r="H1304" s="23">
        <v>29</v>
      </c>
      <c r="I1304" s="23" t="s">
        <v>1744</v>
      </c>
      <c r="J1304" t="s">
        <v>1745</v>
      </c>
      <c r="K1304">
        <v>2616</v>
      </c>
      <c r="L1304">
        <v>3749</v>
      </c>
      <c r="M1304" s="24">
        <v>2137</v>
      </c>
      <c r="N1304" s="24">
        <v>3690</v>
      </c>
      <c r="O1304" s="24">
        <v>1458</v>
      </c>
      <c r="P1304" s="24">
        <v>3657</v>
      </c>
      <c r="Q1304">
        <v>1565</v>
      </c>
      <c r="R1304">
        <v>3892</v>
      </c>
      <c r="S1304">
        <v>1865</v>
      </c>
      <c r="T1304">
        <v>5258</v>
      </c>
      <c r="U1304">
        <v>2949</v>
      </c>
      <c r="V1304">
        <v>6652</v>
      </c>
      <c r="W1304">
        <v>3809</v>
      </c>
      <c r="X1304">
        <v>9681</v>
      </c>
    </row>
    <row r="1305" spans="2:24" x14ac:dyDescent="0.35">
      <c r="B1305" s="46" t="s">
        <v>1746</v>
      </c>
      <c r="D1305" t="s">
        <v>1662</v>
      </c>
      <c r="E1305" t="s">
        <v>1663</v>
      </c>
      <c r="F1305" s="46" t="s">
        <v>1746</v>
      </c>
      <c r="G1305" t="s">
        <v>639</v>
      </c>
      <c r="H1305" s="23">
        <v>30</v>
      </c>
      <c r="I1305" s="23" t="s">
        <v>1747</v>
      </c>
      <c r="J1305" t="s">
        <v>962</v>
      </c>
      <c r="K1305">
        <v>1580</v>
      </c>
      <c r="L1305">
        <v>2085</v>
      </c>
      <c r="M1305" s="24">
        <v>1320</v>
      </c>
      <c r="N1305" s="24">
        <v>2079</v>
      </c>
      <c r="O1305" s="24">
        <v>1154</v>
      </c>
      <c r="P1305" s="24">
        <v>2102</v>
      </c>
      <c r="Q1305">
        <v>816</v>
      </c>
      <c r="R1305">
        <v>2124</v>
      </c>
      <c r="S1305">
        <v>1180</v>
      </c>
      <c r="T1305">
        <v>2783</v>
      </c>
      <c r="U1305">
        <v>1781</v>
      </c>
      <c r="V1305">
        <v>3920</v>
      </c>
      <c r="W1305">
        <v>3157</v>
      </c>
      <c r="X1305">
        <v>6808</v>
      </c>
    </row>
    <row r="1306" spans="2:24" x14ac:dyDescent="0.35">
      <c r="B1306" s="46" t="s">
        <v>1748</v>
      </c>
      <c r="D1306" t="s">
        <v>1662</v>
      </c>
      <c r="E1306" t="s">
        <v>1663</v>
      </c>
      <c r="F1306" s="46" t="s">
        <v>1748</v>
      </c>
      <c r="G1306" t="s">
        <v>643</v>
      </c>
      <c r="H1306" s="23">
        <v>31</v>
      </c>
      <c r="I1306" s="23" t="s">
        <v>1749</v>
      </c>
      <c r="J1306" t="s">
        <v>237</v>
      </c>
      <c r="K1306">
        <v>458</v>
      </c>
      <c r="L1306">
        <v>667</v>
      </c>
      <c r="M1306" s="24">
        <v>369</v>
      </c>
      <c r="N1306" s="24">
        <v>656</v>
      </c>
      <c r="O1306" s="24">
        <v>320</v>
      </c>
      <c r="P1306" s="24">
        <v>601</v>
      </c>
      <c r="Q1306">
        <v>281</v>
      </c>
      <c r="R1306">
        <v>668</v>
      </c>
      <c r="S1306">
        <v>283</v>
      </c>
      <c r="T1306">
        <v>805</v>
      </c>
      <c r="U1306">
        <v>523</v>
      </c>
      <c r="V1306">
        <v>1067</v>
      </c>
      <c r="W1306">
        <v>1051</v>
      </c>
      <c r="X1306">
        <v>2059</v>
      </c>
    </row>
    <row r="1307" spans="2:24" x14ac:dyDescent="0.35">
      <c r="B1307" s="46" t="s">
        <v>1750</v>
      </c>
      <c r="D1307" t="s">
        <v>1662</v>
      </c>
      <c r="E1307" t="s">
        <v>1663</v>
      </c>
      <c r="F1307" s="46" t="s">
        <v>1750</v>
      </c>
      <c r="G1307" t="s">
        <v>646</v>
      </c>
      <c r="H1307" s="23">
        <v>32</v>
      </c>
      <c r="I1307" s="23" t="s">
        <v>1751</v>
      </c>
      <c r="J1307" t="s">
        <v>1752</v>
      </c>
      <c r="K1307">
        <v>7815</v>
      </c>
      <c r="L1307">
        <v>11213</v>
      </c>
      <c r="M1307" s="24">
        <v>6202</v>
      </c>
      <c r="N1307" s="24">
        <v>11272</v>
      </c>
      <c r="O1307" s="24">
        <v>5733</v>
      </c>
      <c r="P1307" s="24">
        <v>11760</v>
      </c>
      <c r="Q1307">
        <v>5943</v>
      </c>
      <c r="R1307">
        <v>13555</v>
      </c>
      <c r="S1307">
        <v>5948</v>
      </c>
      <c r="T1307">
        <v>18145</v>
      </c>
      <c r="U1307">
        <v>8118</v>
      </c>
      <c r="V1307">
        <v>22429</v>
      </c>
      <c r="W1307">
        <v>12775</v>
      </c>
      <c r="X1307">
        <v>32284</v>
      </c>
    </row>
    <row r="1308" spans="2:24" x14ac:dyDescent="0.35">
      <c r="B1308" s="46" t="s">
        <v>1753</v>
      </c>
      <c r="D1308" t="s">
        <v>1662</v>
      </c>
      <c r="E1308" t="s">
        <v>1663</v>
      </c>
      <c r="F1308" s="46" t="s">
        <v>1753</v>
      </c>
      <c r="G1308" t="s">
        <v>649</v>
      </c>
      <c r="H1308" s="23">
        <v>33</v>
      </c>
      <c r="I1308" s="23" t="s">
        <v>1754</v>
      </c>
      <c r="J1308" t="s">
        <v>1755</v>
      </c>
      <c r="K1308">
        <v>197</v>
      </c>
      <c r="L1308">
        <v>244</v>
      </c>
      <c r="M1308" s="24">
        <v>153</v>
      </c>
      <c r="N1308" s="24">
        <v>234</v>
      </c>
      <c r="O1308" s="24">
        <v>96</v>
      </c>
      <c r="P1308" s="24">
        <v>225</v>
      </c>
      <c r="Q1308">
        <v>98</v>
      </c>
      <c r="R1308">
        <v>247</v>
      </c>
      <c r="S1308">
        <v>136</v>
      </c>
      <c r="T1308">
        <v>303</v>
      </c>
      <c r="U1308">
        <v>197</v>
      </c>
      <c r="V1308">
        <v>385</v>
      </c>
      <c r="W1308">
        <v>290</v>
      </c>
      <c r="X1308">
        <v>562</v>
      </c>
    </row>
    <row r="1309" spans="2:24" x14ac:dyDescent="0.35">
      <c r="B1309" s="46" t="s">
        <v>1756</v>
      </c>
      <c r="D1309" t="s">
        <v>1662</v>
      </c>
      <c r="E1309" t="s">
        <v>1663</v>
      </c>
      <c r="F1309" s="46" t="s">
        <v>1756</v>
      </c>
      <c r="G1309" t="s">
        <v>652</v>
      </c>
      <c r="H1309" s="23">
        <v>34</v>
      </c>
      <c r="I1309" s="23" t="s">
        <v>1757</v>
      </c>
      <c r="J1309" t="s">
        <v>365</v>
      </c>
      <c r="K1309">
        <v>1030</v>
      </c>
      <c r="L1309">
        <v>1342</v>
      </c>
      <c r="M1309" s="24">
        <v>781</v>
      </c>
      <c r="N1309" s="24">
        <v>1280</v>
      </c>
      <c r="O1309" s="24">
        <v>512</v>
      </c>
      <c r="P1309" s="24">
        <v>1048</v>
      </c>
      <c r="Q1309">
        <v>508</v>
      </c>
      <c r="R1309">
        <v>993</v>
      </c>
      <c r="S1309">
        <v>700</v>
      </c>
      <c r="T1309">
        <v>1398</v>
      </c>
      <c r="U1309">
        <v>1140</v>
      </c>
      <c r="V1309">
        <v>2047</v>
      </c>
      <c r="W1309">
        <v>1867</v>
      </c>
      <c r="X1309">
        <v>3507</v>
      </c>
    </row>
    <row r="1310" spans="2:24" x14ac:dyDescent="0.35">
      <c r="B1310" s="46" t="s">
        <v>1758</v>
      </c>
      <c r="D1310" t="s">
        <v>1662</v>
      </c>
      <c r="E1310" t="s">
        <v>1663</v>
      </c>
      <c r="F1310" s="46" t="s">
        <v>1758</v>
      </c>
      <c r="G1310" t="s">
        <v>656</v>
      </c>
      <c r="H1310" s="23">
        <v>35</v>
      </c>
      <c r="I1310" s="23" t="s">
        <v>1759</v>
      </c>
      <c r="J1310" t="s">
        <v>1760</v>
      </c>
      <c r="K1310">
        <v>609</v>
      </c>
      <c r="L1310">
        <v>786</v>
      </c>
      <c r="M1310" s="24">
        <v>431</v>
      </c>
      <c r="N1310" s="24">
        <v>694</v>
      </c>
      <c r="O1310" s="24">
        <v>398</v>
      </c>
      <c r="P1310" s="24">
        <v>722</v>
      </c>
      <c r="Q1310">
        <v>276</v>
      </c>
      <c r="R1310">
        <v>727</v>
      </c>
      <c r="S1310">
        <v>360</v>
      </c>
      <c r="T1310">
        <v>880</v>
      </c>
      <c r="U1310">
        <v>748</v>
      </c>
      <c r="V1310">
        <v>1396</v>
      </c>
      <c r="W1310">
        <v>1502</v>
      </c>
      <c r="X1310">
        <v>2787</v>
      </c>
    </row>
    <row r="1311" spans="2:24" x14ac:dyDescent="0.35">
      <c r="B1311" s="46" t="s">
        <v>1761</v>
      </c>
      <c r="D1311" t="s">
        <v>1662</v>
      </c>
      <c r="E1311" t="s">
        <v>1663</v>
      </c>
      <c r="F1311" s="46" t="s">
        <v>1761</v>
      </c>
      <c r="G1311" t="s">
        <v>659</v>
      </c>
      <c r="H1311" s="23">
        <v>36</v>
      </c>
      <c r="I1311" s="23" t="s">
        <v>1762</v>
      </c>
      <c r="J1311" t="s">
        <v>1763</v>
      </c>
      <c r="K1311">
        <v>927</v>
      </c>
      <c r="L1311">
        <v>1258</v>
      </c>
      <c r="M1311" s="24">
        <v>696</v>
      </c>
      <c r="N1311" s="24">
        <v>1205</v>
      </c>
      <c r="O1311" s="24">
        <v>660</v>
      </c>
      <c r="P1311" s="24">
        <v>1332</v>
      </c>
      <c r="Q1311">
        <v>555</v>
      </c>
      <c r="R1311">
        <v>1449</v>
      </c>
      <c r="S1311">
        <v>718</v>
      </c>
      <c r="T1311">
        <v>1815</v>
      </c>
      <c r="U1311">
        <v>927</v>
      </c>
      <c r="V1311">
        <v>2368</v>
      </c>
      <c r="W1311">
        <v>1716</v>
      </c>
      <c r="X1311">
        <v>3625</v>
      </c>
    </row>
    <row r="1312" spans="2:24" x14ac:dyDescent="0.35">
      <c r="B1312" s="46" t="s">
        <v>1764</v>
      </c>
      <c r="D1312" t="s">
        <v>1662</v>
      </c>
      <c r="E1312" t="s">
        <v>1663</v>
      </c>
      <c r="F1312" s="46" t="s">
        <v>1764</v>
      </c>
      <c r="G1312" t="s">
        <v>663</v>
      </c>
      <c r="H1312" s="23">
        <v>37</v>
      </c>
      <c r="I1312" s="23" t="s">
        <v>1765</v>
      </c>
      <c r="J1312" t="s">
        <v>811</v>
      </c>
      <c r="K1312">
        <v>1984</v>
      </c>
      <c r="L1312">
        <v>2810</v>
      </c>
      <c r="M1312" s="24">
        <v>1563</v>
      </c>
      <c r="N1312" s="24">
        <v>2821</v>
      </c>
      <c r="O1312" s="24">
        <v>1459</v>
      </c>
      <c r="P1312" s="24">
        <v>2968</v>
      </c>
      <c r="Q1312">
        <v>1411</v>
      </c>
      <c r="R1312">
        <v>3136</v>
      </c>
      <c r="S1312">
        <v>1840</v>
      </c>
      <c r="T1312">
        <v>4210</v>
      </c>
      <c r="U1312">
        <v>2137</v>
      </c>
      <c r="V1312">
        <v>5350</v>
      </c>
      <c r="W1312">
        <v>3284</v>
      </c>
      <c r="X1312">
        <v>7657</v>
      </c>
    </row>
    <row r="1313" spans="2:24" x14ac:dyDescent="0.35">
      <c r="B1313" s="46" t="s">
        <v>1766</v>
      </c>
      <c r="D1313" t="s">
        <v>1662</v>
      </c>
      <c r="E1313" t="s">
        <v>1663</v>
      </c>
      <c r="F1313" s="46" t="s">
        <v>1766</v>
      </c>
      <c r="G1313" t="s">
        <v>667</v>
      </c>
      <c r="H1313" s="23">
        <v>38</v>
      </c>
      <c r="I1313" s="23" t="s">
        <v>1767</v>
      </c>
      <c r="J1313" t="s">
        <v>1768</v>
      </c>
      <c r="K1313">
        <v>2802</v>
      </c>
      <c r="L1313">
        <v>3723</v>
      </c>
      <c r="M1313" s="24">
        <v>2348</v>
      </c>
      <c r="N1313" s="24">
        <v>3608</v>
      </c>
      <c r="O1313" s="24">
        <v>1735</v>
      </c>
      <c r="P1313" s="24">
        <v>3288</v>
      </c>
      <c r="Q1313">
        <v>1521</v>
      </c>
      <c r="R1313">
        <v>3365</v>
      </c>
      <c r="S1313">
        <v>1958</v>
      </c>
      <c r="T1313">
        <v>4508</v>
      </c>
      <c r="U1313">
        <v>3006</v>
      </c>
      <c r="V1313">
        <v>5944</v>
      </c>
      <c r="W1313">
        <v>5090</v>
      </c>
      <c r="X1313">
        <v>10389</v>
      </c>
    </row>
    <row r="1314" spans="2:24" x14ac:dyDescent="0.35">
      <c r="B1314" s="46" t="s">
        <v>1769</v>
      </c>
      <c r="D1314" t="s">
        <v>1662</v>
      </c>
      <c r="E1314" t="s">
        <v>1663</v>
      </c>
      <c r="F1314" s="46" t="s">
        <v>1769</v>
      </c>
      <c r="G1314" t="s">
        <v>671</v>
      </c>
      <c r="H1314" s="23">
        <v>39</v>
      </c>
      <c r="I1314" s="23" t="s">
        <v>1770</v>
      </c>
      <c r="J1314" t="s">
        <v>373</v>
      </c>
      <c r="K1314">
        <v>3756</v>
      </c>
      <c r="L1314">
        <v>5057</v>
      </c>
      <c r="M1314" s="24">
        <v>2968</v>
      </c>
      <c r="N1314" s="24">
        <v>4929</v>
      </c>
      <c r="O1314" s="24">
        <v>2546</v>
      </c>
      <c r="P1314" s="24">
        <v>5021</v>
      </c>
      <c r="Q1314">
        <v>2542</v>
      </c>
      <c r="R1314">
        <v>5458</v>
      </c>
      <c r="S1314">
        <v>2963</v>
      </c>
      <c r="T1314">
        <v>7048</v>
      </c>
      <c r="U1314">
        <v>3578</v>
      </c>
      <c r="V1314">
        <v>8554</v>
      </c>
      <c r="W1314">
        <v>5054</v>
      </c>
      <c r="X1314">
        <v>11659</v>
      </c>
    </row>
    <row r="1315" spans="2:24" x14ac:dyDescent="0.35">
      <c r="B1315" s="46" t="s">
        <v>1771</v>
      </c>
      <c r="D1315" t="s">
        <v>1662</v>
      </c>
      <c r="E1315" t="s">
        <v>1663</v>
      </c>
      <c r="F1315" s="46" t="s">
        <v>1771</v>
      </c>
      <c r="G1315" t="s">
        <v>674</v>
      </c>
      <c r="H1315" s="23">
        <v>40</v>
      </c>
      <c r="I1315" s="23" t="s">
        <v>1772</v>
      </c>
      <c r="J1315" t="s">
        <v>1773</v>
      </c>
      <c r="K1315">
        <v>11146</v>
      </c>
      <c r="L1315">
        <v>15951</v>
      </c>
      <c r="M1315" s="24">
        <v>8888</v>
      </c>
      <c r="N1315" s="24">
        <v>15599</v>
      </c>
      <c r="O1315" s="24">
        <v>8095</v>
      </c>
      <c r="P1315" s="24">
        <v>15627</v>
      </c>
      <c r="Q1315">
        <v>8451</v>
      </c>
      <c r="R1315">
        <v>17706</v>
      </c>
      <c r="S1315">
        <v>9732</v>
      </c>
      <c r="T1315">
        <v>22898</v>
      </c>
      <c r="U1315">
        <v>12564</v>
      </c>
      <c r="V1315">
        <v>28570</v>
      </c>
      <c r="W1315">
        <v>17101</v>
      </c>
      <c r="X1315">
        <v>42909</v>
      </c>
    </row>
    <row r="1316" spans="2:24" x14ac:dyDescent="0.35">
      <c r="B1316" s="46" t="s">
        <v>1774</v>
      </c>
      <c r="D1316" t="s">
        <v>1662</v>
      </c>
      <c r="E1316" t="s">
        <v>1663</v>
      </c>
      <c r="F1316" s="46" t="s">
        <v>1774</v>
      </c>
      <c r="G1316" t="s">
        <v>678</v>
      </c>
      <c r="H1316" s="23">
        <v>41</v>
      </c>
      <c r="I1316" s="23" t="s">
        <v>1775</v>
      </c>
      <c r="J1316" t="s">
        <v>1776</v>
      </c>
      <c r="K1316">
        <v>470</v>
      </c>
      <c r="L1316">
        <v>595</v>
      </c>
      <c r="M1316" s="24">
        <v>416</v>
      </c>
      <c r="N1316" s="24">
        <v>611</v>
      </c>
      <c r="O1316" s="24">
        <v>307</v>
      </c>
      <c r="P1316" s="24">
        <v>545</v>
      </c>
      <c r="Q1316">
        <v>289</v>
      </c>
      <c r="R1316">
        <v>563</v>
      </c>
      <c r="S1316">
        <v>428</v>
      </c>
      <c r="T1316">
        <v>789</v>
      </c>
      <c r="U1316">
        <v>512</v>
      </c>
      <c r="V1316">
        <v>1165</v>
      </c>
      <c r="W1316">
        <v>799</v>
      </c>
      <c r="X1316">
        <v>1816</v>
      </c>
    </row>
    <row r="1317" spans="2:24" x14ac:dyDescent="0.35">
      <c r="B1317" s="46" t="s">
        <v>1777</v>
      </c>
      <c r="D1317" t="s">
        <v>1662</v>
      </c>
      <c r="E1317" t="s">
        <v>1663</v>
      </c>
      <c r="F1317" s="46" t="s">
        <v>1777</v>
      </c>
      <c r="G1317" t="s">
        <v>681</v>
      </c>
      <c r="H1317" s="23">
        <v>42</v>
      </c>
      <c r="I1317" s="23" t="s">
        <v>1778</v>
      </c>
      <c r="J1317" t="s">
        <v>1779</v>
      </c>
      <c r="K1317">
        <v>8307</v>
      </c>
      <c r="L1317">
        <v>11310</v>
      </c>
      <c r="M1317" s="24">
        <v>6841</v>
      </c>
      <c r="N1317" s="24">
        <v>11772</v>
      </c>
      <c r="O1317" s="24">
        <v>6404</v>
      </c>
      <c r="P1317" s="24">
        <v>12119</v>
      </c>
      <c r="Q1317">
        <v>5568</v>
      </c>
      <c r="R1317">
        <v>13544</v>
      </c>
      <c r="S1317">
        <v>8895</v>
      </c>
      <c r="T1317">
        <v>17962</v>
      </c>
      <c r="U1317">
        <v>11063</v>
      </c>
      <c r="V1317">
        <v>23576</v>
      </c>
      <c r="W1317">
        <v>14217</v>
      </c>
      <c r="X1317">
        <v>34418</v>
      </c>
    </row>
    <row r="1318" spans="2:24" x14ac:dyDescent="0.35">
      <c r="B1318" s="46" t="s">
        <v>1780</v>
      </c>
      <c r="D1318" t="s">
        <v>1662</v>
      </c>
      <c r="E1318" t="s">
        <v>1663</v>
      </c>
      <c r="F1318" s="46" t="s">
        <v>1780</v>
      </c>
      <c r="G1318" t="s">
        <v>685</v>
      </c>
      <c r="H1318" s="23">
        <v>43</v>
      </c>
      <c r="I1318" s="23" t="s">
        <v>1781</v>
      </c>
      <c r="J1318" t="s">
        <v>379</v>
      </c>
      <c r="K1318">
        <v>2795</v>
      </c>
      <c r="L1318">
        <v>3850</v>
      </c>
      <c r="M1318" s="24">
        <v>2227</v>
      </c>
      <c r="N1318" s="24">
        <v>3739</v>
      </c>
      <c r="O1318" s="24">
        <v>1970</v>
      </c>
      <c r="P1318" s="24">
        <v>3677</v>
      </c>
      <c r="Q1318">
        <v>1816</v>
      </c>
      <c r="R1318">
        <v>3881</v>
      </c>
      <c r="S1318">
        <v>2079</v>
      </c>
      <c r="T1318">
        <v>4886</v>
      </c>
      <c r="U1318">
        <v>2886</v>
      </c>
      <c r="V1318">
        <v>6302</v>
      </c>
      <c r="W1318">
        <v>5190</v>
      </c>
      <c r="X1318">
        <v>10982</v>
      </c>
    </row>
    <row r="1319" spans="2:24" x14ac:dyDescent="0.35">
      <c r="B1319" s="46" t="s">
        <v>1782</v>
      </c>
      <c r="D1319" t="s">
        <v>1662</v>
      </c>
      <c r="E1319" t="s">
        <v>1663</v>
      </c>
      <c r="F1319" s="46" t="s">
        <v>1782</v>
      </c>
      <c r="G1319" t="s">
        <v>689</v>
      </c>
      <c r="H1319" s="23">
        <v>44</v>
      </c>
      <c r="I1319" s="23" t="s">
        <v>1783</v>
      </c>
      <c r="J1319" t="s">
        <v>518</v>
      </c>
      <c r="K1319">
        <v>570</v>
      </c>
      <c r="L1319">
        <v>723</v>
      </c>
      <c r="M1319" s="24">
        <v>412</v>
      </c>
      <c r="N1319" s="24">
        <v>652</v>
      </c>
      <c r="O1319" s="24">
        <v>401</v>
      </c>
      <c r="P1319" s="24">
        <v>658</v>
      </c>
      <c r="Q1319">
        <v>375</v>
      </c>
      <c r="R1319">
        <v>754</v>
      </c>
      <c r="S1319">
        <v>588</v>
      </c>
      <c r="T1319">
        <v>1040</v>
      </c>
      <c r="U1319">
        <v>673</v>
      </c>
      <c r="V1319">
        <v>1537</v>
      </c>
      <c r="W1319">
        <v>1369</v>
      </c>
      <c r="X1319">
        <v>2843</v>
      </c>
    </row>
    <row r="1320" spans="2:24" x14ac:dyDescent="0.35">
      <c r="B1320" s="46" t="s">
        <v>1784</v>
      </c>
      <c r="D1320" t="s">
        <v>1662</v>
      </c>
      <c r="E1320" t="s">
        <v>1663</v>
      </c>
      <c r="F1320" s="46" t="s">
        <v>1784</v>
      </c>
      <c r="G1320" t="s">
        <v>692</v>
      </c>
      <c r="H1320" s="23">
        <v>45</v>
      </c>
      <c r="I1320" s="23" t="s">
        <v>1785</v>
      </c>
      <c r="J1320" t="s">
        <v>1786</v>
      </c>
      <c r="K1320">
        <v>1023</v>
      </c>
      <c r="L1320">
        <v>1303</v>
      </c>
      <c r="M1320" s="24">
        <v>767</v>
      </c>
      <c r="N1320" s="24">
        <v>1246</v>
      </c>
      <c r="O1320" s="24">
        <v>707</v>
      </c>
      <c r="P1320" s="24">
        <v>1217</v>
      </c>
      <c r="Q1320">
        <v>530</v>
      </c>
      <c r="R1320">
        <v>1186</v>
      </c>
      <c r="S1320">
        <v>693</v>
      </c>
      <c r="T1320">
        <v>1347</v>
      </c>
      <c r="U1320">
        <v>1182</v>
      </c>
      <c r="V1320">
        <v>2055</v>
      </c>
      <c r="W1320">
        <v>2085</v>
      </c>
      <c r="X1320">
        <v>3621</v>
      </c>
    </row>
    <row r="1321" spans="2:24" x14ac:dyDescent="0.35">
      <c r="B1321" s="46" t="s">
        <v>1787</v>
      </c>
      <c r="D1321" t="s">
        <v>1662</v>
      </c>
      <c r="E1321" t="s">
        <v>1663</v>
      </c>
      <c r="F1321" s="46" t="s">
        <v>1787</v>
      </c>
      <c r="G1321" t="s">
        <v>696</v>
      </c>
      <c r="H1321" s="23">
        <v>46</v>
      </c>
      <c r="I1321" s="23" t="s">
        <v>1788</v>
      </c>
      <c r="J1321" t="s">
        <v>1789</v>
      </c>
      <c r="K1321">
        <v>7517</v>
      </c>
      <c r="L1321">
        <v>11047</v>
      </c>
      <c r="M1321" s="24">
        <v>5708</v>
      </c>
      <c r="N1321" s="24">
        <v>10723</v>
      </c>
      <c r="O1321" s="24">
        <v>4121</v>
      </c>
      <c r="P1321" s="24">
        <v>10498</v>
      </c>
      <c r="Q1321">
        <v>4354</v>
      </c>
      <c r="R1321">
        <v>11230</v>
      </c>
      <c r="S1321">
        <v>4567</v>
      </c>
      <c r="T1321">
        <v>14223</v>
      </c>
      <c r="U1321">
        <v>6593</v>
      </c>
      <c r="V1321">
        <v>17041</v>
      </c>
      <c r="W1321">
        <v>10370</v>
      </c>
      <c r="X1321">
        <v>24329</v>
      </c>
    </row>
    <row r="1322" spans="2:24" x14ac:dyDescent="0.35">
      <c r="B1322" s="46" t="s">
        <v>1790</v>
      </c>
      <c r="D1322" t="s">
        <v>1791</v>
      </c>
      <c r="E1322" t="s">
        <v>1792</v>
      </c>
      <c r="F1322" s="46" t="s">
        <v>1805</v>
      </c>
      <c r="G1322" t="s">
        <v>235</v>
      </c>
      <c r="H1322" s="23">
        <v>2</v>
      </c>
      <c r="I1322" s="23" t="s">
        <v>1806</v>
      </c>
      <c r="J1322" t="s">
        <v>1674</v>
      </c>
      <c r="K1322">
        <v>1896</v>
      </c>
      <c r="L1322">
        <v>2396</v>
      </c>
      <c r="M1322" s="24">
        <v>1513</v>
      </c>
      <c r="N1322" s="24">
        <v>2335</v>
      </c>
      <c r="O1322" s="24">
        <v>1166</v>
      </c>
      <c r="P1322" s="24">
        <v>2051</v>
      </c>
      <c r="Q1322">
        <v>1200</v>
      </c>
      <c r="R1322">
        <v>2129</v>
      </c>
      <c r="S1322">
        <v>1787</v>
      </c>
      <c r="T1322">
        <v>2844</v>
      </c>
      <c r="U1322">
        <v>2273</v>
      </c>
      <c r="V1322">
        <v>3785</v>
      </c>
      <c r="W1322">
        <v>2608</v>
      </c>
      <c r="X1322">
        <v>5719</v>
      </c>
    </row>
    <row r="1323" spans="2:24" x14ac:dyDescent="0.35">
      <c r="B1323" s="46" t="s">
        <v>1795</v>
      </c>
      <c r="D1323" t="s">
        <v>1791</v>
      </c>
      <c r="E1323" t="s">
        <v>1792</v>
      </c>
      <c r="F1323" s="46" t="s">
        <v>1913</v>
      </c>
      <c r="G1323" t="s">
        <v>279</v>
      </c>
      <c r="H1323" s="23">
        <v>8</v>
      </c>
      <c r="I1323" s="23" t="s">
        <v>1914</v>
      </c>
      <c r="J1323" t="s">
        <v>1915</v>
      </c>
      <c r="K1323">
        <v>1122</v>
      </c>
      <c r="L1323">
        <v>1408</v>
      </c>
      <c r="M1323" s="24">
        <v>1106</v>
      </c>
      <c r="N1323" s="24">
        <v>1383</v>
      </c>
      <c r="O1323" s="24">
        <v>994</v>
      </c>
      <c r="P1323" s="24">
        <v>1305</v>
      </c>
      <c r="Q1323">
        <v>608</v>
      </c>
      <c r="R1323">
        <v>1327</v>
      </c>
      <c r="S1323">
        <v>684</v>
      </c>
      <c r="T1323">
        <v>1553</v>
      </c>
      <c r="U1323">
        <v>998</v>
      </c>
      <c r="V1323">
        <v>2226</v>
      </c>
      <c r="W1323">
        <v>1689</v>
      </c>
      <c r="X1323">
        <v>3823</v>
      </c>
    </row>
    <row r="1324" spans="2:24" x14ac:dyDescent="0.35">
      <c r="B1324" s="46" t="s">
        <v>1796</v>
      </c>
      <c r="D1324" t="s">
        <v>1791</v>
      </c>
      <c r="E1324" t="s">
        <v>1792</v>
      </c>
      <c r="F1324" s="46" t="s">
        <v>1862</v>
      </c>
      <c r="G1324" t="s">
        <v>259</v>
      </c>
      <c r="H1324" s="23">
        <v>5</v>
      </c>
      <c r="I1324" s="23" t="s">
        <v>1863</v>
      </c>
      <c r="J1324" t="s">
        <v>456</v>
      </c>
      <c r="K1324">
        <v>476</v>
      </c>
      <c r="L1324">
        <v>544</v>
      </c>
      <c r="M1324" s="24">
        <v>464</v>
      </c>
      <c r="N1324" s="24">
        <v>554</v>
      </c>
      <c r="O1324" s="24">
        <v>298</v>
      </c>
      <c r="P1324" s="24">
        <v>508</v>
      </c>
      <c r="Q1324">
        <f>O1324</f>
        <v>298</v>
      </c>
      <c r="R1324">
        <v>465</v>
      </c>
      <c r="S1324">
        <v>338</v>
      </c>
      <c r="T1324">
        <v>599</v>
      </c>
      <c r="U1324">
        <v>457</v>
      </c>
      <c r="V1324">
        <v>831</v>
      </c>
      <c r="W1324">
        <v>684</v>
      </c>
      <c r="X1324">
        <v>1319</v>
      </c>
    </row>
    <row r="1325" spans="2:24" x14ac:dyDescent="0.35">
      <c r="B1325" s="46" t="s">
        <v>1797</v>
      </c>
      <c r="D1325" t="s">
        <v>1791</v>
      </c>
      <c r="E1325" t="s">
        <v>1792</v>
      </c>
      <c r="F1325" s="46" t="s">
        <v>1829</v>
      </c>
      <c r="G1325" t="s">
        <v>239</v>
      </c>
      <c r="H1325" s="23">
        <v>3</v>
      </c>
      <c r="I1325" s="23" t="s">
        <v>1830</v>
      </c>
      <c r="J1325" t="s">
        <v>1831</v>
      </c>
      <c r="K1325">
        <v>327</v>
      </c>
      <c r="L1325">
        <v>368</v>
      </c>
      <c r="M1325" s="24">
        <v>249</v>
      </c>
      <c r="N1325" s="24">
        <v>372</v>
      </c>
      <c r="O1325" s="24">
        <v>175</v>
      </c>
      <c r="P1325" s="24">
        <v>304</v>
      </c>
      <c r="Q1325">
        <v>180</v>
      </c>
      <c r="R1325">
        <v>318</v>
      </c>
      <c r="S1325">
        <v>249</v>
      </c>
      <c r="T1325">
        <v>470</v>
      </c>
      <c r="U1325">
        <v>475</v>
      </c>
      <c r="V1325">
        <v>871</v>
      </c>
      <c r="W1325">
        <v>710</v>
      </c>
      <c r="X1325">
        <v>1571</v>
      </c>
    </row>
    <row r="1326" spans="2:24" x14ac:dyDescent="0.35">
      <c r="B1326" s="46" t="s">
        <v>1799</v>
      </c>
      <c r="D1326" t="s">
        <v>1791</v>
      </c>
      <c r="E1326" t="s">
        <v>1792</v>
      </c>
      <c r="F1326" s="46" t="s">
        <v>1807</v>
      </c>
      <c r="G1326" t="s">
        <v>235</v>
      </c>
      <c r="H1326" s="23">
        <v>2</v>
      </c>
      <c r="I1326" s="23" t="s">
        <v>1806</v>
      </c>
      <c r="J1326" t="s">
        <v>243</v>
      </c>
      <c r="K1326">
        <v>3432</v>
      </c>
      <c r="L1326">
        <v>4401</v>
      </c>
      <c r="M1326" s="24">
        <v>2561</v>
      </c>
      <c r="N1326" s="24">
        <v>4247</v>
      </c>
      <c r="O1326" s="24">
        <v>2024</v>
      </c>
      <c r="P1326" s="24">
        <v>3814</v>
      </c>
      <c r="Q1326">
        <v>1949</v>
      </c>
      <c r="R1326">
        <v>3924</v>
      </c>
      <c r="S1326">
        <v>2816</v>
      </c>
      <c r="T1326">
        <v>5149</v>
      </c>
      <c r="U1326">
        <v>3393</v>
      </c>
      <c r="V1326">
        <v>6353</v>
      </c>
      <c r="W1326">
        <v>4007</v>
      </c>
      <c r="X1326">
        <v>8936</v>
      </c>
    </row>
    <row r="1327" spans="2:24" x14ac:dyDescent="0.35">
      <c r="B1327" s="46" t="s">
        <v>1800</v>
      </c>
      <c r="D1327" t="s">
        <v>1791</v>
      </c>
      <c r="E1327" t="s">
        <v>1792</v>
      </c>
      <c r="F1327" s="46" t="s">
        <v>1832</v>
      </c>
      <c r="G1327" t="s">
        <v>239</v>
      </c>
      <c r="H1327" s="23">
        <v>3</v>
      </c>
      <c r="I1327" s="23" t="s">
        <v>1830</v>
      </c>
      <c r="J1327" t="s">
        <v>490</v>
      </c>
      <c r="K1327">
        <v>3071</v>
      </c>
      <c r="L1327">
        <v>3638</v>
      </c>
      <c r="M1327" s="24">
        <v>2138</v>
      </c>
      <c r="N1327" s="24">
        <v>3572</v>
      </c>
      <c r="O1327" s="24">
        <v>1567</v>
      </c>
      <c r="P1327" s="24">
        <v>3001</v>
      </c>
      <c r="Q1327">
        <v>1590</v>
      </c>
      <c r="R1327">
        <v>3094</v>
      </c>
      <c r="S1327">
        <v>2122</v>
      </c>
      <c r="T1327">
        <v>3930</v>
      </c>
      <c r="U1327">
        <v>2928</v>
      </c>
      <c r="V1327">
        <v>5435</v>
      </c>
      <c r="W1327">
        <v>3660</v>
      </c>
      <c r="X1327">
        <v>8725</v>
      </c>
    </row>
    <row r="1328" spans="2:24" x14ac:dyDescent="0.35">
      <c r="B1328" s="46" t="s">
        <v>1802</v>
      </c>
      <c r="D1328" t="s">
        <v>1791</v>
      </c>
      <c r="E1328" t="s">
        <v>1792</v>
      </c>
      <c r="F1328" s="46" t="s">
        <v>1808</v>
      </c>
      <c r="G1328" t="s">
        <v>235</v>
      </c>
      <c r="H1328" s="23">
        <v>2</v>
      </c>
      <c r="I1328" s="23" t="s">
        <v>1806</v>
      </c>
      <c r="J1328" t="s">
        <v>1809</v>
      </c>
      <c r="K1328">
        <v>926</v>
      </c>
      <c r="L1328">
        <v>1061</v>
      </c>
      <c r="M1328" s="24">
        <v>789</v>
      </c>
      <c r="N1328" s="24">
        <v>1080</v>
      </c>
      <c r="O1328" s="24">
        <v>593</v>
      </c>
      <c r="P1328" s="24">
        <v>912</v>
      </c>
      <c r="Q1328">
        <v>575</v>
      </c>
      <c r="R1328">
        <v>920</v>
      </c>
      <c r="S1328">
        <v>911</v>
      </c>
      <c r="T1328">
        <v>1345</v>
      </c>
      <c r="U1328">
        <v>1206</v>
      </c>
      <c r="V1328">
        <v>1927</v>
      </c>
      <c r="W1328">
        <v>1536</v>
      </c>
      <c r="X1328">
        <v>3216</v>
      </c>
    </row>
    <row r="1329" spans="2:24" x14ac:dyDescent="0.35">
      <c r="B1329" s="46" t="s">
        <v>1804</v>
      </c>
      <c r="D1329" t="s">
        <v>1791</v>
      </c>
      <c r="E1329" t="s">
        <v>1792</v>
      </c>
      <c r="F1329" s="46" t="s">
        <v>1894</v>
      </c>
      <c r="G1329" t="s">
        <v>273</v>
      </c>
      <c r="H1329" s="23">
        <v>7</v>
      </c>
      <c r="I1329" s="23" t="s">
        <v>1895</v>
      </c>
      <c r="J1329" t="s">
        <v>1896</v>
      </c>
      <c r="K1329">
        <v>384</v>
      </c>
      <c r="L1329">
        <v>474</v>
      </c>
      <c r="M1329" s="24">
        <v>390</v>
      </c>
      <c r="N1329" s="24">
        <v>496</v>
      </c>
      <c r="O1329" s="24">
        <v>385</v>
      </c>
      <c r="P1329" s="24">
        <v>495</v>
      </c>
      <c r="Q1329">
        <v>357</v>
      </c>
      <c r="R1329">
        <v>514</v>
      </c>
      <c r="S1329">
        <v>328</v>
      </c>
      <c r="T1329">
        <v>636</v>
      </c>
      <c r="U1329">
        <v>522</v>
      </c>
      <c r="V1329">
        <v>937</v>
      </c>
      <c r="W1329">
        <v>1001</v>
      </c>
      <c r="X1329">
        <v>1482</v>
      </c>
    </row>
    <row r="1330" spans="2:24" x14ac:dyDescent="0.35">
      <c r="B1330" s="46" t="s">
        <v>1805</v>
      </c>
      <c r="D1330" t="s">
        <v>1791</v>
      </c>
      <c r="E1330" t="s">
        <v>1792</v>
      </c>
      <c r="F1330" s="46" t="s">
        <v>1864</v>
      </c>
      <c r="G1330" t="s">
        <v>259</v>
      </c>
      <c r="H1330" s="23">
        <v>5</v>
      </c>
      <c r="I1330" s="23" t="s">
        <v>1863</v>
      </c>
      <c r="J1330" t="s">
        <v>463</v>
      </c>
      <c r="K1330">
        <v>769</v>
      </c>
      <c r="L1330">
        <v>872</v>
      </c>
      <c r="M1330" s="24">
        <v>710</v>
      </c>
      <c r="N1330" s="24">
        <v>820</v>
      </c>
      <c r="O1330" s="24">
        <v>465</v>
      </c>
      <c r="P1330" s="24">
        <v>777</v>
      </c>
      <c r="Q1330">
        <f>O1330</f>
        <v>465</v>
      </c>
      <c r="R1330">
        <v>718</v>
      </c>
      <c r="S1330">
        <v>547</v>
      </c>
      <c r="T1330">
        <v>993</v>
      </c>
      <c r="U1330">
        <v>709</v>
      </c>
      <c r="V1330">
        <v>1401</v>
      </c>
      <c r="W1330">
        <v>1314</v>
      </c>
      <c r="X1330">
        <v>2531</v>
      </c>
    </row>
    <row r="1331" spans="2:24" x14ac:dyDescent="0.35">
      <c r="B1331" s="46" t="s">
        <v>1807</v>
      </c>
      <c r="D1331" t="s">
        <v>1791</v>
      </c>
      <c r="E1331" t="s">
        <v>1792</v>
      </c>
      <c r="F1331" s="46" t="s">
        <v>1790</v>
      </c>
      <c r="G1331" t="s">
        <v>231</v>
      </c>
      <c r="H1331" s="23">
        <v>1</v>
      </c>
      <c r="I1331" s="23" t="s">
        <v>1793</v>
      </c>
      <c r="J1331" t="s">
        <v>1794</v>
      </c>
      <c r="K1331">
        <v>1148</v>
      </c>
      <c r="L1331">
        <v>1615</v>
      </c>
      <c r="M1331" s="24">
        <v>1043</v>
      </c>
      <c r="N1331" s="24">
        <v>1569</v>
      </c>
      <c r="O1331" s="24">
        <v>834</v>
      </c>
      <c r="P1331" s="24">
        <v>1414</v>
      </c>
      <c r="Q1331">
        <v>846</v>
      </c>
      <c r="R1331">
        <v>1473</v>
      </c>
      <c r="S1331">
        <v>1331</v>
      </c>
      <c r="T1331">
        <v>2002</v>
      </c>
      <c r="U1331">
        <v>1996</v>
      </c>
      <c r="V1331">
        <v>2840</v>
      </c>
      <c r="W1331">
        <v>3415</v>
      </c>
      <c r="X1331">
        <v>4686</v>
      </c>
    </row>
    <row r="1332" spans="2:24" x14ac:dyDescent="0.35">
      <c r="B1332" s="46" t="s">
        <v>1808</v>
      </c>
      <c r="D1332" t="s">
        <v>1791</v>
      </c>
      <c r="E1332" t="s">
        <v>1792</v>
      </c>
      <c r="F1332" s="46" t="s">
        <v>1847</v>
      </c>
      <c r="G1332" t="s">
        <v>255</v>
      </c>
      <c r="H1332" s="23">
        <v>4</v>
      </c>
      <c r="I1332" s="23" t="s">
        <v>1848</v>
      </c>
      <c r="J1332" t="s">
        <v>1849</v>
      </c>
      <c r="K1332">
        <v>857</v>
      </c>
      <c r="L1332">
        <v>1342</v>
      </c>
      <c r="M1332" s="24">
        <v>676</v>
      </c>
      <c r="N1332" s="24">
        <v>1240</v>
      </c>
      <c r="O1332" s="24">
        <v>652</v>
      </c>
      <c r="P1332" s="24">
        <v>1210</v>
      </c>
      <c r="Q1332">
        <v>743</v>
      </c>
      <c r="R1332">
        <v>1340</v>
      </c>
      <c r="S1332">
        <v>937</v>
      </c>
      <c r="T1332">
        <v>1719</v>
      </c>
      <c r="U1332">
        <v>1190</v>
      </c>
      <c r="V1332">
        <v>2239</v>
      </c>
      <c r="W1332">
        <v>2093</v>
      </c>
      <c r="X1332">
        <v>3256</v>
      </c>
    </row>
    <row r="1333" spans="2:24" x14ac:dyDescent="0.35">
      <c r="B1333" s="46" t="s">
        <v>1810</v>
      </c>
      <c r="D1333" t="s">
        <v>1791</v>
      </c>
      <c r="E1333" t="s">
        <v>1792</v>
      </c>
      <c r="F1333" s="46" t="s">
        <v>1865</v>
      </c>
      <c r="G1333" t="s">
        <v>259</v>
      </c>
      <c r="H1333" s="23">
        <v>5</v>
      </c>
      <c r="I1333" s="23" t="s">
        <v>1863</v>
      </c>
      <c r="J1333" t="s">
        <v>1695</v>
      </c>
      <c r="K1333">
        <v>444</v>
      </c>
      <c r="L1333">
        <v>511</v>
      </c>
      <c r="M1333" s="24">
        <v>429</v>
      </c>
      <c r="N1333" s="24">
        <v>494</v>
      </c>
      <c r="O1333" s="24">
        <v>258</v>
      </c>
      <c r="P1333" s="24">
        <v>425</v>
      </c>
      <c r="Q1333">
        <v>208</v>
      </c>
      <c r="R1333">
        <v>409</v>
      </c>
      <c r="S1333">
        <v>245</v>
      </c>
      <c r="T1333">
        <v>494</v>
      </c>
      <c r="U1333">
        <v>369</v>
      </c>
      <c r="V1333">
        <v>732</v>
      </c>
      <c r="W1333">
        <v>609</v>
      </c>
      <c r="X1333">
        <v>1154</v>
      </c>
    </row>
    <row r="1334" spans="2:24" x14ac:dyDescent="0.35">
      <c r="B1334" s="46" t="s">
        <v>1811</v>
      </c>
      <c r="D1334" t="s">
        <v>1791</v>
      </c>
      <c r="E1334" t="s">
        <v>1792</v>
      </c>
      <c r="F1334" s="46" t="s">
        <v>1810</v>
      </c>
      <c r="G1334" t="s">
        <v>235</v>
      </c>
      <c r="H1334" s="23">
        <v>2</v>
      </c>
      <c r="I1334" s="23" t="s">
        <v>1806</v>
      </c>
      <c r="J1334" t="s">
        <v>1270</v>
      </c>
      <c r="K1334">
        <v>838</v>
      </c>
      <c r="L1334">
        <v>1028</v>
      </c>
      <c r="M1334" s="24">
        <v>722</v>
      </c>
      <c r="N1334" s="24">
        <v>1044</v>
      </c>
      <c r="O1334" s="24">
        <v>616</v>
      </c>
      <c r="P1334" s="24">
        <v>957</v>
      </c>
      <c r="Q1334">
        <v>604</v>
      </c>
      <c r="R1334">
        <v>976</v>
      </c>
      <c r="S1334">
        <v>825</v>
      </c>
      <c r="T1334">
        <v>1232</v>
      </c>
      <c r="U1334">
        <v>1019</v>
      </c>
      <c r="V1334">
        <v>1560</v>
      </c>
      <c r="W1334">
        <v>1243</v>
      </c>
      <c r="X1334">
        <v>2387</v>
      </c>
    </row>
    <row r="1335" spans="2:24" x14ac:dyDescent="0.35">
      <c r="B1335" s="46" t="s">
        <v>1813</v>
      </c>
      <c r="D1335" t="s">
        <v>1791</v>
      </c>
      <c r="E1335" t="s">
        <v>1792</v>
      </c>
      <c r="F1335" s="46" t="s">
        <v>1897</v>
      </c>
      <c r="G1335" t="s">
        <v>273</v>
      </c>
      <c r="H1335" s="23">
        <v>7</v>
      </c>
      <c r="I1335" s="23" t="s">
        <v>1895</v>
      </c>
      <c r="J1335" t="s">
        <v>329</v>
      </c>
      <c r="K1335">
        <v>320</v>
      </c>
      <c r="L1335">
        <v>367</v>
      </c>
      <c r="M1335" s="24">
        <v>310</v>
      </c>
      <c r="N1335" s="24">
        <v>368</v>
      </c>
      <c r="O1335" s="24">
        <v>304</v>
      </c>
      <c r="P1335" s="24">
        <v>353</v>
      </c>
      <c r="Q1335">
        <v>289</v>
      </c>
      <c r="R1335">
        <v>357</v>
      </c>
      <c r="S1335">
        <v>221</v>
      </c>
      <c r="T1335">
        <v>396</v>
      </c>
      <c r="U1335">
        <v>244</v>
      </c>
      <c r="V1335">
        <v>488</v>
      </c>
      <c r="W1335">
        <v>545</v>
      </c>
      <c r="X1335">
        <v>807</v>
      </c>
    </row>
    <row r="1336" spans="2:24" x14ac:dyDescent="0.35">
      <c r="B1336" s="46" t="s">
        <v>1815</v>
      </c>
      <c r="D1336" t="s">
        <v>1791</v>
      </c>
      <c r="E1336" t="s">
        <v>1792</v>
      </c>
      <c r="F1336" s="46" t="s">
        <v>1811</v>
      </c>
      <c r="G1336" t="s">
        <v>235</v>
      </c>
      <c r="H1336" s="23">
        <v>2</v>
      </c>
      <c r="I1336" s="23" t="s">
        <v>1806</v>
      </c>
      <c r="J1336" t="s">
        <v>1812</v>
      </c>
      <c r="K1336">
        <v>992</v>
      </c>
      <c r="L1336">
        <v>1179</v>
      </c>
      <c r="M1336" s="24">
        <v>857</v>
      </c>
      <c r="N1336" s="24">
        <v>1247</v>
      </c>
      <c r="O1336" s="24">
        <v>631</v>
      </c>
      <c r="P1336" s="24">
        <v>1051</v>
      </c>
      <c r="Q1336">
        <v>622</v>
      </c>
      <c r="R1336">
        <v>1154</v>
      </c>
      <c r="S1336">
        <v>1079</v>
      </c>
      <c r="T1336">
        <v>1722</v>
      </c>
      <c r="U1336">
        <v>1441</v>
      </c>
      <c r="V1336">
        <v>2418</v>
      </c>
      <c r="W1336">
        <v>1643</v>
      </c>
      <c r="X1336">
        <v>3916</v>
      </c>
    </row>
    <row r="1337" spans="2:24" x14ac:dyDescent="0.35">
      <c r="B1337" s="46" t="s">
        <v>1817</v>
      </c>
      <c r="D1337" t="s">
        <v>1791</v>
      </c>
      <c r="E1337" t="s">
        <v>1792</v>
      </c>
      <c r="F1337" s="46" t="s">
        <v>1916</v>
      </c>
      <c r="G1337" t="s">
        <v>279</v>
      </c>
      <c r="H1337" s="23">
        <v>8</v>
      </c>
      <c r="I1337" s="23" t="s">
        <v>1914</v>
      </c>
      <c r="J1337" t="s">
        <v>333</v>
      </c>
      <c r="K1337">
        <v>1430</v>
      </c>
      <c r="L1337">
        <v>1729</v>
      </c>
      <c r="M1337" s="24">
        <v>1399</v>
      </c>
      <c r="N1337" s="24">
        <v>1693</v>
      </c>
      <c r="O1337" s="24">
        <v>1365</v>
      </c>
      <c r="P1337" s="24">
        <v>1725</v>
      </c>
      <c r="Q1337">
        <v>819</v>
      </c>
      <c r="R1337">
        <v>1775</v>
      </c>
      <c r="S1337">
        <v>852</v>
      </c>
      <c r="T1337">
        <v>1953</v>
      </c>
      <c r="U1337">
        <v>1111</v>
      </c>
      <c r="V1337">
        <v>2544</v>
      </c>
      <c r="W1337">
        <v>1783</v>
      </c>
      <c r="X1337">
        <v>4108</v>
      </c>
    </row>
    <row r="1338" spans="2:24" x14ac:dyDescent="0.35">
      <c r="B1338" s="46" t="s">
        <v>1818</v>
      </c>
      <c r="D1338" t="s">
        <v>1791</v>
      </c>
      <c r="E1338" t="s">
        <v>1792</v>
      </c>
      <c r="F1338" s="46" t="s">
        <v>1866</v>
      </c>
      <c r="G1338" t="s">
        <v>259</v>
      </c>
      <c r="H1338" s="23">
        <v>5</v>
      </c>
      <c r="I1338" s="23" t="s">
        <v>1863</v>
      </c>
      <c r="J1338" t="s">
        <v>1867</v>
      </c>
      <c r="K1338">
        <v>463</v>
      </c>
      <c r="L1338">
        <v>526</v>
      </c>
      <c r="M1338" s="24">
        <v>425</v>
      </c>
      <c r="N1338" s="24">
        <v>493</v>
      </c>
      <c r="O1338" s="24">
        <v>251</v>
      </c>
      <c r="P1338" s="24">
        <v>437</v>
      </c>
      <c r="Q1338">
        <f>O1338</f>
        <v>251</v>
      </c>
      <c r="R1338">
        <v>425</v>
      </c>
      <c r="S1338">
        <v>279</v>
      </c>
      <c r="T1338">
        <v>518</v>
      </c>
      <c r="U1338">
        <v>377</v>
      </c>
      <c r="V1338">
        <v>743</v>
      </c>
      <c r="W1338">
        <v>648</v>
      </c>
      <c r="X1338">
        <v>1240</v>
      </c>
    </row>
    <row r="1339" spans="2:24" x14ac:dyDescent="0.35">
      <c r="B1339" s="46" t="s">
        <v>1820</v>
      </c>
      <c r="D1339" t="s">
        <v>1791</v>
      </c>
      <c r="E1339" t="s">
        <v>1792</v>
      </c>
      <c r="F1339" s="46" t="s">
        <v>1898</v>
      </c>
      <c r="G1339" t="s">
        <v>273</v>
      </c>
      <c r="H1339" s="23">
        <v>7</v>
      </c>
      <c r="I1339" s="23" t="s">
        <v>1895</v>
      </c>
      <c r="J1339" t="s">
        <v>1561</v>
      </c>
      <c r="K1339">
        <v>1707</v>
      </c>
      <c r="L1339">
        <v>2044</v>
      </c>
      <c r="M1339" s="24">
        <v>1717</v>
      </c>
      <c r="N1339" s="24">
        <v>2083</v>
      </c>
      <c r="O1339" s="24">
        <v>1624</v>
      </c>
      <c r="P1339" s="24">
        <v>2032</v>
      </c>
      <c r="Q1339">
        <v>1659</v>
      </c>
      <c r="R1339">
        <v>2228</v>
      </c>
      <c r="S1339">
        <v>1267</v>
      </c>
      <c r="T1339">
        <v>2625</v>
      </c>
      <c r="U1339">
        <v>1490</v>
      </c>
      <c r="V1339">
        <v>3057</v>
      </c>
      <c r="W1339">
        <v>3003</v>
      </c>
      <c r="X1339">
        <v>4748</v>
      </c>
    </row>
    <row r="1340" spans="2:24" x14ac:dyDescent="0.35">
      <c r="B1340" s="46" t="s">
        <v>1822</v>
      </c>
      <c r="D1340" t="s">
        <v>1791</v>
      </c>
      <c r="E1340" t="s">
        <v>1792</v>
      </c>
      <c r="F1340" s="46" t="s">
        <v>1850</v>
      </c>
      <c r="G1340" t="s">
        <v>255</v>
      </c>
      <c r="H1340" s="23">
        <v>4</v>
      </c>
      <c r="I1340" s="23" t="s">
        <v>1848</v>
      </c>
      <c r="J1340" t="s">
        <v>1537</v>
      </c>
      <c r="K1340">
        <v>18056</v>
      </c>
      <c r="L1340">
        <v>30994</v>
      </c>
      <c r="M1340" s="24">
        <v>16246</v>
      </c>
      <c r="N1340" s="24">
        <v>29564</v>
      </c>
      <c r="O1340" s="24">
        <v>14231</v>
      </c>
      <c r="P1340" s="24">
        <v>26705</v>
      </c>
      <c r="Q1340">
        <v>15796</v>
      </c>
      <c r="R1340">
        <v>28984</v>
      </c>
      <c r="S1340">
        <v>20546</v>
      </c>
      <c r="T1340">
        <v>36717</v>
      </c>
      <c r="U1340">
        <v>27527</v>
      </c>
      <c r="V1340">
        <v>48075</v>
      </c>
      <c r="W1340">
        <v>57007</v>
      </c>
      <c r="X1340">
        <v>79560</v>
      </c>
    </row>
    <row r="1341" spans="2:24" x14ac:dyDescent="0.35">
      <c r="B1341" s="46" t="s">
        <v>1823</v>
      </c>
      <c r="D1341" t="s">
        <v>1791</v>
      </c>
      <c r="E1341" t="s">
        <v>1792</v>
      </c>
      <c r="F1341" s="46" t="s">
        <v>1868</v>
      </c>
      <c r="G1341" t="s">
        <v>259</v>
      </c>
      <c r="H1341" s="23">
        <v>5</v>
      </c>
      <c r="I1341" s="23" t="s">
        <v>1863</v>
      </c>
      <c r="J1341" t="s">
        <v>1039</v>
      </c>
      <c r="K1341">
        <v>429</v>
      </c>
      <c r="L1341">
        <v>497</v>
      </c>
      <c r="M1341" s="24">
        <v>417</v>
      </c>
      <c r="N1341" s="24">
        <v>497</v>
      </c>
      <c r="O1341" s="24">
        <v>272</v>
      </c>
      <c r="P1341" s="24">
        <v>472</v>
      </c>
      <c r="Q1341">
        <f>O1341</f>
        <v>272</v>
      </c>
      <c r="R1341">
        <v>424</v>
      </c>
      <c r="S1341">
        <v>289</v>
      </c>
      <c r="T1341">
        <v>544</v>
      </c>
      <c r="U1341">
        <v>334</v>
      </c>
      <c r="V1341">
        <v>643</v>
      </c>
      <c r="W1341">
        <v>516</v>
      </c>
      <c r="X1341">
        <v>954</v>
      </c>
    </row>
    <row r="1342" spans="2:24" x14ac:dyDescent="0.35">
      <c r="B1342" s="46" t="s">
        <v>1824</v>
      </c>
      <c r="D1342" t="s">
        <v>1791</v>
      </c>
      <c r="E1342" t="s">
        <v>1792</v>
      </c>
      <c r="F1342" s="46" t="s">
        <v>1899</v>
      </c>
      <c r="G1342" t="s">
        <v>273</v>
      </c>
      <c r="H1342" s="23">
        <v>7</v>
      </c>
      <c r="I1342" s="23" t="s">
        <v>1895</v>
      </c>
      <c r="J1342" t="s">
        <v>349</v>
      </c>
      <c r="K1342">
        <v>561</v>
      </c>
      <c r="L1342">
        <v>671</v>
      </c>
      <c r="M1342" s="24">
        <v>556</v>
      </c>
      <c r="N1342" s="24">
        <v>689</v>
      </c>
      <c r="O1342" s="24">
        <v>507</v>
      </c>
      <c r="P1342" s="24">
        <v>668</v>
      </c>
      <c r="Q1342">
        <v>518</v>
      </c>
      <c r="R1342">
        <v>735</v>
      </c>
      <c r="S1342">
        <v>411</v>
      </c>
      <c r="T1342">
        <v>871</v>
      </c>
      <c r="U1342">
        <v>513</v>
      </c>
      <c r="V1342">
        <v>1024</v>
      </c>
      <c r="W1342">
        <v>1041</v>
      </c>
      <c r="X1342">
        <v>1660</v>
      </c>
    </row>
    <row r="1343" spans="2:24" x14ac:dyDescent="0.35">
      <c r="B1343" s="46" t="s">
        <v>1826</v>
      </c>
      <c r="D1343" t="s">
        <v>1791</v>
      </c>
      <c r="E1343" t="s">
        <v>1792</v>
      </c>
      <c r="F1343" s="46" t="s">
        <v>1917</v>
      </c>
      <c r="G1343" t="s">
        <v>279</v>
      </c>
      <c r="H1343" s="23">
        <v>8</v>
      </c>
      <c r="I1343" s="23" t="s">
        <v>1914</v>
      </c>
      <c r="J1343" t="s">
        <v>1918</v>
      </c>
      <c r="K1343">
        <v>1474</v>
      </c>
      <c r="L1343">
        <v>1831</v>
      </c>
      <c r="M1343" s="24">
        <v>1466</v>
      </c>
      <c r="N1343" s="24">
        <v>1797</v>
      </c>
      <c r="O1343" s="24">
        <v>1319</v>
      </c>
      <c r="P1343" s="24">
        <v>1738</v>
      </c>
      <c r="Q1343">
        <v>801</v>
      </c>
      <c r="R1343">
        <v>1769</v>
      </c>
      <c r="S1343">
        <v>770</v>
      </c>
      <c r="T1343">
        <v>1944</v>
      </c>
      <c r="U1343">
        <v>1017</v>
      </c>
      <c r="V1343">
        <v>2461</v>
      </c>
      <c r="W1343">
        <v>1516</v>
      </c>
      <c r="X1343">
        <v>3668</v>
      </c>
    </row>
    <row r="1344" spans="2:24" x14ac:dyDescent="0.35">
      <c r="B1344" s="46" t="s">
        <v>1827</v>
      </c>
      <c r="D1344" t="s">
        <v>1791</v>
      </c>
      <c r="E1344" t="s">
        <v>1792</v>
      </c>
      <c r="F1344" s="46" t="s">
        <v>1869</v>
      </c>
      <c r="G1344" t="s">
        <v>259</v>
      </c>
      <c r="H1344" s="23">
        <v>5</v>
      </c>
      <c r="I1344" s="23" t="s">
        <v>1863</v>
      </c>
      <c r="J1344" t="s">
        <v>1870</v>
      </c>
      <c r="K1344">
        <v>1055</v>
      </c>
      <c r="L1344">
        <v>1224</v>
      </c>
      <c r="M1344" s="24">
        <v>1003</v>
      </c>
      <c r="N1344" s="24">
        <v>1199</v>
      </c>
      <c r="O1344" s="24">
        <v>654</v>
      </c>
      <c r="P1344" s="24">
        <v>1124</v>
      </c>
      <c r="Q1344">
        <f>O1344</f>
        <v>654</v>
      </c>
      <c r="R1344">
        <v>1000</v>
      </c>
      <c r="S1344">
        <v>0</v>
      </c>
      <c r="T1344">
        <v>1226</v>
      </c>
      <c r="U1344">
        <v>773</v>
      </c>
      <c r="V1344">
        <v>1658</v>
      </c>
      <c r="W1344">
        <v>1410</v>
      </c>
      <c r="X1344">
        <v>2897</v>
      </c>
    </row>
    <row r="1345" spans="2:24" x14ac:dyDescent="0.35">
      <c r="B1345" s="46" t="s">
        <v>1828</v>
      </c>
      <c r="D1345" t="s">
        <v>1791</v>
      </c>
      <c r="E1345" t="s">
        <v>1792</v>
      </c>
      <c r="F1345" s="46" t="s">
        <v>1887</v>
      </c>
      <c r="G1345" t="s">
        <v>265</v>
      </c>
      <c r="H1345" s="23">
        <v>6</v>
      </c>
      <c r="I1345" s="23" t="s">
        <v>1888</v>
      </c>
      <c r="J1345" t="s">
        <v>353</v>
      </c>
      <c r="K1345">
        <v>1146</v>
      </c>
      <c r="L1345">
        <v>1394</v>
      </c>
      <c r="M1345" s="24">
        <v>874</v>
      </c>
      <c r="N1345" s="24">
        <v>1273</v>
      </c>
      <c r="O1345" s="24">
        <v>680</v>
      </c>
      <c r="P1345" s="24">
        <v>1113</v>
      </c>
      <c r="Q1345">
        <v>763</v>
      </c>
      <c r="R1345">
        <v>1249</v>
      </c>
      <c r="S1345">
        <v>1083</v>
      </c>
      <c r="T1345">
        <v>1703</v>
      </c>
      <c r="U1345">
        <v>1286</v>
      </c>
      <c r="V1345">
        <v>2224</v>
      </c>
      <c r="W1345">
        <v>1560</v>
      </c>
      <c r="X1345">
        <v>3415</v>
      </c>
    </row>
    <row r="1346" spans="2:24" x14ac:dyDescent="0.35">
      <c r="B1346" s="46" t="s">
        <v>1829</v>
      </c>
      <c r="D1346" t="s">
        <v>1791</v>
      </c>
      <c r="E1346" t="s">
        <v>1792</v>
      </c>
      <c r="F1346" s="46" t="s">
        <v>1900</v>
      </c>
      <c r="G1346" t="s">
        <v>273</v>
      </c>
      <c r="H1346" s="23">
        <v>7</v>
      </c>
      <c r="I1346" s="23" t="s">
        <v>1895</v>
      </c>
      <c r="J1346" t="s">
        <v>1901</v>
      </c>
      <c r="K1346">
        <v>581</v>
      </c>
      <c r="L1346">
        <v>683</v>
      </c>
      <c r="M1346" s="24">
        <v>550</v>
      </c>
      <c r="N1346" s="24">
        <v>649</v>
      </c>
      <c r="O1346" s="24">
        <v>607</v>
      </c>
      <c r="P1346" s="24">
        <v>730</v>
      </c>
      <c r="Q1346">
        <v>655</v>
      </c>
      <c r="R1346">
        <v>801</v>
      </c>
      <c r="S1346">
        <v>490</v>
      </c>
      <c r="T1346">
        <v>984</v>
      </c>
      <c r="U1346">
        <v>612</v>
      </c>
      <c r="V1346">
        <v>1208</v>
      </c>
      <c r="W1346">
        <v>1195</v>
      </c>
      <c r="X1346">
        <v>1770</v>
      </c>
    </row>
    <row r="1347" spans="2:24" x14ac:dyDescent="0.35">
      <c r="B1347" s="46" t="s">
        <v>1832</v>
      </c>
      <c r="D1347" t="s">
        <v>1791</v>
      </c>
      <c r="E1347" t="s">
        <v>1792</v>
      </c>
      <c r="F1347" s="46" t="s">
        <v>1833</v>
      </c>
      <c r="G1347" t="s">
        <v>239</v>
      </c>
      <c r="H1347" s="23">
        <v>3</v>
      </c>
      <c r="I1347" s="23" t="s">
        <v>1830</v>
      </c>
      <c r="J1347" t="s">
        <v>355</v>
      </c>
      <c r="K1347">
        <v>1066</v>
      </c>
      <c r="L1347">
        <v>1265</v>
      </c>
      <c r="M1347" s="24">
        <v>738</v>
      </c>
      <c r="N1347" s="24">
        <v>1226</v>
      </c>
      <c r="O1347" s="24">
        <v>544</v>
      </c>
      <c r="P1347" s="24">
        <v>1082</v>
      </c>
      <c r="Q1347">
        <v>478</v>
      </c>
      <c r="R1347">
        <v>1061</v>
      </c>
      <c r="S1347">
        <v>643</v>
      </c>
      <c r="T1347">
        <v>1338</v>
      </c>
      <c r="U1347">
        <v>891</v>
      </c>
      <c r="V1347">
        <v>1753</v>
      </c>
      <c r="W1347">
        <v>1152</v>
      </c>
      <c r="X1347">
        <v>2890</v>
      </c>
    </row>
    <row r="1348" spans="2:24" x14ac:dyDescent="0.35">
      <c r="B1348" s="46" t="s">
        <v>1833</v>
      </c>
      <c r="D1348" t="s">
        <v>1791</v>
      </c>
      <c r="E1348" t="s">
        <v>1792</v>
      </c>
      <c r="F1348" s="46" t="s">
        <v>1871</v>
      </c>
      <c r="G1348" t="s">
        <v>259</v>
      </c>
      <c r="H1348" s="23">
        <v>5</v>
      </c>
      <c r="I1348" s="23" t="s">
        <v>1863</v>
      </c>
      <c r="J1348" t="s">
        <v>1872</v>
      </c>
      <c r="K1348">
        <v>1313</v>
      </c>
      <c r="L1348">
        <v>1571</v>
      </c>
      <c r="M1348" s="24">
        <v>1280</v>
      </c>
      <c r="N1348" s="24">
        <v>1511</v>
      </c>
      <c r="O1348" s="24">
        <v>830</v>
      </c>
      <c r="P1348" s="24">
        <v>1436</v>
      </c>
      <c r="Q1348">
        <f>O1348</f>
        <v>830</v>
      </c>
      <c r="R1348">
        <v>1252</v>
      </c>
      <c r="S1348">
        <v>899</v>
      </c>
      <c r="T1348">
        <v>1638</v>
      </c>
      <c r="U1348">
        <v>1064</v>
      </c>
      <c r="V1348">
        <v>2053</v>
      </c>
      <c r="W1348">
        <v>1816</v>
      </c>
      <c r="X1348">
        <v>3542</v>
      </c>
    </row>
    <row r="1349" spans="2:24" x14ac:dyDescent="0.35">
      <c r="B1349" s="46" t="s">
        <v>1834</v>
      </c>
      <c r="D1349" t="s">
        <v>1791</v>
      </c>
      <c r="E1349" t="s">
        <v>1792</v>
      </c>
      <c r="F1349" s="46" t="s">
        <v>1919</v>
      </c>
      <c r="G1349" t="s">
        <v>279</v>
      </c>
      <c r="H1349" s="23">
        <v>8</v>
      </c>
      <c r="I1349" s="23" t="s">
        <v>1914</v>
      </c>
      <c r="J1349" t="s">
        <v>1920</v>
      </c>
      <c r="K1349">
        <v>870</v>
      </c>
      <c r="L1349">
        <v>1047</v>
      </c>
      <c r="M1349" s="24">
        <v>859</v>
      </c>
      <c r="N1349" s="24">
        <v>1044</v>
      </c>
      <c r="O1349" s="24">
        <v>878</v>
      </c>
      <c r="P1349" s="24">
        <v>1063</v>
      </c>
      <c r="Q1349">
        <v>462</v>
      </c>
      <c r="R1349">
        <v>1074</v>
      </c>
      <c r="S1349">
        <v>450</v>
      </c>
      <c r="T1349">
        <v>1138</v>
      </c>
      <c r="U1349">
        <v>592</v>
      </c>
      <c r="V1349">
        <v>1504</v>
      </c>
      <c r="W1349">
        <v>1108</v>
      </c>
      <c r="X1349">
        <v>2635</v>
      </c>
    </row>
    <row r="1350" spans="2:24" x14ac:dyDescent="0.35">
      <c r="B1350" s="46" t="s">
        <v>1836</v>
      </c>
      <c r="D1350" t="s">
        <v>1791</v>
      </c>
      <c r="E1350" t="s">
        <v>1792</v>
      </c>
      <c r="F1350" s="46" t="s">
        <v>1813</v>
      </c>
      <c r="G1350" t="s">
        <v>235</v>
      </c>
      <c r="H1350" s="23">
        <v>2</v>
      </c>
      <c r="I1350" s="23" t="s">
        <v>1806</v>
      </c>
      <c r="J1350" t="s">
        <v>1814</v>
      </c>
      <c r="K1350">
        <v>654</v>
      </c>
      <c r="L1350">
        <v>765</v>
      </c>
      <c r="M1350" s="24">
        <v>501</v>
      </c>
      <c r="N1350" s="24">
        <v>772</v>
      </c>
      <c r="O1350" s="24">
        <v>389</v>
      </c>
      <c r="P1350" s="24">
        <v>642</v>
      </c>
      <c r="Q1350">
        <v>407</v>
      </c>
      <c r="R1350">
        <v>708</v>
      </c>
      <c r="S1350">
        <v>669</v>
      </c>
      <c r="T1350">
        <v>1044</v>
      </c>
      <c r="U1350">
        <v>806</v>
      </c>
      <c r="V1350">
        <v>1383</v>
      </c>
      <c r="W1350">
        <v>1003</v>
      </c>
      <c r="X1350">
        <v>2046</v>
      </c>
    </row>
    <row r="1351" spans="2:24" x14ac:dyDescent="0.35">
      <c r="B1351" s="46" t="s">
        <v>1837</v>
      </c>
      <c r="D1351" t="s">
        <v>1791</v>
      </c>
      <c r="E1351" t="s">
        <v>1792</v>
      </c>
      <c r="F1351" s="46" t="s">
        <v>1795</v>
      </c>
      <c r="G1351" t="s">
        <v>231</v>
      </c>
      <c r="H1351" s="23">
        <v>1</v>
      </c>
      <c r="I1351" s="23" t="s">
        <v>1793</v>
      </c>
      <c r="J1351" t="s">
        <v>305</v>
      </c>
      <c r="K1351">
        <v>1281</v>
      </c>
      <c r="L1351">
        <v>1828</v>
      </c>
      <c r="M1351" s="24">
        <v>1129</v>
      </c>
      <c r="N1351" s="24">
        <v>1731</v>
      </c>
      <c r="O1351" s="24">
        <v>941</v>
      </c>
      <c r="P1351" s="24">
        <v>1605</v>
      </c>
      <c r="Q1351">
        <v>898</v>
      </c>
      <c r="R1351">
        <v>1673</v>
      </c>
      <c r="S1351">
        <v>1377</v>
      </c>
      <c r="T1351">
        <v>2249</v>
      </c>
      <c r="U1351">
        <v>2034</v>
      </c>
      <c r="V1351">
        <v>3088</v>
      </c>
      <c r="W1351">
        <v>3551</v>
      </c>
      <c r="X1351">
        <v>5154</v>
      </c>
    </row>
    <row r="1352" spans="2:24" x14ac:dyDescent="0.35">
      <c r="B1352" s="46" t="s">
        <v>1838</v>
      </c>
      <c r="D1352" t="s">
        <v>1791</v>
      </c>
      <c r="E1352" t="s">
        <v>1792</v>
      </c>
      <c r="F1352" s="46" t="s">
        <v>1834</v>
      </c>
      <c r="G1352" t="s">
        <v>239</v>
      </c>
      <c r="H1352" s="23">
        <v>3</v>
      </c>
      <c r="I1352" s="23" t="s">
        <v>1830</v>
      </c>
      <c r="J1352" t="s">
        <v>1835</v>
      </c>
      <c r="K1352">
        <v>460</v>
      </c>
      <c r="L1352">
        <v>525</v>
      </c>
      <c r="M1352" s="24">
        <v>325</v>
      </c>
      <c r="N1352" s="24">
        <v>518</v>
      </c>
      <c r="O1352" s="24">
        <v>207</v>
      </c>
      <c r="P1352" s="24">
        <v>396</v>
      </c>
      <c r="Q1352">
        <f>O1352</f>
        <v>207</v>
      </c>
      <c r="R1352">
        <v>416</v>
      </c>
      <c r="S1352">
        <v>284</v>
      </c>
      <c r="T1352">
        <v>570</v>
      </c>
      <c r="U1352">
        <v>463</v>
      </c>
      <c r="V1352">
        <v>858</v>
      </c>
      <c r="W1352">
        <v>562</v>
      </c>
      <c r="X1352">
        <v>1319</v>
      </c>
    </row>
    <row r="1353" spans="2:24" x14ac:dyDescent="0.35">
      <c r="B1353" s="46" t="s">
        <v>1840</v>
      </c>
      <c r="D1353" t="s">
        <v>1791</v>
      </c>
      <c r="E1353" t="s">
        <v>1792</v>
      </c>
      <c r="F1353" s="46" t="s">
        <v>1815</v>
      </c>
      <c r="G1353" t="s">
        <v>235</v>
      </c>
      <c r="H1353" s="23">
        <v>2</v>
      </c>
      <c r="I1353" s="23" t="s">
        <v>1806</v>
      </c>
      <c r="J1353" t="s">
        <v>1816</v>
      </c>
      <c r="K1353">
        <v>1558</v>
      </c>
      <c r="L1353">
        <v>1895</v>
      </c>
      <c r="M1353" s="24">
        <v>1344</v>
      </c>
      <c r="N1353" s="24">
        <v>2012</v>
      </c>
      <c r="O1353" s="24">
        <v>973</v>
      </c>
      <c r="P1353" s="24">
        <v>1726</v>
      </c>
      <c r="Q1353">
        <v>995</v>
      </c>
      <c r="R1353">
        <v>1822</v>
      </c>
      <c r="S1353">
        <v>1433</v>
      </c>
      <c r="T1353">
        <v>2396</v>
      </c>
      <c r="U1353">
        <v>1976</v>
      </c>
      <c r="V1353">
        <v>3440</v>
      </c>
      <c r="W1353">
        <v>2328</v>
      </c>
      <c r="X1353">
        <v>5386</v>
      </c>
    </row>
    <row r="1354" spans="2:24" x14ac:dyDescent="0.35">
      <c r="B1354" s="46" t="s">
        <v>1842</v>
      </c>
      <c r="D1354" t="s">
        <v>1791</v>
      </c>
      <c r="E1354" t="s">
        <v>1792</v>
      </c>
      <c r="F1354" s="46" t="s">
        <v>1836</v>
      </c>
      <c r="G1354" t="s">
        <v>239</v>
      </c>
      <c r="H1354" s="23">
        <v>3</v>
      </c>
      <c r="I1354" s="23" t="s">
        <v>1830</v>
      </c>
      <c r="J1354" t="s">
        <v>613</v>
      </c>
      <c r="K1354">
        <v>11260</v>
      </c>
      <c r="L1354">
        <v>14096</v>
      </c>
      <c r="M1354" s="24">
        <v>7877</v>
      </c>
      <c r="N1354" s="24">
        <v>13472</v>
      </c>
      <c r="O1354" s="24">
        <v>5836</v>
      </c>
      <c r="P1354" s="24">
        <v>11533</v>
      </c>
      <c r="Q1354">
        <v>6024</v>
      </c>
      <c r="R1354">
        <v>12047</v>
      </c>
      <c r="S1354">
        <v>7741</v>
      </c>
      <c r="T1354">
        <v>15128</v>
      </c>
      <c r="U1354">
        <v>9959</v>
      </c>
      <c r="V1354">
        <v>19382</v>
      </c>
      <c r="W1354">
        <v>12285</v>
      </c>
      <c r="X1354">
        <v>29414</v>
      </c>
    </row>
    <row r="1355" spans="2:24" x14ac:dyDescent="0.35">
      <c r="B1355" s="46" t="s">
        <v>1843</v>
      </c>
      <c r="D1355" t="s">
        <v>1791</v>
      </c>
      <c r="E1355" t="s">
        <v>1792</v>
      </c>
      <c r="F1355" s="46" t="s">
        <v>1796</v>
      </c>
      <c r="G1355" t="s">
        <v>231</v>
      </c>
      <c r="H1355" s="23">
        <v>1</v>
      </c>
      <c r="I1355" s="23" t="s">
        <v>1793</v>
      </c>
      <c r="J1355" t="s">
        <v>1062</v>
      </c>
      <c r="K1355">
        <v>176</v>
      </c>
      <c r="L1355">
        <v>227</v>
      </c>
      <c r="M1355" s="24">
        <v>182</v>
      </c>
      <c r="N1355" s="24">
        <v>227</v>
      </c>
      <c r="O1355" s="24">
        <v>141</v>
      </c>
      <c r="P1355" s="24">
        <v>209</v>
      </c>
      <c r="Q1355">
        <v>117</v>
      </c>
      <c r="R1355">
        <v>189</v>
      </c>
      <c r="S1355">
        <v>156</v>
      </c>
      <c r="T1355">
        <v>223</v>
      </c>
      <c r="U1355">
        <v>252</v>
      </c>
      <c r="V1355">
        <v>335</v>
      </c>
      <c r="W1355">
        <v>406</v>
      </c>
      <c r="X1355">
        <v>520</v>
      </c>
    </row>
    <row r="1356" spans="2:24" x14ac:dyDescent="0.35">
      <c r="B1356" s="46" t="s">
        <v>1845</v>
      </c>
      <c r="D1356" t="s">
        <v>1791</v>
      </c>
      <c r="E1356" t="s">
        <v>1792</v>
      </c>
      <c r="F1356" s="46" t="s">
        <v>1873</v>
      </c>
      <c r="G1356" t="s">
        <v>259</v>
      </c>
      <c r="H1356" s="23">
        <v>5</v>
      </c>
      <c r="I1356" s="23" t="s">
        <v>1863</v>
      </c>
      <c r="J1356" t="s">
        <v>1874</v>
      </c>
      <c r="K1356">
        <v>716</v>
      </c>
      <c r="L1356">
        <v>817</v>
      </c>
      <c r="M1356" s="24">
        <v>684</v>
      </c>
      <c r="N1356" s="24">
        <v>786</v>
      </c>
      <c r="O1356" s="24">
        <v>404</v>
      </c>
      <c r="P1356" s="24">
        <v>696</v>
      </c>
      <c r="Q1356">
        <v>316</v>
      </c>
      <c r="R1356">
        <v>631</v>
      </c>
      <c r="S1356">
        <v>489</v>
      </c>
      <c r="T1356">
        <v>784</v>
      </c>
      <c r="U1356">
        <v>597</v>
      </c>
      <c r="V1356">
        <v>1076</v>
      </c>
      <c r="W1356">
        <v>964</v>
      </c>
      <c r="X1356">
        <v>1904</v>
      </c>
    </row>
    <row r="1357" spans="2:24" x14ac:dyDescent="0.35">
      <c r="B1357" s="46" t="s">
        <v>1847</v>
      </c>
      <c r="D1357" t="s">
        <v>1791</v>
      </c>
      <c r="E1357" t="s">
        <v>1792</v>
      </c>
      <c r="F1357" s="46" t="s">
        <v>1875</v>
      </c>
      <c r="G1357" t="s">
        <v>259</v>
      </c>
      <c r="H1357" s="23">
        <v>5</v>
      </c>
      <c r="I1357" s="23" t="s">
        <v>1863</v>
      </c>
      <c r="J1357" t="s">
        <v>1876</v>
      </c>
      <c r="K1357">
        <v>804</v>
      </c>
      <c r="L1357">
        <v>956</v>
      </c>
      <c r="M1357" s="24">
        <v>770</v>
      </c>
      <c r="N1357" s="24">
        <v>921</v>
      </c>
      <c r="O1357" s="24">
        <v>540</v>
      </c>
      <c r="P1357" s="24">
        <v>874</v>
      </c>
      <c r="Q1357">
        <v>424</v>
      </c>
      <c r="R1357">
        <v>798</v>
      </c>
      <c r="S1357">
        <v>582</v>
      </c>
      <c r="T1357">
        <v>1016</v>
      </c>
      <c r="U1357">
        <v>775</v>
      </c>
      <c r="V1357">
        <v>1404</v>
      </c>
      <c r="W1357">
        <v>1160</v>
      </c>
      <c r="X1357">
        <v>2210</v>
      </c>
    </row>
    <row r="1358" spans="2:24" x14ac:dyDescent="0.35">
      <c r="B1358" s="46" t="s">
        <v>1850</v>
      </c>
      <c r="D1358" t="s">
        <v>1791</v>
      </c>
      <c r="E1358" t="s">
        <v>1792</v>
      </c>
      <c r="F1358" s="46" t="s">
        <v>1797</v>
      </c>
      <c r="G1358" t="s">
        <v>231</v>
      </c>
      <c r="H1358" s="23">
        <v>1</v>
      </c>
      <c r="I1358" s="23" t="s">
        <v>1793</v>
      </c>
      <c r="J1358" t="s">
        <v>1798</v>
      </c>
      <c r="K1358">
        <v>988</v>
      </c>
      <c r="L1358">
        <v>1373</v>
      </c>
      <c r="M1358" s="24">
        <v>916</v>
      </c>
      <c r="N1358" s="24">
        <v>1323</v>
      </c>
      <c r="O1358" s="24">
        <v>709</v>
      </c>
      <c r="P1358" s="24">
        <v>1218</v>
      </c>
      <c r="Q1358">
        <v>620</v>
      </c>
      <c r="R1358">
        <v>1283</v>
      </c>
      <c r="S1358">
        <v>1017</v>
      </c>
      <c r="T1358">
        <v>1814</v>
      </c>
      <c r="U1358">
        <v>1753</v>
      </c>
      <c r="V1358">
        <v>2710</v>
      </c>
      <c r="W1358">
        <v>3115</v>
      </c>
      <c r="X1358">
        <v>4475</v>
      </c>
    </row>
    <row r="1359" spans="2:24" x14ac:dyDescent="0.35">
      <c r="B1359" s="46" t="s">
        <v>1851</v>
      </c>
      <c r="D1359" t="s">
        <v>1791</v>
      </c>
      <c r="E1359" t="s">
        <v>1792</v>
      </c>
      <c r="F1359" s="46" t="s">
        <v>1889</v>
      </c>
      <c r="G1359" t="s">
        <v>265</v>
      </c>
      <c r="H1359" s="23">
        <v>6</v>
      </c>
      <c r="I1359" s="23" t="s">
        <v>1888</v>
      </c>
      <c r="J1359" t="s">
        <v>1482</v>
      </c>
      <c r="K1359">
        <v>393</v>
      </c>
      <c r="L1359">
        <v>487</v>
      </c>
      <c r="M1359" s="24">
        <v>359</v>
      </c>
      <c r="N1359" s="24">
        <v>482</v>
      </c>
      <c r="O1359" s="24">
        <v>267</v>
      </c>
      <c r="P1359" s="24">
        <v>407</v>
      </c>
      <c r="Q1359">
        <v>305</v>
      </c>
      <c r="R1359">
        <v>476</v>
      </c>
      <c r="S1359">
        <v>466</v>
      </c>
      <c r="T1359">
        <v>676</v>
      </c>
      <c r="U1359">
        <v>519</v>
      </c>
      <c r="V1359">
        <v>928</v>
      </c>
      <c r="W1359">
        <v>658</v>
      </c>
      <c r="X1359">
        <v>1681</v>
      </c>
    </row>
    <row r="1360" spans="2:24" x14ac:dyDescent="0.35">
      <c r="B1360" s="46" t="s">
        <v>1852</v>
      </c>
      <c r="D1360" t="s">
        <v>1791</v>
      </c>
      <c r="E1360" t="s">
        <v>1792</v>
      </c>
      <c r="F1360" s="46" t="s">
        <v>1877</v>
      </c>
      <c r="G1360" t="s">
        <v>259</v>
      </c>
      <c r="H1360" s="23">
        <v>5</v>
      </c>
      <c r="I1360" s="23" t="s">
        <v>1863</v>
      </c>
      <c r="J1360" t="s">
        <v>1484</v>
      </c>
      <c r="K1360">
        <v>978</v>
      </c>
      <c r="L1360">
        <v>1141</v>
      </c>
      <c r="M1360" s="24">
        <v>926</v>
      </c>
      <c r="N1360" s="24">
        <v>1094</v>
      </c>
      <c r="O1360" s="24">
        <v>544</v>
      </c>
      <c r="P1360" s="24">
        <v>952</v>
      </c>
      <c r="Q1360">
        <f>O1360</f>
        <v>544</v>
      </c>
      <c r="R1360">
        <v>849</v>
      </c>
      <c r="S1360">
        <v>536</v>
      </c>
      <c r="T1360">
        <v>1014</v>
      </c>
      <c r="U1360">
        <v>658</v>
      </c>
      <c r="V1360">
        <v>1291</v>
      </c>
      <c r="W1360">
        <v>1049</v>
      </c>
      <c r="X1360">
        <v>1984</v>
      </c>
    </row>
    <row r="1361" spans="2:24" x14ac:dyDescent="0.35">
      <c r="B1361" s="46" t="s">
        <v>1854</v>
      </c>
      <c r="D1361" t="s">
        <v>1791</v>
      </c>
      <c r="E1361" t="s">
        <v>1792</v>
      </c>
      <c r="F1361" s="46" t="s">
        <v>1878</v>
      </c>
      <c r="G1361" t="s">
        <v>259</v>
      </c>
      <c r="H1361" s="23">
        <v>5</v>
      </c>
      <c r="I1361" s="23" t="s">
        <v>1863</v>
      </c>
      <c r="J1361" t="s">
        <v>269</v>
      </c>
      <c r="K1361">
        <v>1020</v>
      </c>
      <c r="L1361">
        <v>1182</v>
      </c>
      <c r="M1361" s="24">
        <v>1061</v>
      </c>
      <c r="N1361" s="24">
        <v>1256</v>
      </c>
      <c r="O1361" s="24">
        <v>605</v>
      </c>
      <c r="P1361" s="24">
        <v>1149</v>
      </c>
      <c r="Q1361">
        <f>O1361</f>
        <v>605</v>
      </c>
      <c r="R1361">
        <v>1044</v>
      </c>
      <c r="S1361">
        <v>570</v>
      </c>
      <c r="T1361">
        <v>1283</v>
      </c>
      <c r="U1361">
        <v>753</v>
      </c>
      <c r="V1361">
        <v>1599</v>
      </c>
      <c r="W1361">
        <v>1248</v>
      </c>
      <c r="X1361">
        <v>2473</v>
      </c>
    </row>
    <row r="1362" spans="2:24" x14ac:dyDescent="0.35">
      <c r="B1362" s="46" t="s">
        <v>1855</v>
      </c>
      <c r="D1362" t="s">
        <v>1791</v>
      </c>
      <c r="E1362" t="s">
        <v>1792</v>
      </c>
      <c r="F1362" s="46" t="s">
        <v>1921</v>
      </c>
      <c r="G1362" t="s">
        <v>279</v>
      </c>
      <c r="H1362" s="23">
        <v>8</v>
      </c>
      <c r="I1362" s="23" t="s">
        <v>1914</v>
      </c>
      <c r="J1362" t="s">
        <v>1922</v>
      </c>
      <c r="K1362">
        <v>790</v>
      </c>
      <c r="L1362">
        <v>921</v>
      </c>
      <c r="M1362" s="24">
        <v>821</v>
      </c>
      <c r="N1362" s="24">
        <v>941</v>
      </c>
      <c r="O1362" s="24">
        <v>752</v>
      </c>
      <c r="P1362" s="24">
        <v>871</v>
      </c>
      <c r="Q1362">
        <v>453</v>
      </c>
      <c r="R1362">
        <v>869</v>
      </c>
      <c r="S1362">
        <v>388</v>
      </c>
      <c r="T1362">
        <v>887</v>
      </c>
      <c r="U1362">
        <v>502</v>
      </c>
      <c r="V1362">
        <v>1131</v>
      </c>
      <c r="W1362">
        <v>836</v>
      </c>
      <c r="X1362">
        <v>1787</v>
      </c>
    </row>
    <row r="1363" spans="2:24" x14ac:dyDescent="0.35">
      <c r="B1363" s="46" t="s">
        <v>1857</v>
      </c>
      <c r="D1363" t="s">
        <v>1791</v>
      </c>
      <c r="E1363" t="s">
        <v>1792</v>
      </c>
      <c r="F1363" s="46" t="s">
        <v>1923</v>
      </c>
      <c r="G1363" t="s">
        <v>279</v>
      </c>
      <c r="H1363" s="23">
        <v>8</v>
      </c>
      <c r="I1363" s="23" t="s">
        <v>1914</v>
      </c>
      <c r="J1363" t="s">
        <v>271</v>
      </c>
      <c r="K1363">
        <v>169</v>
      </c>
      <c r="L1363">
        <v>202</v>
      </c>
      <c r="M1363" s="24">
        <v>157</v>
      </c>
      <c r="N1363" s="24">
        <v>194</v>
      </c>
      <c r="O1363" s="24">
        <v>155</v>
      </c>
      <c r="P1363" s="24">
        <v>180</v>
      </c>
      <c r="Q1363">
        <v>90</v>
      </c>
      <c r="R1363">
        <v>175</v>
      </c>
      <c r="S1363">
        <v>112</v>
      </c>
      <c r="T1363">
        <v>195</v>
      </c>
      <c r="U1363" t="s">
        <v>1152</v>
      </c>
      <c r="V1363">
        <v>289</v>
      </c>
      <c r="W1363">
        <v>237</v>
      </c>
      <c r="X1363">
        <v>508</v>
      </c>
    </row>
    <row r="1364" spans="2:24" x14ac:dyDescent="0.35">
      <c r="B1364" s="46" t="s">
        <v>1859</v>
      </c>
      <c r="D1364" t="s">
        <v>1791</v>
      </c>
      <c r="E1364" t="s">
        <v>1792</v>
      </c>
      <c r="F1364" s="46" t="s">
        <v>1924</v>
      </c>
      <c r="G1364" t="s">
        <v>279</v>
      </c>
      <c r="H1364" s="23">
        <v>8</v>
      </c>
      <c r="I1364" s="23" t="s">
        <v>1914</v>
      </c>
      <c r="J1364" t="s">
        <v>1281</v>
      </c>
      <c r="K1364">
        <v>409</v>
      </c>
      <c r="L1364">
        <v>482</v>
      </c>
      <c r="M1364" s="24">
        <v>422</v>
      </c>
      <c r="N1364" s="24">
        <v>502</v>
      </c>
      <c r="O1364" s="24">
        <v>389</v>
      </c>
      <c r="P1364" s="24">
        <v>465</v>
      </c>
      <c r="Q1364">
        <v>255</v>
      </c>
      <c r="R1364">
        <v>477</v>
      </c>
      <c r="S1364">
        <v>301</v>
      </c>
      <c r="T1364">
        <v>554</v>
      </c>
      <c r="U1364">
        <v>380</v>
      </c>
      <c r="V1364">
        <v>720</v>
      </c>
      <c r="W1364">
        <v>543</v>
      </c>
      <c r="X1364">
        <v>1173</v>
      </c>
    </row>
    <row r="1365" spans="2:24" x14ac:dyDescent="0.35">
      <c r="B1365" s="46" t="s">
        <v>1861</v>
      </c>
      <c r="D1365" t="s">
        <v>1791</v>
      </c>
      <c r="E1365" t="s">
        <v>1792</v>
      </c>
      <c r="F1365" s="46" t="s">
        <v>1902</v>
      </c>
      <c r="G1365" t="s">
        <v>273</v>
      </c>
      <c r="H1365" s="23">
        <v>7</v>
      </c>
      <c r="I1365" s="23" t="s">
        <v>1895</v>
      </c>
      <c r="J1365" t="s">
        <v>357</v>
      </c>
      <c r="K1365">
        <v>415</v>
      </c>
      <c r="L1365">
        <v>460</v>
      </c>
      <c r="M1365" s="24">
        <v>400</v>
      </c>
      <c r="N1365" s="24">
        <v>457</v>
      </c>
      <c r="O1365" s="24">
        <v>363</v>
      </c>
      <c r="P1365" s="24">
        <v>418</v>
      </c>
      <c r="Q1365">
        <v>322</v>
      </c>
      <c r="R1365">
        <v>418</v>
      </c>
      <c r="S1365">
        <v>278</v>
      </c>
      <c r="T1365">
        <v>501</v>
      </c>
      <c r="U1365">
        <v>363</v>
      </c>
      <c r="V1365">
        <v>732</v>
      </c>
      <c r="W1365">
        <v>895</v>
      </c>
      <c r="X1365">
        <v>1327</v>
      </c>
    </row>
    <row r="1366" spans="2:24" x14ac:dyDescent="0.35">
      <c r="B1366" s="46" t="s">
        <v>1862</v>
      </c>
      <c r="D1366" t="s">
        <v>1791</v>
      </c>
      <c r="E1366" t="s">
        <v>1792</v>
      </c>
      <c r="F1366" s="46" t="s">
        <v>1817</v>
      </c>
      <c r="G1366" t="s">
        <v>235</v>
      </c>
      <c r="H1366" s="23">
        <v>2</v>
      </c>
      <c r="I1366" s="23" t="s">
        <v>1806</v>
      </c>
      <c r="J1366" t="s">
        <v>247</v>
      </c>
      <c r="K1366">
        <v>1445</v>
      </c>
      <c r="L1366">
        <v>1819</v>
      </c>
      <c r="M1366" s="24">
        <v>1139</v>
      </c>
      <c r="N1366" s="24">
        <v>1730</v>
      </c>
      <c r="O1366" s="24">
        <v>898</v>
      </c>
      <c r="P1366" s="24">
        <v>1552</v>
      </c>
      <c r="Q1366">
        <v>865</v>
      </c>
      <c r="R1366">
        <v>1575</v>
      </c>
      <c r="S1366">
        <v>1306</v>
      </c>
      <c r="T1366">
        <v>2160</v>
      </c>
      <c r="U1366">
        <v>1674</v>
      </c>
      <c r="V1366">
        <v>2967</v>
      </c>
      <c r="W1366">
        <v>1940</v>
      </c>
      <c r="X1366">
        <v>4353</v>
      </c>
    </row>
    <row r="1367" spans="2:24" x14ac:dyDescent="0.35">
      <c r="B1367" s="46" t="s">
        <v>1864</v>
      </c>
      <c r="D1367" t="s">
        <v>1791</v>
      </c>
      <c r="E1367" t="s">
        <v>1792</v>
      </c>
      <c r="F1367" s="46" t="s">
        <v>1799</v>
      </c>
      <c r="G1367" t="s">
        <v>231</v>
      </c>
      <c r="H1367" s="23">
        <v>1</v>
      </c>
      <c r="I1367" s="23" t="s">
        <v>1793</v>
      </c>
      <c r="J1367" t="s">
        <v>535</v>
      </c>
      <c r="K1367">
        <v>284</v>
      </c>
      <c r="L1367">
        <v>422</v>
      </c>
      <c r="M1367" s="24">
        <v>252</v>
      </c>
      <c r="N1367" s="24">
        <v>415</v>
      </c>
      <c r="O1367" s="24">
        <v>208</v>
      </c>
      <c r="P1367" s="24">
        <v>373</v>
      </c>
      <c r="Q1367">
        <v>213</v>
      </c>
      <c r="R1367">
        <v>378</v>
      </c>
      <c r="S1367">
        <v>352</v>
      </c>
      <c r="T1367">
        <v>540</v>
      </c>
      <c r="U1367">
        <v>481</v>
      </c>
      <c r="V1367">
        <v>723</v>
      </c>
      <c r="W1367">
        <v>891</v>
      </c>
      <c r="X1367">
        <v>1234</v>
      </c>
    </row>
    <row r="1368" spans="2:24" x14ac:dyDescent="0.35">
      <c r="B1368" s="46" t="s">
        <v>1865</v>
      </c>
      <c r="D1368" t="s">
        <v>1791</v>
      </c>
      <c r="E1368" t="s">
        <v>1792</v>
      </c>
      <c r="F1368" s="46" t="s">
        <v>1818</v>
      </c>
      <c r="G1368" t="s">
        <v>235</v>
      </c>
      <c r="H1368" s="23">
        <v>2</v>
      </c>
      <c r="I1368" s="23" t="s">
        <v>1806</v>
      </c>
      <c r="J1368" t="s">
        <v>1819</v>
      </c>
      <c r="K1368">
        <v>13215</v>
      </c>
      <c r="L1368">
        <v>17856</v>
      </c>
      <c r="M1368" s="24">
        <v>10325</v>
      </c>
      <c r="N1368" s="24">
        <v>17091</v>
      </c>
      <c r="O1368" s="24">
        <v>8119</v>
      </c>
      <c r="P1368" s="24">
        <v>15353</v>
      </c>
      <c r="Q1368">
        <v>8152</v>
      </c>
      <c r="R1368">
        <v>16176</v>
      </c>
      <c r="S1368">
        <v>11373</v>
      </c>
      <c r="T1368">
        <v>20478</v>
      </c>
      <c r="U1368">
        <v>13514</v>
      </c>
      <c r="V1368">
        <v>24183</v>
      </c>
      <c r="W1368">
        <v>15753</v>
      </c>
      <c r="X1368">
        <v>34558</v>
      </c>
    </row>
    <row r="1369" spans="2:24" x14ac:dyDescent="0.35">
      <c r="B1369" s="46" t="s">
        <v>1866</v>
      </c>
      <c r="D1369" t="s">
        <v>1791</v>
      </c>
      <c r="E1369" t="s">
        <v>1792</v>
      </c>
      <c r="F1369" s="46" t="s">
        <v>1879</v>
      </c>
      <c r="G1369" t="s">
        <v>259</v>
      </c>
      <c r="H1369" s="23">
        <v>5</v>
      </c>
      <c r="I1369" s="23" t="s">
        <v>1863</v>
      </c>
      <c r="J1369" t="s">
        <v>654</v>
      </c>
      <c r="K1369">
        <v>129</v>
      </c>
      <c r="L1369">
        <v>148</v>
      </c>
      <c r="M1369" s="24">
        <v>143</v>
      </c>
      <c r="N1369" s="24">
        <v>161</v>
      </c>
      <c r="O1369" s="24">
        <v>0</v>
      </c>
      <c r="P1369" s="24">
        <v>138</v>
      </c>
      <c r="Q1369">
        <v>0</v>
      </c>
      <c r="R1369">
        <v>123</v>
      </c>
      <c r="S1369">
        <v>0</v>
      </c>
      <c r="T1369">
        <v>174</v>
      </c>
      <c r="U1369" t="s">
        <v>1152</v>
      </c>
      <c r="V1369">
        <v>240</v>
      </c>
      <c r="W1369">
        <v>231</v>
      </c>
      <c r="X1369">
        <v>437</v>
      </c>
    </row>
    <row r="1370" spans="2:24" x14ac:dyDescent="0.35">
      <c r="B1370" s="46" t="s">
        <v>1868</v>
      </c>
      <c r="D1370" t="s">
        <v>1791</v>
      </c>
      <c r="E1370" t="s">
        <v>1792</v>
      </c>
      <c r="F1370" s="46" t="s">
        <v>1890</v>
      </c>
      <c r="G1370" t="s">
        <v>265</v>
      </c>
      <c r="H1370" s="23">
        <v>6</v>
      </c>
      <c r="I1370" s="23" t="s">
        <v>1888</v>
      </c>
      <c r="J1370" t="s">
        <v>277</v>
      </c>
      <c r="K1370">
        <v>443</v>
      </c>
      <c r="L1370">
        <v>526</v>
      </c>
      <c r="M1370" s="24">
        <v>352</v>
      </c>
      <c r="N1370" s="24">
        <v>528</v>
      </c>
      <c r="O1370" s="24">
        <v>235</v>
      </c>
      <c r="P1370" s="24">
        <v>417</v>
      </c>
      <c r="Q1370">
        <v>254</v>
      </c>
      <c r="R1370">
        <v>443</v>
      </c>
      <c r="S1370">
        <v>409</v>
      </c>
      <c r="T1370">
        <v>641</v>
      </c>
      <c r="U1370">
        <v>441</v>
      </c>
      <c r="V1370">
        <v>798</v>
      </c>
      <c r="W1370">
        <v>617</v>
      </c>
      <c r="X1370">
        <v>1587</v>
      </c>
    </row>
    <row r="1371" spans="2:24" x14ac:dyDescent="0.35">
      <c r="B1371" s="46" t="s">
        <v>1869</v>
      </c>
      <c r="D1371" t="s">
        <v>1791</v>
      </c>
      <c r="E1371" t="s">
        <v>1792</v>
      </c>
      <c r="F1371" s="46" t="s">
        <v>1925</v>
      </c>
      <c r="G1371" t="s">
        <v>279</v>
      </c>
      <c r="H1371" s="23">
        <v>8</v>
      </c>
      <c r="I1371" s="23" t="s">
        <v>1914</v>
      </c>
      <c r="J1371" t="s">
        <v>261</v>
      </c>
      <c r="K1371">
        <v>1601</v>
      </c>
      <c r="L1371">
        <v>1832</v>
      </c>
      <c r="M1371" s="24">
        <v>1546</v>
      </c>
      <c r="N1371" s="24">
        <v>1769</v>
      </c>
      <c r="O1371" s="24">
        <v>1399</v>
      </c>
      <c r="P1371" s="24">
        <v>1665</v>
      </c>
      <c r="Q1371">
        <v>649</v>
      </c>
      <c r="R1371">
        <v>1603</v>
      </c>
      <c r="S1371">
        <v>647</v>
      </c>
      <c r="T1371">
        <v>1719</v>
      </c>
      <c r="U1371">
        <v>787</v>
      </c>
      <c r="V1371">
        <v>1996</v>
      </c>
      <c r="W1371">
        <v>1194</v>
      </c>
      <c r="X1371">
        <v>2837</v>
      </c>
    </row>
    <row r="1372" spans="2:24" x14ac:dyDescent="0.35">
      <c r="B1372" s="46" t="s">
        <v>1871</v>
      </c>
      <c r="D1372" t="s">
        <v>1791</v>
      </c>
      <c r="E1372" t="s">
        <v>1792</v>
      </c>
      <c r="F1372" s="46" t="s">
        <v>1926</v>
      </c>
      <c r="G1372" t="s">
        <v>279</v>
      </c>
      <c r="H1372" s="23">
        <v>8</v>
      </c>
      <c r="I1372" s="23" t="s">
        <v>1914</v>
      </c>
      <c r="J1372" t="s">
        <v>1927</v>
      </c>
      <c r="K1372">
        <v>385</v>
      </c>
      <c r="L1372">
        <v>455</v>
      </c>
      <c r="M1372" s="24">
        <v>391</v>
      </c>
      <c r="N1372" s="24">
        <v>456</v>
      </c>
      <c r="O1372" s="24">
        <v>333</v>
      </c>
      <c r="P1372" s="24">
        <v>407</v>
      </c>
      <c r="Q1372">
        <f>O1372</f>
        <v>333</v>
      </c>
      <c r="R1372">
        <v>396</v>
      </c>
      <c r="S1372">
        <v>157</v>
      </c>
      <c r="T1372">
        <v>456</v>
      </c>
      <c r="U1372">
        <v>237</v>
      </c>
      <c r="V1372">
        <v>556</v>
      </c>
      <c r="W1372">
        <v>340</v>
      </c>
      <c r="X1372">
        <v>823</v>
      </c>
    </row>
    <row r="1373" spans="2:24" x14ac:dyDescent="0.35">
      <c r="B1373" s="46" t="s">
        <v>1873</v>
      </c>
      <c r="D1373" t="s">
        <v>1791</v>
      </c>
      <c r="E1373" t="s">
        <v>1792</v>
      </c>
      <c r="F1373" s="46" t="s">
        <v>1928</v>
      </c>
      <c r="G1373" t="s">
        <v>279</v>
      </c>
      <c r="H1373" s="23">
        <v>8</v>
      </c>
      <c r="I1373" s="23" t="s">
        <v>1914</v>
      </c>
      <c r="J1373" t="s">
        <v>494</v>
      </c>
      <c r="K1373">
        <v>1277</v>
      </c>
      <c r="L1373">
        <v>1453</v>
      </c>
      <c r="M1373" s="24">
        <v>1225</v>
      </c>
      <c r="N1373" s="24">
        <v>1415</v>
      </c>
      <c r="O1373" s="24">
        <v>1221</v>
      </c>
      <c r="P1373" s="24">
        <v>1470</v>
      </c>
      <c r="Q1373">
        <v>589</v>
      </c>
      <c r="R1373">
        <v>1481</v>
      </c>
      <c r="S1373">
        <v>535</v>
      </c>
      <c r="T1373">
        <v>1452</v>
      </c>
      <c r="U1373">
        <v>671</v>
      </c>
      <c r="V1373">
        <v>1601</v>
      </c>
      <c r="W1373">
        <v>993</v>
      </c>
      <c r="X1373">
        <v>2313</v>
      </c>
    </row>
    <row r="1374" spans="2:24" x14ac:dyDescent="0.35">
      <c r="B1374" s="46" t="s">
        <v>1875</v>
      </c>
      <c r="D1374" t="s">
        <v>1791</v>
      </c>
      <c r="E1374" t="s">
        <v>1792</v>
      </c>
      <c r="F1374" s="46" t="s">
        <v>1820</v>
      </c>
      <c r="G1374" t="s">
        <v>235</v>
      </c>
      <c r="H1374" s="23">
        <v>2</v>
      </c>
      <c r="I1374" s="23" t="s">
        <v>1806</v>
      </c>
      <c r="J1374" t="s">
        <v>1821</v>
      </c>
      <c r="K1374">
        <v>1327</v>
      </c>
      <c r="L1374">
        <v>1761</v>
      </c>
      <c r="M1374" s="24">
        <v>1011</v>
      </c>
      <c r="N1374" s="24">
        <v>1646</v>
      </c>
      <c r="O1374" s="24">
        <v>750</v>
      </c>
      <c r="P1374" s="24">
        <v>1481</v>
      </c>
      <c r="Q1374">
        <v>747</v>
      </c>
      <c r="R1374">
        <v>1551</v>
      </c>
      <c r="S1374">
        <v>1157</v>
      </c>
      <c r="T1374">
        <v>2112</v>
      </c>
      <c r="U1374">
        <v>1417</v>
      </c>
      <c r="V1374">
        <v>2734</v>
      </c>
      <c r="W1374">
        <v>1841</v>
      </c>
      <c r="X1374">
        <v>3994</v>
      </c>
    </row>
    <row r="1375" spans="2:24" x14ac:dyDescent="0.35">
      <c r="B1375" s="46" t="s">
        <v>1877</v>
      </c>
      <c r="D1375" t="s">
        <v>1791</v>
      </c>
      <c r="E1375" t="s">
        <v>1792</v>
      </c>
      <c r="F1375" s="46" t="s">
        <v>1838</v>
      </c>
      <c r="G1375" t="s">
        <v>239</v>
      </c>
      <c r="H1375" s="23">
        <v>3</v>
      </c>
      <c r="I1375" s="23" t="s">
        <v>1830</v>
      </c>
      <c r="J1375" t="s">
        <v>1839</v>
      </c>
      <c r="K1375">
        <v>1381</v>
      </c>
      <c r="L1375">
        <v>1594</v>
      </c>
      <c r="M1375" s="24">
        <v>918</v>
      </c>
      <c r="N1375" s="24">
        <v>1465</v>
      </c>
      <c r="O1375" s="24">
        <v>624</v>
      </c>
      <c r="P1375" s="24">
        <v>1204</v>
      </c>
      <c r="Q1375">
        <v>644</v>
      </c>
      <c r="R1375">
        <v>1250</v>
      </c>
      <c r="S1375">
        <v>949</v>
      </c>
      <c r="T1375">
        <v>1789</v>
      </c>
      <c r="U1375">
        <v>1350</v>
      </c>
      <c r="V1375">
        <v>2524</v>
      </c>
      <c r="W1375">
        <v>1865</v>
      </c>
      <c r="X1375">
        <v>4333</v>
      </c>
    </row>
    <row r="1376" spans="2:24" x14ac:dyDescent="0.35">
      <c r="B1376" s="46" t="s">
        <v>1878</v>
      </c>
      <c r="D1376" t="s">
        <v>1791</v>
      </c>
      <c r="E1376" t="s">
        <v>1792</v>
      </c>
      <c r="F1376" s="46" t="s">
        <v>1881</v>
      </c>
      <c r="G1376" t="s">
        <v>259</v>
      </c>
      <c r="H1376" s="23">
        <v>5</v>
      </c>
      <c r="I1376" s="23" t="s">
        <v>1863</v>
      </c>
      <c r="J1376" t="s">
        <v>1882</v>
      </c>
      <c r="K1376">
        <v>790</v>
      </c>
      <c r="L1376">
        <v>889</v>
      </c>
      <c r="M1376" s="24">
        <v>731</v>
      </c>
      <c r="N1376" s="24">
        <v>851</v>
      </c>
      <c r="O1376" s="24">
        <v>463</v>
      </c>
      <c r="P1376" s="24">
        <v>751</v>
      </c>
      <c r="Q1376">
        <v>419</v>
      </c>
      <c r="R1376">
        <v>761</v>
      </c>
      <c r="S1376">
        <v>589</v>
      </c>
      <c r="T1376">
        <v>967</v>
      </c>
      <c r="U1376">
        <v>665</v>
      </c>
      <c r="V1376">
        <v>1183</v>
      </c>
      <c r="W1376">
        <v>994</v>
      </c>
      <c r="X1376">
        <v>1867</v>
      </c>
    </row>
    <row r="1377" spans="2:24" x14ac:dyDescent="0.35">
      <c r="B1377" s="46" t="s">
        <v>1879</v>
      </c>
      <c r="D1377" t="s">
        <v>1791</v>
      </c>
      <c r="E1377" t="s">
        <v>1792</v>
      </c>
      <c r="F1377" s="46" t="s">
        <v>1903</v>
      </c>
      <c r="G1377" t="s">
        <v>273</v>
      </c>
      <c r="H1377" s="23">
        <v>7</v>
      </c>
      <c r="I1377" s="23" t="s">
        <v>1895</v>
      </c>
      <c r="J1377" t="s">
        <v>361</v>
      </c>
      <c r="K1377">
        <v>692</v>
      </c>
      <c r="L1377">
        <v>807</v>
      </c>
      <c r="M1377" s="24">
        <v>731</v>
      </c>
      <c r="N1377" s="24">
        <v>858</v>
      </c>
      <c r="O1377" s="24">
        <v>687</v>
      </c>
      <c r="P1377" s="24">
        <v>846</v>
      </c>
      <c r="Q1377">
        <v>616</v>
      </c>
      <c r="R1377">
        <v>798</v>
      </c>
      <c r="S1377">
        <v>499</v>
      </c>
      <c r="T1377">
        <v>909</v>
      </c>
      <c r="U1377">
        <v>597</v>
      </c>
      <c r="V1377">
        <v>1153</v>
      </c>
      <c r="W1377">
        <v>1348</v>
      </c>
      <c r="X1377">
        <v>1999</v>
      </c>
    </row>
    <row r="1378" spans="2:24" x14ac:dyDescent="0.35">
      <c r="B1378" s="46" t="s">
        <v>1880</v>
      </c>
      <c r="D1378" t="s">
        <v>1791</v>
      </c>
      <c r="E1378" t="s">
        <v>1792</v>
      </c>
      <c r="F1378" s="46" t="s">
        <v>1880</v>
      </c>
      <c r="G1378" t="s">
        <v>259</v>
      </c>
      <c r="H1378" s="23">
        <v>5</v>
      </c>
      <c r="I1378" s="23" t="s">
        <v>1863</v>
      </c>
      <c r="J1378" t="s">
        <v>287</v>
      </c>
      <c r="K1378">
        <v>2951</v>
      </c>
      <c r="L1378">
        <v>3510</v>
      </c>
      <c r="M1378" s="24">
        <v>2755</v>
      </c>
      <c r="N1378" s="24">
        <v>3357</v>
      </c>
      <c r="O1378" s="24">
        <v>1908</v>
      </c>
      <c r="P1378" s="24">
        <v>3167</v>
      </c>
      <c r="Q1378">
        <v>1469</v>
      </c>
      <c r="R1378">
        <v>2928</v>
      </c>
      <c r="S1378">
        <v>2146</v>
      </c>
      <c r="T1378">
        <v>3684</v>
      </c>
      <c r="U1378">
        <v>2461</v>
      </c>
      <c r="V1378">
        <v>4483</v>
      </c>
      <c r="W1378">
        <v>3943</v>
      </c>
      <c r="X1378">
        <v>7643</v>
      </c>
    </row>
    <row r="1379" spans="2:24" x14ac:dyDescent="0.35">
      <c r="B1379" s="46" t="s">
        <v>1881</v>
      </c>
      <c r="D1379" t="s">
        <v>1791</v>
      </c>
      <c r="E1379" t="s">
        <v>1792</v>
      </c>
      <c r="F1379" s="46" t="s">
        <v>1837</v>
      </c>
      <c r="G1379" t="s">
        <v>239</v>
      </c>
      <c r="H1379" s="23">
        <v>3</v>
      </c>
      <c r="I1379" s="23" t="s">
        <v>1830</v>
      </c>
      <c r="J1379" t="s">
        <v>365</v>
      </c>
      <c r="K1379">
        <v>732</v>
      </c>
      <c r="L1379">
        <v>868</v>
      </c>
      <c r="M1379" s="24">
        <v>532</v>
      </c>
      <c r="N1379" s="24">
        <v>835</v>
      </c>
      <c r="O1379" s="24">
        <v>414</v>
      </c>
      <c r="P1379" s="24">
        <v>737</v>
      </c>
      <c r="Q1379">
        <v>404</v>
      </c>
      <c r="R1379">
        <v>728</v>
      </c>
      <c r="S1379">
        <v>563</v>
      </c>
      <c r="T1379">
        <v>985</v>
      </c>
      <c r="U1379">
        <v>762</v>
      </c>
      <c r="V1379">
        <v>1353</v>
      </c>
      <c r="W1379">
        <v>973</v>
      </c>
      <c r="X1379">
        <v>2241</v>
      </c>
    </row>
    <row r="1380" spans="2:24" x14ac:dyDescent="0.35">
      <c r="B1380" s="46" t="s">
        <v>1883</v>
      </c>
      <c r="D1380" t="s">
        <v>1791</v>
      </c>
      <c r="E1380" t="s">
        <v>1792</v>
      </c>
      <c r="F1380" s="46" t="s">
        <v>1929</v>
      </c>
      <c r="G1380" t="s">
        <v>279</v>
      </c>
      <c r="H1380" s="23">
        <v>8</v>
      </c>
      <c r="I1380" s="23" t="s">
        <v>1914</v>
      </c>
      <c r="J1380" t="s">
        <v>367</v>
      </c>
      <c r="K1380">
        <v>747</v>
      </c>
      <c r="L1380">
        <v>902</v>
      </c>
      <c r="M1380" s="24">
        <v>735</v>
      </c>
      <c r="N1380" s="24">
        <v>932</v>
      </c>
      <c r="O1380" s="24">
        <v>695</v>
      </c>
      <c r="P1380" s="24">
        <v>890</v>
      </c>
      <c r="Q1380">
        <v>419</v>
      </c>
      <c r="R1380">
        <v>927</v>
      </c>
      <c r="S1380">
        <v>442</v>
      </c>
      <c r="T1380">
        <v>1039</v>
      </c>
      <c r="U1380">
        <v>598</v>
      </c>
      <c r="V1380">
        <v>1344</v>
      </c>
      <c r="W1380">
        <v>867</v>
      </c>
      <c r="X1380">
        <v>2028</v>
      </c>
    </row>
    <row r="1381" spans="2:24" x14ac:dyDescent="0.35">
      <c r="B1381" s="46" t="s">
        <v>1885</v>
      </c>
      <c r="D1381" t="s">
        <v>1791</v>
      </c>
      <c r="E1381" t="s">
        <v>1792</v>
      </c>
      <c r="F1381" s="46" t="s">
        <v>1930</v>
      </c>
      <c r="G1381" t="s">
        <v>279</v>
      </c>
      <c r="H1381" s="23">
        <v>8</v>
      </c>
      <c r="I1381" s="23" t="s">
        <v>1914</v>
      </c>
      <c r="J1381" t="s">
        <v>1931</v>
      </c>
      <c r="K1381">
        <v>2470</v>
      </c>
      <c r="L1381">
        <v>3123</v>
      </c>
      <c r="M1381" s="24">
        <v>2392</v>
      </c>
      <c r="N1381" s="24">
        <v>3058</v>
      </c>
      <c r="O1381" s="24">
        <v>2263</v>
      </c>
      <c r="P1381" s="24">
        <v>3006</v>
      </c>
      <c r="Q1381">
        <v>1403</v>
      </c>
      <c r="R1381">
        <v>3171</v>
      </c>
      <c r="S1381">
        <v>1502</v>
      </c>
      <c r="T1381">
        <v>3672</v>
      </c>
      <c r="U1381">
        <v>1863</v>
      </c>
      <c r="V1381">
        <v>4577</v>
      </c>
      <c r="W1381">
        <v>2631</v>
      </c>
      <c r="X1381">
        <v>6512</v>
      </c>
    </row>
    <row r="1382" spans="2:24" x14ac:dyDescent="0.35">
      <c r="B1382" s="46" t="s">
        <v>1887</v>
      </c>
      <c r="D1382" t="s">
        <v>1791</v>
      </c>
      <c r="E1382" t="s">
        <v>1792</v>
      </c>
      <c r="F1382" s="46" t="s">
        <v>1840</v>
      </c>
      <c r="G1382" t="s">
        <v>239</v>
      </c>
      <c r="H1382" s="23">
        <v>3</v>
      </c>
      <c r="I1382" s="23" t="s">
        <v>1830</v>
      </c>
      <c r="J1382" t="s">
        <v>1841</v>
      </c>
      <c r="K1382">
        <v>312</v>
      </c>
      <c r="L1382">
        <v>346</v>
      </c>
      <c r="M1382" s="24">
        <v>231</v>
      </c>
      <c r="N1382" s="24">
        <v>322</v>
      </c>
      <c r="O1382" s="24">
        <v>165</v>
      </c>
      <c r="P1382" s="24">
        <v>276</v>
      </c>
      <c r="Q1382">
        <v>154</v>
      </c>
      <c r="R1382">
        <v>271</v>
      </c>
      <c r="S1382">
        <v>191</v>
      </c>
      <c r="T1382">
        <v>360</v>
      </c>
      <c r="U1382">
        <v>232</v>
      </c>
      <c r="V1382">
        <v>446</v>
      </c>
      <c r="W1382">
        <v>383</v>
      </c>
      <c r="X1382">
        <v>881</v>
      </c>
    </row>
    <row r="1383" spans="2:24" x14ac:dyDescent="0.35">
      <c r="B1383" s="46" t="s">
        <v>1889</v>
      </c>
      <c r="D1383" t="s">
        <v>1791</v>
      </c>
      <c r="E1383" t="s">
        <v>1792</v>
      </c>
      <c r="F1383" s="46" t="s">
        <v>1822</v>
      </c>
      <c r="G1383" t="s">
        <v>235</v>
      </c>
      <c r="H1383" s="23">
        <v>2</v>
      </c>
      <c r="I1383" s="23" t="s">
        <v>1806</v>
      </c>
      <c r="J1383" t="s">
        <v>369</v>
      </c>
      <c r="K1383">
        <v>1150</v>
      </c>
      <c r="L1383">
        <v>1373</v>
      </c>
      <c r="M1383" s="24">
        <v>888</v>
      </c>
      <c r="N1383" s="24">
        <v>1345</v>
      </c>
      <c r="O1383" s="24">
        <v>717</v>
      </c>
      <c r="P1383" s="24">
        <v>1197</v>
      </c>
      <c r="Q1383">
        <v>597</v>
      </c>
      <c r="R1383">
        <v>1173</v>
      </c>
      <c r="S1383">
        <v>895</v>
      </c>
      <c r="T1383">
        <v>1540</v>
      </c>
      <c r="U1383">
        <v>1106</v>
      </c>
      <c r="V1383">
        <v>1994</v>
      </c>
      <c r="W1383">
        <v>1343</v>
      </c>
      <c r="X1383">
        <v>3131</v>
      </c>
    </row>
    <row r="1384" spans="2:24" x14ac:dyDescent="0.35">
      <c r="B1384" s="46" t="s">
        <v>1890</v>
      </c>
      <c r="D1384" t="s">
        <v>1791</v>
      </c>
      <c r="E1384" t="s">
        <v>1792</v>
      </c>
      <c r="F1384" s="46" t="s">
        <v>1851</v>
      </c>
      <c r="G1384" t="s">
        <v>255</v>
      </c>
      <c r="H1384" s="23">
        <v>4</v>
      </c>
      <c r="I1384" s="23" t="s">
        <v>1848</v>
      </c>
      <c r="J1384" t="s">
        <v>301</v>
      </c>
      <c r="K1384">
        <v>2335</v>
      </c>
      <c r="L1384">
        <v>3647</v>
      </c>
      <c r="M1384" s="24">
        <v>2124</v>
      </c>
      <c r="N1384" s="24">
        <v>3638</v>
      </c>
      <c r="O1384" s="24">
        <v>1919</v>
      </c>
      <c r="P1384" s="24">
        <v>3348</v>
      </c>
      <c r="Q1384">
        <v>2227</v>
      </c>
      <c r="R1384">
        <v>3854</v>
      </c>
      <c r="S1384">
        <v>3289</v>
      </c>
      <c r="T1384">
        <v>5503</v>
      </c>
      <c r="U1384">
        <v>3533</v>
      </c>
      <c r="V1384">
        <v>7118</v>
      </c>
      <c r="W1384">
        <v>7433</v>
      </c>
      <c r="X1384">
        <v>12281</v>
      </c>
    </row>
    <row r="1385" spans="2:24" x14ac:dyDescent="0.35">
      <c r="B1385" s="46" t="s">
        <v>1891</v>
      </c>
      <c r="D1385" t="s">
        <v>1791</v>
      </c>
      <c r="E1385" t="s">
        <v>1792</v>
      </c>
      <c r="F1385" s="46" t="s">
        <v>1932</v>
      </c>
      <c r="G1385" t="s">
        <v>279</v>
      </c>
      <c r="H1385" s="23">
        <v>8</v>
      </c>
      <c r="I1385" s="23" t="s">
        <v>1914</v>
      </c>
      <c r="J1385" t="s">
        <v>1556</v>
      </c>
      <c r="K1385">
        <v>174</v>
      </c>
      <c r="L1385">
        <v>197</v>
      </c>
      <c r="M1385" s="24">
        <v>161</v>
      </c>
      <c r="N1385" s="24">
        <v>190</v>
      </c>
      <c r="O1385" s="24">
        <v>140</v>
      </c>
      <c r="P1385" s="24">
        <v>187</v>
      </c>
      <c r="Q1385">
        <f>O1385</f>
        <v>140</v>
      </c>
      <c r="R1385">
        <v>176</v>
      </c>
      <c r="S1385">
        <v>68</v>
      </c>
      <c r="T1385">
        <v>180</v>
      </c>
      <c r="U1385" t="s">
        <v>1152</v>
      </c>
      <c r="V1385">
        <v>219</v>
      </c>
      <c r="W1385">
        <v>132</v>
      </c>
      <c r="X1385">
        <v>319</v>
      </c>
    </row>
    <row r="1386" spans="2:24" x14ac:dyDescent="0.35">
      <c r="B1386" s="46" t="s">
        <v>1892</v>
      </c>
      <c r="D1386" t="s">
        <v>1791</v>
      </c>
      <c r="E1386" t="s">
        <v>1792</v>
      </c>
      <c r="F1386" s="46" t="s">
        <v>1823</v>
      </c>
      <c r="G1386" t="s">
        <v>235</v>
      </c>
      <c r="H1386" s="23">
        <v>2</v>
      </c>
      <c r="I1386" s="23" t="s">
        <v>1806</v>
      </c>
      <c r="J1386" t="s">
        <v>263</v>
      </c>
      <c r="K1386">
        <v>328</v>
      </c>
      <c r="L1386">
        <v>415</v>
      </c>
      <c r="M1386" s="24">
        <v>290</v>
      </c>
      <c r="N1386" s="24">
        <v>412</v>
      </c>
      <c r="O1386" s="24">
        <v>187</v>
      </c>
      <c r="P1386" s="24">
        <v>309</v>
      </c>
      <c r="Q1386">
        <v>180</v>
      </c>
      <c r="R1386">
        <v>329</v>
      </c>
      <c r="S1386">
        <v>285</v>
      </c>
      <c r="T1386">
        <v>473</v>
      </c>
      <c r="U1386">
        <v>458</v>
      </c>
      <c r="V1386">
        <v>801</v>
      </c>
      <c r="W1386">
        <v>536</v>
      </c>
      <c r="X1386">
        <v>1306</v>
      </c>
    </row>
    <row r="1387" spans="2:24" x14ac:dyDescent="0.35">
      <c r="B1387" s="46" t="s">
        <v>1894</v>
      </c>
      <c r="D1387" t="s">
        <v>1791</v>
      </c>
      <c r="E1387" t="s">
        <v>1792</v>
      </c>
      <c r="F1387" s="46" t="s">
        <v>1883</v>
      </c>
      <c r="G1387" t="s">
        <v>259</v>
      </c>
      <c r="H1387" s="23">
        <v>5</v>
      </c>
      <c r="I1387" s="23" t="s">
        <v>1863</v>
      </c>
      <c r="J1387" t="s">
        <v>1884</v>
      </c>
      <c r="K1387">
        <v>783</v>
      </c>
      <c r="L1387">
        <v>903</v>
      </c>
      <c r="M1387" s="24">
        <v>732</v>
      </c>
      <c r="N1387" s="24">
        <v>842</v>
      </c>
      <c r="O1387" s="24">
        <v>444</v>
      </c>
      <c r="P1387" s="24">
        <v>723</v>
      </c>
      <c r="Q1387">
        <f>O1387</f>
        <v>444</v>
      </c>
      <c r="R1387">
        <v>634</v>
      </c>
      <c r="S1387">
        <v>0</v>
      </c>
      <c r="T1387">
        <v>911</v>
      </c>
      <c r="U1387">
        <v>563</v>
      </c>
      <c r="V1387">
        <v>1144</v>
      </c>
      <c r="W1387">
        <v>1035</v>
      </c>
      <c r="X1387">
        <v>2083</v>
      </c>
    </row>
    <row r="1388" spans="2:24" x14ac:dyDescent="0.35">
      <c r="B1388" s="46" t="s">
        <v>1897</v>
      </c>
      <c r="D1388" t="s">
        <v>1791</v>
      </c>
      <c r="E1388" t="s">
        <v>1792</v>
      </c>
      <c r="F1388" s="46" t="s">
        <v>1904</v>
      </c>
      <c r="G1388" t="s">
        <v>273</v>
      </c>
      <c r="H1388" s="23">
        <v>7</v>
      </c>
      <c r="I1388" s="23" t="s">
        <v>1895</v>
      </c>
      <c r="J1388" t="s">
        <v>1905</v>
      </c>
      <c r="K1388">
        <v>735</v>
      </c>
      <c r="L1388">
        <v>846</v>
      </c>
      <c r="M1388" s="24">
        <v>724</v>
      </c>
      <c r="N1388" s="24">
        <v>860</v>
      </c>
      <c r="O1388" s="24">
        <v>708</v>
      </c>
      <c r="P1388" s="24">
        <v>843</v>
      </c>
      <c r="Q1388">
        <v>659</v>
      </c>
      <c r="R1388">
        <v>856</v>
      </c>
      <c r="S1388">
        <v>439</v>
      </c>
      <c r="T1388">
        <v>987</v>
      </c>
      <c r="U1388">
        <v>487</v>
      </c>
      <c r="V1388">
        <v>1033</v>
      </c>
      <c r="W1388">
        <v>1071</v>
      </c>
      <c r="X1388">
        <v>1632</v>
      </c>
    </row>
    <row r="1389" spans="2:24" x14ac:dyDescent="0.35">
      <c r="B1389" s="46" t="s">
        <v>1898</v>
      </c>
      <c r="D1389" t="s">
        <v>1791</v>
      </c>
      <c r="E1389" t="s">
        <v>1792</v>
      </c>
      <c r="F1389" s="46" t="s">
        <v>1933</v>
      </c>
      <c r="G1389" t="s">
        <v>279</v>
      </c>
      <c r="H1389" s="23">
        <v>8</v>
      </c>
      <c r="I1389" s="23" t="s">
        <v>1914</v>
      </c>
      <c r="J1389" t="s">
        <v>371</v>
      </c>
      <c r="K1389">
        <v>251</v>
      </c>
      <c r="L1389">
        <v>276</v>
      </c>
      <c r="M1389" s="24">
        <v>248</v>
      </c>
      <c r="N1389" s="24">
        <v>284</v>
      </c>
      <c r="O1389" s="24">
        <v>236</v>
      </c>
      <c r="P1389" s="24">
        <v>268</v>
      </c>
      <c r="Q1389">
        <f>O1389</f>
        <v>236</v>
      </c>
      <c r="R1389">
        <v>260</v>
      </c>
      <c r="S1389">
        <v>126</v>
      </c>
      <c r="T1389">
        <v>260</v>
      </c>
      <c r="U1389">
        <v>161</v>
      </c>
      <c r="V1389">
        <v>294</v>
      </c>
      <c r="W1389">
        <v>218</v>
      </c>
      <c r="X1389">
        <v>468</v>
      </c>
    </row>
    <row r="1390" spans="2:24" x14ac:dyDescent="0.35">
      <c r="B1390" s="46" t="s">
        <v>1899</v>
      </c>
      <c r="D1390" t="s">
        <v>1791</v>
      </c>
      <c r="E1390" t="s">
        <v>1792</v>
      </c>
      <c r="F1390" s="46" t="s">
        <v>1906</v>
      </c>
      <c r="G1390" t="s">
        <v>273</v>
      </c>
      <c r="H1390" s="23">
        <v>7</v>
      </c>
      <c r="I1390" s="23" t="s">
        <v>1895</v>
      </c>
      <c r="J1390" t="s">
        <v>1907</v>
      </c>
      <c r="K1390">
        <v>180</v>
      </c>
      <c r="L1390">
        <v>211</v>
      </c>
      <c r="M1390" s="24">
        <v>184</v>
      </c>
      <c r="N1390" s="24">
        <v>217</v>
      </c>
      <c r="O1390" s="24">
        <v>166</v>
      </c>
      <c r="P1390" s="24">
        <v>208</v>
      </c>
      <c r="Q1390">
        <v>166</v>
      </c>
      <c r="R1390">
        <v>225</v>
      </c>
      <c r="S1390">
        <v>128</v>
      </c>
      <c r="T1390">
        <v>275</v>
      </c>
      <c r="U1390">
        <v>134</v>
      </c>
      <c r="V1390">
        <v>277</v>
      </c>
      <c r="W1390">
        <v>245</v>
      </c>
      <c r="X1390">
        <v>382</v>
      </c>
    </row>
    <row r="1391" spans="2:24" x14ac:dyDescent="0.35">
      <c r="B1391" s="46" t="s">
        <v>1900</v>
      </c>
      <c r="D1391" t="s">
        <v>1791</v>
      </c>
      <c r="E1391" t="s">
        <v>1792</v>
      </c>
      <c r="F1391" s="46" t="s">
        <v>1842</v>
      </c>
      <c r="G1391" t="s">
        <v>239</v>
      </c>
      <c r="H1391" s="23">
        <v>3</v>
      </c>
      <c r="I1391" s="23" t="s">
        <v>1830</v>
      </c>
      <c r="J1391" t="s">
        <v>530</v>
      </c>
      <c r="K1391">
        <v>509</v>
      </c>
      <c r="L1391">
        <v>590</v>
      </c>
      <c r="M1391" s="24">
        <v>391</v>
      </c>
      <c r="N1391" s="24">
        <v>614</v>
      </c>
      <c r="O1391" s="24">
        <v>300</v>
      </c>
      <c r="P1391" s="24">
        <v>534</v>
      </c>
      <c r="Q1391">
        <v>310</v>
      </c>
      <c r="R1391">
        <v>530</v>
      </c>
      <c r="S1391">
        <v>399</v>
      </c>
      <c r="T1391">
        <v>661</v>
      </c>
      <c r="U1391">
        <v>500</v>
      </c>
      <c r="V1391">
        <v>876</v>
      </c>
      <c r="W1391">
        <v>646</v>
      </c>
      <c r="X1391">
        <v>1331</v>
      </c>
    </row>
    <row r="1392" spans="2:24" x14ac:dyDescent="0.35">
      <c r="B1392" s="46" t="s">
        <v>1902</v>
      </c>
      <c r="D1392" t="s">
        <v>1791</v>
      </c>
      <c r="E1392" t="s">
        <v>1792</v>
      </c>
      <c r="F1392" s="46" t="s">
        <v>1908</v>
      </c>
      <c r="G1392" t="s">
        <v>273</v>
      </c>
      <c r="H1392" s="23">
        <v>7</v>
      </c>
      <c r="I1392" s="23" t="s">
        <v>1895</v>
      </c>
      <c r="J1392" t="s">
        <v>729</v>
      </c>
      <c r="K1392">
        <v>2499</v>
      </c>
      <c r="L1392">
        <v>3045</v>
      </c>
      <c r="M1392" s="24">
        <v>2495</v>
      </c>
      <c r="N1392" s="24">
        <v>3109</v>
      </c>
      <c r="O1392" s="24">
        <v>2410</v>
      </c>
      <c r="P1392" s="24">
        <v>3114</v>
      </c>
      <c r="Q1392">
        <v>2391</v>
      </c>
      <c r="R1392">
        <v>3294</v>
      </c>
      <c r="S1392">
        <v>1631</v>
      </c>
      <c r="T1392">
        <v>3671</v>
      </c>
      <c r="U1392">
        <v>1733</v>
      </c>
      <c r="V1392">
        <v>3690</v>
      </c>
      <c r="W1392">
        <v>3155</v>
      </c>
      <c r="X1392">
        <v>5121</v>
      </c>
    </row>
    <row r="1393" spans="2:24" x14ac:dyDescent="0.35">
      <c r="B1393" s="46" t="s">
        <v>1903</v>
      </c>
      <c r="D1393" t="s">
        <v>1791</v>
      </c>
      <c r="E1393" t="s">
        <v>1792</v>
      </c>
      <c r="F1393" s="46" t="s">
        <v>1843</v>
      </c>
      <c r="G1393" t="s">
        <v>239</v>
      </c>
      <c r="H1393" s="23">
        <v>3</v>
      </c>
      <c r="I1393" s="23" t="s">
        <v>1830</v>
      </c>
      <c r="J1393" t="s">
        <v>1844</v>
      </c>
      <c r="K1393">
        <v>722</v>
      </c>
      <c r="L1393">
        <v>829</v>
      </c>
      <c r="M1393" s="24">
        <v>483</v>
      </c>
      <c r="N1393" s="24">
        <v>759</v>
      </c>
      <c r="O1393" s="24">
        <v>326</v>
      </c>
      <c r="P1393" s="24">
        <v>638</v>
      </c>
      <c r="Q1393">
        <v>332</v>
      </c>
      <c r="R1393">
        <v>658</v>
      </c>
      <c r="S1393">
        <v>465</v>
      </c>
      <c r="T1393">
        <v>854</v>
      </c>
      <c r="U1393">
        <v>632</v>
      </c>
      <c r="V1393">
        <v>1138</v>
      </c>
      <c r="W1393">
        <v>821</v>
      </c>
      <c r="X1393">
        <v>2010</v>
      </c>
    </row>
    <row r="1394" spans="2:24" x14ac:dyDescent="0.35">
      <c r="B1394" s="46" t="s">
        <v>1904</v>
      </c>
      <c r="D1394" t="s">
        <v>1791</v>
      </c>
      <c r="E1394" t="s">
        <v>1792</v>
      </c>
      <c r="F1394" s="46" t="s">
        <v>1824</v>
      </c>
      <c r="G1394" t="s">
        <v>235</v>
      </c>
      <c r="H1394" s="23">
        <v>2</v>
      </c>
      <c r="I1394" s="23" t="s">
        <v>1806</v>
      </c>
      <c r="J1394" t="s">
        <v>1825</v>
      </c>
      <c r="K1394">
        <v>1080</v>
      </c>
      <c r="L1394">
        <v>1342</v>
      </c>
      <c r="M1394" s="24">
        <v>828</v>
      </c>
      <c r="N1394" s="24">
        <v>1367</v>
      </c>
      <c r="O1394" s="24">
        <v>628</v>
      </c>
      <c r="P1394" s="24">
        <v>1188</v>
      </c>
      <c r="Q1394">
        <v>639</v>
      </c>
      <c r="R1394">
        <v>1210</v>
      </c>
      <c r="S1394">
        <v>941</v>
      </c>
      <c r="T1394">
        <v>1606</v>
      </c>
      <c r="U1394">
        <v>1142</v>
      </c>
      <c r="V1394">
        <v>1984</v>
      </c>
      <c r="W1394">
        <v>1314</v>
      </c>
      <c r="X1394">
        <v>3102</v>
      </c>
    </row>
    <row r="1395" spans="2:24" x14ac:dyDescent="0.35">
      <c r="B1395" s="46" t="s">
        <v>1906</v>
      </c>
      <c r="D1395" t="s">
        <v>1791</v>
      </c>
      <c r="E1395" t="s">
        <v>1792</v>
      </c>
      <c r="F1395" s="46" t="s">
        <v>1852</v>
      </c>
      <c r="G1395" t="s">
        <v>255</v>
      </c>
      <c r="H1395" s="23">
        <v>4</v>
      </c>
      <c r="I1395" s="23" t="s">
        <v>1848</v>
      </c>
      <c r="J1395" t="s">
        <v>1853</v>
      </c>
      <c r="K1395">
        <v>1153</v>
      </c>
      <c r="L1395">
        <v>1932</v>
      </c>
      <c r="M1395" s="24">
        <v>1025</v>
      </c>
      <c r="N1395" s="24">
        <v>1859</v>
      </c>
      <c r="O1395" s="24">
        <v>917</v>
      </c>
      <c r="P1395" s="24">
        <v>1739</v>
      </c>
      <c r="Q1395">
        <v>969</v>
      </c>
      <c r="R1395">
        <v>1776</v>
      </c>
      <c r="S1395">
        <v>1350</v>
      </c>
      <c r="T1395">
        <v>2329</v>
      </c>
      <c r="U1395">
        <v>1390</v>
      </c>
      <c r="V1395">
        <v>3041</v>
      </c>
      <c r="W1395">
        <v>2988</v>
      </c>
      <c r="X1395">
        <v>4971</v>
      </c>
    </row>
    <row r="1396" spans="2:24" x14ac:dyDescent="0.35">
      <c r="B1396" s="46" t="s">
        <v>1908</v>
      </c>
      <c r="D1396" t="s">
        <v>1791</v>
      </c>
      <c r="E1396" t="s">
        <v>1792</v>
      </c>
      <c r="F1396" s="46" t="s">
        <v>1854</v>
      </c>
      <c r="G1396" t="s">
        <v>255</v>
      </c>
      <c r="H1396" s="23">
        <v>4</v>
      </c>
      <c r="I1396" s="23" t="s">
        <v>1848</v>
      </c>
      <c r="J1396" t="s">
        <v>1493</v>
      </c>
      <c r="K1396">
        <v>5082</v>
      </c>
      <c r="L1396">
        <v>8305</v>
      </c>
      <c r="M1396" s="24">
        <v>4804</v>
      </c>
      <c r="N1396" s="24">
        <v>8282</v>
      </c>
      <c r="O1396" s="24">
        <v>4425</v>
      </c>
      <c r="P1396" s="24">
        <v>7898</v>
      </c>
      <c r="Q1396">
        <v>5361</v>
      </c>
      <c r="R1396">
        <v>9053</v>
      </c>
      <c r="S1396">
        <v>8397</v>
      </c>
      <c r="T1396">
        <v>13343</v>
      </c>
      <c r="U1396">
        <v>11366</v>
      </c>
      <c r="V1396">
        <v>17807</v>
      </c>
      <c r="W1396">
        <v>21106</v>
      </c>
      <c r="X1396">
        <v>28797</v>
      </c>
    </row>
    <row r="1397" spans="2:24" x14ac:dyDescent="0.35">
      <c r="B1397" s="46" t="s">
        <v>1909</v>
      </c>
      <c r="D1397" t="s">
        <v>1791</v>
      </c>
      <c r="E1397" t="s">
        <v>1792</v>
      </c>
      <c r="F1397" s="46" t="s">
        <v>1826</v>
      </c>
      <c r="G1397" t="s">
        <v>235</v>
      </c>
      <c r="H1397" s="23">
        <v>2</v>
      </c>
      <c r="I1397" s="23" t="s">
        <v>1806</v>
      </c>
      <c r="J1397" t="s">
        <v>528</v>
      </c>
      <c r="K1397">
        <v>471</v>
      </c>
      <c r="L1397">
        <v>590</v>
      </c>
      <c r="M1397" s="24">
        <v>414</v>
      </c>
      <c r="N1397" s="24">
        <v>618</v>
      </c>
      <c r="O1397" s="24">
        <v>286</v>
      </c>
      <c r="P1397" s="24">
        <v>520</v>
      </c>
      <c r="Q1397">
        <v>281</v>
      </c>
      <c r="R1397">
        <v>558</v>
      </c>
      <c r="S1397">
        <v>404</v>
      </c>
      <c r="T1397">
        <v>715</v>
      </c>
      <c r="U1397">
        <v>562</v>
      </c>
      <c r="V1397">
        <v>930</v>
      </c>
      <c r="W1397">
        <v>705</v>
      </c>
      <c r="X1397">
        <v>1450</v>
      </c>
    </row>
    <row r="1398" spans="2:24" x14ac:dyDescent="0.35">
      <c r="B1398" s="46" t="s">
        <v>1910</v>
      </c>
      <c r="D1398" t="s">
        <v>1791</v>
      </c>
      <c r="E1398" t="s">
        <v>1792</v>
      </c>
      <c r="F1398" s="46" t="s">
        <v>1845</v>
      </c>
      <c r="G1398" t="s">
        <v>239</v>
      </c>
      <c r="H1398" s="23">
        <v>3</v>
      </c>
      <c r="I1398" s="23" t="s">
        <v>1830</v>
      </c>
      <c r="J1398" t="s">
        <v>1846</v>
      </c>
      <c r="K1398">
        <v>482</v>
      </c>
      <c r="L1398">
        <v>571</v>
      </c>
      <c r="M1398" s="24">
        <v>288</v>
      </c>
      <c r="N1398" s="24">
        <v>484</v>
      </c>
      <c r="O1398" s="24">
        <v>0</v>
      </c>
      <c r="P1398" s="24">
        <v>440</v>
      </c>
      <c r="Q1398">
        <v>244</v>
      </c>
      <c r="R1398">
        <v>447</v>
      </c>
      <c r="S1398">
        <v>299</v>
      </c>
      <c r="T1398">
        <v>596</v>
      </c>
      <c r="U1398">
        <v>346</v>
      </c>
      <c r="V1398">
        <v>642</v>
      </c>
      <c r="W1398">
        <v>445</v>
      </c>
      <c r="X1398">
        <v>1022</v>
      </c>
    </row>
    <row r="1399" spans="2:24" x14ac:dyDescent="0.35">
      <c r="B1399" s="46" t="s">
        <v>1911</v>
      </c>
      <c r="D1399" t="s">
        <v>1791</v>
      </c>
      <c r="E1399" t="s">
        <v>1792</v>
      </c>
      <c r="F1399" s="46" t="s">
        <v>1827</v>
      </c>
      <c r="G1399" t="s">
        <v>235</v>
      </c>
      <c r="H1399" s="23">
        <v>2</v>
      </c>
      <c r="I1399" s="23" t="s">
        <v>1806</v>
      </c>
      <c r="J1399" t="s">
        <v>512</v>
      </c>
      <c r="K1399">
        <v>3956</v>
      </c>
      <c r="L1399">
        <v>4961</v>
      </c>
      <c r="M1399" s="24">
        <v>3005</v>
      </c>
      <c r="N1399" s="24">
        <v>4784</v>
      </c>
      <c r="O1399" s="24">
        <v>2287</v>
      </c>
      <c r="P1399" s="24">
        <v>4133</v>
      </c>
      <c r="Q1399">
        <v>2205</v>
      </c>
      <c r="R1399">
        <v>4314</v>
      </c>
      <c r="S1399">
        <v>3131</v>
      </c>
      <c r="T1399">
        <v>5422</v>
      </c>
      <c r="U1399">
        <v>3809</v>
      </c>
      <c r="V1399">
        <v>6414</v>
      </c>
      <c r="W1399">
        <v>4559</v>
      </c>
      <c r="X1399">
        <v>9762</v>
      </c>
    </row>
    <row r="1400" spans="2:24" x14ac:dyDescent="0.35">
      <c r="B1400" s="46" t="s">
        <v>1912</v>
      </c>
      <c r="D1400" t="s">
        <v>1791</v>
      </c>
      <c r="E1400" t="s">
        <v>1792</v>
      </c>
      <c r="F1400" s="46" t="s">
        <v>1891</v>
      </c>
      <c r="G1400" t="s">
        <v>265</v>
      </c>
      <c r="H1400" s="23">
        <v>6</v>
      </c>
      <c r="I1400" s="23" t="s">
        <v>1888</v>
      </c>
      <c r="J1400" t="s">
        <v>249</v>
      </c>
      <c r="K1400">
        <v>23186</v>
      </c>
      <c r="L1400">
        <v>30340</v>
      </c>
      <c r="M1400" s="24">
        <v>19265</v>
      </c>
      <c r="N1400" s="24">
        <v>28947</v>
      </c>
      <c r="O1400" s="24">
        <v>15095</v>
      </c>
      <c r="P1400" s="24">
        <v>24588</v>
      </c>
      <c r="Q1400">
        <v>16759</v>
      </c>
      <c r="R1400">
        <v>28095</v>
      </c>
      <c r="S1400">
        <v>25007</v>
      </c>
      <c r="T1400">
        <v>38776</v>
      </c>
      <c r="U1400">
        <v>29063</v>
      </c>
      <c r="V1400">
        <v>51244</v>
      </c>
      <c r="W1400">
        <v>58581</v>
      </c>
      <c r="X1400">
        <v>93787</v>
      </c>
    </row>
    <row r="1401" spans="2:24" x14ac:dyDescent="0.35">
      <c r="B1401" s="46" t="s">
        <v>1913</v>
      </c>
      <c r="D1401" t="s">
        <v>1791</v>
      </c>
      <c r="E1401" t="s">
        <v>1792</v>
      </c>
      <c r="F1401" s="46" t="s">
        <v>1909</v>
      </c>
      <c r="G1401" t="s">
        <v>273</v>
      </c>
      <c r="H1401" s="23">
        <v>7</v>
      </c>
      <c r="I1401" s="23" t="s">
        <v>1895</v>
      </c>
      <c r="J1401" t="s">
        <v>1319</v>
      </c>
      <c r="K1401">
        <v>556</v>
      </c>
      <c r="L1401">
        <v>656</v>
      </c>
      <c r="M1401" s="24">
        <v>530</v>
      </c>
      <c r="N1401" s="24">
        <v>645</v>
      </c>
      <c r="O1401" s="24">
        <v>496</v>
      </c>
      <c r="P1401" s="24">
        <v>634</v>
      </c>
      <c r="Q1401">
        <v>463</v>
      </c>
      <c r="R1401">
        <v>630</v>
      </c>
      <c r="S1401">
        <v>330</v>
      </c>
      <c r="T1401">
        <v>726</v>
      </c>
      <c r="U1401">
        <v>459</v>
      </c>
      <c r="V1401">
        <v>1013</v>
      </c>
      <c r="W1401">
        <v>1098</v>
      </c>
      <c r="X1401">
        <v>1743</v>
      </c>
    </row>
    <row r="1402" spans="2:24" x14ac:dyDescent="0.35">
      <c r="B1402" s="46" t="s">
        <v>1916</v>
      </c>
      <c r="D1402" t="s">
        <v>1791</v>
      </c>
      <c r="E1402" t="s">
        <v>1792</v>
      </c>
      <c r="F1402" s="46" t="s">
        <v>1934</v>
      </c>
      <c r="G1402" t="s">
        <v>279</v>
      </c>
      <c r="H1402" s="23">
        <v>8</v>
      </c>
      <c r="I1402" s="23" t="s">
        <v>1914</v>
      </c>
      <c r="J1402" t="s">
        <v>915</v>
      </c>
      <c r="K1402">
        <v>347</v>
      </c>
      <c r="L1402">
        <v>418</v>
      </c>
      <c r="M1402" s="24">
        <v>322</v>
      </c>
      <c r="N1402" s="24">
        <v>402</v>
      </c>
      <c r="O1402" s="24">
        <v>331</v>
      </c>
      <c r="P1402" s="24">
        <v>413</v>
      </c>
      <c r="Q1402">
        <v>189</v>
      </c>
      <c r="R1402">
        <v>365</v>
      </c>
      <c r="S1402">
        <v>178</v>
      </c>
      <c r="T1402">
        <v>406</v>
      </c>
      <c r="U1402">
        <v>214</v>
      </c>
      <c r="V1402">
        <v>486</v>
      </c>
      <c r="W1402">
        <v>357</v>
      </c>
      <c r="X1402">
        <v>775</v>
      </c>
    </row>
    <row r="1403" spans="2:24" x14ac:dyDescent="0.35">
      <c r="B1403" s="46" t="s">
        <v>1917</v>
      </c>
      <c r="D1403" t="s">
        <v>1791</v>
      </c>
      <c r="E1403" t="s">
        <v>1792</v>
      </c>
      <c r="F1403" s="46" t="s">
        <v>1800</v>
      </c>
      <c r="G1403" t="s">
        <v>231</v>
      </c>
      <c r="H1403" s="23">
        <v>1</v>
      </c>
      <c r="I1403" s="23" t="s">
        <v>1793</v>
      </c>
      <c r="J1403" t="s">
        <v>1801</v>
      </c>
      <c r="K1403">
        <v>3104</v>
      </c>
      <c r="L1403">
        <v>4626</v>
      </c>
      <c r="M1403" s="24">
        <v>2947</v>
      </c>
      <c r="N1403" s="24">
        <v>4540</v>
      </c>
      <c r="O1403" s="24">
        <v>2445</v>
      </c>
      <c r="P1403" s="24">
        <v>4243</v>
      </c>
      <c r="Q1403">
        <v>2253</v>
      </c>
      <c r="R1403">
        <v>4308</v>
      </c>
      <c r="S1403">
        <v>3481</v>
      </c>
      <c r="T1403">
        <v>6029</v>
      </c>
      <c r="U1403">
        <v>4617</v>
      </c>
      <c r="V1403">
        <v>7651</v>
      </c>
      <c r="W1403">
        <v>7594</v>
      </c>
      <c r="X1403">
        <v>11537</v>
      </c>
    </row>
    <row r="1404" spans="2:24" x14ac:dyDescent="0.35">
      <c r="B1404" s="46" t="s">
        <v>1919</v>
      </c>
      <c r="D1404" t="s">
        <v>1791</v>
      </c>
      <c r="E1404" t="s">
        <v>1792</v>
      </c>
      <c r="F1404" s="46" t="s">
        <v>1855</v>
      </c>
      <c r="G1404" t="s">
        <v>255</v>
      </c>
      <c r="H1404" s="23">
        <v>4</v>
      </c>
      <c r="I1404" s="23" t="s">
        <v>1848</v>
      </c>
      <c r="J1404" t="s">
        <v>1856</v>
      </c>
      <c r="K1404">
        <v>3245</v>
      </c>
      <c r="L1404">
        <v>5483</v>
      </c>
      <c r="M1404" s="24">
        <v>2908</v>
      </c>
      <c r="N1404" s="24">
        <v>5333</v>
      </c>
      <c r="O1404" s="24">
        <v>2689</v>
      </c>
      <c r="P1404" s="24">
        <v>5004</v>
      </c>
      <c r="Q1404">
        <v>2951</v>
      </c>
      <c r="R1404">
        <v>5356</v>
      </c>
      <c r="S1404">
        <v>3875</v>
      </c>
      <c r="T1404">
        <v>6965</v>
      </c>
      <c r="U1404">
        <v>3788</v>
      </c>
      <c r="V1404">
        <v>8159</v>
      </c>
      <c r="W1404">
        <v>6512</v>
      </c>
      <c r="X1404">
        <v>11757</v>
      </c>
    </row>
    <row r="1405" spans="2:24" x14ac:dyDescent="0.35">
      <c r="B1405" s="46" t="s">
        <v>1921</v>
      </c>
      <c r="D1405" t="s">
        <v>1791</v>
      </c>
      <c r="E1405" t="s">
        <v>1792</v>
      </c>
      <c r="F1405" s="46" t="s">
        <v>1892</v>
      </c>
      <c r="G1405" t="s">
        <v>265</v>
      </c>
      <c r="H1405" s="23">
        <v>6</v>
      </c>
      <c r="I1405" s="23" t="s">
        <v>1888</v>
      </c>
      <c r="J1405" t="s">
        <v>1893</v>
      </c>
      <c r="K1405">
        <v>1196</v>
      </c>
      <c r="L1405">
        <v>1465</v>
      </c>
      <c r="M1405" s="24">
        <v>1002</v>
      </c>
      <c r="N1405" s="24">
        <v>1395</v>
      </c>
      <c r="O1405" s="24">
        <v>826</v>
      </c>
      <c r="P1405" s="24">
        <v>1208</v>
      </c>
      <c r="Q1405">
        <v>880</v>
      </c>
      <c r="R1405">
        <v>1317</v>
      </c>
      <c r="S1405">
        <v>1261</v>
      </c>
      <c r="T1405">
        <v>1813</v>
      </c>
      <c r="U1405">
        <v>1361</v>
      </c>
      <c r="V1405">
        <v>2193</v>
      </c>
      <c r="W1405">
        <v>1668</v>
      </c>
      <c r="X1405">
        <v>3548</v>
      </c>
    </row>
    <row r="1406" spans="2:24" x14ac:dyDescent="0.35">
      <c r="B1406" s="46" t="s">
        <v>1923</v>
      </c>
      <c r="D1406" t="s">
        <v>1791</v>
      </c>
      <c r="E1406" t="s">
        <v>1792</v>
      </c>
      <c r="F1406" s="46" t="s">
        <v>1857</v>
      </c>
      <c r="G1406" t="s">
        <v>255</v>
      </c>
      <c r="H1406" s="23">
        <v>4</v>
      </c>
      <c r="I1406" s="23" t="s">
        <v>1848</v>
      </c>
      <c r="J1406" t="s">
        <v>1858</v>
      </c>
      <c r="K1406">
        <v>151</v>
      </c>
      <c r="L1406">
        <v>216</v>
      </c>
      <c r="M1406" s="24">
        <v>121</v>
      </c>
      <c r="N1406" s="24">
        <v>197</v>
      </c>
      <c r="O1406" s="24">
        <v>106</v>
      </c>
      <c r="P1406" s="24">
        <v>175</v>
      </c>
      <c r="Q1406">
        <v>127</v>
      </c>
      <c r="R1406">
        <v>217</v>
      </c>
      <c r="S1406">
        <v>167</v>
      </c>
      <c r="T1406">
        <v>283</v>
      </c>
      <c r="U1406">
        <v>180</v>
      </c>
      <c r="V1406">
        <v>317</v>
      </c>
      <c r="W1406">
        <v>350</v>
      </c>
      <c r="X1406">
        <v>536</v>
      </c>
    </row>
    <row r="1407" spans="2:24" x14ac:dyDescent="0.35">
      <c r="B1407" s="46" t="s">
        <v>1924</v>
      </c>
      <c r="D1407" t="s">
        <v>1791</v>
      </c>
      <c r="E1407" t="s">
        <v>1792</v>
      </c>
      <c r="F1407" s="46" t="s">
        <v>1802</v>
      </c>
      <c r="G1407" t="s">
        <v>231</v>
      </c>
      <c r="H1407" s="23">
        <v>1</v>
      </c>
      <c r="I1407" s="23" t="s">
        <v>1793</v>
      </c>
      <c r="J1407" t="s">
        <v>1803</v>
      </c>
      <c r="K1407">
        <v>376</v>
      </c>
      <c r="L1407">
        <v>495</v>
      </c>
      <c r="M1407" s="24">
        <v>326</v>
      </c>
      <c r="N1407" s="24">
        <v>475</v>
      </c>
      <c r="O1407" s="24">
        <v>291</v>
      </c>
      <c r="P1407" s="24">
        <v>434</v>
      </c>
      <c r="Q1407">
        <v>263</v>
      </c>
      <c r="R1407">
        <v>436</v>
      </c>
      <c r="S1407">
        <v>385</v>
      </c>
      <c r="T1407">
        <v>570</v>
      </c>
      <c r="U1407">
        <v>541</v>
      </c>
      <c r="V1407">
        <v>790</v>
      </c>
      <c r="W1407">
        <v>828</v>
      </c>
      <c r="X1407">
        <v>1203</v>
      </c>
    </row>
    <row r="1408" spans="2:24" x14ac:dyDescent="0.35">
      <c r="B1408" s="46" t="s">
        <v>1925</v>
      </c>
      <c r="D1408" t="s">
        <v>1791</v>
      </c>
      <c r="E1408" t="s">
        <v>1792</v>
      </c>
      <c r="F1408" s="46" t="s">
        <v>1828</v>
      </c>
      <c r="G1408" t="s">
        <v>235</v>
      </c>
      <c r="H1408" s="23">
        <v>2</v>
      </c>
      <c r="I1408" s="23" t="s">
        <v>1806</v>
      </c>
      <c r="J1408" t="s">
        <v>518</v>
      </c>
      <c r="K1408">
        <v>501</v>
      </c>
      <c r="L1408">
        <v>607</v>
      </c>
      <c r="M1408" s="24">
        <v>408</v>
      </c>
      <c r="N1408" s="24">
        <v>639</v>
      </c>
      <c r="O1408" s="24">
        <v>352</v>
      </c>
      <c r="P1408" s="24">
        <v>593</v>
      </c>
      <c r="Q1408">
        <v>296</v>
      </c>
      <c r="R1408">
        <v>535</v>
      </c>
      <c r="S1408">
        <v>454</v>
      </c>
      <c r="T1408">
        <v>729</v>
      </c>
      <c r="U1408">
        <v>576</v>
      </c>
      <c r="V1408">
        <v>914</v>
      </c>
      <c r="W1408">
        <v>661</v>
      </c>
      <c r="X1408">
        <v>1277</v>
      </c>
    </row>
    <row r="1409" spans="2:40" x14ac:dyDescent="0.35">
      <c r="B1409" s="46" t="s">
        <v>1926</v>
      </c>
      <c r="D1409" t="s">
        <v>1791</v>
      </c>
      <c r="E1409" t="s">
        <v>1792</v>
      </c>
      <c r="F1409" s="46" t="s">
        <v>1910</v>
      </c>
      <c r="G1409" t="s">
        <v>273</v>
      </c>
      <c r="H1409" s="23">
        <v>7</v>
      </c>
      <c r="I1409" s="23" t="s">
        <v>1895</v>
      </c>
      <c r="J1409" t="s">
        <v>411</v>
      </c>
      <c r="K1409">
        <v>197</v>
      </c>
      <c r="L1409">
        <v>229</v>
      </c>
      <c r="M1409" s="24">
        <v>184</v>
      </c>
      <c r="N1409" s="24">
        <v>221</v>
      </c>
      <c r="O1409" s="24">
        <v>156</v>
      </c>
      <c r="P1409" s="24">
        <v>196</v>
      </c>
      <c r="Q1409">
        <v>141</v>
      </c>
      <c r="R1409">
        <v>193</v>
      </c>
      <c r="S1409">
        <v>87</v>
      </c>
      <c r="T1409">
        <v>199</v>
      </c>
      <c r="U1409">
        <v>0</v>
      </c>
      <c r="V1409">
        <v>281</v>
      </c>
      <c r="W1409">
        <v>250</v>
      </c>
      <c r="X1409">
        <v>433</v>
      </c>
    </row>
    <row r="1410" spans="2:40" x14ac:dyDescent="0.35">
      <c r="B1410" s="46" t="s">
        <v>1928</v>
      </c>
      <c r="D1410" t="s">
        <v>1791</v>
      </c>
      <c r="E1410" t="s">
        <v>1792</v>
      </c>
      <c r="F1410" s="46" t="s">
        <v>1911</v>
      </c>
      <c r="G1410" t="s">
        <v>273</v>
      </c>
      <c r="H1410" s="23">
        <v>7</v>
      </c>
      <c r="I1410" s="23" t="s">
        <v>1895</v>
      </c>
      <c r="J1410" t="s">
        <v>873</v>
      </c>
      <c r="K1410">
        <v>1152</v>
      </c>
      <c r="L1410">
        <v>1374</v>
      </c>
      <c r="M1410" s="24">
        <v>1127</v>
      </c>
      <c r="N1410" s="24">
        <v>1389</v>
      </c>
      <c r="O1410" s="24">
        <v>1095</v>
      </c>
      <c r="P1410" s="24">
        <v>1379</v>
      </c>
      <c r="Q1410">
        <v>1010</v>
      </c>
      <c r="R1410">
        <v>1360</v>
      </c>
      <c r="S1410">
        <v>784</v>
      </c>
      <c r="T1410">
        <v>1644</v>
      </c>
      <c r="U1410">
        <v>845</v>
      </c>
      <c r="V1410">
        <v>1787</v>
      </c>
      <c r="W1410">
        <v>1829</v>
      </c>
      <c r="X1410">
        <v>2885</v>
      </c>
    </row>
    <row r="1411" spans="2:40" x14ac:dyDescent="0.35">
      <c r="B1411" s="46" t="s">
        <v>1929</v>
      </c>
      <c r="D1411" t="s">
        <v>1791</v>
      </c>
      <c r="E1411" t="s">
        <v>1792</v>
      </c>
      <c r="F1411" s="46" t="s">
        <v>1804</v>
      </c>
      <c r="G1411" t="s">
        <v>231</v>
      </c>
      <c r="H1411" s="23">
        <v>1</v>
      </c>
      <c r="I1411" s="23" t="s">
        <v>1793</v>
      </c>
      <c r="J1411" t="s">
        <v>385</v>
      </c>
      <c r="K1411">
        <v>2833</v>
      </c>
      <c r="L1411">
        <v>4282</v>
      </c>
      <c r="M1411" s="24">
        <v>2576</v>
      </c>
      <c r="N1411" s="24">
        <v>4136</v>
      </c>
      <c r="O1411" s="24">
        <v>2241</v>
      </c>
      <c r="P1411" s="24">
        <v>3973</v>
      </c>
      <c r="Q1411">
        <v>2168</v>
      </c>
      <c r="R1411">
        <v>4015</v>
      </c>
      <c r="S1411">
        <v>3128</v>
      </c>
      <c r="T1411">
        <v>5159</v>
      </c>
      <c r="U1411">
        <v>3773</v>
      </c>
      <c r="V1411">
        <v>6023</v>
      </c>
      <c r="W1411">
        <v>5763</v>
      </c>
      <c r="X1411">
        <v>8749</v>
      </c>
    </row>
    <row r="1412" spans="2:40" x14ac:dyDescent="0.35">
      <c r="B1412" s="46" t="s">
        <v>1930</v>
      </c>
      <c r="D1412" t="s">
        <v>1791</v>
      </c>
      <c r="E1412" t="s">
        <v>1792</v>
      </c>
      <c r="F1412" s="46" t="s">
        <v>1935</v>
      </c>
      <c r="G1412" t="s">
        <v>279</v>
      </c>
      <c r="H1412" s="23">
        <v>8</v>
      </c>
      <c r="I1412" s="23" t="s">
        <v>1914</v>
      </c>
      <c r="J1412" t="s">
        <v>894</v>
      </c>
      <c r="K1412">
        <v>660</v>
      </c>
      <c r="L1412">
        <v>734</v>
      </c>
      <c r="M1412" s="24">
        <v>628</v>
      </c>
      <c r="N1412" s="24">
        <v>734</v>
      </c>
      <c r="O1412" s="24">
        <v>611</v>
      </c>
      <c r="P1412" s="24">
        <v>774</v>
      </c>
      <c r="Q1412">
        <f>O1412</f>
        <v>611</v>
      </c>
      <c r="R1412">
        <v>769</v>
      </c>
      <c r="S1412">
        <v>259</v>
      </c>
      <c r="T1412">
        <v>822</v>
      </c>
      <c r="U1412">
        <v>291</v>
      </c>
      <c r="V1412">
        <v>930</v>
      </c>
      <c r="W1412">
        <v>440</v>
      </c>
      <c r="X1412">
        <v>1168</v>
      </c>
    </row>
    <row r="1413" spans="2:40" x14ac:dyDescent="0.35">
      <c r="B1413" s="46" t="s">
        <v>1932</v>
      </c>
      <c r="D1413" t="s">
        <v>1791</v>
      </c>
      <c r="E1413" t="s">
        <v>1792</v>
      </c>
      <c r="F1413" s="46" t="s">
        <v>1885</v>
      </c>
      <c r="G1413" t="s">
        <v>259</v>
      </c>
      <c r="H1413" s="23">
        <v>5</v>
      </c>
      <c r="I1413" s="23" t="s">
        <v>1863</v>
      </c>
      <c r="J1413" t="s">
        <v>1886</v>
      </c>
      <c r="K1413">
        <v>673</v>
      </c>
      <c r="L1413">
        <v>782</v>
      </c>
      <c r="M1413" s="24">
        <v>728</v>
      </c>
      <c r="N1413" s="24">
        <v>849</v>
      </c>
      <c r="O1413" s="24">
        <v>449</v>
      </c>
      <c r="P1413" s="24">
        <v>771</v>
      </c>
      <c r="Q1413">
        <f>O1413</f>
        <v>449</v>
      </c>
      <c r="R1413">
        <v>709</v>
      </c>
      <c r="S1413">
        <v>464</v>
      </c>
      <c r="T1413">
        <v>867</v>
      </c>
      <c r="U1413">
        <v>574</v>
      </c>
      <c r="V1413">
        <v>1059</v>
      </c>
      <c r="W1413">
        <v>963</v>
      </c>
      <c r="X1413">
        <v>1771</v>
      </c>
    </row>
    <row r="1414" spans="2:40" x14ac:dyDescent="0.35">
      <c r="B1414" s="46" t="s">
        <v>1933</v>
      </c>
      <c r="D1414" t="s">
        <v>1791</v>
      </c>
      <c r="E1414" t="s">
        <v>1792</v>
      </c>
      <c r="F1414" s="46" t="s">
        <v>1912</v>
      </c>
      <c r="G1414" t="s">
        <v>273</v>
      </c>
      <c r="H1414" s="23">
        <v>7</v>
      </c>
      <c r="I1414" s="23" t="s">
        <v>1895</v>
      </c>
      <c r="J1414" t="s">
        <v>417</v>
      </c>
      <c r="K1414">
        <v>984</v>
      </c>
      <c r="L1414">
        <v>1142</v>
      </c>
      <c r="M1414" s="24">
        <v>1049</v>
      </c>
      <c r="N1414" s="24">
        <v>1240</v>
      </c>
      <c r="O1414" s="24">
        <v>948</v>
      </c>
      <c r="P1414" s="24">
        <v>1190</v>
      </c>
      <c r="Q1414">
        <v>971</v>
      </c>
      <c r="R1414">
        <v>1286</v>
      </c>
      <c r="S1414">
        <v>605</v>
      </c>
      <c r="T1414">
        <v>1461</v>
      </c>
      <c r="U1414">
        <v>663</v>
      </c>
      <c r="V1414">
        <v>1494</v>
      </c>
      <c r="W1414">
        <v>1363</v>
      </c>
      <c r="X1414">
        <v>2219</v>
      </c>
    </row>
    <row r="1415" spans="2:40" x14ac:dyDescent="0.35">
      <c r="B1415" s="46" t="s">
        <v>1934</v>
      </c>
      <c r="D1415" t="s">
        <v>1791</v>
      </c>
      <c r="E1415" t="s">
        <v>1792</v>
      </c>
      <c r="F1415" s="46" t="s">
        <v>1859</v>
      </c>
      <c r="G1415" t="s">
        <v>255</v>
      </c>
      <c r="H1415" s="23">
        <v>4</v>
      </c>
      <c r="I1415" s="23" t="s">
        <v>1848</v>
      </c>
      <c r="J1415" t="s">
        <v>1860</v>
      </c>
      <c r="K1415">
        <v>4327</v>
      </c>
      <c r="L1415">
        <v>9087</v>
      </c>
      <c r="M1415" s="24">
        <v>3875</v>
      </c>
      <c r="N1415" s="24">
        <v>8542</v>
      </c>
      <c r="O1415" s="24">
        <v>3348</v>
      </c>
      <c r="P1415" s="24">
        <v>7813</v>
      </c>
      <c r="Q1415">
        <v>3850</v>
      </c>
      <c r="R1415">
        <v>8595</v>
      </c>
      <c r="S1415">
        <v>4893</v>
      </c>
      <c r="T1415">
        <v>10705</v>
      </c>
      <c r="U1415">
        <v>5067</v>
      </c>
      <c r="V1415">
        <v>11707</v>
      </c>
      <c r="W1415">
        <v>6740</v>
      </c>
      <c r="X1415">
        <v>13807</v>
      </c>
      <c r="AC1415" s="23" t="s">
        <v>2831</v>
      </c>
      <c r="AD1415" s="23" t="s">
        <v>2832</v>
      </c>
      <c r="AE1415" s="23" t="s">
        <v>2831</v>
      </c>
      <c r="AF1415" s="23" t="s">
        <v>2832</v>
      </c>
      <c r="AG1415" s="23" t="s">
        <v>2831</v>
      </c>
      <c r="AH1415" s="23" t="s">
        <v>2832</v>
      </c>
      <c r="AI1415" s="23" t="s">
        <v>2831</v>
      </c>
      <c r="AJ1415" s="23" t="s">
        <v>2832</v>
      </c>
      <c r="AK1415" s="23" t="s">
        <v>2831</v>
      </c>
      <c r="AL1415" s="23" t="s">
        <v>2832</v>
      </c>
      <c r="AM1415" s="23" t="s">
        <v>2831</v>
      </c>
      <c r="AN1415" s="23" t="s">
        <v>2832</v>
      </c>
    </row>
    <row r="1416" spans="2:40" x14ac:dyDescent="0.35">
      <c r="B1416" s="46" t="s">
        <v>1935</v>
      </c>
      <c r="D1416" t="s">
        <v>1791</v>
      </c>
      <c r="E1416" t="s">
        <v>1792</v>
      </c>
      <c r="F1416" s="46" t="s">
        <v>1861</v>
      </c>
      <c r="G1416" t="s">
        <v>255</v>
      </c>
      <c r="H1416" s="23">
        <v>4</v>
      </c>
      <c r="I1416" s="23" t="s">
        <v>1848</v>
      </c>
      <c r="J1416" t="s">
        <v>1628</v>
      </c>
      <c r="K1416">
        <v>2508</v>
      </c>
      <c r="L1416">
        <v>4329</v>
      </c>
      <c r="M1416" s="24">
        <v>2153</v>
      </c>
      <c r="N1416" s="24">
        <v>4069</v>
      </c>
      <c r="O1416" s="24">
        <v>1985</v>
      </c>
      <c r="P1416" s="24">
        <v>3794</v>
      </c>
      <c r="Q1416">
        <v>2276</v>
      </c>
      <c r="R1416">
        <v>4189</v>
      </c>
      <c r="S1416">
        <v>3039</v>
      </c>
      <c r="T1416">
        <v>5446</v>
      </c>
      <c r="U1416">
        <v>3410</v>
      </c>
      <c r="V1416">
        <v>6430</v>
      </c>
      <c r="W1416">
        <v>5481</v>
      </c>
      <c r="X1416">
        <v>9124</v>
      </c>
      <c r="AA1416" t="s">
        <v>2830</v>
      </c>
      <c r="AC1416">
        <v>2019</v>
      </c>
      <c r="AD1416">
        <v>2019</v>
      </c>
      <c r="AE1416">
        <v>2020</v>
      </c>
      <c r="AF1416">
        <v>2020</v>
      </c>
      <c r="AG1416">
        <v>2021</v>
      </c>
      <c r="AH1416">
        <v>2021</v>
      </c>
      <c r="AI1416">
        <v>2022</v>
      </c>
      <c r="AJ1416">
        <v>2022</v>
      </c>
      <c r="AK1416">
        <v>2023</v>
      </c>
      <c r="AL1416">
        <v>2023</v>
      </c>
      <c r="AM1416">
        <v>2024</v>
      </c>
      <c r="AN1416">
        <v>2024</v>
      </c>
    </row>
    <row r="1417" spans="2:40" x14ac:dyDescent="0.35">
      <c r="B1417" s="46" t="s">
        <v>1936</v>
      </c>
      <c r="D1417" t="s">
        <v>1460</v>
      </c>
      <c r="E1417" t="s">
        <v>1937</v>
      </c>
      <c r="F1417" s="46" t="s">
        <v>2326</v>
      </c>
      <c r="G1417" t="s">
        <v>603</v>
      </c>
      <c r="H1417" s="47" t="s">
        <v>2327</v>
      </c>
      <c r="I1417" s="47" t="s">
        <v>2328</v>
      </c>
      <c r="J1417" t="s">
        <v>1674</v>
      </c>
      <c r="K1417">
        <v>678</v>
      </c>
      <c r="L1417">
        <v>1185</v>
      </c>
      <c r="M1417" s="24">
        <v>705</v>
      </c>
      <c r="N1417" s="24">
        <v>1274</v>
      </c>
      <c r="O1417" s="24">
        <v>889</v>
      </c>
      <c r="P1417" s="24">
        <v>1424</v>
      </c>
      <c r="Q1417">
        <v>1652</v>
      </c>
      <c r="R1417">
        <v>2178</v>
      </c>
      <c r="S1417">
        <v>2417</v>
      </c>
      <c r="T1417">
        <v>3193</v>
      </c>
      <c r="U1417">
        <v>3974</v>
      </c>
      <c r="V1417">
        <v>5306</v>
      </c>
      <c r="W1417">
        <v>3219</v>
      </c>
      <c r="X1417">
        <v>6085</v>
      </c>
      <c r="Z1417" t="str">
        <f>IF(AA1417=AB1417,"","N")</f>
        <v/>
      </c>
      <c r="AA1417" t="s">
        <v>1674</v>
      </c>
      <c r="AB1417" t="s">
        <v>1674</v>
      </c>
      <c r="AC1417">
        <v>705</v>
      </c>
      <c r="AD1417">
        <v>1274</v>
      </c>
      <c r="AE1417">
        <v>889</v>
      </c>
      <c r="AF1417">
        <v>1424</v>
      </c>
      <c r="AG1417">
        <v>1652</v>
      </c>
      <c r="AH1417">
        <v>2178</v>
      </c>
      <c r="AI1417">
        <v>2417</v>
      </c>
      <c r="AJ1417">
        <v>3193</v>
      </c>
      <c r="AK1417">
        <v>3974</v>
      </c>
      <c r="AL1417">
        <v>5306</v>
      </c>
      <c r="AM1417">
        <v>3219</v>
      </c>
      <c r="AN1417">
        <v>6085</v>
      </c>
    </row>
    <row r="1418" spans="2:40" x14ac:dyDescent="0.35">
      <c r="B1418" s="46" t="s">
        <v>1940</v>
      </c>
      <c r="D1418" t="s">
        <v>1460</v>
      </c>
      <c r="E1418" t="s">
        <v>1937</v>
      </c>
      <c r="F1418" s="46" t="s">
        <v>2197</v>
      </c>
      <c r="G1418" t="s">
        <v>585</v>
      </c>
      <c r="H1418" s="47" t="s">
        <v>2198</v>
      </c>
      <c r="I1418" s="47" t="s">
        <v>2199</v>
      </c>
      <c r="J1418" t="s">
        <v>2200</v>
      </c>
      <c r="K1418">
        <v>191</v>
      </c>
      <c r="L1418">
        <v>385</v>
      </c>
      <c r="M1418" s="24">
        <v>148</v>
      </c>
      <c r="N1418" s="24">
        <v>388</v>
      </c>
      <c r="O1418" s="24">
        <v>142</v>
      </c>
      <c r="P1418" s="24">
        <v>361</v>
      </c>
      <c r="Q1418">
        <v>214</v>
      </c>
      <c r="R1418">
        <v>474</v>
      </c>
      <c r="S1418">
        <v>446</v>
      </c>
      <c r="T1418">
        <v>852</v>
      </c>
      <c r="U1418">
        <v>427</v>
      </c>
      <c r="V1418">
        <v>1194</v>
      </c>
      <c r="W1418">
        <v>856</v>
      </c>
      <c r="X1418">
        <v>1868</v>
      </c>
      <c r="Z1418" t="str">
        <f t="shared" ref="Z1418:Z1481" si="2">IF(AA1418=AB1418,"","N")</f>
        <v/>
      </c>
      <c r="AA1418" t="s">
        <v>2200</v>
      </c>
      <c r="AB1418" t="s">
        <v>2200</v>
      </c>
      <c r="AC1418">
        <v>148</v>
      </c>
      <c r="AD1418">
        <v>388</v>
      </c>
      <c r="AE1418">
        <v>142</v>
      </c>
      <c r="AF1418">
        <v>361</v>
      </c>
      <c r="AG1418">
        <v>214</v>
      </c>
      <c r="AH1418">
        <v>474</v>
      </c>
      <c r="AI1418">
        <v>446</v>
      </c>
      <c r="AJ1418">
        <v>852</v>
      </c>
      <c r="AK1418">
        <v>427</v>
      </c>
      <c r="AL1418">
        <v>1194</v>
      </c>
      <c r="AM1418">
        <v>856</v>
      </c>
      <c r="AN1418">
        <v>1868</v>
      </c>
    </row>
    <row r="1419" spans="2:40" x14ac:dyDescent="0.35">
      <c r="B1419" s="46" t="s">
        <v>1942</v>
      </c>
      <c r="D1419" t="s">
        <v>1460</v>
      </c>
      <c r="E1419" t="s">
        <v>1937</v>
      </c>
      <c r="F1419" s="46" t="s">
        <v>2037</v>
      </c>
      <c r="G1419" t="s">
        <v>255</v>
      </c>
      <c r="H1419" s="47" t="s">
        <v>467</v>
      </c>
      <c r="I1419" s="47" t="s">
        <v>2038</v>
      </c>
      <c r="J1419" t="s">
        <v>2039</v>
      </c>
      <c r="K1419">
        <v>2087</v>
      </c>
      <c r="L1419">
        <v>3008</v>
      </c>
      <c r="M1419" s="24">
        <v>2359</v>
      </c>
      <c r="N1419" s="24">
        <v>3328</v>
      </c>
      <c r="O1419" s="24">
        <v>2924</v>
      </c>
      <c r="P1419" s="24">
        <v>3823</v>
      </c>
      <c r="Q1419">
        <v>3756</v>
      </c>
      <c r="R1419">
        <v>4600</v>
      </c>
      <c r="S1419">
        <v>5124</v>
      </c>
      <c r="T1419">
        <v>6275</v>
      </c>
      <c r="U1419">
        <v>6223</v>
      </c>
      <c r="V1419">
        <v>8184</v>
      </c>
      <c r="W1419">
        <v>7778</v>
      </c>
      <c r="X1419">
        <v>11111</v>
      </c>
      <c r="Z1419" t="str">
        <f t="shared" si="2"/>
        <v/>
      </c>
      <c r="AA1419" t="s">
        <v>2039</v>
      </c>
      <c r="AB1419" t="s">
        <v>2039</v>
      </c>
      <c r="AC1419">
        <v>2359</v>
      </c>
      <c r="AD1419">
        <v>3328</v>
      </c>
      <c r="AE1419">
        <v>2924</v>
      </c>
      <c r="AF1419">
        <v>3823</v>
      </c>
      <c r="AG1419">
        <v>3756</v>
      </c>
      <c r="AH1419">
        <v>4600</v>
      </c>
      <c r="AI1419">
        <v>5124</v>
      </c>
      <c r="AJ1419">
        <v>6275</v>
      </c>
      <c r="AK1419">
        <v>6223</v>
      </c>
      <c r="AL1419">
        <v>8184</v>
      </c>
      <c r="AM1419">
        <v>7778</v>
      </c>
      <c r="AN1419">
        <v>11111</v>
      </c>
    </row>
    <row r="1420" spans="2:40" x14ac:dyDescent="0.35">
      <c r="B1420" s="46" t="s">
        <v>1944</v>
      </c>
      <c r="D1420" t="s">
        <v>1460</v>
      </c>
      <c r="E1420" t="s">
        <v>1937</v>
      </c>
      <c r="F1420" s="46" t="s">
        <v>2080</v>
      </c>
      <c r="G1420" t="s">
        <v>273</v>
      </c>
      <c r="H1420" s="47" t="s">
        <v>524</v>
      </c>
      <c r="I1420" s="47" t="s">
        <v>2081</v>
      </c>
      <c r="J1420" t="s">
        <v>2082</v>
      </c>
      <c r="K1420">
        <v>723</v>
      </c>
      <c r="L1420">
        <v>1157</v>
      </c>
      <c r="M1420" s="24">
        <v>597</v>
      </c>
      <c r="N1420" s="24">
        <v>1141</v>
      </c>
      <c r="O1420" s="24">
        <v>612</v>
      </c>
      <c r="P1420" s="24">
        <v>1186</v>
      </c>
      <c r="Q1420">
        <v>583</v>
      </c>
      <c r="R1420">
        <v>1201</v>
      </c>
      <c r="S1420">
        <v>917</v>
      </c>
      <c r="T1420">
        <v>1651</v>
      </c>
      <c r="U1420">
        <v>983</v>
      </c>
      <c r="V1420">
        <v>2164</v>
      </c>
      <c r="W1420">
        <v>1260</v>
      </c>
      <c r="X1420">
        <v>3385</v>
      </c>
      <c r="Z1420" t="str">
        <f t="shared" si="2"/>
        <v/>
      </c>
      <c r="AA1420" t="s">
        <v>2082</v>
      </c>
      <c r="AB1420" t="s">
        <v>2082</v>
      </c>
      <c r="AC1420">
        <v>597</v>
      </c>
      <c r="AD1420">
        <v>1141</v>
      </c>
      <c r="AE1420">
        <v>612</v>
      </c>
      <c r="AF1420">
        <v>1186</v>
      </c>
      <c r="AG1420">
        <v>583</v>
      </c>
      <c r="AH1420">
        <v>1201</v>
      </c>
      <c r="AI1420">
        <v>917</v>
      </c>
      <c r="AJ1420">
        <v>1651</v>
      </c>
      <c r="AK1420">
        <v>983</v>
      </c>
      <c r="AL1420">
        <v>2164</v>
      </c>
      <c r="AM1420">
        <v>1260</v>
      </c>
      <c r="AN1420">
        <v>3385</v>
      </c>
    </row>
    <row r="1421" spans="2:40" x14ac:dyDescent="0.35">
      <c r="B1421" s="46" t="s">
        <v>1946</v>
      </c>
      <c r="D1421" t="s">
        <v>1460</v>
      </c>
      <c r="E1421" t="s">
        <v>1937</v>
      </c>
      <c r="F1421" s="46" t="s">
        <v>2365</v>
      </c>
      <c r="G1421" t="s">
        <v>615</v>
      </c>
      <c r="H1421" s="47" t="s">
        <v>2366</v>
      </c>
      <c r="I1421" s="47" t="s">
        <v>2367</v>
      </c>
      <c r="J1421" t="s">
        <v>2368</v>
      </c>
      <c r="K1421">
        <v>118</v>
      </c>
      <c r="L1421">
        <v>223</v>
      </c>
      <c r="M1421" s="24">
        <v>134</v>
      </c>
      <c r="N1421" s="24">
        <v>274</v>
      </c>
      <c r="O1421" s="24">
        <v>179</v>
      </c>
      <c r="P1421" s="24">
        <v>309</v>
      </c>
      <c r="Q1421">
        <v>274</v>
      </c>
      <c r="R1421">
        <v>440</v>
      </c>
      <c r="S1421">
        <v>384</v>
      </c>
      <c r="T1421">
        <v>622</v>
      </c>
      <c r="U1421">
        <v>638</v>
      </c>
      <c r="V1421">
        <v>1078</v>
      </c>
      <c r="W1421">
        <v>993</v>
      </c>
      <c r="X1421">
        <v>1603</v>
      </c>
      <c r="Z1421" t="str">
        <f t="shared" si="2"/>
        <v/>
      </c>
      <c r="AA1421" t="s">
        <v>2368</v>
      </c>
      <c r="AB1421" t="s">
        <v>2368</v>
      </c>
      <c r="AC1421">
        <v>134</v>
      </c>
      <c r="AD1421">
        <v>274</v>
      </c>
      <c r="AE1421">
        <v>179</v>
      </c>
      <c r="AF1421">
        <v>309</v>
      </c>
      <c r="AG1421">
        <v>274</v>
      </c>
      <c r="AH1421">
        <v>440</v>
      </c>
      <c r="AI1421">
        <v>384</v>
      </c>
      <c r="AJ1421">
        <v>622</v>
      </c>
      <c r="AK1421">
        <v>638</v>
      </c>
      <c r="AL1421">
        <v>1078</v>
      </c>
      <c r="AM1421">
        <v>993</v>
      </c>
      <c r="AN1421">
        <v>1603</v>
      </c>
    </row>
    <row r="1422" spans="2:40" x14ac:dyDescent="0.35">
      <c r="B1422" s="46" t="s">
        <v>1948</v>
      </c>
      <c r="D1422" t="s">
        <v>1460</v>
      </c>
      <c r="E1422" t="s">
        <v>1937</v>
      </c>
      <c r="F1422" s="46" t="s">
        <v>1970</v>
      </c>
      <c r="G1422" t="s">
        <v>235</v>
      </c>
      <c r="H1422" s="47" t="s">
        <v>419</v>
      </c>
      <c r="I1422" s="47" t="s">
        <v>1971</v>
      </c>
      <c r="J1422" t="s">
        <v>1972</v>
      </c>
      <c r="K1422">
        <v>40</v>
      </c>
      <c r="L1422">
        <v>70</v>
      </c>
      <c r="M1422" s="24">
        <v>33</v>
      </c>
      <c r="N1422" s="24">
        <v>65</v>
      </c>
      <c r="O1422" s="24">
        <v>31</v>
      </c>
      <c r="P1422" s="24">
        <v>94</v>
      </c>
      <c r="Q1422">
        <v>43</v>
      </c>
      <c r="R1422">
        <v>96</v>
      </c>
      <c r="S1422">
        <v>79</v>
      </c>
      <c r="T1422">
        <v>166</v>
      </c>
      <c r="U1422">
        <v>96</v>
      </c>
      <c r="V1422">
        <v>262</v>
      </c>
      <c r="W1422">
        <v>136</v>
      </c>
      <c r="X1422">
        <v>423</v>
      </c>
      <c r="Z1422" t="str">
        <f t="shared" si="2"/>
        <v/>
      </c>
      <c r="AA1422" t="s">
        <v>1972</v>
      </c>
      <c r="AB1422" t="s">
        <v>1972</v>
      </c>
      <c r="AC1422">
        <v>33</v>
      </c>
      <c r="AD1422">
        <v>65</v>
      </c>
      <c r="AE1422">
        <v>31</v>
      </c>
      <c r="AF1422">
        <v>94</v>
      </c>
      <c r="AG1422">
        <v>43</v>
      </c>
      <c r="AH1422">
        <v>96</v>
      </c>
      <c r="AI1422">
        <v>79</v>
      </c>
      <c r="AJ1422">
        <v>166</v>
      </c>
      <c r="AK1422">
        <v>96</v>
      </c>
      <c r="AL1422">
        <v>262</v>
      </c>
      <c r="AM1422">
        <v>136</v>
      </c>
      <c r="AN1422">
        <v>423</v>
      </c>
    </row>
    <row r="1423" spans="2:40" x14ac:dyDescent="0.35">
      <c r="B1423" s="46" t="s">
        <v>1950</v>
      </c>
      <c r="D1423" t="s">
        <v>1460</v>
      </c>
      <c r="E1423" t="s">
        <v>1937</v>
      </c>
      <c r="F1423" s="46" t="s">
        <v>2256</v>
      </c>
      <c r="G1423" t="s">
        <v>592</v>
      </c>
      <c r="H1423" s="47" t="s">
        <v>2257</v>
      </c>
      <c r="I1423" s="47" t="s">
        <v>2258</v>
      </c>
      <c r="J1423" t="s">
        <v>2259</v>
      </c>
      <c r="K1423">
        <v>1223</v>
      </c>
      <c r="L1423">
        <v>1963</v>
      </c>
      <c r="M1423" s="24">
        <v>1170</v>
      </c>
      <c r="N1423" s="24">
        <v>1985</v>
      </c>
      <c r="O1423" s="24">
        <v>1340</v>
      </c>
      <c r="P1423" s="24">
        <v>2059</v>
      </c>
      <c r="Q1423">
        <v>1141</v>
      </c>
      <c r="R1423">
        <v>1949</v>
      </c>
      <c r="S1423">
        <v>1557</v>
      </c>
      <c r="T1423">
        <v>2689</v>
      </c>
      <c r="U1423">
        <v>1876</v>
      </c>
      <c r="V1423">
        <v>3665</v>
      </c>
      <c r="W1423">
        <v>2678</v>
      </c>
      <c r="X1423">
        <v>6092</v>
      </c>
      <c r="Z1423" t="str">
        <f t="shared" si="2"/>
        <v/>
      </c>
      <c r="AA1423" t="s">
        <v>2259</v>
      </c>
      <c r="AB1423" t="s">
        <v>2259</v>
      </c>
      <c r="AC1423">
        <v>1170</v>
      </c>
      <c r="AD1423">
        <v>1985</v>
      </c>
      <c r="AE1423">
        <v>1340</v>
      </c>
      <c r="AF1423">
        <v>2059</v>
      </c>
      <c r="AG1423">
        <v>1141</v>
      </c>
      <c r="AH1423">
        <v>1949</v>
      </c>
      <c r="AI1423">
        <v>1557</v>
      </c>
      <c r="AJ1423">
        <v>2689</v>
      </c>
      <c r="AK1423">
        <v>1876</v>
      </c>
      <c r="AL1423">
        <v>3665</v>
      </c>
      <c r="AM1423">
        <v>2678</v>
      </c>
      <c r="AN1423">
        <v>6092</v>
      </c>
    </row>
    <row r="1424" spans="2:40" x14ac:dyDescent="0.35">
      <c r="B1424" s="46" t="s">
        <v>1952</v>
      </c>
      <c r="D1424" t="s">
        <v>1460</v>
      </c>
      <c r="E1424" t="s">
        <v>1937</v>
      </c>
      <c r="F1424" s="46" t="s">
        <v>2409</v>
      </c>
      <c r="G1424" t="s">
        <v>623</v>
      </c>
      <c r="H1424" s="47" t="s">
        <v>2410</v>
      </c>
      <c r="I1424" s="47" t="s">
        <v>2411</v>
      </c>
      <c r="J1424" t="s">
        <v>2412</v>
      </c>
      <c r="K1424">
        <v>738</v>
      </c>
      <c r="L1424">
        <v>1225</v>
      </c>
      <c r="M1424" s="24">
        <v>762</v>
      </c>
      <c r="N1424" s="24">
        <v>1302</v>
      </c>
      <c r="O1424" s="24">
        <v>646</v>
      </c>
      <c r="P1424" s="24">
        <v>1237</v>
      </c>
      <c r="Q1424">
        <v>655</v>
      </c>
      <c r="R1424">
        <v>1246</v>
      </c>
      <c r="S1424">
        <v>1173</v>
      </c>
      <c r="T1424">
        <v>1903</v>
      </c>
      <c r="U1424">
        <v>1635</v>
      </c>
      <c r="V1424">
        <v>2766</v>
      </c>
      <c r="W1424">
        <v>2095</v>
      </c>
      <c r="X1424">
        <v>4206</v>
      </c>
      <c r="Z1424" t="str">
        <f t="shared" si="2"/>
        <v/>
      </c>
      <c r="AA1424" t="s">
        <v>2412</v>
      </c>
      <c r="AB1424" t="s">
        <v>2412</v>
      </c>
      <c r="AC1424">
        <v>762</v>
      </c>
      <c r="AD1424">
        <v>1302</v>
      </c>
      <c r="AE1424">
        <v>646</v>
      </c>
      <c r="AF1424">
        <v>1237</v>
      </c>
      <c r="AG1424">
        <v>655</v>
      </c>
      <c r="AH1424">
        <v>1246</v>
      </c>
      <c r="AI1424">
        <v>1173</v>
      </c>
      <c r="AJ1424">
        <v>1903</v>
      </c>
      <c r="AK1424">
        <v>1635</v>
      </c>
      <c r="AL1424">
        <v>2766</v>
      </c>
      <c r="AM1424">
        <v>2095</v>
      </c>
      <c r="AN1424">
        <v>4206</v>
      </c>
    </row>
    <row r="1425" spans="2:40" x14ac:dyDescent="0.35">
      <c r="B1425" s="46" t="s">
        <v>1953</v>
      </c>
      <c r="D1425" t="s">
        <v>1460</v>
      </c>
      <c r="E1425" t="s">
        <v>1937</v>
      </c>
      <c r="F1425" s="46" t="s">
        <v>2162</v>
      </c>
      <c r="G1425" t="s">
        <v>577</v>
      </c>
      <c r="H1425" s="47" t="s">
        <v>2163</v>
      </c>
      <c r="I1425" s="47" t="s">
        <v>2164</v>
      </c>
      <c r="J1425" t="s">
        <v>2165</v>
      </c>
      <c r="K1425">
        <v>165</v>
      </c>
      <c r="L1425">
        <v>294</v>
      </c>
      <c r="M1425" s="24">
        <v>166</v>
      </c>
      <c r="N1425" s="24">
        <v>307</v>
      </c>
      <c r="O1425" s="24">
        <v>177</v>
      </c>
      <c r="P1425" s="24">
        <v>314</v>
      </c>
      <c r="Q1425">
        <v>227</v>
      </c>
      <c r="R1425">
        <v>363</v>
      </c>
      <c r="S1425">
        <v>334</v>
      </c>
      <c r="T1425">
        <v>481</v>
      </c>
      <c r="U1425">
        <v>412</v>
      </c>
      <c r="V1425">
        <v>622</v>
      </c>
      <c r="W1425">
        <v>473</v>
      </c>
      <c r="X1425">
        <v>973</v>
      </c>
      <c r="Z1425" t="str">
        <f t="shared" si="2"/>
        <v/>
      </c>
      <c r="AA1425" t="s">
        <v>2165</v>
      </c>
      <c r="AB1425" t="s">
        <v>2165</v>
      </c>
      <c r="AC1425">
        <v>166</v>
      </c>
      <c r="AD1425">
        <v>307</v>
      </c>
      <c r="AE1425">
        <v>177</v>
      </c>
      <c r="AF1425">
        <v>314</v>
      </c>
      <c r="AG1425">
        <v>227</v>
      </c>
      <c r="AH1425">
        <v>363</v>
      </c>
      <c r="AI1425">
        <v>334</v>
      </c>
      <c r="AJ1425">
        <v>481</v>
      </c>
      <c r="AK1425">
        <v>412</v>
      </c>
      <c r="AL1425">
        <v>622</v>
      </c>
      <c r="AM1425">
        <v>473</v>
      </c>
      <c r="AN1425">
        <v>973</v>
      </c>
    </row>
    <row r="1426" spans="2:40" x14ac:dyDescent="0.35">
      <c r="B1426" s="46" t="s">
        <v>1955</v>
      </c>
      <c r="D1426" t="s">
        <v>1460</v>
      </c>
      <c r="E1426" t="s">
        <v>1937</v>
      </c>
      <c r="F1426" s="46" t="s">
        <v>2260</v>
      </c>
      <c r="G1426" t="s">
        <v>592</v>
      </c>
      <c r="H1426" s="47" t="s">
        <v>2257</v>
      </c>
      <c r="I1426" s="47" t="s">
        <v>2258</v>
      </c>
      <c r="J1426" t="s">
        <v>2261</v>
      </c>
      <c r="K1426">
        <v>544</v>
      </c>
      <c r="L1426">
        <v>780</v>
      </c>
      <c r="M1426" s="24">
        <v>544</v>
      </c>
      <c r="N1426" s="24">
        <v>768</v>
      </c>
      <c r="O1426" s="24">
        <v>496</v>
      </c>
      <c r="P1426" s="24">
        <v>763</v>
      </c>
      <c r="Q1426">
        <v>530</v>
      </c>
      <c r="R1426">
        <v>829</v>
      </c>
      <c r="S1426">
        <v>724</v>
      </c>
      <c r="T1426">
        <v>1159</v>
      </c>
      <c r="U1426">
        <v>680</v>
      </c>
      <c r="V1426">
        <v>1588</v>
      </c>
      <c r="W1426">
        <v>859</v>
      </c>
      <c r="X1426">
        <v>2366</v>
      </c>
      <c r="Z1426" t="str">
        <f t="shared" si="2"/>
        <v/>
      </c>
      <c r="AA1426" t="s">
        <v>2261</v>
      </c>
      <c r="AB1426" t="s">
        <v>2261</v>
      </c>
      <c r="AC1426">
        <v>544</v>
      </c>
      <c r="AD1426">
        <v>768</v>
      </c>
      <c r="AE1426">
        <v>496</v>
      </c>
      <c r="AF1426">
        <v>763</v>
      </c>
      <c r="AG1426">
        <v>530</v>
      </c>
      <c r="AH1426">
        <v>829</v>
      </c>
      <c r="AI1426">
        <v>724</v>
      </c>
      <c r="AJ1426">
        <v>1159</v>
      </c>
      <c r="AK1426">
        <v>680</v>
      </c>
      <c r="AL1426">
        <v>1588</v>
      </c>
      <c r="AM1426">
        <v>859</v>
      </c>
      <c r="AN1426">
        <v>2366</v>
      </c>
    </row>
    <row r="1427" spans="2:40" x14ac:dyDescent="0.35">
      <c r="B1427" s="46" t="s">
        <v>1956</v>
      </c>
      <c r="D1427" t="s">
        <v>1460</v>
      </c>
      <c r="E1427" t="s">
        <v>1937</v>
      </c>
      <c r="F1427" s="46" t="s">
        <v>2020</v>
      </c>
      <c r="G1427" t="s">
        <v>239</v>
      </c>
      <c r="H1427" s="47" t="s">
        <v>450</v>
      </c>
      <c r="I1427" s="47" t="s">
        <v>2021</v>
      </c>
      <c r="J1427" t="s">
        <v>2022</v>
      </c>
      <c r="K1427">
        <v>1718</v>
      </c>
      <c r="L1427">
        <v>2872</v>
      </c>
      <c r="M1427" s="24">
        <v>1556</v>
      </c>
      <c r="N1427" s="24">
        <v>2647</v>
      </c>
      <c r="O1427" s="24">
        <v>1347</v>
      </c>
      <c r="P1427" s="24">
        <v>2412</v>
      </c>
      <c r="Q1427">
        <v>1709</v>
      </c>
      <c r="R1427">
        <v>2935</v>
      </c>
      <c r="S1427">
        <v>2783</v>
      </c>
      <c r="T1427">
        <v>4829</v>
      </c>
      <c r="U1427">
        <v>2330</v>
      </c>
      <c r="V1427">
        <v>6564</v>
      </c>
      <c r="W1427" t="s">
        <v>1152</v>
      </c>
      <c r="X1427">
        <v>8965</v>
      </c>
      <c r="Z1427" t="str">
        <f t="shared" si="2"/>
        <v/>
      </c>
      <c r="AA1427" t="s">
        <v>2022</v>
      </c>
      <c r="AB1427" t="s">
        <v>2022</v>
      </c>
      <c r="AC1427">
        <v>1556</v>
      </c>
      <c r="AD1427">
        <v>2647</v>
      </c>
      <c r="AE1427">
        <v>1347</v>
      </c>
      <c r="AF1427">
        <v>2412</v>
      </c>
      <c r="AG1427">
        <v>1709</v>
      </c>
      <c r="AH1427">
        <v>2935</v>
      </c>
      <c r="AI1427">
        <v>2783</v>
      </c>
      <c r="AJ1427">
        <v>4829</v>
      </c>
      <c r="AK1427">
        <v>2330</v>
      </c>
      <c r="AL1427">
        <v>6564</v>
      </c>
      <c r="AM1427" t="s">
        <v>1152</v>
      </c>
      <c r="AN1427">
        <v>8965</v>
      </c>
    </row>
    <row r="1428" spans="2:40" x14ac:dyDescent="0.35">
      <c r="B1428" s="46" t="s">
        <v>1958</v>
      </c>
      <c r="D1428" t="s">
        <v>1460</v>
      </c>
      <c r="E1428" t="s">
        <v>1937</v>
      </c>
      <c r="F1428" s="46" t="s">
        <v>2369</v>
      </c>
      <c r="G1428" t="s">
        <v>615</v>
      </c>
      <c r="H1428" s="47" t="s">
        <v>2366</v>
      </c>
      <c r="I1428" s="47" t="s">
        <v>2367</v>
      </c>
      <c r="J1428" t="s">
        <v>2370</v>
      </c>
      <c r="K1428">
        <v>69</v>
      </c>
      <c r="L1428">
        <v>124</v>
      </c>
      <c r="M1428" s="24">
        <v>71</v>
      </c>
      <c r="N1428" s="24">
        <v>142</v>
      </c>
      <c r="O1428" s="24">
        <v>60</v>
      </c>
      <c r="P1428" s="24">
        <v>129</v>
      </c>
      <c r="Q1428">
        <v>82</v>
      </c>
      <c r="R1428">
        <v>143</v>
      </c>
      <c r="S1428">
        <v>99</v>
      </c>
      <c r="T1428">
        <v>169</v>
      </c>
      <c r="U1428">
        <v>123</v>
      </c>
      <c r="V1428">
        <v>227</v>
      </c>
      <c r="W1428">
        <v>182</v>
      </c>
      <c r="X1428">
        <v>325</v>
      </c>
      <c r="Z1428" t="str">
        <f t="shared" si="2"/>
        <v/>
      </c>
      <c r="AA1428" t="s">
        <v>2370</v>
      </c>
      <c r="AB1428" t="s">
        <v>2370</v>
      </c>
      <c r="AC1428">
        <v>71</v>
      </c>
      <c r="AD1428">
        <v>142</v>
      </c>
      <c r="AE1428">
        <v>60</v>
      </c>
      <c r="AF1428">
        <v>129</v>
      </c>
      <c r="AG1428">
        <v>82</v>
      </c>
      <c r="AH1428">
        <v>143</v>
      </c>
      <c r="AI1428">
        <v>99</v>
      </c>
      <c r="AJ1428">
        <v>169</v>
      </c>
      <c r="AK1428">
        <v>123</v>
      </c>
      <c r="AL1428">
        <v>227</v>
      </c>
      <c r="AM1428">
        <v>182</v>
      </c>
      <c r="AN1428">
        <v>325</v>
      </c>
    </row>
    <row r="1429" spans="2:40" x14ac:dyDescent="0.35">
      <c r="B1429" s="46" t="s">
        <v>1960</v>
      </c>
      <c r="D1429" t="s">
        <v>1460</v>
      </c>
      <c r="E1429" t="s">
        <v>1937</v>
      </c>
      <c r="F1429" s="46" t="s">
        <v>2083</v>
      </c>
      <c r="G1429" t="s">
        <v>273</v>
      </c>
      <c r="H1429" s="47" t="s">
        <v>524</v>
      </c>
      <c r="I1429" s="47" t="s">
        <v>2081</v>
      </c>
      <c r="J1429" t="s">
        <v>2084</v>
      </c>
      <c r="K1429">
        <v>420</v>
      </c>
      <c r="L1429">
        <v>677</v>
      </c>
      <c r="M1429" s="24">
        <v>342</v>
      </c>
      <c r="N1429" s="24">
        <v>664</v>
      </c>
      <c r="O1429" s="24">
        <v>298</v>
      </c>
      <c r="P1429" s="24">
        <v>642</v>
      </c>
      <c r="Q1429">
        <v>318</v>
      </c>
      <c r="R1429">
        <v>643</v>
      </c>
      <c r="S1429">
        <v>585</v>
      </c>
      <c r="T1429">
        <v>990</v>
      </c>
      <c r="U1429">
        <v>713</v>
      </c>
      <c r="V1429">
        <v>1452</v>
      </c>
      <c r="W1429">
        <v>775</v>
      </c>
      <c r="X1429">
        <v>2126</v>
      </c>
      <c r="Z1429" t="str">
        <f t="shared" si="2"/>
        <v/>
      </c>
      <c r="AA1429" t="s">
        <v>2084</v>
      </c>
      <c r="AB1429" t="s">
        <v>2084</v>
      </c>
      <c r="AC1429">
        <v>342</v>
      </c>
      <c r="AD1429">
        <v>664</v>
      </c>
      <c r="AE1429">
        <v>298</v>
      </c>
      <c r="AF1429">
        <v>642</v>
      </c>
      <c r="AG1429">
        <v>318</v>
      </c>
      <c r="AH1429">
        <v>643</v>
      </c>
      <c r="AI1429">
        <v>585</v>
      </c>
      <c r="AJ1429">
        <v>990</v>
      </c>
      <c r="AK1429">
        <v>713</v>
      </c>
      <c r="AL1429">
        <v>1452</v>
      </c>
      <c r="AM1429">
        <v>775</v>
      </c>
      <c r="AN1429">
        <v>2126</v>
      </c>
    </row>
    <row r="1430" spans="2:40" x14ac:dyDescent="0.35">
      <c r="B1430" s="46" t="s">
        <v>1962</v>
      </c>
      <c r="D1430" t="s">
        <v>1460</v>
      </c>
      <c r="E1430" t="s">
        <v>1937</v>
      </c>
      <c r="F1430" s="46" t="s">
        <v>2127</v>
      </c>
      <c r="G1430" t="s">
        <v>293</v>
      </c>
      <c r="H1430" s="47" t="s">
        <v>2128</v>
      </c>
      <c r="I1430" s="47" t="s">
        <v>2129</v>
      </c>
      <c r="J1430" t="s">
        <v>2130</v>
      </c>
      <c r="K1430">
        <v>3720</v>
      </c>
      <c r="L1430">
        <v>5705</v>
      </c>
      <c r="M1430" s="24">
        <v>3309</v>
      </c>
      <c r="N1430" s="24">
        <v>5714</v>
      </c>
      <c r="O1430" s="24">
        <v>3447</v>
      </c>
      <c r="P1430" s="24">
        <v>6326</v>
      </c>
      <c r="Q1430">
        <v>3880</v>
      </c>
      <c r="R1430">
        <v>7479</v>
      </c>
      <c r="S1430">
        <v>7680</v>
      </c>
      <c r="T1430">
        <v>12639</v>
      </c>
      <c r="U1430">
        <v>7959</v>
      </c>
      <c r="V1430">
        <v>17146</v>
      </c>
      <c r="W1430">
        <v>9313</v>
      </c>
      <c r="X1430">
        <v>29386</v>
      </c>
      <c r="Z1430" t="str">
        <f t="shared" si="2"/>
        <v/>
      </c>
      <c r="AA1430" t="s">
        <v>2130</v>
      </c>
      <c r="AB1430" t="s">
        <v>2130</v>
      </c>
      <c r="AC1430">
        <v>3309</v>
      </c>
      <c r="AD1430">
        <v>5714</v>
      </c>
      <c r="AE1430">
        <v>3447</v>
      </c>
      <c r="AF1430">
        <v>6326</v>
      </c>
      <c r="AG1430">
        <v>3880</v>
      </c>
      <c r="AH1430">
        <v>7479</v>
      </c>
      <c r="AI1430">
        <v>7680</v>
      </c>
      <c r="AJ1430">
        <v>12639</v>
      </c>
      <c r="AK1430">
        <v>7959</v>
      </c>
      <c r="AL1430">
        <v>17146</v>
      </c>
      <c r="AM1430">
        <v>9313</v>
      </c>
      <c r="AN1430">
        <v>29386</v>
      </c>
    </row>
    <row r="1431" spans="2:40" x14ac:dyDescent="0.35">
      <c r="B1431" s="46" t="s">
        <v>1964</v>
      </c>
      <c r="D1431" t="s">
        <v>1460</v>
      </c>
      <c r="E1431" t="s">
        <v>1937</v>
      </c>
      <c r="F1431" s="46" t="s">
        <v>2262</v>
      </c>
      <c r="G1431" t="s">
        <v>592</v>
      </c>
      <c r="H1431" s="47" t="s">
        <v>2257</v>
      </c>
      <c r="I1431" s="47" t="s">
        <v>2258</v>
      </c>
      <c r="J1431" t="s">
        <v>2263</v>
      </c>
      <c r="K1431">
        <v>53982</v>
      </c>
      <c r="L1431">
        <v>73621</v>
      </c>
      <c r="M1431" s="24">
        <v>46549</v>
      </c>
      <c r="N1431" s="24">
        <v>65590</v>
      </c>
      <c r="O1431" s="24">
        <v>43518</v>
      </c>
      <c r="P1431" s="24">
        <v>64992</v>
      </c>
      <c r="Q1431">
        <v>42962</v>
      </c>
      <c r="R1431">
        <v>73387</v>
      </c>
      <c r="S1431">
        <v>62782</v>
      </c>
      <c r="T1431">
        <v>103772</v>
      </c>
      <c r="U1431">
        <v>79086</v>
      </c>
      <c r="V1431">
        <v>139459</v>
      </c>
      <c r="W1431">
        <v>129472</v>
      </c>
      <c r="X1431">
        <v>234463</v>
      </c>
      <c r="Z1431" t="str">
        <f t="shared" si="2"/>
        <v/>
      </c>
      <c r="AA1431" t="s">
        <v>2263</v>
      </c>
      <c r="AB1431" t="s">
        <v>2263</v>
      </c>
      <c r="AC1431">
        <v>46549</v>
      </c>
      <c r="AD1431">
        <v>65590</v>
      </c>
      <c r="AE1431">
        <v>43518</v>
      </c>
      <c r="AF1431">
        <v>64992</v>
      </c>
      <c r="AG1431">
        <v>42962</v>
      </c>
      <c r="AH1431">
        <v>73387</v>
      </c>
      <c r="AI1431">
        <v>62782</v>
      </c>
      <c r="AJ1431">
        <v>103772</v>
      </c>
      <c r="AK1431">
        <v>79086</v>
      </c>
      <c r="AL1431">
        <v>139459</v>
      </c>
      <c r="AM1431">
        <v>129472</v>
      </c>
      <c r="AN1431">
        <v>234463</v>
      </c>
    </row>
    <row r="1432" spans="2:40" x14ac:dyDescent="0.35">
      <c r="B1432" s="46" t="s">
        <v>1965</v>
      </c>
      <c r="D1432" t="s">
        <v>1460</v>
      </c>
      <c r="E1432" t="s">
        <v>1937</v>
      </c>
      <c r="F1432" s="46" t="s">
        <v>2023</v>
      </c>
      <c r="G1432" t="s">
        <v>239</v>
      </c>
      <c r="H1432" s="47" t="s">
        <v>450</v>
      </c>
      <c r="I1432" s="47" t="s">
        <v>2021</v>
      </c>
      <c r="J1432" t="s">
        <v>2024</v>
      </c>
      <c r="K1432">
        <v>448</v>
      </c>
      <c r="L1432">
        <v>615</v>
      </c>
      <c r="M1432" s="24">
        <v>421</v>
      </c>
      <c r="N1432" s="24">
        <v>577</v>
      </c>
      <c r="O1432" s="24">
        <v>362</v>
      </c>
      <c r="P1432" s="24">
        <v>545</v>
      </c>
      <c r="Q1432">
        <v>380</v>
      </c>
      <c r="R1432">
        <v>614</v>
      </c>
      <c r="S1432">
        <v>509</v>
      </c>
      <c r="T1432">
        <v>872</v>
      </c>
      <c r="U1432">
        <v>401</v>
      </c>
      <c r="V1432">
        <v>1077</v>
      </c>
      <c r="W1432">
        <v>376</v>
      </c>
      <c r="X1432">
        <v>1372</v>
      </c>
      <c r="Z1432" t="str">
        <f t="shared" si="2"/>
        <v/>
      </c>
      <c r="AA1432" t="s">
        <v>2024</v>
      </c>
      <c r="AB1432" t="s">
        <v>2024</v>
      </c>
      <c r="AC1432">
        <v>421</v>
      </c>
      <c r="AD1432">
        <v>577</v>
      </c>
      <c r="AE1432">
        <v>362</v>
      </c>
      <c r="AF1432">
        <v>545</v>
      </c>
      <c r="AG1432">
        <v>380</v>
      </c>
      <c r="AH1432">
        <v>614</v>
      </c>
      <c r="AI1432">
        <v>509</v>
      </c>
      <c r="AJ1432">
        <v>872</v>
      </c>
      <c r="AK1432">
        <v>401</v>
      </c>
      <c r="AL1432">
        <v>1077</v>
      </c>
      <c r="AM1432">
        <v>376</v>
      </c>
      <c r="AN1432">
        <v>1372</v>
      </c>
    </row>
    <row r="1433" spans="2:40" x14ac:dyDescent="0.35">
      <c r="B1433" s="46" t="s">
        <v>1967</v>
      </c>
      <c r="D1433" t="s">
        <v>1460</v>
      </c>
      <c r="E1433" t="s">
        <v>1937</v>
      </c>
      <c r="F1433" s="46" t="s">
        <v>2201</v>
      </c>
      <c r="G1433" t="s">
        <v>585</v>
      </c>
      <c r="H1433" s="47" t="s">
        <v>2198</v>
      </c>
      <c r="I1433" s="47" t="s">
        <v>2199</v>
      </c>
      <c r="J1433" t="s">
        <v>2202</v>
      </c>
      <c r="K1433">
        <v>12</v>
      </c>
      <c r="L1433">
        <v>26</v>
      </c>
      <c r="M1433" s="24" t="s">
        <v>1152</v>
      </c>
      <c r="N1433" s="24">
        <v>31</v>
      </c>
      <c r="O1433" s="24">
        <v>14</v>
      </c>
      <c r="P1433" s="24">
        <v>34</v>
      </c>
      <c r="Q1433">
        <v>44</v>
      </c>
      <c r="R1433">
        <v>65</v>
      </c>
      <c r="S1433">
        <v>133</v>
      </c>
      <c r="T1433">
        <v>185</v>
      </c>
      <c r="U1433">
        <v>209</v>
      </c>
      <c r="V1433">
        <v>455</v>
      </c>
      <c r="W1433">
        <v>309</v>
      </c>
      <c r="X1433">
        <v>707</v>
      </c>
      <c r="Z1433" t="str">
        <f t="shared" si="2"/>
        <v/>
      </c>
      <c r="AA1433" t="s">
        <v>2202</v>
      </c>
      <c r="AB1433" t="s">
        <v>2202</v>
      </c>
      <c r="AC1433" t="s">
        <v>1152</v>
      </c>
      <c r="AD1433">
        <v>31</v>
      </c>
      <c r="AE1433">
        <v>14</v>
      </c>
      <c r="AF1433">
        <v>34</v>
      </c>
      <c r="AG1433">
        <v>44</v>
      </c>
      <c r="AH1433">
        <v>65</v>
      </c>
      <c r="AI1433">
        <v>133</v>
      </c>
      <c r="AJ1433">
        <v>185</v>
      </c>
      <c r="AK1433">
        <v>209</v>
      </c>
      <c r="AL1433">
        <v>455</v>
      </c>
      <c r="AM1433">
        <v>309</v>
      </c>
      <c r="AN1433">
        <v>707</v>
      </c>
    </row>
    <row r="1434" spans="2:40" x14ac:dyDescent="0.35">
      <c r="B1434" s="46" t="s">
        <v>1968</v>
      </c>
      <c r="D1434" t="s">
        <v>1460</v>
      </c>
      <c r="E1434" t="s">
        <v>1937</v>
      </c>
      <c r="F1434" s="46" t="s">
        <v>2352</v>
      </c>
      <c r="G1434" t="s">
        <v>611</v>
      </c>
      <c r="H1434" s="47" t="s">
        <v>2353</v>
      </c>
      <c r="I1434" s="47" t="s">
        <v>2354</v>
      </c>
      <c r="J1434" t="s">
        <v>2355</v>
      </c>
      <c r="K1434">
        <v>354</v>
      </c>
      <c r="L1434">
        <v>675</v>
      </c>
      <c r="M1434" s="24">
        <v>323</v>
      </c>
      <c r="N1434" s="24">
        <v>689</v>
      </c>
      <c r="O1434" s="24">
        <v>330</v>
      </c>
      <c r="P1434" s="24">
        <v>623</v>
      </c>
      <c r="Q1434">
        <v>341</v>
      </c>
      <c r="R1434">
        <v>716</v>
      </c>
      <c r="S1434">
        <v>518</v>
      </c>
      <c r="T1434">
        <v>965</v>
      </c>
      <c r="U1434">
        <v>502</v>
      </c>
      <c r="V1434">
        <v>1232</v>
      </c>
      <c r="W1434" t="s">
        <v>1152</v>
      </c>
      <c r="X1434">
        <v>1624</v>
      </c>
      <c r="Z1434" t="str">
        <f t="shared" si="2"/>
        <v/>
      </c>
      <c r="AA1434" t="s">
        <v>2355</v>
      </c>
      <c r="AB1434" t="s">
        <v>2355</v>
      </c>
      <c r="AC1434">
        <v>323</v>
      </c>
      <c r="AD1434">
        <v>689</v>
      </c>
      <c r="AE1434">
        <v>330</v>
      </c>
      <c r="AF1434">
        <v>623</v>
      </c>
      <c r="AG1434">
        <v>341</v>
      </c>
      <c r="AH1434">
        <v>716</v>
      </c>
      <c r="AI1434">
        <v>518</v>
      </c>
      <c r="AJ1434">
        <v>965</v>
      </c>
      <c r="AK1434">
        <v>502</v>
      </c>
      <c r="AL1434">
        <v>1232</v>
      </c>
      <c r="AM1434" t="s">
        <v>1152</v>
      </c>
      <c r="AN1434">
        <v>1624</v>
      </c>
    </row>
    <row r="1435" spans="2:40" x14ac:dyDescent="0.35">
      <c r="B1435" s="46" t="s">
        <v>1970</v>
      </c>
      <c r="D1435" t="s">
        <v>1460</v>
      </c>
      <c r="E1435" t="s">
        <v>1937</v>
      </c>
      <c r="F1435" s="46" t="s">
        <v>2306</v>
      </c>
      <c r="G1435" t="s">
        <v>599</v>
      </c>
      <c r="H1435" s="47" t="s">
        <v>2307</v>
      </c>
      <c r="I1435" s="47" t="s">
        <v>2308</v>
      </c>
      <c r="J1435" t="s">
        <v>2309</v>
      </c>
      <c r="K1435">
        <v>1627</v>
      </c>
      <c r="L1435">
        <v>2741</v>
      </c>
      <c r="M1435" s="24">
        <v>1718</v>
      </c>
      <c r="N1435" s="24">
        <v>3047</v>
      </c>
      <c r="O1435" s="24">
        <v>1920</v>
      </c>
      <c r="P1435" s="24">
        <v>3187</v>
      </c>
      <c r="Q1435">
        <v>1630</v>
      </c>
      <c r="R1435">
        <v>3466</v>
      </c>
      <c r="S1435">
        <v>2440</v>
      </c>
      <c r="T1435">
        <v>4295</v>
      </c>
      <c r="U1435">
        <v>3072</v>
      </c>
      <c r="V1435">
        <v>6073</v>
      </c>
      <c r="W1435">
        <v>3822</v>
      </c>
      <c r="X1435">
        <v>9881</v>
      </c>
      <c r="Z1435" t="str">
        <f t="shared" si="2"/>
        <v/>
      </c>
      <c r="AA1435" t="s">
        <v>2309</v>
      </c>
      <c r="AB1435" t="s">
        <v>2309</v>
      </c>
      <c r="AC1435">
        <v>1718</v>
      </c>
      <c r="AD1435">
        <v>3047</v>
      </c>
      <c r="AE1435">
        <v>1920</v>
      </c>
      <c r="AF1435">
        <v>3187</v>
      </c>
      <c r="AG1435">
        <v>1630</v>
      </c>
      <c r="AH1435">
        <v>3466</v>
      </c>
      <c r="AI1435">
        <v>2440</v>
      </c>
      <c r="AJ1435">
        <v>4295</v>
      </c>
      <c r="AK1435">
        <v>3072</v>
      </c>
      <c r="AL1435">
        <v>6073</v>
      </c>
      <c r="AM1435">
        <v>3822</v>
      </c>
      <c r="AN1435">
        <v>9881</v>
      </c>
    </row>
    <row r="1436" spans="2:40" x14ac:dyDescent="0.35">
      <c r="B1436" s="46" t="s">
        <v>1973</v>
      </c>
      <c r="D1436" t="s">
        <v>1460</v>
      </c>
      <c r="E1436" t="s">
        <v>1937</v>
      </c>
      <c r="F1436" s="46" t="s">
        <v>2413</v>
      </c>
      <c r="G1436" t="s">
        <v>623</v>
      </c>
      <c r="H1436" s="47" t="s">
        <v>2410</v>
      </c>
      <c r="I1436" s="47" t="s">
        <v>2411</v>
      </c>
      <c r="J1436" t="s">
        <v>2414</v>
      </c>
      <c r="K1436">
        <v>7084</v>
      </c>
      <c r="L1436">
        <v>11426</v>
      </c>
      <c r="M1436" s="24">
        <v>5953</v>
      </c>
      <c r="N1436" s="24">
        <v>10114</v>
      </c>
      <c r="O1436" s="24">
        <v>6255</v>
      </c>
      <c r="P1436" s="24">
        <v>10245</v>
      </c>
      <c r="Q1436">
        <v>7625</v>
      </c>
      <c r="R1436">
        <v>12043</v>
      </c>
      <c r="S1436">
        <v>10309</v>
      </c>
      <c r="T1436">
        <v>17732</v>
      </c>
      <c r="U1436">
        <v>11791</v>
      </c>
      <c r="V1436">
        <v>23033</v>
      </c>
      <c r="W1436">
        <v>18655</v>
      </c>
      <c r="X1436">
        <v>35044</v>
      </c>
      <c r="Z1436" t="str">
        <f t="shared" si="2"/>
        <v/>
      </c>
      <c r="AA1436" t="s">
        <v>2414</v>
      </c>
      <c r="AB1436" t="s">
        <v>2414</v>
      </c>
      <c r="AC1436">
        <v>5953</v>
      </c>
      <c r="AD1436">
        <v>10114</v>
      </c>
      <c r="AE1436">
        <v>6255</v>
      </c>
      <c r="AF1436">
        <v>10245</v>
      </c>
      <c r="AG1436">
        <v>7625</v>
      </c>
      <c r="AH1436">
        <v>12043</v>
      </c>
      <c r="AI1436">
        <v>10309</v>
      </c>
      <c r="AJ1436">
        <v>17732</v>
      </c>
      <c r="AK1436">
        <v>11791</v>
      </c>
      <c r="AL1436">
        <v>23033</v>
      </c>
      <c r="AM1436">
        <v>18655</v>
      </c>
      <c r="AN1436">
        <v>35044</v>
      </c>
    </row>
    <row r="1437" spans="2:40" x14ac:dyDescent="0.35">
      <c r="B1437" s="46" t="s">
        <v>1975</v>
      </c>
      <c r="D1437" t="s">
        <v>1460</v>
      </c>
      <c r="E1437" t="s">
        <v>1937</v>
      </c>
      <c r="F1437" s="46" t="s">
        <v>2067</v>
      </c>
      <c r="G1437" t="s">
        <v>265</v>
      </c>
      <c r="H1437" s="47" t="s">
        <v>501</v>
      </c>
      <c r="I1437" s="47" t="s">
        <v>2068</v>
      </c>
      <c r="J1437" t="s">
        <v>2069</v>
      </c>
      <c r="K1437">
        <v>3282</v>
      </c>
      <c r="L1437">
        <v>4997</v>
      </c>
      <c r="M1437" s="24">
        <v>2497</v>
      </c>
      <c r="N1437" s="24">
        <v>4081</v>
      </c>
      <c r="O1437" s="24">
        <v>2443</v>
      </c>
      <c r="P1437" s="24">
        <v>4315</v>
      </c>
      <c r="Q1437">
        <v>2615</v>
      </c>
      <c r="R1437">
        <v>5167</v>
      </c>
      <c r="S1437">
        <v>4726</v>
      </c>
      <c r="T1437">
        <v>7640</v>
      </c>
      <c r="U1437">
        <v>4885</v>
      </c>
      <c r="V1437">
        <v>9856</v>
      </c>
      <c r="W1437">
        <v>5964</v>
      </c>
      <c r="X1437">
        <v>15286</v>
      </c>
      <c r="Z1437" t="str">
        <f t="shared" si="2"/>
        <v/>
      </c>
      <c r="AA1437" t="s">
        <v>2069</v>
      </c>
      <c r="AB1437" t="s">
        <v>2069</v>
      </c>
      <c r="AC1437">
        <v>2497</v>
      </c>
      <c r="AD1437">
        <v>4081</v>
      </c>
      <c r="AE1437">
        <v>2443</v>
      </c>
      <c r="AF1437">
        <v>4315</v>
      </c>
      <c r="AG1437">
        <v>2615</v>
      </c>
      <c r="AH1437">
        <v>5167</v>
      </c>
      <c r="AI1437">
        <v>4726</v>
      </c>
      <c r="AJ1437">
        <v>7640</v>
      </c>
      <c r="AK1437">
        <v>4885</v>
      </c>
      <c r="AL1437">
        <v>9856</v>
      </c>
      <c r="AM1437">
        <v>5964</v>
      </c>
      <c r="AN1437">
        <v>15286</v>
      </c>
    </row>
    <row r="1438" spans="2:40" x14ac:dyDescent="0.35">
      <c r="B1438" s="46" t="s">
        <v>1977</v>
      </c>
      <c r="D1438" t="s">
        <v>1460</v>
      </c>
      <c r="E1438" t="s">
        <v>1937</v>
      </c>
      <c r="F1438" s="46" t="s">
        <v>2111</v>
      </c>
      <c r="G1438" t="s">
        <v>283</v>
      </c>
      <c r="H1438" s="47" t="s">
        <v>1366</v>
      </c>
      <c r="I1438" s="47" t="s">
        <v>2112</v>
      </c>
      <c r="J1438" t="s">
        <v>2113</v>
      </c>
      <c r="K1438">
        <v>286</v>
      </c>
      <c r="L1438">
        <v>572</v>
      </c>
      <c r="M1438" s="24">
        <v>204</v>
      </c>
      <c r="N1438" s="24">
        <v>489</v>
      </c>
      <c r="O1438" s="24">
        <v>222</v>
      </c>
      <c r="P1438" s="24">
        <v>484</v>
      </c>
      <c r="Q1438">
        <v>228</v>
      </c>
      <c r="R1438">
        <v>496</v>
      </c>
      <c r="S1438">
        <v>324</v>
      </c>
      <c r="T1438">
        <v>601</v>
      </c>
      <c r="U1438">
        <v>321</v>
      </c>
      <c r="V1438">
        <v>711</v>
      </c>
      <c r="W1438">
        <v>353</v>
      </c>
      <c r="X1438">
        <v>899</v>
      </c>
      <c r="Z1438" t="str">
        <f t="shared" si="2"/>
        <v/>
      </c>
      <c r="AA1438" t="s">
        <v>2113</v>
      </c>
      <c r="AB1438" t="s">
        <v>2113</v>
      </c>
      <c r="AC1438">
        <v>204</v>
      </c>
      <c r="AD1438">
        <v>489</v>
      </c>
      <c r="AE1438">
        <v>222</v>
      </c>
      <c r="AF1438">
        <v>484</v>
      </c>
      <c r="AG1438">
        <v>228</v>
      </c>
      <c r="AH1438">
        <v>496</v>
      </c>
      <c r="AI1438">
        <v>324</v>
      </c>
      <c r="AJ1438">
        <v>601</v>
      </c>
      <c r="AK1438">
        <v>321</v>
      </c>
      <c r="AL1438">
        <v>711</v>
      </c>
      <c r="AM1438">
        <v>353</v>
      </c>
      <c r="AN1438">
        <v>899</v>
      </c>
    </row>
    <row r="1439" spans="2:40" x14ac:dyDescent="0.35">
      <c r="B1439" s="46" t="s">
        <v>1979</v>
      </c>
      <c r="D1439" t="s">
        <v>1460</v>
      </c>
      <c r="E1439" t="s">
        <v>1937</v>
      </c>
      <c r="F1439" s="46" t="s">
        <v>1973</v>
      </c>
      <c r="G1439" t="s">
        <v>235</v>
      </c>
      <c r="H1439" s="47" t="s">
        <v>419</v>
      </c>
      <c r="I1439" s="47" t="s">
        <v>1971</v>
      </c>
      <c r="J1439" t="s">
        <v>1974</v>
      </c>
      <c r="K1439">
        <v>44</v>
      </c>
      <c r="L1439">
        <v>76</v>
      </c>
      <c r="M1439" s="24">
        <v>52</v>
      </c>
      <c r="N1439" s="24">
        <v>83</v>
      </c>
      <c r="O1439" s="24">
        <v>43</v>
      </c>
      <c r="P1439" s="24">
        <v>73</v>
      </c>
      <c r="Q1439">
        <v>47</v>
      </c>
      <c r="R1439">
        <v>91</v>
      </c>
      <c r="S1439">
        <v>56</v>
      </c>
      <c r="T1439">
        <v>98</v>
      </c>
      <c r="U1439">
        <v>57</v>
      </c>
      <c r="V1439">
        <v>136</v>
      </c>
      <c r="W1439">
        <v>108</v>
      </c>
      <c r="X1439">
        <v>210</v>
      </c>
      <c r="Z1439" t="str">
        <f t="shared" si="2"/>
        <v/>
      </c>
      <c r="AA1439" t="s">
        <v>1974</v>
      </c>
      <c r="AB1439" t="s">
        <v>1974</v>
      </c>
      <c r="AC1439">
        <v>52</v>
      </c>
      <c r="AD1439">
        <v>83</v>
      </c>
      <c r="AE1439">
        <v>43</v>
      </c>
      <c r="AF1439">
        <v>73</v>
      </c>
      <c r="AG1439">
        <v>47</v>
      </c>
      <c r="AH1439">
        <v>91</v>
      </c>
      <c r="AI1439">
        <v>56</v>
      </c>
      <c r="AJ1439">
        <v>98</v>
      </c>
      <c r="AK1439">
        <v>57</v>
      </c>
      <c r="AL1439">
        <v>136</v>
      </c>
      <c r="AM1439">
        <v>108</v>
      </c>
      <c r="AN1439">
        <v>210</v>
      </c>
    </row>
    <row r="1440" spans="2:40" x14ac:dyDescent="0.35">
      <c r="B1440" s="46" t="s">
        <v>1981</v>
      </c>
      <c r="D1440" t="s">
        <v>1460</v>
      </c>
      <c r="E1440" t="s">
        <v>1937</v>
      </c>
      <c r="F1440" s="46" t="s">
        <v>2190</v>
      </c>
      <c r="G1440" t="s">
        <v>581</v>
      </c>
      <c r="H1440" s="47" t="s">
        <v>2191</v>
      </c>
      <c r="I1440" s="47" t="s">
        <v>2192</v>
      </c>
      <c r="J1440" t="s">
        <v>1031</v>
      </c>
      <c r="K1440">
        <v>133</v>
      </c>
      <c r="L1440">
        <v>162</v>
      </c>
      <c r="M1440" s="24">
        <v>105</v>
      </c>
      <c r="N1440" s="24">
        <v>132</v>
      </c>
      <c r="O1440" s="24">
        <v>107</v>
      </c>
      <c r="P1440" s="24">
        <v>142</v>
      </c>
      <c r="Q1440">
        <v>142</v>
      </c>
      <c r="R1440">
        <v>186</v>
      </c>
      <c r="S1440">
        <v>322</v>
      </c>
      <c r="T1440">
        <v>391</v>
      </c>
      <c r="U1440">
        <v>519</v>
      </c>
      <c r="V1440">
        <v>672</v>
      </c>
      <c r="W1440">
        <v>782</v>
      </c>
      <c r="X1440">
        <v>1176</v>
      </c>
      <c r="Z1440" t="str">
        <f t="shared" si="2"/>
        <v/>
      </c>
      <c r="AA1440" t="s">
        <v>1031</v>
      </c>
      <c r="AB1440" t="s">
        <v>1031</v>
      </c>
      <c r="AC1440">
        <v>105</v>
      </c>
      <c r="AD1440">
        <v>132</v>
      </c>
      <c r="AE1440">
        <v>107</v>
      </c>
      <c r="AF1440">
        <v>142</v>
      </c>
      <c r="AG1440">
        <v>142</v>
      </c>
      <c r="AH1440">
        <v>186</v>
      </c>
      <c r="AI1440">
        <v>322</v>
      </c>
      <c r="AJ1440">
        <v>391</v>
      </c>
      <c r="AK1440">
        <v>519</v>
      </c>
      <c r="AL1440">
        <v>672</v>
      </c>
      <c r="AM1440">
        <v>782</v>
      </c>
      <c r="AN1440">
        <v>1176</v>
      </c>
    </row>
    <row r="1441" spans="2:40" x14ac:dyDescent="0.35">
      <c r="B1441" s="46" t="s">
        <v>1983</v>
      </c>
      <c r="D1441" t="s">
        <v>1460</v>
      </c>
      <c r="E1441" t="s">
        <v>1937</v>
      </c>
      <c r="F1441" s="46" t="s">
        <v>1936</v>
      </c>
      <c r="G1441" t="s">
        <v>231</v>
      </c>
      <c r="H1441" s="47" t="s">
        <v>393</v>
      </c>
      <c r="I1441" s="47" t="s">
        <v>1938</v>
      </c>
      <c r="J1441" t="s">
        <v>1939</v>
      </c>
      <c r="K1441">
        <v>562</v>
      </c>
      <c r="L1441">
        <v>1017</v>
      </c>
      <c r="M1441" s="24">
        <v>496</v>
      </c>
      <c r="N1441" s="24">
        <v>979</v>
      </c>
      <c r="O1441" s="24">
        <v>590</v>
      </c>
      <c r="P1441" s="24">
        <v>1023</v>
      </c>
      <c r="Q1441">
        <v>527</v>
      </c>
      <c r="R1441">
        <v>1088</v>
      </c>
      <c r="S1441">
        <v>792</v>
      </c>
      <c r="T1441">
        <v>1356</v>
      </c>
      <c r="U1441">
        <v>991</v>
      </c>
      <c r="V1441">
        <v>2047</v>
      </c>
      <c r="W1441">
        <v>2659</v>
      </c>
      <c r="X1441">
        <v>4161</v>
      </c>
      <c r="Z1441" t="str">
        <f t="shared" si="2"/>
        <v/>
      </c>
      <c r="AA1441" t="s">
        <v>1939</v>
      </c>
      <c r="AB1441" t="s">
        <v>1939</v>
      </c>
      <c r="AC1441">
        <v>496</v>
      </c>
      <c r="AD1441">
        <v>979</v>
      </c>
      <c r="AE1441">
        <v>590</v>
      </c>
      <c r="AF1441">
        <v>1023</v>
      </c>
      <c r="AG1441">
        <v>527</v>
      </c>
      <c r="AH1441">
        <v>1088</v>
      </c>
      <c r="AI1441">
        <v>792</v>
      </c>
      <c r="AJ1441">
        <v>1356</v>
      </c>
      <c r="AK1441">
        <v>991</v>
      </c>
      <c r="AL1441">
        <v>2047</v>
      </c>
      <c r="AM1441">
        <v>2659</v>
      </c>
      <c r="AN1441">
        <v>4161</v>
      </c>
    </row>
    <row r="1442" spans="2:40" x14ac:dyDescent="0.35">
      <c r="B1442" s="46" t="s">
        <v>1985</v>
      </c>
      <c r="D1442" t="s">
        <v>1460</v>
      </c>
      <c r="E1442" t="s">
        <v>1937</v>
      </c>
      <c r="F1442" s="46" t="s">
        <v>2070</v>
      </c>
      <c r="G1442" t="s">
        <v>265</v>
      </c>
      <c r="H1442" s="47" t="s">
        <v>501</v>
      </c>
      <c r="I1442" s="47" t="s">
        <v>2068</v>
      </c>
      <c r="J1442" t="s">
        <v>2071</v>
      </c>
      <c r="K1442">
        <v>376</v>
      </c>
      <c r="L1442">
        <v>562</v>
      </c>
      <c r="M1442" s="24">
        <v>295</v>
      </c>
      <c r="N1442" s="24">
        <v>444</v>
      </c>
      <c r="O1442" s="24">
        <v>260</v>
      </c>
      <c r="P1442" s="24">
        <v>424</v>
      </c>
      <c r="Q1442">
        <v>267</v>
      </c>
      <c r="R1442">
        <v>496</v>
      </c>
      <c r="S1442">
        <v>430</v>
      </c>
      <c r="T1442">
        <v>741</v>
      </c>
      <c r="U1442">
        <v>591</v>
      </c>
      <c r="V1442">
        <v>1068</v>
      </c>
      <c r="W1442">
        <v>1212</v>
      </c>
      <c r="X1442">
        <v>2126</v>
      </c>
      <c r="Z1442" t="str">
        <f t="shared" si="2"/>
        <v/>
      </c>
      <c r="AA1442" t="s">
        <v>2071</v>
      </c>
      <c r="AB1442" t="s">
        <v>2071</v>
      </c>
      <c r="AC1442">
        <v>295</v>
      </c>
      <c r="AD1442">
        <v>444</v>
      </c>
      <c r="AE1442">
        <v>260</v>
      </c>
      <c r="AF1442">
        <v>424</v>
      </c>
      <c r="AG1442">
        <v>267</v>
      </c>
      <c r="AH1442">
        <v>496</v>
      </c>
      <c r="AI1442">
        <v>430</v>
      </c>
      <c r="AJ1442">
        <v>741</v>
      </c>
      <c r="AK1442">
        <v>591</v>
      </c>
      <c r="AL1442">
        <v>1068</v>
      </c>
      <c r="AM1442">
        <v>1212</v>
      </c>
      <c r="AN1442">
        <v>2126</v>
      </c>
    </row>
    <row r="1443" spans="2:40" x14ac:dyDescent="0.35">
      <c r="B1443" s="46" t="s">
        <v>1987</v>
      </c>
      <c r="D1443" t="s">
        <v>1460</v>
      </c>
      <c r="E1443" t="s">
        <v>1937</v>
      </c>
      <c r="F1443" s="46" t="s">
        <v>2025</v>
      </c>
      <c r="G1443" t="s">
        <v>239</v>
      </c>
      <c r="H1443" s="47" t="s">
        <v>450</v>
      </c>
      <c r="I1443" s="47" t="s">
        <v>2021</v>
      </c>
      <c r="J1443" t="s">
        <v>2026</v>
      </c>
      <c r="K1443">
        <v>1219</v>
      </c>
      <c r="L1443">
        <v>1636</v>
      </c>
      <c r="M1443" s="24">
        <v>1079</v>
      </c>
      <c r="N1443" s="24">
        <v>1501</v>
      </c>
      <c r="O1443" s="24">
        <v>1018</v>
      </c>
      <c r="P1443" s="24">
        <v>1528</v>
      </c>
      <c r="Q1443">
        <v>997</v>
      </c>
      <c r="R1443">
        <v>1722</v>
      </c>
      <c r="S1443">
        <v>1272</v>
      </c>
      <c r="T1443">
        <v>2472</v>
      </c>
      <c r="U1443">
        <v>1374</v>
      </c>
      <c r="V1443">
        <v>3259</v>
      </c>
      <c r="W1443">
        <v>1516</v>
      </c>
      <c r="X1443">
        <v>4614</v>
      </c>
      <c r="Z1443" t="str">
        <f t="shared" si="2"/>
        <v/>
      </c>
      <c r="AA1443" t="s">
        <v>2026</v>
      </c>
      <c r="AB1443" t="s">
        <v>2026</v>
      </c>
      <c r="AC1443">
        <v>1079</v>
      </c>
      <c r="AD1443">
        <v>1501</v>
      </c>
      <c r="AE1443">
        <v>1018</v>
      </c>
      <c r="AF1443">
        <v>1528</v>
      </c>
      <c r="AG1443">
        <v>997</v>
      </c>
      <c r="AH1443">
        <v>1722</v>
      </c>
      <c r="AI1443">
        <v>1272</v>
      </c>
      <c r="AJ1443">
        <v>2472</v>
      </c>
      <c r="AK1443">
        <v>1374</v>
      </c>
      <c r="AL1443">
        <v>3259</v>
      </c>
      <c r="AM1443">
        <v>1516</v>
      </c>
      <c r="AN1443">
        <v>4614</v>
      </c>
    </row>
    <row r="1444" spans="2:40" x14ac:dyDescent="0.35">
      <c r="B1444" s="46" t="s">
        <v>1989</v>
      </c>
      <c r="D1444" t="s">
        <v>1460</v>
      </c>
      <c r="E1444" t="s">
        <v>1937</v>
      </c>
      <c r="F1444" s="46" t="s">
        <v>2027</v>
      </c>
      <c r="G1444" t="s">
        <v>239</v>
      </c>
      <c r="H1444" s="47" t="s">
        <v>450</v>
      </c>
      <c r="I1444" s="47" t="s">
        <v>2021</v>
      </c>
      <c r="J1444" t="s">
        <v>1505</v>
      </c>
      <c r="K1444">
        <v>795</v>
      </c>
      <c r="L1444">
        <v>1252</v>
      </c>
      <c r="M1444" s="24">
        <v>710</v>
      </c>
      <c r="N1444" s="24">
        <v>1196</v>
      </c>
      <c r="O1444" s="24">
        <v>638</v>
      </c>
      <c r="P1444" s="24">
        <v>1114</v>
      </c>
      <c r="Q1444">
        <v>962</v>
      </c>
      <c r="R1444">
        <v>1519</v>
      </c>
      <c r="S1444">
        <v>1491</v>
      </c>
      <c r="T1444">
        <v>2510</v>
      </c>
      <c r="U1444">
        <v>1247</v>
      </c>
      <c r="V1444">
        <v>3594</v>
      </c>
      <c r="W1444" t="s">
        <v>1152</v>
      </c>
      <c r="X1444">
        <v>5352</v>
      </c>
      <c r="Z1444" t="str">
        <f t="shared" si="2"/>
        <v/>
      </c>
      <c r="AA1444" t="s">
        <v>1505</v>
      </c>
      <c r="AB1444" t="s">
        <v>1505</v>
      </c>
      <c r="AC1444">
        <v>710</v>
      </c>
      <c r="AD1444">
        <v>1196</v>
      </c>
      <c r="AE1444">
        <v>638</v>
      </c>
      <c r="AF1444">
        <v>1114</v>
      </c>
      <c r="AG1444">
        <v>962</v>
      </c>
      <c r="AH1444">
        <v>1519</v>
      </c>
      <c r="AI1444">
        <v>1491</v>
      </c>
      <c r="AJ1444">
        <v>2510</v>
      </c>
      <c r="AK1444">
        <v>1247</v>
      </c>
      <c r="AL1444">
        <v>3594</v>
      </c>
      <c r="AM1444" t="s">
        <v>1152</v>
      </c>
      <c r="AN1444">
        <v>5352</v>
      </c>
    </row>
    <row r="1445" spans="2:40" x14ac:dyDescent="0.35">
      <c r="B1445" s="46" t="s">
        <v>1991</v>
      </c>
      <c r="D1445" t="s">
        <v>1460</v>
      </c>
      <c r="E1445" t="s">
        <v>1937</v>
      </c>
      <c r="F1445" s="46" t="s">
        <v>2338</v>
      </c>
      <c r="G1445" t="s">
        <v>607</v>
      </c>
      <c r="H1445" s="47" t="s">
        <v>2339</v>
      </c>
      <c r="I1445" s="47" t="s">
        <v>2340</v>
      </c>
      <c r="J1445" t="s">
        <v>233</v>
      </c>
      <c r="K1445">
        <v>344</v>
      </c>
      <c r="L1445">
        <v>590</v>
      </c>
      <c r="M1445" s="24">
        <v>307</v>
      </c>
      <c r="N1445" s="24">
        <v>572</v>
      </c>
      <c r="O1445" s="24">
        <v>364</v>
      </c>
      <c r="P1445" s="24">
        <v>614</v>
      </c>
      <c r="Q1445">
        <v>382</v>
      </c>
      <c r="R1445">
        <v>687</v>
      </c>
      <c r="S1445">
        <v>562</v>
      </c>
      <c r="T1445">
        <v>931</v>
      </c>
      <c r="U1445">
        <v>831</v>
      </c>
      <c r="V1445">
        <v>1420</v>
      </c>
      <c r="W1445">
        <v>966</v>
      </c>
      <c r="X1445">
        <v>2284</v>
      </c>
      <c r="Z1445" t="str">
        <f t="shared" si="2"/>
        <v/>
      </c>
      <c r="AA1445" t="s">
        <v>233</v>
      </c>
      <c r="AB1445" t="s">
        <v>233</v>
      </c>
      <c r="AC1445">
        <v>307</v>
      </c>
      <c r="AD1445">
        <v>572</v>
      </c>
      <c r="AE1445">
        <v>364</v>
      </c>
      <c r="AF1445">
        <v>614</v>
      </c>
      <c r="AG1445">
        <v>382</v>
      </c>
      <c r="AH1445">
        <v>687</v>
      </c>
      <c r="AI1445">
        <v>562</v>
      </c>
      <c r="AJ1445">
        <v>931</v>
      </c>
      <c r="AK1445">
        <v>831</v>
      </c>
      <c r="AL1445">
        <v>1420</v>
      </c>
      <c r="AM1445">
        <v>966</v>
      </c>
      <c r="AN1445">
        <v>2284</v>
      </c>
    </row>
    <row r="1446" spans="2:40" x14ac:dyDescent="0.35">
      <c r="B1446" s="46" t="s">
        <v>1992</v>
      </c>
      <c r="D1446" t="s">
        <v>1460</v>
      </c>
      <c r="E1446" t="s">
        <v>1937</v>
      </c>
      <c r="F1446" s="46" t="s">
        <v>1940</v>
      </c>
      <c r="G1446" t="s">
        <v>231</v>
      </c>
      <c r="H1446" s="47" t="s">
        <v>393</v>
      </c>
      <c r="I1446" s="47" t="s">
        <v>1938</v>
      </c>
      <c r="J1446" t="s">
        <v>1941</v>
      </c>
      <c r="K1446">
        <v>235</v>
      </c>
      <c r="L1446">
        <v>437</v>
      </c>
      <c r="M1446" s="24">
        <v>168</v>
      </c>
      <c r="N1446" s="24">
        <v>416</v>
      </c>
      <c r="O1446" s="24">
        <v>229</v>
      </c>
      <c r="P1446" s="24">
        <v>445</v>
      </c>
      <c r="Q1446">
        <v>283</v>
      </c>
      <c r="R1446">
        <v>498</v>
      </c>
      <c r="S1446">
        <v>371</v>
      </c>
      <c r="T1446">
        <v>752</v>
      </c>
      <c r="U1446">
        <v>445</v>
      </c>
      <c r="V1446">
        <v>1119</v>
      </c>
      <c r="W1446">
        <v>547</v>
      </c>
      <c r="X1446">
        <v>1825</v>
      </c>
      <c r="Z1446" t="str">
        <f t="shared" si="2"/>
        <v/>
      </c>
      <c r="AA1446" t="s">
        <v>1941</v>
      </c>
      <c r="AB1446" t="s">
        <v>1941</v>
      </c>
      <c r="AC1446">
        <v>168</v>
      </c>
      <c r="AD1446">
        <v>416</v>
      </c>
      <c r="AE1446">
        <v>229</v>
      </c>
      <c r="AF1446">
        <v>445</v>
      </c>
      <c r="AG1446">
        <v>283</v>
      </c>
      <c r="AH1446">
        <v>498</v>
      </c>
      <c r="AI1446">
        <v>371</v>
      </c>
      <c r="AJ1446">
        <v>752</v>
      </c>
      <c r="AK1446">
        <v>445</v>
      </c>
      <c r="AL1446">
        <v>1119</v>
      </c>
      <c r="AM1446">
        <v>547</v>
      </c>
      <c r="AN1446">
        <v>1825</v>
      </c>
    </row>
    <row r="1447" spans="2:40" x14ac:dyDescent="0.35">
      <c r="B1447" s="46" t="s">
        <v>1994</v>
      </c>
      <c r="D1447" t="s">
        <v>1460</v>
      </c>
      <c r="E1447" t="s">
        <v>1937</v>
      </c>
      <c r="F1447" s="46" t="s">
        <v>2060</v>
      </c>
      <c r="G1447" t="s">
        <v>259</v>
      </c>
      <c r="H1447" s="47" t="s">
        <v>477</v>
      </c>
      <c r="I1447" s="47" t="s">
        <v>2061</v>
      </c>
      <c r="J1447" t="s">
        <v>2062</v>
      </c>
      <c r="K1447">
        <v>12770</v>
      </c>
      <c r="L1447">
        <v>16098</v>
      </c>
      <c r="M1447" s="24">
        <v>12098</v>
      </c>
      <c r="N1447" s="24">
        <v>15197</v>
      </c>
      <c r="O1447" s="24">
        <v>12215</v>
      </c>
      <c r="P1447" s="24">
        <v>15092</v>
      </c>
      <c r="Q1447">
        <v>15265</v>
      </c>
      <c r="R1447">
        <v>20051</v>
      </c>
      <c r="S1447">
        <v>27871</v>
      </c>
      <c r="T1447">
        <v>34068</v>
      </c>
      <c r="U1447">
        <v>33850</v>
      </c>
      <c r="V1447">
        <v>45236</v>
      </c>
      <c r="W1447">
        <v>45393</v>
      </c>
      <c r="X1447">
        <v>62956</v>
      </c>
      <c r="Z1447" t="str">
        <f t="shared" si="2"/>
        <v/>
      </c>
      <c r="AA1447" t="s">
        <v>2062</v>
      </c>
      <c r="AB1447" t="s">
        <v>2062</v>
      </c>
      <c r="AC1447">
        <v>12098</v>
      </c>
      <c r="AD1447">
        <v>15197</v>
      </c>
      <c r="AE1447">
        <v>12215</v>
      </c>
      <c r="AF1447">
        <v>15092</v>
      </c>
      <c r="AG1447">
        <v>15265</v>
      </c>
      <c r="AH1447">
        <v>20051</v>
      </c>
      <c r="AI1447">
        <v>27871</v>
      </c>
      <c r="AJ1447">
        <v>34068</v>
      </c>
      <c r="AK1447">
        <v>33850</v>
      </c>
      <c r="AL1447">
        <v>45236</v>
      </c>
      <c r="AM1447">
        <v>45393</v>
      </c>
      <c r="AN1447">
        <v>62956</v>
      </c>
    </row>
    <row r="1448" spans="2:40" x14ac:dyDescent="0.35">
      <c r="B1448" s="46" t="s">
        <v>1996</v>
      </c>
      <c r="D1448" t="s">
        <v>1460</v>
      </c>
      <c r="E1448" t="s">
        <v>1937</v>
      </c>
      <c r="F1448" s="46" t="s">
        <v>2310</v>
      </c>
      <c r="G1448" t="s">
        <v>599</v>
      </c>
      <c r="H1448" s="47" t="s">
        <v>2307</v>
      </c>
      <c r="I1448" s="47" t="s">
        <v>2308</v>
      </c>
      <c r="J1448" t="s">
        <v>2311</v>
      </c>
      <c r="K1448">
        <v>306</v>
      </c>
      <c r="L1448">
        <v>487</v>
      </c>
      <c r="M1448" s="24">
        <v>322</v>
      </c>
      <c r="N1448" s="24">
        <v>553</v>
      </c>
      <c r="O1448" s="24">
        <v>375</v>
      </c>
      <c r="P1448" s="24">
        <v>647</v>
      </c>
      <c r="Q1448">
        <v>330</v>
      </c>
      <c r="R1448">
        <v>613</v>
      </c>
      <c r="S1448">
        <v>498</v>
      </c>
      <c r="T1448">
        <v>815</v>
      </c>
      <c r="U1448">
        <v>657</v>
      </c>
      <c r="V1448">
        <v>1206</v>
      </c>
      <c r="W1448">
        <v>947</v>
      </c>
      <c r="X1448">
        <v>1929</v>
      </c>
      <c r="Z1448" t="str">
        <f t="shared" si="2"/>
        <v/>
      </c>
      <c r="AA1448" t="s">
        <v>2311</v>
      </c>
      <c r="AB1448" t="s">
        <v>2311</v>
      </c>
      <c r="AC1448">
        <v>322</v>
      </c>
      <c r="AD1448">
        <v>553</v>
      </c>
      <c r="AE1448">
        <v>375</v>
      </c>
      <c r="AF1448">
        <v>647</v>
      </c>
      <c r="AG1448">
        <v>330</v>
      </c>
      <c r="AH1448">
        <v>613</v>
      </c>
      <c r="AI1448">
        <v>498</v>
      </c>
      <c r="AJ1448">
        <v>815</v>
      </c>
      <c r="AK1448">
        <v>657</v>
      </c>
      <c r="AL1448">
        <v>1206</v>
      </c>
      <c r="AM1448">
        <v>947</v>
      </c>
      <c r="AN1448">
        <v>1929</v>
      </c>
    </row>
    <row r="1449" spans="2:40" x14ac:dyDescent="0.35">
      <c r="B1449" s="46" t="s">
        <v>1998</v>
      </c>
      <c r="D1449" t="s">
        <v>1460</v>
      </c>
      <c r="E1449" t="s">
        <v>1937</v>
      </c>
      <c r="F1449" s="46" t="s">
        <v>1975</v>
      </c>
      <c r="G1449" t="s">
        <v>235</v>
      </c>
      <c r="H1449" s="47" t="s">
        <v>419</v>
      </c>
      <c r="I1449" s="47" t="s">
        <v>1971</v>
      </c>
      <c r="J1449" t="s">
        <v>1976</v>
      </c>
      <c r="K1449">
        <v>103</v>
      </c>
      <c r="L1449">
        <v>156</v>
      </c>
      <c r="M1449" s="24">
        <v>81</v>
      </c>
      <c r="N1449" s="24">
        <v>146</v>
      </c>
      <c r="O1449" s="24">
        <v>65</v>
      </c>
      <c r="P1449" s="24">
        <v>164</v>
      </c>
      <c r="Q1449">
        <v>76</v>
      </c>
      <c r="R1449">
        <v>168</v>
      </c>
      <c r="S1449">
        <v>108</v>
      </c>
      <c r="T1449">
        <v>208</v>
      </c>
      <c r="U1449">
        <v>132</v>
      </c>
      <c r="V1449">
        <v>370</v>
      </c>
      <c r="W1449">
        <v>229</v>
      </c>
      <c r="X1449">
        <v>592</v>
      </c>
      <c r="Z1449" t="str">
        <f t="shared" si="2"/>
        <v/>
      </c>
      <c r="AA1449" t="s">
        <v>1976</v>
      </c>
      <c r="AB1449" t="s">
        <v>1976</v>
      </c>
      <c r="AC1449">
        <v>81</v>
      </c>
      <c r="AD1449">
        <v>146</v>
      </c>
      <c r="AE1449">
        <v>65</v>
      </c>
      <c r="AF1449">
        <v>164</v>
      </c>
      <c r="AG1449">
        <v>76</v>
      </c>
      <c r="AH1449">
        <v>168</v>
      </c>
      <c r="AI1449">
        <v>108</v>
      </c>
      <c r="AJ1449">
        <v>208</v>
      </c>
      <c r="AK1449">
        <v>132</v>
      </c>
      <c r="AL1449">
        <v>370</v>
      </c>
      <c r="AM1449">
        <v>229</v>
      </c>
      <c r="AN1449">
        <v>592</v>
      </c>
    </row>
    <row r="1450" spans="2:40" x14ac:dyDescent="0.35">
      <c r="B1450" s="46" t="s">
        <v>2000</v>
      </c>
      <c r="D1450" t="s">
        <v>1460</v>
      </c>
      <c r="E1450" t="s">
        <v>1937</v>
      </c>
      <c r="F1450" s="46" t="s">
        <v>2312</v>
      </c>
      <c r="G1450" t="s">
        <v>599</v>
      </c>
      <c r="H1450" s="47" t="s">
        <v>2307</v>
      </c>
      <c r="I1450" s="47" t="s">
        <v>2308</v>
      </c>
      <c r="J1450" t="s">
        <v>2313</v>
      </c>
      <c r="K1450">
        <v>490</v>
      </c>
      <c r="L1450">
        <v>900</v>
      </c>
      <c r="M1450" s="24">
        <v>391</v>
      </c>
      <c r="N1450" s="24">
        <v>836</v>
      </c>
      <c r="O1450" s="24">
        <v>379</v>
      </c>
      <c r="P1450" s="24">
        <v>857</v>
      </c>
      <c r="Q1450">
        <v>424</v>
      </c>
      <c r="R1450">
        <v>909</v>
      </c>
      <c r="S1450">
        <v>809</v>
      </c>
      <c r="T1450">
        <v>1371</v>
      </c>
      <c r="U1450">
        <v>922</v>
      </c>
      <c r="V1450">
        <v>1996</v>
      </c>
      <c r="W1450">
        <v>1144</v>
      </c>
      <c r="X1450">
        <v>3138</v>
      </c>
      <c r="Z1450" t="str">
        <f t="shared" si="2"/>
        <v/>
      </c>
      <c r="AA1450" t="s">
        <v>2313</v>
      </c>
      <c r="AB1450" t="s">
        <v>2313</v>
      </c>
      <c r="AC1450">
        <v>391</v>
      </c>
      <c r="AD1450">
        <v>836</v>
      </c>
      <c r="AE1450">
        <v>379</v>
      </c>
      <c r="AF1450">
        <v>857</v>
      </c>
      <c r="AG1450">
        <v>424</v>
      </c>
      <c r="AH1450">
        <v>909</v>
      </c>
      <c r="AI1450">
        <v>809</v>
      </c>
      <c r="AJ1450">
        <v>1371</v>
      </c>
      <c r="AK1450">
        <v>922</v>
      </c>
      <c r="AL1450">
        <v>1996</v>
      </c>
      <c r="AM1450">
        <v>1144</v>
      </c>
      <c r="AN1450">
        <v>3138</v>
      </c>
    </row>
    <row r="1451" spans="2:40" x14ac:dyDescent="0.35">
      <c r="B1451" s="46" t="s">
        <v>2002</v>
      </c>
      <c r="D1451" t="s">
        <v>1460</v>
      </c>
      <c r="E1451" t="s">
        <v>1937</v>
      </c>
      <c r="F1451" s="46" t="s">
        <v>1977</v>
      </c>
      <c r="G1451" t="s">
        <v>235</v>
      </c>
      <c r="H1451" s="47" t="s">
        <v>419</v>
      </c>
      <c r="I1451" s="47" t="s">
        <v>1971</v>
      </c>
      <c r="J1451" t="s">
        <v>1978</v>
      </c>
      <c r="K1451">
        <v>149</v>
      </c>
      <c r="L1451">
        <v>269</v>
      </c>
      <c r="M1451" s="24">
        <v>108</v>
      </c>
      <c r="N1451" s="24">
        <v>237</v>
      </c>
      <c r="O1451" s="24">
        <v>103</v>
      </c>
      <c r="P1451" s="24">
        <v>232</v>
      </c>
      <c r="Q1451">
        <v>119</v>
      </c>
      <c r="R1451">
        <v>263</v>
      </c>
      <c r="S1451">
        <v>217</v>
      </c>
      <c r="T1451">
        <v>376</v>
      </c>
      <c r="U1451">
        <v>265</v>
      </c>
      <c r="V1451">
        <v>636</v>
      </c>
      <c r="W1451">
        <v>569</v>
      </c>
      <c r="X1451">
        <v>1165</v>
      </c>
      <c r="Z1451" t="str">
        <f t="shared" si="2"/>
        <v/>
      </c>
      <c r="AA1451" t="s">
        <v>1978</v>
      </c>
      <c r="AB1451" t="s">
        <v>1978</v>
      </c>
      <c r="AC1451">
        <v>108</v>
      </c>
      <c r="AD1451">
        <v>237</v>
      </c>
      <c r="AE1451">
        <v>103</v>
      </c>
      <c r="AF1451">
        <v>232</v>
      </c>
      <c r="AG1451">
        <v>119</v>
      </c>
      <c r="AH1451">
        <v>263</v>
      </c>
      <c r="AI1451">
        <v>217</v>
      </c>
      <c r="AJ1451">
        <v>376</v>
      </c>
      <c r="AK1451">
        <v>265</v>
      </c>
      <c r="AL1451">
        <v>636</v>
      </c>
      <c r="AM1451">
        <v>569</v>
      </c>
      <c r="AN1451">
        <v>1165</v>
      </c>
    </row>
    <row r="1452" spans="2:40" x14ac:dyDescent="0.35">
      <c r="B1452" s="46" t="s">
        <v>2003</v>
      </c>
      <c r="D1452" t="s">
        <v>1460</v>
      </c>
      <c r="E1452" t="s">
        <v>1937</v>
      </c>
      <c r="F1452" s="46" t="s">
        <v>2425</v>
      </c>
      <c r="G1452" t="s">
        <v>627</v>
      </c>
      <c r="H1452" s="47" t="s">
        <v>2426</v>
      </c>
      <c r="I1452" s="47" t="s">
        <v>2427</v>
      </c>
      <c r="J1452" t="s">
        <v>321</v>
      </c>
      <c r="K1452">
        <v>591</v>
      </c>
      <c r="L1452">
        <v>926</v>
      </c>
      <c r="M1452" s="24">
        <v>670</v>
      </c>
      <c r="N1452" s="24">
        <v>1024</v>
      </c>
      <c r="O1452" s="24">
        <v>572</v>
      </c>
      <c r="P1452" s="24">
        <v>971</v>
      </c>
      <c r="Q1452">
        <v>604</v>
      </c>
      <c r="R1452">
        <v>1095</v>
      </c>
      <c r="S1452">
        <v>2129</v>
      </c>
      <c r="T1452">
        <v>2772</v>
      </c>
      <c r="U1452">
        <v>1769</v>
      </c>
      <c r="V1452">
        <v>3406</v>
      </c>
      <c r="W1452">
        <v>2084</v>
      </c>
      <c r="X1452">
        <v>5428</v>
      </c>
      <c r="Z1452" t="str">
        <f t="shared" si="2"/>
        <v/>
      </c>
      <c r="AA1452" t="s">
        <v>321</v>
      </c>
      <c r="AB1452" t="s">
        <v>321</v>
      </c>
      <c r="AC1452">
        <v>670</v>
      </c>
      <c r="AD1452">
        <v>1024</v>
      </c>
      <c r="AE1452">
        <v>572</v>
      </c>
      <c r="AF1452">
        <v>971</v>
      </c>
      <c r="AG1452">
        <v>604</v>
      </c>
      <c r="AH1452">
        <v>1095</v>
      </c>
      <c r="AI1452">
        <v>2129</v>
      </c>
      <c r="AJ1452">
        <v>2772</v>
      </c>
      <c r="AK1452">
        <v>1769</v>
      </c>
      <c r="AL1452">
        <v>3406</v>
      </c>
      <c r="AM1452">
        <v>2084</v>
      </c>
      <c r="AN1452">
        <v>5428</v>
      </c>
    </row>
    <row r="1453" spans="2:40" x14ac:dyDescent="0.35">
      <c r="B1453" s="46" t="s">
        <v>2005</v>
      </c>
      <c r="D1453" t="s">
        <v>1460</v>
      </c>
      <c r="E1453" t="s">
        <v>1937</v>
      </c>
      <c r="F1453" s="46" t="s">
        <v>2329</v>
      </c>
      <c r="G1453" t="s">
        <v>603</v>
      </c>
      <c r="H1453" s="47" t="s">
        <v>2327</v>
      </c>
      <c r="I1453" s="47" t="s">
        <v>2328</v>
      </c>
      <c r="J1453" t="s">
        <v>323</v>
      </c>
      <c r="K1453">
        <v>923</v>
      </c>
      <c r="L1453">
        <v>1631</v>
      </c>
      <c r="M1453" s="24">
        <v>779</v>
      </c>
      <c r="N1453" s="24">
        <v>1654</v>
      </c>
      <c r="O1453" s="24">
        <v>720</v>
      </c>
      <c r="P1453" s="24">
        <v>1566</v>
      </c>
      <c r="Q1453">
        <v>800</v>
      </c>
      <c r="R1453">
        <v>1705</v>
      </c>
      <c r="S1453">
        <v>1560</v>
      </c>
      <c r="T1453">
        <v>2592</v>
      </c>
      <c r="U1453">
        <v>2045</v>
      </c>
      <c r="V1453">
        <v>3697</v>
      </c>
      <c r="W1453">
        <v>2272</v>
      </c>
      <c r="X1453">
        <v>5785</v>
      </c>
      <c r="Z1453" t="str">
        <f t="shared" si="2"/>
        <v/>
      </c>
      <c r="AA1453" t="s">
        <v>323</v>
      </c>
      <c r="AB1453" t="s">
        <v>323</v>
      </c>
      <c r="AC1453">
        <v>779</v>
      </c>
      <c r="AD1453">
        <v>1654</v>
      </c>
      <c r="AE1453">
        <v>720</v>
      </c>
      <c r="AF1453">
        <v>1566</v>
      </c>
      <c r="AG1453">
        <v>800</v>
      </c>
      <c r="AH1453">
        <v>1705</v>
      </c>
      <c r="AI1453">
        <v>1560</v>
      </c>
      <c r="AJ1453">
        <v>2592</v>
      </c>
      <c r="AK1453">
        <v>2045</v>
      </c>
      <c r="AL1453">
        <v>3697</v>
      </c>
      <c r="AM1453">
        <v>2272</v>
      </c>
      <c r="AN1453">
        <v>5785</v>
      </c>
    </row>
    <row r="1454" spans="2:40" x14ac:dyDescent="0.35">
      <c r="B1454" s="46" t="s">
        <v>2007</v>
      </c>
      <c r="D1454" t="s">
        <v>1460</v>
      </c>
      <c r="E1454" t="s">
        <v>1937</v>
      </c>
      <c r="F1454" s="46" t="s">
        <v>1979</v>
      </c>
      <c r="G1454" t="s">
        <v>235</v>
      </c>
      <c r="H1454" s="47" t="s">
        <v>419</v>
      </c>
      <c r="I1454" s="47" t="s">
        <v>1971</v>
      </c>
      <c r="J1454" t="s">
        <v>1980</v>
      </c>
      <c r="K1454">
        <v>104</v>
      </c>
      <c r="L1454">
        <v>178</v>
      </c>
      <c r="M1454" s="24">
        <v>101</v>
      </c>
      <c r="N1454" s="24">
        <v>166</v>
      </c>
      <c r="O1454" s="24">
        <v>79</v>
      </c>
      <c r="P1454" s="24">
        <v>166</v>
      </c>
      <c r="Q1454">
        <v>110</v>
      </c>
      <c r="R1454">
        <v>199</v>
      </c>
      <c r="S1454">
        <v>145</v>
      </c>
      <c r="T1454">
        <v>273</v>
      </c>
      <c r="U1454">
        <v>134</v>
      </c>
      <c r="V1454">
        <v>365</v>
      </c>
      <c r="W1454">
        <v>238</v>
      </c>
      <c r="X1454">
        <v>547</v>
      </c>
      <c r="Z1454" t="str">
        <f t="shared" si="2"/>
        <v/>
      </c>
      <c r="AA1454" t="s">
        <v>1980</v>
      </c>
      <c r="AB1454" t="s">
        <v>1980</v>
      </c>
      <c r="AC1454">
        <v>101</v>
      </c>
      <c r="AD1454">
        <v>166</v>
      </c>
      <c r="AE1454">
        <v>79</v>
      </c>
      <c r="AF1454">
        <v>166</v>
      </c>
      <c r="AG1454">
        <v>110</v>
      </c>
      <c r="AH1454">
        <v>199</v>
      </c>
      <c r="AI1454">
        <v>145</v>
      </c>
      <c r="AJ1454">
        <v>273</v>
      </c>
      <c r="AK1454">
        <v>134</v>
      </c>
      <c r="AL1454">
        <v>365</v>
      </c>
      <c r="AM1454">
        <v>238</v>
      </c>
      <c r="AN1454">
        <v>547</v>
      </c>
    </row>
    <row r="1455" spans="2:40" x14ac:dyDescent="0.35">
      <c r="B1455" s="46" t="s">
        <v>2009</v>
      </c>
      <c r="D1455" t="s">
        <v>1460</v>
      </c>
      <c r="E1455" t="s">
        <v>1937</v>
      </c>
      <c r="F1455" s="46" t="s">
        <v>2371</v>
      </c>
      <c r="G1455" t="s">
        <v>615</v>
      </c>
      <c r="H1455" s="47" t="s">
        <v>2366</v>
      </c>
      <c r="I1455" s="47" t="s">
        <v>2367</v>
      </c>
      <c r="J1455" t="s">
        <v>329</v>
      </c>
      <c r="K1455">
        <v>159</v>
      </c>
      <c r="L1455">
        <v>311</v>
      </c>
      <c r="M1455" s="24">
        <v>154</v>
      </c>
      <c r="N1455" s="24">
        <v>307</v>
      </c>
      <c r="O1455" s="24">
        <v>131</v>
      </c>
      <c r="P1455" s="24">
        <v>274</v>
      </c>
      <c r="Q1455">
        <v>225</v>
      </c>
      <c r="R1455">
        <v>376</v>
      </c>
      <c r="S1455">
        <v>334</v>
      </c>
      <c r="T1455">
        <v>577</v>
      </c>
      <c r="U1455">
        <v>1818</v>
      </c>
      <c r="V1455">
        <v>2138</v>
      </c>
      <c r="W1455">
        <v>2080</v>
      </c>
      <c r="X1455">
        <v>2546</v>
      </c>
      <c r="Z1455" t="str">
        <f t="shared" si="2"/>
        <v/>
      </c>
      <c r="AA1455" t="s">
        <v>329</v>
      </c>
      <c r="AB1455" t="s">
        <v>329</v>
      </c>
      <c r="AC1455">
        <v>154</v>
      </c>
      <c r="AD1455">
        <v>307</v>
      </c>
      <c r="AE1455">
        <v>131</v>
      </c>
      <c r="AF1455">
        <v>274</v>
      </c>
      <c r="AG1455">
        <v>225</v>
      </c>
      <c r="AH1455">
        <v>376</v>
      </c>
      <c r="AI1455">
        <v>334</v>
      </c>
      <c r="AJ1455">
        <v>577</v>
      </c>
      <c r="AK1455">
        <v>1818</v>
      </c>
      <c r="AL1455">
        <v>2138</v>
      </c>
      <c r="AM1455">
        <v>2080</v>
      </c>
      <c r="AN1455">
        <v>2546</v>
      </c>
    </row>
    <row r="1456" spans="2:40" x14ac:dyDescent="0.35">
      <c r="B1456" s="46" t="s">
        <v>2011</v>
      </c>
      <c r="D1456" t="s">
        <v>1460</v>
      </c>
      <c r="E1456" t="s">
        <v>1937</v>
      </c>
      <c r="F1456" s="46" t="s">
        <v>2166</v>
      </c>
      <c r="G1456" t="s">
        <v>577</v>
      </c>
      <c r="H1456" s="47" t="s">
        <v>2163</v>
      </c>
      <c r="I1456" s="47" t="s">
        <v>2164</v>
      </c>
      <c r="J1456" t="s">
        <v>2167</v>
      </c>
      <c r="K1456">
        <v>51</v>
      </c>
      <c r="L1456">
        <v>78</v>
      </c>
      <c r="M1456" s="24">
        <v>48</v>
      </c>
      <c r="N1456" s="24">
        <v>81</v>
      </c>
      <c r="O1456" s="24">
        <v>51</v>
      </c>
      <c r="P1456" s="24">
        <v>88</v>
      </c>
      <c r="Q1456">
        <v>62</v>
      </c>
      <c r="R1456">
        <v>99</v>
      </c>
      <c r="S1456">
        <v>124</v>
      </c>
      <c r="T1456">
        <v>183</v>
      </c>
      <c r="U1456">
        <v>231</v>
      </c>
      <c r="V1456">
        <v>350</v>
      </c>
      <c r="W1456">
        <v>217</v>
      </c>
      <c r="X1456">
        <v>516</v>
      </c>
      <c r="Z1456" t="str">
        <f t="shared" si="2"/>
        <v/>
      </c>
      <c r="AA1456" t="s">
        <v>2167</v>
      </c>
      <c r="AB1456" t="s">
        <v>2167</v>
      </c>
      <c r="AC1456">
        <v>48</v>
      </c>
      <c r="AD1456">
        <v>81</v>
      </c>
      <c r="AE1456">
        <v>51</v>
      </c>
      <c r="AF1456">
        <v>88</v>
      </c>
      <c r="AG1456">
        <v>62</v>
      </c>
      <c r="AH1456">
        <v>99</v>
      </c>
      <c r="AI1456">
        <v>124</v>
      </c>
      <c r="AJ1456">
        <v>183</v>
      </c>
      <c r="AK1456">
        <v>231</v>
      </c>
      <c r="AL1456">
        <v>350</v>
      </c>
      <c r="AM1456">
        <v>217</v>
      </c>
      <c r="AN1456">
        <v>516</v>
      </c>
    </row>
    <row r="1457" spans="2:40" x14ac:dyDescent="0.35">
      <c r="B1457" s="46" t="s">
        <v>2013</v>
      </c>
      <c r="D1457" t="s">
        <v>1460</v>
      </c>
      <c r="E1457" t="s">
        <v>1937</v>
      </c>
      <c r="F1457" s="46" t="s">
        <v>2229</v>
      </c>
      <c r="G1457" t="s">
        <v>588</v>
      </c>
      <c r="H1457" s="47" t="s">
        <v>2230</v>
      </c>
      <c r="I1457" s="47" t="s">
        <v>2231</v>
      </c>
      <c r="J1457" t="s">
        <v>2232</v>
      </c>
      <c r="K1457">
        <v>47</v>
      </c>
      <c r="L1457">
        <v>97</v>
      </c>
      <c r="M1457" s="24">
        <v>31</v>
      </c>
      <c r="N1457" s="24">
        <v>72</v>
      </c>
      <c r="O1457" s="24">
        <v>46</v>
      </c>
      <c r="P1457" s="24">
        <v>105</v>
      </c>
      <c r="Q1457">
        <v>65</v>
      </c>
      <c r="R1457">
        <v>111</v>
      </c>
      <c r="S1457">
        <v>86</v>
      </c>
      <c r="T1457">
        <v>150</v>
      </c>
      <c r="U1457">
        <v>63</v>
      </c>
      <c r="V1457">
        <v>166</v>
      </c>
      <c r="W1457">
        <v>55</v>
      </c>
      <c r="X1457">
        <v>208</v>
      </c>
      <c r="Z1457" t="str">
        <f t="shared" si="2"/>
        <v/>
      </c>
      <c r="AA1457" t="s">
        <v>2232</v>
      </c>
      <c r="AB1457" t="s">
        <v>2232</v>
      </c>
      <c r="AC1457">
        <v>31</v>
      </c>
      <c r="AD1457">
        <v>72</v>
      </c>
      <c r="AE1457">
        <v>46</v>
      </c>
      <c r="AF1457">
        <v>105</v>
      </c>
      <c r="AG1457">
        <v>65</v>
      </c>
      <c r="AH1457">
        <v>111</v>
      </c>
      <c r="AI1457">
        <v>86</v>
      </c>
      <c r="AJ1457">
        <v>150</v>
      </c>
      <c r="AK1457">
        <v>63</v>
      </c>
      <c r="AL1457">
        <v>166</v>
      </c>
      <c r="AM1457">
        <v>55</v>
      </c>
      <c r="AN1457">
        <v>208</v>
      </c>
    </row>
    <row r="1458" spans="2:40" x14ac:dyDescent="0.35">
      <c r="B1458" s="46" t="s">
        <v>2015</v>
      </c>
      <c r="D1458" t="s">
        <v>1460</v>
      </c>
      <c r="E1458" t="s">
        <v>1937</v>
      </c>
      <c r="F1458" s="46" t="s">
        <v>1942</v>
      </c>
      <c r="G1458" t="s">
        <v>231</v>
      </c>
      <c r="H1458" s="47" t="s">
        <v>393</v>
      </c>
      <c r="I1458" s="47" t="s">
        <v>1938</v>
      </c>
      <c r="J1458" t="s">
        <v>1943</v>
      </c>
      <c r="K1458">
        <v>137</v>
      </c>
      <c r="L1458">
        <v>272</v>
      </c>
      <c r="M1458" s="24">
        <v>134</v>
      </c>
      <c r="N1458" s="24">
        <v>270</v>
      </c>
      <c r="O1458" s="24">
        <v>148</v>
      </c>
      <c r="P1458" s="24">
        <v>294</v>
      </c>
      <c r="Q1458">
        <v>139</v>
      </c>
      <c r="R1458">
        <v>305</v>
      </c>
      <c r="S1458">
        <v>232</v>
      </c>
      <c r="T1458">
        <v>394</v>
      </c>
      <c r="U1458">
        <v>238</v>
      </c>
      <c r="V1458">
        <v>600</v>
      </c>
      <c r="W1458">
        <v>297</v>
      </c>
      <c r="X1458">
        <v>1008</v>
      </c>
      <c r="Z1458" t="str">
        <f t="shared" si="2"/>
        <v/>
      </c>
      <c r="AA1458" t="s">
        <v>1943</v>
      </c>
      <c r="AB1458" t="s">
        <v>1943</v>
      </c>
      <c r="AC1458">
        <v>134</v>
      </c>
      <c r="AD1458">
        <v>270</v>
      </c>
      <c r="AE1458">
        <v>148</v>
      </c>
      <c r="AF1458">
        <v>294</v>
      </c>
      <c r="AG1458">
        <v>139</v>
      </c>
      <c r="AH1458">
        <v>305</v>
      </c>
      <c r="AI1458">
        <v>232</v>
      </c>
      <c r="AJ1458">
        <v>394</v>
      </c>
      <c r="AK1458">
        <v>238</v>
      </c>
      <c r="AL1458">
        <v>600</v>
      </c>
      <c r="AM1458">
        <v>297</v>
      </c>
      <c r="AN1458">
        <v>1008</v>
      </c>
    </row>
    <row r="1459" spans="2:40" x14ac:dyDescent="0.35">
      <c r="B1459" s="46" t="s">
        <v>2017</v>
      </c>
      <c r="D1459" t="s">
        <v>1460</v>
      </c>
      <c r="E1459" t="s">
        <v>1937</v>
      </c>
      <c r="F1459" s="46" t="s">
        <v>2097</v>
      </c>
      <c r="G1459" t="s">
        <v>279</v>
      </c>
      <c r="H1459" s="47" t="s">
        <v>1347</v>
      </c>
      <c r="I1459" s="47" t="s">
        <v>2098</v>
      </c>
      <c r="J1459" t="s">
        <v>2099</v>
      </c>
      <c r="K1459">
        <v>24924</v>
      </c>
      <c r="L1459">
        <v>43027</v>
      </c>
      <c r="M1459" s="24">
        <v>23462</v>
      </c>
      <c r="N1459" s="24">
        <v>43185</v>
      </c>
      <c r="O1459" s="24">
        <v>25943</v>
      </c>
      <c r="P1459" s="24">
        <v>46638</v>
      </c>
      <c r="Q1459">
        <v>30675</v>
      </c>
      <c r="R1459">
        <v>55865</v>
      </c>
      <c r="S1459">
        <v>41620</v>
      </c>
      <c r="T1459">
        <v>72579</v>
      </c>
      <c r="U1459">
        <v>42381</v>
      </c>
      <c r="V1459">
        <v>88527</v>
      </c>
      <c r="W1459">
        <v>44270</v>
      </c>
      <c r="X1459">
        <v>109539</v>
      </c>
      <c r="Z1459" t="str">
        <f t="shared" si="2"/>
        <v/>
      </c>
      <c r="AA1459" t="s">
        <v>2099</v>
      </c>
      <c r="AB1459" t="s">
        <v>2099</v>
      </c>
      <c r="AC1459">
        <v>23462</v>
      </c>
      <c r="AD1459">
        <v>43185</v>
      </c>
      <c r="AE1459">
        <v>25943</v>
      </c>
      <c r="AF1459">
        <v>46638</v>
      </c>
      <c r="AG1459">
        <v>30675</v>
      </c>
      <c r="AH1459">
        <v>55865</v>
      </c>
      <c r="AI1459">
        <v>41620</v>
      </c>
      <c r="AJ1459">
        <v>72579</v>
      </c>
      <c r="AK1459">
        <v>42381</v>
      </c>
      <c r="AL1459">
        <v>88527</v>
      </c>
      <c r="AM1459">
        <v>44270</v>
      </c>
      <c r="AN1459">
        <v>109539</v>
      </c>
    </row>
    <row r="1460" spans="2:40" x14ac:dyDescent="0.35">
      <c r="B1460" s="46" t="s">
        <v>2019</v>
      </c>
      <c r="D1460" t="s">
        <v>1460</v>
      </c>
      <c r="E1460" t="s">
        <v>1937</v>
      </c>
      <c r="F1460" s="46" t="s">
        <v>1981</v>
      </c>
      <c r="G1460" t="s">
        <v>235</v>
      </c>
      <c r="H1460" s="47" t="s">
        <v>419</v>
      </c>
      <c r="I1460" s="47" t="s">
        <v>1971</v>
      </c>
      <c r="J1460" t="s">
        <v>1982</v>
      </c>
      <c r="K1460">
        <v>53</v>
      </c>
      <c r="L1460">
        <v>106</v>
      </c>
      <c r="M1460" s="24">
        <v>34</v>
      </c>
      <c r="N1460" s="24">
        <v>107</v>
      </c>
      <c r="O1460" s="24">
        <v>35</v>
      </c>
      <c r="P1460" s="24">
        <v>82</v>
      </c>
      <c r="Q1460">
        <v>33</v>
      </c>
      <c r="R1460">
        <v>82</v>
      </c>
      <c r="S1460">
        <v>53</v>
      </c>
      <c r="T1460">
        <v>121</v>
      </c>
      <c r="U1460">
        <v>59</v>
      </c>
      <c r="V1460">
        <v>183</v>
      </c>
      <c r="W1460">
        <v>121</v>
      </c>
      <c r="X1460">
        <v>304</v>
      </c>
      <c r="Z1460" t="str">
        <f t="shared" si="2"/>
        <v/>
      </c>
      <c r="AA1460" t="s">
        <v>1982</v>
      </c>
      <c r="AB1460" t="s">
        <v>1982</v>
      </c>
      <c r="AC1460">
        <v>34</v>
      </c>
      <c r="AD1460">
        <v>107</v>
      </c>
      <c r="AE1460">
        <v>35</v>
      </c>
      <c r="AF1460">
        <v>82</v>
      </c>
      <c r="AG1460">
        <v>33</v>
      </c>
      <c r="AH1460">
        <v>82</v>
      </c>
      <c r="AI1460">
        <v>53</v>
      </c>
      <c r="AJ1460">
        <v>121</v>
      </c>
      <c r="AK1460">
        <v>59</v>
      </c>
      <c r="AL1460">
        <v>183</v>
      </c>
      <c r="AM1460">
        <v>121</v>
      </c>
      <c r="AN1460">
        <v>304</v>
      </c>
    </row>
    <row r="1461" spans="2:40" x14ac:dyDescent="0.35">
      <c r="B1461" s="46" t="s">
        <v>2020</v>
      </c>
      <c r="D1461" t="s">
        <v>1460</v>
      </c>
      <c r="E1461" t="s">
        <v>1937</v>
      </c>
      <c r="F1461" s="46" t="s">
        <v>2415</v>
      </c>
      <c r="G1461" t="s">
        <v>623</v>
      </c>
      <c r="H1461" s="47" t="s">
        <v>2410</v>
      </c>
      <c r="I1461" s="47" t="s">
        <v>2411</v>
      </c>
      <c r="J1461" t="s">
        <v>2416</v>
      </c>
      <c r="K1461">
        <v>642</v>
      </c>
      <c r="L1461">
        <v>1110</v>
      </c>
      <c r="M1461" s="24">
        <v>575</v>
      </c>
      <c r="N1461" s="24">
        <v>1089</v>
      </c>
      <c r="O1461" s="24">
        <v>716</v>
      </c>
      <c r="P1461" s="24">
        <v>1195</v>
      </c>
      <c r="Q1461">
        <v>909</v>
      </c>
      <c r="R1461">
        <v>1338</v>
      </c>
      <c r="S1461">
        <v>1267</v>
      </c>
      <c r="T1461">
        <v>1821</v>
      </c>
      <c r="U1461">
        <v>1164</v>
      </c>
      <c r="V1461">
        <v>2172</v>
      </c>
      <c r="W1461">
        <v>1155</v>
      </c>
      <c r="X1461">
        <v>2845</v>
      </c>
      <c r="Z1461" t="str">
        <f t="shared" si="2"/>
        <v/>
      </c>
      <c r="AA1461" t="s">
        <v>2416</v>
      </c>
      <c r="AB1461" t="s">
        <v>2416</v>
      </c>
      <c r="AC1461">
        <v>575</v>
      </c>
      <c r="AD1461">
        <v>1089</v>
      </c>
      <c r="AE1461">
        <v>716</v>
      </c>
      <c r="AF1461">
        <v>1195</v>
      </c>
      <c r="AG1461">
        <v>909</v>
      </c>
      <c r="AH1461">
        <v>1338</v>
      </c>
      <c r="AI1461">
        <v>1267</v>
      </c>
      <c r="AJ1461">
        <v>1821</v>
      </c>
      <c r="AK1461">
        <v>1164</v>
      </c>
      <c r="AL1461">
        <v>2172</v>
      </c>
      <c r="AM1461">
        <v>1155</v>
      </c>
      <c r="AN1461">
        <v>2845</v>
      </c>
    </row>
    <row r="1462" spans="2:40" x14ac:dyDescent="0.35">
      <c r="B1462" s="46" t="s">
        <v>2023</v>
      </c>
      <c r="D1462" t="s">
        <v>1460</v>
      </c>
      <c r="E1462" t="s">
        <v>1937</v>
      </c>
      <c r="F1462" s="46" t="s">
        <v>2264</v>
      </c>
      <c r="G1462" t="s">
        <v>592</v>
      </c>
      <c r="H1462" s="47" t="s">
        <v>2257</v>
      </c>
      <c r="I1462" s="47" t="s">
        <v>2258</v>
      </c>
      <c r="J1462" t="s">
        <v>2265</v>
      </c>
      <c r="K1462">
        <v>2949</v>
      </c>
      <c r="L1462">
        <v>4851</v>
      </c>
      <c r="M1462" s="24">
        <v>2504</v>
      </c>
      <c r="N1462" s="24">
        <v>4534</v>
      </c>
      <c r="O1462" s="24">
        <v>2413</v>
      </c>
      <c r="P1462" s="24">
        <v>4930</v>
      </c>
      <c r="Q1462">
        <v>2875</v>
      </c>
      <c r="R1462">
        <v>5831</v>
      </c>
      <c r="S1462">
        <v>3910</v>
      </c>
      <c r="T1462">
        <v>8458</v>
      </c>
      <c r="U1462">
        <v>3774</v>
      </c>
      <c r="V1462">
        <v>10055</v>
      </c>
      <c r="W1462">
        <v>5397</v>
      </c>
      <c r="X1462">
        <v>13943</v>
      </c>
      <c r="Z1462" t="str">
        <f t="shared" si="2"/>
        <v/>
      </c>
      <c r="AA1462" t="s">
        <v>2265</v>
      </c>
      <c r="AB1462" t="s">
        <v>2265</v>
      </c>
      <c r="AC1462">
        <v>2504</v>
      </c>
      <c r="AD1462">
        <v>4534</v>
      </c>
      <c r="AE1462">
        <v>2413</v>
      </c>
      <c r="AF1462">
        <v>4930</v>
      </c>
      <c r="AG1462">
        <v>2875</v>
      </c>
      <c r="AH1462">
        <v>5831</v>
      </c>
      <c r="AI1462">
        <v>3910</v>
      </c>
      <c r="AJ1462">
        <v>8458</v>
      </c>
      <c r="AK1462">
        <v>3774</v>
      </c>
      <c r="AL1462">
        <v>10055</v>
      </c>
      <c r="AM1462">
        <v>5397</v>
      </c>
      <c r="AN1462">
        <v>13943</v>
      </c>
    </row>
    <row r="1463" spans="2:40" x14ac:dyDescent="0.35">
      <c r="B1463" s="46" t="s">
        <v>2025</v>
      </c>
      <c r="D1463" t="s">
        <v>1460</v>
      </c>
      <c r="E1463" t="s">
        <v>1937</v>
      </c>
      <c r="F1463" s="46" t="s">
        <v>1944</v>
      </c>
      <c r="G1463" t="s">
        <v>231</v>
      </c>
      <c r="H1463" s="47" t="s">
        <v>393</v>
      </c>
      <c r="I1463" s="47" t="s">
        <v>1938</v>
      </c>
      <c r="J1463" t="s">
        <v>1945</v>
      </c>
      <c r="K1463">
        <v>254</v>
      </c>
      <c r="L1463">
        <v>551</v>
      </c>
      <c r="M1463" s="24">
        <v>263</v>
      </c>
      <c r="N1463" s="24">
        <v>541</v>
      </c>
      <c r="O1463" s="24">
        <v>308</v>
      </c>
      <c r="P1463" s="24">
        <v>582</v>
      </c>
      <c r="Q1463">
        <v>258</v>
      </c>
      <c r="R1463">
        <v>590</v>
      </c>
      <c r="S1463">
        <v>413</v>
      </c>
      <c r="T1463">
        <v>744</v>
      </c>
      <c r="U1463">
        <v>349</v>
      </c>
      <c r="V1463">
        <v>1098</v>
      </c>
      <c r="W1463">
        <v>420</v>
      </c>
      <c r="X1463">
        <v>1688</v>
      </c>
      <c r="Z1463" t="str">
        <f t="shared" si="2"/>
        <v/>
      </c>
      <c r="AA1463" t="s">
        <v>1945</v>
      </c>
      <c r="AB1463" t="s">
        <v>1945</v>
      </c>
      <c r="AC1463">
        <v>263</v>
      </c>
      <c r="AD1463">
        <v>541</v>
      </c>
      <c r="AE1463">
        <v>308</v>
      </c>
      <c r="AF1463">
        <v>582</v>
      </c>
      <c r="AG1463">
        <v>258</v>
      </c>
      <c r="AH1463">
        <v>590</v>
      </c>
      <c r="AI1463">
        <v>413</v>
      </c>
      <c r="AJ1463">
        <v>744</v>
      </c>
      <c r="AK1463">
        <v>349</v>
      </c>
      <c r="AL1463">
        <v>1098</v>
      </c>
      <c r="AM1463">
        <v>420</v>
      </c>
      <c r="AN1463">
        <v>1688</v>
      </c>
    </row>
    <row r="1464" spans="2:40" x14ac:dyDescent="0.35">
      <c r="B1464" s="46" t="s">
        <v>2027</v>
      </c>
      <c r="D1464" t="s">
        <v>1460</v>
      </c>
      <c r="E1464" t="s">
        <v>1937</v>
      </c>
      <c r="F1464" s="46" t="s">
        <v>2233</v>
      </c>
      <c r="G1464" t="s">
        <v>588</v>
      </c>
      <c r="H1464" s="47" t="s">
        <v>2230</v>
      </c>
      <c r="I1464" s="47" t="s">
        <v>2231</v>
      </c>
      <c r="J1464" t="s">
        <v>2234</v>
      </c>
      <c r="K1464">
        <v>51</v>
      </c>
      <c r="L1464">
        <v>70</v>
      </c>
      <c r="M1464" s="24">
        <v>43</v>
      </c>
      <c r="N1464" s="24">
        <v>61</v>
      </c>
      <c r="O1464" s="24">
        <v>43</v>
      </c>
      <c r="P1464" s="24">
        <v>70</v>
      </c>
      <c r="Q1464">
        <v>45</v>
      </c>
      <c r="R1464">
        <v>77</v>
      </c>
      <c r="S1464">
        <v>71</v>
      </c>
      <c r="T1464">
        <v>103</v>
      </c>
      <c r="U1464">
        <v>90</v>
      </c>
      <c r="V1464">
        <v>170</v>
      </c>
      <c r="W1464">
        <v>173</v>
      </c>
      <c r="X1464">
        <v>304</v>
      </c>
      <c r="Z1464" t="str">
        <f t="shared" si="2"/>
        <v/>
      </c>
      <c r="AA1464" t="s">
        <v>2234</v>
      </c>
      <c r="AB1464" t="s">
        <v>2234</v>
      </c>
      <c r="AC1464">
        <v>43</v>
      </c>
      <c r="AD1464">
        <v>61</v>
      </c>
      <c r="AE1464">
        <v>43</v>
      </c>
      <c r="AF1464">
        <v>70</v>
      </c>
      <c r="AG1464">
        <v>45</v>
      </c>
      <c r="AH1464">
        <v>77</v>
      </c>
      <c r="AI1464">
        <v>71</v>
      </c>
      <c r="AJ1464">
        <v>103</v>
      </c>
      <c r="AK1464">
        <v>90</v>
      </c>
      <c r="AL1464">
        <v>170</v>
      </c>
      <c r="AM1464">
        <v>173</v>
      </c>
      <c r="AN1464">
        <v>304</v>
      </c>
    </row>
    <row r="1465" spans="2:40" x14ac:dyDescent="0.35">
      <c r="B1465" s="46" t="s">
        <v>2028</v>
      </c>
      <c r="D1465" t="s">
        <v>1460</v>
      </c>
      <c r="E1465" t="s">
        <v>1937</v>
      </c>
      <c r="F1465" s="46" t="s">
        <v>2299</v>
      </c>
      <c r="G1465" t="s">
        <v>595</v>
      </c>
      <c r="H1465" s="47" t="s">
        <v>2300</v>
      </c>
      <c r="I1465" s="47" t="s">
        <v>2301</v>
      </c>
      <c r="J1465" t="s">
        <v>2302</v>
      </c>
      <c r="K1465">
        <v>564</v>
      </c>
      <c r="L1465">
        <v>1155</v>
      </c>
      <c r="M1465" s="24">
        <v>557</v>
      </c>
      <c r="N1465" s="24">
        <v>1229</v>
      </c>
      <c r="O1465" s="24">
        <v>703</v>
      </c>
      <c r="P1465" s="24">
        <v>1305</v>
      </c>
      <c r="Q1465">
        <v>669</v>
      </c>
      <c r="R1465">
        <v>1482</v>
      </c>
      <c r="S1465">
        <v>1260</v>
      </c>
      <c r="T1465">
        <v>2089</v>
      </c>
      <c r="U1465">
        <v>1523</v>
      </c>
      <c r="V1465">
        <v>3022</v>
      </c>
      <c r="W1465">
        <v>1753</v>
      </c>
      <c r="X1465">
        <v>4585</v>
      </c>
      <c r="Z1465" t="str">
        <f t="shared" si="2"/>
        <v/>
      </c>
      <c r="AA1465" t="s">
        <v>2302</v>
      </c>
      <c r="AB1465" t="s">
        <v>2302</v>
      </c>
      <c r="AC1465">
        <v>557</v>
      </c>
      <c r="AD1465">
        <v>1229</v>
      </c>
      <c r="AE1465">
        <v>703</v>
      </c>
      <c r="AF1465">
        <v>1305</v>
      </c>
      <c r="AG1465">
        <v>669</v>
      </c>
      <c r="AH1465">
        <v>1482</v>
      </c>
      <c r="AI1465">
        <v>1260</v>
      </c>
      <c r="AJ1465">
        <v>2089</v>
      </c>
      <c r="AK1465">
        <v>1523</v>
      </c>
      <c r="AL1465">
        <v>3022</v>
      </c>
      <c r="AM1465">
        <v>1753</v>
      </c>
      <c r="AN1465">
        <v>4585</v>
      </c>
    </row>
    <row r="1466" spans="2:40" x14ac:dyDescent="0.35">
      <c r="B1466" s="46" t="s">
        <v>2029</v>
      </c>
      <c r="D1466" t="s">
        <v>1460</v>
      </c>
      <c r="E1466" t="s">
        <v>1937</v>
      </c>
      <c r="F1466" s="46" t="s">
        <v>2131</v>
      </c>
      <c r="G1466" t="s">
        <v>293</v>
      </c>
      <c r="H1466" s="47" t="s">
        <v>2128</v>
      </c>
      <c r="I1466" s="47" t="s">
        <v>2129</v>
      </c>
      <c r="J1466" t="s">
        <v>2132</v>
      </c>
      <c r="K1466">
        <v>674</v>
      </c>
      <c r="L1466">
        <v>1228</v>
      </c>
      <c r="M1466" s="24">
        <v>668</v>
      </c>
      <c r="N1466" s="24">
        <v>1245</v>
      </c>
      <c r="O1466" s="24">
        <v>837</v>
      </c>
      <c r="P1466" s="24">
        <v>1418</v>
      </c>
      <c r="Q1466">
        <v>713</v>
      </c>
      <c r="R1466">
        <v>1509</v>
      </c>
      <c r="S1466">
        <v>1154</v>
      </c>
      <c r="T1466">
        <v>2008</v>
      </c>
      <c r="U1466">
        <v>1211</v>
      </c>
      <c r="V1466">
        <v>2707</v>
      </c>
      <c r="W1466">
        <v>1474</v>
      </c>
      <c r="X1466">
        <v>4325</v>
      </c>
      <c r="Z1466" t="str">
        <f t="shared" si="2"/>
        <v/>
      </c>
      <c r="AA1466" t="s">
        <v>2132</v>
      </c>
      <c r="AB1466" t="s">
        <v>2132</v>
      </c>
      <c r="AC1466">
        <v>668</v>
      </c>
      <c r="AD1466">
        <v>1245</v>
      </c>
      <c r="AE1466">
        <v>837</v>
      </c>
      <c r="AF1466">
        <v>1418</v>
      </c>
      <c r="AG1466">
        <v>713</v>
      </c>
      <c r="AH1466">
        <v>1509</v>
      </c>
      <c r="AI1466">
        <v>1154</v>
      </c>
      <c r="AJ1466">
        <v>2008</v>
      </c>
      <c r="AK1466">
        <v>1211</v>
      </c>
      <c r="AL1466">
        <v>2707</v>
      </c>
      <c r="AM1466">
        <v>1474</v>
      </c>
      <c r="AN1466">
        <v>4325</v>
      </c>
    </row>
    <row r="1467" spans="2:40" x14ac:dyDescent="0.35">
      <c r="B1467" s="46" t="s">
        <v>2031</v>
      </c>
      <c r="D1467" t="s">
        <v>1460</v>
      </c>
      <c r="E1467" t="s">
        <v>1937</v>
      </c>
      <c r="F1467" s="46" t="s">
        <v>2372</v>
      </c>
      <c r="G1467" t="s">
        <v>615</v>
      </c>
      <c r="H1467" s="47" t="s">
        <v>2366</v>
      </c>
      <c r="I1467" s="47" t="s">
        <v>2367</v>
      </c>
      <c r="J1467" t="s">
        <v>2373</v>
      </c>
      <c r="K1467">
        <v>27</v>
      </c>
      <c r="L1467">
        <v>49</v>
      </c>
      <c r="M1467" s="24">
        <v>22</v>
      </c>
      <c r="N1467" s="24">
        <v>52</v>
      </c>
      <c r="O1467" s="24">
        <v>20</v>
      </c>
      <c r="P1467" s="24">
        <v>53</v>
      </c>
      <c r="Q1467">
        <v>26</v>
      </c>
      <c r="R1467">
        <v>46</v>
      </c>
      <c r="S1467">
        <v>48</v>
      </c>
      <c r="T1467">
        <v>88</v>
      </c>
      <c r="U1467">
        <v>43</v>
      </c>
      <c r="V1467">
        <v>105</v>
      </c>
      <c r="W1467">
        <v>47</v>
      </c>
      <c r="X1467">
        <v>138</v>
      </c>
      <c r="Z1467" t="str">
        <f t="shared" si="2"/>
        <v/>
      </c>
      <c r="AA1467" t="s">
        <v>2373</v>
      </c>
      <c r="AB1467" t="s">
        <v>2373</v>
      </c>
      <c r="AC1467">
        <v>22</v>
      </c>
      <c r="AD1467">
        <v>52</v>
      </c>
      <c r="AE1467">
        <v>20</v>
      </c>
      <c r="AF1467">
        <v>53</v>
      </c>
      <c r="AG1467">
        <v>26</v>
      </c>
      <c r="AH1467">
        <v>46</v>
      </c>
      <c r="AI1467">
        <v>48</v>
      </c>
      <c r="AJ1467">
        <v>88</v>
      </c>
      <c r="AK1467">
        <v>43</v>
      </c>
      <c r="AL1467">
        <v>105</v>
      </c>
      <c r="AM1467">
        <v>47</v>
      </c>
      <c r="AN1467">
        <v>138</v>
      </c>
    </row>
    <row r="1468" spans="2:40" x14ac:dyDescent="0.35">
      <c r="B1468" s="46" t="s">
        <v>2032</v>
      </c>
      <c r="D1468" t="s">
        <v>1460</v>
      </c>
      <c r="E1468" t="s">
        <v>1937</v>
      </c>
      <c r="F1468" s="46" t="s">
        <v>2203</v>
      </c>
      <c r="G1468" t="s">
        <v>585</v>
      </c>
      <c r="H1468" s="47" t="s">
        <v>2198</v>
      </c>
      <c r="I1468" s="47" t="s">
        <v>2199</v>
      </c>
      <c r="J1468" t="s">
        <v>2204</v>
      </c>
      <c r="K1468">
        <v>60</v>
      </c>
      <c r="L1468">
        <v>113</v>
      </c>
      <c r="M1468" s="24">
        <v>63</v>
      </c>
      <c r="N1468" s="24">
        <v>117</v>
      </c>
      <c r="O1468" s="24">
        <v>55</v>
      </c>
      <c r="P1468" s="24">
        <v>118</v>
      </c>
      <c r="Q1468">
        <v>84</v>
      </c>
      <c r="R1468">
        <v>148</v>
      </c>
      <c r="S1468">
        <v>234</v>
      </c>
      <c r="T1468">
        <v>323</v>
      </c>
      <c r="U1468">
        <v>149</v>
      </c>
      <c r="V1468">
        <v>482</v>
      </c>
      <c r="W1468">
        <v>212</v>
      </c>
      <c r="X1468">
        <v>657</v>
      </c>
      <c r="Z1468" t="str">
        <f t="shared" si="2"/>
        <v/>
      </c>
      <c r="AA1468" t="s">
        <v>2204</v>
      </c>
      <c r="AB1468" t="s">
        <v>2204</v>
      </c>
      <c r="AC1468">
        <v>63</v>
      </c>
      <c r="AD1468">
        <v>117</v>
      </c>
      <c r="AE1468">
        <v>55</v>
      </c>
      <c r="AF1468">
        <v>118</v>
      </c>
      <c r="AG1468">
        <v>84</v>
      </c>
      <c r="AH1468">
        <v>148</v>
      </c>
      <c r="AI1468">
        <v>234</v>
      </c>
      <c r="AJ1468">
        <v>323</v>
      </c>
      <c r="AK1468">
        <v>149</v>
      </c>
      <c r="AL1468">
        <v>482</v>
      </c>
      <c r="AM1468">
        <v>212</v>
      </c>
      <c r="AN1468">
        <v>657</v>
      </c>
    </row>
    <row r="1469" spans="2:40" x14ac:dyDescent="0.35">
      <c r="B1469" s="46" t="s">
        <v>2034</v>
      </c>
      <c r="D1469" t="s">
        <v>1460</v>
      </c>
      <c r="E1469" t="s">
        <v>1937</v>
      </c>
      <c r="F1469" s="46" t="s">
        <v>2235</v>
      </c>
      <c r="G1469" t="s">
        <v>588</v>
      </c>
      <c r="H1469" s="47" t="s">
        <v>2230</v>
      </c>
      <c r="I1469" s="47" t="s">
        <v>2231</v>
      </c>
      <c r="J1469" t="s">
        <v>1867</v>
      </c>
      <c r="K1469">
        <v>72</v>
      </c>
      <c r="L1469">
        <v>99</v>
      </c>
      <c r="M1469" s="24">
        <v>59</v>
      </c>
      <c r="N1469" s="24">
        <v>93</v>
      </c>
      <c r="O1469" s="24">
        <v>87</v>
      </c>
      <c r="P1469" s="24">
        <v>161</v>
      </c>
      <c r="Q1469">
        <v>93</v>
      </c>
      <c r="R1469">
        <v>165</v>
      </c>
      <c r="S1469">
        <v>187</v>
      </c>
      <c r="T1469">
        <v>306</v>
      </c>
      <c r="U1469">
        <v>271</v>
      </c>
      <c r="V1469">
        <v>423</v>
      </c>
      <c r="W1469">
        <v>379</v>
      </c>
      <c r="X1469">
        <v>611</v>
      </c>
      <c r="Z1469" t="str">
        <f t="shared" si="2"/>
        <v/>
      </c>
      <c r="AA1469" t="s">
        <v>1867</v>
      </c>
      <c r="AB1469" t="s">
        <v>1867</v>
      </c>
      <c r="AC1469">
        <v>59</v>
      </c>
      <c r="AD1469">
        <v>93</v>
      </c>
      <c r="AE1469">
        <v>87</v>
      </c>
      <c r="AF1469">
        <v>161</v>
      </c>
      <c r="AG1469">
        <v>93</v>
      </c>
      <c r="AH1469">
        <v>165</v>
      </c>
      <c r="AI1469">
        <v>187</v>
      </c>
      <c r="AJ1469">
        <v>306</v>
      </c>
      <c r="AK1469">
        <v>271</v>
      </c>
      <c r="AL1469">
        <v>423</v>
      </c>
      <c r="AM1469">
        <v>379</v>
      </c>
      <c r="AN1469">
        <v>611</v>
      </c>
    </row>
    <row r="1470" spans="2:40" x14ac:dyDescent="0.35">
      <c r="B1470" s="46" t="s">
        <v>2036</v>
      </c>
      <c r="D1470" t="s">
        <v>1460</v>
      </c>
      <c r="E1470" t="s">
        <v>1937</v>
      </c>
      <c r="F1470" s="46" t="s">
        <v>2168</v>
      </c>
      <c r="G1470" t="s">
        <v>577</v>
      </c>
      <c r="H1470" s="47" t="s">
        <v>2163</v>
      </c>
      <c r="I1470" s="47" t="s">
        <v>2164</v>
      </c>
      <c r="J1470" t="s">
        <v>2169</v>
      </c>
      <c r="K1470">
        <v>120</v>
      </c>
      <c r="L1470">
        <v>188</v>
      </c>
      <c r="M1470" s="24">
        <v>90</v>
      </c>
      <c r="N1470" s="24">
        <v>184</v>
      </c>
      <c r="O1470" s="24">
        <v>91</v>
      </c>
      <c r="P1470" s="24">
        <v>170</v>
      </c>
      <c r="Q1470">
        <v>114</v>
      </c>
      <c r="R1470">
        <v>194</v>
      </c>
      <c r="S1470">
        <v>215</v>
      </c>
      <c r="T1470">
        <v>337</v>
      </c>
      <c r="U1470">
        <v>236</v>
      </c>
      <c r="V1470">
        <v>518</v>
      </c>
      <c r="W1470">
        <v>181</v>
      </c>
      <c r="X1470">
        <v>769</v>
      </c>
      <c r="Z1470" t="str">
        <f t="shared" si="2"/>
        <v/>
      </c>
      <c r="AA1470" t="s">
        <v>2169</v>
      </c>
      <c r="AB1470" t="s">
        <v>2169</v>
      </c>
      <c r="AC1470">
        <v>90</v>
      </c>
      <c r="AD1470">
        <v>184</v>
      </c>
      <c r="AE1470">
        <v>91</v>
      </c>
      <c r="AF1470">
        <v>170</v>
      </c>
      <c r="AG1470">
        <v>114</v>
      </c>
      <c r="AH1470">
        <v>194</v>
      </c>
      <c r="AI1470">
        <v>215</v>
      </c>
      <c r="AJ1470">
        <v>337</v>
      </c>
      <c r="AK1470">
        <v>236</v>
      </c>
      <c r="AL1470">
        <v>518</v>
      </c>
      <c r="AM1470">
        <v>181</v>
      </c>
      <c r="AN1470">
        <v>769</v>
      </c>
    </row>
    <row r="1471" spans="2:40" x14ac:dyDescent="0.35">
      <c r="B1471" s="46" t="s">
        <v>2037</v>
      </c>
      <c r="D1471" t="s">
        <v>1460</v>
      </c>
      <c r="E1471" t="s">
        <v>1937</v>
      </c>
      <c r="F1471" s="46" t="s">
        <v>2114</v>
      </c>
      <c r="G1471" t="s">
        <v>283</v>
      </c>
      <c r="H1471" s="47" t="s">
        <v>1366</v>
      </c>
      <c r="I1471" s="47" t="s">
        <v>2112</v>
      </c>
      <c r="J1471" t="s">
        <v>2115</v>
      </c>
      <c r="K1471">
        <v>80</v>
      </c>
      <c r="L1471">
        <v>128</v>
      </c>
      <c r="M1471" s="24">
        <v>85</v>
      </c>
      <c r="N1471" s="24">
        <v>123</v>
      </c>
      <c r="O1471" s="24">
        <v>98</v>
      </c>
      <c r="P1471" s="24">
        <v>133</v>
      </c>
      <c r="Q1471">
        <v>111</v>
      </c>
      <c r="R1471">
        <v>140</v>
      </c>
      <c r="S1471">
        <v>136</v>
      </c>
      <c r="T1471">
        <v>173</v>
      </c>
      <c r="U1471">
        <v>186</v>
      </c>
      <c r="V1471">
        <v>271</v>
      </c>
      <c r="W1471">
        <v>166</v>
      </c>
      <c r="X1471">
        <v>359</v>
      </c>
      <c r="Z1471" t="str">
        <f t="shared" si="2"/>
        <v/>
      </c>
      <c r="AA1471" t="s">
        <v>2115</v>
      </c>
      <c r="AB1471" t="s">
        <v>2115</v>
      </c>
      <c r="AC1471">
        <v>85</v>
      </c>
      <c r="AD1471">
        <v>123</v>
      </c>
      <c r="AE1471">
        <v>98</v>
      </c>
      <c r="AF1471">
        <v>133</v>
      </c>
      <c r="AG1471">
        <v>111</v>
      </c>
      <c r="AH1471">
        <v>140</v>
      </c>
      <c r="AI1471">
        <v>136</v>
      </c>
      <c r="AJ1471">
        <v>173</v>
      </c>
      <c r="AK1471">
        <v>186</v>
      </c>
      <c r="AL1471">
        <v>271</v>
      </c>
      <c r="AM1471">
        <v>166</v>
      </c>
      <c r="AN1471">
        <v>359</v>
      </c>
    </row>
    <row r="1472" spans="2:40" x14ac:dyDescent="0.35">
      <c r="B1472" s="46" t="s">
        <v>2040</v>
      </c>
      <c r="D1472" t="s">
        <v>1460</v>
      </c>
      <c r="E1472" t="s">
        <v>1937</v>
      </c>
      <c r="F1472" s="46" t="s">
        <v>1983</v>
      </c>
      <c r="G1472" t="s">
        <v>235</v>
      </c>
      <c r="H1472" s="47" t="s">
        <v>419</v>
      </c>
      <c r="I1472" s="47" t="s">
        <v>1971</v>
      </c>
      <c r="J1472" t="s">
        <v>1984</v>
      </c>
      <c r="K1472">
        <v>117</v>
      </c>
      <c r="L1472">
        <v>262</v>
      </c>
      <c r="M1472" s="24">
        <v>99</v>
      </c>
      <c r="N1472" s="24">
        <v>224</v>
      </c>
      <c r="O1472" s="24">
        <v>114</v>
      </c>
      <c r="P1472" s="24">
        <v>254</v>
      </c>
      <c r="Q1472">
        <v>103</v>
      </c>
      <c r="R1472">
        <v>271</v>
      </c>
      <c r="S1472">
        <v>184</v>
      </c>
      <c r="T1472">
        <v>367</v>
      </c>
      <c r="U1472">
        <v>207</v>
      </c>
      <c r="V1472">
        <v>584</v>
      </c>
      <c r="W1472">
        <v>380</v>
      </c>
      <c r="X1472">
        <v>836</v>
      </c>
      <c r="Z1472" t="str">
        <f t="shared" si="2"/>
        <v/>
      </c>
      <c r="AA1472" t="s">
        <v>1984</v>
      </c>
      <c r="AB1472" t="s">
        <v>1984</v>
      </c>
      <c r="AC1472">
        <v>99</v>
      </c>
      <c r="AD1472">
        <v>224</v>
      </c>
      <c r="AE1472">
        <v>114</v>
      </c>
      <c r="AF1472">
        <v>254</v>
      </c>
      <c r="AG1472">
        <v>103</v>
      </c>
      <c r="AH1472">
        <v>271</v>
      </c>
      <c r="AI1472">
        <v>184</v>
      </c>
      <c r="AJ1472">
        <v>367</v>
      </c>
      <c r="AK1472">
        <v>207</v>
      </c>
      <c r="AL1472">
        <v>584</v>
      </c>
      <c r="AM1472">
        <v>380</v>
      </c>
      <c r="AN1472">
        <v>836</v>
      </c>
    </row>
    <row r="1473" spans="2:40" x14ac:dyDescent="0.35">
      <c r="B1473" s="46" t="s">
        <v>2041</v>
      </c>
      <c r="D1473" t="s">
        <v>1460</v>
      </c>
      <c r="E1473" t="s">
        <v>1937</v>
      </c>
      <c r="F1473" s="46" t="s">
        <v>2100</v>
      </c>
      <c r="G1473" t="s">
        <v>279</v>
      </c>
      <c r="H1473" s="47" t="s">
        <v>1347</v>
      </c>
      <c r="I1473" s="47" t="s">
        <v>2098</v>
      </c>
      <c r="J1473" t="s">
        <v>347</v>
      </c>
      <c r="K1473">
        <v>69480</v>
      </c>
      <c r="L1473">
        <v>106923</v>
      </c>
      <c r="M1473" s="24">
        <v>60786</v>
      </c>
      <c r="N1473" s="24">
        <v>100002</v>
      </c>
      <c r="O1473" s="24">
        <v>61232</v>
      </c>
      <c r="P1473" s="24">
        <v>101386</v>
      </c>
      <c r="Q1473">
        <v>66825</v>
      </c>
      <c r="R1473">
        <v>114858</v>
      </c>
      <c r="S1473">
        <v>100102</v>
      </c>
      <c r="T1473">
        <v>160646</v>
      </c>
      <c r="U1473">
        <v>99144</v>
      </c>
      <c r="V1473">
        <v>227106</v>
      </c>
      <c r="W1473">
        <v>99202</v>
      </c>
      <c r="X1473">
        <v>318959</v>
      </c>
      <c r="Z1473" t="str">
        <f t="shared" si="2"/>
        <v/>
      </c>
      <c r="AA1473" t="s">
        <v>347</v>
      </c>
      <c r="AB1473" t="s">
        <v>347</v>
      </c>
      <c r="AC1473">
        <v>60786</v>
      </c>
      <c r="AD1473">
        <v>100002</v>
      </c>
      <c r="AE1473">
        <v>61232</v>
      </c>
      <c r="AF1473">
        <v>101386</v>
      </c>
      <c r="AG1473">
        <v>66825</v>
      </c>
      <c r="AH1473">
        <v>114858</v>
      </c>
      <c r="AI1473">
        <v>100102</v>
      </c>
      <c r="AJ1473">
        <v>160646</v>
      </c>
      <c r="AK1473">
        <v>99144</v>
      </c>
      <c r="AL1473">
        <v>227106</v>
      </c>
      <c r="AM1473">
        <v>99202</v>
      </c>
      <c r="AN1473">
        <v>318959</v>
      </c>
    </row>
    <row r="1474" spans="2:40" x14ac:dyDescent="0.35">
      <c r="B1474" s="46" t="s">
        <v>2042</v>
      </c>
      <c r="D1474" t="s">
        <v>1460</v>
      </c>
      <c r="E1474" t="s">
        <v>1937</v>
      </c>
      <c r="F1474" s="46" t="s">
        <v>2205</v>
      </c>
      <c r="G1474" t="s">
        <v>585</v>
      </c>
      <c r="H1474" s="47" t="s">
        <v>2198</v>
      </c>
      <c r="I1474" s="47" t="s">
        <v>2199</v>
      </c>
      <c r="J1474" t="s">
        <v>936</v>
      </c>
      <c r="K1474">
        <v>194</v>
      </c>
      <c r="L1474">
        <v>352</v>
      </c>
      <c r="M1474" s="24">
        <v>142</v>
      </c>
      <c r="N1474" s="24">
        <v>294</v>
      </c>
      <c r="O1474" s="24">
        <v>121</v>
      </c>
      <c r="P1474" s="24">
        <v>282</v>
      </c>
      <c r="Q1474">
        <v>181</v>
      </c>
      <c r="R1474">
        <v>315</v>
      </c>
      <c r="S1474">
        <v>323</v>
      </c>
      <c r="T1474">
        <v>501</v>
      </c>
      <c r="U1474">
        <v>294</v>
      </c>
      <c r="V1474">
        <v>691</v>
      </c>
      <c r="W1474">
        <v>475</v>
      </c>
      <c r="X1474">
        <v>988</v>
      </c>
      <c r="Z1474" t="str">
        <f t="shared" si="2"/>
        <v/>
      </c>
      <c r="AA1474" t="s">
        <v>936</v>
      </c>
      <c r="AB1474" t="s">
        <v>936</v>
      </c>
      <c r="AC1474">
        <v>142</v>
      </c>
      <c r="AD1474">
        <v>294</v>
      </c>
      <c r="AE1474">
        <v>121</v>
      </c>
      <c r="AF1474">
        <v>282</v>
      </c>
      <c r="AG1474">
        <v>181</v>
      </c>
      <c r="AH1474">
        <v>315</v>
      </c>
      <c r="AI1474">
        <v>323</v>
      </c>
      <c r="AJ1474">
        <v>501</v>
      </c>
      <c r="AK1474">
        <v>294</v>
      </c>
      <c r="AL1474">
        <v>691</v>
      </c>
      <c r="AM1474">
        <v>475</v>
      </c>
      <c r="AN1474">
        <v>988</v>
      </c>
    </row>
    <row r="1475" spans="2:40" x14ac:dyDescent="0.35">
      <c r="B1475" s="46" t="s">
        <v>2043</v>
      </c>
      <c r="D1475" t="s">
        <v>1460</v>
      </c>
      <c r="E1475" t="s">
        <v>1937</v>
      </c>
      <c r="F1475" s="46" t="s">
        <v>1985</v>
      </c>
      <c r="G1475" t="s">
        <v>235</v>
      </c>
      <c r="H1475" s="47" t="s">
        <v>419</v>
      </c>
      <c r="I1475" s="47" t="s">
        <v>1971</v>
      </c>
      <c r="J1475" t="s">
        <v>1986</v>
      </c>
      <c r="K1475">
        <v>280</v>
      </c>
      <c r="L1475">
        <v>491</v>
      </c>
      <c r="M1475" s="24">
        <v>223</v>
      </c>
      <c r="N1475" s="24">
        <v>463</v>
      </c>
      <c r="O1475" s="24">
        <v>243</v>
      </c>
      <c r="P1475" s="24">
        <v>495</v>
      </c>
      <c r="Q1475">
        <v>271</v>
      </c>
      <c r="R1475">
        <v>537</v>
      </c>
      <c r="S1475">
        <v>415</v>
      </c>
      <c r="T1475">
        <v>684</v>
      </c>
      <c r="U1475">
        <v>455</v>
      </c>
      <c r="V1475">
        <v>1075</v>
      </c>
      <c r="W1475">
        <v>847</v>
      </c>
      <c r="X1475">
        <v>1856</v>
      </c>
      <c r="Z1475" t="str">
        <f t="shared" si="2"/>
        <v/>
      </c>
      <c r="AA1475" t="s">
        <v>1986</v>
      </c>
      <c r="AB1475" t="s">
        <v>1986</v>
      </c>
      <c r="AC1475">
        <v>223</v>
      </c>
      <c r="AD1475">
        <v>463</v>
      </c>
      <c r="AE1475">
        <v>243</v>
      </c>
      <c r="AF1475">
        <v>495</v>
      </c>
      <c r="AG1475">
        <v>271</v>
      </c>
      <c r="AH1475">
        <v>537</v>
      </c>
      <c r="AI1475">
        <v>415</v>
      </c>
      <c r="AJ1475">
        <v>684</v>
      </c>
      <c r="AK1475">
        <v>455</v>
      </c>
      <c r="AL1475">
        <v>1075</v>
      </c>
      <c r="AM1475">
        <v>847</v>
      </c>
      <c r="AN1475">
        <v>1856</v>
      </c>
    </row>
    <row r="1476" spans="2:40" x14ac:dyDescent="0.35">
      <c r="B1476" s="46" t="s">
        <v>2044</v>
      </c>
      <c r="D1476" t="s">
        <v>1460</v>
      </c>
      <c r="E1476" t="s">
        <v>1937</v>
      </c>
      <c r="F1476" s="46" t="s">
        <v>2314</v>
      </c>
      <c r="G1476" t="s">
        <v>599</v>
      </c>
      <c r="H1476" s="47" t="s">
        <v>2307</v>
      </c>
      <c r="I1476" s="47" t="s">
        <v>2308</v>
      </c>
      <c r="J1476" t="s">
        <v>2315</v>
      </c>
      <c r="K1476">
        <v>90</v>
      </c>
      <c r="L1476">
        <v>157</v>
      </c>
      <c r="M1476" s="24">
        <v>71</v>
      </c>
      <c r="N1476" s="24">
        <v>166</v>
      </c>
      <c r="O1476" s="24">
        <v>91</v>
      </c>
      <c r="P1476" s="24">
        <v>183</v>
      </c>
      <c r="Q1476">
        <v>93</v>
      </c>
      <c r="R1476">
        <v>179</v>
      </c>
      <c r="S1476">
        <v>99</v>
      </c>
      <c r="T1476">
        <v>232</v>
      </c>
      <c r="U1476">
        <v>223</v>
      </c>
      <c r="V1476">
        <v>402</v>
      </c>
      <c r="W1476">
        <v>392</v>
      </c>
      <c r="X1476">
        <v>706</v>
      </c>
      <c r="Z1476" t="str">
        <f t="shared" si="2"/>
        <v/>
      </c>
      <c r="AA1476" t="s">
        <v>2315</v>
      </c>
      <c r="AB1476" t="s">
        <v>2315</v>
      </c>
      <c r="AC1476">
        <v>71</v>
      </c>
      <c r="AD1476">
        <v>166</v>
      </c>
      <c r="AE1476">
        <v>91</v>
      </c>
      <c r="AF1476">
        <v>183</v>
      </c>
      <c r="AG1476">
        <v>93</v>
      </c>
      <c r="AH1476">
        <v>179</v>
      </c>
      <c r="AI1476">
        <v>99</v>
      </c>
      <c r="AJ1476">
        <v>232</v>
      </c>
      <c r="AK1476">
        <v>223</v>
      </c>
      <c r="AL1476">
        <v>402</v>
      </c>
      <c r="AM1476">
        <v>392</v>
      </c>
      <c r="AN1476">
        <v>706</v>
      </c>
    </row>
    <row r="1477" spans="2:40" x14ac:dyDescent="0.35">
      <c r="B1477" s="46" t="s">
        <v>2046</v>
      </c>
      <c r="D1477" t="s">
        <v>1460</v>
      </c>
      <c r="E1477" t="s">
        <v>1937</v>
      </c>
      <c r="F1477" s="46" t="s">
        <v>2390</v>
      </c>
      <c r="G1477" t="s">
        <v>619</v>
      </c>
      <c r="H1477" s="47" t="s">
        <v>2391</v>
      </c>
      <c r="I1477" s="47" t="s">
        <v>2392</v>
      </c>
      <c r="J1477" t="s">
        <v>2393</v>
      </c>
      <c r="K1477">
        <v>16521</v>
      </c>
      <c r="L1477">
        <v>26997</v>
      </c>
      <c r="M1477" s="24">
        <v>16408</v>
      </c>
      <c r="N1477" s="24">
        <v>26752</v>
      </c>
      <c r="O1477" s="24">
        <v>16131</v>
      </c>
      <c r="P1477" s="24">
        <v>28872</v>
      </c>
      <c r="Q1477">
        <v>17303</v>
      </c>
      <c r="R1477">
        <v>33421</v>
      </c>
      <c r="S1477">
        <v>23372</v>
      </c>
      <c r="T1477">
        <v>46137</v>
      </c>
      <c r="U1477">
        <v>24990</v>
      </c>
      <c r="V1477">
        <v>57344</v>
      </c>
      <c r="W1477">
        <v>48496</v>
      </c>
      <c r="X1477">
        <v>96201</v>
      </c>
      <c r="Z1477" t="str">
        <f t="shared" si="2"/>
        <v/>
      </c>
      <c r="AA1477" t="s">
        <v>2393</v>
      </c>
      <c r="AB1477" t="s">
        <v>2393</v>
      </c>
      <c r="AC1477">
        <v>16408</v>
      </c>
      <c r="AD1477">
        <v>26752</v>
      </c>
      <c r="AE1477">
        <v>16131</v>
      </c>
      <c r="AF1477">
        <v>28872</v>
      </c>
      <c r="AG1477">
        <v>17303</v>
      </c>
      <c r="AH1477">
        <v>33421</v>
      </c>
      <c r="AI1477">
        <v>23372</v>
      </c>
      <c r="AJ1477">
        <v>46137</v>
      </c>
      <c r="AK1477">
        <v>24990</v>
      </c>
      <c r="AL1477">
        <v>57344</v>
      </c>
      <c r="AM1477">
        <v>48496</v>
      </c>
      <c r="AN1477">
        <v>96201</v>
      </c>
    </row>
    <row r="1478" spans="2:40" x14ac:dyDescent="0.35">
      <c r="B1478" s="46" t="s">
        <v>2047</v>
      </c>
      <c r="D1478" t="s">
        <v>1460</v>
      </c>
      <c r="E1478" t="s">
        <v>1937</v>
      </c>
      <c r="F1478" s="46" t="s">
        <v>2341</v>
      </c>
      <c r="G1478" t="s">
        <v>607</v>
      </c>
      <c r="H1478" s="47" t="s">
        <v>2339</v>
      </c>
      <c r="I1478" s="47" t="s">
        <v>2340</v>
      </c>
      <c r="J1478" t="s">
        <v>2342</v>
      </c>
      <c r="K1478">
        <v>412</v>
      </c>
      <c r="L1478">
        <v>738</v>
      </c>
      <c r="M1478" s="24">
        <v>398</v>
      </c>
      <c r="N1478" s="24">
        <v>728</v>
      </c>
      <c r="O1478" s="24">
        <v>414</v>
      </c>
      <c r="P1478" s="24">
        <v>711</v>
      </c>
      <c r="Q1478">
        <v>381</v>
      </c>
      <c r="R1478">
        <v>767</v>
      </c>
      <c r="S1478">
        <v>685</v>
      </c>
      <c r="T1478">
        <v>1081</v>
      </c>
      <c r="U1478">
        <v>898</v>
      </c>
      <c r="V1478">
        <v>1560</v>
      </c>
      <c r="W1478">
        <v>1004</v>
      </c>
      <c r="X1478">
        <v>2432</v>
      </c>
      <c r="Z1478" t="str">
        <f t="shared" si="2"/>
        <v/>
      </c>
      <c r="AA1478" t="s">
        <v>2342</v>
      </c>
      <c r="AB1478" t="s">
        <v>2342</v>
      </c>
      <c r="AC1478">
        <v>398</v>
      </c>
      <c r="AD1478">
        <v>728</v>
      </c>
      <c r="AE1478">
        <v>414</v>
      </c>
      <c r="AF1478">
        <v>711</v>
      </c>
      <c r="AG1478">
        <v>381</v>
      </c>
      <c r="AH1478">
        <v>767</v>
      </c>
      <c r="AI1478">
        <v>685</v>
      </c>
      <c r="AJ1478">
        <v>1081</v>
      </c>
      <c r="AK1478">
        <v>898</v>
      </c>
      <c r="AL1478">
        <v>1560</v>
      </c>
      <c r="AM1478">
        <v>1004</v>
      </c>
      <c r="AN1478">
        <v>2432</v>
      </c>
    </row>
    <row r="1479" spans="2:40" x14ac:dyDescent="0.35">
      <c r="B1479" s="46" t="s">
        <v>2048</v>
      </c>
      <c r="D1479" t="s">
        <v>1460</v>
      </c>
      <c r="E1479" t="s">
        <v>1937</v>
      </c>
      <c r="F1479" s="46" t="s">
        <v>2170</v>
      </c>
      <c r="G1479" t="s">
        <v>577</v>
      </c>
      <c r="H1479" s="47" t="s">
        <v>2163</v>
      </c>
      <c r="I1479" s="47" t="s">
        <v>2164</v>
      </c>
      <c r="J1479" t="s">
        <v>2171</v>
      </c>
      <c r="K1479">
        <v>22</v>
      </c>
      <c r="L1479">
        <v>52</v>
      </c>
      <c r="M1479" s="24">
        <v>25</v>
      </c>
      <c r="N1479" s="24">
        <v>58</v>
      </c>
      <c r="O1479" s="24">
        <v>26</v>
      </c>
      <c r="P1479" s="24">
        <v>63</v>
      </c>
      <c r="Q1479">
        <v>23</v>
      </c>
      <c r="R1479">
        <v>49</v>
      </c>
      <c r="S1479">
        <v>41</v>
      </c>
      <c r="T1479">
        <v>90</v>
      </c>
      <c r="U1479">
        <v>29</v>
      </c>
      <c r="V1479">
        <v>118</v>
      </c>
      <c r="W1479">
        <v>38</v>
      </c>
      <c r="X1479">
        <v>180</v>
      </c>
      <c r="Z1479" t="str">
        <f t="shared" si="2"/>
        <v/>
      </c>
      <c r="AA1479" t="s">
        <v>2171</v>
      </c>
      <c r="AB1479" t="s">
        <v>2171</v>
      </c>
      <c r="AC1479">
        <v>25</v>
      </c>
      <c r="AD1479">
        <v>58</v>
      </c>
      <c r="AE1479">
        <v>26</v>
      </c>
      <c r="AF1479">
        <v>63</v>
      </c>
      <c r="AG1479">
        <v>23</v>
      </c>
      <c r="AH1479">
        <v>49</v>
      </c>
      <c r="AI1479">
        <v>41</v>
      </c>
      <c r="AJ1479">
        <v>90</v>
      </c>
      <c r="AK1479">
        <v>29</v>
      </c>
      <c r="AL1479">
        <v>118</v>
      </c>
      <c r="AM1479">
        <v>38</v>
      </c>
      <c r="AN1479">
        <v>180</v>
      </c>
    </row>
    <row r="1480" spans="2:40" x14ac:dyDescent="0.35">
      <c r="B1480" s="46" t="s">
        <v>2049</v>
      </c>
      <c r="D1480" t="s">
        <v>1460</v>
      </c>
      <c r="E1480" t="s">
        <v>1937</v>
      </c>
      <c r="F1480" s="46" t="s">
        <v>2266</v>
      </c>
      <c r="G1480" t="s">
        <v>592</v>
      </c>
      <c r="H1480" s="47" t="s">
        <v>2257</v>
      </c>
      <c r="I1480" s="47" t="s">
        <v>2258</v>
      </c>
      <c r="J1480" t="s">
        <v>2267</v>
      </c>
      <c r="K1480">
        <v>330</v>
      </c>
      <c r="L1480">
        <v>492</v>
      </c>
      <c r="M1480" s="24">
        <v>270</v>
      </c>
      <c r="N1480" s="24">
        <v>455</v>
      </c>
      <c r="O1480" s="24">
        <v>248</v>
      </c>
      <c r="P1480" s="24">
        <v>419</v>
      </c>
      <c r="Q1480">
        <v>291</v>
      </c>
      <c r="R1480">
        <v>423</v>
      </c>
      <c r="S1480">
        <v>518</v>
      </c>
      <c r="T1480">
        <v>716</v>
      </c>
      <c r="U1480">
        <v>667</v>
      </c>
      <c r="V1480">
        <v>964</v>
      </c>
      <c r="W1480">
        <v>677</v>
      </c>
      <c r="X1480">
        <v>1450</v>
      </c>
      <c r="Z1480" t="str">
        <f t="shared" si="2"/>
        <v/>
      </c>
      <c r="AA1480" t="s">
        <v>2267</v>
      </c>
      <c r="AB1480" t="s">
        <v>2267</v>
      </c>
      <c r="AC1480">
        <v>270</v>
      </c>
      <c r="AD1480">
        <v>455</v>
      </c>
      <c r="AE1480">
        <v>248</v>
      </c>
      <c r="AF1480">
        <v>419</v>
      </c>
      <c r="AG1480">
        <v>291</v>
      </c>
      <c r="AH1480">
        <v>423</v>
      </c>
      <c r="AI1480">
        <v>518</v>
      </c>
      <c r="AJ1480">
        <v>716</v>
      </c>
      <c r="AK1480">
        <v>667</v>
      </c>
      <c r="AL1480">
        <v>964</v>
      </c>
      <c r="AM1480">
        <v>677</v>
      </c>
      <c r="AN1480">
        <v>1450</v>
      </c>
    </row>
    <row r="1481" spans="2:40" x14ac:dyDescent="0.35">
      <c r="B1481" s="46" t="s">
        <v>2051</v>
      </c>
      <c r="D1481" t="s">
        <v>1460</v>
      </c>
      <c r="E1481" t="s">
        <v>1937</v>
      </c>
      <c r="F1481" s="46" t="s">
        <v>1987</v>
      </c>
      <c r="G1481" t="s">
        <v>235</v>
      </c>
      <c r="H1481" s="47" t="s">
        <v>419</v>
      </c>
      <c r="I1481" s="47" t="s">
        <v>1971</v>
      </c>
      <c r="J1481" t="s">
        <v>1988</v>
      </c>
      <c r="K1481">
        <v>76</v>
      </c>
      <c r="L1481">
        <v>138</v>
      </c>
      <c r="M1481" s="24">
        <v>73</v>
      </c>
      <c r="N1481" s="24">
        <v>130</v>
      </c>
      <c r="O1481" s="24">
        <v>61</v>
      </c>
      <c r="P1481" s="24">
        <v>115</v>
      </c>
      <c r="Q1481">
        <v>48</v>
      </c>
      <c r="R1481">
        <v>103</v>
      </c>
      <c r="S1481">
        <v>101</v>
      </c>
      <c r="T1481">
        <v>185</v>
      </c>
      <c r="U1481">
        <v>102</v>
      </c>
      <c r="V1481">
        <v>208</v>
      </c>
      <c r="W1481">
        <v>219</v>
      </c>
      <c r="X1481">
        <v>375</v>
      </c>
      <c r="Z1481" t="str">
        <f t="shared" si="2"/>
        <v/>
      </c>
      <c r="AA1481" t="s">
        <v>1988</v>
      </c>
      <c r="AB1481" t="s">
        <v>1988</v>
      </c>
      <c r="AC1481">
        <v>73</v>
      </c>
      <c r="AD1481">
        <v>130</v>
      </c>
      <c r="AE1481">
        <v>61</v>
      </c>
      <c r="AF1481">
        <v>115</v>
      </c>
      <c r="AG1481">
        <v>48</v>
      </c>
      <c r="AH1481">
        <v>103</v>
      </c>
      <c r="AI1481">
        <v>101</v>
      </c>
      <c r="AJ1481">
        <v>185</v>
      </c>
      <c r="AK1481">
        <v>102</v>
      </c>
      <c r="AL1481">
        <v>208</v>
      </c>
      <c r="AM1481">
        <v>219</v>
      </c>
      <c r="AN1481">
        <v>375</v>
      </c>
    </row>
    <row r="1482" spans="2:40" x14ac:dyDescent="0.35">
      <c r="B1482" s="46" t="s">
        <v>2053</v>
      </c>
      <c r="D1482" t="s">
        <v>1460</v>
      </c>
      <c r="E1482" t="s">
        <v>1937</v>
      </c>
      <c r="F1482" s="46" t="s">
        <v>2140</v>
      </c>
      <c r="G1482" t="s">
        <v>303</v>
      </c>
      <c r="H1482" s="47" t="s">
        <v>2141</v>
      </c>
      <c r="I1482" s="47" t="s">
        <v>2142</v>
      </c>
      <c r="J1482" t="s">
        <v>583</v>
      </c>
      <c r="K1482">
        <v>268</v>
      </c>
      <c r="L1482">
        <v>395</v>
      </c>
      <c r="M1482" s="24">
        <v>254</v>
      </c>
      <c r="N1482" s="24">
        <v>381</v>
      </c>
      <c r="O1482" s="24">
        <v>328</v>
      </c>
      <c r="P1482" s="24">
        <v>497</v>
      </c>
      <c r="Q1482">
        <v>515</v>
      </c>
      <c r="R1482">
        <v>688</v>
      </c>
      <c r="S1482">
        <v>1224</v>
      </c>
      <c r="T1482">
        <v>1452</v>
      </c>
      <c r="U1482">
        <v>1298</v>
      </c>
      <c r="V1482">
        <v>1859</v>
      </c>
      <c r="W1482">
        <v>1709</v>
      </c>
      <c r="X1482">
        <v>2800</v>
      </c>
      <c r="Z1482" t="str">
        <f t="shared" ref="Z1482:Z1545" si="3">IF(AA1482=AB1482,"","N")</f>
        <v/>
      </c>
      <c r="AA1482" t="s">
        <v>583</v>
      </c>
      <c r="AB1482" t="s">
        <v>583</v>
      </c>
      <c r="AC1482">
        <v>254</v>
      </c>
      <c r="AD1482">
        <v>381</v>
      </c>
      <c r="AE1482">
        <v>328</v>
      </c>
      <c r="AF1482">
        <v>497</v>
      </c>
      <c r="AG1482">
        <v>515</v>
      </c>
      <c r="AH1482">
        <v>688</v>
      </c>
      <c r="AI1482">
        <v>1224</v>
      </c>
      <c r="AJ1482">
        <v>1452</v>
      </c>
      <c r="AK1482">
        <v>1298</v>
      </c>
      <c r="AL1482">
        <v>1859</v>
      </c>
      <c r="AM1482">
        <v>1709</v>
      </c>
      <c r="AN1482">
        <v>2800</v>
      </c>
    </row>
    <row r="1483" spans="2:40" x14ac:dyDescent="0.35">
      <c r="B1483" s="46" t="s">
        <v>2055</v>
      </c>
      <c r="D1483" t="s">
        <v>1460</v>
      </c>
      <c r="E1483" t="s">
        <v>1937</v>
      </c>
      <c r="F1483" s="46" t="s">
        <v>1946</v>
      </c>
      <c r="G1483" t="s">
        <v>231</v>
      </c>
      <c r="H1483" s="47" t="s">
        <v>393</v>
      </c>
      <c r="I1483" s="47" t="s">
        <v>1938</v>
      </c>
      <c r="J1483" t="s">
        <v>1947</v>
      </c>
      <c r="K1483">
        <v>387</v>
      </c>
      <c r="L1483">
        <v>740</v>
      </c>
      <c r="M1483" s="24">
        <v>325</v>
      </c>
      <c r="N1483" s="24">
        <v>706</v>
      </c>
      <c r="O1483" s="24">
        <v>335</v>
      </c>
      <c r="P1483" s="24">
        <v>651</v>
      </c>
      <c r="Q1483">
        <v>404</v>
      </c>
      <c r="R1483">
        <v>704</v>
      </c>
      <c r="S1483">
        <v>629</v>
      </c>
      <c r="T1483">
        <v>1007</v>
      </c>
      <c r="U1483">
        <v>491</v>
      </c>
      <c r="V1483">
        <v>1311</v>
      </c>
      <c r="W1483">
        <v>472</v>
      </c>
      <c r="X1483">
        <v>1837</v>
      </c>
      <c r="Z1483" t="str">
        <f t="shared" si="3"/>
        <v/>
      </c>
      <c r="AA1483" t="s">
        <v>1947</v>
      </c>
      <c r="AB1483" t="s">
        <v>1947</v>
      </c>
      <c r="AC1483">
        <v>325</v>
      </c>
      <c r="AD1483">
        <v>706</v>
      </c>
      <c r="AE1483">
        <v>335</v>
      </c>
      <c r="AF1483">
        <v>651</v>
      </c>
      <c r="AG1483">
        <v>404</v>
      </c>
      <c r="AH1483">
        <v>704</v>
      </c>
      <c r="AI1483">
        <v>629</v>
      </c>
      <c r="AJ1483">
        <v>1007</v>
      </c>
      <c r="AK1483">
        <v>491</v>
      </c>
      <c r="AL1483">
        <v>1311</v>
      </c>
      <c r="AM1483">
        <v>472</v>
      </c>
      <c r="AN1483">
        <v>1837</v>
      </c>
    </row>
    <row r="1484" spans="2:40" x14ac:dyDescent="0.35">
      <c r="B1484" s="46" t="s">
        <v>2056</v>
      </c>
      <c r="D1484" t="s">
        <v>1460</v>
      </c>
      <c r="E1484" t="s">
        <v>1937</v>
      </c>
      <c r="F1484" s="46" t="s">
        <v>2206</v>
      </c>
      <c r="G1484" t="s">
        <v>585</v>
      </c>
      <c r="H1484" s="47" t="s">
        <v>2198</v>
      </c>
      <c r="I1484" s="47" t="s">
        <v>2199</v>
      </c>
      <c r="J1484" t="s">
        <v>2207</v>
      </c>
      <c r="K1484">
        <v>2073</v>
      </c>
      <c r="L1484">
        <v>3760</v>
      </c>
      <c r="M1484" s="24">
        <v>1690</v>
      </c>
      <c r="N1484" s="24">
        <v>3675</v>
      </c>
      <c r="O1484" s="24">
        <v>2157</v>
      </c>
      <c r="P1484" s="24">
        <v>4150</v>
      </c>
      <c r="Q1484">
        <v>4210</v>
      </c>
      <c r="R1484">
        <v>6222</v>
      </c>
      <c r="S1484">
        <v>7176</v>
      </c>
      <c r="T1484">
        <v>11320</v>
      </c>
      <c r="U1484">
        <v>6659</v>
      </c>
      <c r="V1484">
        <v>15115</v>
      </c>
      <c r="W1484">
        <v>13565</v>
      </c>
      <c r="X1484">
        <v>26445</v>
      </c>
      <c r="Z1484" t="str">
        <f t="shared" si="3"/>
        <v/>
      </c>
      <c r="AA1484" t="s">
        <v>2207</v>
      </c>
      <c r="AB1484" t="s">
        <v>2207</v>
      </c>
      <c r="AC1484">
        <v>1690</v>
      </c>
      <c r="AD1484">
        <v>3675</v>
      </c>
      <c r="AE1484">
        <v>2157</v>
      </c>
      <c r="AF1484">
        <v>4150</v>
      </c>
      <c r="AG1484">
        <v>4210</v>
      </c>
      <c r="AH1484">
        <v>6222</v>
      </c>
      <c r="AI1484">
        <v>7176</v>
      </c>
      <c r="AJ1484">
        <v>11320</v>
      </c>
      <c r="AK1484">
        <v>6659</v>
      </c>
      <c r="AL1484">
        <v>15115</v>
      </c>
      <c r="AM1484">
        <v>13565</v>
      </c>
      <c r="AN1484">
        <v>26445</v>
      </c>
    </row>
    <row r="1485" spans="2:40" x14ac:dyDescent="0.35">
      <c r="B1485" s="46" t="s">
        <v>2058</v>
      </c>
      <c r="D1485" t="s">
        <v>1460</v>
      </c>
      <c r="E1485" t="s">
        <v>1937</v>
      </c>
      <c r="F1485" s="46" t="s">
        <v>2268</v>
      </c>
      <c r="G1485" t="s">
        <v>592</v>
      </c>
      <c r="H1485" s="47" t="s">
        <v>2257</v>
      </c>
      <c r="I1485" s="47" t="s">
        <v>2258</v>
      </c>
      <c r="J1485" t="s">
        <v>2269</v>
      </c>
      <c r="K1485">
        <v>72</v>
      </c>
      <c r="L1485">
        <v>112</v>
      </c>
      <c r="M1485" s="24">
        <v>72</v>
      </c>
      <c r="N1485" s="24">
        <v>103</v>
      </c>
      <c r="O1485" s="24">
        <v>67</v>
      </c>
      <c r="P1485" s="24">
        <v>112</v>
      </c>
      <c r="Q1485">
        <v>72</v>
      </c>
      <c r="R1485">
        <v>150</v>
      </c>
      <c r="S1485">
        <v>179</v>
      </c>
      <c r="T1485">
        <v>261</v>
      </c>
      <c r="U1485">
        <v>304</v>
      </c>
      <c r="V1485">
        <v>495</v>
      </c>
      <c r="W1485">
        <v>319</v>
      </c>
      <c r="X1485">
        <v>736</v>
      </c>
      <c r="Z1485" t="str">
        <f t="shared" si="3"/>
        <v/>
      </c>
      <c r="AA1485" t="s">
        <v>2269</v>
      </c>
      <c r="AB1485" t="s">
        <v>2269</v>
      </c>
      <c r="AC1485">
        <v>72</v>
      </c>
      <c r="AD1485">
        <v>103</v>
      </c>
      <c r="AE1485">
        <v>67</v>
      </c>
      <c r="AF1485">
        <v>112</v>
      </c>
      <c r="AG1485">
        <v>72</v>
      </c>
      <c r="AH1485">
        <v>150</v>
      </c>
      <c r="AI1485">
        <v>179</v>
      </c>
      <c r="AJ1485">
        <v>261</v>
      </c>
      <c r="AK1485">
        <v>304</v>
      </c>
      <c r="AL1485">
        <v>495</v>
      </c>
      <c r="AM1485">
        <v>319</v>
      </c>
      <c r="AN1485">
        <v>736</v>
      </c>
    </row>
    <row r="1486" spans="2:40" x14ac:dyDescent="0.35">
      <c r="B1486" s="46" t="s">
        <v>2060</v>
      </c>
      <c r="D1486" t="s">
        <v>1460</v>
      </c>
      <c r="E1486" t="s">
        <v>1937</v>
      </c>
      <c r="F1486" s="46" t="s">
        <v>2101</v>
      </c>
      <c r="G1486" t="s">
        <v>279</v>
      </c>
      <c r="H1486" s="47" t="s">
        <v>1347</v>
      </c>
      <c r="I1486" s="47" t="s">
        <v>2098</v>
      </c>
      <c r="J1486" t="s">
        <v>2102</v>
      </c>
      <c r="K1486">
        <v>5185</v>
      </c>
      <c r="L1486">
        <v>8119</v>
      </c>
      <c r="M1486" s="24">
        <v>29155</v>
      </c>
      <c r="N1486" s="24">
        <v>44199</v>
      </c>
      <c r="O1486" s="24">
        <v>5642</v>
      </c>
      <c r="P1486" s="24">
        <v>8861</v>
      </c>
      <c r="Q1486">
        <v>31216</v>
      </c>
      <c r="R1486">
        <v>49386</v>
      </c>
      <c r="S1486">
        <v>45410</v>
      </c>
      <c r="T1486">
        <v>68792</v>
      </c>
      <c r="U1486">
        <v>52796</v>
      </c>
      <c r="V1486">
        <v>82545</v>
      </c>
      <c r="W1486">
        <v>59016</v>
      </c>
      <c r="X1486">
        <v>106958</v>
      </c>
      <c r="Z1486" t="str">
        <f t="shared" si="3"/>
        <v/>
      </c>
      <c r="AA1486" t="s">
        <v>2117</v>
      </c>
      <c r="AB1486" t="s">
        <v>2117</v>
      </c>
      <c r="AC1486">
        <v>29155</v>
      </c>
      <c r="AD1486">
        <v>44199</v>
      </c>
      <c r="AE1486">
        <v>5642</v>
      </c>
      <c r="AF1486">
        <v>8861</v>
      </c>
      <c r="AG1486">
        <v>31216</v>
      </c>
      <c r="AH1486">
        <v>49386</v>
      </c>
      <c r="AI1486">
        <v>45410</v>
      </c>
      <c r="AJ1486">
        <v>68792</v>
      </c>
      <c r="AK1486">
        <v>52796</v>
      </c>
      <c r="AL1486">
        <v>82545</v>
      </c>
      <c r="AM1486">
        <v>59016</v>
      </c>
      <c r="AN1486">
        <v>106958</v>
      </c>
    </row>
    <row r="1487" spans="2:40" x14ac:dyDescent="0.35">
      <c r="B1487" s="46" t="s">
        <v>2063</v>
      </c>
      <c r="D1487" t="s">
        <v>1460</v>
      </c>
      <c r="E1487" t="s">
        <v>1937</v>
      </c>
      <c r="F1487" s="46" t="s">
        <v>2116</v>
      </c>
      <c r="G1487" t="s">
        <v>283</v>
      </c>
      <c r="H1487" s="47" t="s">
        <v>1366</v>
      </c>
      <c r="I1487" s="47" t="s">
        <v>2112</v>
      </c>
      <c r="J1487" t="s">
        <v>2117</v>
      </c>
      <c r="K1487">
        <v>33241</v>
      </c>
      <c r="L1487">
        <v>48495</v>
      </c>
      <c r="M1487" s="24">
        <v>4700</v>
      </c>
      <c r="N1487" s="24">
        <v>8088</v>
      </c>
      <c r="O1487" s="24">
        <v>27254</v>
      </c>
      <c r="P1487" s="24">
        <v>41838</v>
      </c>
      <c r="Q1487">
        <v>4308</v>
      </c>
      <c r="R1487">
        <v>7866</v>
      </c>
      <c r="S1487">
        <v>4030</v>
      </c>
      <c r="T1487">
        <v>8732</v>
      </c>
      <c r="U1487">
        <v>4217</v>
      </c>
      <c r="V1487">
        <v>10644</v>
      </c>
      <c r="W1487">
        <v>5078</v>
      </c>
      <c r="X1487">
        <v>15557</v>
      </c>
      <c r="Z1487" t="str">
        <f t="shared" si="3"/>
        <v/>
      </c>
      <c r="AA1487" t="s">
        <v>2102</v>
      </c>
      <c r="AB1487" t="s">
        <v>2102</v>
      </c>
      <c r="AC1487">
        <v>4700</v>
      </c>
      <c r="AD1487">
        <v>8088</v>
      </c>
      <c r="AE1487">
        <v>27254</v>
      </c>
      <c r="AF1487">
        <v>41838</v>
      </c>
      <c r="AG1487">
        <v>4308</v>
      </c>
      <c r="AH1487">
        <v>7866</v>
      </c>
      <c r="AI1487">
        <v>4030</v>
      </c>
      <c r="AJ1487">
        <v>8732</v>
      </c>
      <c r="AK1487">
        <v>4217</v>
      </c>
      <c r="AL1487">
        <v>10644</v>
      </c>
      <c r="AM1487">
        <v>5078</v>
      </c>
      <c r="AN1487">
        <v>15557</v>
      </c>
    </row>
    <row r="1488" spans="2:40" x14ac:dyDescent="0.35">
      <c r="B1488" s="46" t="s">
        <v>2065</v>
      </c>
      <c r="D1488" t="s">
        <v>1460</v>
      </c>
      <c r="E1488" t="s">
        <v>1937</v>
      </c>
      <c r="F1488" s="46" t="s">
        <v>2394</v>
      </c>
      <c r="G1488" t="s">
        <v>619</v>
      </c>
      <c r="H1488" s="47" t="s">
        <v>2391</v>
      </c>
      <c r="I1488" s="47" t="s">
        <v>2392</v>
      </c>
      <c r="J1488" t="s">
        <v>2395</v>
      </c>
      <c r="K1488">
        <v>950</v>
      </c>
      <c r="L1488">
        <v>1895</v>
      </c>
      <c r="M1488" s="24">
        <v>892</v>
      </c>
      <c r="N1488" s="24">
        <v>1972</v>
      </c>
      <c r="O1488" s="24">
        <v>984</v>
      </c>
      <c r="P1488" s="24">
        <v>2022</v>
      </c>
      <c r="Q1488">
        <v>1246</v>
      </c>
      <c r="R1488">
        <v>2277</v>
      </c>
      <c r="S1488">
        <v>1717</v>
      </c>
      <c r="T1488">
        <v>3042</v>
      </c>
      <c r="U1488">
        <v>1894</v>
      </c>
      <c r="V1488">
        <v>3914</v>
      </c>
      <c r="W1488">
        <v>1472</v>
      </c>
      <c r="X1488">
        <v>4675</v>
      </c>
      <c r="Z1488" t="str">
        <f t="shared" si="3"/>
        <v/>
      </c>
      <c r="AA1488" t="s">
        <v>2395</v>
      </c>
      <c r="AB1488" t="s">
        <v>2395</v>
      </c>
      <c r="AC1488">
        <v>892</v>
      </c>
      <c r="AD1488">
        <v>1972</v>
      </c>
      <c r="AE1488">
        <v>984</v>
      </c>
      <c r="AF1488">
        <v>2022</v>
      </c>
      <c r="AG1488">
        <v>1246</v>
      </c>
      <c r="AH1488">
        <v>2277</v>
      </c>
      <c r="AI1488">
        <v>1717</v>
      </c>
      <c r="AJ1488">
        <v>3042</v>
      </c>
      <c r="AK1488">
        <v>1894</v>
      </c>
      <c r="AL1488">
        <v>3914</v>
      </c>
      <c r="AM1488">
        <v>1472</v>
      </c>
      <c r="AN1488">
        <v>4675</v>
      </c>
    </row>
    <row r="1489" spans="2:40" x14ac:dyDescent="0.35">
      <c r="B1489" s="46" t="s">
        <v>2067</v>
      </c>
      <c r="D1489" t="s">
        <v>1460</v>
      </c>
      <c r="E1489" t="s">
        <v>1937</v>
      </c>
      <c r="F1489" s="46" t="s">
        <v>2356</v>
      </c>
      <c r="G1489" t="s">
        <v>611</v>
      </c>
      <c r="H1489" s="47" t="s">
        <v>2353</v>
      </c>
      <c r="I1489" s="47" t="s">
        <v>2354</v>
      </c>
      <c r="J1489" t="s">
        <v>2357</v>
      </c>
      <c r="K1489">
        <v>269</v>
      </c>
      <c r="L1489">
        <v>491</v>
      </c>
      <c r="M1489" s="24">
        <v>257</v>
      </c>
      <c r="N1489" s="24">
        <v>487</v>
      </c>
      <c r="O1489" s="24">
        <v>791</v>
      </c>
      <c r="P1489" s="24">
        <v>1010</v>
      </c>
      <c r="Q1489">
        <v>310</v>
      </c>
      <c r="R1489">
        <v>758</v>
      </c>
      <c r="S1489">
        <v>546</v>
      </c>
      <c r="T1489">
        <v>817</v>
      </c>
      <c r="U1489">
        <v>616</v>
      </c>
      <c r="V1489">
        <v>1266</v>
      </c>
      <c r="W1489">
        <v>764</v>
      </c>
      <c r="X1489">
        <v>2040</v>
      </c>
      <c r="Z1489" t="str">
        <f t="shared" si="3"/>
        <v/>
      </c>
      <c r="AA1489" t="s">
        <v>2357</v>
      </c>
      <c r="AB1489" t="s">
        <v>2357</v>
      </c>
      <c r="AC1489">
        <v>257</v>
      </c>
      <c r="AD1489">
        <v>487</v>
      </c>
      <c r="AE1489">
        <v>791</v>
      </c>
      <c r="AF1489">
        <v>1010</v>
      </c>
      <c r="AG1489">
        <v>310</v>
      </c>
      <c r="AH1489">
        <v>758</v>
      </c>
      <c r="AI1489">
        <v>546</v>
      </c>
      <c r="AJ1489">
        <v>817</v>
      </c>
      <c r="AK1489">
        <v>616</v>
      </c>
      <c r="AL1489">
        <v>1266</v>
      </c>
      <c r="AM1489">
        <v>764</v>
      </c>
      <c r="AN1489">
        <v>2040</v>
      </c>
    </row>
    <row r="1490" spans="2:40" x14ac:dyDescent="0.35">
      <c r="B1490" s="46" t="s">
        <v>2070</v>
      </c>
      <c r="D1490" t="s">
        <v>1460</v>
      </c>
      <c r="E1490" t="s">
        <v>1937</v>
      </c>
      <c r="F1490" s="46" t="s">
        <v>2303</v>
      </c>
      <c r="G1490" t="s">
        <v>595</v>
      </c>
      <c r="H1490" s="47" t="s">
        <v>2300</v>
      </c>
      <c r="I1490" s="47" t="s">
        <v>2301</v>
      </c>
      <c r="J1490" t="s">
        <v>927</v>
      </c>
      <c r="K1490">
        <v>520</v>
      </c>
      <c r="L1490">
        <v>929</v>
      </c>
      <c r="M1490" s="24">
        <v>501</v>
      </c>
      <c r="N1490" s="24">
        <v>975</v>
      </c>
      <c r="O1490" s="24">
        <v>509</v>
      </c>
      <c r="P1490" s="24">
        <v>964</v>
      </c>
      <c r="Q1490">
        <v>623</v>
      </c>
      <c r="R1490">
        <v>1090</v>
      </c>
      <c r="S1490">
        <v>880</v>
      </c>
      <c r="T1490">
        <v>1578</v>
      </c>
      <c r="U1490">
        <v>970</v>
      </c>
      <c r="V1490">
        <v>2169</v>
      </c>
      <c r="W1490">
        <v>1103</v>
      </c>
      <c r="X1490">
        <v>3316</v>
      </c>
      <c r="Z1490" t="str">
        <f t="shared" si="3"/>
        <v/>
      </c>
      <c r="AA1490" t="s">
        <v>927</v>
      </c>
      <c r="AB1490" t="s">
        <v>927</v>
      </c>
      <c r="AC1490">
        <v>501</v>
      </c>
      <c r="AD1490">
        <v>975</v>
      </c>
      <c r="AE1490">
        <v>509</v>
      </c>
      <c r="AF1490">
        <v>964</v>
      </c>
      <c r="AG1490">
        <v>623</v>
      </c>
      <c r="AH1490">
        <v>1090</v>
      </c>
      <c r="AI1490">
        <v>880</v>
      </c>
      <c r="AJ1490">
        <v>1578</v>
      </c>
      <c r="AK1490">
        <v>970</v>
      </c>
      <c r="AL1490">
        <v>2169</v>
      </c>
      <c r="AM1490">
        <v>1103</v>
      </c>
      <c r="AN1490">
        <v>3316</v>
      </c>
    </row>
    <row r="1491" spans="2:40" x14ac:dyDescent="0.35">
      <c r="B1491" s="46" t="s">
        <v>2072</v>
      </c>
      <c r="D1491" t="s">
        <v>1460</v>
      </c>
      <c r="E1491" t="s">
        <v>1937</v>
      </c>
      <c r="F1491" s="46" t="s">
        <v>2028</v>
      </c>
      <c r="G1491" t="s">
        <v>239</v>
      </c>
      <c r="H1491" s="47" t="s">
        <v>450</v>
      </c>
      <c r="I1491" s="47" t="s">
        <v>2021</v>
      </c>
      <c r="J1491" t="s">
        <v>353</v>
      </c>
      <c r="K1491">
        <v>612</v>
      </c>
      <c r="L1491">
        <v>861</v>
      </c>
      <c r="M1491" s="24">
        <v>490</v>
      </c>
      <c r="N1491" s="24">
        <v>740</v>
      </c>
      <c r="O1491" s="24">
        <v>422</v>
      </c>
      <c r="P1491" s="24">
        <v>671</v>
      </c>
      <c r="Q1491">
        <v>411</v>
      </c>
      <c r="R1491">
        <v>724</v>
      </c>
      <c r="S1491">
        <v>611</v>
      </c>
      <c r="T1491">
        <v>1063</v>
      </c>
      <c r="U1491">
        <v>518</v>
      </c>
      <c r="V1491">
        <v>1309</v>
      </c>
      <c r="W1491">
        <v>628</v>
      </c>
      <c r="X1491">
        <v>1935</v>
      </c>
      <c r="Z1491" t="str">
        <f t="shared" si="3"/>
        <v/>
      </c>
      <c r="AA1491" t="s">
        <v>353</v>
      </c>
      <c r="AB1491" t="s">
        <v>353</v>
      </c>
      <c r="AC1491">
        <v>490</v>
      </c>
      <c r="AD1491">
        <v>740</v>
      </c>
      <c r="AE1491">
        <v>422</v>
      </c>
      <c r="AF1491">
        <v>671</v>
      </c>
      <c r="AG1491">
        <v>411</v>
      </c>
      <c r="AH1491">
        <v>724</v>
      </c>
      <c r="AI1491">
        <v>611</v>
      </c>
      <c r="AJ1491">
        <v>1063</v>
      </c>
      <c r="AK1491">
        <v>518</v>
      </c>
      <c r="AL1491">
        <v>1309</v>
      </c>
      <c r="AM1491">
        <v>628</v>
      </c>
      <c r="AN1491">
        <v>1935</v>
      </c>
    </row>
    <row r="1492" spans="2:40" x14ac:dyDescent="0.35">
      <c r="B1492" s="46" t="s">
        <v>2074</v>
      </c>
      <c r="D1492" t="s">
        <v>1460</v>
      </c>
      <c r="E1492" t="s">
        <v>1937</v>
      </c>
      <c r="F1492" s="46" t="s">
        <v>1948</v>
      </c>
      <c r="G1492" t="s">
        <v>231</v>
      </c>
      <c r="H1492" s="47" t="s">
        <v>393</v>
      </c>
      <c r="I1492" s="47" t="s">
        <v>1938</v>
      </c>
      <c r="J1492" t="s">
        <v>1949</v>
      </c>
      <c r="K1492">
        <v>55</v>
      </c>
      <c r="L1492">
        <v>108</v>
      </c>
      <c r="M1492" s="24">
        <v>39</v>
      </c>
      <c r="N1492" s="24">
        <v>84</v>
      </c>
      <c r="O1492" s="24">
        <v>40</v>
      </c>
      <c r="P1492" s="24">
        <v>73</v>
      </c>
      <c r="Q1492">
        <v>65</v>
      </c>
      <c r="R1492">
        <v>115</v>
      </c>
      <c r="S1492">
        <v>89</v>
      </c>
      <c r="T1492">
        <v>130</v>
      </c>
      <c r="U1492">
        <v>137</v>
      </c>
      <c r="V1492">
        <v>297</v>
      </c>
      <c r="W1492">
        <v>128</v>
      </c>
      <c r="X1492">
        <v>561</v>
      </c>
      <c r="Z1492" t="str">
        <f t="shared" si="3"/>
        <v/>
      </c>
      <c r="AA1492" t="s">
        <v>1949</v>
      </c>
      <c r="AB1492" t="s">
        <v>1949</v>
      </c>
      <c r="AC1492">
        <v>39</v>
      </c>
      <c r="AD1492">
        <v>84</v>
      </c>
      <c r="AE1492">
        <v>40</v>
      </c>
      <c r="AF1492">
        <v>73</v>
      </c>
      <c r="AG1492">
        <v>65</v>
      </c>
      <c r="AH1492">
        <v>115</v>
      </c>
      <c r="AI1492">
        <v>89</v>
      </c>
      <c r="AJ1492">
        <v>130</v>
      </c>
      <c r="AK1492">
        <v>137</v>
      </c>
      <c r="AL1492">
        <v>297</v>
      </c>
      <c r="AM1492">
        <v>128</v>
      </c>
      <c r="AN1492">
        <v>561</v>
      </c>
    </row>
    <row r="1493" spans="2:40" x14ac:dyDescent="0.35">
      <c r="B1493" s="46" t="s">
        <v>2075</v>
      </c>
      <c r="D1493" t="s">
        <v>1460</v>
      </c>
      <c r="E1493" t="s">
        <v>1937</v>
      </c>
      <c r="F1493" s="46" t="s">
        <v>2172</v>
      </c>
      <c r="G1493" t="s">
        <v>577</v>
      </c>
      <c r="H1493" s="47" t="s">
        <v>2163</v>
      </c>
      <c r="I1493" s="47" t="s">
        <v>2164</v>
      </c>
      <c r="J1493" t="s">
        <v>996</v>
      </c>
      <c r="K1493">
        <v>119</v>
      </c>
      <c r="L1493">
        <v>196</v>
      </c>
      <c r="M1493" s="24">
        <v>80</v>
      </c>
      <c r="N1493" s="24">
        <v>159</v>
      </c>
      <c r="O1493" s="24">
        <v>101</v>
      </c>
      <c r="P1493" s="24">
        <v>176</v>
      </c>
      <c r="Q1493">
        <v>127</v>
      </c>
      <c r="R1493">
        <v>206</v>
      </c>
      <c r="S1493">
        <v>271</v>
      </c>
      <c r="T1493">
        <v>378</v>
      </c>
      <c r="U1493">
        <v>276</v>
      </c>
      <c r="V1493">
        <v>608</v>
      </c>
      <c r="W1493">
        <v>287</v>
      </c>
      <c r="X1493">
        <v>952</v>
      </c>
      <c r="Z1493" t="str">
        <f t="shared" si="3"/>
        <v/>
      </c>
      <c r="AA1493" t="s">
        <v>996</v>
      </c>
      <c r="AB1493" t="s">
        <v>996</v>
      </c>
      <c r="AC1493">
        <v>80</v>
      </c>
      <c r="AD1493">
        <v>159</v>
      </c>
      <c r="AE1493">
        <v>101</v>
      </c>
      <c r="AF1493">
        <v>176</v>
      </c>
      <c r="AG1493">
        <v>127</v>
      </c>
      <c r="AH1493">
        <v>206</v>
      </c>
      <c r="AI1493">
        <v>271</v>
      </c>
      <c r="AJ1493">
        <v>378</v>
      </c>
      <c r="AK1493">
        <v>276</v>
      </c>
      <c r="AL1493">
        <v>608</v>
      </c>
      <c r="AM1493">
        <v>287</v>
      </c>
      <c r="AN1493">
        <v>952</v>
      </c>
    </row>
    <row r="1494" spans="2:40" x14ac:dyDescent="0.35">
      <c r="B1494" s="46" t="s">
        <v>2076</v>
      </c>
      <c r="D1494" t="s">
        <v>1460</v>
      </c>
      <c r="E1494" t="s">
        <v>1937</v>
      </c>
      <c r="F1494" s="46" t="s">
        <v>2374</v>
      </c>
      <c r="G1494" t="s">
        <v>615</v>
      </c>
      <c r="H1494" s="47" t="s">
        <v>2366</v>
      </c>
      <c r="I1494" s="47" t="s">
        <v>2367</v>
      </c>
      <c r="J1494" t="s">
        <v>2375</v>
      </c>
      <c r="K1494">
        <v>27</v>
      </c>
      <c r="L1494">
        <v>43</v>
      </c>
      <c r="M1494" s="24">
        <v>27</v>
      </c>
      <c r="N1494" s="24">
        <v>54</v>
      </c>
      <c r="O1494" s="24">
        <v>25</v>
      </c>
      <c r="P1494" s="24">
        <v>43</v>
      </c>
      <c r="Q1494">
        <v>22</v>
      </c>
      <c r="R1494">
        <v>44</v>
      </c>
      <c r="S1494">
        <v>51</v>
      </c>
      <c r="T1494">
        <v>77</v>
      </c>
      <c r="U1494">
        <v>119</v>
      </c>
      <c r="V1494">
        <v>162</v>
      </c>
      <c r="W1494">
        <v>190</v>
      </c>
      <c r="X1494">
        <v>255</v>
      </c>
      <c r="Z1494" t="str">
        <f t="shared" si="3"/>
        <v/>
      </c>
      <c r="AA1494" t="s">
        <v>2375</v>
      </c>
      <c r="AB1494" t="s">
        <v>2375</v>
      </c>
      <c r="AC1494">
        <v>27</v>
      </c>
      <c r="AD1494">
        <v>54</v>
      </c>
      <c r="AE1494">
        <v>25</v>
      </c>
      <c r="AF1494">
        <v>43</v>
      </c>
      <c r="AG1494">
        <v>22</v>
      </c>
      <c r="AH1494">
        <v>44</v>
      </c>
      <c r="AI1494">
        <v>51</v>
      </c>
      <c r="AJ1494">
        <v>77</v>
      </c>
      <c r="AK1494">
        <v>119</v>
      </c>
      <c r="AL1494">
        <v>162</v>
      </c>
      <c r="AM1494">
        <v>190</v>
      </c>
      <c r="AN1494">
        <v>255</v>
      </c>
    </row>
    <row r="1495" spans="2:40" x14ac:dyDescent="0.35">
      <c r="B1495" s="46" t="s">
        <v>2078</v>
      </c>
      <c r="D1495" t="s">
        <v>1460</v>
      </c>
      <c r="E1495" t="s">
        <v>1937</v>
      </c>
      <c r="F1495" s="46" t="s">
        <v>2417</v>
      </c>
      <c r="G1495" t="s">
        <v>623</v>
      </c>
      <c r="H1495" s="47" t="s">
        <v>2410</v>
      </c>
      <c r="I1495" s="47" t="s">
        <v>2411</v>
      </c>
      <c r="J1495" t="s">
        <v>2418</v>
      </c>
      <c r="K1495">
        <v>30943</v>
      </c>
      <c r="L1495">
        <v>50700</v>
      </c>
      <c r="M1495" s="24">
        <v>30613</v>
      </c>
      <c r="N1495" s="24">
        <v>49605</v>
      </c>
      <c r="O1495" s="24">
        <v>32394</v>
      </c>
      <c r="P1495" s="24">
        <v>51232</v>
      </c>
      <c r="Q1495">
        <v>44581</v>
      </c>
      <c r="R1495">
        <v>69483</v>
      </c>
      <c r="S1495">
        <v>57338</v>
      </c>
      <c r="T1495">
        <v>86326</v>
      </c>
      <c r="U1495">
        <v>51261</v>
      </c>
      <c r="V1495">
        <v>90381</v>
      </c>
      <c r="W1495">
        <v>73960</v>
      </c>
      <c r="X1495">
        <v>127325</v>
      </c>
      <c r="Z1495" t="str">
        <f t="shared" si="3"/>
        <v/>
      </c>
      <c r="AA1495" t="s">
        <v>2418</v>
      </c>
      <c r="AB1495" t="s">
        <v>2418</v>
      </c>
      <c r="AC1495">
        <v>30613</v>
      </c>
      <c r="AD1495">
        <v>49605</v>
      </c>
      <c r="AE1495">
        <v>32394</v>
      </c>
      <c r="AF1495">
        <v>51232</v>
      </c>
      <c r="AG1495">
        <v>44581</v>
      </c>
      <c r="AH1495">
        <v>69483</v>
      </c>
      <c r="AI1495">
        <v>57338</v>
      </c>
      <c r="AJ1495">
        <v>86326</v>
      </c>
      <c r="AK1495">
        <v>51261</v>
      </c>
      <c r="AL1495">
        <v>90381</v>
      </c>
      <c r="AM1495">
        <v>73960</v>
      </c>
      <c r="AN1495">
        <v>127325</v>
      </c>
    </row>
    <row r="1496" spans="2:40" x14ac:dyDescent="0.35">
      <c r="B1496" s="46" t="s">
        <v>2079</v>
      </c>
      <c r="D1496" t="s">
        <v>1460</v>
      </c>
      <c r="E1496" t="s">
        <v>1937</v>
      </c>
      <c r="F1496" s="46" t="s">
        <v>2316</v>
      </c>
      <c r="G1496" t="s">
        <v>599</v>
      </c>
      <c r="H1496" s="47" t="s">
        <v>2307</v>
      </c>
      <c r="I1496" s="47" t="s">
        <v>2308</v>
      </c>
      <c r="J1496" t="s">
        <v>355</v>
      </c>
      <c r="K1496">
        <v>258</v>
      </c>
      <c r="L1496">
        <v>498</v>
      </c>
      <c r="M1496" s="24">
        <v>225</v>
      </c>
      <c r="N1496" s="24">
        <v>497</v>
      </c>
      <c r="O1496" s="24">
        <v>207</v>
      </c>
      <c r="P1496" s="24">
        <v>444</v>
      </c>
      <c r="Q1496">
        <v>233</v>
      </c>
      <c r="R1496">
        <v>524</v>
      </c>
      <c r="S1496">
        <v>476</v>
      </c>
      <c r="T1496">
        <v>801</v>
      </c>
      <c r="U1496">
        <v>418</v>
      </c>
      <c r="V1496">
        <v>1082</v>
      </c>
      <c r="W1496">
        <v>510</v>
      </c>
      <c r="X1496">
        <v>1567</v>
      </c>
      <c r="Z1496" t="str">
        <f t="shared" si="3"/>
        <v/>
      </c>
      <c r="AA1496" t="s">
        <v>355</v>
      </c>
      <c r="AB1496" t="s">
        <v>355</v>
      </c>
      <c r="AC1496">
        <v>225</v>
      </c>
      <c r="AD1496">
        <v>497</v>
      </c>
      <c r="AE1496">
        <v>207</v>
      </c>
      <c r="AF1496">
        <v>444</v>
      </c>
      <c r="AG1496">
        <v>233</v>
      </c>
      <c r="AH1496">
        <v>524</v>
      </c>
      <c r="AI1496">
        <v>476</v>
      </c>
      <c r="AJ1496">
        <v>801</v>
      </c>
      <c r="AK1496">
        <v>418</v>
      </c>
      <c r="AL1496">
        <v>1082</v>
      </c>
      <c r="AM1496">
        <v>510</v>
      </c>
      <c r="AN1496">
        <v>1567</v>
      </c>
    </row>
    <row r="1497" spans="2:40" x14ac:dyDescent="0.35">
      <c r="B1497" s="46" t="s">
        <v>2080</v>
      </c>
      <c r="D1497" t="s">
        <v>1460</v>
      </c>
      <c r="E1497" t="s">
        <v>1937</v>
      </c>
      <c r="F1497" s="46" t="s">
        <v>2358</v>
      </c>
      <c r="G1497" t="s">
        <v>611</v>
      </c>
      <c r="H1497" s="47" t="s">
        <v>2353</v>
      </c>
      <c r="I1497" s="47" t="s">
        <v>2354</v>
      </c>
      <c r="J1497" t="s">
        <v>2359</v>
      </c>
      <c r="K1497">
        <v>307</v>
      </c>
      <c r="L1497">
        <v>530</v>
      </c>
      <c r="M1497" s="24">
        <v>247</v>
      </c>
      <c r="N1497" s="24">
        <v>512</v>
      </c>
      <c r="O1497" s="24">
        <v>295</v>
      </c>
      <c r="P1497" s="24">
        <v>541</v>
      </c>
      <c r="Q1497">
        <v>227</v>
      </c>
      <c r="R1497">
        <v>538</v>
      </c>
      <c r="S1497">
        <v>585</v>
      </c>
      <c r="T1497">
        <v>907</v>
      </c>
      <c r="U1497">
        <v>606</v>
      </c>
      <c r="V1497">
        <v>1325</v>
      </c>
      <c r="W1497">
        <v>611</v>
      </c>
      <c r="X1497">
        <v>1915</v>
      </c>
      <c r="Z1497" t="str">
        <f t="shared" si="3"/>
        <v/>
      </c>
      <c r="AA1497" t="s">
        <v>2359</v>
      </c>
      <c r="AB1497" t="s">
        <v>2359</v>
      </c>
      <c r="AC1497">
        <v>247</v>
      </c>
      <c r="AD1497">
        <v>512</v>
      </c>
      <c r="AE1497">
        <v>295</v>
      </c>
      <c r="AF1497">
        <v>541</v>
      </c>
      <c r="AG1497">
        <v>227</v>
      </c>
      <c r="AH1497">
        <v>538</v>
      </c>
      <c r="AI1497">
        <v>585</v>
      </c>
      <c r="AJ1497">
        <v>907</v>
      </c>
      <c r="AK1497">
        <v>606</v>
      </c>
      <c r="AL1497">
        <v>1325</v>
      </c>
      <c r="AM1497">
        <v>611</v>
      </c>
      <c r="AN1497">
        <v>1915</v>
      </c>
    </row>
    <row r="1498" spans="2:40" x14ac:dyDescent="0.35">
      <c r="B1498" s="46" t="s">
        <v>2083</v>
      </c>
      <c r="D1498" t="s">
        <v>1460</v>
      </c>
      <c r="E1498" t="s">
        <v>1937</v>
      </c>
      <c r="F1498" s="46" t="s">
        <v>2270</v>
      </c>
      <c r="G1498" t="s">
        <v>592</v>
      </c>
      <c r="H1498" s="47" t="s">
        <v>2257</v>
      </c>
      <c r="I1498" s="47" t="s">
        <v>2258</v>
      </c>
      <c r="J1498" t="s">
        <v>2271</v>
      </c>
      <c r="K1498">
        <v>531</v>
      </c>
      <c r="L1498">
        <v>760</v>
      </c>
      <c r="M1498" s="24">
        <v>460</v>
      </c>
      <c r="N1498" s="24">
        <v>688</v>
      </c>
      <c r="O1498" s="24">
        <v>473</v>
      </c>
      <c r="P1498" s="24">
        <v>689</v>
      </c>
      <c r="Q1498">
        <v>381</v>
      </c>
      <c r="R1498">
        <v>715</v>
      </c>
      <c r="S1498">
        <v>593</v>
      </c>
      <c r="T1498">
        <v>880</v>
      </c>
      <c r="U1498">
        <v>762</v>
      </c>
      <c r="V1498">
        <v>1189</v>
      </c>
      <c r="W1498">
        <v>851</v>
      </c>
      <c r="X1498">
        <v>1857</v>
      </c>
      <c r="Z1498" t="str">
        <f t="shared" si="3"/>
        <v/>
      </c>
      <c r="AA1498" t="s">
        <v>2271</v>
      </c>
      <c r="AB1498" t="s">
        <v>2271</v>
      </c>
      <c r="AC1498">
        <v>460</v>
      </c>
      <c r="AD1498">
        <v>688</v>
      </c>
      <c r="AE1498">
        <v>473</v>
      </c>
      <c r="AF1498">
        <v>689</v>
      </c>
      <c r="AG1498">
        <v>381</v>
      </c>
      <c r="AH1498">
        <v>715</v>
      </c>
      <c r="AI1498">
        <v>593</v>
      </c>
      <c r="AJ1498">
        <v>880</v>
      </c>
      <c r="AK1498">
        <v>762</v>
      </c>
      <c r="AL1498">
        <v>1189</v>
      </c>
      <c r="AM1498">
        <v>851</v>
      </c>
      <c r="AN1498">
        <v>1857</v>
      </c>
    </row>
    <row r="1499" spans="2:40" x14ac:dyDescent="0.35">
      <c r="B1499" s="46" t="s">
        <v>2085</v>
      </c>
      <c r="D1499" t="s">
        <v>1460</v>
      </c>
      <c r="E1499" t="s">
        <v>1937</v>
      </c>
      <c r="F1499" s="46" t="s">
        <v>2208</v>
      </c>
      <c r="G1499" t="s">
        <v>585</v>
      </c>
      <c r="H1499" s="47" t="s">
        <v>2198</v>
      </c>
      <c r="I1499" s="47" t="s">
        <v>2199</v>
      </c>
      <c r="J1499" t="s">
        <v>2209</v>
      </c>
      <c r="K1499">
        <v>216</v>
      </c>
      <c r="L1499">
        <v>374</v>
      </c>
      <c r="M1499" s="24">
        <v>202</v>
      </c>
      <c r="N1499" s="24">
        <v>391</v>
      </c>
      <c r="O1499" s="24">
        <v>218</v>
      </c>
      <c r="P1499" s="24">
        <v>372</v>
      </c>
      <c r="Q1499">
        <v>268</v>
      </c>
      <c r="R1499">
        <v>433</v>
      </c>
      <c r="S1499">
        <v>529</v>
      </c>
      <c r="T1499">
        <v>777</v>
      </c>
      <c r="U1499">
        <v>476</v>
      </c>
      <c r="V1499">
        <v>1165</v>
      </c>
      <c r="W1499">
        <v>817</v>
      </c>
      <c r="X1499">
        <v>1774</v>
      </c>
      <c r="Z1499" t="str">
        <f t="shared" si="3"/>
        <v/>
      </c>
      <c r="AA1499" t="s">
        <v>2209</v>
      </c>
      <c r="AB1499" t="s">
        <v>2209</v>
      </c>
      <c r="AC1499">
        <v>202</v>
      </c>
      <c r="AD1499">
        <v>391</v>
      </c>
      <c r="AE1499">
        <v>218</v>
      </c>
      <c r="AF1499">
        <v>372</v>
      </c>
      <c r="AG1499">
        <v>268</v>
      </c>
      <c r="AH1499">
        <v>433</v>
      </c>
      <c r="AI1499">
        <v>529</v>
      </c>
      <c r="AJ1499">
        <v>777</v>
      </c>
      <c r="AK1499">
        <v>476</v>
      </c>
      <c r="AL1499">
        <v>1165</v>
      </c>
      <c r="AM1499">
        <v>817</v>
      </c>
      <c r="AN1499">
        <v>1774</v>
      </c>
    </row>
    <row r="1500" spans="2:40" x14ac:dyDescent="0.35">
      <c r="B1500" s="46" t="s">
        <v>2087</v>
      </c>
      <c r="D1500" t="s">
        <v>1460</v>
      </c>
      <c r="E1500" t="s">
        <v>1937</v>
      </c>
      <c r="F1500" s="46" t="s">
        <v>2123</v>
      </c>
      <c r="G1500" t="s">
        <v>289</v>
      </c>
      <c r="H1500" s="47" t="s">
        <v>1355</v>
      </c>
      <c r="I1500" s="47" t="s">
        <v>2124</v>
      </c>
      <c r="J1500" t="s">
        <v>2125</v>
      </c>
      <c r="K1500">
        <v>7880</v>
      </c>
      <c r="L1500">
        <v>12387</v>
      </c>
      <c r="M1500" s="24">
        <v>7369</v>
      </c>
      <c r="N1500" s="24">
        <v>12107</v>
      </c>
      <c r="O1500" s="24">
        <v>5909</v>
      </c>
      <c r="P1500" s="24">
        <v>11755</v>
      </c>
      <c r="Q1500">
        <v>6377</v>
      </c>
      <c r="R1500">
        <v>12619</v>
      </c>
      <c r="S1500">
        <v>10596</v>
      </c>
      <c r="T1500">
        <v>18525</v>
      </c>
      <c r="U1500">
        <v>11368</v>
      </c>
      <c r="V1500">
        <v>22528</v>
      </c>
      <c r="W1500">
        <v>17287</v>
      </c>
      <c r="X1500">
        <v>33037</v>
      </c>
      <c r="Z1500" t="str">
        <f t="shared" si="3"/>
        <v/>
      </c>
      <c r="AA1500" t="s">
        <v>2125</v>
      </c>
      <c r="AB1500" t="s">
        <v>2125</v>
      </c>
      <c r="AC1500">
        <v>7369</v>
      </c>
      <c r="AD1500">
        <v>12107</v>
      </c>
      <c r="AE1500">
        <v>5909</v>
      </c>
      <c r="AF1500">
        <v>11755</v>
      </c>
      <c r="AG1500">
        <v>6377</v>
      </c>
      <c r="AH1500">
        <v>12619</v>
      </c>
      <c r="AI1500">
        <v>10596</v>
      </c>
      <c r="AJ1500">
        <v>18525</v>
      </c>
      <c r="AK1500">
        <v>11368</v>
      </c>
      <c r="AL1500">
        <v>22528</v>
      </c>
      <c r="AM1500">
        <v>17287</v>
      </c>
      <c r="AN1500">
        <v>33037</v>
      </c>
    </row>
    <row r="1501" spans="2:40" x14ac:dyDescent="0.35">
      <c r="B1501" s="46" t="s">
        <v>2089</v>
      </c>
      <c r="D1501" t="s">
        <v>1460</v>
      </c>
      <c r="E1501" t="s">
        <v>1937</v>
      </c>
      <c r="F1501" s="46" t="s">
        <v>2173</v>
      </c>
      <c r="G1501" t="s">
        <v>577</v>
      </c>
      <c r="H1501" s="47" t="s">
        <v>2163</v>
      </c>
      <c r="I1501" s="47" t="s">
        <v>2164</v>
      </c>
      <c r="J1501" t="s">
        <v>2174</v>
      </c>
      <c r="K1501">
        <v>83</v>
      </c>
      <c r="L1501">
        <v>153</v>
      </c>
      <c r="M1501" s="24">
        <v>72</v>
      </c>
      <c r="N1501" s="24">
        <v>126</v>
      </c>
      <c r="O1501" s="24">
        <v>57</v>
      </c>
      <c r="P1501" s="24">
        <v>118</v>
      </c>
      <c r="Q1501">
        <v>89</v>
      </c>
      <c r="R1501">
        <v>145</v>
      </c>
      <c r="S1501">
        <v>118</v>
      </c>
      <c r="T1501">
        <v>229</v>
      </c>
      <c r="U1501">
        <v>146</v>
      </c>
      <c r="V1501">
        <v>356</v>
      </c>
      <c r="W1501">
        <v>131</v>
      </c>
      <c r="X1501">
        <v>526</v>
      </c>
      <c r="Z1501" t="str">
        <f t="shared" si="3"/>
        <v/>
      </c>
      <c r="AA1501" t="s">
        <v>2174</v>
      </c>
      <c r="AB1501" t="s">
        <v>2174</v>
      </c>
      <c r="AC1501">
        <v>72</v>
      </c>
      <c r="AD1501">
        <v>126</v>
      </c>
      <c r="AE1501">
        <v>57</v>
      </c>
      <c r="AF1501">
        <v>118</v>
      </c>
      <c r="AG1501">
        <v>89</v>
      </c>
      <c r="AH1501">
        <v>145</v>
      </c>
      <c r="AI1501">
        <v>118</v>
      </c>
      <c r="AJ1501">
        <v>229</v>
      </c>
      <c r="AK1501">
        <v>146</v>
      </c>
      <c r="AL1501">
        <v>356</v>
      </c>
      <c r="AM1501">
        <v>131</v>
      </c>
      <c r="AN1501">
        <v>526</v>
      </c>
    </row>
    <row r="1502" spans="2:40" x14ac:dyDescent="0.35">
      <c r="B1502" s="46" t="s">
        <v>2091</v>
      </c>
      <c r="D1502" t="s">
        <v>1460</v>
      </c>
      <c r="E1502" t="s">
        <v>1937</v>
      </c>
      <c r="F1502" s="46" t="s">
        <v>2272</v>
      </c>
      <c r="G1502" t="s">
        <v>592</v>
      </c>
      <c r="H1502" s="47" t="s">
        <v>2257</v>
      </c>
      <c r="I1502" s="47" t="s">
        <v>2258</v>
      </c>
      <c r="J1502" t="s">
        <v>2273</v>
      </c>
      <c r="K1502">
        <v>1646</v>
      </c>
      <c r="L1502">
        <v>2061</v>
      </c>
      <c r="M1502" s="24">
        <v>1733</v>
      </c>
      <c r="N1502" s="24">
        <v>2093</v>
      </c>
      <c r="O1502" s="24">
        <v>1811</v>
      </c>
      <c r="P1502" s="24">
        <v>2222</v>
      </c>
      <c r="Q1502">
        <v>1888</v>
      </c>
      <c r="R1502">
        <v>2284</v>
      </c>
      <c r="S1502">
        <v>2501</v>
      </c>
      <c r="T1502">
        <v>2976</v>
      </c>
      <c r="U1502">
        <v>2801</v>
      </c>
      <c r="V1502">
        <v>3723</v>
      </c>
      <c r="W1502">
        <v>3423</v>
      </c>
      <c r="X1502">
        <v>4932</v>
      </c>
      <c r="Z1502" t="str">
        <f t="shared" si="3"/>
        <v/>
      </c>
      <c r="AA1502" t="s">
        <v>2273</v>
      </c>
      <c r="AB1502" t="s">
        <v>2273</v>
      </c>
      <c r="AC1502">
        <v>1733</v>
      </c>
      <c r="AD1502">
        <v>2093</v>
      </c>
      <c r="AE1502">
        <v>1811</v>
      </c>
      <c r="AF1502">
        <v>2222</v>
      </c>
      <c r="AG1502">
        <v>1888</v>
      </c>
      <c r="AH1502">
        <v>2284</v>
      </c>
      <c r="AI1502">
        <v>2501</v>
      </c>
      <c r="AJ1502">
        <v>2976</v>
      </c>
      <c r="AK1502">
        <v>2801</v>
      </c>
      <c r="AL1502">
        <v>3723</v>
      </c>
      <c r="AM1502">
        <v>3423</v>
      </c>
      <c r="AN1502">
        <v>4932</v>
      </c>
    </row>
    <row r="1503" spans="2:40" x14ac:dyDescent="0.35">
      <c r="B1503" s="46" t="s">
        <v>2093</v>
      </c>
      <c r="D1503" t="s">
        <v>1460</v>
      </c>
      <c r="E1503" t="s">
        <v>1937</v>
      </c>
      <c r="F1503" s="46" t="s">
        <v>2210</v>
      </c>
      <c r="G1503" t="s">
        <v>585</v>
      </c>
      <c r="H1503" s="47" t="s">
        <v>2198</v>
      </c>
      <c r="I1503" s="47" t="s">
        <v>2199</v>
      </c>
      <c r="J1503" t="s">
        <v>2211</v>
      </c>
      <c r="K1503">
        <v>25</v>
      </c>
      <c r="L1503">
        <v>56</v>
      </c>
      <c r="M1503" s="24">
        <v>22</v>
      </c>
      <c r="N1503" s="24">
        <v>47</v>
      </c>
      <c r="O1503" s="24">
        <v>17</v>
      </c>
      <c r="P1503" s="24">
        <v>42</v>
      </c>
      <c r="Q1503">
        <v>17</v>
      </c>
      <c r="R1503">
        <v>38</v>
      </c>
      <c r="S1503">
        <v>21</v>
      </c>
      <c r="T1503">
        <v>52</v>
      </c>
      <c r="U1503">
        <v>31</v>
      </c>
      <c r="V1503">
        <v>80</v>
      </c>
      <c r="W1503">
        <v>51</v>
      </c>
      <c r="X1503">
        <v>121</v>
      </c>
      <c r="Z1503" t="str">
        <f t="shared" si="3"/>
        <v/>
      </c>
      <c r="AA1503" t="s">
        <v>2211</v>
      </c>
      <c r="AB1503" t="s">
        <v>2211</v>
      </c>
      <c r="AC1503">
        <v>22</v>
      </c>
      <c r="AD1503">
        <v>47</v>
      </c>
      <c r="AE1503">
        <v>17</v>
      </c>
      <c r="AF1503">
        <v>42</v>
      </c>
      <c r="AG1503">
        <v>17</v>
      </c>
      <c r="AH1503">
        <v>38</v>
      </c>
      <c r="AI1503">
        <v>21</v>
      </c>
      <c r="AJ1503">
        <v>52</v>
      </c>
      <c r="AK1503">
        <v>31</v>
      </c>
      <c r="AL1503">
        <v>80</v>
      </c>
      <c r="AM1503">
        <v>51</v>
      </c>
      <c r="AN1503">
        <v>121</v>
      </c>
    </row>
    <row r="1504" spans="2:40" x14ac:dyDescent="0.35">
      <c r="B1504" s="46" t="s">
        <v>2095</v>
      </c>
      <c r="D1504" t="s">
        <v>1460</v>
      </c>
      <c r="E1504" t="s">
        <v>1937</v>
      </c>
      <c r="F1504" s="46" t="s">
        <v>2343</v>
      </c>
      <c r="G1504" t="s">
        <v>607</v>
      </c>
      <c r="H1504" s="47" t="s">
        <v>2339</v>
      </c>
      <c r="I1504" s="47" t="s">
        <v>2340</v>
      </c>
      <c r="J1504" t="s">
        <v>2344</v>
      </c>
      <c r="K1504">
        <v>119</v>
      </c>
      <c r="L1504">
        <v>256</v>
      </c>
      <c r="M1504" s="24">
        <v>110</v>
      </c>
      <c r="N1504" s="24">
        <v>226</v>
      </c>
      <c r="O1504" s="24">
        <v>114</v>
      </c>
      <c r="P1504" s="24">
        <v>219</v>
      </c>
      <c r="Q1504">
        <v>93</v>
      </c>
      <c r="R1504">
        <v>228</v>
      </c>
      <c r="S1504">
        <v>177</v>
      </c>
      <c r="T1504">
        <v>373</v>
      </c>
      <c r="U1504">
        <v>278</v>
      </c>
      <c r="V1504">
        <v>517</v>
      </c>
      <c r="W1504">
        <v>294</v>
      </c>
      <c r="X1504">
        <v>837</v>
      </c>
      <c r="Z1504" t="str">
        <f t="shared" si="3"/>
        <v/>
      </c>
      <c r="AA1504" t="s">
        <v>2344</v>
      </c>
      <c r="AB1504" t="s">
        <v>2344</v>
      </c>
      <c r="AC1504">
        <v>110</v>
      </c>
      <c r="AD1504">
        <v>226</v>
      </c>
      <c r="AE1504">
        <v>114</v>
      </c>
      <c r="AF1504">
        <v>219</v>
      </c>
      <c r="AG1504">
        <v>93</v>
      </c>
      <c r="AH1504">
        <v>228</v>
      </c>
      <c r="AI1504">
        <v>177</v>
      </c>
      <c r="AJ1504">
        <v>373</v>
      </c>
      <c r="AK1504">
        <v>278</v>
      </c>
      <c r="AL1504">
        <v>517</v>
      </c>
      <c r="AM1504">
        <v>294</v>
      </c>
      <c r="AN1504">
        <v>837</v>
      </c>
    </row>
    <row r="1505" spans="2:40" x14ac:dyDescent="0.35">
      <c r="B1505" s="46" t="s">
        <v>2097</v>
      </c>
      <c r="D1505" t="s">
        <v>1460</v>
      </c>
      <c r="E1505" t="s">
        <v>1937</v>
      </c>
      <c r="F1505" s="46" t="s">
        <v>2274</v>
      </c>
      <c r="G1505" t="s">
        <v>592</v>
      </c>
      <c r="H1505" s="47" t="s">
        <v>2257</v>
      </c>
      <c r="I1505" s="47" t="s">
        <v>2258</v>
      </c>
      <c r="J1505" t="s">
        <v>2275</v>
      </c>
      <c r="K1505">
        <v>331</v>
      </c>
      <c r="L1505">
        <v>548</v>
      </c>
      <c r="M1505" s="24">
        <v>320</v>
      </c>
      <c r="N1505" s="24">
        <v>547</v>
      </c>
      <c r="O1505" s="24">
        <v>330</v>
      </c>
      <c r="P1505" s="24">
        <v>544</v>
      </c>
      <c r="Q1505">
        <v>285</v>
      </c>
      <c r="R1505">
        <v>561</v>
      </c>
      <c r="S1505">
        <v>551</v>
      </c>
      <c r="T1505">
        <v>860</v>
      </c>
      <c r="U1505">
        <v>761</v>
      </c>
      <c r="V1505">
        <v>1267</v>
      </c>
      <c r="W1505">
        <v>936</v>
      </c>
      <c r="X1505">
        <v>2176</v>
      </c>
      <c r="Z1505" t="str">
        <f t="shared" si="3"/>
        <v/>
      </c>
      <c r="AA1505" t="s">
        <v>2275</v>
      </c>
      <c r="AB1505" t="s">
        <v>2275</v>
      </c>
      <c r="AC1505">
        <v>320</v>
      </c>
      <c r="AD1505">
        <v>547</v>
      </c>
      <c r="AE1505">
        <v>330</v>
      </c>
      <c r="AF1505">
        <v>544</v>
      </c>
      <c r="AG1505">
        <v>285</v>
      </c>
      <c r="AH1505">
        <v>561</v>
      </c>
      <c r="AI1505">
        <v>551</v>
      </c>
      <c r="AJ1505">
        <v>860</v>
      </c>
      <c r="AK1505">
        <v>761</v>
      </c>
      <c r="AL1505">
        <v>1267</v>
      </c>
      <c r="AM1505">
        <v>936</v>
      </c>
      <c r="AN1505">
        <v>2176</v>
      </c>
    </row>
    <row r="1506" spans="2:40" x14ac:dyDescent="0.35">
      <c r="B1506" s="46" t="s">
        <v>2100</v>
      </c>
      <c r="D1506" t="s">
        <v>1460</v>
      </c>
      <c r="E1506" t="s">
        <v>1937</v>
      </c>
      <c r="F1506" s="46" t="s">
        <v>1989</v>
      </c>
      <c r="G1506" t="s">
        <v>235</v>
      </c>
      <c r="H1506" s="47" t="s">
        <v>419</v>
      </c>
      <c r="I1506" s="47" t="s">
        <v>1971</v>
      </c>
      <c r="J1506" t="s">
        <v>1990</v>
      </c>
      <c r="K1506">
        <v>241</v>
      </c>
      <c r="L1506">
        <v>504</v>
      </c>
      <c r="M1506" s="24">
        <v>199</v>
      </c>
      <c r="N1506" s="24">
        <v>454</v>
      </c>
      <c r="O1506" s="24">
        <v>249</v>
      </c>
      <c r="P1506" s="24">
        <v>473</v>
      </c>
      <c r="Q1506">
        <v>358</v>
      </c>
      <c r="R1506">
        <v>622</v>
      </c>
      <c r="S1506">
        <v>662</v>
      </c>
      <c r="T1506">
        <v>987</v>
      </c>
      <c r="U1506">
        <v>533</v>
      </c>
      <c r="V1506">
        <v>1484</v>
      </c>
      <c r="W1506">
        <v>953</v>
      </c>
      <c r="X1506">
        <v>2257</v>
      </c>
      <c r="Z1506" t="str">
        <f t="shared" si="3"/>
        <v/>
      </c>
      <c r="AA1506" t="s">
        <v>1990</v>
      </c>
      <c r="AB1506" t="s">
        <v>1990</v>
      </c>
      <c r="AC1506">
        <v>199</v>
      </c>
      <c r="AD1506">
        <v>454</v>
      </c>
      <c r="AE1506">
        <v>249</v>
      </c>
      <c r="AF1506">
        <v>473</v>
      </c>
      <c r="AG1506">
        <v>358</v>
      </c>
      <c r="AH1506">
        <v>622</v>
      </c>
      <c r="AI1506">
        <v>662</v>
      </c>
      <c r="AJ1506">
        <v>987</v>
      </c>
      <c r="AK1506">
        <v>533</v>
      </c>
      <c r="AL1506">
        <v>1484</v>
      </c>
      <c r="AM1506">
        <v>953</v>
      </c>
      <c r="AN1506">
        <v>2257</v>
      </c>
    </row>
    <row r="1507" spans="2:40" x14ac:dyDescent="0.35">
      <c r="B1507" s="46" t="s">
        <v>2101</v>
      </c>
      <c r="D1507" t="s">
        <v>1460</v>
      </c>
      <c r="E1507" t="s">
        <v>1937</v>
      </c>
      <c r="F1507" s="46" t="s">
        <v>2304</v>
      </c>
      <c r="G1507" t="s">
        <v>595</v>
      </c>
      <c r="H1507" s="47" t="s">
        <v>2300</v>
      </c>
      <c r="I1507" s="47" t="s">
        <v>2301</v>
      </c>
      <c r="J1507" t="s">
        <v>2305</v>
      </c>
      <c r="K1507">
        <v>2343</v>
      </c>
      <c r="L1507">
        <v>4036</v>
      </c>
      <c r="M1507" s="24">
        <v>2336</v>
      </c>
      <c r="N1507" s="24">
        <v>4348</v>
      </c>
      <c r="O1507" s="24">
        <v>2734</v>
      </c>
      <c r="P1507" s="24">
        <v>4760</v>
      </c>
      <c r="Q1507">
        <v>2030</v>
      </c>
      <c r="R1507">
        <v>4846</v>
      </c>
      <c r="S1507">
        <v>2903</v>
      </c>
      <c r="T1507">
        <v>6426</v>
      </c>
      <c r="U1507">
        <v>3557</v>
      </c>
      <c r="V1507">
        <v>8209</v>
      </c>
      <c r="W1507">
        <v>4488</v>
      </c>
      <c r="X1507">
        <v>13062</v>
      </c>
      <c r="Z1507" t="str">
        <f t="shared" si="3"/>
        <v/>
      </c>
      <c r="AA1507" t="s">
        <v>2305</v>
      </c>
      <c r="AB1507" t="s">
        <v>2305</v>
      </c>
      <c r="AC1507">
        <v>2336</v>
      </c>
      <c r="AD1507">
        <v>4348</v>
      </c>
      <c r="AE1507">
        <v>2734</v>
      </c>
      <c r="AF1507">
        <v>4760</v>
      </c>
      <c r="AG1507">
        <v>2030</v>
      </c>
      <c r="AH1507">
        <v>4846</v>
      </c>
      <c r="AI1507">
        <v>2903</v>
      </c>
      <c r="AJ1507">
        <v>6426</v>
      </c>
      <c r="AK1507">
        <v>3557</v>
      </c>
      <c r="AL1507">
        <v>8209</v>
      </c>
      <c r="AM1507">
        <v>4488</v>
      </c>
      <c r="AN1507">
        <v>13062</v>
      </c>
    </row>
    <row r="1508" spans="2:40" x14ac:dyDescent="0.35">
      <c r="B1508" s="46" t="s">
        <v>2103</v>
      </c>
      <c r="D1508" t="s">
        <v>1460</v>
      </c>
      <c r="E1508" t="s">
        <v>1937</v>
      </c>
      <c r="F1508" s="46" t="s">
        <v>2151</v>
      </c>
      <c r="G1508" t="s">
        <v>311</v>
      </c>
      <c r="H1508" s="47" t="s">
        <v>2152</v>
      </c>
      <c r="I1508" s="47" t="s">
        <v>2153</v>
      </c>
      <c r="J1508" t="s">
        <v>2154</v>
      </c>
      <c r="K1508">
        <v>3233</v>
      </c>
      <c r="L1508">
        <v>5333</v>
      </c>
      <c r="M1508" s="24">
        <v>2498</v>
      </c>
      <c r="N1508" s="24">
        <v>5318</v>
      </c>
      <c r="O1508" s="24">
        <v>2272</v>
      </c>
      <c r="P1508" s="24">
        <v>5144</v>
      </c>
      <c r="Q1508">
        <v>2496</v>
      </c>
      <c r="R1508">
        <v>5656</v>
      </c>
      <c r="S1508">
        <v>5041</v>
      </c>
      <c r="T1508">
        <v>8407</v>
      </c>
      <c r="U1508">
        <v>7005</v>
      </c>
      <c r="V1508">
        <v>11587</v>
      </c>
      <c r="W1508">
        <v>10638</v>
      </c>
      <c r="X1508">
        <v>18276</v>
      </c>
      <c r="Z1508" t="str">
        <f t="shared" si="3"/>
        <v/>
      </c>
      <c r="AA1508" t="s">
        <v>2154</v>
      </c>
      <c r="AB1508" t="s">
        <v>2154</v>
      </c>
      <c r="AC1508">
        <v>2498</v>
      </c>
      <c r="AD1508">
        <v>5318</v>
      </c>
      <c r="AE1508">
        <v>2272</v>
      </c>
      <c r="AF1508">
        <v>5144</v>
      </c>
      <c r="AG1508">
        <v>2496</v>
      </c>
      <c r="AH1508">
        <v>5656</v>
      </c>
      <c r="AI1508">
        <v>5041</v>
      </c>
      <c r="AJ1508">
        <v>8407</v>
      </c>
      <c r="AK1508">
        <v>7005</v>
      </c>
      <c r="AL1508">
        <v>11587</v>
      </c>
      <c r="AM1508">
        <v>10638</v>
      </c>
      <c r="AN1508">
        <v>18276</v>
      </c>
    </row>
    <row r="1509" spans="2:40" x14ac:dyDescent="0.35">
      <c r="B1509" s="46" t="s">
        <v>2105</v>
      </c>
      <c r="D1509" t="s">
        <v>1460</v>
      </c>
      <c r="E1509" t="s">
        <v>1937</v>
      </c>
      <c r="F1509" s="46" t="s">
        <v>2072</v>
      </c>
      <c r="G1509" t="s">
        <v>265</v>
      </c>
      <c r="H1509" s="47" t="s">
        <v>501</v>
      </c>
      <c r="I1509" s="47" t="s">
        <v>2068</v>
      </c>
      <c r="J1509" t="s">
        <v>2073</v>
      </c>
      <c r="K1509">
        <v>522</v>
      </c>
      <c r="L1509">
        <v>743</v>
      </c>
      <c r="M1509" s="24">
        <v>478</v>
      </c>
      <c r="N1509" s="24">
        <v>649</v>
      </c>
      <c r="O1509" s="24">
        <v>432</v>
      </c>
      <c r="P1509" s="24">
        <v>681</v>
      </c>
      <c r="Q1509">
        <v>457</v>
      </c>
      <c r="R1509">
        <v>783</v>
      </c>
      <c r="S1509">
        <v>911</v>
      </c>
      <c r="T1509">
        <v>1400</v>
      </c>
      <c r="U1509">
        <v>1201</v>
      </c>
      <c r="V1509">
        <v>2074</v>
      </c>
      <c r="W1509">
        <v>2327</v>
      </c>
      <c r="X1509">
        <v>3781</v>
      </c>
      <c r="Z1509" t="str">
        <f t="shared" si="3"/>
        <v/>
      </c>
      <c r="AA1509" t="s">
        <v>2073</v>
      </c>
      <c r="AB1509" t="s">
        <v>2073</v>
      </c>
      <c r="AC1509">
        <v>478</v>
      </c>
      <c r="AD1509">
        <v>649</v>
      </c>
      <c r="AE1509">
        <v>432</v>
      </c>
      <c r="AF1509">
        <v>681</v>
      </c>
      <c r="AG1509">
        <v>457</v>
      </c>
      <c r="AH1509">
        <v>783</v>
      </c>
      <c r="AI1509">
        <v>911</v>
      </c>
      <c r="AJ1509">
        <v>1400</v>
      </c>
      <c r="AK1509">
        <v>1201</v>
      </c>
      <c r="AL1509">
        <v>2074</v>
      </c>
      <c r="AM1509">
        <v>2327</v>
      </c>
      <c r="AN1509">
        <v>3781</v>
      </c>
    </row>
    <row r="1510" spans="2:40" x14ac:dyDescent="0.35">
      <c r="B1510" s="46" t="s">
        <v>2107</v>
      </c>
      <c r="D1510" t="s">
        <v>1460</v>
      </c>
      <c r="E1510" t="s">
        <v>1937</v>
      </c>
      <c r="F1510" s="46" t="s">
        <v>2276</v>
      </c>
      <c r="G1510" t="s">
        <v>592</v>
      </c>
      <c r="H1510" s="47" t="s">
        <v>2257</v>
      </c>
      <c r="I1510" s="47" t="s">
        <v>2258</v>
      </c>
      <c r="J1510" t="s">
        <v>2277</v>
      </c>
      <c r="K1510">
        <v>2587</v>
      </c>
      <c r="L1510">
        <v>4576</v>
      </c>
      <c r="M1510" s="24">
        <v>2389</v>
      </c>
      <c r="N1510" s="24">
        <v>4723</v>
      </c>
      <c r="O1510" s="24">
        <v>2144</v>
      </c>
      <c r="P1510" s="24">
        <v>4541</v>
      </c>
      <c r="Q1510">
        <v>2282</v>
      </c>
      <c r="R1510">
        <v>4734</v>
      </c>
      <c r="S1510">
        <v>2980</v>
      </c>
      <c r="T1510">
        <v>6249</v>
      </c>
      <c r="U1510">
        <v>3204</v>
      </c>
      <c r="V1510">
        <v>7758</v>
      </c>
      <c r="W1510">
        <v>4213</v>
      </c>
      <c r="X1510">
        <v>11857</v>
      </c>
      <c r="Z1510" t="str">
        <f t="shared" si="3"/>
        <v/>
      </c>
      <c r="AA1510" t="s">
        <v>2277</v>
      </c>
      <c r="AB1510" t="s">
        <v>2277</v>
      </c>
      <c r="AC1510">
        <v>2389</v>
      </c>
      <c r="AD1510">
        <v>4723</v>
      </c>
      <c r="AE1510">
        <v>2144</v>
      </c>
      <c r="AF1510">
        <v>4541</v>
      </c>
      <c r="AG1510">
        <v>2282</v>
      </c>
      <c r="AH1510">
        <v>4734</v>
      </c>
      <c r="AI1510">
        <v>2980</v>
      </c>
      <c r="AJ1510">
        <v>6249</v>
      </c>
      <c r="AK1510">
        <v>3204</v>
      </c>
      <c r="AL1510">
        <v>7758</v>
      </c>
      <c r="AM1510">
        <v>4213</v>
      </c>
      <c r="AN1510">
        <v>11857</v>
      </c>
    </row>
    <row r="1511" spans="2:40" x14ac:dyDescent="0.35">
      <c r="B1511" s="46" t="s">
        <v>2109</v>
      </c>
      <c r="D1511" t="s">
        <v>1460</v>
      </c>
      <c r="E1511" t="s">
        <v>1937</v>
      </c>
      <c r="F1511" s="46" t="s">
        <v>2175</v>
      </c>
      <c r="G1511" t="s">
        <v>577</v>
      </c>
      <c r="H1511" s="47" t="s">
        <v>2163</v>
      </c>
      <c r="I1511" s="47" t="s">
        <v>2164</v>
      </c>
      <c r="J1511" t="s">
        <v>307</v>
      </c>
      <c r="K1511">
        <v>597</v>
      </c>
      <c r="L1511">
        <v>959</v>
      </c>
      <c r="M1511" s="24">
        <v>484</v>
      </c>
      <c r="N1511" s="24">
        <v>905</v>
      </c>
      <c r="O1511" s="24">
        <v>520</v>
      </c>
      <c r="P1511" s="24">
        <v>938</v>
      </c>
      <c r="Q1511">
        <v>666</v>
      </c>
      <c r="R1511">
        <v>1048</v>
      </c>
      <c r="S1511">
        <v>974</v>
      </c>
      <c r="T1511">
        <v>1415</v>
      </c>
      <c r="U1511">
        <v>760</v>
      </c>
      <c r="V1511">
        <v>1867</v>
      </c>
      <c r="W1511">
        <v>738</v>
      </c>
      <c r="X1511">
        <v>2883</v>
      </c>
      <c r="Z1511" t="str">
        <f t="shared" si="3"/>
        <v/>
      </c>
      <c r="AA1511" t="s">
        <v>307</v>
      </c>
      <c r="AB1511" t="s">
        <v>307</v>
      </c>
      <c r="AC1511">
        <v>484</v>
      </c>
      <c r="AD1511">
        <v>905</v>
      </c>
      <c r="AE1511">
        <v>520</v>
      </c>
      <c r="AF1511">
        <v>938</v>
      </c>
      <c r="AG1511">
        <v>666</v>
      </c>
      <c r="AH1511">
        <v>1048</v>
      </c>
      <c r="AI1511">
        <v>974</v>
      </c>
      <c r="AJ1511">
        <v>1415</v>
      </c>
      <c r="AK1511">
        <v>760</v>
      </c>
      <c r="AL1511">
        <v>1867</v>
      </c>
      <c r="AM1511">
        <v>738</v>
      </c>
      <c r="AN1511">
        <v>2883</v>
      </c>
    </row>
    <row r="1512" spans="2:40" x14ac:dyDescent="0.35">
      <c r="B1512" s="46" t="s">
        <v>2111</v>
      </c>
      <c r="D1512" t="s">
        <v>1460</v>
      </c>
      <c r="E1512" t="s">
        <v>1937</v>
      </c>
      <c r="F1512" s="46" t="s">
        <v>1991</v>
      </c>
      <c r="G1512" t="s">
        <v>235</v>
      </c>
      <c r="H1512" s="47" t="s">
        <v>419</v>
      </c>
      <c r="I1512" s="47" t="s">
        <v>1971</v>
      </c>
      <c r="J1512" t="s">
        <v>941</v>
      </c>
      <c r="K1512">
        <v>54</v>
      </c>
      <c r="L1512">
        <v>100</v>
      </c>
      <c r="M1512" s="24">
        <v>50</v>
      </c>
      <c r="N1512" s="24">
        <v>96</v>
      </c>
      <c r="O1512" s="24">
        <v>60</v>
      </c>
      <c r="P1512" s="24">
        <v>110</v>
      </c>
      <c r="Q1512">
        <v>59</v>
      </c>
      <c r="R1512">
        <v>116</v>
      </c>
      <c r="S1512">
        <v>107</v>
      </c>
      <c r="T1512">
        <v>188</v>
      </c>
      <c r="U1512">
        <v>93</v>
      </c>
      <c r="V1512">
        <v>247</v>
      </c>
      <c r="W1512">
        <v>145</v>
      </c>
      <c r="X1512">
        <v>327</v>
      </c>
      <c r="Z1512" t="str">
        <f t="shared" si="3"/>
        <v/>
      </c>
      <c r="AA1512" t="s">
        <v>941</v>
      </c>
      <c r="AB1512" t="s">
        <v>941</v>
      </c>
      <c r="AC1512">
        <v>50</v>
      </c>
      <c r="AD1512">
        <v>96</v>
      </c>
      <c r="AE1512">
        <v>60</v>
      </c>
      <c r="AF1512">
        <v>110</v>
      </c>
      <c r="AG1512">
        <v>59</v>
      </c>
      <c r="AH1512">
        <v>116</v>
      </c>
      <c r="AI1512">
        <v>107</v>
      </c>
      <c r="AJ1512">
        <v>188</v>
      </c>
      <c r="AK1512">
        <v>93</v>
      </c>
      <c r="AL1512">
        <v>247</v>
      </c>
      <c r="AM1512">
        <v>145</v>
      </c>
      <c r="AN1512">
        <v>327</v>
      </c>
    </row>
    <row r="1513" spans="2:40" x14ac:dyDescent="0.35">
      <c r="B1513" s="46" t="s">
        <v>2114</v>
      </c>
      <c r="D1513" t="s">
        <v>1460</v>
      </c>
      <c r="E1513" t="s">
        <v>1937</v>
      </c>
      <c r="F1513" s="46" t="s">
        <v>2133</v>
      </c>
      <c r="G1513" t="s">
        <v>293</v>
      </c>
      <c r="H1513" s="47" t="s">
        <v>2128</v>
      </c>
      <c r="I1513" s="47" t="s">
        <v>2129</v>
      </c>
      <c r="J1513" t="s">
        <v>613</v>
      </c>
      <c r="K1513">
        <v>219</v>
      </c>
      <c r="L1513">
        <v>362</v>
      </c>
      <c r="M1513" s="24">
        <v>149</v>
      </c>
      <c r="N1513" s="24">
        <v>303</v>
      </c>
      <c r="O1513" s="24">
        <v>163</v>
      </c>
      <c r="P1513" s="24">
        <v>285</v>
      </c>
      <c r="Q1513">
        <v>168</v>
      </c>
      <c r="R1513">
        <v>301</v>
      </c>
      <c r="S1513">
        <v>247</v>
      </c>
      <c r="T1513">
        <v>419</v>
      </c>
      <c r="U1513">
        <v>202</v>
      </c>
      <c r="V1513">
        <v>504</v>
      </c>
      <c r="W1513">
        <v>174</v>
      </c>
      <c r="X1513">
        <v>728</v>
      </c>
      <c r="Z1513" t="str">
        <f t="shared" si="3"/>
        <v/>
      </c>
      <c r="AA1513" t="s">
        <v>613</v>
      </c>
      <c r="AB1513" t="s">
        <v>613</v>
      </c>
      <c r="AC1513">
        <v>149</v>
      </c>
      <c r="AD1513">
        <v>303</v>
      </c>
      <c r="AE1513">
        <v>163</v>
      </c>
      <c r="AF1513">
        <v>285</v>
      </c>
      <c r="AG1513">
        <v>168</v>
      </c>
      <c r="AH1513">
        <v>301</v>
      </c>
      <c r="AI1513">
        <v>247</v>
      </c>
      <c r="AJ1513">
        <v>419</v>
      </c>
      <c r="AK1513">
        <v>202</v>
      </c>
      <c r="AL1513">
        <v>504</v>
      </c>
      <c r="AM1513">
        <v>174</v>
      </c>
      <c r="AN1513">
        <v>728</v>
      </c>
    </row>
    <row r="1514" spans="2:40" x14ac:dyDescent="0.35">
      <c r="B1514" s="46" t="s">
        <v>2116</v>
      </c>
      <c r="D1514" t="s">
        <v>1460</v>
      </c>
      <c r="E1514" t="s">
        <v>1937</v>
      </c>
      <c r="F1514" s="46" t="s">
        <v>1992</v>
      </c>
      <c r="G1514" t="s">
        <v>235</v>
      </c>
      <c r="H1514" s="47" t="s">
        <v>419</v>
      </c>
      <c r="I1514" s="47" t="s">
        <v>1971</v>
      </c>
      <c r="J1514" t="s">
        <v>1993</v>
      </c>
      <c r="K1514">
        <v>80</v>
      </c>
      <c r="L1514">
        <v>137</v>
      </c>
      <c r="M1514" s="24">
        <v>75</v>
      </c>
      <c r="N1514" s="24">
        <v>136</v>
      </c>
      <c r="O1514" s="24">
        <v>71</v>
      </c>
      <c r="P1514" s="24">
        <v>137</v>
      </c>
      <c r="Q1514">
        <v>89</v>
      </c>
      <c r="R1514">
        <v>151</v>
      </c>
      <c r="S1514">
        <v>220</v>
      </c>
      <c r="T1514">
        <v>339</v>
      </c>
      <c r="U1514">
        <v>184</v>
      </c>
      <c r="V1514">
        <v>422</v>
      </c>
      <c r="W1514">
        <v>285</v>
      </c>
      <c r="X1514">
        <v>549</v>
      </c>
      <c r="Z1514" t="str">
        <f t="shared" si="3"/>
        <v/>
      </c>
      <c r="AA1514" t="s">
        <v>1993</v>
      </c>
      <c r="AB1514" t="s">
        <v>1993</v>
      </c>
      <c r="AC1514">
        <v>75</v>
      </c>
      <c r="AD1514">
        <v>136</v>
      </c>
      <c r="AE1514">
        <v>71</v>
      </c>
      <c r="AF1514">
        <v>137</v>
      </c>
      <c r="AG1514">
        <v>89</v>
      </c>
      <c r="AH1514">
        <v>151</v>
      </c>
      <c r="AI1514">
        <v>220</v>
      </c>
      <c r="AJ1514">
        <v>339</v>
      </c>
      <c r="AK1514">
        <v>184</v>
      </c>
      <c r="AL1514">
        <v>422</v>
      </c>
      <c r="AM1514">
        <v>285</v>
      </c>
      <c r="AN1514">
        <v>549</v>
      </c>
    </row>
    <row r="1515" spans="2:40" x14ac:dyDescent="0.35">
      <c r="B1515" s="46" t="s">
        <v>2118</v>
      </c>
      <c r="D1515" t="s">
        <v>1460</v>
      </c>
      <c r="E1515" t="s">
        <v>1937</v>
      </c>
      <c r="F1515" s="46" t="s">
        <v>2376</v>
      </c>
      <c r="G1515" t="s">
        <v>615</v>
      </c>
      <c r="H1515" s="47" t="s">
        <v>2366</v>
      </c>
      <c r="I1515" s="47" t="s">
        <v>2367</v>
      </c>
      <c r="J1515" t="s">
        <v>1874</v>
      </c>
      <c r="K1515">
        <v>83</v>
      </c>
      <c r="L1515">
        <v>128</v>
      </c>
      <c r="M1515" s="24">
        <v>53</v>
      </c>
      <c r="N1515" s="24">
        <v>114</v>
      </c>
      <c r="O1515" s="24">
        <v>58</v>
      </c>
      <c r="P1515" s="24">
        <v>121</v>
      </c>
      <c r="Q1515">
        <v>56</v>
      </c>
      <c r="R1515">
        <v>119</v>
      </c>
      <c r="S1515">
        <v>95</v>
      </c>
      <c r="T1515">
        <v>172</v>
      </c>
      <c r="U1515">
        <v>128</v>
      </c>
      <c r="V1515">
        <v>216</v>
      </c>
      <c r="W1515">
        <v>207</v>
      </c>
      <c r="X1515">
        <v>335</v>
      </c>
      <c r="Z1515" t="str">
        <f t="shared" si="3"/>
        <v/>
      </c>
      <c r="AA1515" t="s">
        <v>1874</v>
      </c>
      <c r="AB1515" t="s">
        <v>1874</v>
      </c>
      <c r="AC1515">
        <v>53</v>
      </c>
      <c r="AD1515">
        <v>114</v>
      </c>
      <c r="AE1515">
        <v>58</v>
      </c>
      <c r="AF1515">
        <v>121</v>
      </c>
      <c r="AG1515">
        <v>56</v>
      </c>
      <c r="AH1515">
        <v>119</v>
      </c>
      <c r="AI1515">
        <v>95</v>
      </c>
      <c r="AJ1515">
        <v>172</v>
      </c>
      <c r="AK1515">
        <v>128</v>
      </c>
      <c r="AL1515">
        <v>216</v>
      </c>
      <c r="AM1515">
        <v>207</v>
      </c>
      <c r="AN1515">
        <v>335</v>
      </c>
    </row>
    <row r="1516" spans="2:40" x14ac:dyDescent="0.35">
      <c r="B1516" s="46" t="s">
        <v>2120</v>
      </c>
      <c r="D1516" t="s">
        <v>1460</v>
      </c>
      <c r="E1516" t="s">
        <v>1937</v>
      </c>
      <c r="F1516" s="46" t="s">
        <v>2040</v>
      </c>
      <c r="G1516" t="s">
        <v>255</v>
      </c>
      <c r="H1516" s="47" t="s">
        <v>467</v>
      </c>
      <c r="I1516" s="47" t="s">
        <v>2038</v>
      </c>
      <c r="J1516" t="s">
        <v>1876</v>
      </c>
      <c r="K1516">
        <v>732</v>
      </c>
      <c r="L1516">
        <v>1375</v>
      </c>
      <c r="M1516" s="24">
        <v>693</v>
      </c>
      <c r="N1516" s="24">
        <v>1356</v>
      </c>
      <c r="O1516" s="24">
        <v>572</v>
      </c>
      <c r="P1516" s="24">
        <v>1271</v>
      </c>
      <c r="Q1516">
        <v>545</v>
      </c>
      <c r="R1516">
        <v>1258</v>
      </c>
      <c r="S1516">
        <v>929</v>
      </c>
      <c r="T1516">
        <v>1835</v>
      </c>
      <c r="U1516">
        <v>1265</v>
      </c>
      <c r="V1516">
        <v>2601</v>
      </c>
      <c r="W1516">
        <v>1586</v>
      </c>
      <c r="X1516">
        <v>4509</v>
      </c>
      <c r="Z1516" t="str">
        <f t="shared" si="3"/>
        <v/>
      </c>
      <c r="AA1516" t="s">
        <v>1876</v>
      </c>
      <c r="AB1516" t="s">
        <v>1876</v>
      </c>
      <c r="AC1516">
        <v>693</v>
      </c>
      <c r="AD1516">
        <v>1356</v>
      </c>
      <c r="AE1516">
        <v>572</v>
      </c>
      <c r="AF1516">
        <v>1271</v>
      </c>
      <c r="AG1516">
        <v>545</v>
      </c>
      <c r="AH1516">
        <v>1258</v>
      </c>
      <c r="AI1516">
        <v>929</v>
      </c>
      <c r="AJ1516">
        <v>1835</v>
      </c>
      <c r="AK1516">
        <v>1265</v>
      </c>
      <c r="AL1516">
        <v>2601</v>
      </c>
      <c r="AM1516">
        <v>1586</v>
      </c>
      <c r="AN1516">
        <v>4509</v>
      </c>
    </row>
    <row r="1517" spans="2:40" x14ac:dyDescent="0.35">
      <c r="B1517" s="46" t="s">
        <v>2121</v>
      </c>
      <c r="D1517" t="s">
        <v>1460</v>
      </c>
      <c r="E1517" t="s">
        <v>1937</v>
      </c>
      <c r="F1517" s="46" t="s">
        <v>2126</v>
      </c>
      <c r="G1517" t="s">
        <v>289</v>
      </c>
      <c r="H1517" s="47" t="s">
        <v>1355</v>
      </c>
      <c r="I1517" s="47" t="s">
        <v>2124</v>
      </c>
      <c r="J1517" t="s">
        <v>905</v>
      </c>
      <c r="K1517">
        <v>156668</v>
      </c>
      <c r="L1517">
        <v>229493</v>
      </c>
      <c r="M1517" s="24">
        <v>146877</v>
      </c>
      <c r="N1517" s="24">
        <v>226991</v>
      </c>
      <c r="O1517" s="24">
        <v>157596</v>
      </c>
      <c r="P1517" s="24">
        <v>235021</v>
      </c>
      <c r="Q1517">
        <v>171506</v>
      </c>
      <c r="R1517">
        <v>274556</v>
      </c>
      <c r="S1517">
        <v>264384</v>
      </c>
      <c r="T1517">
        <v>384697</v>
      </c>
      <c r="U1517">
        <v>336113</v>
      </c>
      <c r="V1517">
        <v>503425</v>
      </c>
      <c r="W1517">
        <v>370205</v>
      </c>
      <c r="X1517">
        <v>689642</v>
      </c>
      <c r="Z1517" t="str">
        <f t="shared" si="3"/>
        <v/>
      </c>
      <c r="AA1517" t="s">
        <v>905</v>
      </c>
      <c r="AB1517" t="s">
        <v>905</v>
      </c>
      <c r="AC1517">
        <v>146877</v>
      </c>
      <c r="AD1517">
        <v>226991</v>
      </c>
      <c r="AE1517">
        <v>157596</v>
      </c>
      <c r="AF1517">
        <v>235021</v>
      </c>
      <c r="AG1517">
        <v>171506</v>
      </c>
      <c r="AH1517">
        <v>274556</v>
      </c>
      <c r="AI1517">
        <v>264384</v>
      </c>
      <c r="AJ1517">
        <v>384697</v>
      </c>
      <c r="AK1517">
        <v>336113</v>
      </c>
      <c r="AL1517">
        <v>503425</v>
      </c>
      <c r="AM1517">
        <v>370205</v>
      </c>
      <c r="AN1517">
        <v>689642</v>
      </c>
    </row>
    <row r="1518" spans="2:40" x14ac:dyDescent="0.35">
      <c r="B1518" s="46" t="s">
        <v>2123</v>
      </c>
      <c r="D1518" t="s">
        <v>1460</v>
      </c>
      <c r="E1518" t="s">
        <v>1937</v>
      </c>
      <c r="F1518" s="46" t="s">
        <v>2155</v>
      </c>
      <c r="G1518" t="s">
        <v>311</v>
      </c>
      <c r="H1518" s="47" t="s">
        <v>2152</v>
      </c>
      <c r="I1518" s="47" t="s">
        <v>2153</v>
      </c>
      <c r="J1518" t="s">
        <v>1250</v>
      </c>
      <c r="K1518">
        <v>1449</v>
      </c>
      <c r="L1518">
        <v>2520</v>
      </c>
      <c r="M1518" s="24">
        <v>1009</v>
      </c>
      <c r="N1518" s="24">
        <v>2323</v>
      </c>
      <c r="O1518" s="24">
        <v>878</v>
      </c>
      <c r="P1518" s="24">
        <v>2151</v>
      </c>
      <c r="Q1518">
        <v>1212</v>
      </c>
      <c r="R1518">
        <v>2561</v>
      </c>
      <c r="S1518">
        <v>2348</v>
      </c>
      <c r="T1518">
        <v>3873</v>
      </c>
      <c r="U1518">
        <v>3596</v>
      </c>
      <c r="V1518">
        <v>5725</v>
      </c>
      <c r="W1518">
        <v>5708</v>
      </c>
      <c r="X1518">
        <v>8739</v>
      </c>
      <c r="Z1518" t="str">
        <f t="shared" si="3"/>
        <v/>
      </c>
      <c r="AA1518" t="s">
        <v>1250</v>
      </c>
      <c r="AB1518" t="s">
        <v>1250</v>
      </c>
      <c r="AC1518">
        <v>1009</v>
      </c>
      <c r="AD1518">
        <v>2323</v>
      </c>
      <c r="AE1518">
        <v>878</v>
      </c>
      <c r="AF1518">
        <v>2151</v>
      </c>
      <c r="AG1518">
        <v>1212</v>
      </c>
      <c r="AH1518">
        <v>2561</v>
      </c>
      <c r="AI1518">
        <v>2348</v>
      </c>
      <c r="AJ1518">
        <v>3873</v>
      </c>
      <c r="AK1518">
        <v>3596</v>
      </c>
      <c r="AL1518">
        <v>5725</v>
      </c>
      <c r="AM1518">
        <v>5708</v>
      </c>
      <c r="AN1518">
        <v>8739</v>
      </c>
    </row>
    <row r="1519" spans="2:40" x14ac:dyDescent="0.35">
      <c r="B1519" s="46" t="s">
        <v>2126</v>
      </c>
      <c r="D1519" t="s">
        <v>1460</v>
      </c>
      <c r="E1519" t="s">
        <v>1937</v>
      </c>
      <c r="F1519" s="46" t="s">
        <v>1994</v>
      </c>
      <c r="G1519" t="s">
        <v>235</v>
      </c>
      <c r="H1519" s="47" t="s">
        <v>419</v>
      </c>
      <c r="I1519" s="47" t="s">
        <v>1971</v>
      </c>
      <c r="J1519" t="s">
        <v>1995</v>
      </c>
      <c r="K1519">
        <v>55</v>
      </c>
      <c r="L1519">
        <v>157</v>
      </c>
      <c r="M1519" s="24">
        <v>49</v>
      </c>
      <c r="N1519" s="24">
        <v>135</v>
      </c>
      <c r="O1519" s="24">
        <v>43</v>
      </c>
      <c r="P1519" s="24">
        <v>111</v>
      </c>
      <c r="Q1519">
        <v>34</v>
      </c>
      <c r="R1519">
        <v>100</v>
      </c>
      <c r="S1519">
        <v>62</v>
      </c>
      <c r="T1519">
        <v>153</v>
      </c>
      <c r="U1519">
        <v>57</v>
      </c>
      <c r="V1519">
        <v>244</v>
      </c>
      <c r="W1519">
        <v>87</v>
      </c>
      <c r="X1519">
        <v>328</v>
      </c>
      <c r="Z1519" t="str">
        <f t="shared" si="3"/>
        <v/>
      </c>
      <c r="AA1519" t="s">
        <v>1995</v>
      </c>
      <c r="AB1519" t="s">
        <v>1995</v>
      </c>
      <c r="AC1519">
        <v>49</v>
      </c>
      <c r="AD1519">
        <v>135</v>
      </c>
      <c r="AE1519">
        <v>43</v>
      </c>
      <c r="AF1519">
        <v>111</v>
      </c>
      <c r="AG1519">
        <v>34</v>
      </c>
      <c r="AH1519">
        <v>100</v>
      </c>
      <c r="AI1519">
        <v>62</v>
      </c>
      <c r="AJ1519">
        <v>153</v>
      </c>
      <c r="AK1519">
        <v>57</v>
      </c>
      <c r="AL1519">
        <v>244</v>
      </c>
      <c r="AM1519">
        <v>87</v>
      </c>
      <c r="AN1519">
        <v>328</v>
      </c>
    </row>
    <row r="1520" spans="2:40" x14ac:dyDescent="0.35">
      <c r="B1520" s="46" t="s">
        <v>2127</v>
      </c>
      <c r="D1520" t="s">
        <v>1460</v>
      </c>
      <c r="E1520" t="s">
        <v>1937</v>
      </c>
      <c r="F1520" s="46" t="s">
        <v>1950</v>
      </c>
      <c r="G1520" t="s">
        <v>231</v>
      </c>
      <c r="H1520" s="47" t="s">
        <v>393</v>
      </c>
      <c r="I1520" s="47" t="s">
        <v>1938</v>
      </c>
      <c r="J1520" t="s">
        <v>1951</v>
      </c>
      <c r="K1520">
        <v>114</v>
      </c>
      <c r="L1520">
        <v>219</v>
      </c>
      <c r="M1520" s="24">
        <v>103</v>
      </c>
      <c r="N1520" s="24">
        <v>211</v>
      </c>
      <c r="O1520" s="24">
        <v>97</v>
      </c>
      <c r="P1520" s="24">
        <v>191</v>
      </c>
      <c r="Q1520">
        <v>116</v>
      </c>
      <c r="R1520">
        <v>188</v>
      </c>
      <c r="S1520">
        <v>174</v>
      </c>
      <c r="T1520">
        <v>289</v>
      </c>
      <c r="U1520">
        <v>154</v>
      </c>
      <c r="V1520">
        <v>392</v>
      </c>
      <c r="W1520">
        <v>173</v>
      </c>
      <c r="X1520">
        <v>634</v>
      </c>
      <c r="Z1520" t="str">
        <f t="shared" si="3"/>
        <v/>
      </c>
      <c r="AA1520" t="s">
        <v>1951</v>
      </c>
      <c r="AB1520" t="s">
        <v>1951</v>
      </c>
      <c r="AC1520">
        <v>103</v>
      </c>
      <c r="AD1520">
        <v>211</v>
      </c>
      <c r="AE1520">
        <v>97</v>
      </c>
      <c r="AF1520">
        <v>191</v>
      </c>
      <c r="AG1520">
        <v>116</v>
      </c>
      <c r="AH1520">
        <v>188</v>
      </c>
      <c r="AI1520">
        <v>174</v>
      </c>
      <c r="AJ1520">
        <v>289</v>
      </c>
      <c r="AK1520">
        <v>154</v>
      </c>
      <c r="AL1520">
        <v>392</v>
      </c>
      <c r="AM1520">
        <v>173</v>
      </c>
      <c r="AN1520">
        <v>634</v>
      </c>
    </row>
    <row r="1521" spans="2:40" x14ac:dyDescent="0.35">
      <c r="B1521" s="46" t="s">
        <v>2131</v>
      </c>
      <c r="D1521" t="s">
        <v>1460</v>
      </c>
      <c r="E1521" t="s">
        <v>1937</v>
      </c>
      <c r="F1521" s="46" t="s">
        <v>2029</v>
      </c>
      <c r="G1521" t="s">
        <v>239</v>
      </c>
      <c r="H1521" s="47" t="s">
        <v>450</v>
      </c>
      <c r="I1521" s="47" t="s">
        <v>2021</v>
      </c>
      <c r="J1521" t="s">
        <v>2030</v>
      </c>
      <c r="K1521">
        <v>4021</v>
      </c>
      <c r="L1521">
        <v>7817</v>
      </c>
      <c r="M1521" s="24">
        <v>3522</v>
      </c>
      <c r="N1521" s="24">
        <v>7225</v>
      </c>
      <c r="O1521" s="24">
        <v>3502</v>
      </c>
      <c r="P1521" s="24">
        <v>7184</v>
      </c>
      <c r="Q1521">
        <v>3992</v>
      </c>
      <c r="R1521">
        <v>8407</v>
      </c>
      <c r="S1521">
        <v>4865</v>
      </c>
      <c r="T1521">
        <v>11764</v>
      </c>
      <c r="U1521">
        <v>5471</v>
      </c>
      <c r="V1521">
        <v>14243</v>
      </c>
      <c r="W1521">
        <v>7267</v>
      </c>
      <c r="X1521">
        <v>20397</v>
      </c>
      <c r="Z1521" t="str">
        <f t="shared" si="3"/>
        <v/>
      </c>
      <c r="AA1521" t="s">
        <v>2030</v>
      </c>
      <c r="AB1521" t="s">
        <v>2030</v>
      </c>
      <c r="AC1521">
        <v>3522</v>
      </c>
      <c r="AD1521">
        <v>7225</v>
      </c>
      <c r="AE1521">
        <v>3502</v>
      </c>
      <c r="AF1521">
        <v>7184</v>
      </c>
      <c r="AG1521">
        <v>3992</v>
      </c>
      <c r="AH1521">
        <v>8407</v>
      </c>
      <c r="AI1521">
        <v>4865</v>
      </c>
      <c r="AJ1521">
        <v>11764</v>
      </c>
      <c r="AK1521">
        <v>5471</v>
      </c>
      <c r="AL1521">
        <v>14243</v>
      </c>
      <c r="AM1521">
        <v>7267</v>
      </c>
      <c r="AN1521">
        <v>20397</v>
      </c>
    </row>
    <row r="1522" spans="2:40" x14ac:dyDescent="0.35">
      <c r="B1522" s="46" t="s">
        <v>2133</v>
      </c>
      <c r="D1522" t="s">
        <v>1460</v>
      </c>
      <c r="E1522" t="s">
        <v>1937</v>
      </c>
      <c r="F1522" s="46" t="s">
        <v>1996</v>
      </c>
      <c r="G1522" t="s">
        <v>235</v>
      </c>
      <c r="H1522" s="47" t="s">
        <v>419</v>
      </c>
      <c r="I1522" s="47" t="s">
        <v>1971</v>
      </c>
      <c r="J1522" t="s">
        <v>1997</v>
      </c>
      <c r="K1522">
        <v>61</v>
      </c>
      <c r="L1522">
        <v>143</v>
      </c>
      <c r="M1522" s="24">
        <v>48</v>
      </c>
      <c r="N1522" s="24">
        <v>124</v>
      </c>
      <c r="O1522" s="24">
        <v>41</v>
      </c>
      <c r="P1522" s="24">
        <v>133</v>
      </c>
      <c r="Q1522">
        <v>54</v>
      </c>
      <c r="R1522">
        <v>156</v>
      </c>
      <c r="S1522">
        <v>94</v>
      </c>
      <c r="T1522">
        <v>217</v>
      </c>
      <c r="U1522">
        <v>91</v>
      </c>
      <c r="V1522">
        <v>241</v>
      </c>
      <c r="W1522">
        <v>130</v>
      </c>
      <c r="X1522">
        <v>298</v>
      </c>
      <c r="Z1522" t="str">
        <f t="shared" si="3"/>
        <v/>
      </c>
      <c r="AA1522" t="s">
        <v>1997</v>
      </c>
      <c r="AB1522" t="s">
        <v>1997</v>
      </c>
      <c r="AC1522">
        <v>48</v>
      </c>
      <c r="AD1522">
        <v>124</v>
      </c>
      <c r="AE1522">
        <v>41</v>
      </c>
      <c r="AF1522">
        <v>133</v>
      </c>
      <c r="AG1522">
        <v>54</v>
      </c>
      <c r="AH1522">
        <v>156</v>
      </c>
      <c r="AI1522">
        <v>94</v>
      </c>
      <c r="AJ1522">
        <v>217</v>
      </c>
      <c r="AK1522">
        <v>91</v>
      </c>
      <c r="AL1522">
        <v>241</v>
      </c>
      <c r="AM1522">
        <v>130</v>
      </c>
      <c r="AN1522">
        <v>298</v>
      </c>
    </row>
    <row r="1523" spans="2:40" x14ac:dyDescent="0.35">
      <c r="B1523" s="46" t="s">
        <v>2134</v>
      </c>
      <c r="D1523" t="s">
        <v>1460</v>
      </c>
      <c r="E1523" t="s">
        <v>1937</v>
      </c>
      <c r="F1523" s="46" t="s">
        <v>2330</v>
      </c>
      <c r="G1523" t="s">
        <v>603</v>
      </c>
      <c r="H1523" s="47" t="s">
        <v>2327</v>
      </c>
      <c r="I1523" s="47" t="s">
        <v>2328</v>
      </c>
      <c r="J1523" t="s">
        <v>1484</v>
      </c>
      <c r="K1523">
        <v>1916</v>
      </c>
      <c r="L1523">
        <v>3265</v>
      </c>
      <c r="M1523" s="24">
        <v>1703</v>
      </c>
      <c r="N1523" s="24">
        <v>3210</v>
      </c>
      <c r="O1523" s="24">
        <v>1776</v>
      </c>
      <c r="P1523" s="24">
        <v>3221</v>
      </c>
      <c r="Q1523">
        <v>1586</v>
      </c>
      <c r="R1523">
        <v>3115</v>
      </c>
      <c r="S1523">
        <v>2626</v>
      </c>
      <c r="T1523">
        <v>4427</v>
      </c>
      <c r="U1523">
        <v>3553</v>
      </c>
      <c r="V1523">
        <v>6415</v>
      </c>
      <c r="W1523">
        <v>5518</v>
      </c>
      <c r="X1523">
        <v>10228</v>
      </c>
      <c r="Z1523" t="str">
        <f t="shared" si="3"/>
        <v/>
      </c>
      <c r="AA1523" t="s">
        <v>1484</v>
      </c>
      <c r="AB1523" t="s">
        <v>1484</v>
      </c>
      <c r="AC1523">
        <v>1703</v>
      </c>
      <c r="AD1523">
        <v>3210</v>
      </c>
      <c r="AE1523">
        <v>1776</v>
      </c>
      <c r="AF1523">
        <v>3221</v>
      </c>
      <c r="AG1523">
        <v>1586</v>
      </c>
      <c r="AH1523">
        <v>3115</v>
      </c>
      <c r="AI1523">
        <v>2626</v>
      </c>
      <c r="AJ1523">
        <v>4427</v>
      </c>
      <c r="AK1523">
        <v>3553</v>
      </c>
      <c r="AL1523">
        <v>6415</v>
      </c>
      <c r="AM1523">
        <v>5518</v>
      </c>
      <c r="AN1523">
        <v>10228</v>
      </c>
    </row>
    <row r="1524" spans="2:40" x14ac:dyDescent="0.35">
      <c r="B1524" s="46" t="s">
        <v>2136</v>
      </c>
      <c r="D1524" t="s">
        <v>1460</v>
      </c>
      <c r="E1524" t="s">
        <v>1937</v>
      </c>
      <c r="F1524" s="46" t="s">
        <v>2193</v>
      </c>
      <c r="G1524" t="s">
        <v>581</v>
      </c>
      <c r="H1524" s="47" t="s">
        <v>2191</v>
      </c>
      <c r="I1524" s="47" t="s">
        <v>2192</v>
      </c>
      <c r="J1524" t="s">
        <v>2194</v>
      </c>
      <c r="K1524">
        <v>29180</v>
      </c>
      <c r="L1524">
        <v>33709</v>
      </c>
      <c r="M1524" s="24">
        <v>30717</v>
      </c>
      <c r="N1524" s="24">
        <v>34619</v>
      </c>
      <c r="O1524" s="24">
        <v>34832</v>
      </c>
      <c r="P1524" s="24">
        <v>41025</v>
      </c>
      <c r="Q1524">
        <v>41268</v>
      </c>
      <c r="R1524">
        <v>52618</v>
      </c>
      <c r="S1524">
        <v>83253</v>
      </c>
      <c r="T1524">
        <v>96239</v>
      </c>
      <c r="U1524">
        <v>115360</v>
      </c>
      <c r="V1524">
        <v>136434</v>
      </c>
      <c r="W1524">
        <v>137681</v>
      </c>
      <c r="X1524">
        <v>186021</v>
      </c>
      <c r="Z1524" t="str">
        <f t="shared" si="3"/>
        <v/>
      </c>
      <c r="AA1524" t="s">
        <v>2194</v>
      </c>
      <c r="AB1524" t="s">
        <v>2194</v>
      </c>
      <c r="AC1524">
        <v>30717</v>
      </c>
      <c r="AD1524">
        <v>34619</v>
      </c>
      <c r="AE1524">
        <v>34832</v>
      </c>
      <c r="AF1524">
        <v>41025</v>
      </c>
      <c r="AG1524">
        <v>41268</v>
      </c>
      <c r="AH1524">
        <v>52618</v>
      </c>
      <c r="AI1524">
        <v>83253</v>
      </c>
      <c r="AJ1524">
        <v>96239</v>
      </c>
      <c r="AK1524">
        <v>115360</v>
      </c>
      <c r="AL1524">
        <v>136434</v>
      </c>
      <c r="AM1524">
        <v>137681</v>
      </c>
      <c r="AN1524">
        <v>186021</v>
      </c>
    </row>
    <row r="1525" spans="2:40" x14ac:dyDescent="0.35">
      <c r="B1525" s="46" t="s">
        <v>2138</v>
      </c>
      <c r="D1525" t="s">
        <v>1460</v>
      </c>
      <c r="E1525" t="s">
        <v>1937</v>
      </c>
      <c r="F1525" s="46" t="s">
        <v>2360</v>
      </c>
      <c r="G1525" t="s">
        <v>611</v>
      </c>
      <c r="H1525" s="47" t="s">
        <v>2353</v>
      </c>
      <c r="I1525" s="47" t="s">
        <v>2354</v>
      </c>
      <c r="J1525" t="s">
        <v>2361</v>
      </c>
      <c r="K1525">
        <v>662</v>
      </c>
      <c r="L1525">
        <v>1266</v>
      </c>
      <c r="M1525" s="24">
        <v>570</v>
      </c>
      <c r="N1525" s="24">
        <v>1178</v>
      </c>
      <c r="O1525" s="24">
        <v>642</v>
      </c>
      <c r="P1525" s="24">
        <v>1208</v>
      </c>
      <c r="Q1525">
        <v>652</v>
      </c>
      <c r="R1525">
        <v>1341</v>
      </c>
      <c r="S1525">
        <v>1078</v>
      </c>
      <c r="T1525">
        <v>1852</v>
      </c>
      <c r="U1525">
        <v>979</v>
      </c>
      <c r="V1525">
        <v>2391</v>
      </c>
      <c r="W1525">
        <v>1148</v>
      </c>
      <c r="X1525">
        <v>3493</v>
      </c>
      <c r="Z1525" t="str">
        <f t="shared" si="3"/>
        <v/>
      </c>
      <c r="AA1525" t="s">
        <v>2361</v>
      </c>
      <c r="AB1525" t="s">
        <v>2361</v>
      </c>
      <c r="AC1525">
        <v>570</v>
      </c>
      <c r="AD1525">
        <v>1178</v>
      </c>
      <c r="AE1525">
        <v>642</v>
      </c>
      <c r="AF1525">
        <v>1208</v>
      </c>
      <c r="AG1525">
        <v>652</v>
      </c>
      <c r="AH1525">
        <v>1341</v>
      </c>
      <c r="AI1525">
        <v>1078</v>
      </c>
      <c r="AJ1525">
        <v>1852</v>
      </c>
      <c r="AK1525">
        <v>979</v>
      </c>
      <c r="AL1525">
        <v>2391</v>
      </c>
      <c r="AM1525">
        <v>1148</v>
      </c>
      <c r="AN1525">
        <v>3493</v>
      </c>
    </row>
    <row r="1526" spans="2:40" x14ac:dyDescent="0.35">
      <c r="B1526" s="46" t="s">
        <v>2140</v>
      </c>
      <c r="D1526" t="s">
        <v>1460</v>
      </c>
      <c r="E1526" t="s">
        <v>1937</v>
      </c>
      <c r="F1526" s="46" t="s">
        <v>2176</v>
      </c>
      <c r="G1526" t="s">
        <v>577</v>
      </c>
      <c r="H1526" s="47" t="s">
        <v>2163</v>
      </c>
      <c r="I1526" s="47" t="s">
        <v>2164</v>
      </c>
      <c r="J1526" t="s">
        <v>2177</v>
      </c>
      <c r="K1526">
        <v>301</v>
      </c>
      <c r="L1526">
        <v>571</v>
      </c>
      <c r="M1526" s="24">
        <v>259</v>
      </c>
      <c r="N1526" s="24">
        <v>580</v>
      </c>
      <c r="O1526" s="24">
        <v>244</v>
      </c>
      <c r="P1526" s="24">
        <v>559</v>
      </c>
      <c r="Q1526">
        <v>379</v>
      </c>
      <c r="R1526">
        <v>672</v>
      </c>
      <c r="S1526">
        <v>646</v>
      </c>
      <c r="T1526">
        <v>1040</v>
      </c>
      <c r="U1526">
        <v>584</v>
      </c>
      <c r="V1526">
        <v>1409</v>
      </c>
      <c r="W1526">
        <v>546</v>
      </c>
      <c r="X1526">
        <v>2166</v>
      </c>
      <c r="Z1526" t="str">
        <f t="shared" si="3"/>
        <v/>
      </c>
      <c r="AA1526" t="s">
        <v>2177</v>
      </c>
      <c r="AB1526" t="s">
        <v>2177</v>
      </c>
      <c r="AC1526">
        <v>259</v>
      </c>
      <c r="AD1526">
        <v>580</v>
      </c>
      <c r="AE1526">
        <v>244</v>
      </c>
      <c r="AF1526">
        <v>559</v>
      </c>
      <c r="AG1526">
        <v>379</v>
      </c>
      <c r="AH1526">
        <v>672</v>
      </c>
      <c r="AI1526">
        <v>646</v>
      </c>
      <c r="AJ1526">
        <v>1040</v>
      </c>
      <c r="AK1526">
        <v>584</v>
      </c>
      <c r="AL1526">
        <v>1409</v>
      </c>
      <c r="AM1526">
        <v>546</v>
      </c>
      <c r="AN1526">
        <v>2166</v>
      </c>
    </row>
    <row r="1527" spans="2:40" x14ac:dyDescent="0.35">
      <c r="B1527" s="46" t="s">
        <v>2143</v>
      </c>
      <c r="D1527" t="s">
        <v>1460</v>
      </c>
      <c r="E1527" t="s">
        <v>1937</v>
      </c>
      <c r="F1527" s="46" t="s">
        <v>2396</v>
      </c>
      <c r="G1527" t="s">
        <v>619</v>
      </c>
      <c r="H1527" s="47" t="s">
        <v>2391</v>
      </c>
      <c r="I1527" s="47" t="s">
        <v>2392</v>
      </c>
      <c r="J1527" t="s">
        <v>2397</v>
      </c>
      <c r="K1527">
        <v>1469</v>
      </c>
      <c r="L1527">
        <v>2792</v>
      </c>
      <c r="M1527" s="24">
        <v>1282</v>
      </c>
      <c r="N1527" s="24">
        <v>2693</v>
      </c>
      <c r="O1527" s="24">
        <v>1464</v>
      </c>
      <c r="P1527" s="24">
        <v>2844</v>
      </c>
      <c r="Q1527">
        <v>1373</v>
      </c>
      <c r="R1527">
        <v>3006</v>
      </c>
      <c r="S1527">
        <v>2257</v>
      </c>
      <c r="T1527">
        <v>4124</v>
      </c>
      <c r="U1527">
        <v>2342</v>
      </c>
      <c r="V1527">
        <v>5337</v>
      </c>
      <c r="W1527">
        <v>2654</v>
      </c>
      <c r="X1527">
        <v>7532</v>
      </c>
      <c r="Z1527" t="str">
        <f t="shared" si="3"/>
        <v/>
      </c>
      <c r="AA1527" t="s">
        <v>2397</v>
      </c>
      <c r="AB1527" t="s">
        <v>2397</v>
      </c>
      <c r="AC1527">
        <v>1282</v>
      </c>
      <c r="AD1527">
        <v>2693</v>
      </c>
      <c r="AE1527">
        <v>1464</v>
      </c>
      <c r="AF1527">
        <v>2844</v>
      </c>
      <c r="AG1527">
        <v>1373</v>
      </c>
      <c r="AH1527">
        <v>3006</v>
      </c>
      <c r="AI1527">
        <v>2257</v>
      </c>
      <c r="AJ1527">
        <v>4124</v>
      </c>
      <c r="AK1527">
        <v>2342</v>
      </c>
      <c r="AL1527">
        <v>5337</v>
      </c>
      <c r="AM1527">
        <v>2654</v>
      </c>
      <c r="AN1527">
        <v>7532</v>
      </c>
    </row>
    <row r="1528" spans="2:40" x14ac:dyDescent="0.35">
      <c r="B1528" s="46" t="s">
        <v>2145</v>
      </c>
      <c r="D1528" t="s">
        <v>1460</v>
      </c>
      <c r="E1528" t="s">
        <v>1937</v>
      </c>
      <c r="F1528" s="46" t="s">
        <v>2317</v>
      </c>
      <c r="G1528" t="s">
        <v>599</v>
      </c>
      <c r="H1528" s="47" t="s">
        <v>2307</v>
      </c>
      <c r="I1528" s="47" t="s">
        <v>2308</v>
      </c>
      <c r="J1528" t="s">
        <v>2318</v>
      </c>
      <c r="K1528">
        <v>700</v>
      </c>
      <c r="L1528">
        <v>1175</v>
      </c>
      <c r="M1528" s="24">
        <v>554</v>
      </c>
      <c r="N1528" s="24">
        <v>1181</v>
      </c>
      <c r="O1528" s="24">
        <v>567</v>
      </c>
      <c r="P1528" s="24">
        <v>1160</v>
      </c>
      <c r="Q1528">
        <v>714</v>
      </c>
      <c r="R1528">
        <v>1384</v>
      </c>
      <c r="S1528">
        <v>1135</v>
      </c>
      <c r="T1528">
        <v>1924</v>
      </c>
      <c r="U1528">
        <v>1082</v>
      </c>
      <c r="V1528">
        <v>2594</v>
      </c>
      <c r="W1528">
        <v>1265</v>
      </c>
      <c r="X1528">
        <v>3942</v>
      </c>
      <c r="Z1528" t="str">
        <f t="shared" si="3"/>
        <v/>
      </c>
      <c r="AA1528" t="s">
        <v>2318</v>
      </c>
      <c r="AB1528" t="s">
        <v>2318</v>
      </c>
      <c r="AC1528">
        <v>554</v>
      </c>
      <c r="AD1528">
        <v>1181</v>
      </c>
      <c r="AE1528">
        <v>567</v>
      </c>
      <c r="AF1528">
        <v>1160</v>
      </c>
      <c r="AG1528">
        <v>714</v>
      </c>
      <c r="AH1528">
        <v>1384</v>
      </c>
      <c r="AI1528">
        <v>1135</v>
      </c>
      <c r="AJ1528">
        <v>1924</v>
      </c>
      <c r="AK1528">
        <v>1082</v>
      </c>
      <c r="AL1528">
        <v>2594</v>
      </c>
      <c r="AM1528">
        <v>1265</v>
      </c>
      <c r="AN1528">
        <v>3942</v>
      </c>
    </row>
    <row r="1529" spans="2:40" x14ac:dyDescent="0.35">
      <c r="B1529" s="46" t="s">
        <v>2147</v>
      </c>
      <c r="D1529" t="s">
        <v>1460</v>
      </c>
      <c r="E1529" t="s">
        <v>1937</v>
      </c>
      <c r="F1529" s="46" t="s">
        <v>2041</v>
      </c>
      <c r="G1529" t="s">
        <v>255</v>
      </c>
      <c r="H1529" s="47" t="s">
        <v>467</v>
      </c>
      <c r="I1529" s="47" t="s">
        <v>2038</v>
      </c>
      <c r="J1529" t="s">
        <v>271</v>
      </c>
      <c r="K1529">
        <v>792</v>
      </c>
      <c r="L1529">
        <v>1026</v>
      </c>
      <c r="M1529" s="24">
        <v>1008</v>
      </c>
      <c r="N1529" s="24">
        <v>1255</v>
      </c>
      <c r="O1529" s="24">
        <v>1334</v>
      </c>
      <c r="P1529" s="24">
        <v>1558</v>
      </c>
      <c r="Q1529">
        <v>421</v>
      </c>
      <c r="R1529">
        <v>1372</v>
      </c>
      <c r="S1529">
        <v>1459</v>
      </c>
      <c r="T1529">
        <v>1684</v>
      </c>
      <c r="U1529">
        <v>1765</v>
      </c>
      <c r="V1529">
        <v>2207</v>
      </c>
      <c r="W1529">
        <v>1943</v>
      </c>
      <c r="X1529">
        <v>2988</v>
      </c>
      <c r="Z1529" t="str">
        <f t="shared" si="3"/>
        <v/>
      </c>
      <c r="AA1529" t="s">
        <v>271</v>
      </c>
      <c r="AB1529" t="s">
        <v>271</v>
      </c>
      <c r="AC1529">
        <v>1008</v>
      </c>
      <c r="AD1529">
        <v>1255</v>
      </c>
      <c r="AE1529">
        <v>1334</v>
      </c>
      <c r="AF1529">
        <v>1558</v>
      </c>
      <c r="AG1529">
        <v>421</v>
      </c>
      <c r="AH1529">
        <v>1372</v>
      </c>
      <c r="AI1529">
        <v>1459</v>
      </c>
      <c r="AJ1529">
        <v>1684</v>
      </c>
      <c r="AK1529">
        <v>1765</v>
      </c>
      <c r="AL1529">
        <v>2207</v>
      </c>
      <c r="AM1529">
        <v>1943</v>
      </c>
      <c r="AN1529">
        <v>2988</v>
      </c>
    </row>
    <row r="1530" spans="2:40" x14ac:dyDescent="0.35">
      <c r="B1530" s="46" t="s">
        <v>2149</v>
      </c>
      <c r="D1530" t="s">
        <v>1460</v>
      </c>
      <c r="E1530" t="s">
        <v>1937</v>
      </c>
      <c r="F1530" s="46" t="s">
        <v>2212</v>
      </c>
      <c r="G1530" t="s">
        <v>585</v>
      </c>
      <c r="H1530" s="47" t="s">
        <v>2198</v>
      </c>
      <c r="I1530" s="47" t="s">
        <v>2199</v>
      </c>
      <c r="J1530" t="s">
        <v>520</v>
      </c>
      <c r="K1530">
        <v>474</v>
      </c>
      <c r="L1530">
        <v>861</v>
      </c>
      <c r="M1530" s="24">
        <v>358</v>
      </c>
      <c r="N1530" s="24">
        <v>775</v>
      </c>
      <c r="O1530" s="24">
        <v>361</v>
      </c>
      <c r="P1530" s="24">
        <v>725</v>
      </c>
      <c r="Q1530">
        <v>440</v>
      </c>
      <c r="R1530">
        <v>801</v>
      </c>
      <c r="S1530">
        <v>694</v>
      </c>
      <c r="T1530">
        <v>1207</v>
      </c>
      <c r="U1530">
        <v>645</v>
      </c>
      <c r="V1530">
        <v>1695</v>
      </c>
      <c r="W1530">
        <v>907</v>
      </c>
      <c r="X1530">
        <v>2586</v>
      </c>
      <c r="Z1530" t="str">
        <f t="shared" si="3"/>
        <v/>
      </c>
      <c r="AA1530" t="s">
        <v>520</v>
      </c>
      <c r="AB1530" t="s">
        <v>520</v>
      </c>
      <c r="AC1530">
        <v>358</v>
      </c>
      <c r="AD1530">
        <v>775</v>
      </c>
      <c r="AE1530">
        <v>361</v>
      </c>
      <c r="AF1530">
        <v>725</v>
      </c>
      <c r="AG1530">
        <v>440</v>
      </c>
      <c r="AH1530">
        <v>801</v>
      </c>
      <c r="AI1530">
        <v>694</v>
      </c>
      <c r="AJ1530">
        <v>1207</v>
      </c>
      <c r="AK1530">
        <v>645</v>
      </c>
      <c r="AL1530">
        <v>1695</v>
      </c>
      <c r="AM1530">
        <v>907</v>
      </c>
      <c r="AN1530">
        <v>2586</v>
      </c>
    </row>
    <row r="1531" spans="2:40" x14ac:dyDescent="0.35">
      <c r="B1531" s="46" t="s">
        <v>2151</v>
      </c>
      <c r="D1531" t="s">
        <v>1460</v>
      </c>
      <c r="E1531" t="s">
        <v>1937</v>
      </c>
      <c r="F1531" s="46" t="s">
        <v>2118</v>
      </c>
      <c r="G1531" t="s">
        <v>283</v>
      </c>
      <c r="H1531" s="47" t="s">
        <v>1366</v>
      </c>
      <c r="I1531" s="47" t="s">
        <v>2112</v>
      </c>
      <c r="J1531" t="s">
        <v>2119</v>
      </c>
      <c r="K1531">
        <v>206</v>
      </c>
      <c r="L1531">
        <v>289</v>
      </c>
      <c r="M1531" s="24">
        <v>150</v>
      </c>
      <c r="N1531" s="24">
        <v>242</v>
      </c>
      <c r="O1531" s="24">
        <v>183</v>
      </c>
      <c r="P1531" s="24">
        <v>243</v>
      </c>
      <c r="Q1531">
        <v>186</v>
      </c>
      <c r="R1531">
        <v>238</v>
      </c>
      <c r="S1531">
        <v>289</v>
      </c>
      <c r="T1531">
        <v>391</v>
      </c>
      <c r="U1531">
        <v>375</v>
      </c>
      <c r="V1531">
        <v>517</v>
      </c>
      <c r="W1531">
        <v>696</v>
      </c>
      <c r="X1531">
        <v>1108</v>
      </c>
      <c r="Z1531" t="str">
        <f t="shared" si="3"/>
        <v/>
      </c>
      <c r="AA1531" t="s">
        <v>2119</v>
      </c>
      <c r="AB1531" t="s">
        <v>2119</v>
      </c>
      <c r="AC1531">
        <v>150</v>
      </c>
      <c r="AD1531">
        <v>242</v>
      </c>
      <c r="AE1531">
        <v>183</v>
      </c>
      <c r="AF1531">
        <v>243</v>
      </c>
      <c r="AG1531">
        <v>186</v>
      </c>
      <c r="AH1531">
        <v>238</v>
      </c>
      <c r="AI1531">
        <v>289</v>
      </c>
      <c r="AJ1531">
        <v>391</v>
      </c>
      <c r="AK1531">
        <v>375</v>
      </c>
      <c r="AL1531">
        <v>517</v>
      </c>
      <c r="AM1531">
        <v>696</v>
      </c>
      <c r="AN1531">
        <v>1108</v>
      </c>
    </row>
    <row r="1532" spans="2:40" x14ac:dyDescent="0.35">
      <c r="B1532" s="46" t="s">
        <v>2155</v>
      </c>
      <c r="D1532" t="s">
        <v>1460</v>
      </c>
      <c r="E1532" t="s">
        <v>1937</v>
      </c>
      <c r="F1532" s="46" t="s">
        <v>2103</v>
      </c>
      <c r="G1532" t="s">
        <v>279</v>
      </c>
      <c r="H1532" s="47" t="s">
        <v>1347</v>
      </c>
      <c r="I1532" s="47" t="s">
        <v>2098</v>
      </c>
      <c r="J1532" t="s">
        <v>2104</v>
      </c>
      <c r="K1532">
        <v>1993</v>
      </c>
      <c r="L1532">
        <v>3387</v>
      </c>
      <c r="M1532" s="24">
        <v>1746</v>
      </c>
      <c r="N1532" s="24">
        <v>3106</v>
      </c>
      <c r="O1532" s="24">
        <v>1431</v>
      </c>
      <c r="P1532" s="24">
        <v>2677</v>
      </c>
      <c r="Q1532">
        <v>1433</v>
      </c>
      <c r="R1532">
        <v>2657</v>
      </c>
      <c r="S1532">
        <v>2427</v>
      </c>
      <c r="T1532">
        <v>4154</v>
      </c>
      <c r="U1532">
        <v>3082</v>
      </c>
      <c r="V1532">
        <v>5950</v>
      </c>
      <c r="W1532">
        <v>4468</v>
      </c>
      <c r="X1532">
        <v>9945</v>
      </c>
      <c r="Z1532" t="str">
        <f t="shared" si="3"/>
        <v/>
      </c>
      <c r="AA1532" t="s">
        <v>2104</v>
      </c>
      <c r="AB1532" t="s">
        <v>2104</v>
      </c>
      <c r="AC1532">
        <v>1746</v>
      </c>
      <c r="AD1532">
        <v>3106</v>
      </c>
      <c r="AE1532">
        <v>1431</v>
      </c>
      <c r="AF1532">
        <v>2677</v>
      </c>
      <c r="AG1532">
        <v>1433</v>
      </c>
      <c r="AH1532">
        <v>2657</v>
      </c>
      <c r="AI1532">
        <v>2427</v>
      </c>
      <c r="AJ1532">
        <v>4154</v>
      </c>
      <c r="AK1532">
        <v>3082</v>
      </c>
      <c r="AL1532">
        <v>5950</v>
      </c>
      <c r="AM1532">
        <v>4468</v>
      </c>
      <c r="AN1532">
        <v>9945</v>
      </c>
    </row>
    <row r="1533" spans="2:40" x14ac:dyDescent="0.35">
      <c r="B1533" s="46" t="s">
        <v>2156</v>
      </c>
      <c r="D1533" t="s">
        <v>1460</v>
      </c>
      <c r="E1533" t="s">
        <v>1937</v>
      </c>
      <c r="F1533" s="46" t="s">
        <v>1998</v>
      </c>
      <c r="G1533" t="s">
        <v>235</v>
      </c>
      <c r="H1533" s="47" t="s">
        <v>419</v>
      </c>
      <c r="I1533" s="47" t="s">
        <v>1971</v>
      </c>
      <c r="J1533" t="s">
        <v>1999</v>
      </c>
      <c r="K1533">
        <v>277</v>
      </c>
      <c r="L1533">
        <v>513</v>
      </c>
      <c r="M1533" s="24">
        <v>246</v>
      </c>
      <c r="N1533" s="24">
        <v>490</v>
      </c>
      <c r="O1533" s="24">
        <v>204</v>
      </c>
      <c r="P1533" s="24">
        <v>469</v>
      </c>
      <c r="Q1533">
        <v>282</v>
      </c>
      <c r="R1533">
        <v>539</v>
      </c>
      <c r="S1533">
        <v>462</v>
      </c>
      <c r="T1533">
        <v>784</v>
      </c>
      <c r="U1533">
        <v>488</v>
      </c>
      <c r="V1533">
        <v>1142</v>
      </c>
      <c r="W1533">
        <v>804</v>
      </c>
      <c r="X1533">
        <v>1748</v>
      </c>
      <c r="Z1533" t="str">
        <f t="shared" si="3"/>
        <v/>
      </c>
      <c r="AA1533" t="s">
        <v>1999</v>
      </c>
      <c r="AB1533" t="s">
        <v>1999</v>
      </c>
      <c r="AC1533">
        <v>246</v>
      </c>
      <c r="AD1533">
        <v>490</v>
      </c>
      <c r="AE1533">
        <v>204</v>
      </c>
      <c r="AF1533">
        <v>469</v>
      </c>
      <c r="AG1533">
        <v>282</v>
      </c>
      <c r="AH1533">
        <v>539</v>
      </c>
      <c r="AI1533">
        <v>462</v>
      </c>
      <c r="AJ1533">
        <v>784</v>
      </c>
      <c r="AK1533">
        <v>488</v>
      </c>
      <c r="AL1533">
        <v>1142</v>
      </c>
      <c r="AM1533">
        <v>804</v>
      </c>
      <c r="AN1533">
        <v>1748</v>
      </c>
    </row>
    <row r="1534" spans="2:40" x14ac:dyDescent="0.35">
      <c r="B1534" s="46" t="s">
        <v>2157</v>
      </c>
      <c r="D1534" t="s">
        <v>1460</v>
      </c>
      <c r="E1534" t="s">
        <v>1937</v>
      </c>
      <c r="F1534" s="46" t="s">
        <v>2236</v>
      </c>
      <c r="G1534" t="s">
        <v>588</v>
      </c>
      <c r="H1534" s="47" t="s">
        <v>2230</v>
      </c>
      <c r="I1534" s="47" t="s">
        <v>2231</v>
      </c>
      <c r="J1534" t="s">
        <v>2237</v>
      </c>
      <c r="K1534">
        <v>40</v>
      </c>
      <c r="L1534">
        <v>55</v>
      </c>
      <c r="M1534" s="24">
        <v>47</v>
      </c>
      <c r="N1534" s="24">
        <v>60</v>
      </c>
      <c r="O1534" s="24">
        <v>59</v>
      </c>
      <c r="P1534" s="24">
        <v>79</v>
      </c>
      <c r="Q1534">
        <v>40</v>
      </c>
      <c r="R1534">
        <v>75</v>
      </c>
      <c r="S1534">
        <v>87</v>
      </c>
      <c r="T1534">
        <v>156</v>
      </c>
      <c r="U1534">
        <v>224</v>
      </c>
      <c r="V1534">
        <v>387</v>
      </c>
      <c r="W1534">
        <v>532</v>
      </c>
      <c r="X1534">
        <v>786</v>
      </c>
      <c r="Z1534" t="str">
        <f t="shared" si="3"/>
        <v/>
      </c>
      <c r="AA1534" t="s">
        <v>2237</v>
      </c>
      <c r="AB1534" t="s">
        <v>2237</v>
      </c>
      <c r="AC1534">
        <v>47</v>
      </c>
      <c r="AD1534">
        <v>60</v>
      </c>
      <c r="AE1534">
        <v>59</v>
      </c>
      <c r="AF1534">
        <v>79</v>
      </c>
      <c r="AG1534">
        <v>40</v>
      </c>
      <c r="AH1534">
        <v>75</v>
      </c>
      <c r="AI1534">
        <v>87</v>
      </c>
      <c r="AJ1534">
        <v>156</v>
      </c>
      <c r="AK1534">
        <v>224</v>
      </c>
      <c r="AL1534">
        <v>387</v>
      </c>
      <c r="AM1534">
        <v>532</v>
      </c>
      <c r="AN1534">
        <v>786</v>
      </c>
    </row>
    <row r="1535" spans="2:40" x14ac:dyDescent="0.35">
      <c r="B1535" s="46" t="s">
        <v>2158</v>
      </c>
      <c r="D1535" t="s">
        <v>1460</v>
      </c>
      <c r="E1535" t="s">
        <v>1937</v>
      </c>
      <c r="F1535" s="46" t="s">
        <v>2377</v>
      </c>
      <c r="G1535" t="s">
        <v>615</v>
      </c>
      <c r="H1535" s="47" t="s">
        <v>2366</v>
      </c>
      <c r="I1535" s="47" t="s">
        <v>2367</v>
      </c>
      <c r="J1535" t="s">
        <v>2378</v>
      </c>
      <c r="K1535">
        <v>130</v>
      </c>
      <c r="L1535">
        <v>285</v>
      </c>
      <c r="M1535" s="24">
        <v>123</v>
      </c>
      <c r="N1535" s="24">
        <v>262</v>
      </c>
      <c r="O1535" s="24">
        <v>171</v>
      </c>
      <c r="P1535" s="24">
        <v>350</v>
      </c>
      <c r="Q1535">
        <v>140</v>
      </c>
      <c r="R1535">
        <v>389</v>
      </c>
      <c r="S1535">
        <v>284</v>
      </c>
      <c r="T1535">
        <v>544</v>
      </c>
      <c r="U1535">
        <v>380</v>
      </c>
      <c r="V1535">
        <v>843</v>
      </c>
      <c r="W1535">
        <v>473</v>
      </c>
      <c r="X1535">
        <v>1186</v>
      </c>
      <c r="Z1535" t="str">
        <f t="shared" si="3"/>
        <v/>
      </c>
      <c r="AA1535" t="s">
        <v>2378</v>
      </c>
      <c r="AB1535" t="s">
        <v>2378</v>
      </c>
      <c r="AC1535">
        <v>123</v>
      </c>
      <c r="AD1535">
        <v>262</v>
      </c>
      <c r="AE1535">
        <v>171</v>
      </c>
      <c r="AF1535">
        <v>350</v>
      </c>
      <c r="AG1535">
        <v>140</v>
      </c>
      <c r="AH1535">
        <v>389</v>
      </c>
      <c r="AI1535">
        <v>284</v>
      </c>
      <c r="AJ1535">
        <v>544</v>
      </c>
      <c r="AK1535">
        <v>380</v>
      </c>
      <c r="AL1535">
        <v>843</v>
      </c>
      <c r="AM1535">
        <v>473</v>
      </c>
      <c r="AN1535">
        <v>1186</v>
      </c>
    </row>
    <row r="1536" spans="2:40" x14ac:dyDescent="0.35">
      <c r="B1536" s="46" t="s">
        <v>2160</v>
      </c>
      <c r="D1536" t="s">
        <v>1460</v>
      </c>
      <c r="E1536" t="s">
        <v>1937</v>
      </c>
      <c r="F1536" s="46" t="s">
        <v>2345</v>
      </c>
      <c r="G1536" t="s">
        <v>607</v>
      </c>
      <c r="H1536" s="47" t="s">
        <v>2339</v>
      </c>
      <c r="I1536" s="47" t="s">
        <v>2340</v>
      </c>
      <c r="J1536" t="s">
        <v>357</v>
      </c>
      <c r="K1536">
        <v>278</v>
      </c>
      <c r="L1536">
        <v>497</v>
      </c>
      <c r="M1536" s="24">
        <v>249</v>
      </c>
      <c r="N1536" s="24">
        <v>512</v>
      </c>
      <c r="O1536" s="24">
        <v>266</v>
      </c>
      <c r="P1536" s="24">
        <v>503</v>
      </c>
      <c r="Q1536">
        <v>253</v>
      </c>
      <c r="R1536">
        <v>476</v>
      </c>
      <c r="S1536">
        <v>390</v>
      </c>
      <c r="T1536">
        <v>633</v>
      </c>
      <c r="U1536">
        <v>522</v>
      </c>
      <c r="V1536">
        <v>984</v>
      </c>
      <c r="W1536">
        <v>556</v>
      </c>
      <c r="X1536">
        <v>1456</v>
      </c>
      <c r="Z1536" t="str">
        <f t="shared" si="3"/>
        <v/>
      </c>
      <c r="AA1536" t="s">
        <v>357</v>
      </c>
      <c r="AB1536" t="s">
        <v>357</v>
      </c>
      <c r="AC1536">
        <v>249</v>
      </c>
      <c r="AD1536">
        <v>512</v>
      </c>
      <c r="AE1536">
        <v>266</v>
      </c>
      <c r="AF1536">
        <v>503</v>
      </c>
      <c r="AG1536">
        <v>253</v>
      </c>
      <c r="AH1536">
        <v>476</v>
      </c>
      <c r="AI1536">
        <v>390</v>
      </c>
      <c r="AJ1536">
        <v>633</v>
      </c>
      <c r="AK1536">
        <v>522</v>
      </c>
      <c r="AL1536">
        <v>984</v>
      </c>
      <c r="AM1536">
        <v>556</v>
      </c>
      <c r="AN1536">
        <v>1456</v>
      </c>
    </row>
    <row r="1537" spans="2:40" x14ac:dyDescent="0.35">
      <c r="B1537" s="46" t="s">
        <v>2162</v>
      </c>
      <c r="D1537" t="s">
        <v>1460</v>
      </c>
      <c r="E1537" t="s">
        <v>1937</v>
      </c>
      <c r="F1537" s="46" t="s">
        <v>2042</v>
      </c>
      <c r="G1537" t="s">
        <v>255</v>
      </c>
      <c r="H1537" s="47" t="s">
        <v>467</v>
      </c>
      <c r="I1537" s="47" t="s">
        <v>2038</v>
      </c>
      <c r="J1537" t="s">
        <v>837</v>
      </c>
      <c r="K1537">
        <v>661</v>
      </c>
      <c r="L1537">
        <v>1025</v>
      </c>
      <c r="M1537" s="24">
        <v>532</v>
      </c>
      <c r="N1537" s="24">
        <v>1011</v>
      </c>
      <c r="O1537" s="24">
        <v>460</v>
      </c>
      <c r="P1537" s="24">
        <v>923</v>
      </c>
      <c r="Q1537">
        <v>499</v>
      </c>
      <c r="R1537">
        <v>1042</v>
      </c>
      <c r="S1537">
        <v>977</v>
      </c>
      <c r="T1537">
        <v>1602</v>
      </c>
      <c r="U1537">
        <v>1236</v>
      </c>
      <c r="V1537">
        <v>2302</v>
      </c>
      <c r="W1537">
        <v>1647</v>
      </c>
      <c r="X1537">
        <v>3644</v>
      </c>
      <c r="Z1537" t="str">
        <f t="shared" si="3"/>
        <v/>
      </c>
      <c r="AA1537" t="s">
        <v>837</v>
      </c>
      <c r="AB1537" t="s">
        <v>837</v>
      </c>
      <c r="AC1537">
        <v>532</v>
      </c>
      <c r="AD1537">
        <v>1011</v>
      </c>
      <c r="AE1537">
        <v>460</v>
      </c>
      <c r="AF1537">
        <v>923</v>
      </c>
      <c r="AG1537">
        <v>499</v>
      </c>
      <c r="AH1537">
        <v>1042</v>
      </c>
      <c r="AI1537">
        <v>977</v>
      </c>
      <c r="AJ1537">
        <v>1602</v>
      </c>
      <c r="AK1537">
        <v>1236</v>
      </c>
      <c r="AL1537">
        <v>2302</v>
      </c>
      <c r="AM1537">
        <v>1647</v>
      </c>
      <c r="AN1537">
        <v>3644</v>
      </c>
    </row>
    <row r="1538" spans="2:40" x14ac:dyDescent="0.35">
      <c r="B1538" s="46" t="s">
        <v>2166</v>
      </c>
      <c r="D1538" t="s">
        <v>1460</v>
      </c>
      <c r="E1538" t="s">
        <v>1937</v>
      </c>
      <c r="F1538" s="46" t="s">
        <v>2120</v>
      </c>
      <c r="G1538" t="s">
        <v>283</v>
      </c>
      <c r="H1538" s="47" t="s">
        <v>1366</v>
      </c>
      <c r="I1538" s="47" t="s">
        <v>2112</v>
      </c>
      <c r="J1538" t="s">
        <v>959</v>
      </c>
      <c r="K1538">
        <v>52</v>
      </c>
      <c r="L1538">
        <v>95</v>
      </c>
      <c r="M1538" s="24">
        <v>45</v>
      </c>
      <c r="N1538" s="24">
        <v>92</v>
      </c>
      <c r="O1538" s="24">
        <v>43</v>
      </c>
      <c r="P1538" s="24">
        <v>93</v>
      </c>
      <c r="Q1538">
        <v>48</v>
      </c>
      <c r="R1538">
        <v>94</v>
      </c>
      <c r="S1538">
        <v>95</v>
      </c>
      <c r="T1538">
        <v>157</v>
      </c>
      <c r="U1538">
        <v>119</v>
      </c>
      <c r="V1538">
        <v>198</v>
      </c>
      <c r="W1538">
        <v>99</v>
      </c>
      <c r="X1538">
        <v>234</v>
      </c>
      <c r="Z1538" t="str">
        <f t="shared" si="3"/>
        <v/>
      </c>
      <c r="AA1538" t="s">
        <v>959</v>
      </c>
      <c r="AB1538" t="s">
        <v>959</v>
      </c>
      <c r="AC1538">
        <v>45</v>
      </c>
      <c r="AD1538">
        <v>92</v>
      </c>
      <c r="AE1538">
        <v>43</v>
      </c>
      <c r="AF1538">
        <v>93</v>
      </c>
      <c r="AG1538">
        <v>48</v>
      </c>
      <c r="AH1538">
        <v>94</v>
      </c>
      <c r="AI1538">
        <v>95</v>
      </c>
      <c r="AJ1538">
        <v>157</v>
      </c>
      <c r="AK1538">
        <v>119</v>
      </c>
      <c r="AL1538">
        <v>198</v>
      </c>
      <c r="AM1538">
        <v>99</v>
      </c>
      <c r="AN1538">
        <v>234</v>
      </c>
    </row>
    <row r="1539" spans="2:40" x14ac:dyDescent="0.35">
      <c r="B1539" s="46" t="s">
        <v>2168</v>
      </c>
      <c r="D1539" t="s">
        <v>1460</v>
      </c>
      <c r="E1539" t="s">
        <v>1937</v>
      </c>
      <c r="F1539" s="46" t="s">
        <v>2043</v>
      </c>
      <c r="G1539" t="s">
        <v>255</v>
      </c>
      <c r="H1539" s="47" t="s">
        <v>467</v>
      </c>
      <c r="I1539" s="47" t="s">
        <v>2038</v>
      </c>
      <c r="J1539" t="s">
        <v>247</v>
      </c>
      <c r="K1539">
        <v>4722</v>
      </c>
      <c r="L1539">
        <v>7932</v>
      </c>
      <c r="M1539" s="24">
        <v>4094</v>
      </c>
      <c r="N1539" s="24">
        <v>7287</v>
      </c>
      <c r="O1539" s="24">
        <v>4123</v>
      </c>
      <c r="P1539" s="24">
        <v>7144</v>
      </c>
      <c r="Q1539">
        <v>4164</v>
      </c>
      <c r="R1539">
        <v>8135</v>
      </c>
      <c r="S1539">
        <v>9026</v>
      </c>
      <c r="T1539">
        <v>11965</v>
      </c>
      <c r="U1539">
        <v>10376</v>
      </c>
      <c r="V1539">
        <v>17402</v>
      </c>
      <c r="W1539">
        <v>12160</v>
      </c>
      <c r="X1539">
        <v>28571</v>
      </c>
      <c r="Z1539" t="str">
        <f t="shared" si="3"/>
        <v/>
      </c>
      <c r="AA1539" t="s">
        <v>247</v>
      </c>
      <c r="AB1539" t="s">
        <v>247</v>
      </c>
      <c r="AC1539">
        <v>4094</v>
      </c>
      <c r="AD1539">
        <v>7287</v>
      </c>
      <c r="AE1539">
        <v>4123</v>
      </c>
      <c r="AF1539">
        <v>7144</v>
      </c>
      <c r="AG1539">
        <v>4164</v>
      </c>
      <c r="AH1539">
        <v>8135</v>
      </c>
      <c r="AI1539">
        <v>9026</v>
      </c>
      <c r="AJ1539">
        <v>11965</v>
      </c>
      <c r="AK1539">
        <v>10376</v>
      </c>
      <c r="AL1539">
        <v>17402</v>
      </c>
      <c r="AM1539">
        <v>12160</v>
      </c>
      <c r="AN1539">
        <v>28571</v>
      </c>
    </row>
    <row r="1540" spans="2:40" x14ac:dyDescent="0.35">
      <c r="B1540" s="46" t="s">
        <v>2170</v>
      </c>
      <c r="D1540" t="s">
        <v>1460</v>
      </c>
      <c r="E1540" t="s">
        <v>1937</v>
      </c>
      <c r="F1540" s="46" t="s">
        <v>2143</v>
      </c>
      <c r="G1540" t="s">
        <v>303</v>
      </c>
      <c r="H1540" s="47" t="s">
        <v>2141</v>
      </c>
      <c r="I1540" s="47" t="s">
        <v>2142</v>
      </c>
      <c r="J1540" t="s">
        <v>2144</v>
      </c>
      <c r="K1540">
        <v>109</v>
      </c>
      <c r="L1540">
        <v>177</v>
      </c>
      <c r="M1540" s="24">
        <v>100</v>
      </c>
      <c r="N1540" s="24">
        <v>217</v>
      </c>
      <c r="O1540" s="24">
        <v>180</v>
      </c>
      <c r="P1540" s="24">
        <v>252</v>
      </c>
      <c r="Q1540">
        <v>606</v>
      </c>
      <c r="R1540">
        <v>718</v>
      </c>
      <c r="S1540">
        <v>736</v>
      </c>
      <c r="T1540">
        <v>863</v>
      </c>
      <c r="U1540">
        <v>728</v>
      </c>
      <c r="V1540">
        <v>935</v>
      </c>
      <c r="W1540">
        <v>495</v>
      </c>
      <c r="X1540">
        <v>897</v>
      </c>
      <c r="Z1540" t="str">
        <f t="shared" si="3"/>
        <v/>
      </c>
      <c r="AA1540" t="s">
        <v>2144</v>
      </c>
      <c r="AB1540" t="s">
        <v>2144</v>
      </c>
      <c r="AC1540">
        <v>100</v>
      </c>
      <c r="AD1540">
        <v>217</v>
      </c>
      <c r="AE1540">
        <v>180</v>
      </c>
      <c r="AF1540">
        <v>252</v>
      </c>
      <c r="AG1540">
        <v>606</v>
      </c>
      <c r="AH1540">
        <v>718</v>
      </c>
      <c r="AI1540">
        <v>736</v>
      </c>
      <c r="AJ1540">
        <v>863</v>
      </c>
      <c r="AK1540">
        <v>728</v>
      </c>
      <c r="AL1540">
        <v>935</v>
      </c>
      <c r="AM1540">
        <v>495</v>
      </c>
      <c r="AN1540">
        <v>897</v>
      </c>
    </row>
    <row r="1541" spans="2:40" x14ac:dyDescent="0.35">
      <c r="B1541" s="46" t="s">
        <v>2172</v>
      </c>
      <c r="D1541" t="s">
        <v>1460</v>
      </c>
      <c r="E1541" t="s">
        <v>1937</v>
      </c>
      <c r="F1541" s="46" t="s">
        <v>2085</v>
      </c>
      <c r="G1541" t="s">
        <v>273</v>
      </c>
      <c r="H1541" s="47" t="s">
        <v>524</v>
      </c>
      <c r="I1541" s="47" t="s">
        <v>2081</v>
      </c>
      <c r="J1541" t="s">
        <v>2086</v>
      </c>
      <c r="K1541">
        <v>985</v>
      </c>
      <c r="L1541">
        <v>1484</v>
      </c>
      <c r="M1541" s="24">
        <v>747</v>
      </c>
      <c r="N1541" s="24">
        <v>1375</v>
      </c>
      <c r="O1541" s="24">
        <v>693</v>
      </c>
      <c r="P1541" s="24">
        <v>1317</v>
      </c>
      <c r="Q1541">
        <v>783</v>
      </c>
      <c r="R1541">
        <v>1474</v>
      </c>
      <c r="S1541">
        <v>1434</v>
      </c>
      <c r="T1541">
        <v>2222</v>
      </c>
      <c r="U1541">
        <v>1802</v>
      </c>
      <c r="V1541">
        <v>3074</v>
      </c>
      <c r="W1541">
        <v>1587</v>
      </c>
      <c r="X1541">
        <v>3857</v>
      </c>
      <c r="Z1541" t="str">
        <f t="shared" si="3"/>
        <v/>
      </c>
      <c r="AA1541" t="s">
        <v>2086</v>
      </c>
      <c r="AB1541" t="s">
        <v>2086</v>
      </c>
      <c r="AC1541">
        <v>747</v>
      </c>
      <c r="AD1541">
        <v>1375</v>
      </c>
      <c r="AE1541">
        <v>693</v>
      </c>
      <c r="AF1541">
        <v>1317</v>
      </c>
      <c r="AG1541">
        <v>783</v>
      </c>
      <c r="AH1541">
        <v>1474</v>
      </c>
      <c r="AI1541">
        <v>1434</v>
      </c>
      <c r="AJ1541">
        <v>2222</v>
      </c>
      <c r="AK1541">
        <v>1802</v>
      </c>
      <c r="AL1541">
        <v>3074</v>
      </c>
      <c r="AM1541">
        <v>1587</v>
      </c>
      <c r="AN1541">
        <v>3857</v>
      </c>
    </row>
    <row r="1542" spans="2:40" x14ac:dyDescent="0.35">
      <c r="B1542" s="46" t="s">
        <v>2173</v>
      </c>
      <c r="D1542" t="s">
        <v>1460</v>
      </c>
      <c r="E1542" t="s">
        <v>1937</v>
      </c>
      <c r="F1542" s="46" t="s">
        <v>2398</v>
      </c>
      <c r="G1542" t="s">
        <v>619</v>
      </c>
      <c r="H1542" s="47" t="s">
        <v>2391</v>
      </c>
      <c r="I1542" s="47" t="s">
        <v>2392</v>
      </c>
      <c r="J1542" t="s">
        <v>535</v>
      </c>
      <c r="K1542">
        <v>4542</v>
      </c>
      <c r="L1542">
        <v>7801</v>
      </c>
      <c r="M1542" s="24">
        <v>4586</v>
      </c>
      <c r="N1542" s="24">
        <v>8581</v>
      </c>
      <c r="O1542" s="24">
        <v>5287</v>
      </c>
      <c r="P1542" s="24">
        <v>9044</v>
      </c>
      <c r="Q1542">
        <v>4207</v>
      </c>
      <c r="R1542">
        <v>8220</v>
      </c>
      <c r="S1542">
        <v>5739</v>
      </c>
      <c r="T1542">
        <v>10453</v>
      </c>
      <c r="U1542">
        <v>5358</v>
      </c>
      <c r="V1542">
        <v>11800</v>
      </c>
      <c r="W1542">
        <v>8352</v>
      </c>
      <c r="X1542">
        <v>18115</v>
      </c>
      <c r="Z1542" t="str">
        <f t="shared" si="3"/>
        <v/>
      </c>
      <c r="AA1542" t="s">
        <v>535</v>
      </c>
      <c r="AB1542" t="s">
        <v>535</v>
      </c>
      <c r="AC1542">
        <v>4586</v>
      </c>
      <c r="AD1542">
        <v>8581</v>
      </c>
      <c r="AE1542">
        <v>5287</v>
      </c>
      <c r="AF1542">
        <v>9044</v>
      </c>
      <c r="AG1542">
        <v>4207</v>
      </c>
      <c r="AH1542">
        <v>8220</v>
      </c>
      <c r="AI1542">
        <v>5739</v>
      </c>
      <c r="AJ1542">
        <v>10453</v>
      </c>
      <c r="AK1542">
        <v>5358</v>
      </c>
      <c r="AL1542">
        <v>11800</v>
      </c>
      <c r="AM1542">
        <v>8352</v>
      </c>
      <c r="AN1542">
        <v>18115</v>
      </c>
    </row>
    <row r="1543" spans="2:40" x14ac:dyDescent="0.35">
      <c r="B1543" s="46" t="s">
        <v>2175</v>
      </c>
      <c r="D1543" t="s">
        <v>1460</v>
      </c>
      <c r="E1543" t="s">
        <v>1937</v>
      </c>
      <c r="F1543" s="46" t="s">
        <v>1952</v>
      </c>
      <c r="G1543" t="s">
        <v>231</v>
      </c>
      <c r="H1543" s="47" t="s">
        <v>393</v>
      </c>
      <c r="I1543" s="47" t="s">
        <v>1938</v>
      </c>
      <c r="J1543" t="s">
        <v>983</v>
      </c>
      <c r="K1543">
        <v>243</v>
      </c>
      <c r="L1543">
        <v>456</v>
      </c>
      <c r="M1543" s="24">
        <v>200</v>
      </c>
      <c r="N1543" s="24">
        <v>416</v>
      </c>
      <c r="O1543" s="24">
        <v>216</v>
      </c>
      <c r="P1543" s="24">
        <v>431</v>
      </c>
      <c r="Q1543">
        <v>250</v>
      </c>
      <c r="R1543">
        <v>467</v>
      </c>
      <c r="S1543">
        <v>308</v>
      </c>
      <c r="T1543">
        <v>645</v>
      </c>
      <c r="U1543">
        <v>285</v>
      </c>
      <c r="V1543">
        <v>834</v>
      </c>
      <c r="W1543">
        <v>346</v>
      </c>
      <c r="X1543">
        <v>1233</v>
      </c>
      <c r="Z1543" t="str">
        <f t="shared" si="3"/>
        <v/>
      </c>
      <c r="AA1543" t="s">
        <v>983</v>
      </c>
      <c r="AB1543" t="s">
        <v>983</v>
      </c>
      <c r="AC1543">
        <v>200</v>
      </c>
      <c r="AD1543">
        <v>416</v>
      </c>
      <c r="AE1543">
        <v>216</v>
      </c>
      <c r="AF1543">
        <v>431</v>
      </c>
      <c r="AG1543">
        <v>250</v>
      </c>
      <c r="AH1543">
        <v>467</v>
      </c>
      <c r="AI1543">
        <v>308</v>
      </c>
      <c r="AJ1543">
        <v>645</v>
      </c>
      <c r="AK1543">
        <v>285</v>
      </c>
      <c r="AL1543">
        <v>834</v>
      </c>
      <c r="AM1543">
        <v>346</v>
      </c>
      <c r="AN1543">
        <v>1233</v>
      </c>
    </row>
    <row r="1544" spans="2:40" x14ac:dyDescent="0.35">
      <c r="B1544" s="46" t="s">
        <v>2176</v>
      </c>
      <c r="D1544" t="s">
        <v>1460</v>
      </c>
      <c r="E1544" t="s">
        <v>1937</v>
      </c>
      <c r="F1544" s="46" t="s">
        <v>2346</v>
      </c>
      <c r="G1544" t="s">
        <v>607</v>
      </c>
      <c r="H1544" s="47" t="s">
        <v>2339</v>
      </c>
      <c r="I1544" s="47" t="s">
        <v>2340</v>
      </c>
      <c r="J1544" t="s">
        <v>2347</v>
      </c>
      <c r="K1544">
        <v>178</v>
      </c>
      <c r="L1544">
        <v>348</v>
      </c>
      <c r="M1544" s="24">
        <v>134</v>
      </c>
      <c r="N1544" s="24">
        <v>347</v>
      </c>
      <c r="O1544" s="24">
        <v>162</v>
      </c>
      <c r="P1544" s="24">
        <v>327</v>
      </c>
      <c r="Q1544">
        <v>182</v>
      </c>
      <c r="R1544">
        <v>349</v>
      </c>
      <c r="S1544">
        <v>306</v>
      </c>
      <c r="T1544">
        <v>489</v>
      </c>
      <c r="U1544">
        <v>304</v>
      </c>
      <c r="V1544">
        <v>674</v>
      </c>
      <c r="W1544">
        <v>370</v>
      </c>
      <c r="X1544">
        <v>1101</v>
      </c>
      <c r="Z1544" t="str">
        <f t="shared" si="3"/>
        <v/>
      </c>
      <c r="AA1544" t="s">
        <v>2347</v>
      </c>
      <c r="AB1544" t="s">
        <v>2347</v>
      </c>
      <c r="AC1544">
        <v>134</v>
      </c>
      <c r="AD1544">
        <v>347</v>
      </c>
      <c r="AE1544">
        <v>162</v>
      </c>
      <c r="AF1544">
        <v>327</v>
      </c>
      <c r="AG1544">
        <v>182</v>
      </c>
      <c r="AH1544">
        <v>349</v>
      </c>
      <c r="AI1544">
        <v>306</v>
      </c>
      <c r="AJ1544">
        <v>489</v>
      </c>
      <c r="AK1544">
        <v>304</v>
      </c>
      <c r="AL1544">
        <v>674</v>
      </c>
      <c r="AM1544">
        <v>370</v>
      </c>
      <c r="AN1544">
        <v>1101</v>
      </c>
    </row>
    <row r="1545" spans="2:40" x14ac:dyDescent="0.35">
      <c r="B1545" s="46" t="s">
        <v>2178</v>
      </c>
      <c r="D1545" t="s">
        <v>1460</v>
      </c>
      <c r="E1545" t="s">
        <v>1937</v>
      </c>
      <c r="F1545" s="46" t="s">
        <v>2105</v>
      </c>
      <c r="G1545" t="s">
        <v>279</v>
      </c>
      <c r="H1545" s="47" t="s">
        <v>1347</v>
      </c>
      <c r="I1545" s="47" t="s">
        <v>2098</v>
      </c>
      <c r="J1545" t="s">
        <v>2106</v>
      </c>
      <c r="K1545">
        <v>2984</v>
      </c>
      <c r="L1545">
        <v>5157</v>
      </c>
      <c r="M1545" s="24">
        <v>3103</v>
      </c>
      <c r="N1545" s="24">
        <v>5656</v>
      </c>
      <c r="O1545" s="24">
        <v>3750</v>
      </c>
      <c r="P1545" s="24">
        <v>6421</v>
      </c>
      <c r="Q1545">
        <v>6203</v>
      </c>
      <c r="R1545">
        <v>8935</v>
      </c>
      <c r="S1545">
        <v>9877</v>
      </c>
      <c r="T1545">
        <v>13727</v>
      </c>
      <c r="U1545">
        <v>6883</v>
      </c>
      <c r="V1545">
        <v>13035</v>
      </c>
      <c r="W1545">
        <v>7264</v>
      </c>
      <c r="X1545">
        <v>16556</v>
      </c>
      <c r="Z1545" t="str">
        <f t="shared" si="3"/>
        <v/>
      </c>
      <c r="AA1545" t="s">
        <v>2106</v>
      </c>
      <c r="AB1545" t="s">
        <v>2106</v>
      </c>
      <c r="AC1545">
        <v>3103</v>
      </c>
      <c r="AD1545">
        <v>5656</v>
      </c>
      <c r="AE1545">
        <v>3750</v>
      </c>
      <c r="AF1545">
        <v>6421</v>
      </c>
      <c r="AG1545">
        <v>6203</v>
      </c>
      <c r="AH1545">
        <v>8935</v>
      </c>
      <c r="AI1545">
        <v>9877</v>
      </c>
      <c r="AJ1545">
        <v>13727</v>
      </c>
      <c r="AK1545">
        <v>6883</v>
      </c>
      <c r="AL1545">
        <v>13035</v>
      </c>
      <c r="AM1545">
        <v>7264</v>
      </c>
      <c r="AN1545">
        <v>16556</v>
      </c>
    </row>
    <row r="1546" spans="2:40" x14ac:dyDescent="0.35">
      <c r="B1546" s="46" t="s">
        <v>2180</v>
      </c>
      <c r="D1546" t="s">
        <v>1460</v>
      </c>
      <c r="E1546" t="s">
        <v>1937</v>
      </c>
      <c r="F1546" s="46" t="s">
        <v>2278</v>
      </c>
      <c r="G1546" t="s">
        <v>592</v>
      </c>
      <c r="H1546" s="47" t="s">
        <v>2257</v>
      </c>
      <c r="I1546" s="47" t="s">
        <v>2258</v>
      </c>
      <c r="J1546" t="s">
        <v>2279</v>
      </c>
      <c r="K1546">
        <v>898</v>
      </c>
      <c r="L1546">
        <v>1416</v>
      </c>
      <c r="M1546" s="24">
        <v>820</v>
      </c>
      <c r="N1546" s="24">
        <v>1311</v>
      </c>
      <c r="O1546" s="24">
        <v>834</v>
      </c>
      <c r="P1546" s="24">
        <v>1390</v>
      </c>
      <c r="Q1546">
        <v>953</v>
      </c>
      <c r="R1546">
        <v>1677</v>
      </c>
      <c r="S1546">
        <v>1302</v>
      </c>
      <c r="T1546">
        <v>2394</v>
      </c>
      <c r="U1546">
        <v>1090</v>
      </c>
      <c r="V1546">
        <v>2512</v>
      </c>
      <c r="W1546">
        <v>1434</v>
      </c>
      <c r="X1546">
        <v>3332</v>
      </c>
      <c r="Z1546" t="str">
        <f t="shared" ref="Z1546:Z1609" si="4">IF(AA1546=AB1546,"","N")</f>
        <v/>
      </c>
      <c r="AA1546" t="s">
        <v>2279</v>
      </c>
      <c r="AB1546" t="s">
        <v>2279</v>
      </c>
      <c r="AC1546">
        <v>820</v>
      </c>
      <c r="AD1546">
        <v>1311</v>
      </c>
      <c r="AE1546">
        <v>834</v>
      </c>
      <c r="AF1546">
        <v>1390</v>
      </c>
      <c r="AG1546">
        <v>953</v>
      </c>
      <c r="AH1546">
        <v>1677</v>
      </c>
      <c r="AI1546">
        <v>1302</v>
      </c>
      <c r="AJ1546">
        <v>2394</v>
      </c>
      <c r="AK1546">
        <v>1090</v>
      </c>
      <c r="AL1546">
        <v>2512</v>
      </c>
      <c r="AM1546">
        <v>1434</v>
      </c>
      <c r="AN1546">
        <v>3332</v>
      </c>
    </row>
    <row r="1547" spans="2:40" x14ac:dyDescent="0.35">
      <c r="B1547" s="46" t="s">
        <v>2182</v>
      </c>
      <c r="D1547" t="s">
        <v>1460</v>
      </c>
      <c r="E1547" t="s">
        <v>1937</v>
      </c>
      <c r="F1547" s="46" t="s">
        <v>2063</v>
      </c>
      <c r="G1547" t="s">
        <v>259</v>
      </c>
      <c r="H1547" s="47" t="s">
        <v>477</v>
      </c>
      <c r="I1547" s="47" t="s">
        <v>2061</v>
      </c>
      <c r="J1547" t="s">
        <v>2064</v>
      </c>
      <c r="K1547">
        <v>14</v>
      </c>
      <c r="L1547">
        <v>20</v>
      </c>
      <c r="M1547" s="24" t="s">
        <v>1152</v>
      </c>
      <c r="N1547" s="24" t="s">
        <v>1152</v>
      </c>
      <c r="O1547" s="24" t="s">
        <v>1152</v>
      </c>
      <c r="P1547" s="24">
        <v>15</v>
      </c>
      <c r="Q1547" t="s">
        <v>1152</v>
      </c>
      <c r="R1547">
        <v>15</v>
      </c>
      <c r="S1547">
        <v>12</v>
      </c>
      <c r="T1547">
        <v>21</v>
      </c>
      <c r="U1547">
        <v>16</v>
      </c>
      <c r="V1547">
        <v>27</v>
      </c>
      <c r="W1547">
        <v>256</v>
      </c>
      <c r="X1547">
        <v>267</v>
      </c>
      <c r="Z1547" t="str">
        <f t="shared" si="4"/>
        <v/>
      </c>
      <c r="AA1547" t="s">
        <v>2064</v>
      </c>
      <c r="AB1547" t="s">
        <v>2064</v>
      </c>
      <c r="AC1547" t="s">
        <v>1152</v>
      </c>
      <c r="AD1547" t="s">
        <v>1152</v>
      </c>
      <c r="AE1547" t="s">
        <v>1152</v>
      </c>
      <c r="AF1547">
        <v>15</v>
      </c>
      <c r="AG1547" t="s">
        <v>1152</v>
      </c>
      <c r="AH1547">
        <v>15</v>
      </c>
      <c r="AI1547">
        <v>12</v>
      </c>
      <c r="AJ1547">
        <v>21</v>
      </c>
      <c r="AK1547">
        <v>16</v>
      </c>
      <c r="AL1547">
        <v>27</v>
      </c>
      <c r="AM1547">
        <v>256</v>
      </c>
      <c r="AN1547">
        <v>267</v>
      </c>
    </row>
    <row r="1548" spans="2:40" x14ac:dyDescent="0.35">
      <c r="B1548" s="46" t="s">
        <v>2184</v>
      </c>
      <c r="D1548" t="s">
        <v>1460</v>
      </c>
      <c r="E1548" t="s">
        <v>1937</v>
      </c>
      <c r="F1548" s="46" t="s">
        <v>1953</v>
      </c>
      <c r="G1548" t="s">
        <v>231</v>
      </c>
      <c r="H1548" s="47" t="s">
        <v>393</v>
      </c>
      <c r="I1548" s="47" t="s">
        <v>1938</v>
      </c>
      <c r="J1548" t="s">
        <v>1954</v>
      </c>
      <c r="K1548">
        <v>17</v>
      </c>
      <c r="L1548">
        <v>28</v>
      </c>
      <c r="M1548" s="24" t="s">
        <v>1152</v>
      </c>
      <c r="N1548" s="24">
        <v>24</v>
      </c>
      <c r="O1548" s="24">
        <v>14</v>
      </c>
      <c r="P1548" s="24">
        <v>22</v>
      </c>
      <c r="Q1548">
        <v>18</v>
      </c>
      <c r="R1548">
        <v>26</v>
      </c>
      <c r="S1548">
        <v>16</v>
      </c>
      <c r="T1548">
        <v>29</v>
      </c>
      <c r="U1548">
        <v>15</v>
      </c>
      <c r="V1548">
        <v>43</v>
      </c>
      <c r="W1548">
        <v>26</v>
      </c>
      <c r="X1548">
        <v>59</v>
      </c>
      <c r="Z1548" t="str">
        <f t="shared" si="4"/>
        <v/>
      </c>
      <c r="AA1548" t="s">
        <v>1954</v>
      </c>
      <c r="AB1548" t="s">
        <v>1954</v>
      </c>
      <c r="AC1548" t="s">
        <v>1152</v>
      </c>
      <c r="AD1548">
        <v>24</v>
      </c>
      <c r="AE1548">
        <v>14</v>
      </c>
      <c r="AF1548">
        <v>22</v>
      </c>
      <c r="AG1548">
        <v>18</v>
      </c>
      <c r="AH1548">
        <v>26</v>
      </c>
      <c r="AI1548">
        <v>16</v>
      </c>
      <c r="AJ1548">
        <v>29</v>
      </c>
      <c r="AK1548">
        <v>15</v>
      </c>
      <c r="AL1548">
        <v>43</v>
      </c>
      <c r="AM1548">
        <v>26</v>
      </c>
      <c r="AN1548">
        <v>59</v>
      </c>
    </row>
    <row r="1549" spans="2:40" x14ac:dyDescent="0.35">
      <c r="B1549" s="46" t="s">
        <v>2186</v>
      </c>
      <c r="D1549" t="s">
        <v>1460</v>
      </c>
      <c r="E1549" t="s">
        <v>1937</v>
      </c>
      <c r="F1549" s="46" t="s">
        <v>2280</v>
      </c>
      <c r="G1549" t="s">
        <v>592</v>
      </c>
      <c r="H1549" s="47" t="s">
        <v>2257</v>
      </c>
      <c r="I1549" s="47" t="s">
        <v>2258</v>
      </c>
      <c r="J1549" t="s">
        <v>2281</v>
      </c>
      <c r="K1549">
        <v>1692</v>
      </c>
      <c r="L1549">
        <v>2155</v>
      </c>
      <c r="M1549" s="24">
        <v>1571</v>
      </c>
      <c r="N1549" s="24">
        <v>1989</v>
      </c>
      <c r="O1549" s="24">
        <v>1468</v>
      </c>
      <c r="P1549" s="24">
        <v>2021</v>
      </c>
      <c r="Q1549">
        <v>1550</v>
      </c>
      <c r="R1549">
        <v>2211</v>
      </c>
      <c r="S1549">
        <v>2151</v>
      </c>
      <c r="T1549">
        <v>3100</v>
      </c>
      <c r="U1549">
        <v>2178</v>
      </c>
      <c r="V1549">
        <v>3771</v>
      </c>
      <c r="W1549">
        <v>2760</v>
      </c>
      <c r="X1549">
        <v>5277</v>
      </c>
      <c r="Z1549" t="str">
        <f t="shared" si="4"/>
        <v/>
      </c>
      <c r="AA1549" t="s">
        <v>2281</v>
      </c>
      <c r="AB1549" t="s">
        <v>2281</v>
      </c>
      <c r="AC1549">
        <v>1571</v>
      </c>
      <c r="AD1549">
        <v>1989</v>
      </c>
      <c r="AE1549">
        <v>1468</v>
      </c>
      <c r="AF1549">
        <v>2021</v>
      </c>
      <c r="AG1549">
        <v>1550</v>
      </c>
      <c r="AH1549">
        <v>2211</v>
      </c>
      <c r="AI1549">
        <v>2151</v>
      </c>
      <c r="AJ1549">
        <v>3100</v>
      </c>
      <c r="AK1549">
        <v>2178</v>
      </c>
      <c r="AL1549">
        <v>3771</v>
      </c>
      <c r="AM1549">
        <v>2760</v>
      </c>
      <c r="AN1549">
        <v>5277</v>
      </c>
    </row>
    <row r="1550" spans="2:40" x14ac:dyDescent="0.35">
      <c r="B1550" s="46" t="s">
        <v>2188</v>
      </c>
      <c r="D1550" t="s">
        <v>1460</v>
      </c>
      <c r="E1550" t="s">
        <v>1937</v>
      </c>
      <c r="F1550" s="46" t="s">
        <v>2238</v>
      </c>
      <c r="G1550" t="s">
        <v>588</v>
      </c>
      <c r="H1550" s="47" t="s">
        <v>2230</v>
      </c>
      <c r="I1550" s="47" t="s">
        <v>2231</v>
      </c>
      <c r="J1550" t="s">
        <v>2239</v>
      </c>
      <c r="K1550">
        <v>207</v>
      </c>
      <c r="L1550">
        <v>353</v>
      </c>
      <c r="M1550" s="24">
        <v>223</v>
      </c>
      <c r="N1550" s="24">
        <v>371</v>
      </c>
      <c r="O1550" s="24">
        <v>290</v>
      </c>
      <c r="P1550" s="24">
        <v>421</v>
      </c>
      <c r="Q1550">
        <v>170</v>
      </c>
      <c r="R1550">
        <v>374</v>
      </c>
      <c r="S1550">
        <v>304</v>
      </c>
      <c r="T1550">
        <v>475</v>
      </c>
      <c r="U1550">
        <v>206</v>
      </c>
      <c r="V1550">
        <v>591</v>
      </c>
      <c r="W1550">
        <v>403</v>
      </c>
      <c r="X1550">
        <v>818</v>
      </c>
      <c r="Z1550" t="str">
        <f t="shared" si="4"/>
        <v/>
      </c>
      <c r="AA1550" t="s">
        <v>2239</v>
      </c>
      <c r="AB1550" t="s">
        <v>2239</v>
      </c>
      <c r="AC1550">
        <v>223</v>
      </c>
      <c r="AD1550">
        <v>371</v>
      </c>
      <c r="AE1550">
        <v>290</v>
      </c>
      <c r="AF1550">
        <v>421</v>
      </c>
      <c r="AG1550">
        <v>170</v>
      </c>
      <c r="AH1550">
        <v>374</v>
      </c>
      <c r="AI1550">
        <v>304</v>
      </c>
      <c r="AJ1550">
        <v>475</v>
      </c>
      <c r="AK1550">
        <v>206</v>
      </c>
      <c r="AL1550">
        <v>591</v>
      </c>
      <c r="AM1550">
        <v>403</v>
      </c>
      <c r="AN1550">
        <v>818</v>
      </c>
    </row>
    <row r="1551" spans="2:40" x14ac:dyDescent="0.35">
      <c r="B1551" s="46" t="s">
        <v>2190</v>
      </c>
      <c r="D1551" t="s">
        <v>1460</v>
      </c>
      <c r="E1551" t="s">
        <v>1937</v>
      </c>
      <c r="F1551" s="46" t="s">
        <v>2379</v>
      </c>
      <c r="G1551" t="s">
        <v>615</v>
      </c>
      <c r="H1551" s="47" t="s">
        <v>2366</v>
      </c>
      <c r="I1551" s="47" t="s">
        <v>2367</v>
      </c>
      <c r="J1551" t="s">
        <v>2380</v>
      </c>
      <c r="K1551">
        <v>0</v>
      </c>
      <c r="L1551">
        <v>0</v>
      </c>
      <c r="M1551" s="24" t="s">
        <v>1152</v>
      </c>
      <c r="N1551" s="24" t="s">
        <v>1152</v>
      </c>
      <c r="O1551" s="24" t="s">
        <v>1152</v>
      </c>
      <c r="P1551" s="24" t="s">
        <v>1152</v>
      </c>
      <c r="Q1551" t="s">
        <v>1152</v>
      </c>
      <c r="R1551" t="s">
        <v>1152</v>
      </c>
      <c r="S1551" t="s">
        <v>1152</v>
      </c>
      <c r="T1551" t="s">
        <v>1152</v>
      </c>
      <c r="U1551" t="s">
        <v>1152</v>
      </c>
      <c r="V1551" t="s">
        <v>1152</v>
      </c>
      <c r="W1551" t="s">
        <v>1152</v>
      </c>
      <c r="X1551" t="s">
        <v>1152</v>
      </c>
      <c r="Z1551" t="str">
        <f t="shared" si="4"/>
        <v/>
      </c>
      <c r="AA1551" t="s">
        <v>2380</v>
      </c>
      <c r="AB1551" t="s">
        <v>2380</v>
      </c>
      <c r="AC1551" t="s">
        <v>1152</v>
      </c>
      <c r="AD1551" t="s">
        <v>1152</v>
      </c>
      <c r="AE1551" t="s">
        <v>1152</v>
      </c>
      <c r="AF1551" t="s">
        <v>1152</v>
      </c>
      <c r="AG1551" t="s">
        <v>1152</v>
      </c>
      <c r="AH1551" t="s">
        <v>1152</v>
      </c>
      <c r="AI1551" t="s">
        <v>1152</v>
      </c>
      <c r="AJ1551" t="s">
        <v>1152</v>
      </c>
      <c r="AK1551" t="s">
        <v>1152</v>
      </c>
      <c r="AL1551" t="s">
        <v>1152</v>
      </c>
      <c r="AM1551" t="s">
        <v>1152</v>
      </c>
      <c r="AN1551" t="s">
        <v>1152</v>
      </c>
    </row>
    <row r="1552" spans="2:40" x14ac:dyDescent="0.35">
      <c r="B1552" s="46" t="s">
        <v>2193</v>
      </c>
      <c r="D1552" t="s">
        <v>1460</v>
      </c>
      <c r="E1552" t="s">
        <v>1937</v>
      </c>
      <c r="F1552" s="46" t="s">
        <v>2282</v>
      </c>
      <c r="G1552" t="s">
        <v>592</v>
      </c>
      <c r="H1552" s="47" t="s">
        <v>2257</v>
      </c>
      <c r="I1552" s="47" t="s">
        <v>2258</v>
      </c>
      <c r="J1552" t="s">
        <v>2283</v>
      </c>
      <c r="K1552">
        <v>66</v>
      </c>
      <c r="L1552">
        <v>120</v>
      </c>
      <c r="M1552" s="24">
        <v>73</v>
      </c>
      <c r="N1552" s="24">
        <v>136</v>
      </c>
      <c r="O1552" s="24">
        <v>64</v>
      </c>
      <c r="P1552" s="24">
        <v>114</v>
      </c>
      <c r="Q1552">
        <v>48</v>
      </c>
      <c r="R1552">
        <v>124</v>
      </c>
      <c r="S1552">
        <v>126</v>
      </c>
      <c r="T1552">
        <v>204</v>
      </c>
      <c r="U1552">
        <v>156</v>
      </c>
      <c r="V1552">
        <v>258</v>
      </c>
      <c r="W1552">
        <v>133</v>
      </c>
      <c r="X1552">
        <v>374</v>
      </c>
      <c r="Z1552" t="str">
        <f t="shared" si="4"/>
        <v/>
      </c>
      <c r="AA1552" t="s">
        <v>2283</v>
      </c>
      <c r="AB1552" t="s">
        <v>2283</v>
      </c>
      <c r="AC1552">
        <v>73</v>
      </c>
      <c r="AD1552">
        <v>136</v>
      </c>
      <c r="AE1552">
        <v>64</v>
      </c>
      <c r="AF1552">
        <v>114</v>
      </c>
      <c r="AG1552">
        <v>48</v>
      </c>
      <c r="AH1552">
        <v>124</v>
      </c>
      <c r="AI1552">
        <v>126</v>
      </c>
      <c r="AJ1552">
        <v>204</v>
      </c>
      <c r="AK1552">
        <v>156</v>
      </c>
      <c r="AL1552">
        <v>258</v>
      </c>
      <c r="AM1552">
        <v>133</v>
      </c>
      <c r="AN1552">
        <v>374</v>
      </c>
    </row>
    <row r="1553" spans="2:40" x14ac:dyDescent="0.35">
      <c r="B1553" s="46" t="s">
        <v>2195</v>
      </c>
      <c r="D1553" t="s">
        <v>1460</v>
      </c>
      <c r="E1553" t="s">
        <v>1937</v>
      </c>
      <c r="F1553" s="46" t="s">
        <v>2087</v>
      </c>
      <c r="G1553" t="s">
        <v>273</v>
      </c>
      <c r="H1553" s="47" t="s">
        <v>524</v>
      </c>
      <c r="I1553" s="47" t="s">
        <v>2081</v>
      </c>
      <c r="J1553" t="s">
        <v>2088</v>
      </c>
      <c r="K1553">
        <v>562</v>
      </c>
      <c r="L1553">
        <v>871</v>
      </c>
      <c r="M1553" s="24">
        <v>489</v>
      </c>
      <c r="N1553" s="24">
        <v>889</v>
      </c>
      <c r="O1553" s="24">
        <v>404</v>
      </c>
      <c r="P1553" s="24">
        <v>829</v>
      </c>
      <c r="Q1553">
        <v>484</v>
      </c>
      <c r="R1553">
        <v>927</v>
      </c>
      <c r="S1553">
        <v>815</v>
      </c>
      <c r="T1553">
        <v>1303</v>
      </c>
      <c r="U1553">
        <v>893</v>
      </c>
      <c r="V1553">
        <v>1769</v>
      </c>
      <c r="W1553">
        <v>1070</v>
      </c>
      <c r="X1553">
        <v>2642</v>
      </c>
      <c r="Z1553" t="str">
        <f t="shared" si="4"/>
        <v/>
      </c>
      <c r="AA1553" t="s">
        <v>2088</v>
      </c>
      <c r="AB1553" t="s">
        <v>2088</v>
      </c>
      <c r="AC1553">
        <v>489</v>
      </c>
      <c r="AD1553">
        <v>889</v>
      </c>
      <c r="AE1553">
        <v>404</v>
      </c>
      <c r="AF1553">
        <v>829</v>
      </c>
      <c r="AG1553">
        <v>484</v>
      </c>
      <c r="AH1553">
        <v>927</v>
      </c>
      <c r="AI1553">
        <v>815</v>
      </c>
      <c r="AJ1553">
        <v>1303</v>
      </c>
      <c r="AK1553">
        <v>893</v>
      </c>
      <c r="AL1553">
        <v>1769</v>
      </c>
      <c r="AM1553">
        <v>1070</v>
      </c>
      <c r="AN1553">
        <v>2642</v>
      </c>
    </row>
    <row r="1554" spans="2:40" x14ac:dyDescent="0.35">
      <c r="B1554" s="46" t="s">
        <v>2197</v>
      </c>
      <c r="D1554" t="s">
        <v>1460</v>
      </c>
      <c r="E1554" t="s">
        <v>1937</v>
      </c>
      <c r="F1554" s="46" t="s">
        <v>2381</v>
      </c>
      <c r="G1554" t="s">
        <v>615</v>
      </c>
      <c r="H1554" s="47" t="s">
        <v>2366</v>
      </c>
      <c r="I1554" s="47" t="s">
        <v>2367</v>
      </c>
      <c r="J1554" t="s">
        <v>1819</v>
      </c>
      <c r="K1554">
        <v>119</v>
      </c>
      <c r="L1554">
        <v>184</v>
      </c>
      <c r="M1554" s="24">
        <v>79</v>
      </c>
      <c r="N1554" s="24">
        <v>168</v>
      </c>
      <c r="O1554" s="24">
        <v>72</v>
      </c>
      <c r="P1554" s="24">
        <v>151</v>
      </c>
      <c r="Q1554">
        <v>102</v>
      </c>
      <c r="R1554">
        <v>165</v>
      </c>
      <c r="S1554">
        <v>139</v>
      </c>
      <c r="T1554">
        <v>208</v>
      </c>
      <c r="U1554">
        <v>97</v>
      </c>
      <c r="V1554">
        <v>268</v>
      </c>
      <c r="W1554">
        <v>88</v>
      </c>
      <c r="X1554">
        <v>300</v>
      </c>
      <c r="Z1554" t="str">
        <f t="shared" si="4"/>
        <v/>
      </c>
      <c r="AA1554" t="s">
        <v>1819</v>
      </c>
      <c r="AB1554" t="s">
        <v>1819</v>
      </c>
      <c r="AC1554">
        <v>79</v>
      </c>
      <c r="AD1554">
        <v>168</v>
      </c>
      <c r="AE1554">
        <v>72</v>
      </c>
      <c r="AF1554">
        <v>151</v>
      </c>
      <c r="AG1554">
        <v>102</v>
      </c>
      <c r="AH1554">
        <v>165</v>
      </c>
      <c r="AI1554">
        <v>139</v>
      </c>
      <c r="AJ1554">
        <v>208</v>
      </c>
      <c r="AK1554">
        <v>97</v>
      </c>
      <c r="AL1554">
        <v>268</v>
      </c>
      <c r="AM1554">
        <v>88</v>
      </c>
      <c r="AN1554">
        <v>300</v>
      </c>
    </row>
    <row r="1555" spans="2:40" x14ac:dyDescent="0.35">
      <c r="B1555" s="46" t="s">
        <v>2201</v>
      </c>
      <c r="D1555" t="s">
        <v>1460</v>
      </c>
      <c r="E1555" t="s">
        <v>1937</v>
      </c>
      <c r="F1555" s="46" t="s">
        <v>2319</v>
      </c>
      <c r="G1555" t="s">
        <v>599</v>
      </c>
      <c r="H1555" s="47" t="s">
        <v>2307</v>
      </c>
      <c r="I1555" s="47" t="s">
        <v>2308</v>
      </c>
      <c r="J1555" t="s">
        <v>359</v>
      </c>
      <c r="K1555">
        <v>783</v>
      </c>
      <c r="L1555">
        <v>1310</v>
      </c>
      <c r="M1555" s="24">
        <v>154</v>
      </c>
      <c r="N1555" s="24">
        <v>245</v>
      </c>
      <c r="O1555" s="24">
        <v>906</v>
      </c>
      <c r="P1555" s="24">
        <v>1471</v>
      </c>
      <c r="Q1555">
        <v>192</v>
      </c>
      <c r="R1555">
        <v>263</v>
      </c>
      <c r="S1555">
        <v>228</v>
      </c>
      <c r="T1555">
        <v>310</v>
      </c>
      <c r="U1555">
        <v>333</v>
      </c>
      <c r="V1555">
        <v>475</v>
      </c>
      <c r="W1555">
        <v>336</v>
      </c>
      <c r="X1555">
        <v>723</v>
      </c>
      <c r="Z1555" t="str">
        <f t="shared" si="4"/>
        <v/>
      </c>
      <c r="AA1555" t="s">
        <v>2285</v>
      </c>
      <c r="AB1555" t="s">
        <v>2285</v>
      </c>
      <c r="AC1555">
        <v>154</v>
      </c>
      <c r="AD1555">
        <v>245</v>
      </c>
      <c r="AE1555">
        <v>906</v>
      </c>
      <c r="AF1555">
        <v>1471</v>
      </c>
      <c r="AG1555">
        <v>192</v>
      </c>
      <c r="AH1555">
        <v>263</v>
      </c>
      <c r="AI1555">
        <v>228</v>
      </c>
      <c r="AJ1555">
        <v>310</v>
      </c>
      <c r="AK1555">
        <v>333</v>
      </c>
      <c r="AL1555">
        <v>475</v>
      </c>
      <c r="AM1555">
        <v>336</v>
      </c>
      <c r="AN1555">
        <v>723</v>
      </c>
    </row>
    <row r="1556" spans="2:40" x14ac:dyDescent="0.35">
      <c r="B1556" s="46" t="s">
        <v>2203</v>
      </c>
      <c r="D1556" t="s">
        <v>1460</v>
      </c>
      <c r="E1556" t="s">
        <v>1937</v>
      </c>
      <c r="F1556" s="46" t="s">
        <v>2178</v>
      </c>
      <c r="G1556" t="s">
        <v>577</v>
      </c>
      <c r="H1556" s="47" t="s">
        <v>2163</v>
      </c>
      <c r="I1556" s="47" t="s">
        <v>2164</v>
      </c>
      <c r="J1556" t="s">
        <v>2179</v>
      </c>
      <c r="K1556">
        <v>273</v>
      </c>
      <c r="L1556">
        <v>455</v>
      </c>
      <c r="M1556" s="24">
        <v>734</v>
      </c>
      <c r="N1556" s="24">
        <v>1292</v>
      </c>
      <c r="O1556" s="24">
        <v>201</v>
      </c>
      <c r="P1556" s="24">
        <v>393</v>
      </c>
      <c r="Q1556">
        <v>1485</v>
      </c>
      <c r="R1556">
        <v>2183</v>
      </c>
      <c r="S1556">
        <v>2226</v>
      </c>
      <c r="T1556">
        <v>3158</v>
      </c>
      <c r="U1556">
        <v>3277</v>
      </c>
      <c r="V1556">
        <v>4801</v>
      </c>
      <c r="W1556">
        <v>3095</v>
      </c>
      <c r="X1556">
        <v>6676</v>
      </c>
      <c r="Z1556" t="str">
        <f t="shared" si="4"/>
        <v/>
      </c>
      <c r="AA1556" t="s">
        <v>359</v>
      </c>
      <c r="AB1556" t="s">
        <v>359</v>
      </c>
      <c r="AC1556">
        <v>734</v>
      </c>
      <c r="AD1556">
        <v>1292</v>
      </c>
      <c r="AE1556">
        <v>201</v>
      </c>
      <c r="AF1556">
        <v>393</v>
      </c>
      <c r="AG1556">
        <v>1485</v>
      </c>
      <c r="AH1556">
        <v>2183</v>
      </c>
      <c r="AI1556">
        <v>2226</v>
      </c>
      <c r="AJ1556">
        <v>3158</v>
      </c>
      <c r="AK1556">
        <v>3277</v>
      </c>
      <c r="AL1556">
        <v>4801</v>
      </c>
      <c r="AM1556">
        <v>3095</v>
      </c>
      <c r="AN1556">
        <v>6676</v>
      </c>
    </row>
    <row r="1557" spans="2:40" x14ac:dyDescent="0.35">
      <c r="B1557" s="46" t="s">
        <v>2205</v>
      </c>
      <c r="D1557" t="s">
        <v>1460</v>
      </c>
      <c r="E1557" t="s">
        <v>1937</v>
      </c>
      <c r="F1557" s="46" t="s">
        <v>2134</v>
      </c>
      <c r="G1557" t="s">
        <v>293</v>
      </c>
      <c r="H1557" s="47" t="s">
        <v>2128</v>
      </c>
      <c r="I1557" s="47" t="s">
        <v>2129</v>
      </c>
      <c r="J1557" t="s">
        <v>2135</v>
      </c>
      <c r="K1557">
        <v>347</v>
      </c>
      <c r="L1557">
        <v>670</v>
      </c>
      <c r="M1557" s="24">
        <v>203</v>
      </c>
      <c r="N1557" s="24">
        <v>393</v>
      </c>
      <c r="O1557" s="24">
        <v>346</v>
      </c>
      <c r="P1557" s="24">
        <v>761</v>
      </c>
      <c r="Q1557">
        <v>243</v>
      </c>
      <c r="R1557">
        <v>414</v>
      </c>
      <c r="S1557">
        <v>365</v>
      </c>
      <c r="T1557">
        <v>582</v>
      </c>
      <c r="U1557">
        <v>312</v>
      </c>
      <c r="V1557">
        <v>761</v>
      </c>
      <c r="W1557">
        <v>275</v>
      </c>
      <c r="X1557">
        <v>1207</v>
      </c>
      <c r="Z1557" t="str">
        <f t="shared" si="4"/>
        <v/>
      </c>
      <c r="AA1557" t="s">
        <v>2179</v>
      </c>
      <c r="AB1557" t="s">
        <v>2179</v>
      </c>
      <c r="AC1557">
        <v>203</v>
      </c>
      <c r="AD1557">
        <v>393</v>
      </c>
      <c r="AE1557">
        <v>346</v>
      </c>
      <c r="AF1557">
        <v>761</v>
      </c>
      <c r="AG1557">
        <v>243</v>
      </c>
      <c r="AH1557">
        <v>414</v>
      </c>
      <c r="AI1557">
        <v>365</v>
      </c>
      <c r="AJ1557">
        <v>582</v>
      </c>
      <c r="AK1557">
        <v>312</v>
      </c>
      <c r="AL1557">
        <v>761</v>
      </c>
      <c r="AM1557">
        <v>275</v>
      </c>
      <c r="AN1557">
        <v>1207</v>
      </c>
    </row>
    <row r="1558" spans="2:40" x14ac:dyDescent="0.35">
      <c r="B1558" s="46" t="s">
        <v>2206</v>
      </c>
      <c r="D1558" t="s">
        <v>1460</v>
      </c>
      <c r="E1558" t="s">
        <v>1937</v>
      </c>
      <c r="F1558" s="46" t="s">
        <v>2284</v>
      </c>
      <c r="G1558" t="s">
        <v>592</v>
      </c>
      <c r="H1558" s="47" t="s">
        <v>2257</v>
      </c>
      <c r="I1558" s="47" t="s">
        <v>2258</v>
      </c>
      <c r="J1558" t="s">
        <v>2285</v>
      </c>
      <c r="K1558">
        <v>160</v>
      </c>
      <c r="L1558">
        <v>234</v>
      </c>
      <c r="M1558" s="24">
        <v>318</v>
      </c>
      <c r="N1558" s="24">
        <v>704</v>
      </c>
      <c r="O1558" s="24">
        <v>156</v>
      </c>
      <c r="P1558" s="24">
        <v>244</v>
      </c>
      <c r="Q1558">
        <v>343</v>
      </c>
      <c r="R1558">
        <v>758</v>
      </c>
      <c r="S1558">
        <v>514</v>
      </c>
      <c r="T1558">
        <v>1021</v>
      </c>
      <c r="U1558">
        <v>503</v>
      </c>
      <c r="V1558">
        <v>1216</v>
      </c>
      <c r="W1558">
        <v>528</v>
      </c>
      <c r="X1558">
        <v>1825</v>
      </c>
      <c r="Z1558" t="str">
        <f t="shared" si="4"/>
        <v/>
      </c>
      <c r="AA1558" t="s">
        <v>2135</v>
      </c>
      <c r="AB1558" t="s">
        <v>2135</v>
      </c>
      <c r="AC1558">
        <v>318</v>
      </c>
      <c r="AD1558">
        <v>704</v>
      </c>
      <c r="AE1558">
        <v>156</v>
      </c>
      <c r="AF1558">
        <v>244</v>
      </c>
      <c r="AG1558">
        <v>343</v>
      </c>
      <c r="AH1558">
        <v>758</v>
      </c>
      <c r="AI1558">
        <v>514</v>
      </c>
      <c r="AJ1558">
        <v>1021</v>
      </c>
      <c r="AK1558">
        <v>503</v>
      </c>
      <c r="AL1558">
        <v>1216</v>
      </c>
      <c r="AM1558">
        <v>528</v>
      </c>
      <c r="AN1558">
        <v>1825</v>
      </c>
    </row>
    <row r="1559" spans="2:40" x14ac:dyDescent="0.35">
      <c r="B1559" s="46" t="s">
        <v>2208</v>
      </c>
      <c r="D1559" t="s">
        <v>1460</v>
      </c>
      <c r="E1559" t="s">
        <v>1937</v>
      </c>
      <c r="F1559" s="46" t="s">
        <v>2348</v>
      </c>
      <c r="G1559" t="s">
        <v>607</v>
      </c>
      <c r="H1559" s="47" t="s">
        <v>2339</v>
      </c>
      <c r="I1559" s="47" t="s">
        <v>2340</v>
      </c>
      <c r="J1559" t="s">
        <v>2349</v>
      </c>
      <c r="K1559">
        <v>411</v>
      </c>
      <c r="L1559">
        <v>746</v>
      </c>
      <c r="M1559" s="24">
        <v>350</v>
      </c>
      <c r="N1559" s="24">
        <v>657</v>
      </c>
      <c r="O1559" s="24">
        <v>367</v>
      </c>
      <c r="P1559" s="24">
        <v>671</v>
      </c>
      <c r="Q1559">
        <v>344</v>
      </c>
      <c r="R1559">
        <v>704</v>
      </c>
      <c r="S1559">
        <v>483</v>
      </c>
      <c r="T1559">
        <v>915</v>
      </c>
      <c r="U1559">
        <v>593</v>
      </c>
      <c r="V1559">
        <v>1169</v>
      </c>
      <c r="W1559">
        <v>626</v>
      </c>
      <c r="X1559">
        <v>1680</v>
      </c>
      <c r="Z1559" t="str">
        <f t="shared" si="4"/>
        <v/>
      </c>
      <c r="AA1559" t="s">
        <v>2349</v>
      </c>
      <c r="AB1559" t="s">
        <v>2349</v>
      </c>
      <c r="AC1559">
        <v>350</v>
      </c>
      <c r="AD1559">
        <v>657</v>
      </c>
      <c r="AE1559">
        <v>367</v>
      </c>
      <c r="AF1559">
        <v>671</v>
      </c>
      <c r="AG1559">
        <v>344</v>
      </c>
      <c r="AH1559">
        <v>704</v>
      </c>
      <c r="AI1559">
        <v>483</v>
      </c>
      <c r="AJ1559">
        <v>915</v>
      </c>
      <c r="AK1559">
        <v>593</v>
      </c>
      <c r="AL1559">
        <v>1169</v>
      </c>
      <c r="AM1559">
        <v>626</v>
      </c>
      <c r="AN1559">
        <v>1680</v>
      </c>
    </row>
    <row r="1560" spans="2:40" x14ac:dyDescent="0.35">
      <c r="B1560" s="46" t="s">
        <v>2210</v>
      </c>
      <c r="D1560" t="s">
        <v>1460</v>
      </c>
      <c r="E1560" t="s">
        <v>1937</v>
      </c>
      <c r="F1560" s="46" t="s">
        <v>2031</v>
      </c>
      <c r="G1560" t="s">
        <v>239</v>
      </c>
      <c r="H1560" s="47" t="s">
        <v>450</v>
      </c>
      <c r="I1560" s="47" t="s">
        <v>2021</v>
      </c>
      <c r="J1560" t="s">
        <v>237</v>
      </c>
      <c r="K1560">
        <v>301</v>
      </c>
      <c r="L1560">
        <v>423</v>
      </c>
      <c r="M1560" s="24">
        <v>279</v>
      </c>
      <c r="N1560" s="24">
        <v>402</v>
      </c>
      <c r="O1560" s="24">
        <v>236</v>
      </c>
      <c r="P1560" s="24">
        <v>376</v>
      </c>
      <c r="Q1560">
        <v>232</v>
      </c>
      <c r="R1560">
        <v>436</v>
      </c>
      <c r="S1560">
        <v>372</v>
      </c>
      <c r="T1560">
        <v>639</v>
      </c>
      <c r="U1560">
        <v>307</v>
      </c>
      <c r="V1560">
        <v>855</v>
      </c>
      <c r="W1560">
        <v>436</v>
      </c>
      <c r="X1560">
        <v>1303</v>
      </c>
      <c r="Z1560" t="str">
        <f t="shared" si="4"/>
        <v/>
      </c>
      <c r="AA1560" t="s">
        <v>237</v>
      </c>
      <c r="AB1560" t="s">
        <v>237</v>
      </c>
      <c r="AC1560">
        <v>279</v>
      </c>
      <c r="AD1560">
        <v>402</v>
      </c>
      <c r="AE1560">
        <v>236</v>
      </c>
      <c r="AF1560">
        <v>376</v>
      </c>
      <c r="AG1560">
        <v>232</v>
      </c>
      <c r="AH1560">
        <v>436</v>
      </c>
      <c r="AI1560">
        <v>372</v>
      </c>
      <c r="AJ1560">
        <v>639</v>
      </c>
      <c r="AK1560">
        <v>307</v>
      </c>
      <c r="AL1560">
        <v>855</v>
      </c>
      <c r="AM1560">
        <v>436</v>
      </c>
      <c r="AN1560">
        <v>1303</v>
      </c>
    </row>
    <row r="1561" spans="2:40" x14ac:dyDescent="0.35">
      <c r="B1561" s="46" t="s">
        <v>2212</v>
      </c>
      <c r="D1561" t="s">
        <v>1460</v>
      </c>
      <c r="E1561" t="s">
        <v>1937</v>
      </c>
      <c r="F1561" s="46" t="s">
        <v>2074</v>
      </c>
      <c r="G1561" t="s">
        <v>265</v>
      </c>
      <c r="H1561" s="47" t="s">
        <v>501</v>
      </c>
      <c r="I1561" s="47" t="s">
        <v>2068</v>
      </c>
      <c r="J1561" t="s">
        <v>661</v>
      </c>
      <c r="K1561">
        <v>359</v>
      </c>
      <c r="L1561">
        <v>617</v>
      </c>
      <c r="M1561" s="24">
        <v>292</v>
      </c>
      <c r="N1561" s="24">
        <v>568</v>
      </c>
      <c r="O1561" s="24">
        <v>357</v>
      </c>
      <c r="P1561" s="24">
        <v>640</v>
      </c>
      <c r="Q1561">
        <v>314</v>
      </c>
      <c r="R1561">
        <v>612</v>
      </c>
      <c r="S1561">
        <v>535</v>
      </c>
      <c r="T1561">
        <v>811</v>
      </c>
      <c r="U1561">
        <v>567</v>
      </c>
      <c r="V1561">
        <v>1071</v>
      </c>
      <c r="W1561">
        <v>880</v>
      </c>
      <c r="X1561">
        <v>1710</v>
      </c>
      <c r="Z1561" t="str">
        <f t="shared" si="4"/>
        <v/>
      </c>
      <c r="AA1561" t="s">
        <v>661</v>
      </c>
      <c r="AB1561" t="s">
        <v>661</v>
      </c>
      <c r="AC1561">
        <v>292</v>
      </c>
      <c r="AD1561">
        <v>568</v>
      </c>
      <c r="AE1561">
        <v>357</v>
      </c>
      <c r="AF1561">
        <v>640</v>
      </c>
      <c r="AG1561">
        <v>314</v>
      </c>
      <c r="AH1561">
        <v>612</v>
      </c>
      <c r="AI1561">
        <v>535</v>
      </c>
      <c r="AJ1561">
        <v>811</v>
      </c>
      <c r="AK1561">
        <v>567</v>
      </c>
      <c r="AL1561">
        <v>1071</v>
      </c>
      <c r="AM1561">
        <v>880</v>
      </c>
      <c r="AN1561">
        <v>1710</v>
      </c>
    </row>
    <row r="1562" spans="2:40" x14ac:dyDescent="0.35">
      <c r="B1562" s="46" t="s">
        <v>2213</v>
      </c>
      <c r="D1562" t="s">
        <v>1460</v>
      </c>
      <c r="E1562" t="s">
        <v>1937</v>
      </c>
      <c r="F1562" s="46" t="s">
        <v>2428</v>
      </c>
      <c r="G1562" t="s">
        <v>627</v>
      </c>
      <c r="H1562" s="47" t="s">
        <v>2426</v>
      </c>
      <c r="I1562" s="47" t="s">
        <v>2427</v>
      </c>
      <c r="J1562" t="s">
        <v>669</v>
      </c>
      <c r="K1562">
        <v>1462</v>
      </c>
      <c r="L1562">
        <v>2163</v>
      </c>
      <c r="M1562" s="24">
        <v>1488</v>
      </c>
      <c r="N1562" s="24">
        <v>2331</v>
      </c>
      <c r="O1562" s="24">
        <v>1574</v>
      </c>
      <c r="P1562" s="24">
        <v>2467</v>
      </c>
      <c r="Q1562">
        <v>1672</v>
      </c>
      <c r="R1562">
        <v>2786</v>
      </c>
      <c r="S1562">
        <v>4101</v>
      </c>
      <c r="T1562">
        <v>5402</v>
      </c>
      <c r="U1562">
        <v>4101</v>
      </c>
      <c r="V1562">
        <v>7608</v>
      </c>
      <c r="W1562">
        <v>6045</v>
      </c>
      <c r="X1562">
        <v>12712</v>
      </c>
      <c r="Z1562" t="str">
        <f t="shared" si="4"/>
        <v/>
      </c>
      <c r="AA1562" t="s">
        <v>669</v>
      </c>
      <c r="AB1562" t="s">
        <v>669</v>
      </c>
      <c r="AC1562">
        <v>1488</v>
      </c>
      <c r="AD1562">
        <v>2331</v>
      </c>
      <c r="AE1562">
        <v>1574</v>
      </c>
      <c r="AF1562">
        <v>2467</v>
      </c>
      <c r="AG1562">
        <v>1672</v>
      </c>
      <c r="AH1562">
        <v>2786</v>
      </c>
      <c r="AI1562">
        <v>4101</v>
      </c>
      <c r="AJ1562">
        <v>5402</v>
      </c>
      <c r="AK1562">
        <v>4101</v>
      </c>
      <c r="AL1562">
        <v>7608</v>
      </c>
      <c r="AM1562">
        <v>6045</v>
      </c>
      <c r="AN1562">
        <v>12712</v>
      </c>
    </row>
    <row r="1563" spans="2:40" x14ac:dyDescent="0.35">
      <c r="B1563" s="46" t="s">
        <v>2215</v>
      </c>
      <c r="D1563" t="s">
        <v>1460</v>
      </c>
      <c r="E1563" t="s">
        <v>1937</v>
      </c>
      <c r="F1563" s="46" t="s">
        <v>2362</v>
      </c>
      <c r="G1563" t="s">
        <v>611</v>
      </c>
      <c r="H1563" s="47" t="s">
        <v>2353</v>
      </c>
      <c r="I1563" s="47" t="s">
        <v>2354</v>
      </c>
      <c r="J1563" t="s">
        <v>285</v>
      </c>
      <c r="K1563">
        <v>346</v>
      </c>
      <c r="L1563">
        <v>641</v>
      </c>
      <c r="M1563" s="24">
        <v>306</v>
      </c>
      <c r="N1563" s="24">
        <v>577</v>
      </c>
      <c r="O1563" s="24">
        <v>333</v>
      </c>
      <c r="P1563" s="24">
        <v>591</v>
      </c>
      <c r="Q1563">
        <v>366</v>
      </c>
      <c r="R1563">
        <v>657</v>
      </c>
      <c r="S1563">
        <v>592</v>
      </c>
      <c r="T1563">
        <v>876</v>
      </c>
      <c r="U1563">
        <v>528</v>
      </c>
      <c r="V1563">
        <v>1124</v>
      </c>
      <c r="W1563">
        <v>537</v>
      </c>
      <c r="X1563">
        <v>1787</v>
      </c>
      <c r="Z1563" t="str">
        <f t="shared" si="4"/>
        <v/>
      </c>
      <c r="AA1563" t="s">
        <v>285</v>
      </c>
      <c r="AB1563" t="s">
        <v>285</v>
      </c>
      <c r="AC1563">
        <v>306</v>
      </c>
      <c r="AD1563">
        <v>577</v>
      </c>
      <c r="AE1563">
        <v>333</v>
      </c>
      <c r="AF1563">
        <v>591</v>
      </c>
      <c r="AG1563">
        <v>366</v>
      </c>
      <c r="AH1563">
        <v>657</v>
      </c>
      <c r="AI1563">
        <v>592</v>
      </c>
      <c r="AJ1563">
        <v>876</v>
      </c>
      <c r="AK1563">
        <v>528</v>
      </c>
      <c r="AL1563">
        <v>1124</v>
      </c>
      <c r="AM1563">
        <v>537</v>
      </c>
      <c r="AN1563">
        <v>1787</v>
      </c>
    </row>
    <row r="1564" spans="2:40" x14ac:dyDescent="0.35">
      <c r="B1564" s="46" t="s">
        <v>2216</v>
      </c>
      <c r="D1564" t="s">
        <v>1460</v>
      </c>
      <c r="E1564" t="s">
        <v>1937</v>
      </c>
      <c r="F1564" s="46" t="s">
        <v>2000</v>
      </c>
      <c r="G1564" t="s">
        <v>235</v>
      </c>
      <c r="H1564" s="47" t="s">
        <v>419</v>
      </c>
      <c r="I1564" s="47" t="s">
        <v>1971</v>
      </c>
      <c r="J1564" t="s">
        <v>2001</v>
      </c>
      <c r="K1564">
        <v>62</v>
      </c>
      <c r="L1564">
        <v>98</v>
      </c>
      <c r="M1564" s="24">
        <v>53</v>
      </c>
      <c r="N1564" s="24">
        <v>109</v>
      </c>
      <c r="O1564" s="24">
        <v>56</v>
      </c>
      <c r="P1564" s="24">
        <v>97</v>
      </c>
      <c r="Q1564">
        <v>59</v>
      </c>
      <c r="R1564">
        <v>108</v>
      </c>
      <c r="S1564">
        <v>144</v>
      </c>
      <c r="T1564">
        <v>202</v>
      </c>
      <c r="U1564">
        <v>115</v>
      </c>
      <c r="V1564">
        <v>315</v>
      </c>
      <c r="W1564">
        <v>234</v>
      </c>
      <c r="X1564">
        <v>462</v>
      </c>
      <c r="Z1564" t="str">
        <f t="shared" si="4"/>
        <v/>
      </c>
      <c r="AA1564" t="s">
        <v>2001</v>
      </c>
      <c r="AB1564" t="s">
        <v>2001</v>
      </c>
      <c r="AC1564">
        <v>53</v>
      </c>
      <c r="AD1564">
        <v>109</v>
      </c>
      <c r="AE1564">
        <v>56</v>
      </c>
      <c r="AF1564">
        <v>97</v>
      </c>
      <c r="AG1564">
        <v>59</v>
      </c>
      <c r="AH1564">
        <v>108</v>
      </c>
      <c r="AI1564">
        <v>144</v>
      </c>
      <c r="AJ1564">
        <v>202</v>
      </c>
      <c r="AK1564">
        <v>115</v>
      </c>
      <c r="AL1564">
        <v>315</v>
      </c>
      <c r="AM1564">
        <v>234</v>
      </c>
      <c r="AN1564">
        <v>462</v>
      </c>
    </row>
    <row r="1565" spans="2:40" x14ac:dyDescent="0.35">
      <c r="B1565" s="46" t="s">
        <v>2218</v>
      </c>
      <c r="D1565" t="s">
        <v>1460</v>
      </c>
      <c r="E1565" t="s">
        <v>1937</v>
      </c>
      <c r="F1565" s="46" t="s">
        <v>2089</v>
      </c>
      <c r="G1565" t="s">
        <v>273</v>
      </c>
      <c r="H1565" s="47" t="s">
        <v>524</v>
      </c>
      <c r="I1565" s="47" t="s">
        <v>2081</v>
      </c>
      <c r="J1565" t="s">
        <v>2090</v>
      </c>
      <c r="K1565">
        <v>240</v>
      </c>
      <c r="L1565">
        <v>377</v>
      </c>
      <c r="M1565" s="24">
        <v>151</v>
      </c>
      <c r="N1565" s="24">
        <v>301</v>
      </c>
      <c r="O1565" s="24">
        <v>134</v>
      </c>
      <c r="P1565" s="24">
        <v>290</v>
      </c>
      <c r="Q1565">
        <v>156</v>
      </c>
      <c r="R1565">
        <v>337</v>
      </c>
      <c r="S1565">
        <v>279</v>
      </c>
      <c r="T1565">
        <v>477</v>
      </c>
      <c r="U1565">
        <v>320</v>
      </c>
      <c r="V1565">
        <v>751</v>
      </c>
      <c r="W1565">
        <v>322</v>
      </c>
      <c r="X1565">
        <v>1118</v>
      </c>
      <c r="Z1565" t="str">
        <f t="shared" si="4"/>
        <v/>
      </c>
      <c r="AA1565" t="s">
        <v>2090</v>
      </c>
      <c r="AB1565" t="s">
        <v>2090</v>
      </c>
      <c r="AC1565">
        <v>151</v>
      </c>
      <c r="AD1565">
        <v>301</v>
      </c>
      <c r="AE1565">
        <v>134</v>
      </c>
      <c r="AF1565">
        <v>290</v>
      </c>
      <c r="AG1565">
        <v>156</v>
      </c>
      <c r="AH1565">
        <v>337</v>
      </c>
      <c r="AI1565">
        <v>279</v>
      </c>
      <c r="AJ1565">
        <v>477</v>
      </c>
      <c r="AK1565">
        <v>320</v>
      </c>
      <c r="AL1565">
        <v>751</v>
      </c>
      <c r="AM1565">
        <v>322</v>
      </c>
      <c r="AN1565">
        <v>1118</v>
      </c>
    </row>
    <row r="1566" spans="2:40" x14ac:dyDescent="0.35">
      <c r="B1566" s="46" t="s">
        <v>2220</v>
      </c>
      <c r="D1566" t="s">
        <v>1460</v>
      </c>
      <c r="E1566" t="s">
        <v>1937</v>
      </c>
      <c r="F1566" s="46" t="s">
        <v>2032</v>
      </c>
      <c r="G1566" t="s">
        <v>239</v>
      </c>
      <c r="H1566" s="47" t="s">
        <v>450</v>
      </c>
      <c r="I1566" s="47" t="s">
        <v>2021</v>
      </c>
      <c r="J1566" t="s">
        <v>2033</v>
      </c>
      <c r="K1566">
        <v>614</v>
      </c>
      <c r="L1566">
        <v>805</v>
      </c>
      <c r="M1566" s="24">
        <v>547</v>
      </c>
      <c r="N1566" s="24">
        <v>756</v>
      </c>
      <c r="O1566" s="24">
        <v>481</v>
      </c>
      <c r="P1566" s="24">
        <v>727</v>
      </c>
      <c r="Q1566">
        <v>473</v>
      </c>
      <c r="R1566">
        <v>773</v>
      </c>
      <c r="S1566">
        <v>547</v>
      </c>
      <c r="T1566">
        <v>1004</v>
      </c>
      <c r="U1566">
        <v>509</v>
      </c>
      <c r="V1566">
        <v>1268</v>
      </c>
      <c r="W1566">
        <v>610</v>
      </c>
      <c r="X1566">
        <v>1827</v>
      </c>
      <c r="Z1566" t="str">
        <f t="shared" si="4"/>
        <v/>
      </c>
      <c r="AA1566" t="s">
        <v>2033</v>
      </c>
      <c r="AB1566" t="s">
        <v>2033</v>
      </c>
      <c r="AC1566">
        <v>547</v>
      </c>
      <c r="AD1566">
        <v>756</v>
      </c>
      <c r="AE1566">
        <v>481</v>
      </c>
      <c r="AF1566">
        <v>727</v>
      </c>
      <c r="AG1566">
        <v>473</v>
      </c>
      <c r="AH1566">
        <v>773</v>
      </c>
      <c r="AI1566">
        <v>547</v>
      </c>
      <c r="AJ1566">
        <v>1004</v>
      </c>
      <c r="AK1566">
        <v>509</v>
      </c>
      <c r="AL1566">
        <v>1268</v>
      </c>
      <c r="AM1566">
        <v>610</v>
      </c>
      <c r="AN1566">
        <v>1827</v>
      </c>
    </row>
    <row r="1567" spans="2:40" x14ac:dyDescent="0.35">
      <c r="B1567" s="46" t="s">
        <v>2222</v>
      </c>
      <c r="D1567" t="s">
        <v>1460</v>
      </c>
      <c r="E1567" t="s">
        <v>1937</v>
      </c>
      <c r="F1567" s="46" t="s">
        <v>2213</v>
      </c>
      <c r="G1567" t="s">
        <v>585</v>
      </c>
      <c r="H1567" s="47" t="s">
        <v>2198</v>
      </c>
      <c r="I1567" s="47" t="s">
        <v>2199</v>
      </c>
      <c r="J1567" t="s">
        <v>2214</v>
      </c>
      <c r="K1567">
        <v>0</v>
      </c>
      <c r="L1567">
        <v>0</v>
      </c>
      <c r="M1567" s="24" t="s">
        <v>1152</v>
      </c>
      <c r="N1567" s="24" t="s">
        <v>1152</v>
      </c>
      <c r="O1567" s="24" t="s">
        <v>1152</v>
      </c>
      <c r="P1567" s="24" t="s">
        <v>1152</v>
      </c>
      <c r="Q1567" t="s">
        <v>1152</v>
      </c>
      <c r="R1567" t="s">
        <v>1152</v>
      </c>
      <c r="S1567" t="s">
        <v>1152</v>
      </c>
      <c r="T1567" t="s">
        <v>1152</v>
      </c>
      <c r="U1567" t="s">
        <v>1152</v>
      </c>
      <c r="V1567" t="s">
        <v>1152</v>
      </c>
      <c r="W1567" t="s">
        <v>1152</v>
      </c>
      <c r="X1567" t="s">
        <v>1152</v>
      </c>
      <c r="Z1567" t="str">
        <f t="shared" si="4"/>
        <v/>
      </c>
      <c r="AA1567" t="s">
        <v>2214</v>
      </c>
      <c r="AB1567" t="s">
        <v>2214</v>
      </c>
      <c r="AC1567" t="s">
        <v>1152</v>
      </c>
      <c r="AD1567" t="s">
        <v>1152</v>
      </c>
      <c r="AE1567" t="s">
        <v>1152</v>
      </c>
      <c r="AF1567" t="s">
        <v>1152</v>
      </c>
      <c r="AG1567" t="s">
        <v>1152</v>
      </c>
      <c r="AH1567" t="s">
        <v>1152</v>
      </c>
      <c r="AI1567" t="s">
        <v>1152</v>
      </c>
      <c r="AJ1567" t="s">
        <v>1152</v>
      </c>
      <c r="AK1567" t="s">
        <v>1152</v>
      </c>
      <c r="AL1567" t="s">
        <v>1152</v>
      </c>
      <c r="AM1567" t="s">
        <v>1152</v>
      </c>
      <c r="AN1567" t="s">
        <v>1152</v>
      </c>
    </row>
    <row r="1568" spans="2:40" x14ac:dyDescent="0.35">
      <c r="B1568" s="46" t="s">
        <v>2223</v>
      </c>
      <c r="D1568" t="s">
        <v>1460</v>
      </c>
      <c r="E1568" t="s">
        <v>1937</v>
      </c>
      <c r="F1568" s="46" t="s">
        <v>2180</v>
      </c>
      <c r="G1568" t="s">
        <v>577</v>
      </c>
      <c r="H1568" s="47" t="s">
        <v>2163</v>
      </c>
      <c r="I1568" s="47" t="s">
        <v>2164</v>
      </c>
      <c r="J1568" t="s">
        <v>2181</v>
      </c>
      <c r="K1568">
        <v>4086</v>
      </c>
      <c r="L1568">
        <v>8197</v>
      </c>
      <c r="M1568" s="24">
        <v>3390</v>
      </c>
      <c r="N1568" s="24">
        <v>7751</v>
      </c>
      <c r="O1568" s="24">
        <v>3890</v>
      </c>
      <c r="P1568" s="24">
        <v>8330</v>
      </c>
      <c r="Q1568">
        <v>4803</v>
      </c>
      <c r="R1568">
        <v>10145</v>
      </c>
      <c r="S1568">
        <v>8402</v>
      </c>
      <c r="T1568">
        <v>14732</v>
      </c>
      <c r="U1568">
        <v>9532</v>
      </c>
      <c r="V1568">
        <v>21232</v>
      </c>
      <c r="W1568">
        <v>8848</v>
      </c>
      <c r="X1568">
        <v>32284</v>
      </c>
      <c r="Z1568" t="str">
        <f t="shared" si="4"/>
        <v/>
      </c>
      <c r="AA1568" t="s">
        <v>2181</v>
      </c>
      <c r="AB1568" t="s">
        <v>2181</v>
      </c>
      <c r="AC1568">
        <v>3390</v>
      </c>
      <c r="AD1568">
        <v>7751</v>
      </c>
      <c r="AE1568">
        <v>3890</v>
      </c>
      <c r="AF1568">
        <v>8330</v>
      </c>
      <c r="AG1568">
        <v>4803</v>
      </c>
      <c r="AH1568">
        <v>10145</v>
      </c>
      <c r="AI1568">
        <v>8402</v>
      </c>
      <c r="AJ1568">
        <v>14732</v>
      </c>
      <c r="AK1568">
        <v>9532</v>
      </c>
      <c r="AL1568">
        <v>21232</v>
      </c>
      <c r="AM1568">
        <v>8848</v>
      </c>
      <c r="AN1568">
        <v>32284</v>
      </c>
    </row>
    <row r="1569" spans="2:40" x14ac:dyDescent="0.35">
      <c r="B1569" s="46" t="s">
        <v>2225</v>
      </c>
      <c r="D1569" t="s">
        <v>1460</v>
      </c>
      <c r="E1569" t="s">
        <v>1937</v>
      </c>
      <c r="F1569" s="46" t="s">
        <v>2182</v>
      </c>
      <c r="G1569" t="s">
        <v>577</v>
      </c>
      <c r="H1569" s="47" t="s">
        <v>2163</v>
      </c>
      <c r="I1569" s="47" t="s">
        <v>2164</v>
      </c>
      <c r="J1569" t="s">
        <v>2183</v>
      </c>
      <c r="K1569">
        <v>109</v>
      </c>
      <c r="L1569">
        <v>174</v>
      </c>
      <c r="M1569" s="24">
        <v>85</v>
      </c>
      <c r="N1569" s="24">
        <v>156</v>
      </c>
      <c r="O1569" s="24">
        <v>77</v>
      </c>
      <c r="P1569" s="24">
        <v>157</v>
      </c>
      <c r="Q1569">
        <v>128</v>
      </c>
      <c r="R1569">
        <v>212</v>
      </c>
      <c r="S1569">
        <v>152</v>
      </c>
      <c r="T1569">
        <v>297</v>
      </c>
      <c r="U1569">
        <v>164</v>
      </c>
      <c r="V1569">
        <v>412</v>
      </c>
      <c r="W1569">
        <v>139</v>
      </c>
      <c r="X1569">
        <v>580</v>
      </c>
      <c r="Z1569" t="str">
        <f t="shared" si="4"/>
        <v/>
      </c>
      <c r="AA1569" t="s">
        <v>2183</v>
      </c>
      <c r="AB1569" t="s">
        <v>2183</v>
      </c>
      <c r="AC1569">
        <v>85</v>
      </c>
      <c r="AD1569">
        <v>156</v>
      </c>
      <c r="AE1569">
        <v>77</v>
      </c>
      <c r="AF1569">
        <v>157</v>
      </c>
      <c r="AG1569">
        <v>128</v>
      </c>
      <c r="AH1569">
        <v>212</v>
      </c>
      <c r="AI1569">
        <v>152</v>
      </c>
      <c r="AJ1569">
        <v>297</v>
      </c>
      <c r="AK1569">
        <v>164</v>
      </c>
      <c r="AL1569">
        <v>412</v>
      </c>
      <c r="AM1569">
        <v>139</v>
      </c>
      <c r="AN1569">
        <v>580</v>
      </c>
    </row>
    <row r="1570" spans="2:40" x14ac:dyDescent="0.35">
      <c r="B1570" s="46" t="s">
        <v>2227</v>
      </c>
      <c r="D1570" t="s">
        <v>1460</v>
      </c>
      <c r="E1570" t="s">
        <v>1937</v>
      </c>
      <c r="F1570" s="46" t="s">
        <v>2242</v>
      </c>
      <c r="G1570" t="s">
        <v>588</v>
      </c>
      <c r="H1570" s="47" t="s">
        <v>2230</v>
      </c>
      <c r="I1570" s="47" t="s">
        <v>2231</v>
      </c>
      <c r="J1570" t="s">
        <v>2243</v>
      </c>
      <c r="K1570">
        <v>161</v>
      </c>
      <c r="L1570">
        <v>201</v>
      </c>
      <c r="M1570" s="24">
        <v>192</v>
      </c>
      <c r="N1570" s="24">
        <v>249</v>
      </c>
      <c r="O1570" s="24">
        <v>134</v>
      </c>
      <c r="P1570" s="24">
        <v>181</v>
      </c>
      <c r="Q1570">
        <v>202</v>
      </c>
      <c r="R1570">
        <v>317</v>
      </c>
      <c r="S1570">
        <v>434</v>
      </c>
      <c r="T1570">
        <v>550</v>
      </c>
      <c r="U1570">
        <v>556</v>
      </c>
      <c r="V1570">
        <v>798</v>
      </c>
      <c r="W1570">
        <v>862</v>
      </c>
      <c r="X1570">
        <v>1287</v>
      </c>
      <c r="Z1570" t="str">
        <f t="shared" si="4"/>
        <v/>
      </c>
      <c r="AA1570" t="s">
        <v>287</v>
      </c>
      <c r="AB1570" t="s">
        <v>287</v>
      </c>
      <c r="AC1570">
        <v>192</v>
      </c>
      <c r="AD1570">
        <v>249</v>
      </c>
      <c r="AE1570">
        <v>134</v>
      </c>
      <c r="AF1570">
        <v>181</v>
      </c>
      <c r="AG1570">
        <v>202</v>
      </c>
      <c r="AH1570">
        <v>317</v>
      </c>
      <c r="AI1570">
        <v>434</v>
      </c>
      <c r="AJ1570">
        <v>550</v>
      </c>
      <c r="AK1570">
        <v>556</v>
      </c>
      <c r="AL1570">
        <v>798</v>
      </c>
      <c r="AM1570">
        <v>862</v>
      </c>
      <c r="AN1570">
        <v>1287</v>
      </c>
    </row>
    <row r="1571" spans="2:40" x14ac:dyDescent="0.35">
      <c r="B1571" s="46" t="s">
        <v>2229</v>
      </c>
      <c r="D1571" t="s">
        <v>1460</v>
      </c>
      <c r="E1571" t="s">
        <v>1937</v>
      </c>
      <c r="F1571" s="46" t="s">
        <v>2363</v>
      </c>
      <c r="G1571" t="s">
        <v>611</v>
      </c>
      <c r="H1571" s="47" t="s">
        <v>2353</v>
      </c>
      <c r="I1571" s="47" t="s">
        <v>2354</v>
      </c>
      <c r="J1571" t="s">
        <v>2364</v>
      </c>
      <c r="K1571">
        <v>3794</v>
      </c>
      <c r="L1571">
        <v>5313</v>
      </c>
      <c r="M1571" s="24">
        <v>189</v>
      </c>
      <c r="N1571" s="24">
        <v>406</v>
      </c>
      <c r="O1571" s="24">
        <v>2847</v>
      </c>
      <c r="P1571" s="24">
        <v>4974</v>
      </c>
      <c r="Q1571">
        <v>186</v>
      </c>
      <c r="R1571">
        <v>430</v>
      </c>
      <c r="S1571">
        <v>327</v>
      </c>
      <c r="T1571">
        <v>573</v>
      </c>
      <c r="U1571">
        <v>437</v>
      </c>
      <c r="V1571">
        <v>748</v>
      </c>
      <c r="W1571">
        <v>719</v>
      </c>
      <c r="X1571">
        <v>1195</v>
      </c>
      <c r="Z1571" t="str">
        <f t="shared" si="4"/>
        <v/>
      </c>
      <c r="AA1571" t="s">
        <v>365</v>
      </c>
      <c r="AB1571" t="s">
        <v>365</v>
      </c>
      <c r="AC1571">
        <v>189</v>
      </c>
      <c r="AD1571">
        <v>406</v>
      </c>
      <c r="AE1571">
        <v>2847</v>
      </c>
      <c r="AF1571">
        <v>4974</v>
      </c>
      <c r="AG1571">
        <v>186</v>
      </c>
      <c r="AH1571">
        <v>430</v>
      </c>
      <c r="AI1571">
        <v>327</v>
      </c>
      <c r="AJ1571">
        <v>573</v>
      </c>
      <c r="AK1571">
        <v>437</v>
      </c>
      <c r="AL1571">
        <v>748</v>
      </c>
      <c r="AM1571">
        <v>719</v>
      </c>
      <c r="AN1571">
        <v>1195</v>
      </c>
    </row>
    <row r="1572" spans="2:40" x14ac:dyDescent="0.35">
      <c r="B1572" s="46" t="s">
        <v>2233</v>
      </c>
      <c r="D1572" t="s">
        <v>1460</v>
      </c>
      <c r="E1572" t="s">
        <v>1937</v>
      </c>
      <c r="F1572" s="46" t="s">
        <v>2145</v>
      </c>
      <c r="G1572" t="s">
        <v>303</v>
      </c>
      <c r="H1572" s="47" t="s">
        <v>2141</v>
      </c>
      <c r="I1572" s="47" t="s">
        <v>2142</v>
      </c>
      <c r="J1572" t="s">
        <v>2146</v>
      </c>
      <c r="K1572">
        <v>30</v>
      </c>
      <c r="L1572">
        <v>48</v>
      </c>
      <c r="M1572" s="24">
        <v>48</v>
      </c>
      <c r="N1572" s="24">
        <v>103</v>
      </c>
      <c r="O1572" s="24">
        <v>24</v>
      </c>
      <c r="P1572" s="24">
        <v>37</v>
      </c>
      <c r="Q1572">
        <v>54</v>
      </c>
      <c r="R1572">
        <v>100</v>
      </c>
      <c r="S1572">
        <v>109</v>
      </c>
      <c r="T1572">
        <v>197</v>
      </c>
      <c r="U1572">
        <v>114</v>
      </c>
      <c r="V1572">
        <v>297</v>
      </c>
      <c r="W1572">
        <v>163</v>
      </c>
      <c r="X1572">
        <v>419</v>
      </c>
      <c r="Z1572" t="str">
        <f t="shared" si="4"/>
        <v/>
      </c>
      <c r="AA1572" t="s">
        <v>683</v>
      </c>
      <c r="AB1572" t="s">
        <v>683</v>
      </c>
      <c r="AC1572">
        <v>48</v>
      </c>
      <c r="AD1572">
        <v>103</v>
      </c>
      <c r="AE1572">
        <v>24</v>
      </c>
      <c r="AF1572">
        <v>37</v>
      </c>
      <c r="AG1572">
        <v>54</v>
      </c>
      <c r="AH1572">
        <v>100</v>
      </c>
      <c r="AI1572">
        <v>109</v>
      </c>
      <c r="AJ1572">
        <v>197</v>
      </c>
      <c r="AK1572">
        <v>114</v>
      </c>
      <c r="AL1572">
        <v>297</v>
      </c>
      <c r="AM1572">
        <v>163</v>
      </c>
      <c r="AN1572">
        <v>419</v>
      </c>
    </row>
    <row r="1573" spans="2:40" x14ac:dyDescent="0.35">
      <c r="B1573" s="46" t="s">
        <v>2235</v>
      </c>
      <c r="D1573" t="s">
        <v>1460</v>
      </c>
      <c r="E1573" t="s">
        <v>1937</v>
      </c>
      <c r="F1573" s="46" t="s">
        <v>2075</v>
      </c>
      <c r="G1573" t="s">
        <v>265</v>
      </c>
      <c r="H1573" s="47" t="s">
        <v>501</v>
      </c>
      <c r="I1573" s="47" t="s">
        <v>2068</v>
      </c>
      <c r="J1573" t="s">
        <v>287</v>
      </c>
      <c r="K1573">
        <v>219</v>
      </c>
      <c r="L1573">
        <v>295</v>
      </c>
      <c r="M1573" s="24">
        <v>168</v>
      </c>
      <c r="N1573" s="24">
        <v>195</v>
      </c>
      <c r="O1573" s="24">
        <v>197</v>
      </c>
      <c r="P1573" s="24">
        <v>273</v>
      </c>
      <c r="Q1573">
        <v>195</v>
      </c>
      <c r="R1573">
        <v>265</v>
      </c>
      <c r="S1573">
        <v>248</v>
      </c>
      <c r="T1573">
        <v>322</v>
      </c>
      <c r="U1573">
        <v>276</v>
      </c>
      <c r="V1573">
        <v>416</v>
      </c>
      <c r="W1573">
        <v>449</v>
      </c>
      <c r="X1573">
        <v>670</v>
      </c>
      <c r="Z1573" t="str">
        <f t="shared" si="4"/>
        <v/>
      </c>
      <c r="AA1573" t="s">
        <v>2241</v>
      </c>
      <c r="AB1573" t="s">
        <v>2241</v>
      </c>
      <c r="AC1573">
        <v>168</v>
      </c>
      <c r="AD1573">
        <v>195</v>
      </c>
      <c r="AE1573">
        <v>197</v>
      </c>
      <c r="AF1573">
        <v>273</v>
      </c>
      <c r="AG1573">
        <v>195</v>
      </c>
      <c r="AH1573">
        <v>265</v>
      </c>
      <c r="AI1573">
        <v>248</v>
      </c>
      <c r="AJ1573">
        <v>322</v>
      </c>
      <c r="AK1573">
        <v>276</v>
      </c>
      <c r="AL1573">
        <v>416</v>
      </c>
      <c r="AM1573">
        <v>449</v>
      </c>
      <c r="AN1573">
        <v>670</v>
      </c>
    </row>
    <row r="1574" spans="2:40" x14ac:dyDescent="0.35">
      <c r="B1574" s="46" t="s">
        <v>2236</v>
      </c>
      <c r="D1574" t="s">
        <v>1460</v>
      </c>
      <c r="E1574" t="s">
        <v>1937</v>
      </c>
      <c r="F1574" s="46" t="s">
        <v>2156</v>
      </c>
      <c r="G1574" t="s">
        <v>311</v>
      </c>
      <c r="H1574" s="47" t="s">
        <v>2152</v>
      </c>
      <c r="I1574" s="47" t="s">
        <v>2153</v>
      </c>
      <c r="J1574" t="s">
        <v>365</v>
      </c>
      <c r="K1574">
        <v>257</v>
      </c>
      <c r="L1574">
        <v>443</v>
      </c>
      <c r="M1574" s="24">
        <v>1056</v>
      </c>
      <c r="N1574" s="24">
        <v>1768</v>
      </c>
      <c r="O1574" s="24">
        <v>171</v>
      </c>
      <c r="P1574" s="24">
        <v>398</v>
      </c>
      <c r="Q1574">
        <v>759</v>
      </c>
      <c r="R1574">
        <v>1820</v>
      </c>
      <c r="S1574">
        <v>1747</v>
      </c>
      <c r="T1574">
        <v>2441</v>
      </c>
      <c r="U1574">
        <v>2025</v>
      </c>
      <c r="V1574">
        <v>3252</v>
      </c>
      <c r="W1574">
        <v>2284</v>
      </c>
      <c r="X1574">
        <v>4700</v>
      </c>
      <c r="Z1574" t="str">
        <f t="shared" si="4"/>
        <v/>
      </c>
      <c r="AA1574" t="s">
        <v>2420</v>
      </c>
      <c r="AB1574" t="s">
        <v>2420</v>
      </c>
      <c r="AC1574">
        <v>1056</v>
      </c>
      <c r="AD1574">
        <v>1768</v>
      </c>
      <c r="AE1574">
        <v>171</v>
      </c>
      <c r="AF1574">
        <v>398</v>
      </c>
      <c r="AG1574">
        <v>759</v>
      </c>
      <c r="AH1574">
        <v>1820</v>
      </c>
      <c r="AI1574">
        <v>1747</v>
      </c>
      <c r="AJ1574">
        <v>2441</v>
      </c>
      <c r="AK1574">
        <v>2025</v>
      </c>
      <c r="AL1574">
        <v>3252</v>
      </c>
      <c r="AM1574">
        <v>2284</v>
      </c>
      <c r="AN1574">
        <v>4700</v>
      </c>
    </row>
    <row r="1575" spans="2:40" x14ac:dyDescent="0.35">
      <c r="B1575" s="46" t="s">
        <v>2238</v>
      </c>
      <c r="D1575" t="s">
        <v>1460</v>
      </c>
      <c r="E1575" t="s">
        <v>1937</v>
      </c>
      <c r="F1575" s="46" t="s">
        <v>2215</v>
      </c>
      <c r="G1575" t="s">
        <v>585</v>
      </c>
      <c r="H1575" s="47" t="s">
        <v>2198</v>
      </c>
      <c r="I1575" s="47" t="s">
        <v>2199</v>
      </c>
      <c r="J1575" t="s">
        <v>683</v>
      </c>
      <c r="K1575">
        <v>67</v>
      </c>
      <c r="L1575">
        <v>120</v>
      </c>
      <c r="M1575" s="24">
        <v>1823</v>
      </c>
      <c r="N1575" s="24">
        <v>2846</v>
      </c>
      <c r="O1575" s="24">
        <v>46</v>
      </c>
      <c r="P1575" s="24">
        <v>103</v>
      </c>
      <c r="Q1575">
        <v>3456</v>
      </c>
      <c r="R1575">
        <v>4459</v>
      </c>
      <c r="S1575">
        <v>5601</v>
      </c>
      <c r="T1575">
        <v>7501</v>
      </c>
      <c r="U1575">
        <v>6753</v>
      </c>
      <c r="V1575">
        <v>9969</v>
      </c>
      <c r="W1575">
        <v>6422</v>
      </c>
      <c r="X1575">
        <v>12887</v>
      </c>
      <c r="Z1575" t="str">
        <f t="shared" si="4"/>
        <v/>
      </c>
      <c r="AA1575" t="s">
        <v>2287</v>
      </c>
      <c r="AB1575" t="s">
        <v>2287</v>
      </c>
      <c r="AC1575">
        <v>1823</v>
      </c>
      <c r="AD1575">
        <v>2846</v>
      </c>
      <c r="AE1575">
        <v>46</v>
      </c>
      <c r="AF1575">
        <v>103</v>
      </c>
      <c r="AG1575">
        <v>3456</v>
      </c>
      <c r="AH1575">
        <v>4459</v>
      </c>
      <c r="AI1575">
        <v>5601</v>
      </c>
      <c r="AJ1575">
        <v>7501</v>
      </c>
      <c r="AK1575">
        <v>6753</v>
      </c>
      <c r="AL1575">
        <v>9969</v>
      </c>
      <c r="AM1575">
        <v>6422</v>
      </c>
      <c r="AN1575">
        <v>12887</v>
      </c>
    </row>
    <row r="1576" spans="2:40" x14ac:dyDescent="0.35">
      <c r="B1576" s="46" t="s">
        <v>2240</v>
      </c>
      <c r="D1576" t="s">
        <v>1460</v>
      </c>
      <c r="E1576" t="s">
        <v>1937</v>
      </c>
      <c r="F1576" s="46" t="s">
        <v>2240</v>
      </c>
      <c r="G1576" t="s">
        <v>588</v>
      </c>
      <c r="H1576" s="47" t="s">
        <v>2230</v>
      </c>
      <c r="I1576" s="47" t="s">
        <v>2231</v>
      </c>
      <c r="J1576" t="s">
        <v>2241</v>
      </c>
      <c r="K1576">
        <v>186</v>
      </c>
      <c r="L1576">
        <v>221</v>
      </c>
      <c r="M1576" s="24">
        <v>146</v>
      </c>
      <c r="N1576" s="24">
        <v>192</v>
      </c>
      <c r="O1576" s="24">
        <v>190</v>
      </c>
      <c r="P1576" s="24">
        <v>250</v>
      </c>
      <c r="Q1576">
        <v>142</v>
      </c>
      <c r="R1576">
        <v>204</v>
      </c>
      <c r="S1576">
        <v>195</v>
      </c>
      <c r="T1576">
        <v>282</v>
      </c>
      <c r="U1576">
        <v>173</v>
      </c>
      <c r="V1576">
        <v>388</v>
      </c>
      <c r="W1576">
        <v>168</v>
      </c>
      <c r="X1576">
        <v>579</v>
      </c>
      <c r="Z1576" t="str">
        <f t="shared" si="4"/>
        <v/>
      </c>
      <c r="AA1576" t="s">
        <v>2243</v>
      </c>
      <c r="AB1576" t="s">
        <v>2243</v>
      </c>
      <c r="AC1576">
        <v>146</v>
      </c>
      <c r="AD1576">
        <v>192</v>
      </c>
      <c r="AE1576">
        <v>190</v>
      </c>
      <c r="AF1576">
        <v>250</v>
      </c>
      <c r="AG1576">
        <v>142</v>
      </c>
      <c r="AH1576">
        <v>204</v>
      </c>
      <c r="AI1576">
        <v>195</v>
      </c>
      <c r="AJ1576">
        <v>282</v>
      </c>
      <c r="AK1576">
        <v>173</v>
      </c>
      <c r="AL1576">
        <v>388</v>
      </c>
      <c r="AM1576">
        <v>168</v>
      </c>
      <c r="AN1576">
        <v>579</v>
      </c>
    </row>
    <row r="1577" spans="2:40" x14ac:dyDescent="0.35">
      <c r="B1577" s="46" t="s">
        <v>2242</v>
      </c>
      <c r="D1577" t="s">
        <v>1460</v>
      </c>
      <c r="E1577" t="s">
        <v>1937</v>
      </c>
      <c r="F1577" s="46" t="s">
        <v>2419</v>
      </c>
      <c r="G1577" t="s">
        <v>623</v>
      </c>
      <c r="H1577" s="47" t="s">
        <v>2410</v>
      </c>
      <c r="I1577" s="47" t="s">
        <v>2411</v>
      </c>
      <c r="J1577" t="s">
        <v>2420</v>
      </c>
      <c r="K1577">
        <v>1033</v>
      </c>
      <c r="L1577">
        <v>1685</v>
      </c>
      <c r="M1577" s="24">
        <v>3170</v>
      </c>
      <c r="N1577" s="24">
        <v>4853</v>
      </c>
      <c r="O1577" s="24">
        <v>1002</v>
      </c>
      <c r="P1577" s="24">
        <v>1842</v>
      </c>
      <c r="Q1577">
        <v>2986</v>
      </c>
      <c r="R1577">
        <v>5759</v>
      </c>
      <c r="S1577">
        <v>5075</v>
      </c>
      <c r="T1577">
        <v>8519</v>
      </c>
      <c r="U1577">
        <v>5193</v>
      </c>
      <c r="V1577">
        <v>11392</v>
      </c>
      <c r="W1577">
        <v>9445</v>
      </c>
      <c r="X1577">
        <v>18307</v>
      </c>
      <c r="Z1577" t="str">
        <f t="shared" si="4"/>
        <v/>
      </c>
      <c r="AA1577" t="s">
        <v>2364</v>
      </c>
      <c r="AB1577" t="s">
        <v>2364</v>
      </c>
      <c r="AC1577">
        <v>3170</v>
      </c>
      <c r="AD1577">
        <v>4853</v>
      </c>
      <c r="AE1577">
        <v>1002</v>
      </c>
      <c r="AF1577">
        <v>1842</v>
      </c>
      <c r="AG1577">
        <v>2986</v>
      </c>
      <c r="AH1577">
        <v>5759</v>
      </c>
      <c r="AI1577">
        <v>5075</v>
      </c>
      <c r="AJ1577">
        <v>8519</v>
      </c>
      <c r="AK1577">
        <v>5193</v>
      </c>
      <c r="AL1577">
        <v>11392</v>
      </c>
      <c r="AM1577">
        <v>9445</v>
      </c>
      <c r="AN1577">
        <v>18307</v>
      </c>
    </row>
    <row r="1578" spans="2:40" x14ac:dyDescent="0.35">
      <c r="B1578" s="46" t="s">
        <v>2244</v>
      </c>
      <c r="D1578" t="s">
        <v>1460</v>
      </c>
      <c r="E1578" t="s">
        <v>1937</v>
      </c>
      <c r="F1578" s="46" t="s">
        <v>2286</v>
      </c>
      <c r="G1578" t="s">
        <v>592</v>
      </c>
      <c r="H1578" s="47" t="s">
        <v>2257</v>
      </c>
      <c r="I1578" s="47" t="s">
        <v>2258</v>
      </c>
      <c r="J1578" t="s">
        <v>2287</v>
      </c>
      <c r="K1578">
        <v>1919</v>
      </c>
      <c r="L1578">
        <v>2853</v>
      </c>
      <c r="M1578" s="24">
        <v>21</v>
      </c>
      <c r="N1578" s="24">
        <v>27</v>
      </c>
      <c r="O1578" s="24">
        <v>2145</v>
      </c>
      <c r="P1578" s="24">
        <v>3074</v>
      </c>
      <c r="Q1578">
        <v>24</v>
      </c>
      <c r="R1578">
        <v>47</v>
      </c>
      <c r="S1578">
        <v>35</v>
      </c>
      <c r="T1578">
        <v>55</v>
      </c>
      <c r="U1578">
        <v>37</v>
      </c>
      <c r="V1578">
        <v>89</v>
      </c>
      <c r="W1578">
        <v>51</v>
      </c>
      <c r="X1578">
        <v>110</v>
      </c>
      <c r="Z1578" t="str">
        <f t="shared" si="4"/>
        <v/>
      </c>
      <c r="AA1578" t="s">
        <v>2146</v>
      </c>
      <c r="AB1578" t="s">
        <v>2146</v>
      </c>
      <c r="AC1578">
        <v>21</v>
      </c>
      <c r="AD1578">
        <v>27</v>
      </c>
      <c r="AE1578">
        <v>2145</v>
      </c>
      <c r="AF1578">
        <v>3074</v>
      </c>
      <c r="AG1578">
        <v>24</v>
      </c>
      <c r="AH1578">
        <v>47</v>
      </c>
      <c r="AI1578">
        <v>35</v>
      </c>
      <c r="AJ1578">
        <v>55</v>
      </c>
      <c r="AK1578">
        <v>37</v>
      </c>
      <c r="AL1578">
        <v>89</v>
      </c>
      <c r="AM1578">
        <v>51</v>
      </c>
      <c r="AN1578">
        <v>110</v>
      </c>
    </row>
    <row r="1579" spans="2:40" x14ac:dyDescent="0.35">
      <c r="B1579" s="46" t="s">
        <v>2246</v>
      </c>
      <c r="D1579" t="s">
        <v>1460</v>
      </c>
      <c r="E1579" t="s">
        <v>1937</v>
      </c>
      <c r="F1579" s="46" t="s">
        <v>2288</v>
      </c>
      <c r="G1579" t="s">
        <v>592</v>
      </c>
      <c r="H1579" s="47" t="s">
        <v>2257</v>
      </c>
      <c r="I1579" s="47" t="s">
        <v>2258</v>
      </c>
      <c r="J1579" t="s">
        <v>2289</v>
      </c>
      <c r="K1579">
        <v>1279</v>
      </c>
      <c r="L1579">
        <v>1869</v>
      </c>
      <c r="M1579" s="24">
        <v>1113</v>
      </c>
      <c r="N1579" s="24">
        <v>1551</v>
      </c>
      <c r="O1579" s="24">
        <v>1024</v>
      </c>
      <c r="P1579" s="24">
        <v>1560</v>
      </c>
      <c r="Q1579">
        <v>1203</v>
      </c>
      <c r="R1579">
        <v>1725</v>
      </c>
      <c r="S1579">
        <v>1743</v>
      </c>
      <c r="T1579">
        <v>2537</v>
      </c>
      <c r="U1579">
        <v>2215</v>
      </c>
      <c r="V1579">
        <v>3643</v>
      </c>
      <c r="W1579">
        <v>2341</v>
      </c>
      <c r="X1579">
        <v>5262</v>
      </c>
      <c r="Z1579" t="str">
        <f t="shared" si="4"/>
        <v/>
      </c>
      <c r="AA1579" t="s">
        <v>2289</v>
      </c>
      <c r="AB1579" t="s">
        <v>2289</v>
      </c>
      <c r="AC1579">
        <v>1113</v>
      </c>
      <c r="AD1579">
        <v>1551</v>
      </c>
      <c r="AE1579">
        <v>1024</v>
      </c>
      <c r="AF1579">
        <v>1560</v>
      </c>
      <c r="AG1579">
        <v>1203</v>
      </c>
      <c r="AH1579">
        <v>1725</v>
      </c>
      <c r="AI1579">
        <v>1743</v>
      </c>
      <c r="AJ1579">
        <v>2537</v>
      </c>
      <c r="AK1579">
        <v>2215</v>
      </c>
      <c r="AL1579">
        <v>3643</v>
      </c>
      <c r="AM1579">
        <v>2341</v>
      </c>
      <c r="AN1579">
        <v>5262</v>
      </c>
    </row>
    <row r="1580" spans="2:40" x14ac:dyDescent="0.35">
      <c r="B1580" s="46" t="s">
        <v>2248</v>
      </c>
      <c r="D1580" t="s">
        <v>1460</v>
      </c>
      <c r="E1580" t="s">
        <v>1937</v>
      </c>
      <c r="F1580" s="46" t="s">
        <v>2244</v>
      </c>
      <c r="G1580" t="s">
        <v>588</v>
      </c>
      <c r="H1580" s="47" t="s">
        <v>2230</v>
      </c>
      <c r="I1580" s="47" t="s">
        <v>2231</v>
      </c>
      <c r="J1580" t="s">
        <v>2245</v>
      </c>
      <c r="K1580">
        <v>53</v>
      </c>
      <c r="L1580">
        <v>64</v>
      </c>
      <c r="M1580" s="24">
        <v>40</v>
      </c>
      <c r="N1580" s="24">
        <v>59</v>
      </c>
      <c r="O1580" s="24">
        <v>39</v>
      </c>
      <c r="P1580" s="24">
        <v>60</v>
      </c>
      <c r="Q1580">
        <v>36</v>
      </c>
      <c r="R1580">
        <v>54</v>
      </c>
      <c r="S1580">
        <v>55</v>
      </c>
      <c r="T1580">
        <v>84</v>
      </c>
      <c r="U1580">
        <v>61</v>
      </c>
      <c r="V1580">
        <v>123</v>
      </c>
      <c r="W1580">
        <v>114</v>
      </c>
      <c r="X1580">
        <v>203</v>
      </c>
      <c r="Z1580" t="str">
        <f t="shared" si="4"/>
        <v/>
      </c>
      <c r="AA1580" t="s">
        <v>2245</v>
      </c>
      <c r="AB1580" t="s">
        <v>2245</v>
      </c>
      <c r="AC1580">
        <v>40</v>
      </c>
      <c r="AD1580">
        <v>59</v>
      </c>
      <c r="AE1580">
        <v>39</v>
      </c>
      <c r="AF1580">
        <v>60</v>
      </c>
      <c r="AG1580">
        <v>36</v>
      </c>
      <c r="AH1580">
        <v>54</v>
      </c>
      <c r="AI1580">
        <v>55</v>
      </c>
      <c r="AJ1580">
        <v>84</v>
      </c>
      <c r="AK1580">
        <v>61</v>
      </c>
      <c r="AL1580">
        <v>123</v>
      </c>
      <c r="AM1580">
        <v>114</v>
      </c>
      <c r="AN1580">
        <v>203</v>
      </c>
    </row>
    <row r="1581" spans="2:40" x14ac:dyDescent="0.35">
      <c r="B1581" s="46" t="s">
        <v>2250</v>
      </c>
      <c r="D1581" t="s">
        <v>1460</v>
      </c>
      <c r="E1581" t="s">
        <v>1937</v>
      </c>
      <c r="F1581" s="46" t="s">
        <v>2216</v>
      </c>
      <c r="G1581" t="s">
        <v>585</v>
      </c>
      <c r="H1581" s="47" t="s">
        <v>2198</v>
      </c>
      <c r="I1581" s="47" t="s">
        <v>2199</v>
      </c>
      <c r="J1581" t="s">
        <v>2217</v>
      </c>
      <c r="K1581">
        <v>1920</v>
      </c>
      <c r="L1581">
        <v>3978</v>
      </c>
      <c r="M1581" s="24">
        <v>1541</v>
      </c>
      <c r="N1581" s="24">
        <v>3724</v>
      </c>
      <c r="O1581" s="24">
        <v>1886</v>
      </c>
      <c r="P1581" s="24">
        <v>3933</v>
      </c>
      <c r="Q1581">
        <v>3128</v>
      </c>
      <c r="R1581">
        <v>5260</v>
      </c>
      <c r="S1581">
        <v>5975</v>
      </c>
      <c r="T1581">
        <v>9095</v>
      </c>
      <c r="U1581">
        <v>5279</v>
      </c>
      <c r="V1581">
        <v>14005</v>
      </c>
      <c r="W1581">
        <v>10852</v>
      </c>
      <c r="X1581">
        <v>22590</v>
      </c>
      <c r="Z1581" t="str">
        <f t="shared" si="4"/>
        <v/>
      </c>
      <c r="AA1581" t="s">
        <v>2217</v>
      </c>
      <c r="AB1581" t="s">
        <v>2217</v>
      </c>
      <c r="AC1581">
        <v>1541</v>
      </c>
      <c r="AD1581">
        <v>3724</v>
      </c>
      <c r="AE1581">
        <v>1886</v>
      </c>
      <c r="AF1581">
        <v>3933</v>
      </c>
      <c r="AG1581">
        <v>3128</v>
      </c>
      <c r="AH1581">
        <v>5260</v>
      </c>
      <c r="AI1581">
        <v>5975</v>
      </c>
      <c r="AJ1581">
        <v>9095</v>
      </c>
      <c r="AK1581">
        <v>5279</v>
      </c>
      <c r="AL1581">
        <v>14005</v>
      </c>
      <c r="AM1581">
        <v>10852</v>
      </c>
      <c r="AN1581">
        <v>22590</v>
      </c>
    </row>
    <row r="1582" spans="2:40" x14ac:dyDescent="0.35">
      <c r="B1582" s="46" t="s">
        <v>2252</v>
      </c>
      <c r="D1582" t="s">
        <v>1460</v>
      </c>
      <c r="E1582" t="s">
        <v>1937</v>
      </c>
      <c r="F1582" s="46" t="s">
        <v>2076</v>
      </c>
      <c r="G1582" t="s">
        <v>265</v>
      </c>
      <c r="H1582" s="47" t="s">
        <v>501</v>
      </c>
      <c r="I1582" s="47" t="s">
        <v>2068</v>
      </c>
      <c r="J1582" t="s">
        <v>2077</v>
      </c>
      <c r="K1582">
        <v>430</v>
      </c>
      <c r="L1582">
        <v>719</v>
      </c>
      <c r="M1582" s="24">
        <v>379</v>
      </c>
      <c r="N1582" s="24">
        <v>693</v>
      </c>
      <c r="O1582" s="24">
        <v>416</v>
      </c>
      <c r="P1582" s="24">
        <v>720</v>
      </c>
      <c r="Q1582">
        <v>410</v>
      </c>
      <c r="R1582">
        <v>789</v>
      </c>
      <c r="S1582">
        <v>590</v>
      </c>
      <c r="T1582">
        <v>1090</v>
      </c>
      <c r="U1582">
        <v>609</v>
      </c>
      <c r="V1582">
        <v>1390</v>
      </c>
      <c r="W1582">
        <v>786</v>
      </c>
      <c r="X1582">
        <v>2193</v>
      </c>
      <c r="Z1582" t="str">
        <f t="shared" si="4"/>
        <v/>
      </c>
      <c r="AA1582" t="s">
        <v>2077</v>
      </c>
      <c r="AB1582" t="s">
        <v>2077</v>
      </c>
      <c r="AC1582">
        <v>379</v>
      </c>
      <c r="AD1582">
        <v>693</v>
      </c>
      <c r="AE1582">
        <v>416</v>
      </c>
      <c r="AF1582">
        <v>720</v>
      </c>
      <c r="AG1582">
        <v>410</v>
      </c>
      <c r="AH1582">
        <v>789</v>
      </c>
      <c r="AI1582">
        <v>590</v>
      </c>
      <c r="AJ1582">
        <v>1090</v>
      </c>
      <c r="AK1582">
        <v>609</v>
      </c>
      <c r="AL1582">
        <v>1390</v>
      </c>
      <c r="AM1582">
        <v>786</v>
      </c>
      <c r="AN1582">
        <v>2193</v>
      </c>
    </row>
    <row r="1583" spans="2:40" x14ac:dyDescent="0.35">
      <c r="B1583" s="46" t="s">
        <v>2254</v>
      </c>
      <c r="D1583" t="s">
        <v>1460</v>
      </c>
      <c r="E1583" t="s">
        <v>1937</v>
      </c>
      <c r="F1583" s="46" t="s">
        <v>2136</v>
      </c>
      <c r="G1583" t="s">
        <v>293</v>
      </c>
      <c r="H1583" s="47" t="s">
        <v>2128</v>
      </c>
      <c r="I1583" s="47" t="s">
        <v>2129</v>
      </c>
      <c r="J1583" t="s">
        <v>2137</v>
      </c>
      <c r="K1583">
        <v>94</v>
      </c>
      <c r="L1583">
        <v>179</v>
      </c>
      <c r="M1583" s="24">
        <v>77</v>
      </c>
      <c r="N1583" s="24">
        <v>161</v>
      </c>
      <c r="O1583" s="24">
        <v>86</v>
      </c>
      <c r="P1583" s="24">
        <v>166</v>
      </c>
      <c r="Q1583">
        <v>76</v>
      </c>
      <c r="R1583">
        <v>177</v>
      </c>
      <c r="S1583">
        <v>134</v>
      </c>
      <c r="T1583">
        <v>238</v>
      </c>
      <c r="U1583">
        <v>82</v>
      </c>
      <c r="V1583">
        <v>240</v>
      </c>
      <c r="W1583">
        <v>82</v>
      </c>
      <c r="X1583">
        <v>336</v>
      </c>
      <c r="Z1583" t="str">
        <f t="shared" si="4"/>
        <v/>
      </c>
      <c r="AA1583" t="s">
        <v>2137</v>
      </c>
      <c r="AB1583" t="s">
        <v>2137</v>
      </c>
      <c r="AC1583">
        <v>77</v>
      </c>
      <c r="AD1583">
        <v>161</v>
      </c>
      <c r="AE1583">
        <v>86</v>
      </c>
      <c r="AF1583">
        <v>166</v>
      </c>
      <c r="AG1583">
        <v>76</v>
      </c>
      <c r="AH1583">
        <v>177</v>
      </c>
      <c r="AI1583">
        <v>134</v>
      </c>
      <c r="AJ1583">
        <v>238</v>
      </c>
      <c r="AK1583">
        <v>82</v>
      </c>
      <c r="AL1583">
        <v>240</v>
      </c>
      <c r="AM1583">
        <v>82</v>
      </c>
      <c r="AN1583">
        <v>336</v>
      </c>
    </row>
    <row r="1584" spans="2:40" x14ac:dyDescent="0.35">
      <c r="B1584" s="46" t="s">
        <v>2256</v>
      </c>
      <c r="D1584" t="s">
        <v>1460</v>
      </c>
      <c r="E1584" t="s">
        <v>1937</v>
      </c>
      <c r="F1584" s="46" t="s">
        <v>1955</v>
      </c>
      <c r="G1584" t="s">
        <v>231</v>
      </c>
      <c r="H1584" s="47" t="s">
        <v>393</v>
      </c>
      <c r="I1584" s="47" t="s">
        <v>1938</v>
      </c>
      <c r="J1584" t="s">
        <v>791</v>
      </c>
      <c r="K1584">
        <v>78</v>
      </c>
      <c r="L1584">
        <v>178</v>
      </c>
      <c r="M1584" s="24">
        <v>58</v>
      </c>
      <c r="N1584" s="24">
        <v>167</v>
      </c>
      <c r="O1584" s="24">
        <v>84</v>
      </c>
      <c r="P1584" s="24">
        <v>192</v>
      </c>
      <c r="Q1584">
        <v>102</v>
      </c>
      <c r="R1584">
        <v>206</v>
      </c>
      <c r="S1584">
        <v>142</v>
      </c>
      <c r="T1584">
        <v>247</v>
      </c>
      <c r="U1584">
        <v>138</v>
      </c>
      <c r="V1584">
        <v>350</v>
      </c>
      <c r="W1584">
        <v>131</v>
      </c>
      <c r="X1584">
        <v>593</v>
      </c>
      <c r="Z1584" t="str">
        <f t="shared" si="4"/>
        <v/>
      </c>
      <c r="AA1584" t="s">
        <v>791</v>
      </c>
      <c r="AB1584" t="s">
        <v>791</v>
      </c>
      <c r="AC1584">
        <v>58</v>
      </c>
      <c r="AD1584">
        <v>167</v>
      </c>
      <c r="AE1584">
        <v>84</v>
      </c>
      <c r="AF1584">
        <v>192</v>
      </c>
      <c r="AG1584">
        <v>102</v>
      </c>
      <c r="AH1584">
        <v>206</v>
      </c>
      <c r="AI1584">
        <v>142</v>
      </c>
      <c r="AJ1584">
        <v>247</v>
      </c>
      <c r="AK1584">
        <v>138</v>
      </c>
      <c r="AL1584">
        <v>350</v>
      </c>
      <c r="AM1584">
        <v>131</v>
      </c>
      <c r="AN1584">
        <v>593</v>
      </c>
    </row>
    <row r="1585" spans="2:40" x14ac:dyDescent="0.35">
      <c r="B1585" s="46" t="s">
        <v>2260</v>
      </c>
      <c r="D1585" t="s">
        <v>1460</v>
      </c>
      <c r="E1585" t="s">
        <v>1937</v>
      </c>
      <c r="F1585" s="46" t="s">
        <v>2382</v>
      </c>
      <c r="G1585" t="s">
        <v>615</v>
      </c>
      <c r="H1585" s="47" t="s">
        <v>2366</v>
      </c>
      <c r="I1585" s="47" t="s">
        <v>2367</v>
      </c>
      <c r="J1585" t="s">
        <v>2383</v>
      </c>
      <c r="K1585">
        <v>483</v>
      </c>
      <c r="L1585">
        <v>796</v>
      </c>
      <c r="M1585" s="24">
        <v>450</v>
      </c>
      <c r="N1585" s="24">
        <v>804</v>
      </c>
      <c r="O1585" s="24">
        <v>487</v>
      </c>
      <c r="P1585" s="24">
        <v>864</v>
      </c>
      <c r="Q1585">
        <v>403</v>
      </c>
      <c r="R1585">
        <v>849</v>
      </c>
      <c r="S1585">
        <v>609</v>
      </c>
      <c r="T1585">
        <v>1106</v>
      </c>
      <c r="U1585">
        <v>589</v>
      </c>
      <c r="V1585">
        <v>1387</v>
      </c>
      <c r="W1585">
        <v>680</v>
      </c>
      <c r="X1585">
        <v>2054</v>
      </c>
      <c r="Z1585" t="str">
        <f t="shared" si="4"/>
        <v/>
      </c>
      <c r="AA1585" t="s">
        <v>2383</v>
      </c>
      <c r="AB1585" t="s">
        <v>2383</v>
      </c>
      <c r="AC1585">
        <v>450</v>
      </c>
      <c r="AD1585">
        <v>804</v>
      </c>
      <c r="AE1585">
        <v>487</v>
      </c>
      <c r="AF1585">
        <v>864</v>
      </c>
      <c r="AG1585">
        <v>403</v>
      </c>
      <c r="AH1585">
        <v>849</v>
      </c>
      <c r="AI1585">
        <v>609</v>
      </c>
      <c r="AJ1585">
        <v>1106</v>
      </c>
      <c r="AK1585">
        <v>589</v>
      </c>
      <c r="AL1585">
        <v>1387</v>
      </c>
      <c r="AM1585">
        <v>680</v>
      </c>
      <c r="AN1585">
        <v>2054</v>
      </c>
    </row>
    <row r="1586" spans="2:40" x14ac:dyDescent="0.35">
      <c r="B1586" s="46" t="s">
        <v>2262</v>
      </c>
      <c r="D1586" t="s">
        <v>1460</v>
      </c>
      <c r="E1586" t="s">
        <v>1937</v>
      </c>
      <c r="F1586" s="46" t="s">
        <v>2429</v>
      </c>
      <c r="G1586" t="s">
        <v>627</v>
      </c>
      <c r="H1586" s="47" t="s">
        <v>2426</v>
      </c>
      <c r="I1586" s="47" t="s">
        <v>2427</v>
      </c>
      <c r="J1586" t="s">
        <v>301</v>
      </c>
      <c r="K1586">
        <v>12611</v>
      </c>
      <c r="L1586">
        <v>21298</v>
      </c>
      <c r="M1586" s="24">
        <v>10990</v>
      </c>
      <c r="N1586" s="24">
        <v>18981</v>
      </c>
      <c r="O1586" s="24">
        <v>11090</v>
      </c>
      <c r="P1586" s="24">
        <v>19035</v>
      </c>
      <c r="Q1586">
        <v>13395</v>
      </c>
      <c r="R1586">
        <v>23839</v>
      </c>
      <c r="S1586">
        <v>20445</v>
      </c>
      <c r="T1586">
        <v>36181</v>
      </c>
      <c r="U1586">
        <v>25156</v>
      </c>
      <c r="V1586">
        <v>45811</v>
      </c>
      <c r="W1586">
        <v>35731</v>
      </c>
      <c r="X1586">
        <v>66341</v>
      </c>
      <c r="Z1586" t="str">
        <f t="shared" si="4"/>
        <v/>
      </c>
      <c r="AA1586" t="s">
        <v>301</v>
      </c>
      <c r="AB1586" t="s">
        <v>301</v>
      </c>
      <c r="AC1586">
        <v>10990</v>
      </c>
      <c r="AD1586">
        <v>18981</v>
      </c>
      <c r="AE1586">
        <v>11090</v>
      </c>
      <c r="AF1586">
        <v>19035</v>
      </c>
      <c r="AG1586">
        <v>13395</v>
      </c>
      <c r="AH1586">
        <v>23839</v>
      </c>
      <c r="AI1586">
        <v>20445</v>
      </c>
      <c r="AJ1586">
        <v>36181</v>
      </c>
      <c r="AK1586">
        <v>25156</v>
      </c>
      <c r="AL1586">
        <v>45811</v>
      </c>
      <c r="AM1586">
        <v>35731</v>
      </c>
      <c r="AN1586">
        <v>66341</v>
      </c>
    </row>
    <row r="1587" spans="2:40" x14ac:dyDescent="0.35">
      <c r="B1587" s="46" t="s">
        <v>2264</v>
      </c>
      <c r="D1587" t="s">
        <v>1460</v>
      </c>
      <c r="E1587" t="s">
        <v>1937</v>
      </c>
      <c r="F1587" s="46" t="s">
        <v>2002</v>
      </c>
      <c r="G1587" t="s">
        <v>235</v>
      </c>
      <c r="H1587" s="47" t="s">
        <v>419</v>
      </c>
      <c r="I1587" s="47" t="s">
        <v>1971</v>
      </c>
      <c r="J1587" t="s">
        <v>1556</v>
      </c>
      <c r="K1587">
        <v>225</v>
      </c>
      <c r="L1587">
        <v>401</v>
      </c>
      <c r="M1587" s="24">
        <v>171</v>
      </c>
      <c r="N1587" s="24">
        <v>379</v>
      </c>
      <c r="O1587" s="24">
        <v>215</v>
      </c>
      <c r="P1587" s="24">
        <v>415</v>
      </c>
      <c r="Q1587">
        <v>293</v>
      </c>
      <c r="R1587">
        <v>471</v>
      </c>
      <c r="S1587">
        <v>461</v>
      </c>
      <c r="T1587">
        <v>725</v>
      </c>
      <c r="U1587">
        <v>457</v>
      </c>
      <c r="V1587">
        <v>1135</v>
      </c>
      <c r="W1587">
        <v>911</v>
      </c>
      <c r="X1587">
        <v>1783</v>
      </c>
      <c r="Z1587" t="str">
        <f t="shared" si="4"/>
        <v/>
      </c>
      <c r="AA1587" t="s">
        <v>1556</v>
      </c>
      <c r="AB1587" t="s">
        <v>1556</v>
      </c>
      <c r="AC1587">
        <v>171</v>
      </c>
      <c r="AD1587">
        <v>379</v>
      </c>
      <c r="AE1587">
        <v>215</v>
      </c>
      <c r="AF1587">
        <v>415</v>
      </c>
      <c r="AG1587">
        <v>293</v>
      </c>
      <c r="AH1587">
        <v>471</v>
      </c>
      <c r="AI1587">
        <v>461</v>
      </c>
      <c r="AJ1587">
        <v>725</v>
      </c>
      <c r="AK1587">
        <v>457</v>
      </c>
      <c r="AL1587">
        <v>1135</v>
      </c>
      <c r="AM1587">
        <v>911</v>
      </c>
      <c r="AN1587">
        <v>1783</v>
      </c>
    </row>
    <row r="1588" spans="2:40" x14ac:dyDescent="0.35">
      <c r="B1588" s="46" t="s">
        <v>2266</v>
      </c>
      <c r="D1588" t="s">
        <v>1460</v>
      </c>
      <c r="E1588" t="s">
        <v>1937</v>
      </c>
      <c r="F1588" s="46" t="s">
        <v>2320</v>
      </c>
      <c r="G1588" t="s">
        <v>599</v>
      </c>
      <c r="H1588" s="47" t="s">
        <v>2307</v>
      </c>
      <c r="I1588" s="47" t="s">
        <v>2308</v>
      </c>
      <c r="J1588" t="s">
        <v>2321</v>
      </c>
      <c r="K1588">
        <v>263</v>
      </c>
      <c r="L1588">
        <v>479</v>
      </c>
      <c r="M1588" s="24">
        <v>217</v>
      </c>
      <c r="N1588" s="24">
        <v>444</v>
      </c>
      <c r="O1588" s="24">
        <v>165</v>
      </c>
      <c r="P1588" s="24">
        <v>367</v>
      </c>
      <c r="Q1588">
        <v>241</v>
      </c>
      <c r="R1588">
        <v>460</v>
      </c>
      <c r="S1588">
        <v>474</v>
      </c>
      <c r="T1588">
        <v>718</v>
      </c>
      <c r="U1588">
        <v>475</v>
      </c>
      <c r="V1588">
        <v>1024</v>
      </c>
      <c r="W1588">
        <v>510</v>
      </c>
      <c r="X1588">
        <v>1476</v>
      </c>
      <c r="Z1588" t="str">
        <f t="shared" si="4"/>
        <v/>
      </c>
      <c r="AA1588" t="s">
        <v>2321</v>
      </c>
      <c r="AB1588" t="s">
        <v>2321</v>
      </c>
      <c r="AC1588">
        <v>217</v>
      </c>
      <c r="AD1588">
        <v>444</v>
      </c>
      <c r="AE1588">
        <v>165</v>
      </c>
      <c r="AF1588">
        <v>367</v>
      </c>
      <c r="AG1588">
        <v>241</v>
      </c>
      <c r="AH1588">
        <v>460</v>
      </c>
      <c r="AI1588">
        <v>474</v>
      </c>
      <c r="AJ1588">
        <v>718</v>
      </c>
      <c r="AK1588">
        <v>475</v>
      </c>
      <c r="AL1588">
        <v>1024</v>
      </c>
      <c r="AM1588">
        <v>510</v>
      </c>
      <c r="AN1588">
        <v>1476</v>
      </c>
    </row>
    <row r="1589" spans="2:40" x14ac:dyDescent="0.35">
      <c r="B1589" s="46" t="s">
        <v>2268</v>
      </c>
      <c r="D1589" t="s">
        <v>1460</v>
      </c>
      <c r="E1589" t="s">
        <v>1937</v>
      </c>
      <c r="F1589" s="46" t="s">
        <v>2184</v>
      </c>
      <c r="G1589" t="s">
        <v>577</v>
      </c>
      <c r="H1589" s="47" t="s">
        <v>2163</v>
      </c>
      <c r="I1589" s="47" t="s">
        <v>2164</v>
      </c>
      <c r="J1589" t="s">
        <v>2185</v>
      </c>
      <c r="K1589">
        <v>15</v>
      </c>
      <c r="L1589">
        <v>40</v>
      </c>
      <c r="M1589" s="24">
        <v>23</v>
      </c>
      <c r="N1589" s="24">
        <v>56</v>
      </c>
      <c r="O1589" s="24">
        <v>25</v>
      </c>
      <c r="P1589" s="24">
        <v>40</v>
      </c>
      <c r="Q1589">
        <v>31</v>
      </c>
      <c r="R1589">
        <v>49</v>
      </c>
      <c r="S1589">
        <v>38</v>
      </c>
      <c r="T1589">
        <v>57</v>
      </c>
      <c r="U1589">
        <v>27</v>
      </c>
      <c r="V1589">
        <v>66</v>
      </c>
      <c r="W1589">
        <v>21</v>
      </c>
      <c r="X1589">
        <v>97</v>
      </c>
      <c r="Z1589" t="str">
        <f t="shared" si="4"/>
        <v/>
      </c>
      <c r="AA1589" t="s">
        <v>2185</v>
      </c>
      <c r="AB1589" t="s">
        <v>2185</v>
      </c>
      <c r="AC1589">
        <v>23</v>
      </c>
      <c r="AD1589">
        <v>56</v>
      </c>
      <c r="AE1589">
        <v>25</v>
      </c>
      <c r="AF1589">
        <v>40</v>
      </c>
      <c r="AG1589">
        <v>31</v>
      </c>
      <c r="AH1589">
        <v>49</v>
      </c>
      <c r="AI1589">
        <v>38</v>
      </c>
      <c r="AJ1589">
        <v>57</v>
      </c>
      <c r="AK1589">
        <v>27</v>
      </c>
      <c r="AL1589">
        <v>66</v>
      </c>
      <c r="AM1589">
        <v>21</v>
      </c>
      <c r="AN1589">
        <v>97</v>
      </c>
    </row>
    <row r="1590" spans="2:40" x14ac:dyDescent="0.35">
      <c r="B1590" s="46" t="s">
        <v>2270</v>
      </c>
      <c r="D1590" t="s">
        <v>1460</v>
      </c>
      <c r="E1590" t="s">
        <v>1937</v>
      </c>
      <c r="F1590" s="46" t="s">
        <v>2044</v>
      </c>
      <c r="G1590" t="s">
        <v>255</v>
      </c>
      <c r="H1590" s="47" t="s">
        <v>467</v>
      </c>
      <c r="I1590" s="47" t="s">
        <v>2038</v>
      </c>
      <c r="J1590" t="s">
        <v>2045</v>
      </c>
      <c r="K1590">
        <v>1289</v>
      </c>
      <c r="L1590">
        <v>2235</v>
      </c>
      <c r="M1590" s="24">
        <v>1300</v>
      </c>
      <c r="N1590" s="24">
        <v>2243</v>
      </c>
      <c r="O1590" s="24">
        <v>1564</v>
      </c>
      <c r="P1590" s="24">
        <v>2377</v>
      </c>
      <c r="Q1590">
        <v>891</v>
      </c>
      <c r="R1590">
        <v>2404</v>
      </c>
      <c r="S1590">
        <v>2189</v>
      </c>
      <c r="T1590">
        <v>3190</v>
      </c>
      <c r="U1590">
        <v>2654</v>
      </c>
      <c r="V1590">
        <v>4164</v>
      </c>
      <c r="W1590">
        <v>3270</v>
      </c>
      <c r="X1590">
        <v>6181</v>
      </c>
      <c r="Z1590" t="str">
        <f t="shared" si="4"/>
        <v/>
      </c>
      <c r="AA1590" t="s">
        <v>2045</v>
      </c>
      <c r="AB1590" t="s">
        <v>2045</v>
      </c>
      <c r="AC1590">
        <v>1300</v>
      </c>
      <c r="AD1590">
        <v>2243</v>
      </c>
      <c r="AE1590">
        <v>1564</v>
      </c>
      <c r="AF1590">
        <v>2377</v>
      </c>
      <c r="AG1590">
        <v>891</v>
      </c>
      <c r="AH1590">
        <v>2404</v>
      </c>
      <c r="AI1590">
        <v>2189</v>
      </c>
      <c r="AJ1590">
        <v>3190</v>
      </c>
      <c r="AK1590">
        <v>2654</v>
      </c>
      <c r="AL1590">
        <v>4164</v>
      </c>
      <c r="AM1590">
        <v>3270</v>
      </c>
      <c r="AN1590">
        <v>6181</v>
      </c>
    </row>
    <row r="1591" spans="2:40" x14ac:dyDescent="0.35">
      <c r="B1591" s="46" t="s">
        <v>2272</v>
      </c>
      <c r="D1591" t="s">
        <v>1460</v>
      </c>
      <c r="E1591" t="s">
        <v>1937</v>
      </c>
      <c r="F1591" s="46" t="s">
        <v>2107</v>
      </c>
      <c r="G1591" t="s">
        <v>279</v>
      </c>
      <c r="H1591" s="47" t="s">
        <v>1347</v>
      </c>
      <c r="I1591" s="47" t="s">
        <v>2098</v>
      </c>
      <c r="J1591" t="s">
        <v>2108</v>
      </c>
      <c r="K1591">
        <v>863</v>
      </c>
      <c r="L1591">
        <v>1643</v>
      </c>
      <c r="M1591" s="24">
        <v>745</v>
      </c>
      <c r="N1591" s="24">
        <v>1552</v>
      </c>
      <c r="O1591" s="24">
        <v>940</v>
      </c>
      <c r="P1591" s="24">
        <v>1632</v>
      </c>
      <c r="Q1591">
        <v>814</v>
      </c>
      <c r="R1591">
        <v>1761</v>
      </c>
      <c r="S1591">
        <v>1720</v>
      </c>
      <c r="T1591">
        <v>2607</v>
      </c>
      <c r="U1591">
        <v>1597</v>
      </c>
      <c r="V1591">
        <v>3437</v>
      </c>
      <c r="W1591">
        <v>1541</v>
      </c>
      <c r="X1591">
        <v>4916</v>
      </c>
      <c r="Z1591" t="str">
        <f t="shared" si="4"/>
        <v/>
      </c>
      <c r="AA1591" t="s">
        <v>2108</v>
      </c>
      <c r="AB1591" t="s">
        <v>2108</v>
      </c>
      <c r="AC1591">
        <v>745</v>
      </c>
      <c r="AD1591">
        <v>1552</v>
      </c>
      <c r="AE1591">
        <v>940</v>
      </c>
      <c r="AF1591">
        <v>1632</v>
      </c>
      <c r="AG1591">
        <v>814</v>
      </c>
      <c r="AH1591">
        <v>1761</v>
      </c>
      <c r="AI1591">
        <v>1720</v>
      </c>
      <c r="AJ1591">
        <v>2607</v>
      </c>
      <c r="AK1591">
        <v>1597</v>
      </c>
      <c r="AL1591">
        <v>3437</v>
      </c>
      <c r="AM1591">
        <v>1541</v>
      </c>
      <c r="AN1591">
        <v>4916</v>
      </c>
    </row>
    <row r="1592" spans="2:40" x14ac:dyDescent="0.35">
      <c r="B1592" s="46" t="s">
        <v>2274</v>
      </c>
      <c r="D1592" t="s">
        <v>1460</v>
      </c>
      <c r="E1592" t="s">
        <v>1937</v>
      </c>
      <c r="F1592" s="46" t="s">
        <v>2046</v>
      </c>
      <c r="G1592" t="s">
        <v>255</v>
      </c>
      <c r="H1592" s="47" t="s">
        <v>467</v>
      </c>
      <c r="I1592" s="47" t="s">
        <v>2038</v>
      </c>
      <c r="J1592" t="s">
        <v>461</v>
      </c>
      <c r="K1592">
        <v>223</v>
      </c>
      <c r="L1592">
        <v>379</v>
      </c>
      <c r="M1592" s="24">
        <v>163</v>
      </c>
      <c r="N1592" s="24">
        <v>332</v>
      </c>
      <c r="O1592" s="24">
        <v>148</v>
      </c>
      <c r="P1592" s="24">
        <v>311</v>
      </c>
      <c r="Q1592">
        <v>168</v>
      </c>
      <c r="R1592">
        <v>362</v>
      </c>
      <c r="S1592">
        <v>294</v>
      </c>
      <c r="T1592">
        <v>473</v>
      </c>
      <c r="U1592">
        <v>410</v>
      </c>
      <c r="V1592">
        <v>776</v>
      </c>
      <c r="W1592">
        <v>541</v>
      </c>
      <c r="X1592">
        <v>1274</v>
      </c>
      <c r="Z1592" t="str">
        <f t="shared" si="4"/>
        <v/>
      </c>
      <c r="AA1592" t="s">
        <v>461</v>
      </c>
      <c r="AB1592" t="s">
        <v>461</v>
      </c>
      <c r="AC1592">
        <v>163</v>
      </c>
      <c r="AD1592">
        <v>332</v>
      </c>
      <c r="AE1592">
        <v>148</v>
      </c>
      <c r="AF1592">
        <v>311</v>
      </c>
      <c r="AG1592">
        <v>168</v>
      </c>
      <c r="AH1592">
        <v>362</v>
      </c>
      <c r="AI1592">
        <v>294</v>
      </c>
      <c r="AJ1592">
        <v>473</v>
      </c>
      <c r="AK1592">
        <v>410</v>
      </c>
      <c r="AL1592">
        <v>776</v>
      </c>
      <c r="AM1592">
        <v>541</v>
      </c>
      <c r="AN1592">
        <v>1274</v>
      </c>
    </row>
    <row r="1593" spans="2:40" x14ac:dyDescent="0.35">
      <c r="B1593" s="46" t="s">
        <v>2276</v>
      </c>
      <c r="D1593" t="s">
        <v>1460</v>
      </c>
      <c r="E1593" t="s">
        <v>1937</v>
      </c>
      <c r="F1593" s="46" t="s">
        <v>1956</v>
      </c>
      <c r="G1593" t="s">
        <v>231</v>
      </c>
      <c r="H1593" s="47" t="s">
        <v>393</v>
      </c>
      <c r="I1593" s="47" t="s">
        <v>1938</v>
      </c>
      <c r="J1593" t="s">
        <v>1957</v>
      </c>
      <c r="K1593">
        <v>222</v>
      </c>
      <c r="L1593">
        <v>421</v>
      </c>
      <c r="M1593" s="24">
        <v>149</v>
      </c>
      <c r="N1593" s="24">
        <v>329</v>
      </c>
      <c r="O1593" s="24">
        <v>179</v>
      </c>
      <c r="P1593" s="24">
        <v>344</v>
      </c>
      <c r="Q1593">
        <v>232</v>
      </c>
      <c r="R1593">
        <v>403</v>
      </c>
      <c r="S1593">
        <v>310</v>
      </c>
      <c r="T1593">
        <v>500</v>
      </c>
      <c r="U1593">
        <v>256</v>
      </c>
      <c r="V1593">
        <v>731</v>
      </c>
      <c r="W1593">
        <v>277</v>
      </c>
      <c r="X1593">
        <v>1124</v>
      </c>
      <c r="Z1593" t="str">
        <f t="shared" si="4"/>
        <v/>
      </c>
      <c r="AA1593" t="s">
        <v>1957</v>
      </c>
      <c r="AB1593" t="s">
        <v>1957</v>
      </c>
      <c r="AC1593">
        <v>149</v>
      </c>
      <c r="AD1593">
        <v>329</v>
      </c>
      <c r="AE1593">
        <v>179</v>
      </c>
      <c r="AF1593">
        <v>344</v>
      </c>
      <c r="AG1593">
        <v>232</v>
      </c>
      <c r="AH1593">
        <v>403</v>
      </c>
      <c r="AI1593">
        <v>310</v>
      </c>
      <c r="AJ1593">
        <v>500</v>
      </c>
      <c r="AK1593">
        <v>256</v>
      </c>
      <c r="AL1593">
        <v>731</v>
      </c>
      <c r="AM1593">
        <v>277</v>
      </c>
      <c r="AN1593">
        <v>1124</v>
      </c>
    </row>
    <row r="1594" spans="2:40" x14ac:dyDescent="0.35">
      <c r="B1594" s="46" t="s">
        <v>2278</v>
      </c>
      <c r="D1594" t="s">
        <v>1460</v>
      </c>
      <c r="E1594" t="s">
        <v>1937</v>
      </c>
      <c r="F1594" s="46" t="s">
        <v>2091</v>
      </c>
      <c r="G1594" t="s">
        <v>273</v>
      </c>
      <c r="H1594" s="47" t="s">
        <v>524</v>
      </c>
      <c r="I1594" s="47" t="s">
        <v>2081</v>
      </c>
      <c r="J1594" t="s">
        <v>2092</v>
      </c>
      <c r="K1594">
        <v>6277</v>
      </c>
      <c r="L1594">
        <v>10767</v>
      </c>
      <c r="M1594" s="24">
        <v>5779</v>
      </c>
      <c r="N1594" s="24">
        <v>10619</v>
      </c>
      <c r="O1594" s="24">
        <v>4800</v>
      </c>
      <c r="P1594" s="24">
        <v>10269</v>
      </c>
      <c r="Q1594">
        <v>5496</v>
      </c>
      <c r="R1594">
        <v>10904</v>
      </c>
      <c r="S1594">
        <v>7871</v>
      </c>
      <c r="T1594">
        <v>14734</v>
      </c>
      <c r="U1594">
        <v>9000</v>
      </c>
      <c r="V1594">
        <v>19556</v>
      </c>
      <c r="W1594">
        <v>12141</v>
      </c>
      <c r="X1594">
        <v>31149</v>
      </c>
      <c r="Z1594" t="str">
        <f t="shared" si="4"/>
        <v/>
      </c>
      <c r="AA1594" t="s">
        <v>2092</v>
      </c>
      <c r="AB1594" t="s">
        <v>2092</v>
      </c>
      <c r="AC1594">
        <v>5779</v>
      </c>
      <c r="AD1594">
        <v>10619</v>
      </c>
      <c r="AE1594">
        <v>4800</v>
      </c>
      <c r="AF1594">
        <v>10269</v>
      </c>
      <c r="AG1594">
        <v>5496</v>
      </c>
      <c r="AH1594">
        <v>10904</v>
      </c>
      <c r="AI1594">
        <v>7871</v>
      </c>
      <c r="AJ1594">
        <v>14734</v>
      </c>
      <c r="AK1594">
        <v>9000</v>
      </c>
      <c r="AL1594">
        <v>19556</v>
      </c>
      <c r="AM1594">
        <v>12141</v>
      </c>
      <c r="AN1594">
        <v>31149</v>
      </c>
    </row>
    <row r="1595" spans="2:40" x14ac:dyDescent="0.35">
      <c r="B1595" s="46" t="s">
        <v>2280</v>
      </c>
      <c r="D1595" t="s">
        <v>1460</v>
      </c>
      <c r="E1595" t="s">
        <v>1937</v>
      </c>
      <c r="F1595" s="46" t="s">
        <v>2003</v>
      </c>
      <c r="G1595" t="s">
        <v>235</v>
      </c>
      <c r="H1595" s="47" t="s">
        <v>419</v>
      </c>
      <c r="I1595" s="47" t="s">
        <v>1971</v>
      </c>
      <c r="J1595" t="s">
        <v>2004</v>
      </c>
      <c r="K1595">
        <v>154</v>
      </c>
      <c r="L1595">
        <v>269</v>
      </c>
      <c r="M1595" s="24">
        <v>113</v>
      </c>
      <c r="N1595" s="24">
        <v>228</v>
      </c>
      <c r="O1595" s="24">
        <v>112</v>
      </c>
      <c r="P1595" s="24">
        <v>236</v>
      </c>
      <c r="Q1595">
        <v>220</v>
      </c>
      <c r="R1595">
        <v>328</v>
      </c>
      <c r="S1595">
        <v>429</v>
      </c>
      <c r="T1595">
        <v>595</v>
      </c>
      <c r="U1595">
        <v>288</v>
      </c>
      <c r="V1595">
        <v>829</v>
      </c>
      <c r="W1595">
        <v>527</v>
      </c>
      <c r="X1595">
        <v>1082</v>
      </c>
      <c r="Z1595" t="str">
        <f t="shared" si="4"/>
        <v/>
      </c>
      <c r="AA1595" t="s">
        <v>2004</v>
      </c>
      <c r="AB1595" t="s">
        <v>2004</v>
      </c>
      <c r="AC1595">
        <v>113</v>
      </c>
      <c r="AD1595">
        <v>228</v>
      </c>
      <c r="AE1595">
        <v>112</v>
      </c>
      <c r="AF1595">
        <v>236</v>
      </c>
      <c r="AG1595">
        <v>220</v>
      </c>
      <c r="AH1595">
        <v>328</v>
      </c>
      <c r="AI1595">
        <v>429</v>
      </c>
      <c r="AJ1595">
        <v>595</v>
      </c>
      <c r="AK1595">
        <v>288</v>
      </c>
      <c r="AL1595">
        <v>829</v>
      </c>
      <c r="AM1595">
        <v>527</v>
      </c>
      <c r="AN1595">
        <v>1082</v>
      </c>
    </row>
    <row r="1596" spans="2:40" x14ac:dyDescent="0.35">
      <c r="B1596" s="46" t="s">
        <v>2282</v>
      </c>
      <c r="D1596" t="s">
        <v>1460</v>
      </c>
      <c r="E1596" t="s">
        <v>1937</v>
      </c>
      <c r="F1596" s="46" t="s">
        <v>2005</v>
      </c>
      <c r="G1596" t="s">
        <v>235</v>
      </c>
      <c r="H1596" s="47" t="s">
        <v>419</v>
      </c>
      <c r="I1596" s="47" t="s">
        <v>1971</v>
      </c>
      <c r="J1596" t="s">
        <v>2006</v>
      </c>
      <c r="K1596">
        <v>36</v>
      </c>
      <c r="L1596">
        <v>86</v>
      </c>
      <c r="M1596" s="24">
        <v>40</v>
      </c>
      <c r="N1596" s="24">
        <v>88</v>
      </c>
      <c r="O1596" s="24">
        <v>38</v>
      </c>
      <c r="P1596" s="24">
        <v>110</v>
      </c>
      <c r="Q1596">
        <v>28</v>
      </c>
      <c r="R1596">
        <v>105</v>
      </c>
      <c r="S1596">
        <v>48</v>
      </c>
      <c r="T1596">
        <v>116</v>
      </c>
      <c r="U1596">
        <v>34</v>
      </c>
      <c r="V1596">
        <v>116</v>
      </c>
      <c r="W1596">
        <v>64</v>
      </c>
      <c r="X1596">
        <v>188</v>
      </c>
      <c r="Z1596" t="str">
        <f t="shared" si="4"/>
        <v/>
      </c>
      <c r="AA1596" t="s">
        <v>2006</v>
      </c>
      <c r="AB1596" t="s">
        <v>2006</v>
      </c>
      <c r="AC1596">
        <v>40</v>
      </c>
      <c r="AD1596">
        <v>88</v>
      </c>
      <c r="AE1596">
        <v>38</v>
      </c>
      <c r="AF1596">
        <v>110</v>
      </c>
      <c r="AG1596">
        <v>28</v>
      </c>
      <c r="AH1596">
        <v>105</v>
      </c>
      <c r="AI1596">
        <v>48</v>
      </c>
      <c r="AJ1596">
        <v>116</v>
      </c>
      <c r="AK1596">
        <v>34</v>
      </c>
      <c r="AL1596">
        <v>116</v>
      </c>
      <c r="AM1596">
        <v>64</v>
      </c>
      <c r="AN1596">
        <v>188</v>
      </c>
    </row>
    <row r="1597" spans="2:40" x14ac:dyDescent="0.35">
      <c r="B1597" s="46" t="s">
        <v>2284</v>
      </c>
      <c r="D1597" t="s">
        <v>1460</v>
      </c>
      <c r="E1597" t="s">
        <v>1937</v>
      </c>
      <c r="F1597" s="46" t="s">
        <v>2047</v>
      </c>
      <c r="G1597" t="s">
        <v>255</v>
      </c>
      <c r="H1597" s="47" t="s">
        <v>467</v>
      </c>
      <c r="I1597" s="47" t="s">
        <v>2038</v>
      </c>
      <c r="J1597" t="s">
        <v>706</v>
      </c>
      <c r="K1597">
        <v>1354</v>
      </c>
      <c r="L1597">
        <v>1960</v>
      </c>
      <c r="M1597" s="24">
        <v>1309</v>
      </c>
      <c r="N1597" s="24">
        <v>2042</v>
      </c>
      <c r="O1597" s="24">
        <v>1189</v>
      </c>
      <c r="P1597" s="24">
        <v>1950</v>
      </c>
      <c r="Q1597">
        <v>1115</v>
      </c>
      <c r="R1597">
        <v>2086</v>
      </c>
      <c r="S1597">
        <v>1666</v>
      </c>
      <c r="T1597">
        <v>2891</v>
      </c>
      <c r="U1597">
        <v>2327</v>
      </c>
      <c r="V1597">
        <v>4104</v>
      </c>
      <c r="W1597">
        <v>2798</v>
      </c>
      <c r="X1597">
        <v>7370</v>
      </c>
      <c r="Z1597" t="str">
        <f t="shared" si="4"/>
        <v/>
      </c>
      <c r="AA1597" t="s">
        <v>706</v>
      </c>
      <c r="AB1597" t="s">
        <v>706</v>
      </c>
      <c r="AC1597">
        <v>1309</v>
      </c>
      <c r="AD1597">
        <v>2042</v>
      </c>
      <c r="AE1597">
        <v>1189</v>
      </c>
      <c r="AF1597">
        <v>1950</v>
      </c>
      <c r="AG1597">
        <v>1115</v>
      </c>
      <c r="AH1597">
        <v>2086</v>
      </c>
      <c r="AI1597">
        <v>1666</v>
      </c>
      <c r="AJ1597">
        <v>2891</v>
      </c>
      <c r="AK1597">
        <v>2327</v>
      </c>
      <c r="AL1597">
        <v>4104</v>
      </c>
      <c r="AM1597">
        <v>2798</v>
      </c>
      <c r="AN1597">
        <v>7370</v>
      </c>
    </row>
    <row r="1598" spans="2:40" x14ac:dyDescent="0.35">
      <c r="B1598" s="46" t="s">
        <v>2286</v>
      </c>
      <c r="D1598" t="s">
        <v>1460</v>
      </c>
      <c r="E1598" t="s">
        <v>1937</v>
      </c>
      <c r="F1598" s="46" t="s">
        <v>2399</v>
      </c>
      <c r="G1598" t="s">
        <v>619</v>
      </c>
      <c r="H1598" s="47" t="s">
        <v>2391</v>
      </c>
      <c r="I1598" s="47" t="s">
        <v>2392</v>
      </c>
      <c r="J1598" t="s">
        <v>2400</v>
      </c>
      <c r="K1598">
        <v>736</v>
      </c>
      <c r="L1598">
        <v>1263</v>
      </c>
      <c r="M1598" s="24">
        <v>665</v>
      </c>
      <c r="N1598" s="24">
        <v>1242</v>
      </c>
      <c r="O1598" s="24">
        <v>726</v>
      </c>
      <c r="P1598" s="24">
        <v>1277</v>
      </c>
      <c r="Q1598">
        <v>638</v>
      </c>
      <c r="R1598">
        <v>1292</v>
      </c>
      <c r="S1598">
        <v>1044</v>
      </c>
      <c r="T1598">
        <v>1832</v>
      </c>
      <c r="U1598">
        <v>962</v>
      </c>
      <c r="V1598">
        <v>2555</v>
      </c>
      <c r="W1598">
        <v>1274</v>
      </c>
      <c r="X1598">
        <v>3697</v>
      </c>
      <c r="Z1598" t="str">
        <f t="shared" si="4"/>
        <v/>
      </c>
      <c r="AA1598" t="s">
        <v>2400</v>
      </c>
      <c r="AB1598" t="s">
        <v>2400</v>
      </c>
      <c r="AC1598">
        <v>665</v>
      </c>
      <c r="AD1598">
        <v>1242</v>
      </c>
      <c r="AE1598">
        <v>726</v>
      </c>
      <c r="AF1598">
        <v>1277</v>
      </c>
      <c r="AG1598">
        <v>638</v>
      </c>
      <c r="AH1598">
        <v>1292</v>
      </c>
      <c r="AI1598">
        <v>1044</v>
      </c>
      <c r="AJ1598">
        <v>1832</v>
      </c>
      <c r="AK1598">
        <v>962</v>
      </c>
      <c r="AL1598">
        <v>2555</v>
      </c>
      <c r="AM1598">
        <v>1274</v>
      </c>
      <c r="AN1598">
        <v>3697</v>
      </c>
    </row>
    <row r="1599" spans="2:40" x14ac:dyDescent="0.35">
      <c r="B1599" s="46" t="s">
        <v>2288</v>
      </c>
      <c r="D1599" t="s">
        <v>1460</v>
      </c>
      <c r="E1599" t="s">
        <v>1937</v>
      </c>
      <c r="F1599" s="46" t="s">
        <v>2157</v>
      </c>
      <c r="G1599" t="s">
        <v>311</v>
      </c>
      <c r="H1599" s="47" t="s">
        <v>2152</v>
      </c>
      <c r="I1599" s="47" t="s">
        <v>2153</v>
      </c>
      <c r="J1599" t="s">
        <v>1310</v>
      </c>
      <c r="K1599">
        <v>498</v>
      </c>
      <c r="L1599">
        <v>903</v>
      </c>
      <c r="M1599" s="24">
        <v>502</v>
      </c>
      <c r="N1599" s="24">
        <v>932</v>
      </c>
      <c r="O1599" s="24">
        <v>620</v>
      </c>
      <c r="P1599" s="24">
        <v>1038</v>
      </c>
      <c r="Q1599">
        <v>530</v>
      </c>
      <c r="R1599">
        <v>1004</v>
      </c>
      <c r="S1599">
        <v>924</v>
      </c>
      <c r="T1599">
        <v>1364</v>
      </c>
      <c r="U1599">
        <v>1280</v>
      </c>
      <c r="V1599">
        <v>1995</v>
      </c>
      <c r="W1599">
        <v>1896</v>
      </c>
      <c r="X1599">
        <v>3232</v>
      </c>
      <c r="Z1599" t="str">
        <f t="shared" si="4"/>
        <v/>
      </c>
      <c r="AA1599" t="s">
        <v>1310</v>
      </c>
      <c r="AB1599" t="s">
        <v>1310</v>
      </c>
      <c r="AC1599">
        <v>502</v>
      </c>
      <c r="AD1599">
        <v>932</v>
      </c>
      <c r="AE1599">
        <v>620</v>
      </c>
      <c r="AF1599">
        <v>1038</v>
      </c>
      <c r="AG1599">
        <v>530</v>
      </c>
      <c r="AH1599">
        <v>1004</v>
      </c>
      <c r="AI1599">
        <v>924</v>
      </c>
      <c r="AJ1599">
        <v>1364</v>
      </c>
      <c r="AK1599">
        <v>1280</v>
      </c>
      <c r="AL1599">
        <v>1995</v>
      </c>
      <c r="AM1599">
        <v>1896</v>
      </c>
      <c r="AN1599">
        <v>3232</v>
      </c>
    </row>
    <row r="1600" spans="2:40" x14ac:dyDescent="0.35">
      <c r="B1600" s="46" t="s">
        <v>2290</v>
      </c>
      <c r="D1600" t="s">
        <v>1460</v>
      </c>
      <c r="E1600" t="s">
        <v>1937</v>
      </c>
      <c r="F1600" s="46" t="s">
        <v>2401</v>
      </c>
      <c r="G1600" t="s">
        <v>619</v>
      </c>
      <c r="H1600" s="47" t="s">
        <v>2391</v>
      </c>
      <c r="I1600" s="47" t="s">
        <v>2392</v>
      </c>
      <c r="J1600" t="s">
        <v>2402</v>
      </c>
      <c r="K1600">
        <v>3554</v>
      </c>
      <c r="L1600">
        <v>6382</v>
      </c>
      <c r="M1600" s="24">
        <v>2459</v>
      </c>
      <c r="N1600" s="24">
        <v>5109</v>
      </c>
      <c r="O1600" s="24">
        <v>2009</v>
      </c>
      <c r="P1600" s="24">
        <v>4265</v>
      </c>
      <c r="Q1600">
        <v>2126</v>
      </c>
      <c r="R1600">
        <v>4518</v>
      </c>
      <c r="S1600">
        <v>3067</v>
      </c>
      <c r="T1600">
        <v>6740</v>
      </c>
      <c r="U1600">
        <v>3335</v>
      </c>
      <c r="V1600">
        <v>8807</v>
      </c>
      <c r="W1600">
        <v>4435</v>
      </c>
      <c r="X1600">
        <v>13053</v>
      </c>
      <c r="Z1600" t="str">
        <f t="shared" si="4"/>
        <v/>
      </c>
      <c r="AA1600" t="s">
        <v>2402</v>
      </c>
      <c r="AB1600" t="s">
        <v>2402</v>
      </c>
      <c r="AC1600">
        <v>2459</v>
      </c>
      <c r="AD1600">
        <v>5109</v>
      </c>
      <c r="AE1600">
        <v>2009</v>
      </c>
      <c r="AF1600">
        <v>4265</v>
      </c>
      <c r="AG1600">
        <v>2126</v>
      </c>
      <c r="AH1600">
        <v>4518</v>
      </c>
      <c r="AI1600">
        <v>3067</v>
      </c>
      <c r="AJ1600">
        <v>6740</v>
      </c>
      <c r="AK1600">
        <v>3335</v>
      </c>
      <c r="AL1600">
        <v>8807</v>
      </c>
      <c r="AM1600">
        <v>4435</v>
      </c>
      <c r="AN1600">
        <v>13053</v>
      </c>
    </row>
    <row r="1601" spans="2:40" x14ac:dyDescent="0.35">
      <c r="B1601" s="46" t="s">
        <v>2292</v>
      </c>
      <c r="D1601" t="s">
        <v>1460</v>
      </c>
      <c r="E1601" t="s">
        <v>1937</v>
      </c>
      <c r="F1601" s="46" t="s">
        <v>2007</v>
      </c>
      <c r="G1601" t="s">
        <v>235</v>
      </c>
      <c r="H1601" s="47" t="s">
        <v>419</v>
      </c>
      <c r="I1601" s="47" t="s">
        <v>1971</v>
      </c>
      <c r="J1601" t="s">
        <v>2008</v>
      </c>
      <c r="K1601">
        <v>166</v>
      </c>
      <c r="L1601">
        <v>273</v>
      </c>
      <c r="M1601" s="24">
        <v>130</v>
      </c>
      <c r="N1601" s="24">
        <v>255</v>
      </c>
      <c r="O1601" s="24">
        <v>122</v>
      </c>
      <c r="P1601" s="24">
        <v>258</v>
      </c>
      <c r="Q1601">
        <v>119</v>
      </c>
      <c r="R1601">
        <v>264</v>
      </c>
      <c r="S1601">
        <v>184</v>
      </c>
      <c r="T1601">
        <v>313</v>
      </c>
      <c r="U1601">
        <v>190</v>
      </c>
      <c r="V1601">
        <v>459</v>
      </c>
      <c r="W1601">
        <v>327</v>
      </c>
      <c r="X1601">
        <v>747</v>
      </c>
      <c r="Z1601" t="str">
        <f t="shared" si="4"/>
        <v/>
      </c>
      <c r="AA1601" t="s">
        <v>2008</v>
      </c>
      <c r="AB1601" t="s">
        <v>2008</v>
      </c>
      <c r="AC1601">
        <v>130</v>
      </c>
      <c r="AD1601">
        <v>255</v>
      </c>
      <c r="AE1601">
        <v>122</v>
      </c>
      <c r="AF1601">
        <v>258</v>
      </c>
      <c r="AG1601">
        <v>119</v>
      </c>
      <c r="AH1601">
        <v>264</v>
      </c>
      <c r="AI1601">
        <v>184</v>
      </c>
      <c r="AJ1601">
        <v>313</v>
      </c>
      <c r="AK1601">
        <v>190</v>
      </c>
      <c r="AL1601">
        <v>459</v>
      </c>
      <c r="AM1601">
        <v>327</v>
      </c>
      <c r="AN1601">
        <v>747</v>
      </c>
    </row>
    <row r="1602" spans="2:40" x14ac:dyDescent="0.35">
      <c r="B1602" s="46" t="s">
        <v>2294</v>
      </c>
      <c r="D1602" t="s">
        <v>1460</v>
      </c>
      <c r="E1602" t="s">
        <v>1937</v>
      </c>
      <c r="F1602" s="46" t="s">
        <v>2218</v>
      </c>
      <c r="G1602" t="s">
        <v>585</v>
      </c>
      <c r="H1602" s="47" t="s">
        <v>2198</v>
      </c>
      <c r="I1602" s="47" t="s">
        <v>2199</v>
      </c>
      <c r="J1602" t="s">
        <v>2219</v>
      </c>
      <c r="K1602">
        <v>260</v>
      </c>
      <c r="L1602">
        <v>469</v>
      </c>
      <c r="M1602" s="24">
        <v>238</v>
      </c>
      <c r="N1602" s="24">
        <v>446</v>
      </c>
      <c r="O1602" s="24">
        <v>270</v>
      </c>
      <c r="P1602" s="24">
        <v>445</v>
      </c>
      <c r="Q1602">
        <v>405</v>
      </c>
      <c r="R1602">
        <v>570</v>
      </c>
      <c r="S1602">
        <v>782</v>
      </c>
      <c r="T1602">
        <v>1056</v>
      </c>
      <c r="U1602">
        <v>535</v>
      </c>
      <c r="V1602">
        <v>1384</v>
      </c>
      <c r="W1602">
        <v>825</v>
      </c>
      <c r="X1602">
        <v>1786</v>
      </c>
      <c r="Z1602" t="str">
        <f t="shared" si="4"/>
        <v/>
      </c>
      <c r="AA1602" t="s">
        <v>2219</v>
      </c>
      <c r="AB1602" t="s">
        <v>2219</v>
      </c>
      <c r="AC1602">
        <v>238</v>
      </c>
      <c r="AD1602">
        <v>446</v>
      </c>
      <c r="AE1602">
        <v>270</v>
      </c>
      <c r="AF1602">
        <v>445</v>
      </c>
      <c r="AG1602">
        <v>405</v>
      </c>
      <c r="AH1602">
        <v>570</v>
      </c>
      <c r="AI1602">
        <v>782</v>
      </c>
      <c r="AJ1602">
        <v>1056</v>
      </c>
      <c r="AK1602">
        <v>535</v>
      </c>
      <c r="AL1602">
        <v>1384</v>
      </c>
      <c r="AM1602">
        <v>825</v>
      </c>
      <c r="AN1602">
        <v>1786</v>
      </c>
    </row>
    <row r="1603" spans="2:40" x14ac:dyDescent="0.35">
      <c r="B1603" s="46" t="s">
        <v>2296</v>
      </c>
      <c r="D1603" t="s">
        <v>1460</v>
      </c>
      <c r="E1603" t="s">
        <v>1937</v>
      </c>
      <c r="F1603" s="46" t="s">
        <v>2048</v>
      </c>
      <c r="G1603" t="s">
        <v>255</v>
      </c>
      <c r="H1603" s="47" t="s">
        <v>467</v>
      </c>
      <c r="I1603" s="47" t="s">
        <v>2038</v>
      </c>
      <c r="J1603" t="s">
        <v>530</v>
      </c>
      <c r="K1603">
        <v>1390</v>
      </c>
      <c r="L1603">
        <v>2213</v>
      </c>
      <c r="M1603" s="24">
        <v>1483</v>
      </c>
      <c r="N1603" s="24">
        <v>2445</v>
      </c>
      <c r="O1603" s="24">
        <v>1178</v>
      </c>
      <c r="P1603" s="24">
        <v>2273</v>
      </c>
      <c r="Q1603">
        <v>1796</v>
      </c>
      <c r="R1603">
        <v>2683</v>
      </c>
      <c r="S1603">
        <v>2660</v>
      </c>
      <c r="T1603">
        <v>4130</v>
      </c>
      <c r="U1603">
        <v>3558</v>
      </c>
      <c r="V1603">
        <v>5667</v>
      </c>
      <c r="W1603">
        <v>6219</v>
      </c>
      <c r="X1603">
        <v>9206</v>
      </c>
      <c r="Z1603" t="str">
        <f t="shared" si="4"/>
        <v/>
      </c>
      <c r="AA1603" t="s">
        <v>530</v>
      </c>
      <c r="AB1603" t="s">
        <v>530</v>
      </c>
      <c r="AC1603">
        <v>1483</v>
      </c>
      <c r="AD1603">
        <v>2445</v>
      </c>
      <c r="AE1603">
        <v>1178</v>
      </c>
      <c r="AF1603">
        <v>2273</v>
      </c>
      <c r="AG1603">
        <v>1796</v>
      </c>
      <c r="AH1603">
        <v>2683</v>
      </c>
      <c r="AI1603">
        <v>2660</v>
      </c>
      <c r="AJ1603">
        <v>4130</v>
      </c>
      <c r="AK1603">
        <v>3558</v>
      </c>
      <c r="AL1603">
        <v>5667</v>
      </c>
      <c r="AM1603">
        <v>6219</v>
      </c>
      <c r="AN1603">
        <v>9206</v>
      </c>
    </row>
    <row r="1604" spans="2:40" x14ac:dyDescent="0.35">
      <c r="B1604" s="46" t="s">
        <v>2297</v>
      </c>
      <c r="D1604" t="s">
        <v>1460</v>
      </c>
      <c r="E1604" t="s">
        <v>1937</v>
      </c>
      <c r="F1604" s="46" t="s">
        <v>2009</v>
      </c>
      <c r="G1604" t="s">
        <v>235</v>
      </c>
      <c r="H1604" s="47" t="s">
        <v>419</v>
      </c>
      <c r="I1604" s="47" t="s">
        <v>1971</v>
      </c>
      <c r="J1604" t="s">
        <v>2010</v>
      </c>
      <c r="K1604">
        <v>1679</v>
      </c>
      <c r="L1604">
        <v>2613</v>
      </c>
      <c r="M1604" s="24">
        <v>1540</v>
      </c>
      <c r="N1604" s="24">
        <v>2627</v>
      </c>
      <c r="O1604" s="24">
        <v>1259</v>
      </c>
      <c r="P1604" s="24">
        <v>2503</v>
      </c>
      <c r="Q1604">
        <v>1314</v>
      </c>
      <c r="R1604">
        <v>2546</v>
      </c>
      <c r="S1604">
        <v>2599</v>
      </c>
      <c r="T1604">
        <v>4075</v>
      </c>
      <c r="U1604">
        <v>2825</v>
      </c>
      <c r="V1604">
        <v>6435</v>
      </c>
      <c r="W1604">
        <v>6201</v>
      </c>
      <c r="X1604">
        <v>12557</v>
      </c>
      <c r="Z1604" t="str">
        <f t="shared" si="4"/>
        <v/>
      </c>
      <c r="AA1604" t="s">
        <v>2010</v>
      </c>
      <c r="AB1604" t="s">
        <v>2010</v>
      </c>
      <c r="AC1604">
        <v>1540</v>
      </c>
      <c r="AD1604">
        <v>2627</v>
      </c>
      <c r="AE1604">
        <v>1259</v>
      </c>
      <c r="AF1604">
        <v>2503</v>
      </c>
      <c r="AG1604">
        <v>1314</v>
      </c>
      <c r="AH1604">
        <v>2546</v>
      </c>
      <c r="AI1604">
        <v>2599</v>
      </c>
      <c r="AJ1604">
        <v>4075</v>
      </c>
      <c r="AK1604">
        <v>2825</v>
      </c>
      <c r="AL1604">
        <v>6435</v>
      </c>
      <c r="AM1604">
        <v>6201</v>
      </c>
      <c r="AN1604">
        <v>12557</v>
      </c>
    </row>
    <row r="1605" spans="2:40" x14ac:dyDescent="0.35">
      <c r="B1605" s="46" t="s">
        <v>2299</v>
      </c>
      <c r="D1605" t="s">
        <v>1460</v>
      </c>
      <c r="E1605" t="s">
        <v>1937</v>
      </c>
      <c r="F1605" s="46" t="s">
        <v>2121</v>
      </c>
      <c r="G1605" t="s">
        <v>283</v>
      </c>
      <c r="H1605" s="47" t="s">
        <v>1366</v>
      </c>
      <c r="I1605" s="47" t="s">
        <v>2112</v>
      </c>
      <c r="J1605" t="s">
        <v>2122</v>
      </c>
      <c r="K1605">
        <v>174</v>
      </c>
      <c r="L1605">
        <v>321</v>
      </c>
      <c r="M1605" s="24">
        <v>145</v>
      </c>
      <c r="N1605" s="24">
        <v>291</v>
      </c>
      <c r="O1605" s="24">
        <v>163</v>
      </c>
      <c r="P1605" s="24">
        <v>320</v>
      </c>
      <c r="Q1605">
        <v>332</v>
      </c>
      <c r="R1605">
        <v>475</v>
      </c>
      <c r="S1605">
        <v>657</v>
      </c>
      <c r="T1605">
        <v>822</v>
      </c>
      <c r="U1605">
        <v>761</v>
      </c>
      <c r="V1605">
        <v>1038</v>
      </c>
      <c r="W1605">
        <v>519</v>
      </c>
      <c r="X1605">
        <v>1160</v>
      </c>
      <c r="Z1605" t="str">
        <f t="shared" si="4"/>
        <v/>
      </c>
      <c r="AA1605" t="s">
        <v>2122</v>
      </c>
      <c r="AB1605" t="s">
        <v>2122</v>
      </c>
      <c r="AC1605">
        <v>145</v>
      </c>
      <c r="AD1605">
        <v>291</v>
      </c>
      <c r="AE1605">
        <v>163</v>
      </c>
      <c r="AF1605">
        <v>320</v>
      </c>
      <c r="AG1605">
        <v>332</v>
      </c>
      <c r="AH1605">
        <v>475</v>
      </c>
      <c r="AI1605">
        <v>657</v>
      </c>
      <c r="AJ1605">
        <v>822</v>
      </c>
      <c r="AK1605">
        <v>761</v>
      </c>
      <c r="AL1605">
        <v>1038</v>
      </c>
      <c r="AM1605">
        <v>519</v>
      </c>
      <c r="AN1605">
        <v>1160</v>
      </c>
    </row>
    <row r="1606" spans="2:40" x14ac:dyDescent="0.35">
      <c r="B1606" s="46" t="s">
        <v>2303</v>
      </c>
      <c r="D1606" t="s">
        <v>1460</v>
      </c>
      <c r="E1606" t="s">
        <v>1937</v>
      </c>
      <c r="F1606" s="46" t="s">
        <v>2331</v>
      </c>
      <c r="G1606" t="s">
        <v>603</v>
      </c>
      <c r="H1606" s="47" t="s">
        <v>2327</v>
      </c>
      <c r="I1606" s="47" t="s">
        <v>2328</v>
      </c>
      <c r="J1606" t="s">
        <v>2332</v>
      </c>
      <c r="K1606">
        <v>255</v>
      </c>
      <c r="L1606">
        <v>488</v>
      </c>
      <c r="M1606" s="24">
        <v>267</v>
      </c>
      <c r="N1606" s="24">
        <v>528</v>
      </c>
      <c r="O1606" s="24">
        <v>223</v>
      </c>
      <c r="P1606" s="24">
        <v>472</v>
      </c>
      <c r="Q1606">
        <v>182</v>
      </c>
      <c r="R1606">
        <v>404</v>
      </c>
      <c r="S1606">
        <v>293</v>
      </c>
      <c r="T1606">
        <v>555</v>
      </c>
      <c r="U1606">
        <v>382</v>
      </c>
      <c r="V1606">
        <v>790</v>
      </c>
      <c r="W1606">
        <v>463</v>
      </c>
      <c r="X1606">
        <v>1173</v>
      </c>
      <c r="Z1606" t="str">
        <f t="shared" si="4"/>
        <v/>
      </c>
      <c r="AA1606" t="s">
        <v>2332</v>
      </c>
      <c r="AB1606" t="s">
        <v>2332</v>
      </c>
      <c r="AC1606">
        <v>267</v>
      </c>
      <c r="AD1606">
        <v>528</v>
      </c>
      <c r="AE1606">
        <v>223</v>
      </c>
      <c r="AF1606">
        <v>472</v>
      </c>
      <c r="AG1606">
        <v>182</v>
      </c>
      <c r="AH1606">
        <v>404</v>
      </c>
      <c r="AI1606">
        <v>293</v>
      </c>
      <c r="AJ1606">
        <v>555</v>
      </c>
      <c r="AK1606">
        <v>382</v>
      </c>
      <c r="AL1606">
        <v>790</v>
      </c>
      <c r="AM1606">
        <v>463</v>
      </c>
      <c r="AN1606">
        <v>1173</v>
      </c>
    </row>
    <row r="1607" spans="2:40" x14ac:dyDescent="0.35">
      <c r="B1607" s="46" t="s">
        <v>2304</v>
      </c>
      <c r="D1607" t="s">
        <v>1460</v>
      </c>
      <c r="E1607" t="s">
        <v>1937</v>
      </c>
      <c r="F1607" s="46" t="s">
        <v>2011</v>
      </c>
      <c r="G1607" t="s">
        <v>235</v>
      </c>
      <c r="H1607" s="47" t="s">
        <v>419</v>
      </c>
      <c r="I1607" s="47" t="s">
        <v>1971</v>
      </c>
      <c r="J1607" t="s">
        <v>2012</v>
      </c>
      <c r="K1607">
        <v>1945</v>
      </c>
      <c r="L1607">
        <v>3500</v>
      </c>
      <c r="M1607" s="24">
        <v>1707</v>
      </c>
      <c r="N1607" s="24">
        <v>3574</v>
      </c>
      <c r="O1607" s="24">
        <v>1218</v>
      </c>
      <c r="P1607" s="24">
        <v>3353</v>
      </c>
      <c r="Q1607">
        <v>1146</v>
      </c>
      <c r="R1607">
        <v>3026</v>
      </c>
      <c r="S1607">
        <v>2202</v>
      </c>
      <c r="T1607">
        <v>4373</v>
      </c>
      <c r="U1607">
        <v>2141</v>
      </c>
      <c r="V1607">
        <v>5634</v>
      </c>
      <c r="W1607">
        <v>3438</v>
      </c>
      <c r="X1607">
        <v>9200</v>
      </c>
      <c r="Z1607" t="str">
        <f t="shared" si="4"/>
        <v/>
      </c>
      <c r="AA1607" t="s">
        <v>2012</v>
      </c>
      <c r="AB1607" t="s">
        <v>2012</v>
      </c>
      <c r="AC1607">
        <v>1707</v>
      </c>
      <c r="AD1607">
        <v>3574</v>
      </c>
      <c r="AE1607">
        <v>1218</v>
      </c>
      <c r="AF1607">
        <v>3353</v>
      </c>
      <c r="AG1607">
        <v>1146</v>
      </c>
      <c r="AH1607">
        <v>3026</v>
      </c>
      <c r="AI1607">
        <v>2202</v>
      </c>
      <c r="AJ1607">
        <v>4373</v>
      </c>
      <c r="AK1607">
        <v>2141</v>
      </c>
      <c r="AL1607">
        <v>5634</v>
      </c>
      <c r="AM1607">
        <v>3438</v>
      </c>
      <c r="AN1607">
        <v>9200</v>
      </c>
    </row>
    <row r="1608" spans="2:40" x14ac:dyDescent="0.35">
      <c r="B1608" s="46" t="s">
        <v>2306</v>
      </c>
      <c r="D1608" t="s">
        <v>1460</v>
      </c>
      <c r="E1608" t="s">
        <v>1937</v>
      </c>
      <c r="F1608" s="46" t="s">
        <v>2246</v>
      </c>
      <c r="G1608" t="s">
        <v>588</v>
      </c>
      <c r="H1608" s="47" t="s">
        <v>2230</v>
      </c>
      <c r="I1608" s="47" t="s">
        <v>2231</v>
      </c>
      <c r="J1608" t="s">
        <v>2247</v>
      </c>
      <c r="K1608">
        <v>55</v>
      </c>
      <c r="L1608">
        <v>106</v>
      </c>
      <c r="M1608" s="24">
        <v>51</v>
      </c>
      <c r="N1608" s="24">
        <v>132</v>
      </c>
      <c r="O1608" s="24">
        <v>56</v>
      </c>
      <c r="P1608" s="24">
        <v>120</v>
      </c>
      <c r="Q1608">
        <v>92</v>
      </c>
      <c r="R1608">
        <v>149</v>
      </c>
      <c r="S1608">
        <v>137</v>
      </c>
      <c r="T1608">
        <v>217</v>
      </c>
      <c r="U1608">
        <v>83</v>
      </c>
      <c r="V1608">
        <v>250</v>
      </c>
      <c r="W1608">
        <v>63</v>
      </c>
      <c r="X1608">
        <v>246</v>
      </c>
      <c r="Z1608" t="str">
        <f t="shared" si="4"/>
        <v/>
      </c>
      <c r="AA1608" t="s">
        <v>2247</v>
      </c>
      <c r="AB1608" t="s">
        <v>2247</v>
      </c>
      <c r="AC1608">
        <v>51</v>
      </c>
      <c r="AD1608">
        <v>132</v>
      </c>
      <c r="AE1608">
        <v>56</v>
      </c>
      <c r="AF1608">
        <v>120</v>
      </c>
      <c r="AG1608">
        <v>92</v>
      </c>
      <c r="AH1608">
        <v>149</v>
      </c>
      <c r="AI1608">
        <v>137</v>
      </c>
      <c r="AJ1608">
        <v>217</v>
      </c>
      <c r="AK1608">
        <v>83</v>
      </c>
      <c r="AL1608">
        <v>250</v>
      </c>
      <c r="AM1608">
        <v>63</v>
      </c>
      <c r="AN1608">
        <v>246</v>
      </c>
    </row>
    <row r="1609" spans="2:40" x14ac:dyDescent="0.35">
      <c r="B1609" s="46" t="s">
        <v>2310</v>
      </c>
      <c r="D1609" t="s">
        <v>1460</v>
      </c>
      <c r="E1609" t="s">
        <v>1937</v>
      </c>
      <c r="F1609" s="46" t="s">
        <v>2290</v>
      </c>
      <c r="G1609" t="s">
        <v>592</v>
      </c>
      <c r="H1609" s="47" t="s">
        <v>2257</v>
      </c>
      <c r="I1609" s="47" t="s">
        <v>2258</v>
      </c>
      <c r="J1609" t="s">
        <v>2291</v>
      </c>
      <c r="K1609">
        <v>82</v>
      </c>
      <c r="L1609">
        <v>162</v>
      </c>
      <c r="M1609" s="24">
        <v>77</v>
      </c>
      <c r="N1609" s="24">
        <v>150</v>
      </c>
      <c r="O1609" s="24">
        <v>89</v>
      </c>
      <c r="P1609" s="24">
        <v>154</v>
      </c>
      <c r="Q1609">
        <v>90</v>
      </c>
      <c r="R1609">
        <v>171</v>
      </c>
      <c r="S1609">
        <v>113</v>
      </c>
      <c r="T1609">
        <v>195</v>
      </c>
      <c r="U1609">
        <v>192</v>
      </c>
      <c r="V1609">
        <v>301</v>
      </c>
      <c r="W1609">
        <v>168</v>
      </c>
      <c r="X1609">
        <v>448</v>
      </c>
      <c r="Z1609" t="str">
        <f t="shared" si="4"/>
        <v/>
      </c>
      <c r="AA1609" t="s">
        <v>2291</v>
      </c>
      <c r="AB1609" t="s">
        <v>2291</v>
      </c>
      <c r="AC1609">
        <v>77</v>
      </c>
      <c r="AD1609">
        <v>150</v>
      </c>
      <c r="AE1609">
        <v>89</v>
      </c>
      <c r="AF1609">
        <v>154</v>
      </c>
      <c r="AG1609">
        <v>90</v>
      </c>
      <c r="AH1609">
        <v>171</v>
      </c>
      <c r="AI1609">
        <v>113</v>
      </c>
      <c r="AJ1609">
        <v>195</v>
      </c>
      <c r="AK1609">
        <v>192</v>
      </c>
      <c r="AL1609">
        <v>301</v>
      </c>
      <c r="AM1609">
        <v>168</v>
      </c>
      <c r="AN1609">
        <v>448</v>
      </c>
    </row>
    <row r="1610" spans="2:40" x14ac:dyDescent="0.35">
      <c r="B1610" s="46" t="s">
        <v>2312</v>
      </c>
      <c r="D1610" t="s">
        <v>1460</v>
      </c>
      <c r="E1610" t="s">
        <v>1937</v>
      </c>
      <c r="F1610" s="46" t="s">
        <v>2322</v>
      </c>
      <c r="G1610" t="s">
        <v>599</v>
      </c>
      <c r="H1610" s="47" t="s">
        <v>2307</v>
      </c>
      <c r="I1610" s="47" t="s">
        <v>2308</v>
      </c>
      <c r="J1610" t="s">
        <v>2323</v>
      </c>
      <c r="K1610">
        <v>199</v>
      </c>
      <c r="L1610">
        <v>349</v>
      </c>
      <c r="M1610" s="24">
        <v>156</v>
      </c>
      <c r="N1610" s="24">
        <v>332</v>
      </c>
      <c r="O1610" s="24">
        <v>142</v>
      </c>
      <c r="P1610" s="24">
        <v>319</v>
      </c>
      <c r="Q1610">
        <v>179</v>
      </c>
      <c r="R1610">
        <v>346</v>
      </c>
      <c r="S1610">
        <v>448</v>
      </c>
      <c r="T1610">
        <v>671</v>
      </c>
      <c r="U1610">
        <v>520</v>
      </c>
      <c r="V1610">
        <v>988</v>
      </c>
      <c r="W1610">
        <v>568</v>
      </c>
      <c r="X1610">
        <v>1451</v>
      </c>
      <c r="Z1610" t="str">
        <f t="shared" ref="Z1610:Z1670" si="5">IF(AA1610=AB1610,"","N")</f>
        <v/>
      </c>
      <c r="AA1610" t="s">
        <v>2323</v>
      </c>
      <c r="AB1610" t="s">
        <v>2323</v>
      </c>
      <c r="AC1610">
        <v>156</v>
      </c>
      <c r="AD1610">
        <v>332</v>
      </c>
      <c r="AE1610">
        <v>142</v>
      </c>
      <c r="AF1610">
        <v>319</v>
      </c>
      <c r="AG1610">
        <v>179</v>
      </c>
      <c r="AH1610">
        <v>346</v>
      </c>
      <c r="AI1610">
        <v>448</v>
      </c>
      <c r="AJ1610">
        <v>671</v>
      </c>
      <c r="AK1610">
        <v>520</v>
      </c>
      <c r="AL1610">
        <v>988</v>
      </c>
      <c r="AM1610">
        <v>568</v>
      </c>
      <c r="AN1610">
        <v>1451</v>
      </c>
    </row>
    <row r="1611" spans="2:40" x14ac:dyDescent="0.35">
      <c r="B1611" s="46" t="s">
        <v>2314</v>
      </c>
      <c r="D1611" t="s">
        <v>1460</v>
      </c>
      <c r="E1611" t="s">
        <v>1937</v>
      </c>
      <c r="F1611" s="46" t="s">
        <v>2220</v>
      </c>
      <c r="G1611" t="s">
        <v>585</v>
      </c>
      <c r="H1611" s="47" t="s">
        <v>2198</v>
      </c>
      <c r="I1611" s="47" t="s">
        <v>2199</v>
      </c>
      <c r="J1611" t="s">
        <v>2221</v>
      </c>
      <c r="K1611">
        <v>155</v>
      </c>
      <c r="L1611">
        <v>327</v>
      </c>
      <c r="M1611" s="24">
        <v>123</v>
      </c>
      <c r="N1611" s="24">
        <v>272</v>
      </c>
      <c r="O1611" s="24">
        <v>165</v>
      </c>
      <c r="P1611" s="24">
        <v>324</v>
      </c>
      <c r="Q1611">
        <v>220</v>
      </c>
      <c r="R1611">
        <v>378</v>
      </c>
      <c r="S1611">
        <v>515</v>
      </c>
      <c r="T1611">
        <v>740</v>
      </c>
      <c r="U1611">
        <v>383</v>
      </c>
      <c r="V1611">
        <v>1038</v>
      </c>
      <c r="W1611">
        <v>736</v>
      </c>
      <c r="X1611">
        <v>1639</v>
      </c>
      <c r="Z1611" t="str">
        <f t="shared" si="5"/>
        <v/>
      </c>
      <c r="AA1611" t="s">
        <v>2221</v>
      </c>
      <c r="AB1611" t="s">
        <v>2221</v>
      </c>
      <c r="AC1611">
        <v>123</v>
      </c>
      <c r="AD1611">
        <v>272</v>
      </c>
      <c r="AE1611">
        <v>165</v>
      </c>
      <c r="AF1611">
        <v>324</v>
      </c>
      <c r="AG1611">
        <v>220</v>
      </c>
      <c r="AH1611">
        <v>378</v>
      </c>
      <c r="AI1611">
        <v>515</v>
      </c>
      <c r="AJ1611">
        <v>740</v>
      </c>
      <c r="AK1611">
        <v>383</v>
      </c>
      <c r="AL1611">
        <v>1038</v>
      </c>
      <c r="AM1611">
        <v>736</v>
      </c>
      <c r="AN1611">
        <v>1639</v>
      </c>
    </row>
    <row r="1612" spans="2:40" x14ac:dyDescent="0.35">
      <c r="B1612" s="46" t="s">
        <v>2316</v>
      </c>
      <c r="D1612" t="s">
        <v>1460</v>
      </c>
      <c r="E1612" t="s">
        <v>1937</v>
      </c>
      <c r="F1612" s="46" t="s">
        <v>2093</v>
      </c>
      <c r="G1612" t="s">
        <v>273</v>
      </c>
      <c r="H1612" s="47" t="s">
        <v>524</v>
      </c>
      <c r="I1612" s="47" t="s">
        <v>2081</v>
      </c>
      <c r="J1612" t="s">
        <v>2094</v>
      </c>
      <c r="K1612">
        <v>146</v>
      </c>
      <c r="L1612">
        <v>234</v>
      </c>
      <c r="M1612" s="24">
        <v>107</v>
      </c>
      <c r="N1612" s="24">
        <v>218</v>
      </c>
      <c r="O1612" s="24">
        <v>98</v>
      </c>
      <c r="P1612" s="24">
        <v>190</v>
      </c>
      <c r="Q1612">
        <v>94</v>
      </c>
      <c r="R1612">
        <v>179</v>
      </c>
      <c r="S1612">
        <v>189</v>
      </c>
      <c r="T1612">
        <v>313</v>
      </c>
      <c r="U1612">
        <v>222</v>
      </c>
      <c r="V1612">
        <v>463</v>
      </c>
      <c r="W1612">
        <v>269</v>
      </c>
      <c r="X1612">
        <v>724</v>
      </c>
      <c r="Z1612" t="str">
        <f t="shared" si="5"/>
        <v/>
      </c>
      <c r="AA1612" t="s">
        <v>2094</v>
      </c>
      <c r="AB1612" t="s">
        <v>2094</v>
      </c>
      <c r="AC1612">
        <v>107</v>
      </c>
      <c r="AD1612">
        <v>218</v>
      </c>
      <c r="AE1612">
        <v>98</v>
      </c>
      <c r="AF1612">
        <v>190</v>
      </c>
      <c r="AG1612">
        <v>94</v>
      </c>
      <c r="AH1612">
        <v>179</v>
      </c>
      <c r="AI1612">
        <v>189</v>
      </c>
      <c r="AJ1612">
        <v>313</v>
      </c>
      <c r="AK1612">
        <v>222</v>
      </c>
      <c r="AL1612">
        <v>463</v>
      </c>
      <c r="AM1612">
        <v>269</v>
      </c>
      <c r="AN1612">
        <v>724</v>
      </c>
    </row>
    <row r="1613" spans="2:40" x14ac:dyDescent="0.35">
      <c r="B1613" s="46" t="s">
        <v>2317</v>
      </c>
      <c r="D1613" t="s">
        <v>1460</v>
      </c>
      <c r="E1613" t="s">
        <v>1937</v>
      </c>
      <c r="F1613" s="46" t="s">
        <v>2013</v>
      </c>
      <c r="G1613" t="s">
        <v>235</v>
      </c>
      <c r="H1613" s="47" t="s">
        <v>419</v>
      </c>
      <c r="I1613" s="47" t="s">
        <v>1971</v>
      </c>
      <c r="J1613" t="s">
        <v>2014</v>
      </c>
      <c r="K1613">
        <v>0</v>
      </c>
      <c r="L1613">
        <v>0</v>
      </c>
      <c r="M1613" s="24" t="s">
        <v>1152</v>
      </c>
      <c r="N1613" s="24">
        <v>12</v>
      </c>
      <c r="O1613" s="24" t="s">
        <v>1152</v>
      </c>
      <c r="P1613" s="24">
        <v>15</v>
      </c>
      <c r="Q1613" t="s">
        <v>1152</v>
      </c>
      <c r="R1613">
        <v>12</v>
      </c>
      <c r="S1613">
        <v>11</v>
      </c>
      <c r="T1613">
        <v>29</v>
      </c>
      <c r="U1613">
        <v>13</v>
      </c>
      <c r="V1613">
        <v>37</v>
      </c>
      <c r="W1613">
        <v>31</v>
      </c>
      <c r="X1613">
        <v>66</v>
      </c>
      <c r="Z1613" t="str">
        <f t="shared" si="5"/>
        <v/>
      </c>
      <c r="AA1613" t="s">
        <v>2014</v>
      </c>
      <c r="AB1613" t="s">
        <v>2014</v>
      </c>
      <c r="AC1613" t="s">
        <v>1152</v>
      </c>
      <c r="AD1613">
        <v>12</v>
      </c>
      <c r="AE1613" t="s">
        <v>1152</v>
      </c>
      <c r="AF1613">
        <v>15</v>
      </c>
      <c r="AG1613" t="s">
        <v>1152</v>
      </c>
      <c r="AH1613">
        <v>12</v>
      </c>
      <c r="AI1613">
        <v>11</v>
      </c>
      <c r="AJ1613">
        <v>29</v>
      </c>
      <c r="AK1613">
        <v>13</v>
      </c>
      <c r="AL1613">
        <v>37</v>
      </c>
      <c r="AM1613">
        <v>31</v>
      </c>
      <c r="AN1613">
        <v>66</v>
      </c>
    </row>
    <row r="1614" spans="2:40" x14ac:dyDescent="0.35">
      <c r="B1614" s="46" t="s">
        <v>2319</v>
      </c>
      <c r="D1614" t="s">
        <v>1460</v>
      </c>
      <c r="E1614" t="s">
        <v>1937</v>
      </c>
      <c r="F1614" s="46" t="s">
        <v>2078</v>
      </c>
      <c r="G1614" t="s">
        <v>265</v>
      </c>
      <c r="H1614" s="47" t="s">
        <v>501</v>
      </c>
      <c r="I1614" s="47" t="s">
        <v>2068</v>
      </c>
      <c r="J1614" t="s">
        <v>1853</v>
      </c>
      <c r="K1614">
        <v>350</v>
      </c>
      <c r="L1614">
        <v>563</v>
      </c>
      <c r="M1614" s="24">
        <v>325</v>
      </c>
      <c r="N1614" s="24">
        <v>537</v>
      </c>
      <c r="O1614" s="24">
        <v>688</v>
      </c>
      <c r="P1614" s="24">
        <v>875</v>
      </c>
      <c r="Q1614">
        <v>304</v>
      </c>
      <c r="R1614">
        <v>668</v>
      </c>
      <c r="S1614">
        <v>361</v>
      </c>
      <c r="T1614">
        <v>622</v>
      </c>
      <c r="U1614">
        <v>545</v>
      </c>
      <c r="V1614">
        <v>946</v>
      </c>
      <c r="W1614">
        <v>920</v>
      </c>
      <c r="X1614">
        <v>1621</v>
      </c>
      <c r="Z1614" t="str">
        <f t="shared" si="5"/>
        <v/>
      </c>
      <c r="AA1614" t="s">
        <v>1853</v>
      </c>
      <c r="AB1614" t="s">
        <v>1853</v>
      </c>
      <c r="AC1614">
        <v>325</v>
      </c>
      <c r="AD1614">
        <v>537</v>
      </c>
      <c r="AE1614">
        <v>688</v>
      </c>
      <c r="AF1614">
        <v>875</v>
      </c>
      <c r="AG1614">
        <v>304</v>
      </c>
      <c r="AH1614">
        <v>668</v>
      </c>
      <c r="AI1614">
        <v>361</v>
      </c>
      <c r="AJ1614">
        <v>622</v>
      </c>
      <c r="AK1614">
        <v>545</v>
      </c>
      <c r="AL1614">
        <v>946</v>
      </c>
      <c r="AM1614">
        <v>920</v>
      </c>
      <c r="AN1614">
        <v>1621</v>
      </c>
    </row>
    <row r="1615" spans="2:40" x14ac:dyDescent="0.35">
      <c r="B1615" s="46" t="s">
        <v>2320</v>
      </c>
      <c r="D1615" t="s">
        <v>1460</v>
      </c>
      <c r="E1615" t="s">
        <v>1937</v>
      </c>
      <c r="F1615" s="46" t="s">
        <v>2109</v>
      </c>
      <c r="G1615" t="s">
        <v>279</v>
      </c>
      <c r="H1615" s="47" t="s">
        <v>1347</v>
      </c>
      <c r="I1615" s="47" t="s">
        <v>2098</v>
      </c>
      <c r="J1615" t="s">
        <v>2110</v>
      </c>
      <c r="K1615">
        <v>1676</v>
      </c>
      <c r="L1615">
        <v>3052</v>
      </c>
      <c r="M1615" s="24">
        <v>1666</v>
      </c>
      <c r="N1615" s="24">
        <v>3160</v>
      </c>
      <c r="O1615" s="24">
        <v>1588</v>
      </c>
      <c r="P1615" s="24">
        <v>3213</v>
      </c>
      <c r="Q1615">
        <v>2041</v>
      </c>
      <c r="R1615">
        <v>3913</v>
      </c>
      <c r="S1615">
        <v>2359</v>
      </c>
      <c r="T1615">
        <v>5166</v>
      </c>
      <c r="U1615">
        <v>2403</v>
      </c>
      <c r="V1615">
        <v>6124</v>
      </c>
      <c r="W1615">
        <v>3044</v>
      </c>
      <c r="X1615">
        <v>8595</v>
      </c>
      <c r="Z1615" t="str">
        <f t="shared" si="5"/>
        <v/>
      </c>
      <c r="AA1615" t="s">
        <v>2110</v>
      </c>
      <c r="AB1615" t="s">
        <v>2110</v>
      </c>
      <c r="AC1615">
        <v>1666</v>
      </c>
      <c r="AD1615">
        <v>3160</v>
      </c>
      <c r="AE1615">
        <v>1588</v>
      </c>
      <c r="AF1615">
        <v>3213</v>
      </c>
      <c r="AG1615">
        <v>2041</v>
      </c>
      <c r="AH1615">
        <v>3913</v>
      </c>
      <c r="AI1615">
        <v>2359</v>
      </c>
      <c r="AJ1615">
        <v>5166</v>
      </c>
      <c r="AK1615">
        <v>2403</v>
      </c>
      <c r="AL1615">
        <v>6124</v>
      </c>
      <c r="AM1615">
        <v>3044</v>
      </c>
      <c r="AN1615">
        <v>8595</v>
      </c>
    </row>
    <row r="1616" spans="2:40" x14ac:dyDescent="0.35">
      <c r="B1616" s="46" t="s">
        <v>2322</v>
      </c>
      <c r="D1616" t="s">
        <v>1460</v>
      </c>
      <c r="E1616" t="s">
        <v>1937</v>
      </c>
      <c r="F1616" s="46" t="s">
        <v>1958</v>
      </c>
      <c r="G1616" t="s">
        <v>231</v>
      </c>
      <c r="H1616" s="47" t="s">
        <v>393</v>
      </c>
      <c r="I1616" s="47" t="s">
        <v>1938</v>
      </c>
      <c r="J1616" t="s">
        <v>1959</v>
      </c>
      <c r="K1616">
        <v>171</v>
      </c>
      <c r="L1616">
        <v>374</v>
      </c>
      <c r="M1616" s="24">
        <v>166</v>
      </c>
      <c r="N1616" s="24">
        <v>376</v>
      </c>
      <c r="O1616" s="24">
        <v>178</v>
      </c>
      <c r="P1616" s="24">
        <v>357</v>
      </c>
      <c r="Q1616">
        <v>215</v>
      </c>
      <c r="R1616">
        <v>395</v>
      </c>
      <c r="S1616">
        <v>302</v>
      </c>
      <c r="T1616">
        <v>557</v>
      </c>
      <c r="U1616">
        <v>228</v>
      </c>
      <c r="V1616">
        <v>690</v>
      </c>
      <c r="W1616">
        <v>249</v>
      </c>
      <c r="X1616">
        <v>1018</v>
      </c>
      <c r="Z1616" t="str">
        <f t="shared" si="5"/>
        <v/>
      </c>
      <c r="AA1616" t="s">
        <v>1959</v>
      </c>
      <c r="AB1616" t="s">
        <v>1959</v>
      </c>
      <c r="AC1616">
        <v>166</v>
      </c>
      <c r="AD1616">
        <v>376</v>
      </c>
      <c r="AE1616">
        <v>178</v>
      </c>
      <c r="AF1616">
        <v>357</v>
      </c>
      <c r="AG1616">
        <v>215</v>
      </c>
      <c r="AH1616">
        <v>395</v>
      </c>
      <c r="AI1616">
        <v>302</v>
      </c>
      <c r="AJ1616">
        <v>557</v>
      </c>
      <c r="AK1616">
        <v>228</v>
      </c>
      <c r="AL1616">
        <v>690</v>
      </c>
      <c r="AM1616">
        <v>249</v>
      </c>
      <c r="AN1616">
        <v>1018</v>
      </c>
    </row>
    <row r="1617" spans="2:40" x14ac:dyDescent="0.35">
      <c r="B1617" s="46" t="s">
        <v>2324</v>
      </c>
      <c r="D1617" t="s">
        <v>1460</v>
      </c>
      <c r="E1617" t="s">
        <v>1937</v>
      </c>
      <c r="F1617" s="46" t="s">
        <v>2158</v>
      </c>
      <c r="G1617" t="s">
        <v>311</v>
      </c>
      <c r="H1617" s="47" t="s">
        <v>2152</v>
      </c>
      <c r="I1617" s="47" t="s">
        <v>2153</v>
      </c>
      <c r="J1617" t="s">
        <v>2159</v>
      </c>
      <c r="K1617">
        <v>1069</v>
      </c>
      <c r="L1617">
        <v>1798</v>
      </c>
      <c r="M1617" s="24">
        <v>986</v>
      </c>
      <c r="N1617" s="24">
        <v>1847</v>
      </c>
      <c r="O1617" s="24">
        <v>1282</v>
      </c>
      <c r="P1617" s="24">
        <v>2051</v>
      </c>
      <c r="Q1617">
        <v>921</v>
      </c>
      <c r="R1617">
        <v>1897</v>
      </c>
      <c r="S1617">
        <v>1473</v>
      </c>
      <c r="T1617">
        <v>2403</v>
      </c>
      <c r="U1617">
        <v>2151</v>
      </c>
      <c r="V1617">
        <v>3528</v>
      </c>
      <c r="W1617">
        <v>3346</v>
      </c>
      <c r="X1617">
        <v>5655</v>
      </c>
      <c r="Z1617" t="str">
        <f t="shared" si="5"/>
        <v/>
      </c>
      <c r="AA1617" t="s">
        <v>2159</v>
      </c>
      <c r="AB1617" t="s">
        <v>2159</v>
      </c>
      <c r="AC1617">
        <v>986</v>
      </c>
      <c r="AD1617">
        <v>1847</v>
      </c>
      <c r="AE1617">
        <v>1282</v>
      </c>
      <c r="AF1617">
        <v>2051</v>
      </c>
      <c r="AG1617">
        <v>921</v>
      </c>
      <c r="AH1617">
        <v>1897</v>
      </c>
      <c r="AI1617">
        <v>1473</v>
      </c>
      <c r="AJ1617">
        <v>2403</v>
      </c>
      <c r="AK1617">
        <v>2151</v>
      </c>
      <c r="AL1617">
        <v>3528</v>
      </c>
      <c r="AM1617">
        <v>3346</v>
      </c>
      <c r="AN1617">
        <v>5655</v>
      </c>
    </row>
    <row r="1618" spans="2:40" x14ac:dyDescent="0.35">
      <c r="B1618" s="46" t="s">
        <v>2326</v>
      </c>
      <c r="D1618" t="s">
        <v>1460</v>
      </c>
      <c r="E1618" t="s">
        <v>1937</v>
      </c>
      <c r="F1618" s="46" t="s">
        <v>2049</v>
      </c>
      <c r="G1618" t="s">
        <v>255</v>
      </c>
      <c r="H1618" s="47" t="s">
        <v>467</v>
      </c>
      <c r="I1618" s="47" t="s">
        <v>2038</v>
      </c>
      <c r="J1618" t="s">
        <v>2050</v>
      </c>
      <c r="K1618">
        <v>217</v>
      </c>
      <c r="L1618">
        <v>376</v>
      </c>
      <c r="M1618" s="24">
        <v>211</v>
      </c>
      <c r="N1618" s="24">
        <v>393</v>
      </c>
      <c r="O1618" s="24">
        <v>228</v>
      </c>
      <c r="P1618" s="24">
        <v>420</v>
      </c>
      <c r="Q1618">
        <v>316</v>
      </c>
      <c r="R1618">
        <v>480</v>
      </c>
      <c r="S1618">
        <v>473</v>
      </c>
      <c r="T1618">
        <v>654</v>
      </c>
      <c r="U1618">
        <v>648</v>
      </c>
      <c r="V1618">
        <v>948</v>
      </c>
      <c r="W1618">
        <v>839</v>
      </c>
      <c r="X1618">
        <v>1353</v>
      </c>
      <c r="Z1618" t="str">
        <f t="shared" si="5"/>
        <v/>
      </c>
      <c r="AA1618" t="s">
        <v>2050</v>
      </c>
      <c r="AB1618" t="s">
        <v>2050</v>
      </c>
      <c r="AC1618">
        <v>211</v>
      </c>
      <c r="AD1618">
        <v>393</v>
      </c>
      <c r="AE1618">
        <v>228</v>
      </c>
      <c r="AF1618">
        <v>420</v>
      </c>
      <c r="AG1618">
        <v>316</v>
      </c>
      <c r="AH1618">
        <v>480</v>
      </c>
      <c r="AI1618">
        <v>473</v>
      </c>
      <c r="AJ1618">
        <v>654</v>
      </c>
      <c r="AK1618">
        <v>648</v>
      </c>
      <c r="AL1618">
        <v>948</v>
      </c>
      <c r="AM1618">
        <v>839</v>
      </c>
      <c r="AN1618">
        <v>1353</v>
      </c>
    </row>
    <row r="1619" spans="2:40" x14ac:dyDescent="0.35">
      <c r="B1619" s="46" t="s">
        <v>2329</v>
      </c>
      <c r="D1619" t="s">
        <v>1460</v>
      </c>
      <c r="E1619" t="s">
        <v>1937</v>
      </c>
      <c r="F1619" s="46" t="s">
        <v>2051</v>
      </c>
      <c r="G1619" t="s">
        <v>255</v>
      </c>
      <c r="H1619" s="47" t="s">
        <v>467</v>
      </c>
      <c r="I1619" s="47" t="s">
        <v>2038</v>
      </c>
      <c r="J1619" t="s">
        <v>2052</v>
      </c>
      <c r="K1619">
        <v>188</v>
      </c>
      <c r="L1619">
        <v>285</v>
      </c>
      <c r="M1619" s="24">
        <v>230</v>
      </c>
      <c r="N1619" s="24">
        <v>339</v>
      </c>
      <c r="O1619" s="24">
        <v>354</v>
      </c>
      <c r="P1619" s="24">
        <v>442</v>
      </c>
      <c r="Q1619">
        <v>428</v>
      </c>
      <c r="R1619">
        <v>539</v>
      </c>
      <c r="S1619">
        <v>634</v>
      </c>
      <c r="T1619">
        <v>749</v>
      </c>
      <c r="U1619">
        <v>821</v>
      </c>
      <c r="V1619">
        <v>992</v>
      </c>
      <c r="W1619">
        <v>907</v>
      </c>
      <c r="X1619">
        <v>1244</v>
      </c>
      <c r="Z1619" t="str">
        <f t="shared" si="5"/>
        <v/>
      </c>
      <c r="AA1619" t="s">
        <v>2052</v>
      </c>
      <c r="AB1619" t="s">
        <v>2052</v>
      </c>
      <c r="AC1619">
        <v>230</v>
      </c>
      <c r="AD1619">
        <v>339</v>
      </c>
      <c r="AE1619">
        <v>354</v>
      </c>
      <c r="AF1619">
        <v>442</v>
      </c>
      <c r="AG1619">
        <v>428</v>
      </c>
      <c r="AH1619">
        <v>539</v>
      </c>
      <c r="AI1619">
        <v>634</v>
      </c>
      <c r="AJ1619">
        <v>749</v>
      </c>
      <c r="AK1619">
        <v>821</v>
      </c>
      <c r="AL1619">
        <v>992</v>
      </c>
      <c r="AM1619">
        <v>907</v>
      </c>
      <c r="AN1619">
        <v>1244</v>
      </c>
    </row>
    <row r="1620" spans="2:40" ht="15" thickBot="1" x14ac:dyDescent="0.4">
      <c r="B1620" s="46" t="s">
        <v>2330</v>
      </c>
      <c r="D1620" t="s">
        <v>1460</v>
      </c>
      <c r="E1620" t="s">
        <v>1937</v>
      </c>
      <c r="F1620" s="46" t="s">
        <v>2053</v>
      </c>
      <c r="G1620" t="s">
        <v>255</v>
      </c>
      <c r="H1620" s="47" t="s">
        <v>467</v>
      </c>
      <c r="I1620" s="47" t="s">
        <v>2038</v>
      </c>
      <c r="J1620" t="s">
        <v>2054</v>
      </c>
      <c r="K1620">
        <v>703</v>
      </c>
      <c r="L1620">
        <v>1091</v>
      </c>
      <c r="M1620" s="24">
        <v>867</v>
      </c>
      <c r="N1620" s="24">
        <v>1312</v>
      </c>
      <c r="O1620" s="24">
        <v>664</v>
      </c>
      <c r="P1620" s="24">
        <v>1221</v>
      </c>
      <c r="Q1620">
        <v>501</v>
      </c>
      <c r="R1620">
        <v>1083</v>
      </c>
      <c r="S1620">
        <v>1078</v>
      </c>
      <c r="T1620">
        <v>1613</v>
      </c>
      <c r="U1620">
        <v>1735</v>
      </c>
      <c r="V1620">
        <v>2527</v>
      </c>
      <c r="W1620">
        <v>2398</v>
      </c>
      <c r="X1620">
        <v>4272</v>
      </c>
      <c r="Z1620" t="str">
        <f t="shared" si="5"/>
        <v/>
      </c>
      <c r="AA1620" t="s">
        <v>2054</v>
      </c>
      <c r="AB1620" t="s">
        <v>2054</v>
      </c>
      <c r="AC1620">
        <v>867</v>
      </c>
      <c r="AD1620">
        <v>1312</v>
      </c>
      <c r="AE1620">
        <v>664</v>
      </c>
      <c r="AF1620">
        <v>1221</v>
      </c>
      <c r="AG1620">
        <v>501</v>
      </c>
      <c r="AH1620">
        <v>1083</v>
      </c>
      <c r="AI1620">
        <v>1078</v>
      </c>
      <c r="AJ1620">
        <v>1613</v>
      </c>
      <c r="AK1620">
        <v>1735</v>
      </c>
      <c r="AL1620">
        <v>2527</v>
      </c>
      <c r="AM1620">
        <v>2398</v>
      </c>
      <c r="AN1620">
        <v>4272</v>
      </c>
    </row>
    <row r="1621" spans="2:40" ht="15" thickBot="1" x14ac:dyDescent="0.4">
      <c r="B1621" s="46" t="s">
        <v>2331</v>
      </c>
      <c r="D1621" s="50" t="s">
        <v>1460</v>
      </c>
      <c r="E1621" t="s">
        <v>1937</v>
      </c>
      <c r="F1621" s="46" t="s">
        <v>2095</v>
      </c>
      <c r="G1621" t="s">
        <v>273</v>
      </c>
      <c r="H1621" s="47" t="s">
        <v>524</v>
      </c>
      <c r="I1621" s="47" t="s">
        <v>2081</v>
      </c>
      <c r="J1621" t="s">
        <v>2096</v>
      </c>
      <c r="K1621">
        <v>1229</v>
      </c>
      <c r="L1621">
        <v>2095</v>
      </c>
      <c r="M1621" s="24">
        <v>1064</v>
      </c>
      <c r="N1621" s="24">
        <v>2044</v>
      </c>
      <c r="O1621" s="24">
        <v>1111</v>
      </c>
      <c r="P1621" s="24">
        <v>2124</v>
      </c>
      <c r="Q1621">
        <v>1226</v>
      </c>
      <c r="R1621">
        <v>2352</v>
      </c>
      <c r="S1621">
        <v>1628</v>
      </c>
      <c r="T1621">
        <v>3079</v>
      </c>
      <c r="U1621">
        <v>1725</v>
      </c>
      <c r="V1621">
        <v>4003</v>
      </c>
      <c r="W1621">
        <v>2337</v>
      </c>
      <c r="X1621">
        <v>6391</v>
      </c>
      <c r="Z1621" t="str">
        <f t="shared" si="5"/>
        <v/>
      </c>
      <c r="AA1621" t="s">
        <v>2096</v>
      </c>
      <c r="AB1621" t="s">
        <v>2096</v>
      </c>
      <c r="AC1621">
        <v>1064</v>
      </c>
      <c r="AD1621">
        <v>2044</v>
      </c>
      <c r="AE1621">
        <v>1111</v>
      </c>
      <c r="AF1621">
        <v>2124</v>
      </c>
      <c r="AG1621">
        <v>1226</v>
      </c>
      <c r="AH1621">
        <v>2352</v>
      </c>
      <c r="AI1621">
        <v>1628</v>
      </c>
      <c r="AJ1621">
        <v>3079</v>
      </c>
      <c r="AK1621">
        <v>1725</v>
      </c>
      <c r="AL1621">
        <v>4003</v>
      </c>
      <c r="AM1621">
        <v>2337</v>
      </c>
      <c r="AN1621">
        <v>6391</v>
      </c>
    </row>
    <row r="1622" spans="2:40" x14ac:dyDescent="0.35">
      <c r="B1622" s="46" t="s">
        <v>2333</v>
      </c>
      <c r="D1622" t="s">
        <v>1460</v>
      </c>
      <c r="E1622" t="s">
        <v>1937</v>
      </c>
      <c r="F1622" s="46" t="s">
        <v>2138</v>
      </c>
      <c r="G1622" t="s">
        <v>293</v>
      </c>
      <c r="H1622" s="47" t="s">
        <v>2128</v>
      </c>
      <c r="I1622" s="47" t="s">
        <v>2129</v>
      </c>
      <c r="J1622" t="s">
        <v>2139</v>
      </c>
      <c r="K1622">
        <v>151</v>
      </c>
      <c r="L1622">
        <v>240</v>
      </c>
      <c r="M1622" s="24">
        <v>120</v>
      </c>
      <c r="N1622" s="24">
        <v>242</v>
      </c>
      <c r="O1622" s="24">
        <v>118</v>
      </c>
      <c r="P1622" s="24">
        <v>223</v>
      </c>
      <c r="Q1622">
        <v>121</v>
      </c>
      <c r="R1622">
        <v>250</v>
      </c>
      <c r="S1622">
        <v>175</v>
      </c>
      <c r="T1622">
        <v>340</v>
      </c>
      <c r="U1622">
        <v>166</v>
      </c>
      <c r="V1622">
        <v>425</v>
      </c>
      <c r="W1622">
        <v>197</v>
      </c>
      <c r="X1622">
        <v>646</v>
      </c>
      <c r="Z1622" t="str">
        <f t="shared" si="5"/>
        <v/>
      </c>
      <c r="AA1622" t="s">
        <v>2139</v>
      </c>
      <c r="AB1622" t="s">
        <v>2139</v>
      </c>
      <c r="AC1622">
        <v>120</v>
      </c>
      <c r="AD1622">
        <v>242</v>
      </c>
      <c r="AE1622">
        <v>118</v>
      </c>
      <c r="AF1622">
        <v>223</v>
      </c>
      <c r="AG1622">
        <v>121</v>
      </c>
      <c r="AH1622">
        <v>250</v>
      </c>
      <c r="AI1622">
        <v>175</v>
      </c>
      <c r="AJ1622">
        <v>340</v>
      </c>
      <c r="AK1622">
        <v>166</v>
      </c>
      <c r="AL1622">
        <v>425</v>
      </c>
      <c r="AM1622">
        <v>197</v>
      </c>
      <c r="AN1622">
        <v>646</v>
      </c>
    </row>
    <row r="1623" spans="2:40" x14ac:dyDescent="0.35">
      <c r="B1623" s="46" t="s">
        <v>2334</v>
      </c>
      <c r="D1623" t="s">
        <v>1460</v>
      </c>
      <c r="E1623" t="s">
        <v>1937</v>
      </c>
      <c r="F1623" s="46" t="s">
        <v>2248</v>
      </c>
      <c r="G1623" t="s">
        <v>588</v>
      </c>
      <c r="H1623" s="47" t="s">
        <v>2230</v>
      </c>
      <c r="I1623" s="47" t="s">
        <v>2231</v>
      </c>
      <c r="J1623" t="s">
        <v>2249</v>
      </c>
      <c r="K1623">
        <v>60</v>
      </c>
      <c r="L1623">
        <v>77</v>
      </c>
      <c r="M1623" s="24">
        <v>49</v>
      </c>
      <c r="N1623" s="24">
        <v>73</v>
      </c>
      <c r="O1623" s="24">
        <v>44</v>
      </c>
      <c r="P1623" s="24">
        <v>77</v>
      </c>
      <c r="Q1623">
        <v>50</v>
      </c>
      <c r="R1623">
        <v>82</v>
      </c>
      <c r="S1623">
        <v>78</v>
      </c>
      <c r="T1623">
        <v>114</v>
      </c>
      <c r="U1623">
        <v>77</v>
      </c>
      <c r="V1623">
        <v>145</v>
      </c>
      <c r="W1623">
        <v>111</v>
      </c>
      <c r="X1623">
        <v>198</v>
      </c>
      <c r="Z1623" t="str">
        <f t="shared" si="5"/>
        <v/>
      </c>
      <c r="AA1623" t="s">
        <v>2249</v>
      </c>
      <c r="AB1623" t="s">
        <v>2249</v>
      </c>
      <c r="AC1623">
        <v>49</v>
      </c>
      <c r="AD1623">
        <v>73</v>
      </c>
      <c r="AE1623">
        <v>44</v>
      </c>
      <c r="AF1623">
        <v>77</v>
      </c>
      <c r="AG1623">
        <v>50</v>
      </c>
      <c r="AH1623">
        <v>82</v>
      </c>
      <c r="AI1623">
        <v>78</v>
      </c>
      <c r="AJ1623">
        <v>114</v>
      </c>
      <c r="AK1623">
        <v>77</v>
      </c>
      <c r="AL1623">
        <v>145</v>
      </c>
      <c r="AM1623">
        <v>111</v>
      </c>
      <c r="AN1623">
        <v>198</v>
      </c>
    </row>
    <row r="1624" spans="2:40" x14ac:dyDescent="0.35">
      <c r="B1624" s="46" t="s">
        <v>2336</v>
      </c>
      <c r="D1624" t="s">
        <v>1460</v>
      </c>
      <c r="E1624" t="s">
        <v>1937</v>
      </c>
      <c r="F1624" s="46" t="s">
        <v>1960</v>
      </c>
      <c r="G1624" t="s">
        <v>231</v>
      </c>
      <c r="H1624" s="47" t="s">
        <v>393</v>
      </c>
      <c r="I1624" s="47" t="s">
        <v>1938</v>
      </c>
      <c r="J1624" t="s">
        <v>1961</v>
      </c>
      <c r="K1624">
        <v>211</v>
      </c>
      <c r="L1624">
        <v>413</v>
      </c>
      <c r="M1624" s="24">
        <v>167</v>
      </c>
      <c r="N1624" s="24">
        <v>390</v>
      </c>
      <c r="O1624" s="24">
        <v>209</v>
      </c>
      <c r="P1624" s="24">
        <v>412</v>
      </c>
      <c r="Q1624">
        <v>254</v>
      </c>
      <c r="R1624">
        <v>481</v>
      </c>
      <c r="S1624">
        <v>351</v>
      </c>
      <c r="T1624">
        <v>579</v>
      </c>
      <c r="U1624">
        <v>300</v>
      </c>
      <c r="V1624">
        <v>840</v>
      </c>
      <c r="W1624">
        <v>325</v>
      </c>
      <c r="X1624">
        <v>1299</v>
      </c>
      <c r="Z1624" t="str">
        <f t="shared" si="5"/>
        <v/>
      </c>
      <c r="AA1624" t="s">
        <v>1961</v>
      </c>
      <c r="AB1624" t="s">
        <v>1961</v>
      </c>
      <c r="AC1624">
        <v>167</v>
      </c>
      <c r="AD1624">
        <v>390</v>
      </c>
      <c r="AE1624">
        <v>209</v>
      </c>
      <c r="AF1624">
        <v>412</v>
      </c>
      <c r="AG1624">
        <v>254</v>
      </c>
      <c r="AH1624">
        <v>481</v>
      </c>
      <c r="AI1624">
        <v>351</v>
      </c>
      <c r="AJ1624">
        <v>579</v>
      </c>
      <c r="AK1624">
        <v>300</v>
      </c>
      <c r="AL1624">
        <v>840</v>
      </c>
      <c r="AM1624">
        <v>325</v>
      </c>
      <c r="AN1624">
        <v>1299</v>
      </c>
    </row>
    <row r="1625" spans="2:40" x14ac:dyDescent="0.35">
      <c r="B1625" s="46" t="s">
        <v>2338</v>
      </c>
      <c r="D1625" t="s">
        <v>1460</v>
      </c>
      <c r="E1625" t="s">
        <v>1937</v>
      </c>
      <c r="F1625" s="46" t="s">
        <v>1962</v>
      </c>
      <c r="G1625" t="s">
        <v>231</v>
      </c>
      <c r="H1625" s="47" t="s">
        <v>393</v>
      </c>
      <c r="I1625" s="47" t="s">
        <v>1938</v>
      </c>
      <c r="J1625" t="s">
        <v>1963</v>
      </c>
      <c r="K1625">
        <v>68</v>
      </c>
      <c r="L1625">
        <v>142</v>
      </c>
      <c r="M1625" s="24">
        <v>69</v>
      </c>
      <c r="N1625" s="24">
        <v>140</v>
      </c>
      <c r="O1625" s="24">
        <v>58</v>
      </c>
      <c r="P1625" s="24">
        <v>141</v>
      </c>
      <c r="Q1625">
        <v>83</v>
      </c>
      <c r="R1625">
        <v>147</v>
      </c>
      <c r="S1625">
        <v>219</v>
      </c>
      <c r="T1625">
        <v>302</v>
      </c>
      <c r="U1625">
        <v>202</v>
      </c>
      <c r="V1625">
        <v>394</v>
      </c>
      <c r="W1625">
        <v>187</v>
      </c>
      <c r="X1625">
        <v>457</v>
      </c>
      <c r="Z1625" t="str">
        <f t="shared" si="5"/>
        <v/>
      </c>
      <c r="AA1625" t="s">
        <v>1963</v>
      </c>
      <c r="AB1625" t="s">
        <v>1963</v>
      </c>
      <c r="AC1625">
        <v>69</v>
      </c>
      <c r="AD1625">
        <v>140</v>
      </c>
      <c r="AE1625">
        <v>58</v>
      </c>
      <c r="AF1625">
        <v>141</v>
      </c>
      <c r="AG1625">
        <v>83</v>
      </c>
      <c r="AH1625">
        <v>147</v>
      </c>
      <c r="AI1625">
        <v>219</v>
      </c>
      <c r="AJ1625">
        <v>302</v>
      </c>
      <c r="AK1625">
        <v>202</v>
      </c>
      <c r="AL1625">
        <v>394</v>
      </c>
      <c r="AM1625">
        <v>187</v>
      </c>
      <c r="AN1625">
        <v>457</v>
      </c>
    </row>
    <row r="1626" spans="2:40" x14ac:dyDescent="0.35">
      <c r="B1626" s="46" t="s">
        <v>2341</v>
      </c>
      <c r="D1626" t="s">
        <v>1460</v>
      </c>
      <c r="E1626" t="s">
        <v>1937</v>
      </c>
      <c r="F1626" s="46" t="s">
        <v>2055</v>
      </c>
      <c r="G1626" t="s">
        <v>255</v>
      </c>
      <c r="H1626" s="47" t="s">
        <v>467</v>
      </c>
      <c r="I1626" s="47" t="s">
        <v>2038</v>
      </c>
      <c r="J1626" t="s">
        <v>249</v>
      </c>
      <c r="K1626">
        <v>554</v>
      </c>
      <c r="L1626">
        <v>866</v>
      </c>
      <c r="M1626" s="24">
        <v>567</v>
      </c>
      <c r="N1626" s="24">
        <v>913</v>
      </c>
      <c r="O1626" s="24">
        <v>650</v>
      </c>
      <c r="P1626" s="24">
        <v>959</v>
      </c>
      <c r="Q1626">
        <v>833</v>
      </c>
      <c r="R1626">
        <v>1143</v>
      </c>
      <c r="S1626">
        <v>1068</v>
      </c>
      <c r="T1626">
        <v>1464</v>
      </c>
      <c r="U1626">
        <v>1248</v>
      </c>
      <c r="V1626">
        <v>1845</v>
      </c>
      <c r="W1626">
        <v>1684</v>
      </c>
      <c r="X1626">
        <v>2661</v>
      </c>
      <c r="Z1626" t="str">
        <f t="shared" si="5"/>
        <v/>
      </c>
      <c r="AA1626" t="s">
        <v>249</v>
      </c>
      <c r="AB1626" t="s">
        <v>249</v>
      </c>
      <c r="AC1626">
        <v>567</v>
      </c>
      <c r="AD1626">
        <v>913</v>
      </c>
      <c r="AE1626">
        <v>650</v>
      </c>
      <c r="AF1626">
        <v>959</v>
      </c>
      <c r="AG1626">
        <v>833</v>
      </c>
      <c r="AH1626">
        <v>1143</v>
      </c>
      <c r="AI1626">
        <v>1068</v>
      </c>
      <c r="AJ1626">
        <v>1464</v>
      </c>
      <c r="AK1626">
        <v>1248</v>
      </c>
      <c r="AL1626">
        <v>1845</v>
      </c>
      <c r="AM1626">
        <v>1684</v>
      </c>
      <c r="AN1626">
        <v>2661</v>
      </c>
    </row>
    <row r="1627" spans="2:40" x14ac:dyDescent="0.35">
      <c r="B1627" s="46" t="s">
        <v>2343</v>
      </c>
      <c r="D1627" t="s">
        <v>1460</v>
      </c>
      <c r="E1627" t="s">
        <v>1937</v>
      </c>
      <c r="F1627" s="46" t="s">
        <v>2015</v>
      </c>
      <c r="G1627" t="s">
        <v>235</v>
      </c>
      <c r="H1627" s="47" t="s">
        <v>419</v>
      </c>
      <c r="I1627" s="47" t="s">
        <v>1971</v>
      </c>
      <c r="J1627" t="s">
        <v>2016</v>
      </c>
      <c r="K1627">
        <v>59</v>
      </c>
      <c r="L1627">
        <v>0</v>
      </c>
      <c r="M1627" s="24">
        <v>35</v>
      </c>
      <c r="N1627" s="24">
        <v>100</v>
      </c>
      <c r="O1627" s="24">
        <v>42</v>
      </c>
      <c r="P1627" s="24">
        <v>96</v>
      </c>
      <c r="Q1627">
        <v>44</v>
      </c>
      <c r="R1627">
        <v>96</v>
      </c>
      <c r="S1627">
        <v>62</v>
      </c>
      <c r="T1627">
        <v>113</v>
      </c>
      <c r="U1627">
        <v>50</v>
      </c>
      <c r="V1627">
        <v>144</v>
      </c>
      <c r="W1627">
        <v>702</v>
      </c>
      <c r="X1627">
        <v>861</v>
      </c>
      <c r="Z1627" t="str">
        <f t="shared" si="5"/>
        <v/>
      </c>
      <c r="AA1627" t="s">
        <v>2016</v>
      </c>
      <c r="AB1627" t="s">
        <v>2016</v>
      </c>
      <c r="AC1627">
        <v>35</v>
      </c>
      <c r="AD1627">
        <v>100</v>
      </c>
      <c r="AE1627">
        <v>42</v>
      </c>
      <c r="AF1627">
        <v>96</v>
      </c>
      <c r="AG1627">
        <v>44</v>
      </c>
      <c r="AH1627">
        <v>96</v>
      </c>
      <c r="AI1627">
        <v>62</v>
      </c>
      <c r="AJ1627">
        <v>113</v>
      </c>
      <c r="AK1627">
        <v>50</v>
      </c>
      <c r="AL1627">
        <v>144</v>
      </c>
      <c r="AM1627">
        <v>702</v>
      </c>
      <c r="AN1627">
        <v>861</v>
      </c>
    </row>
    <row r="1628" spans="2:40" x14ac:dyDescent="0.35">
      <c r="B1628" s="46" t="s">
        <v>2345</v>
      </c>
      <c r="D1628" t="s">
        <v>1460</v>
      </c>
      <c r="E1628" t="s">
        <v>1937</v>
      </c>
      <c r="F1628" s="46" t="s">
        <v>2333</v>
      </c>
      <c r="G1628" t="s">
        <v>603</v>
      </c>
      <c r="H1628" s="47" t="s">
        <v>2327</v>
      </c>
      <c r="I1628" s="47" t="s">
        <v>2328</v>
      </c>
      <c r="J1628" t="s">
        <v>1319</v>
      </c>
      <c r="K1628">
        <v>4900</v>
      </c>
      <c r="L1628">
        <v>9580</v>
      </c>
      <c r="M1628" s="24">
        <v>4308</v>
      </c>
      <c r="N1628" s="24">
        <v>9368</v>
      </c>
      <c r="O1628" s="24">
        <v>4143</v>
      </c>
      <c r="P1628" s="24">
        <v>9092</v>
      </c>
      <c r="Q1628">
        <v>4436</v>
      </c>
      <c r="R1628">
        <v>9824</v>
      </c>
      <c r="S1628">
        <v>7637</v>
      </c>
      <c r="T1628">
        <v>13657</v>
      </c>
      <c r="U1628">
        <v>9215</v>
      </c>
      <c r="V1628">
        <v>17725</v>
      </c>
      <c r="W1628">
        <v>9836</v>
      </c>
      <c r="X1628">
        <v>25619</v>
      </c>
      <c r="Z1628" t="str">
        <f t="shared" si="5"/>
        <v/>
      </c>
      <c r="AA1628" t="s">
        <v>1319</v>
      </c>
      <c r="AB1628" t="s">
        <v>1319</v>
      </c>
      <c r="AC1628">
        <v>4308</v>
      </c>
      <c r="AD1628">
        <v>9368</v>
      </c>
      <c r="AE1628">
        <v>4143</v>
      </c>
      <c r="AF1628">
        <v>9092</v>
      </c>
      <c r="AG1628">
        <v>4436</v>
      </c>
      <c r="AH1628">
        <v>9824</v>
      </c>
      <c r="AI1628">
        <v>7637</v>
      </c>
      <c r="AJ1628">
        <v>13657</v>
      </c>
      <c r="AK1628">
        <v>9215</v>
      </c>
      <c r="AL1628">
        <v>17725</v>
      </c>
      <c r="AM1628">
        <v>9836</v>
      </c>
      <c r="AN1628">
        <v>25619</v>
      </c>
    </row>
    <row r="1629" spans="2:40" x14ac:dyDescent="0.35">
      <c r="B1629" s="46" t="s">
        <v>2346</v>
      </c>
      <c r="D1629" t="s">
        <v>1460</v>
      </c>
      <c r="E1629" t="s">
        <v>1937</v>
      </c>
      <c r="F1629" s="46" t="s">
        <v>2403</v>
      </c>
      <c r="G1629" t="s">
        <v>619</v>
      </c>
      <c r="H1629" s="47" t="s">
        <v>2391</v>
      </c>
      <c r="I1629" s="47" t="s">
        <v>2392</v>
      </c>
      <c r="J1629" t="s">
        <v>2404</v>
      </c>
      <c r="K1629">
        <v>196</v>
      </c>
      <c r="L1629">
        <v>375</v>
      </c>
      <c r="M1629" s="24">
        <v>200</v>
      </c>
      <c r="N1629" s="24">
        <v>396</v>
      </c>
      <c r="O1629" s="24">
        <v>242</v>
      </c>
      <c r="P1629" s="24">
        <v>439</v>
      </c>
      <c r="Q1629">
        <v>200</v>
      </c>
      <c r="R1629">
        <v>420</v>
      </c>
      <c r="S1629">
        <v>294</v>
      </c>
      <c r="T1629">
        <v>552</v>
      </c>
      <c r="U1629">
        <v>195</v>
      </c>
      <c r="V1629">
        <v>612</v>
      </c>
      <c r="W1629">
        <v>179</v>
      </c>
      <c r="X1629">
        <v>841</v>
      </c>
      <c r="Z1629" t="str">
        <f t="shared" si="5"/>
        <v/>
      </c>
      <c r="AA1629" t="s">
        <v>2404</v>
      </c>
      <c r="AB1629" t="s">
        <v>2404</v>
      </c>
      <c r="AC1629">
        <v>200</v>
      </c>
      <c r="AD1629">
        <v>396</v>
      </c>
      <c r="AE1629">
        <v>242</v>
      </c>
      <c r="AF1629">
        <v>439</v>
      </c>
      <c r="AG1629">
        <v>200</v>
      </c>
      <c r="AH1629">
        <v>420</v>
      </c>
      <c r="AI1629">
        <v>294</v>
      </c>
      <c r="AJ1629">
        <v>552</v>
      </c>
      <c r="AK1629">
        <v>195</v>
      </c>
      <c r="AL1629">
        <v>612</v>
      </c>
      <c r="AM1629">
        <v>179</v>
      </c>
      <c r="AN1629">
        <v>841</v>
      </c>
    </row>
    <row r="1630" spans="2:40" x14ac:dyDescent="0.35">
      <c r="B1630" s="46" t="s">
        <v>2348</v>
      </c>
      <c r="D1630" t="s">
        <v>1460</v>
      </c>
      <c r="E1630" t="s">
        <v>1937</v>
      </c>
      <c r="F1630" s="46" t="s">
        <v>2195</v>
      </c>
      <c r="G1630" t="s">
        <v>581</v>
      </c>
      <c r="H1630" s="47" t="s">
        <v>2191</v>
      </c>
      <c r="I1630" s="47" t="s">
        <v>2192</v>
      </c>
      <c r="J1630" t="s">
        <v>2196</v>
      </c>
      <c r="K1630">
        <v>2683</v>
      </c>
      <c r="L1630">
        <v>3186</v>
      </c>
      <c r="M1630" s="24">
        <v>2913</v>
      </c>
      <c r="N1630" s="24">
        <v>3350</v>
      </c>
      <c r="O1630" s="24">
        <v>3557</v>
      </c>
      <c r="P1630" s="24">
        <v>4155</v>
      </c>
      <c r="Q1630">
        <v>4456</v>
      </c>
      <c r="R1630">
        <v>5608</v>
      </c>
      <c r="S1630">
        <v>10637</v>
      </c>
      <c r="T1630">
        <v>11424</v>
      </c>
      <c r="U1630">
        <v>11746</v>
      </c>
      <c r="V1630">
        <v>13976</v>
      </c>
      <c r="W1630">
        <v>13441</v>
      </c>
      <c r="X1630">
        <v>17800</v>
      </c>
      <c r="Z1630" t="str">
        <f t="shared" si="5"/>
        <v/>
      </c>
      <c r="AA1630" t="s">
        <v>2196</v>
      </c>
      <c r="AB1630" t="s">
        <v>2196</v>
      </c>
      <c r="AC1630">
        <v>2913</v>
      </c>
      <c r="AD1630">
        <v>3350</v>
      </c>
      <c r="AE1630">
        <v>3557</v>
      </c>
      <c r="AF1630">
        <v>4155</v>
      </c>
      <c r="AG1630">
        <v>4456</v>
      </c>
      <c r="AH1630">
        <v>5608</v>
      </c>
      <c r="AI1630">
        <v>10637</v>
      </c>
      <c r="AJ1630">
        <v>11424</v>
      </c>
      <c r="AK1630">
        <v>11746</v>
      </c>
      <c r="AL1630">
        <v>13976</v>
      </c>
      <c r="AM1630">
        <v>13441</v>
      </c>
      <c r="AN1630">
        <v>17800</v>
      </c>
    </row>
    <row r="1631" spans="2:40" x14ac:dyDescent="0.35">
      <c r="B1631" s="46" t="s">
        <v>2350</v>
      </c>
      <c r="D1631" t="s">
        <v>1460</v>
      </c>
      <c r="E1631" t="s">
        <v>1937</v>
      </c>
      <c r="F1631" s="46" t="s">
        <v>1964</v>
      </c>
      <c r="G1631" t="s">
        <v>231</v>
      </c>
      <c r="H1631" s="47" t="s">
        <v>393</v>
      </c>
      <c r="I1631" s="47" t="s">
        <v>1938</v>
      </c>
      <c r="J1631" t="s">
        <v>949</v>
      </c>
      <c r="K1631">
        <v>205</v>
      </c>
      <c r="L1631">
        <v>376</v>
      </c>
      <c r="M1631" s="24">
        <v>160</v>
      </c>
      <c r="N1631" s="24">
        <v>358</v>
      </c>
      <c r="O1631" s="24">
        <v>166</v>
      </c>
      <c r="P1631" s="24">
        <v>340</v>
      </c>
      <c r="Q1631">
        <v>223</v>
      </c>
      <c r="R1631">
        <v>378</v>
      </c>
      <c r="S1631">
        <v>318</v>
      </c>
      <c r="T1631">
        <v>529</v>
      </c>
      <c r="U1631">
        <v>228</v>
      </c>
      <c r="V1631">
        <v>624</v>
      </c>
      <c r="W1631">
        <v>308</v>
      </c>
      <c r="X1631">
        <v>927</v>
      </c>
      <c r="Z1631" t="str">
        <f t="shared" si="5"/>
        <v/>
      </c>
      <c r="AA1631" t="s">
        <v>949</v>
      </c>
      <c r="AB1631" t="s">
        <v>949</v>
      </c>
      <c r="AC1631">
        <v>160</v>
      </c>
      <c r="AD1631">
        <v>358</v>
      </c>
      <c r="AE1631">
        <v>166</v>
      </c>
      <c r="AF1631">
        <v>340</v>
      </c>
      <c r="AG1631">
        <v>223</v>
      </c>
      <c r="AH1631">
        <v>378</v>
      </c>
      <c r="AI1631">
        <v>318</v>
      </c>
      <c r="AJ1631">
        <v>529</v>
      </c>
      <c r="AK1631">
        <v>228</v>
      </c>
      <c r="AL1631">
        <v>624</v>
      </c>
      <c r="AM1631">
        <v>308</v>
      </c>
      <c r="AN1631">
        <v>927</v>
      </c>
    </row>
    <row r="1632" spans="2:40" x14ac:dyDescent="0.35">
      <c r="B1632" s="46" t="s">
        <v>2352</v>
      </c>
      <c r="D1632" t="s">
        <v>1460</v>
      </c>
      <c r="E1632" t="s">
        <v>1937</v>
      </c>
      <c r="F1632" s="46" t="s">
        <v>2250</v>
      </c>
      <c r="G1632" t="s">
        <v>588</v>
      </c>
      <c r="H1632" s="47" t="s">
        <v>2230</v>
      </c>
      <c r="I1632" s="47" t="s">
        <v>2231</v>
      </c>
      <c r="J1632" t="s">
        <v>2251</v>
      </c>
      <c r="K1632">
        <v>30</v>
      </c>
      <c r="L1632">
        <v>57</v>
      </c>
      <c r="M1632" s="24">
        <v>28</v>
      </c>
      <c r="N1632" s="24">
        <v>56</v>
      </c>
      <c r="O1632" s="24">
        <v>31</v>
      </c>
      <c r="P1632" s="24">
        <v>57</v>
      </c>
      <c r="Q1632">
        <v>50</v>
      </c>
      <c r="R1632">
        <v>77</v>
      </c>
      <c r="S1632">
        <v>55</v>
      </c>
      <c r="T1632">
        <v>86</v>
      </c>
      <c r="U1632">
        <v>65</v>
      </c>
      <c r="V1632">
        <v>116</v>
      </c>
      <c r="W1632">
        <v>166</v>
      </c>
      <c r="X1632">
        <v>242</v>
      </c>
      <c r="Z1632" t="str">
        <f t="shared" si="5"/>
        <v/>
      </c>
      <c r="AA1632" t="s">
        <v>2251</v>
      </c>
      <c r="AB1632" t="s">
        <v>2251</v>
      </c>
      <c r="AC1632">
        <v>28</v>
      </c>
      <c r="AD1632">
        <v>56</v>
      </c>
      <c r="AE1632">
        <v>31</v>
      </c>
      <c r="AF1632">
        <v>57</v>
      </c>
      <c r="AG1632">
        <v>50</v>
      </c>
      <c r="AH1632">
        <v>77</v>
      </c>
      <c r="AI1632">
        <v>55</v>
      </c>
      <c r="AJ1632">
        <v>86</v>
      </c>
      <c r="AK1632">
        <v>65</v>
      </c>
      <c r="AL1632">
        <v>116</v>
      </c>
      <c r="AM1632">
        <v>166</v>
      </c>
      <c r="AN1632">
        <v>242</v>
      </c>
    </row>
    <row r="1633" spans="2:40" x14ac:dyDescent="0.35">
      <c r="B1633" s="46" t="s">
        <v>2356</v>
      </c>
      <c r="D1633" t="s">
        <v>1460</v>
      </c>
      <c r="E1633" t="s">
        <v>1937</v>
      </c>
      <c r="F1633" s="46" t="s">
        <v>1965</v>
      </c>
      <c r="G1633" t="s">
        <v>231</v>
      </c>
      <c r="H1633" s="47" t="s">
        <v>393</v>
      </c>
      <c r="I1633" s="47" t="s">
        <v>1938</v>
      </c>
      <c r="J1633" t="s">
        <v>1966</v>
      </c>
      <c r="K1633">
        <v>28</v>
      </c>
      <c r="L1633">
        <v>55</v>
      </c>
      <c r="M1633" s="24">
        <v>22</v>
      </c>
      <c r="N1633" s="24">
        <v>53</v>
      </c>
      <c r="O1633" s="24">
        <v>26</v>
      </c>
      <c r="P1633" s="24">
        <v>54</v>
      </c>
      <c r="Q1633">
        <v>17</v>
      </c>
      <c r="R1633">
        <v>52</v>
      </c>
      <c r="S1633">
        <v>23</v>
      </c>
      <c r="T1633">
        <v>54</v>
      </c>
      <c r="U1633">
        <v>26</v>
      </c>
      <c r="V1633">
        <v>59</v>
      </c>
      <c r="W1633">
        <v>18</v>
      </c>
      <c r="X1633">
        <v>110</v>
      </c>
      <c r="Z1633" t="str">
        <f t="shared" si="5"/>
        <v/>
      </c>
      <c r="AA1633" t="s">
        <v>1966</v>
      </c>
      <c r="AB1633" t="s">
        <v>1966</v>
      </c>
      <c r="AC1633">
        <v>22</v>
      </c>
      <c r="AD1633">
        <v>53</v>
      </c>
      <c r="AE1633">
        <v>26</v>
      </c>
      <c r="AF1633">
        <v>54</v>
      </c>
      <c r="AG1633">
        <v>17</v>
      </c>
      <c r="AH1633">
        <v>52</v>
      </c>
      <c r="AI1633">
        <v>23</v>
      </c>
      <c r="AJ1633">
        <v>54</v>
      </c>
      <c r="AK1633">
        <v>26</v>
      </c>
      <c r="AL1633">
        <v>59</v>
      </c>
      <c r="AM1633">
        <v>18</v>
      </c>
      <c r="AN1633">
        <v>110</v>
      </c>
    </row>
    <row r="1634" spans="2:40" x14ac:dyDescent="0.35">
      <c r="B1634" s="46" t="s">
        <v>2358</v>
      </c>
      <c r="D1634" t="s">
        <v>1460</v>
      </c>
      <c r="E1634" t="s">
        <v>1937</v>
      </c>
      <c r="F1634" s="46" t="s">
        <v>2252</v>
      </c>
      <c r="G1634" t="s">
        <v>588</v>
      </c>
      <c r="H1634" s="47" t="s">
        <v>2230</v>
      </c>
      <c r="I1634" s="47" t="s">
        <v>2231</v>
      </c>
      <c r="J1634" t="s">
        <v>2253</v>
      </c>
      <c r="K1634">
        <v>105</v>
      </c>
      <c r="L1634">
        <v>168</v>
      </c>
      <c r="M1634" s="24">
        <v>86</v>
      </c>
      <c r="N1634" s="24">
        <v>149</v>
      </c>
      <c r="O1634" s="24">
        <v>85</v>
      </c>
      <c r="P1634" s="24">
        <v>149</v>
      </c>
      <c r="Q1634">
        <v>70</v>
      </c>
      <c r="R1634">
        <v>147</v>
      </c>
      <c r="S1634">
        <v>107</v>
      </c>
      <c r="T1634">
        <v>207</v>
      </c>
      <c r="U1634">
        <v>104</v>
      </c>
      <c r="V1634">
        <v>258</v>
      </c>
      <c r="W1634">
        <v>143</v>
      </c>
      <c r="X1634">
        <v>346</v>
      </c>
      <c r="Z1634" t="str">
        <f t="shared" si="5"/>
        <v/>
      </c>
      <c r="AA1634" t="s">
        <v>2253</v>
      </c>
      <c r="AB1634" t="s">
        <v>2253</v>
      </c>
      <c r="AC1634">
        <v>86</v>
      </c>
      <c r="AD1634">
        <v>149</v>
      </c>
      <c r="AE1634">
        <v>85</v>
      </c>
      <c r="AF1634">
        <v>149</v>
      </c>
      <c r="AG1634">
        <v>70</v>
      </c>
      <c r="AH1634">
        <v>147</v>
      </c>
      <c r="AI1634">
        <v>107</v>
      </c>
      <c r="AJ1634">
        <v>207</v>
      </c>
      <c r="AK1634">
        <v>104</v>
      </c>
      <c r="AL1634">
        <v>258</v>
      </c>
      <c r="AM1634">
        <v>143</v>
      </c>
      <c r="AN1634">
        <v>346</v>
      </c>
    </row>
    <row r="1635" spans="2:40" x14ac:dyDescent="0.35">
      <c r="B1635" s="46" t="s">
        <v>2360</v>
      </c>
      <c r="D1635" t="s">
        <v>1460</v>
      </c>
      <c r="E1635" t="s">
        <v>1937</v>
      </c>
      <c r="F1635" s="46" t="s">
        <v>2017</v>
      </c>
      <c r="G1635" t="s">
        <v>235</v>
      </c>
      <c r="H1635" s="47" t="s">
        <v>419</v>
      </c>
      <c r="I1635" s="47" t="s">
        <v>1971</v>
      </c>
      <c r="J1635" t="s">
        <v>2018</v>
      </c>
      <c r="K1635">
        <v>176</v>
      </c>
      <c r="L1635">
        <v>0</v>
      </c>
      <c r="M1635" s="24">
        <v>165</v>
      </c>
      <c r="N1635" s="24">
        <v>272</v>
      </c>
      <c r="O1635" s="24">
        <v>153</v>
      </c>
      <c r="P1635" s="24">
        <v>326</v>
      </c>
      <c r="Q1635">
        <v>209</v>
      </c>
      <c r="R1635">
        <v>383</v>
      </c>
      <c r="S1635">
        <v>313</v>
      </c>
      <c r="T1635">
        <v>520</v>
      </c>
      <c r="U1635">
        <v>342</v>
      </c>
      <c r="V1635">
        <v>666</v>
      </c>
      <c r="W1635">
        <v>428</v>
      </c>
      <c r="X1635">
        <v>843</v>
      </c>
      <c r="Z1635" t="str">
        <f t="shared" si="5"/>
        <v/>
      </c>
      <c r="AA1635" t="s">
        <v>2018</v>
      </c>
      <c r="AB1635" t="s">
        <v>2018</v>
      </c>
      <c r="AC1635">
        <v>165</v>
      </c>
      <c r="AD1635">
        <v>272</v>
      </c>
      <c r="AE1635">
        <v>153</v>
      </c>
      <c r="AF1635">
        <v>326</v>
      </c>
      <c r="AG1635">
        <v>209</v>
      </c>
      <c r="AH1635">
        <v>383</v>
      </c>
      <c r="AI1635">
        <v>313</v>
      </c>
      <c r="AJ1635">
        <v>520</v>
      </c>
      <c r="AK1635">
        <v>342</v>
      </c>
      <c r="AL1635">
        <v>666</v>
      </c>
      <c r="AM1635">
        <v>428</v>
      </c>
      <c r="AN1635">
        <v>843</v>
      </c>
    </row>
    <row r="1636" spans="2:40" x14ac:dyDescent="0.35">
      <c r="B1636" s="46" t="s">
        <v>2362</v>
      </c>
      <c r="D1636" t="s">
        <v>1460</v>
      </c>
      <c r="E1636" t="s">
        <v>1937</v>
      </c>
      <c r="F1636" s="46" t="s">
        <v>2405</v>
      </c>
      <c r="G1636" t="s">
        <v>619</v>
      </c>
      <c r="H1636" s="47" t="s">
        <v>2391</v>
      </c>
      <c r="I1636" s="47" t="s">
        <v>2392</v>
      </c>
      <c r="J1636" t="s">
        <v>2406</v>
      </c>
      <c r="K1636">
        <v>46171</v>
      </c>
      <c r="L1636">
        <v>68649</v>
      </c>
      <c r="M1636" s="24">
        <v>49133</v>
      </c>
      <c r="N1636" s="24">
        <v>68734</v>
      </c>
      <c r="O1636" s="24">
        <v>44566</v>
      </c>
      <c r="P1636" s="24">
        <v>70742</v>
      </c>
      <c r="Q1636">
        <v>43009</v>
      </c>
      <c r="R1636">
        <v>76696</v>
      </c>
      <c r="S1636">
        <v>62818</v>
      </c>
      <c r="T1636">
        <v>104933</v>
      </c>
      <c r="U1636">
        <v>78695</v>
      </c>
      <c r="V1636">
        <v>140225</v>
      </c>
      <c r="W1636">
        <v>117136</v>
      </c>
      <c r="X1636">
        <v>216429</v>
      </c>
      <c r="Z1636" t="str">
        <f t="shared" si="5"/>
        <v/>
      </c>
      <c r="AA1636" t="s">
        <v>2406</v>
      </c>
      <c r="AB1636" t="s">
        <v>2406</v>
      </c>
      <c r="AC1636">
        <v>49133</v>
      </c>
      <c r="AD1636">
        <v>68734</v>
      </c>
      <c r="AE1636">
        <v>44566</v>
      </c>
      <c r="AF1636">
        <v>70742</v>
      </c>
      <c r="AG1636">
        <v>43009</v>
      </c>
      <c r="AH1636">
        <v>76696</v>
      </c>
      <c r="AI1636">
        <v>62818</v>
      </c>
      <c r="AJ1636">
        <v>104933</v>
      </c>
      <c r="AK1636">
        <v>78695</v>
      </c>
      <c r="AL1636">
        <v>140225</v>
      </c>
      <c r="AM1636">
        <v>117136</v>
      </c>
      <c r="AN1636">
        <v>216429</v>
      </c>
    </row>
    <row r="1637" spans="2:40" x14ac:dyDescent="0.35">
      <c r="B1637" s="46" t="s">
        <v>2363</v>
      </c>
      <c r="D1637" t="s">
        <v>1460</v>
      </c>
      <c r="E1637" t="s">
        <v>1937</v>
      </c>
      <c r="F1637" s="46" t="s">
        <v>1967</v>
      </c>
      <c r="G1637" t="s">
        <v>231</v>
      </c>
      <c r="H1637" s="47" t="s">
        <v>393</v>
      </c>
      <c r="I1637" s="47" t="s">
        <v>1938</v>
      </c>
      <c r="J1637" t="s">
        <v>760</v>
      </c>
      <c r="K1637">
        <v>1800</v>
      </c>
      <c r="L1637">
        <v>3491</v>
      </c>
      <c r="M1637" s="24">
        <v>1561</v>
      </c>
      <c r="N1637" s="24">
        <v>3410</v>
      </c>
      <c r="O1637" s="24">
        <v>1701</v>
      </c>
      <c r="P1637" s="24">
        <v>3507</v>
      </c>
      <c r="Q1637">
        <v>3070</v>
      </c>
      <c r="R1637">
        <v>4698</v>
      </c>
      <c r="S1637">
        <v>3697</v>
      </c>
      <c r="T1637">
        <v>6302</v>
      </c>
      <c r="U1637">
        <v>3069</v>
      </c>
      <c r="V1637">
        <v>7618</v>
      </c>
      <c r="W1637">
        <v>3897</v>
      </c>
      <c r="X1637">
        <v>12060</v>
      </c>
      <c r="Z1637" t="str">
        <f t="shared" si="5"/>
        <v/>
      </c>
      <c r="AA1637" t="s">
        <v>760</v>
      </c>
      <c r="AB1637" t="s">
        <v>760</v>
      </c>
      <c r="AC1637">
        <v>1561</v>
      </c>
      <c r="AD1637">
        <v>3410</v>
      </c>
      <c r="AE1637">
        <v>1701</v>
      </c>
      <c r="AF1637">
        <v>3507</v>
      </c>
      <c r="AG1637">
        <v>3070</v>
      </c>
      <c r="AH1637">
        <v>4698</v>
      </c>
      <c r="AI1637">
        <v>3697</v>
      </c>
      <c r="AJ1637">
        <v>6302</v>
      </c>
      <c r="AK1637">
        <v>3069</v>
      </c>
      <c r="AL1637">
        <v>7618</v>
      </c>
      <c r="AM1637">
        <v>3897</v>
      </c>
      <c r="AN1637">
        <v>12060</v>
      </c>
    </row>
    <row r="1638" spans="2:40" x14ac:dyDescent="0.35">
      <c r="B1638" s="46" t="s">
        <v>2365</v>
      </c>
      <c r="D1638" t="s">
        <v>1460</v>
      </c>
      <c r="E1638" t="s">
        <v>1937</v>
      </c>
      <c r="F1638" s="46" t="s">
        <v>2222</v>
      </c>
      <c r="G1638" t="s">
        <v>585</v>
      </c>
      <c r="H1638" s="47" t="s">
        <v>2198</v>
      </c>
      <c r="I1638" s="47" t="s">
        <v>2199</v>
      </c>
      <c r="J1638" t="s">
        <v>797</v>
      </c>
      <c r="K1638">
        <v>1346</v>
      </c>
      <c r="L1638">
        <v>1527</v>
      </c>
      <c r="M1638" s="24">
        <v>158</v>
      </c>
      <c r="N1638" s="24">
        <v>191</v>
      </c>
      <c r="O1638" s="24">
        <v>58</v>
      </c>
      <c r="P1638" s="24">
        <v>69</v>
      </c>
      <c r="Q1638">
        <v>30</v>
      </c>
      <c r="R1638">
        <v>42</v>
      </c>
      <c r="S1638">
        <v>45</v>
      </c>
      <c r="T1638">
        <v>59</v>
      </c>
      <c r="U1638">
        <v>39</v>
      </c>
      <c r="V1638">
        <v>58</v>
      </c>
      <c r="W1638">
        <v>48</v>
      </c>
      <c r="X1638">
        <v>72</v>
      </c>
      <c r="Z1638" t="str">
        <f t="shared" si="5"/>
        <v/>
      </c>
      <c r="AA1638" t="s">
        <v>797</v>
      </c>
      <c r="AB1638" t="s">
        <v>797</v>
      </c>
      <c r="AC1638">
        <v>158</v>
      </c>
      <c r="AD1638">
        <v>191</v>
      </c>
      <c r="AE1638">
        <v>58</v>
      </c>
      <c r="AF1638">
        <v>69</v>
      </c>
      <c r="AG1638">
        <v>30</v>
      </c>
      <c r="AH1638">
        <v>42</v>
      </c>
      <c r="AI1638">
        <v>45</v>
      </c>
      <c r="AJ1638">
        <v>59</v>
      </c>
      <c r="AK1638">
        <v>39</v>
      </c>
      <c r="AL1638">
        <v>58</v>
      </c>
      <c r="AM1638">
        <v>48</v>
      </c>
      <c r="AN1638">
        <v>72</v>
      </c>
    </row>
    <row r="1639" spans="2:40" x14ac:dyDescent="0.35">
      <c r="B1639" s="46" t="s">
        <v>2369</v>
      </c>
      <c r="D1639" t="s">
        <v>1460</v>
      </c>
      <c r="E1639" t="s">
        <v>1937</v>
      </c>
      <c r="F1639" s="46" t="s">
        <v>2186</v>
      </c>
      <c r="G1639" t="s">
        <v>577</v>
      </c>
      <c r="H1639" s="47" t="s">
        <v>2163</v>
      </c>
      <c r="I1639" s="47" t="s">
        <v>2164</v>
      </c>
      <c r="J1639" t="s">
        <v>2187</v>
      </c>
      <c r="K1639">
        <v>177</v>
      </c>
      <c r="L1639">
        <v>328</v>
      </c>
      <c r="M1639" s="24">
        <v>142</v>
      </c>
      <c r="N1639" s="24">
        <v>302</v>
      </c>
      <c r="O1639" s="24">
        <v>129</v>
      </c>
      <c r="P1639" s="24">
        <v>296</v>
      </c>
      <c r="Q1639">
        <v>204</v>
      </c>
      <c r="R1639">
        <v>378</v>
      </c>
      <c r="S1639">
        <v>361</v>
      </c>
      <c r="T1639">
        <v>597</v>
      </c>
      <c r="U1639">
        <v>394</v>
      </c>
      <c r="V1639">
        <v>914</v>
      </c>
      <c r="W1639">
        <v>453</v>
      </c>
      <c r="X1639">
        <v>1512</v>
      </c>
      <c r="Z1639" t="str">
        <f t="shared" si="5"/>
        <v/>
      </c>
      <c r="AA1639" t="s">
        <v>2187</v>
      </c>
      <c r="AB1639" t="s">
        <v>2187</v>
      </c>
      <c r="AC1639">
        <v>142</v>
      </c>
      <c r="AD1639">
        <v>302</v>
      </c>
      <c r="AE1639">
        <v>129</v>
      </c>
      <c r="AF1639">
        <v>296</v>
      </c>
      <c r="AG1639">
        <v>204</v>
      </c>
      <c r="AH1639">
        <v>378</v>
      </c>
      <c r="AI1639">
        <v>361</v>
      </c>
      <c r="AJ1639">
        <v>597</v>
      </c>
      <c r="AK1639">
        <v>394</v>
      </c>
      <c r="AL1639">
        <v>914</v>
      </c>
      <c r="AM1639">
        <v>453</v>
      </c>
      <c r="AN1639">
        <v>1512</v>
      </c>
    </row>
    <row r="1640" spans="2:40" x14ac:dyDescent="0.35">
      <c r="B1640" s="46" t="s">
        <v>2371</v>
      </c>
      <c r="D1640" t="s">
        <v>1460</v>
      </c>
      <c r="E1640" t="s">
        <v>1937</v>
      </c>
      <c r="F1640" s="46" t="s">
        <v>1968</v>
      </c>
      <c r="G1640" t="s">
        <v>231</v>
      </c>
      <c r="H1640" s="47" t="s">
        <v>393</v>
      </c>
      <c r="I1640" s="47" t="s">
        <v>1938</v>
      </c>
      <c r="J1640" t="s">
        <v>1969</v>
      </c>
      <c r="K1640">
        <v>32</v>
      </c>
      <c r="L1640">
        <v>55</v>
      </c>
      <c r="M1640" s="24">
        <v>24</v>
      </c>
      <c r="N1640" s="24">
        <v>51</v>
      </c>
      <c r="O1640" s="24">
        <v>21</v>
      </c>
      <c r="P1640" s="24">
        <v>44</v>
      </c>
      <c r="Q1640">
        <v>25</v>
      </c>
      <c r="R1640">
        <v>54</v>
      </c>
      <c r="S1640">
        <v>40</v>
      </c>
      <c r="T1640">
        <v>91</v>
      </c>
      <c r="U1640">
        <v>30</v>
      </c>
      <c r="V1640">
        <v>102</v>
      </c>
      <c r="W1640">
        <v>36</v>
      </c>
      <c r="X1640">
        <v>140</v>
      </c>
      <c r="Z1640" t="str">
        <f t="shared" si="5"/>
        <v/>
      </c>
      <c r="AA1640" t="s">
        <v>1969</v>
      </c>
      <c r="AB1640" t="s">
        <v>1969</v>
      </c>
      <c r="AC1640">
        <v>24</v>
      </c>
      <c r="AD1640">
        <v>51</v>
      </c>
      <c r="AE1640">
        <v>21</v>
      </c>
      <c r="AF1640">
        <v>44</v>
      </c>
      <c r="AG1640">
        <v>25</v>
      </c>
      <c r="AH1640">
        <v>54</v>
      </c>
      <c r="AI1640">
        <v>40</v>
      </c>
      <c r="AJ1640">
        <v>91</v>
      </c>
      <c r="AK1640">
        <v>30</v>
      </c>
      <c r="AL1640">
        <v>102</v>
      </c>
      <c r="AM1640">
        <v>36</v>
      </c>
      <c r="AN1640">
        <v>140</v>
      </c>
    </row>
    <row r="1641" spans="2:40" x14ac:dyDescent="0.35">
      <c r="B1641" s="46" t="s">
        <v>2372</v>
      </c>
      <c r="D1641" t="s">
        <v>1460</v>
      </c>
      <c r="E1641" t="s">
        <v>1937</v>
      </c>
      <c r="F1641" s="46" t="s">
        <v>2324</v>
      </c>
      <c r="G1641" t="s">
        <v>599</v>
      </c>
      <c r="H1641" s="47" t="s">
        <v>2307</v>
      </c>
      <c r="I1641" s="47" t="s">
        <v>2308</v>
      </c>
      <c r="J1641" t="s">
        <v>2325</v>
      </c>
      <c r="K1641">
        <v>591</v>
      </c>
      <c r="L1641">
        <v>935</v>
      </c>
      <c r="M1641" s="24">
        <v>464</v>
      </c>
      <c r="N1641" s="24">
        <v>953</v>
      </c>
      <c r="O1641" s="24">
        <v>471</v>
      </c>
      <c r="P1641" s="24">
        <v>894</v>
      </c>
      <c r="Q1641">
        <v>607</v>
      </c>
      <c r="R1641">
        <v>1061</v>
      </c>
      <c r="S1641">
        <v>1138</v>
      </c>
      <c r="T1641">
        <v>1700</v>
      </c>
      <c r="U1641">
        <v>863</v>
      </c>
      <c r="V1641">
        <v>2147</v>
      </c>
      <c r="W1641">
        <v>1042</v>
      </c>
      <c r="X1641">
        <v>3009</v>
      </c>
      <c r="Z1641" t="str">
        <f t="shared" si="5"/>
        <v/>
      </c>
      <c r="AA1641" t="s">
        <v>2325</v>
      </c>
      <c r="AB1641" t="s">
        <v>2325</v>
      </c>
      <c r="AC1641">
        <v>464</v>
      </c>
      <c r="AD1641">
        <v>953</v>
      </c>
      <c r="AE1641">
        <v>471</v>
      </c>
      <c r="AF1641">
        <v>894</v>
      </c>
      <c r="AG1641">
        <v>607</v>
      </c>
      <c r="AH1641">
        <v>1061</v>
      </c>
      <c r="AI1641">
        <v>1138</v>
      </c>
      <c r="AJ1641">
        <v>1700</v>
      </c>
      <c r="AK1641">
        <v>863</v>
      </c>
      <c r="AL1641">
        <v>2147</v>
      </c>
      <c r="AM1641">
        <v>1042</v>
      </c>
      <c r="AN1641">
        <v>3009</v>
      </c>
    </row>
    <row r="1642" spans="2:40" x14ac:dyDescent="0.35">
      <c r="B1642" s="46" t="s">
        <v>2374</v>
      </c>
      <c r="D1642" t="s">
        <v>1460</v>
      </c>
      <c r="E1642" t="s">
        <v>1937</v>
      </c>
      <c r="F1642" s="46" t="s">
        <v>2254</v>
      </c>
      <c r="G1642" t="s">
        <v>588</v>
      </c>
      <c r="H1642" s="47" t="s">
        <v>2230</v>
      </c>
      <c r="I1642" s="47" t="s">
        <v>2231</v>
      </c>
      <c r="J1642" t="s">
        <v>2255</v>
      </c>
      <c r="K1642">
        <v>2093</v>
      </c>
      <c r="L1642">
        <v>3576</v>
      </c>
      <c r="M1642" s="24">
        <v>1849</v>
      </c>
      <c r="N1642" s="24">
        <v>3591</v>
      </c>
      <c r="O1642" s="24">
        <v>1974</v>
      </c>
      <c r="P1642" s="24">
        <v>3537</v>
      </c>
      <c r="Q1642">
        <v>2499</v>
      </c>
      <c r="R1642">
        <v>3972</v>
      </c>
      <c r="S1642">
        <v>3042</v>
      </c>
      <c r="T1642">
        <v>5416</v>
      </c>
      <c r="U1642">
        <v>3161</v>
      </c>
      <c r="V1642">
        <v>6556</v>
      </c>
      <c r="W1642">
        <v>5888</v>
      </c>
      <c r="X1642">
        <v>10959</v>
      </c>
      <c r="Z1642" t="str">
        <f t="shared" si="5"/>
        <v/>
      </c>
      <c r="AA1642" t="s">
        <v>2255</v>
      </c>
      <c r="AB1642" t="s">
        <v>2255</v>
      </c>
      <c r="AC1642">
        <v>1849</v>
      </c>
      <c r="AD1642">
        <v>3591</v>
      </c>
      <c r="AE1642">
        <v>1974</v>
      </c>
      <c r="AF1642">
        <v>3537</v>
      </c>
      <c r="AG1642">
        <v>2499</v>
      </c>
      <c r="AH1642">
        <v>3972</v>
      </c>
      <c r="AI1642">
        <v>3042</v>
      </c>
      <c r="AJ1642">
        <v>5416</v>
      </c>
      <c r="AK1642">
        <v>3161</v>
      </c>
      <c r="AL1642">
        <v>6556</v>
      </c>
      <c r="AM1642">
        <v>5888</v>
      </c>
      <c r="AN1642">
        <v>10959</v>
      </c>
    </row>
    <row r="1643" spans="2:40" x14ac:dyDescent="0.35">
      <c r="B1643" s="46" t="s">
        <v>2376</v>
      </c>
      <c r="D1643" t="s">
        <v>1460</v>
      </c>
      <c r="E1643" t="s">
        <v>1937</v>
      </c>
      <c r="F1643" s="46" t="s">
        <v>2034</v>
      </c>
      <c r="G1643" t="s">
        <v>239</v>
      </c>
      <c r="H1643" s="47" t="s">
        <v>450</v>
      </c>
      <c r="I1643" s="47" t="s">
        <v>2021</v>
      </c>
      <c r="J1643" t="s">
        <v>2035</v>
      </c>
      <c r="K1643">
        <v>29873</v>
      </c>
      <c r="L1643">
        <v>58557</v>
      </c>
      <c r="M1643" s="24">
        <v>25846</v>
      </c>
      <c r="N1643" s="24">
        <v>53309</v>
      </c>
      <c r="O1643" s="24">
        <v>25505</v>
      </c>
      <c r="P1643" s="24">
        <v>52062</v>
      </c>
      <c r="Q1643">
        <v>25710</v>
      </c>
      <c r="R1643">
        <v>57331</v>
      </c>
      <c r="S1643">
        <v>35209</v>
      </c>
      <c r="T1643">
        <v>75084</v>
      </c>
      <c r="U1643">
        <v>33131</v>
      </c>
      <c r="V1643">
        <v>93852</v>
      </c>
      <c r="W1643">
        <v>40733</v>
      </c>
      <c r="X1643">
        <v>128893</v>
      </c>
      <c r="Z1643" t="str">
        <f t="shared" si="5"/>
        <v/>
      </c>
      <c r="AA1643" t="s">
        <v>2035</v>
      </c>
      <c r="AB1643" t="s">
        <v>2035</v>
      </c>
      <c r="AC1643">
        <v>25846</v>
      </c>
      <c r="AD1643">
        <v>53309</v>
      </c>
      <c r="AE1643">
        <v>25505</v>
      </c>
      <c r="AF1643">
        <v>52062</v>
      </c>
      <c r="AG1643">
        <v>25710</v>
      </c>
      <c r="AH1643">
        <v>57331</v>
      </c>
      <c r="AI1643">
        <v>35209</v>
      </c>
      <c r="AJ1643">
        <v>75084</v>
      </c>
      <c r="AK1643">
        <v>33131</v>
      </c>
      <c r="AL1643">
        <v>93852</v>
      </c>
      <c r="AM1643">
        <v>40733</v>
      </c>
      <c r="AN1643">
        <v>128893</v>
      </c>
    </row>
    <row r="1644" spans="2:40" x14ac:dyDescent="0.35">
      <c r="B1644" s="46" t="s">
        <v>2377</v>
      </c>
      <c r="D1644" t="s">
        <v>1460</v>
      </c>
      <c r="E1644" t="s">
        <v>1937</v>
      </c>
      <c r="F1644" s="46" t="s">
        <v>2056</v>
      </c>
      <c r="G1644" t="s">
        <v>255</v>
      </c>
      <c r="H1644" s="47" t="s">
        <v>467</v>
      </c>
      <c r="I1644" s="47" t="s">
        <v>2038</v>
      </c>
      <c r="J1644" t="s">
        <v>2057</v>
      </c>
      <c r="K1644">
        <v>300</v>
      </c>
      <c r="L1644">
        <v>445</v>
      </c>
      <c r="M1644" s="24">
        <v>405</v>
      </c>
      <c r="N1644" s="24">
        <v>549</v>
      </c>
      <c r="O1644" s="24">
        <v>725</v>
      </c>
      <c r="P1644" s="24">
        <v>829</v>
      </c>
      <c r="Q1644">
        <v>226</v>
      </c>
      <c r="R1644">
        <v>395</v>
      </c>
      <c r="S1644">
        <v>796</v>
      </c>
      <c r="T1644">
        <v>966</v>
      </c>
      <c r="U1644">
        <v>1007</v>
      </c>
      <c r="V1644">
        <v>1339</v>
      </c>
      <c r="W1644">
        <v>1215</v>
      </c>
      <c r="X1644">
        <v>1921</v>
      </c>
      <c r="Z1644" t="str">
        <f t="shared" si="5"/>
        <v/>
      </c>
      <c r="AA1644" t="s">
        <v>2057</v>
      </c>
      <c r="AB1644" t="s">
        <v>2057</v>
      </c>
      <c r="AC1644">
        <v>405</v>
      </c>
      <c r="AD1644">
        <v>549</v>
      </c>
      <c r="AE1644">
        <v>725</v>
      </c>
      <c r="AF1644">
        <v>829</v>
      </c>
      <c r="AG1644">
        <v>226</v>
      </c>
      <c r="AH1644">
        <v>395</v>
      </c>
      <c r="AI1644">
        <v>796</v>
      </c>
      <c r="AJ1644">
        <v>966</v>
      </c>
      <c r="AK1644">
        <v>1007</v>
      </c>
      <c r="AL1644">
        <v>1339</v>
      </c>
      <c r="AM1644">
        <v>1215</v>
      </c>
      <c r="AN1644">
        <v>1921</v>
      </c>
    </row>
    <row r="1645" spans="2:40" x14ac:dyDescent="0.35">
      <c r="B1645" s="46" t="s">
        <v>2379</v>
      </c>
      <c r="D1645" t="s">
        <v>1460</v>
      </c>
      <c r="E1645" t="s">
        <v>1937</v>
      </c>
      <c r="F1645" s="46" t="s">
        <v>2058</v>
      </c>
      <c r="G1645" t="s">
        <v>255</v>
      </c>
      <c r="H1645" s="47" t="s">
        <v>467</v>
      </c>
      <c r="I1645" s="47" t="s">
        <v>2038</v>
      </c>
      <c r="J1645" t="s">
        <v>2059</v>
      </c>
      <c r="K1645">
        <v>248</v>
      </c>
      <c r="L1645">
        <v>444</v>
      </c>
      <c r="M1645" s="24">
        <v>205</v>
      </c>
      <c r="N1645" s="24">
        <v>483</v>
      </c>
      <c r="O1645" s="24">
        <v>258</v>
      </c>
      <c r="P1645" s="24">
        <v>495</v>
      </c>
      <c r="Q1645">
        <v>220</v>
      </c>
      <c r="R1645">
        <v>552</v>
      </c>
      <c r="S1645">
        <v>562</v>
      </c>
      <c r="T1645">
        <v>832</v>
      </c>
      <c r="U1645">
        <v>752</v>
      </c>
      <c r="V1645">
        <v>1232</v>
      </c>
      <c r="W1645">
        <v>846</v>
      </c>
      <c r="X1645">
        <v>2025</v>
      </c>
      <c r="Z1645" t="str">
        <f t="shared" si="5"/>
        <v/>
      </c>
      <c r="AA1645" t="s">
        <v>2059</v>
      </c>
      <c r="AB1645" t="s">
        <v>2059</v>
      </c>
      <c r="AC1645">
        <v>205</v>
      </c>
      <c r="AD1645">
        <v>483</v>
      </c>
      <c r="AE1645">
        <v>258</v>
      </c>
      <c r="AF1645">
        <v>495</v>
      </c>
      <c r="AG1645">
        <v>220</v>
      </c>
      <c r="AH1645">
        <v>552</v>
      </c>
      <c r="AI1645">
        <v>562</v>
      </c>
      <c r="AJ1645">
        <v>832</v>
      </c>
      <c r="AK1645">
        <v>752</v>
      </c>
      <c r="AL1645">
        <v>1232</v>
      </c>
      <c r="AM1645">
        <v>846</v>
      </c>
      <c r="AN1645">
        <v>2025</v>
      </c>
    </row>
    <row r="1646" spans="2:40" x14ac:dyDescent="0.35">
      <c r="B1646" s="46" t="s">
        <v>2381</v>
      </c>
      <c r="D1646" t="s">
        <v>1460</v>
      </c>
      <c r="E1646" t="s">
        <v>1937</v>
      </c>
      <c r="F1646" s="46" t="s">
        <v>2160</v>
      </c>
      <c r="G1646" t="s">
        <v>311</v>
      </c>
      <c r="H1646" s="47" t="s">
        <v>2152</v>
      </c>
      <c r="I1646" s="47" t="s">
        <v>2153</v>
      </c>
      <c r="J1646" t="s">
        <v>2161</v>
      </c>
      <c r="K1646">
        <v>932</v>
      </c>
      <c r="L1646">
        <v>1670</v>
      </c>
      <c r="M1646" s="24">
        <v>721</v>
      </c>
      <c r="N1646" s="24">
        <v>1624</v>
      </c>
      <c r="O1646" s="24">
        <v>660</v>
      </c>
      <c r="P1646" s="24">
        <v>1503</v>
      </c>
      <c r="Q1646">
        <v>991</v>
      </c>
      <c r="R1646">
        <v>1796</v>
      </c>
      <c r="S1646">
        <v>1501</v>
      </c>
      <c r="T1646">
        <v>2575</v>
      </c>
      <c r="U1646">
        <v>2268</v>
      </c>
      <c r="V1646">
        <v>3682</v>
      </c>
      <c r="W1646">
        <v>5303</v>
      </c>
      <c r="X1646">
        <v>7686</v>
      </c>
      <c r="Z1646" t="str">
        <f t="shared" si="5"/>
        <v/>
      </c>
      <c r="AA1646" t="s">
        <v>2161</v>
      </c>
      <c r="AB1646" t="s">
        <v>2161</v>
      </c>
      <c r="AC1646">
        <v>721</v>
      </c>
      <c r="AD1646">
        <v>1624</v>
      </c>
      <c r="AE1646">
        <v>660</v>
      </c>
      <c r="AF1646">
        <v>1503</v>
      </c>
      <c r="AG1646">
        <v>991</v>
      </c>
      <c r="AH1646">
        <v>1796</v>
      </c>
      <c r="AI1646">
        <v>1501</v>
      </c>
      <c r="AJ1646">
        <v>2575</v>
      </c>
      <c r="AK1646">
        <v>2268</v>
      </c>
      <c r="AL1646">
        <v>3682</v>
      </c>
      <c r="AM1646">
        <v>5303</v>
      </c>
      <c r="AN1646">
        <v>7686</v>
      </c>
    </row>
    <row r="1647" spans="2:40" x14ac:dyDescent="0.35">
      <c r="B1647" s="46" t="s">
        <v>2382</v>
      </c>
      <c r="D1647" t="s">
        <v>1460</v>
      </c>
      <c r="E1647" t="s">
        <v>1937</v>
      </c>
      <c r="F1647" s="46" t="s">
        <v>2223</v>
      </c>
      <c r="G1647" t="s">
        <v>585</v>
      </c>
      <c r="H1647" s="47" t="s">
        <v>2198</v>
      </c>
      <c r="I1647" s="47" t="s">
        <v>2199</v>
      </c>
      <c r="J1647" t="s">
        <v>2224</v>
      </c>
      <c r="K1647">
        <v>25</v>
      </c>
      <c r="L1647">
        <v>58</v>
      </c>
      <c r="M1647" s="24" t="s">
        <v>1152</v>
      </c>
      <c r="N1647" s="24">
        <v>42</v>
      </c>
      <c r="O1647" s="24">
        <v>26</v>
      </c>
      <c r="P1647" s="24">
        <v>70</v>
      </c>
      <c r="Q1647">
        <v>38</v>
      </c>
      <c r="R1647">
        <v>71</v>
      </c>
      <c r="S1647">
        <v>83</v>
      </c>
      <c r="T1647">
        <v>136</v>
      </c>
      <c r="U1647">
        <v>47</v>
      </c>
      <c r="V1647">
        <v>165</v>
      </c>
      <c r="W1647">
        <v>78</v>
      </c>
      <c r="X1647">
        <v>244</v>
      </c>
      <c r="Z1647" t="str">
        <f t="shared" si="5"/>
        <v/>
      </c>
      <c r="AA1647" t="s">
        <v>2224</v>
      </c>
      <c r="AB1647" t="s">
        <v>2224</v>
      </c>
      <c r="AC1647" t="s">
        <v>1152</v>
      </c>
      <c r="AD1647">
        <v>42</v>
      </c>
      <c r="AE1647">
        <v>26</v>
      </c>
      <c r="AF1647">
        <v>70</v>
      </c>
      <c r="AG1647">
        <v>38</v>
      </c>
      <c r="AH1647">
        <v>71</v>
      </c>
      <c r="AI1647">
        <v>83</v>
      </c>
      <c r="AJ1647">
        <v>136</v>
      </c>
      <c r="AK1647">
        <v>47</v>
      </c>
      <c r="AL1647">
        <v>165</v>
      </c>
      <c r="AM1647">
        <v>78</v>
      </c>
      <c r="AN1647">
        <v>244</v>
      </c>
    </row>
    <row r="1648" spans="2:40" x14ac:dyDescent="0.35">
      <c r="B1648" s="46" t="s">
        <v>2384</v>
      </c>
      <c r="D1648" t="s">
        <v>1460</v>
      </c>
      <c r="E1648" t="s">
        <v>1937</v>
      </c>
      <c r="F1648" s="46" t="s">
        <v>2292</v>
      </c>
      <c r="G1648" t="s">
        <v>592</v>
      </c>
      <c r="H1648" s="47" t="s">
        <v>2257</v>
      </c>
      <c r="I1648" s="47" t="s">
        <v>2258</v>
      </c>
      <c r="J1648" t="s">
        <v>2293</v>
      </c>
      <c r="K1648">
        <v>925</v>
      </c>
      <c r="L1648">
        <v>1375</v>
      </c>
      <c r="M1648" s="24">
        <v>855</v>
      </c>
      <c r="N1648" s="24">
        <v>1358</v>
      </c>
      <c r="O1648" s="24">
        <v>834</v>
      </c>
      <c r="P1648" s="24">
        <v>1253</v>
      </c>
      <c r="Q1648">
        <v>909</v>
      </c>
      <c r="R1648">
        <v>1308</v>
      </c>
      <c r="S1648">
        <v>1563</v>
      </c>
      <c r="T1648">
        <v>2026</v>
      </c>
      <c r="U1648">
        <v>1929</v>
      </c>
      <c r="V1648">
        <v>2727</v>
      </c>
      <c r="W1648">
        <v>1609</v>
      </c>
      <c r="X1648">
        <v>3489</v>
      </c>
      <c r="Z1648" t="str">
        <f t="shared" si="5"/>
        <v/>
      </c>
      <c r="AA1648" t="s">
        <v>2293</v>
      </c>
      <c r="AB1648" t="s">
        <v>2293</v>
      </c>
      <c r="AC1648">
        <v>855</v>
      </c>
      <c r="AD1648">
        <v>1358</v>
      </c>
      <c r="AE1648">
        <v>834</v>
      </c>
      <c r="AF1648">
        <v>1253</v>
      </c>
      <c r="AG1648">
        <v>909</v>
      </c>
      <c r="AH1648">
        <v>1308</v>
      </c>
      <c r="AI1648">
        <v>1563</v>
      </c>
      <c r="AJ1648">
        <v>2026</v>
      </c>
      <c r="AK1648">
        <v>1929</v>
      </c>
      <c r="AL1648">
        <v>2727</v>
      </c>
      <c r="AM1648">
        <v>1609</v>
      </c>
      <c r="AN1648">
        <v>3489</v>
      </c>
    </row>
    <row r="1649" spans="2:40" x14ac:dyDescent="0.35">
      <c r="B1649" s="46" t="s">
        <v>2386</v>
      </c>
      <c r="D1649" t="s">
        <v>1460</v>
      </c>
      <c r="E1649" t="s">
        <v>1937</v>
      </c>
      <c r="F1649" s="46" t="s">
        <v>2294</v>
      </c>
      <c r="G1649" t="s">
        <v>592</v>
      </c>
      <c r="H1649" s="47" t="s">
        <v>2257</v>
      </c>
      <c r="I1649" s="47" t="s">
        <v>2258</v>
      </c>
      <c r="J1649" t="s">
        <v>2295</v>
      </c>
      <c r="K1649">
        <v>2047</v>
      </c>
      <c r="L1649">
        <v>3049</v>
      </c>
      <c r="M1649" s="24">
        <v>2035</v>
      </c>
      <c r="N1649" s="24">
        <v>3116</v>
      </c>
      <c r="O1649" s="24">
        <v>2439</v>
      </c>
      <c r="P1649" s="24">
        <v>3478</v>
      </c>
      <c r="Q1649">
        <v>1475</v>
      </c>
      <c r="R1649">
        <v>3920</v>
      </c>
      <c r="S1649">
        <v>3559</v>
      </c>
      <c r="T1649">
        <v>4936</v>
      </c>
      <c r="U1649">
        <v>4387</v>
      </c>
      <c r="V1649">
        <v>6270</v>
      </c>
      <c r="W1649">
        <v>3365</v>
      </c>
      <c r="X1649">
        <v>7990</v>
      </c>
      <c r="Z1649" t="str">
        <f t="shared" si="5"/>
        <v/>
      </c>
      <c r="AA1649" t="s">
        <v>2295</v>
      </c>
      <c r="AB1649" t="s">
        <v>2295</v>
      </c>
      <c r="AC1649">
        <v>2035</v>
      </c>
      <c r="AD1649">
        <v>3116</v>
      </c>
      <c r="AE1649">
        <v>2439</v>
      </c>
      <c r="AF1649">
        <v>3478</v>
      </c>
      <c r="AG1649">
        <v>1475</v>
      </c>
      <c r="AH1649">
        <v>3920</v>
      </c>
      <c r="AI1649">
        <v>3559</v>
      </c>
      <c r="AJ1649">
        <v>4936</v>
      </c>
      <c r="AK1649">
        <v>4387</v>
      </c>
      <c r="AL1649">
        <v>6270</v>
      </c>
      <c r="AM1649">
        <v>3365</v>
      </c>
      <c r="AN1649">
        <v>7990</v>
      </c>
    </row>
    <row r="1650" spans="2:40" x14ac:dyDescent="0.35">
      <c r="B1650" s="46" t="s">
        <v>2388</v>
      </c>
      <c r="D1650" t="s">
        <v>1460</v>
      </c>
      <c r="E1650" t="s">
        <v>1937</v>
      </c>
      <c r="F1650" s="46" t="s">
        <v>2334</v>
      </c>
      <c r="G1650" t="s">
        <v>603</v>
      </c>
      <c r="H1650" s="47" t="s">
        <v>2327</v>
      </c>
      <c r="I1650" s="47" t="s">
        <v>2328</v>
      </c>
      <c r="J1650" t="s">
        <v>2335</v>
      </c>
      <c r="K1650">
        <v>1308</v>
      </c>
      <c r="L1650">
        <v>2304</v>
      </c>
      <c r="M1650" s="24">
        <v>1158</v>
      </c>
      <c r="N1650" s="24">
        <v>2243</v>
      </c>
      <c r="O1650" s="24">
        <v>1301</v>
      </c>
      <c r="P1650" s="24">
        <v>2303</v>
      </c>
      <c r="Q1650">
        <v>1162</v>
      </c>
      <c r="R1650">
        <v>2240</v>
      </c>
      <c r="S1650">
        <v>1586</v>
      </c>
      <c r="T1650">
        <v>2909</v>
      </c>
      <c r="U1650">
        <v>1886</v>
      </c>
      <c r="V1650">
        <v>3929</v>
      </c>
      <c r="W1650">
        <v>2089</v>
      </c>
      <c r="X1650">
        <v>5822</v>
      </c>
      <c r="Z1650" t="str">
        <f t="shared" si="5"/>
        <v/>
      </c>
      <c r="AA1650" t="s">
        <v>2335</v>
      </c>
      <c r="AB1650" t="s">
        <v>2335</v>
      </c>
      <c r="AC1650">
        <v>1158</v>
      </c>
      <c r="AD1650">
        <v>2243</v>
      </c>
      <c r="AE1650">
        <v>1301</v>
      </c>
      <c r="AF1650">
        <v>2303</v>
      </c>
      <c r="AG1650">
        <v>1162</v>
      </c>
      <c r="AH1650">
        <v>2240</v>
      </c>
      <c r="AI1650">
        <v>1586</v>
      </c>
      <c r="AJ1650">
        <v>2909</v>
      </c>
      <c r="AK1650">
        <v>1886</v>
      </c>
      <c r="AL1650">
        <v>3929</v>
      </c>
      <c r="AM1650">
        <v>2089</v>
      </c>
      <c r="AN1650">
        <v>5822</v>
      </c>
    </row>
    <row r="1651" spans="2:40" x14ac:dyDescent="0.35">
      <c r="B1651" s="46" t="s">
        <v>2390</v>
      </c>
      <c r="D1651" t="s">
        <v>1460</v>
      </c>
      <c r="E1651" t="s">
        <v>1937</v>
      </c>
      <c r="F1651" s="46" t="s">
        <v>2350</v>
      </c>
      <c r="G1651" t="s">
        <v>607</v>
      </c>
      <c r="H1651" s="47" t="s">
        <v>2339</v>
      </c>
      <c r="I1651" s="47" t="s">
        <v>2340</v>
      </c>
      <c r="J1651" t="s">
        <v>2351</v>
      </c>
      <c r="K1651">
        <v>1415</v>
      </c>
      <c r="L1651">
        <v>2401</v>
      </c>
      <c r="M1651" s="24">
        <v>1374</v>
      </c>
      <c r="N1651" s="24">
        <v>2587</v>
      </c>
      <c r="O1651" s="24">
        <v>1513</v>
      </c>
      <c r="P1651" s="24">
        <v>2711</v>
      </c>
      <c r="Q1651">
        <v>1579</v>
      </c>
      <c r="R1651">
        <v>3036</v>
      </c>
      <c r="S1651">
        <v>2224</v>
      </c>
      <c r="T1651">
        <v>3942</v>
      </c>
      <c r="U1651">
        <v>2927</v>
      </c>
      <c r="V1651">
        <v>5465</v>
      </c>
      <c r="W1651">
        <v>3504</v>
      </c>
      <c r="X1651">
        <v>8870</v>
      </c>
      <c r="Z1651" t="str">
        <f t="shared" si="5"/>
        <v/>
      </c>
      <c r="AA1651" t="s">
        <v>2351</v>
      </c>
      <c r="AB1651" t="s">
        <v>2351</v>
      </c>
      <c r="AC1651">
        <v>1374</v>
      </c>
      <c r="AD1651">
        <v>2587</v>
      </c>
      <c r="AE1651">
        <v>1513</v>
      </c>
      <c r="AF1651">
        <v>2711</v>
      </c>
      <c r="AG1651">
        <v>1579</v>
      </c>
      <c r="AH1651">
        <v>3036</v>
      </c>
      <c r="AI1651">
        <v>2224</v>
      </c>
      <c r="AJ1651">
        <v>3942</v>
      </c>
      <c r="AK1651">
        <v>2927</v>
      </c>
      <c r="AL1651">
        <v>5465</v>
      </c>
      <c r="AM1651">
        <v>3504</v>
      </c>
      <c r="AN1651">
        <v>8870</v>
      </c>
    </row>
    <row r="1652" spans="2:40" x14ac:dyDescent="0.35">
      <c r="B1652" s="46" t="s">
        <v>2394</v>
      </c>
      <c r="D1652" t="s">
        <v>1460</v>
      </c>
      <c r="E1652" t="s">
        <v>1937</v>
      </c>
      <c r="F1652" s="46" t="s">
        <v>2430</v>
      </c>
      <c r="G1652" t="s">
        <v>627</v>
      </c>
      <c r="H1652" s="47" t="s">
        <v>2426</v>
      </c>
      <c r="I1652" s="47" t="s">
        <v>2427</v>
      </c>
      <c r="J1652" t="s">
        <v>253</v>
      </c>
      <c r="K1652">
        <v>1097</v>
      </c>
      <c r="L1652">
        <v>1751</v>
      </c>
      <c r="M1652" s="24">
        <v>1035</v>
      </c>
      <c r="N1652" s="24">
        <v>1725</v>
      </c>
      <c r="O1652" s="24">
        <v>1066</v>
      </c>
      <c r="P1652" s="24">
        <v>1851</v>
      </c>
      <c r="Q1652">
        <v>2044</v>
      </c>
      <c r="R1652">
        <v>2691</v>
      </c>
      <c r="S1652">
        <v>3048</v>
      </c>
      <c r="T1652">
        <v>3896</v>
      </c>
      <c r="U1652">
        <v>3141</v>
      </c>
      <c r="V1652">
        <v>4649</v>
      </c>
      <c r="W1652">
        <v>2696</v>
      </c>
      <c r="X1652">
        <v>5549</v>
      </c>
      <c r="Z1652" t="str">
        <f t="shared" si="5"/>
        <v/>
      </c>
      <c r="AA1652" t="s">
        <v>253</v>
      </c>
      <c r="AB1652" t="s">
        <v>253</v>
      </c>
      <c r="AC1652">
        <v>1035</v>
      </c>
      <c r="AD1652">
        <v>1725</v>
      </c>
      <c r="AE1652">
        <v>1066</v>
      </c>
      <c r="AF1652">
        <v>1851</v>
      </c>
      <c r="AG1652">
        <v>2044</v>
      </c>
      <c r="AH1652">
        <v>2691</v>
      </c>
      <c r="AI1652">
        <v>3048</v>
      </c>
      <c r="AJ1652">
        <v>3896</v>
      </c>
      <c r="AK1652">
        <v>3141</v>
      </c>
      <c r="AL1652">
        <v>4649</v>
      </c>
      <c r="AM1652">
        <v>2696</v>
      </c>
      <c r="AN1652">
        <v>5549</v>
      </c>
    </row>
    <row r="1653" spans="2:40" x14ac:dyDescent="0.35">
      <c r="B1653" s="46" t="s">
        <v>2396</v>
      </c>
      <c r="D1653" t="s">
        <v>1460</v>
      </c>
      <c r="E1653" t="s">
        <v>1937</v>
      </c>
      <c r="F1653" s="46" t="s">
        <v>2421</v>
      </c>
      <c r="G1653" t="s">
        <v>623</v>
      </c>
      <c r="H1653" s="47" t="s">
        <v>2410</v>
      </c>
      <c r="I1653" s="47" t="s">
        <v>2411</v>
      </c>
      <c r="J1653" t="s">
        <v>2422</v>
      </c>
      <c r="K1653">
        <v>1666</v>
      </c>
      <c r="L1653">
        <v>2304</v>
      </c>
      <c r="M1653" s="24">
        <v>1936</v>
      </c>
      <c r="N1653" s="24">
        <v>2729</v>
      </c>
      <c r="O1653" s="24">
        <v>1601</v>
      </c>
      <c r="P1653" s="24">
        <v>2396</v>
      </c>
      <c r="Q1653">
        <v>1353</v>
      </c>
      <c r="R1653">
        <v>2169</v>
      </c>
      <c r="S1653">
        <v>5638</v>
      </c>
      <c r="T1653">
        <v>6711</v>
      </c>
      <c r="U1653">
        <v>12356</v>
      </c>
      <c r="V1653">
        <v>15089</v>
      </c>
      <c r="W1653">
        <v>13904</v>
      </c>
      <c r="X1653">
        <v>20222</v>
      </c>
      <c r="Z1653" t="str">
        <f t="shared" si="5"/>
        <v/>
      </c>
      <c r="AA1653" t="s">
        <v>2422</v>
      </c>
      <c r="AB1653" t="s">
        <v>2422</v>
      </c>
      <c r="AC1653">
        <v>1936</v>
      </c>
      <c r="AD1653">
        <v>2729</v>
      </c>
      <c r="AE1653">
        <v>1601</v>
      </c>
      <c r="AF1653">
        <v>2396</v>
      </c>
      <c r="AG1653">
        <v>1353</v>
      </c>
      <c r="AH1653">
        <v>2169</v>
      </c>
      <c r="AI1653">
        <v>5638</v>
      </c>
      <c r="AJ1653">
        <v>6711</v>
      </c>
      <c r="AK1653">
        <v>12356</v>
      </c>
      <c r="AL1653">
        <v>15089</v>
      </c>
      <c r="AM1653">
        <v>13904</v>
      </c>
      <c r="AN1653">
        <v>20222</v>
      </c>
    </row>
    <row r="1654" spans="2:40" x14ac:dyDescent="0.35">
      <c r="B1654" s="46" t="s">
        <v>2398</v>
      </c>
      <c r="D1654" t="s">
        <v>1460</v>
      </c>
      <c r="E1654" t="s">
        <v>1937</v>
      </c>
      <c r="F1654" s="46" t="s">
        <v>2225</v>
      </c>
      <c r="G1654" t="s">
        <v>585</v>
      </c>
      <c r="H1654" s="47" t="s">
        <v>2198</v>
      </c>
      <c r="I1654" s="47" t="s">
        <v>2199</v>
      </c>
      <c r="J1654" t="s">
        <v>2226</v>
      </c>
      <c r="K1654">
        <v>145</v>
      </c>
      <c r="L1654">
        <v>291</v>
      </c>
      <c r="M1654" s="24">
        <v>106</v>
      </c>
      <c r="N1654" s="24">
        <v>271</v>
      </c>
      <c r="O1654" s="24">
        <v>127</v>
      </c>
      <c r="P1654" s="24">
        <v>247</v>
      </c>
      <c r="Q1654">
        <v>184</v>
      </c>
      <c r="R1654">
        <v>310</v>
      </c>
      <c r="S1654">
        <v>405</v>
      </c>
      <c r="T1654">
        <v>598</v>
      </c>
      <c r="U1654">
        <v>362</v>
      </c>
      <c r="V1654">
        <v>855</v>
      </c>
      <c r="W1654">
        <v>538</v>
      </c>
      <c r="X1654">
        <v>1194</v>
      </c>
      <c r="Z1654" t="str">
        <f t="shared" si="5"/>
        <v/>
      </c>
      <c r="AA1654" t="s">
        <v>2226</v>
      </c>
      <c r="AB1654" t="s">
        <v>2226</v>
      </c>
      <c r="AC1654">
        <v>106</v>
      </c>
      <c r="AD1654">
        <v>271</v>
      </c>
      <c r="AE1654">
        <v>127</v>
      </c>
      <c r="AF1654">
        <v>247</v>
      </c>
      <c r="AG1654">
        <v>184</v>
      </c>
      <c r="AH1654">
        <v>310</v>
      </c>
      <c r="AI1654">
        <v>405</v>
      </c>
      <c r="AJ1654">
        <v>598</v>
      </c>
      <c r="AK1654">
        <v>362</v>
      </c>
      <c r="AL1654">
        <v>855</v>
      </c>
      <c r="AM1654">
        <v>538</v>
      </c>
      <c r="AN1654">
        <v>1194</v>
      </c>
    </row>
    <row r="1655" spans="2:40" x14ac:dyDescent="0.35">
      <c r="B1655" s="46" t="s">
        <v>2399</v>
      </c>
      <c r="D1655" t="s">
        <v>1460</v>
      </c>
      <c r="E1655" t="s">
        <v>1937</v>
      </c>
      <c r="F1655" s="46" t="s">
        <v>2079</v>
      </c>
      <c r="G1655" t="s">
        <v>265</v>
      </c>
      <c r="H1655" s="47" t="s">
        <v>501</v>
      </c>
      <c r="I1655" s="47" t="s">
        <v>2068</v>
      </c>
      <c r="J1655" t="s">
        <v>385</v>
      </c>
      <c r="K1655">
        <v>709</v>
      </c>
      <c r="L1655">
        <v>1317</v>
      </c>
      <c r="M1655" s="24">
        <v>659</v>
      </c>
      <c r="N1655" s="24">
        <v>1273</v>
      </c>
      <c r="O1655" s="24">
        <v>823</v>
      </c>
      <c r="P1655" s="24">
        <v>1382</v>
      </c>
      <c r="Q1655">
        <v>590</v>
      </c>
      <c r="R1655">
        <v>1307</v>
      </c>
      <c r="S1655">
        <v>788</v>
      </c>
      <c r="T1655">
        <v>1479</v>
      </c>
      <c r="U1655">
        <v>873</v>
      </c>
      <c r="V1655">
        <v>1931</v>
      </c>
      <c r="W1655">
        <v>1012</v>
      </c>
      <c r="X1655">
        <v>2643</v>
      </c>
      <c r="Z1655" t="str">
        <f t="shared" si="5"/>
        <v/>
      </c>
      <c r="AA1655" t="s">
        <v>385</v>
      </c>
      <c r="AB1655" t="s">
        <v>385</v>
      </c>
      <c r="AC1655">
        <v>659</v>
      </c>
      <c r="AD1655">
        <v>1273</v>
      </c>
      <c r="AE1655">
        <v>823</v>
      </c>
      <c r="AF1655">
        <v>1382</v>
      </c>
      <c r="AG1655">
        <v>590</v>
      </c>
      <c r="AH1655">
        <v>1307</v>
      </c>
      <c r="AI1655">
        <v>788</v>
      </c>
      <c r="AJ1655">
        <v>1479</v>
      </c>
      <c r="AK1655">
        <v>873</v>
      </c>
      <c r="AL1655">
        <v>1931</v>
      </c>
      <c r="AM1655">
        <v>1012</v>
      </c>
      <c r="AN1655">
        <v>2643</v>
      </c>
    </row>
    <row r="1656" spans="2:40" x14ac:dyDescent="0.35">
      <c r="B1656" s="46" t="s">
        <v>2401</v>
      </c>
      <c r="D1656" t="s">
        <v>1460</v>
      </c>
      <c r="E1656" t="s">
        <v>1937</v>
      </c>
      <c r="F1656" s="46" t="s">
        <v>2147</v>
      </c>
      <c r="G1656" t="s">
        <v>303</v>
      </c>
      <c r="H1656" s="47" t="s">
        <v>2141</v>
      </c>
      <c r="I1656" s="47" t="s">
        <v>2142</v>
      </c>
      <c r="J1656" t="s">
        <v>2148</v>
      </c>
      <c r="K1656">
        <v>8449</v>
      </c>
      <c r="L1656">
        <v>12496</v>
      </c>
      <c r="M1656" s="24">
        <v>8009</v>
      </c>
      <c r="N1656" s="24">
        <v>11904</v>
      </c>
      <c r="O1656" s="24">
        <v>7706</v>
      </c>
      <c r="P1656" s="24">
        <v>12315</v>
      </c>
      <c r="Q1656">
        <v>8856</v>
      </c>
      <c r="R1656">
        <v>14728</v>
      </c>
      <c r="S1656">
        <v>19694</v>
      </c>
      <c r="T1656">
        <v>23582</v>
      </c>
      <c r="U1656">
        <v>22885</v>
      </c>
      <c r="V1656">
        <v>30285</v>
      </c>
      <c r="W1656">
        <v>33280</v>
      </c>
      <c r="X1656">
        <v>44855</v>
      </c>
      <c r="Z1656" t="str">
        <f t="shared" si="5"/>
        <v/>
      </c>
      <c r="AA1656" t="s">
        <v>2148</v>
      </c>
      <c r="AB1656" t="s">
        <v>2148</v>
      </c>
      <c r="AC1656">
        <v>8009</v>
      </c>
      <c r="AD1656">
        <v>11904</v>
      </c>
      <c r="AE1656">
        <v>7706</v>
      </c>
      <c r="AF1656">
        <v>12315</v>
      </c>
      <c r="AG1656">
        <v>8856</v>
      </c>
      <c r="AH1656">
        <v>14728</v>
      </c>
      <c r="AI1656">
        <v>19694</v>
      </c>
      <c r="AJ1656">
        <v>23582</v>
      </c>
      <c r="AK1656">
        <v>22885</v>
      </c>
      <c r="AL1656">
        <v>30285</v>
      </c>
      <c r="AM1656">
        <v>33280</v>
      </c>
      <c r="AN1656">
        <v>44855</v>
      </c>
    </row>
    <row r="1657" spans="2:40" x14ac:dyDescent="0.35">
      <c r="B1657" s="46" t="s">
        <v>2403</v>
      </c>
      <c r="D1657" t="s">
        <v>1460</v>
      </c>
      <c r="E1657" t="s">
        <v>1937</v>
      </c>
      <c r="F1657" s="46" t="s">
        <v>2423</v>
      </c>
      <c r="G1657" t="s">
        <v>623</v>
      </c>
      <c r="H1657" s="47" t="s">
        <v>2410</v>
      </c>
      <c r="I1657" s="47" t="s">
        <v>2411</v>
      </c>
      <c r="J1657" t="s">
        <v>2424</v>
      </c>
      <c r="K1657">
        <v>1122</v>
      </c>
      <c r="L1657">
        <v>1714</v>
      </c>
      <c r="M1657" s="24">
        <v>1118</v>
      </c>
      <c r="N1657" s="24">
        <v>1799</v>
      </c>
      <c r="O1657" s="24">
        <v>1011</v>
      </c>
      <c r="P1657" s="24">
        <v>1787</v>
      </c>
      <c r="Q1657">
        <v>798</v>
      </c>
      <c r="R1657">
        <v>1844</v>
      </c>
      <c r="S1657">
        <v>1969</v>
      </c>
      <c r="T1657">
        <v>2756</v>
      </c>
      <c r="U1657">
        <v>2266</v>
      </c>
      <c r="V1657">
        <v>3764</v>
      </c>
      <c r="W1657">
        <v>2389</v>
      </c>
      <c r="X1657">
        <v>5159</v>
      </c>
      <c r="Z1657" t="str">
        <f t="shared" si="5"/>
        <v/>
      </c>
      <c r="AA1657" t="s">
        <v>2424</v>
      </c>
      <c r="AB1657" t="s">
        <v>2424</v>
      </c>
      <c r="AC1657">
        <v>1118</v>
      </c>
      <c r="AD1657">
        <v>1799</v>
      </c>
      <c r="AE1657">
        <v>1011</v>
      </c>
      <c r="AF1657">
        <v>1787</v>
      </c>
      <c r="AG1657">
        <v>798</v>
      </c>
      <c r="AH1657">
        <v>1844</v>
      </c>
      <c r="AI1657">
        <v>1969</v>
      </c>
      <c r="AJ1657">
        <v>2756</v>
      </c>
      <c r="AK1657">
        <v>2266</v>
      </c>
      <c r="AL1657">
        <v>3764</v>
      </c>
      <c r="AM1657">
        <v>2389</v>
      </c>
      <c r="AN1657">
        <v>5159</v>
      </c>
    </row>
    <row r="1658" spans="2:40" x14ac:dyDescent="0.35">
      <c r="B1658" s="46" t="s">
        <v>2405</v>
      </c>
      <c r="D1658" t="s">
        <v>1460</v>
      </c>
      <c r="E1658" t="s">
        <v>1937</v>
      </c>
      <c r="F1658" s="46" t="s">
        <v>2019</v>
      </c>
      <c r="G1658" t="s">
        <v>235</v>
      </c>
      <c r="H1658" s="47" t="s">
        <v>419</v>
      </c>
      <c r="I1658" s="47" t="s">
        <v>1971</v>
      </c>
      <c r="J1658" t="s">
        <v>971</v>
      </c>
      <c r="K1658">
        <v>84</v>
      </c>
      <c r="L1658">
        <v>186</v>
      </c>
      <c r="M1658" s="24">
        <v>73</v>
      </c>
      <c r="N1658" s="24">
        <v>191</v>
      </c>
      <c r="O1658" s="24">
        <v>57</v>
      </c>
      <c r="P1658" s="24">
        <v>173</v>
      </c>
      <c r="Q1658">
        <v>63</v>
      </c>
      <c r="R1658">
        <v>159</v>
      </c>
      <c r="S1658">
        <v>116</v>
      </c>
      <c r="T1658">
        <v>243</v>
      </c>
      <c r="U1658">
        <v>110</v>
      </c>
      <c r="V1658">
        <v>287</v>
      </c>
      <c r="W1658">
        <v>153</v>
      </c>
      <c r="X1658">
        <v>418</v>
      </c>
      <c r="Z1658" t="str">
        <f t="shared" si="5"/>
        <v/>
      </c>
      <c r="AA1658" t="s">
        <v>971</v>
      </c>
      <c r="AB1658" t="s">
        <v>971</v>
      </c>
      <c r="AC1658">
        <v>73</v>
      </c>
      <c r="AD1658">
        <v>191</v>
      </c>
      <c r="AE1658">
        <v>57</v>
      </c>
      <c r="AF1658">
        <v>173</v>
      </c>
      <c r="AG1658">
        <v>63</v>
      </c>
      <c r="AH1658">
        <v>159</v>
      </c>
      <c r="AI1658">
        <v>116</v>
      </c>
      <c r="AJ1658">
        <v>243</v>
      </c>
      <c r="AK1658">
        <v>110</v>
      </c>
      <c r="AL1658">
        <v>287</v>
      </c>
      <c r="AM1658">
        <v>153</v>
      </c>
      <c r="AN1658">
        <v>418</v>
      </c>
    </row>
    <row r="1659" spans="2:40" x14ac:dyDescent="0.35">
      <c r="B1659" s="46" t="s">
        <v>2407</v>
      </c>
      <c r="D1659" t="s">
        <v>1460</v>
      </c>
      <c r="E1659" t="s">
        <v>1937</v>
      </c>
      <c r="F1659" s="46" t="s">
        <v>2384</v>
      </c>
      <c r="G1659" t="s">
        <v>615</v>
      </c>
      <c r="H1659" s="47" t="s">
        <v>2366</v>
      </c>
      <c r="I1659" s="47" t="s">
        <v>2367</v>
      </c>
      <c r="J1659" t="s">
        <v>2385</v>
      </c>
      <c r="K1659">
        <v>1849</v>
      </c>
      <c r="L1659">
        <v>3196</v>
      </c>
      <c r="M1659" s="24">
        <v>2085</v>
      </c>
      <c r="N1659" s="24">
        <v>3723</v>
      </c>
      <c r="O1659" s="24">
        <v>2314</v>
      </c>
      <c r="P1659" s="24">
        <v>3937</v>
      </c>
      <c r="Q1659">
        <v>3017</v>
      </c>
      <c r="R1659">
        <v>4649</v>
      </c>
      <c r="S1659">
        <v>4072</v>
      </c>
      <c r="T1659">
        <v>6218</v>
      </c>
      <c r="U1659">
        <v>6065</v>
      </c>
      <c r="V1659">
        <v>9383</v>
      </c>
      <c r="W1659">
        <v>9401</v>
      </c>
      <c r="X1659">
        <v>14314</v>
      </c>
      <c r="Z1659" t="str">
        <f t="shared" si="5"/>
        <v/>
      </c>
      <c r="AA1659" t="s">
        <v>2385</v>
      </c>
      <c r="AB1659" t="s">
        <v>2385</v>
      </c>
      <c r="AC1659">
        <v>2085</v>
      </c>
      <c r="AD1659">
        <v>3723</v>
      </c>
      <c r="AE1659">
        <v>2314</v>
      </c>
      <c r="AF1659">
        <v>3937</v>
      </c>
      <c r="AG1659">
        <v>3017</v>
      </c>
      <c r="AH1659">
        <v>4649</v>
      </c>
      <c r="AI1659">
        <v>4072</v>
      </c>
      <c r="AJ1659">
        <v>6218</v>
      </c>
      <c r="AK1659">
        <v>6065</v>
      </c>
      <c r="AL1659">
        <v>9383</v>
      </c>
      <c r="AM1659">
        <v>9401</v>
      </c>
      <c r="AN1659">
        <v>14314</v>
      </c>
    </row>
    <row r="1660" spans="2:40" x14ac:dyDescent="0.35">
      <c r="B1660" s="46" t="s">
        <v>2409</v>
      </c>
      <c r="D1660" t="s">
        <v>1460</v>
      </c>
      <c r="E1660" t="s">
        <v>1937</v>
      </c>
      <c r="F1660" s="46" t="s">
        <v>2386</v>
      </c>
      <c r="G1660" t="s">
        <v>615</v>
      </c>
      <c r="H1660" s="47" t="s">
        <v>2366</v>
      </c>
      <c r="I1660" s="47" t="s">
        <v>2367</v>
      </c>
      <c r="J1660" t="s">
        <v>2387</v>
      </c>
      <c r="K1660">
        <v>171</v>
      </c>
      <c r="L1660">
        <v>260</v>
      </c>
      <c r="M1660" s="24">
        <v>140</v>
      </c>
      <c r="N1660" s="24">
        <v>223</v>
      </c>
      <c r="O1660" s="24">
        <v>127</v>
      </c>
      <c r="P1660" s="24">
        <v>213</v>
      </c>
      <c r="Q1660">
        <v>157</v>
      </c>
      <c r="R1660">
        <v>243</v>
      </c>
      <c r="S1660">
        <v>261</v>
      </c>
      <c r="T1660">
        <v>402</v>
      </c>
      <c r="U1660">
        <v>330</v>
      </c>
      <c r="V1660">
        <v>589</v>
      </c>
      <c r="W1660">
        <v>597</v>
      </c>
      <c r="X1660">
        <v>952</v>
      </c>
      <c r="Z1660" t="str">
        <f t="shared" si="5"/>
        <v/>
      </c>
      <c r="AA1660" t="s">
        <v>2387</v>
      </c>
      <c r="AB1660" t="s">
        <v>2387</v>
      </c>
      <c r="AC1660">
        <v>140</v>
      </c>
      <c r="AD1660">
        <v>223</v>
      </c>
      <c r="AE1660">
        <v>127</v>
      </c>
      <c r="AF1660">
        <v>213</v>
      </c>
      <c r="AG1660">
        <v>157</v>
      </c>
      <c r="AH1660">
        <v>243</v>
      </c>
      <c r="AI1660">
        <v>261</v>
      </c>
      <c r="AJ1660">
        <v>402</v>
      </c>
      <c r="AK1660">
        <v>330</v>
      </c>
      <c r="AL1660">
        <v>589</v>
      </c>
      <c r="AM1660">
        <v>597</v>
      </c>
      <c r="AN1660">
        <v>952</v>
      </c>
    </row>
    <row r="1661" spans="2:40" x14ac:dyDescent="0.35">
      <c r="B1661" s="46" t="s">
        <v>2413</v>
      </c>
      <c r="D1661" t="s">
        <v>1460</v>
      </c>
      <c r="E1661" t="s">
        <v>1937</v>
      </c>
      <c r="F1661" s="46" t="s">
        <v>2065</v>
      </c>
      <c r="G1661" t="s">
        <v>259</v>
      </c>
      <c r="H1661" s="47" t="s">
        <v>477</v>
      </c>
      <c r="I1661" s="47" t="s">
        <v>2061</v>
      </c>
      <c r="J1661" t="s">
        <v>2066</v>
      </c>
      <c r="K1661">
        <v>889</v>
      </c>
      <c r="L1661">
        <v>972</v>
      </c>
      <c r="M1661" s="24">
        <v>963</v>
      </c>
      <c r="N1661" s="24">
        <v>1019</v>
      </c>
      <c r="O1661" s="24">
        <v>968</v>
      </c>
      <c r="P1661" s="24">
        <v>1072</v>
      </c>
      <c r="Q1661">
        <v>1015</v>
      </c>
      <c r="R1661">
        <v>1150</v>
      </c>
      <c r="S1661">
        <v>1616</v>
      </c>
      <c r="T1661">
        <v>1825</v>
      </c>
      <c r="U1661">
        <v>1676</v>
      </c>
      <c r="V1661">
        <v>2186</v>
      </c>
      <c r="W1661">
        <v>1984</v>
      </c>
      <c r="X1661">
        <v>2804</v>
      </c>
      <c r="Z1661" t="str">
        <f t="shared" si="5"/>
        <v/>
      </c>
      <c r="AA1661" t="s">
        <v>2066</v>
      </c>
      <c r="AB1661" t="s">
        <v>2066</v>
      </c>
      <c r="AC1661">
        <v>963</v>
      </c>
      <c r="AD1661">
        <v>1019</v>
      </c>
      <c r="AE1661">
        <v>968</v>
      </c>
      <c r="AF1661">
        <v>1072</v>
      </c>
      <c r="AG1661">
        <v>1015</v>
      </c>
      <c r="AH1661">
        <v>1150</v>
      </c>
      <c r="AI1661">
        <v>1616</v>
      </c>
      <c r="AJ1661">
        <v>1825</v>
      </c>
      <c r="AK1661">
        <v>1676</v>
      </c>
      <c r="AL1661">
        <v>2186</v>
      </c>
      <c r="AM1661">
        <v>1984</v>
      </c>
      <c r="AN1661">
        <v>2804</v>
      </c>
    </row>
    <row r="1662" spans="2:40" x14ac:dyDescent="0.35">
      <c r="B1662" s="46" t="s">
        <v>2415</v>
      </c>
      <c r="D1662" t="s">
        <v>1460</v>
      </c>
      <c r="E1662" t="s">
        <v>1937</v>
      </c>
      <c r="F1662" s="46" t="s">
        <v>2036</v>
      </c>
      <c r="G1662" t="s">
        <v>239</v>
      </c>
      <c r="H1662" s="47" t="s">
        <v>450</v>
      </c>
      <c r="I1662" s="47" t="s">
        <v>2021</v>
      </c>
      <c r="J1662" t="s">
        <v>1860</v>
      </c>
      <c r="K1662">
        <v>10104</v>
      </c>
      <c r="L1662">
        <v>20660</v>
      </c>
      <c r="M1662" s="24">
        <v>9221</v>
      </c>
      <c r="N1662" s="24">
        <v>19447</v>
      </c>
      <c r="O1662" s="24">
        <v>9632</v>
      </c>
      <c r="P1662" s="24">
        <v>19916</v>
      </c>
      <c r="Q1662">
        <v>10722</v>
      </c>
      <c r="R1662">
        <v>23068</v>
      </c>
      <c r="S1662">
        <v>14681</v>
      </c>
      <c r="T1662">
        <v>31389</v>
      </c>
      <c r="U1662">
        <v>14601</v>
      </c>
      <c r="V1662">
        <v>37782</v>
      </c>
      <c r="W1662">
        <v>18190</v>
      </c>
      <c r="X1662">
        <v>51306</v>
      </c>
      <c r="Z1662" t="str">
        <f t="shared" si="5"/>
        <v/>
      </c>
      <c r="AA1662" t="s">
        <v>1860</v>
      </c>
      <c r="AB1662" t="s">
        <v>1860</v>
      </c>
      <c r="AC1662">
        <v>9221</v>
      </c>
      <c r="AD1662">
        <v>19447</v>
      </c>
      <c r="AE1662">
        <v>9632</v>
      </c>
      <c r="AF1662">
        <v>19916</v>
      </c>
      <c r="AG1662">
        <v>10722</v>
      </c>
      <c r="AH1662">
        <v>23068</v>
      </c>
      <c r="AI1662">
        <v>14681</v>
      </c>
      <c r="AJ1662">
        <v>31389</v>
      </c>
      <c r="AK1662">
        <v>14601</v>
      </c>
      <c r="AL1662">
        <v>37782</v>
      </c>
      <c r="AM1662">
        <v>18190</v>
      </c>
      <c r="AN1662">
        <v>51306</v>
      </c>
    </row>
    <row r="1663" spans="2:40" x14ac:dyDescent="0.35">
      <c r="B1663" s="46" t="s">
        <v>2417</v>
      </c>
      <c r="D1663" t="s">
        <v>1460</v>
      </c>
      <c r="E1663" t="s">
        <v>1937</v>
      </c>
      <c r="F1663" s="46" t="s">
        <v>2296</v>
      </c>
      <c r="G1663" t="s">
        <v>592</v>
      </c>
      <c r="H1663" s="47" t="s">
        <v>2257</v>
      </c>
      <c r="I1663" s="47" t="s">
        <v>2258</v>
      </c>
      <c r="J1663" t="s">
        <v>1628</v>
      </c>
      <c r="K1663">
        <v>1003</v>
      </c>
      <c r="L1663">
        <v>1828</v>
      </c>
      <c r="M1663" s="24">
        <v>859</v>
      </c>
      <c r="N1663" s="24">
        <v>1673</v>
      </c>
      <c r="O1663" s="24">
        <v>915</v>
      </c>
      <c r="P1663" s="24">
        <v>1677</v>
      </c>
      <c r="Q1663">
        <v>1081</v>
      </c>
      <c r="R1663">
        <v>1799</v>
      </c>
      <c r="S1663">
        <v>1561</v>
      </c>
      <c r="T1663">
        <v>2482</v>
      </c>
      <c r="U1663">
        <v>1989</v>
      </c>
      <c r="V1663">
        <v>3275</v>
      </c>
      <c r="W1663">
        <v>1621</v>
      </c>
      <c r="X1663">
        <v>4236</v>
      </c>
      <c r="Z1663" t="str">
        <f t="shared" si="5"/>
        <v/>
      </c>
      <c r="AA1663" t="s">
        <v>1628</v>
      </c>
      <c r="AB1663" t="s">
        <v>1628</v>
      </c>
      <c r="AC1663">
        <v>859</v>
      </c>
      <c r="AD1663">
        <v>1673</v>
      </c>
      <c r="AE1663">
        <v>915</v>
      </c>
      <c r="AF1663">
        <v>1677</v>
      </c>
      <c r="AG1663">
        <v>1081</v>
      </c>
      <c r="AH1663">
        <v>1799</v>
      </c>
      <c r="AI1663">
        <v>1561</v>
      </c>
      <c r="AJ1663">
        <v>2482</v>
      </c>
      <c r="AK1663">
        <v>1989</v>
      </c>
      <c r="AL1663">
        <v>3275</v>
      </c>
      <c r="AM1663">
        <v>1621</v>
      </c>
      <c r="AN1663">
        <v>4236</v>
      </c>
    </row>
    <row r="1664" spans="2:40" x14ac:dyDescent="0.35">
      <c r="B1664" s="46" t="s">
        <v>2419</v>
      </c>
      <c r="D1664" t="s">
        <v>1460</v>
      </c>
      <c r="E1664" t="s">
        <v>1937</v>
      </c>
      <c r="F1664" s="46" t="s">
        <v>2227</v>
      </c>
      <c r="G1664" t="s">
        <v>585</v>
      </c>
      <c r="H1664" s="47" t="s">
        <v>2198</v>
      </c>
      <c r="I1664" s="47" t="s">
        <v>2199</v>
      </c>
      <c r="J1664" t="s">
        <v>2228</v>
      </c>
      <c r="K1664">
        <v>133</v>
      </c>
      <c r="L1664">
        <v>244</v>
      </c>
      <c r="M1664" s="24">
        <v>94</v>
      </c>
      <c r="N1664" s="24">
        <v>234</v>
      </c>
      <c r="O1664" s="24">
        <v>98</v>
      </c>
      <c r="P1664" s="24">
        <v>246</v>
      </c>
      <c r="Q1664">
        <v>270</v>
      </c>
      <c r="R1664">
        <v>423</v>
      </c>
      <c r="S1664">
        <v>482</v>
      </c>
      <c r="T1664">
        <v>664</v>
      </c>
      <c r="U1664">
        <v>312</v>
      </c>
      <c r="V1664">
        <v>862</v>
      </c>
      <c r="W1664">
        <v>729</v>
      </c>
      <c r="X1664">
        <v>1350</v>
      </c>
      <c r="Z1664" t="str">
        <f t="shared" si="5"/>
        <v/>
      </c>
      <c r="AA1664" t="s">
        <v>2228</v>
      </c>
      <c r="AB1664" t="s">
        <v>2228</v>
      </c>
      <c r="AC1664">
        <v>94</v>
      </c>
      <c r="AD1664">
        <v>234</v>
      </c>
      <c r="AE1664">
        <v>98</v>
      </c>
      <c r="AF1664">
        <v>246</v>
      </c>
      <c r="AG1664">
        <v>270</v>
      </c>
      <c r="AH1664">
        <v>423</v>
      </c>
      <c r="AI1664">
        <v>482</v>
      </c>
      <c r="AJ1664">
        <v>664</v>
      </c>
      <c r="AK1664">
        <v>312</v>
      </c>
      <c r="AL1664">
        <v>862</v>
      </c>
      <c r="AM1664">
        <v>729</v>
      </c>
      <c r="AN1664">
        <v>1350</v>
      </c>
    </row>
    <row r="1665" spans="2:40" x14ac:dyDescent="0.35">
      <c r="B1665" s="46" t="s">
        <v>2421</v>
      </c>
      <c r="D1665" t="s">
        <v>1460</v>
      </c>
      <c r="E1665" t="s">
        <v>1937</v>
      </c>
      <c r="F1665" s="46" t="s">
        <v>2407</v>
      </c>
      <c r="G1665" t="s">
        <v>619</v>
      </c>
      <c r="H1665" s="47" t="s">
        <v>2391</v>
      </c>
      <c r="I1665" s="47" t="s">
        <v>2392</v>
      </c>
      <c r="J1665" t="s">
        <v>2408</v>
      </c>
      <c r="K1665">
        <v>1590</v>
      </c>
      <c r="L1665">
        <v>2849</v>
      </c>
      <c r="M1665" s="24">
        <v>1375</v>
      </c>
      <c r="N1665" s="24">
        <v>2758</v>
      </c>
      <c r="O1665" s="24">
        <v>1426</v>
      </c>
      <c r="P1665" s="24">
        <v>2688</v>
      </c>
      <c r="Q1665">
        <v>1291</v>
      </c>
      <c r="R1665">
        <v>2584</v>
      </c>
      <c r="S1665">
        <v>1873</v>
      </c>
      <c r="T1665">
        <v>3415</v>
      </c>
      <c r="U1665">
        <v>1980</v>
      </c>
      <c r="V1665">
        <v>4402</v>
      </c>
      <c r="W1665">
        <v>2581</v>
      </c>
      <c r="X1665">
        <v>5946</v>
      </c>
      <c r="Z1665" t="str">
        <f t="shared" si="5"/>
        <v/>
      </c>
      <c r="AA1665" t="s">
        <v>2408</v>
      </c>
      <c r="AB1665" t="s">
        <v>2408</v>
      </c>
      <c r="AC1665">
        <v>1375</v>
      </c>
      <c r="AD1665">
        <v>2758</v>
      </c>
      <c r="AE1665">
        <v>1426</v>
      </c>
      <c r="AF1665">
        <v>2688</v>
      </c>
      <c r="AG1665">
        <v>1291</v>
      </c>
      <c r="AH1665">
        <v>2584</v>
      </c>
      <c r="AI1665">
        <v>1873</v>
      </c>
      <c r="AJ1665">
        <v>3415</v>
      </c>
      <c r="AK1665">
        <v>1980</v>
      </c>
      <c r="AL1665">
        <v>4402</v>
      </c>
      <c r="AM1665">
        <v>2581</v>
      </c>
      <c r="AN1665">
        <v>5946</v>
      </c>
    </row>
    <row r="1666" spans="2:40" x14ac:dyDescent="0.35">
      <c r="B1666" s="46" t="s">
        <v>2423</v>
      </c>
      <c r="D1666" t="s">
        <v>1460</v>
      </c>
      <c r="E1666" t="s">
        <v>1937</v>
      </c>
      <c r="F1666" s="46" t="s">
        <v>2336</v>
      </c>
      <c r="G1666" t="s">
        <v>603</v>
      </c>
      <c r="H1666" s="47" t="s">
        <v>2327</v>
      </c>
      <c r="I1666" s="47" t="s">
        <v>2328</v>
      </c>
      <c r="J1666" t="s">
        <v>2337</v>
      </c>
      <c r="K1666">
        <v>939</v>
      </c>
      <c r="L1666">
        <v>1718</v>
      </c>
      <c r="M1666" s="24">
        <v>789</v>
      </c>
      <c r="N1666" s="24">
        <v>1711</v>
      </c>
      <c r="O1666" s="24">
        <v>716</v>
      </c>
      <c r="P1666" s="24">
        <v>1710</v>
      </c>
      <c r="Q1666">
        <v>803</v>
      </c>
      <c r="R1666">
        <v>1752</v>
      </c>
      <c r="S1666">
        <v>1244</v>
      </c>
      <c r="T1666">
        <v>2427</v>
      </c>
      <c r="U1666">
        <v>1481</v>
      </c>
      <c r="V1666">
        <v>3179</v>
      </c>
      <c r="W1666">
        <v>1569</v>
      </c>
      <c r="X1666">
        <v>4552</v>
      </c>
      <c r="Z1666" t="str">
        <f t="shared" si="5"/>
        <v/>
      </c>
      <c r="AA1666" t="s">
        <v>2337</v>
      </c>
      <c r="AB1666" t="s">
        <v>2337</v>
      </c>
      <c r="AC1666">
        <v>789</v>
      </c>
      <c r="AD1666">
        <v>1711</v>
      </c>
      <c r="AE1666">
        <v>716</v>
      </c>
      <c r="AF1666">
        <v>1710</v>
      </c>
      <c r="AG1666">
        <v>803</v>
      </c>
      <c r="AH1666">
        <v>1752</v>
      </c>
      <c r="AI1666">
        <v>1244</v>
      </c>
      <c r="AJ1666">
        <v>2427</v>
      </c>
      <c r="AK1666">
        <v>1481</v>
      </c>
      <c r="AL1666">
        <v>3179</v>
      </c>
      <c r="AM1666">
        <v>1569</v>
      </c>
      <c r="AN1666">
        <v>4552</v>
      </c>
    </row>
    <row r="1667" spans="2:40" x14ac:dyDescent="0.35">
      <c r="B1667" s="46" t="s">
        <v>2425</v>
      </c>
      <c r="D1667" t="s">
        <v>1460</v>
      </c>
      <c r="E1667" t="s">
        <v>1937</v>
      </c>
      <c r="F1667" s="46" t="s">
        <v>2188</v>
      </c>
      <c r="G1667" t="s">
        <v>577</v>
      </c>
      <c r="H1667" s="47" t="s">
        <v>2163</v>
      </c>
      <c r="I1667" s="47" t="s">
        <v>2164</v>
      </c>
      <c r="J1667" t="s">
        <v>2189</v>
      </c>
      <c r="K1667">
        <v>98</v>
      </c>
      <c r="L1667">
        <v>204</v>
      </c>
      <c r="M1667" s="24">
        <v>75</v>
      </c>
      <c r="N1667" s="24">
        <v>191</v>
      </c>
      <c r="O1667" s="24">
        <v>110</v>
      </c>
      <c r="P1667" s="24">
        <v>217</v>
      </c>
      <c r="Q1667">
        <v>197</v>
      </c>
      <c r="R1667">
        <v>327</v>
      </c>
      <c r="S1667">
        <v>384</v>
      </c>
      <c r="T1667">
        <v>527</v>
      </c>
      <c r="U1667">
        <v>165</v>
      </c>
      <c r="V1667">
        <v>583</v>
      </c>
      <c r="W1667">
        <v>180</v>
      </c>
      <c r="X1667">
        <v>777</v>
      </c>
      <c r="Z1667" t="str">
        <f t="shared" si="5"/>
        <v/>
      </c>
      <c r="AA1667" t="s">
        <v>2189</v>
      </c>
      <c r="AB1667" t="s">
        <v>2189</v>
      </c>
      <c r="AC1667">
        <v>75</v>
      </c>
      <c r="AD1667">
        <v>191</v>
      </c>
      <c r="AE1667">
        <v>110</v>
      </c>
      <c r="AF1667">
        <v>217</v>
      </c>
      <c r="AG1667">
        <v>197</v>
      </c>
      <c r="AH1667">
        <v>327</v>
      </c>
      <c r="AI1667">
        <v>384</v>
      </c>
      <c r="AJ1667">
        <v>527</v>
      </c>
      <c r="AK1667">
        <v>165</v>
      </c>
      <c r="AL1667">
        <v>583</v>
      </c>
      <c r="AM1667">
        <v>180</v>
      </c>
      <c r="AN1667">
        <v>777</v>
      </c>
    </row>
    <row r="1668" spans="2:40" x14ac:dyDescent="0.35">
      <c r="B1668" s="46" t="s">
        <v>2428</v>
      </c>
      <c r="D1668" t="s">
        <v>1460</v>
      </c>
      <c r="E1668" t="s">
        <v>1937</v>
      </c>
      <c r="F1668" s="46" t="s">
        <v>2388</v>
      </c>
      <c r="G1668" t="s">
        <v>615</v>
      </c>
      <c r="H1668" s="47" t="s">
        <v>2366</v>
      </c>
      <c r="I1668" s="47" t="s">
        <v>2367</v>
      </c>
      <c r="J1668" t="s">
        <v>2389</v>
      </c>
      <c r="K1668">
        <v>360</v>
      </c>
      <c r="L1668">
        <v>703</v>
      </c>
      <c r="M1668" s="24">
        <v>313</v>
      </c>
      <c r="N1668" s="24">
        <v>674</v>
      </c>
      <c r="O1668" s="24">
        <v>345</v>
      </c>
      <c r="P1668" s="24">
        <v>753</v>
      </c>
      <c r="Q1668">
        <v>444</v>
      </c>
      <c r="R1668">
        <v>817</v>
      </c>
      <c r="S1668">
        <v>580</v>
      </c>
      <c r="T1668">
        <v>1063</v>
      </c>
      <c r="U1668">
        <v>690</v>
      </c>
      <c r="V1668">
        <v>1424</v>
      </c>
      <c r="W1668">
        <v>712</v>
      </c>
      <c r="X1668">
        <v>1965</v>
      </c>
      <c r="Z1668" t="str">
        <f t="shared" si="5"/>
        <v/>
      </c>
      <c r="AA1668" t="s">
        <v>2389</v>
      </c>
      <c r="AB1668" t="s">
        <v>2389</v>
      </c>
      <c r="AC1668">
        <v>313</v>
      </c>
      <c r="AD1668">
        <v>674</v>
      </c>
      <c r="AE1668">
        <v>345</v>
      </c>
      <c r="AF1668">
        <v>753</v>
      </c>
      <c r="AG1668">
        <v>444</v>
      </c>
      <c r="AH1668">
        <v>817</v>
      </c>
      <c r="AI1668">
        <v>580</v>
      </c>
      <c r="AJ1668">
        <v>1063</v>
      </c>
      <c r="AK1668">
        <v>690</v>
      </c>
      <c r="AL1668">
        <v>1424</v>
      </c>
      <c r="AM1668">
        <v>712</v>
      </c>
      <c r="AN1668">
        <v>1965</v>
      </c>
    </row>
    <row r="1669" spans="2:40" x14ac:dyDescent="0.35">
      <c r="B1669" s="46" t="s">
        <v>2429</v>
      </c>
      <c r="D1669" t="s">
        <v>1460</v>
      </c>
      <c r="E1669" t="s">
        <v>1937</v>
      </c>
      <c r="F1669" s="46" t="s">
        <v>2149</v>
      </c>
      <c r="G1669" t="s">
        <v>303</v>
      </c>
      <c r="H1669" s="47" t="s">
        <v>2141</v>
      </c>
      <c r="I1669" s="47" t="s">
        <v>2142</v>
      </c>
      <c r="J1669" t="s">
        <v>2150</v>
      </c>
      <c r="K1669">
        <v>458</v>
      </c>
      <c r="L1669">
        <v>583</v>
      </c>
      <c r="M1669" s="24">
        <v>419</v>
      </c>
      <c r="N1669" s="24">
        <v>630</v>
      </c>
      <c r="O1669" s="24">
        <v>637</v>
      </c>
      <c r="P1669" s="24">
        <v>914</v>
      </c>
      <c r="Q1669">
        <v>878</v>
      </c>
      <c r="R1669">
        <v>1255</v>
      </c>
      <c r="S1669">
        <v>1711</v>
      </c>
      <c r="T1669">
        <v>2045</v>
      </c>
      <c r="U1669">
        <v>2102</v>
      </c>
      <c r="V1669">
        <v>2549</v>
      </c>
      <c r="W1669">
        <v>2521</v>
      </c>
      <c r="X1669">
        <v>3151</v>
      </c>
      <c r="Z1669" t="str">
        <f t="shared" si="5"/>
        <v/>
      </c>
      <c r="AA1669" t="s">
        <v>2150</v>
      </c>
      <c r="AB1669" t="s">
        <v>2150</v>
      </c>
      <c r="AC1669">
        <v>419</v>
      </c>
      <c r="AD1669">
        <v>630</v>
      </c>
      <c r="AE1669">
        <v>637</v>
      </c>
      <c r="AF1669">
        <v>914</v>
      </c>
      <c r="AG1669">
        <v>878</v>
      </c>
      <c r="AH1669">
        <v>1255</v>
      </c>
      <c r="AI1669">
        <v>1711</v>
      </c>
      <c r="AJ1669">
        <v>2045</v>
      </c>
      <c r="AK1669">
        <v>2102</v>
      </c>
      <c r="AL1669">
        <v>2549</v>
      </c>
      <c r="AM1669">
        <v>2521</v>
      </c>
      <c r="AN1669">
        <v>3151</v>
      </c>
    </row>
    <row r="1670" spans="2:40" x14ac:dyDescent="0.35">
      <c r="B1670" s="46" t="s">
        <v>2430</v>
      </c>
      <c r="D1670" t="s">
        <v>1460</v>
      </c>
      <c r="E1670" t="s">
        <v>1937</v>
      </c>
      <c r="F1670" s="46" t="s">
        <v>2297</v>
      </c>
      <c r="G1670" t="s">
        <v>592</v>
      </c>
      <c r="H1670" s="47" t="s">
        <v>2257</v>
      </c>
      <c r="I1670" s="47" t="s">
        <v>2258</v>
      </c>
      <c r="J1670" t="s">
        <v>2298</v>
      </c>
      <c r="K1670">
        <v>388</v>
      </c>
      <c r="L1670">
        <v>542</v>
      </c>
      <c r="M1670" s="24">
        <v>336</v>
      </c>
      <c r="N1670" s="24">
        <v>517</v>
      </c>
      <c r="O1670" s="24">
        <v>344</v>
      </c>
      <c r="P1670" s="24">
        <v>528</v>
      </c>
      <c r="Q1670">
        <v>406</v>
      </c>
      <c r="R1670">
        <v>550</v>
      </c>
      <c r="S1670">
        <v>541</v>
      </c>
      <c r="T1670">
        <v>755</v>
      </c>
      <c r="U1670">
        <v>645</v>
      </c>
      <c r="V1670">
        <v>988</v>
      </c>
      <c r="W1670">
        <v>635</v>
      </c>
      <c r="X1670">
        <v>1451</v>
      </c>
      <c r="Z1670" t="str">
        <f t="shared" si="5"/>
        <v/>
      </c>
      <c r="AA1670" t="s">
        <v>2298</v>
      </c>
      <c r="AB1670" t="s">
        <v>2298</v>
      </c>
      <c r="AC1670">
        <v>336</v>
      </c>
      <c r="AD1670">
        <v>517</v>
      </c>
      <c r="AE1670">
        <v>344</v>
      </c>
      <c r="AF1670">
        <v>528</v>
      </c>
      <c r="AG1670">
        <v>406</v>
      </c>
      <c r="AH1670">
        <v>550</v>
      </c>
      <c r="AI1670">
        <v>541</v>
      </c>
      <c r="AJ1670">
        <v>755</v>
      </c>
      <c r="AK1670">
        <v>645</v>
      </c>
      <c r="AL1670">
        <v>988</v>
      </c>
      <c r="AM1670">
        <v>635</v>
      </c>
      <c r="AN1670">
        <v>1451</v>
      </c>
    </row>
    <row r="1671" spans="2:40" x14ac:dyDescent="0.35">
      <c r="B1671" s="46" t="s">
        <v>2431</v>
      </c>
      <c r="D1671" t="s">
        <v>2432</v>
      </c>
      <c r="E1671" t="s">
        <v>2433</v>
      </c>
      <c r="F1671" s="46" t="s">
        <v>2431</v>
      </c>
      <c r="G1671" t="s">
        <v>265</v>
      </c>
      <c r="H1671" s="47" t="s">
        <v>501</v>
      </c>
      <c r="I1671" s="47" t="s">
        <v>2434</v>
      </c>
      <c r="J1671" t="s">
        <v>2771</v>
      </c>
      <c r="K1671">
        <v>392</v>
      </c>
      <c r="L1671">
        <v>546</v>
      </c>
      <c r="M1671">
        <v>392</v>
      </c>
      <c r="N1671">
        <v>546</v>
      </c>
      <c r="O1671" s="24">
        <v>342</v>
      </c>
      <c r="P1671" s="24">
        <v>552</v>
      </c>
      <c r="Q1671">
        <v>325</v>
      </c>
      <c r="R1671">
        <v>577</v>
      </c>
      <c r="S1671">
        <v>406</v>
      </c>
      <c r="T1671">
        <v>683</v>
      </c>
      <c r="U1671">
        <v>428</v>
      </c>
      <c r="V1671">
        <v>785</v>
      </c>
      <c r="W1671">
        <v>610</v>
      </c>
      <c r="X1671">
        <v>970</v>
      </c>
    </row>
    <row r="1672" spans="2:40" x14ac:dyDescent="0.35">
      <c r="B1672" s="46" t="s">
        <v>2435</v>
      </c>
      <c r="D1672" t="s">
        <v>2432</v>
      </c>
      <c r="E1672" t="s">
        <v>2433</v>
      </c>
      <c r="F1672" s="46" t="s">
        <v>2435</v>
      </c>
      <c r="G1672" t="s">
        <v>235</v>
      </c>
      <c r="H1672" s="47" t="s">
        <v>419</v>
      </c>
      <c r="I1672" s="47" t="s">
        <v>2436</v>
      </c>
      <c r="J1672" t="s">
        <v>2772</v>
      </c>
      <c r="K1672">
        <v>1608</v>
      </c>
      <c r="L1672">
        <v>3172</v>
      </c>
      <c r="M1672">
        <v>1608</v>
      </c>
      <c r="N1672">
        <v>3172</v>
      </c>
      <c r="O1672" s="24">
        <v>1461</v>
      </c>
      <c r="P1672" s="24">
        <v>3221</v>
      </c>
      <c r="Q1672">
        <v>1257</v>
      </c>
      <c r="R1672">
        <v>3301</v>
      </c>
      <c r="S1672">
        <v>1809</v>
      </c>
      <c r="T1672">
        <v>4113</v>
      </c>
      <c r="U1672">
        <v>2151</v>
      </c>
      <c r="V1672">
        <v>4880</v>
      </c>
      <c r="W1672">
        <v>2520</v>
      </c>
      <c r="X1672">
        <v>5504</v>
      </c>
    </row>
    <row r="1673" spans="2:40" x14ac:dyDescent="0.35">
      <c r="B1673" s="46" t="s">
        <v>2437</v>
      </c>
      <c r="D1673" t="s">
        <v>2432</v>
      </c>
      <c r="E1673" t="s">
        <v>2433</v>
      </c>
      <c r="F1673" s="46" t="s">
        <v>2437</v>
      </c>
      <c r="G1673" t="s">
        <v>231</v>
      </c>
      <c r="H1673" s="47" t="s">
        <v>393</v>
      </c>
      <c r="I1673" s="47" t="s">
        <v>2438</v>
      </c>
      <c r="J1673" t="s">
        <v>2773</v>
      </c>
      <c r="K1673">
        <v>4426</v>
      </c>
      <c r="L1673">
        <v>8778</v>
      </c>
      <c r="M1673">
        <v>4426</v>
      </c>
      <c r="N1673">
        <v>8778</v>
      </c>
      <c r="O1673" s="24">
        <v>3895</v>
      </c>
      <c r="P1673" s="24">
        <v>9115</v>
      </c>
      <c r="Q1673">
        <v>3198</v>
      </c>
      <c r="R1673">
        <v>8996</v>
      </c>
      <c r="S1673">
        <v>3854</v>
      </c>
      <c r="T1673">
        <v>10401</v>
      </c>
      <c r="U1673">
        <v>4381</v>
      </c>
      <c r="V1673">
        <v>11533</v>
      </c>
      <c r="W1673">
        <v>5083</v>
      </c>
      <c r="X1673">
        <v>13191</v>
      </c>
    </row>
    <row r="1674" spans="2:40" x14ac:dyDescent="0.35">
      <c r="B1674" s="46" t="s">
        <v>2439</v>
      </c>
      <c r="D1674" t="s">
        <v>2432</v>
      </c>
      <c r="E1674" t="s">
        <v>2433</v>
      </c>
      <c r="F1674" s="46" t="s">
        <v>2439</v>
      </c>
      <c r="G1674" t="s">
        <v>265</v>
      </c>
      <c r="H1674" s="47" t="s">
        <v>501</v>
      </c>
      <c r="I1674" s="47" t="s">
        <v>2434</v>
      </c>
      <c r="J1674" t="s">
        <v>2774</v>
      </c>
      <c r="K1674">
        <v>629</v>
      </c>
      <c r="L1674">
        <v>937</v>
      </c>
      <c r="M1674">
        <v>629</v>
      </c>
      <c r="N1674">
        <v>937</v>
      </c>
      <c r="O1674" s="24">
        <v>543</v>
      </c>
      <c r="P1674" s="24">
        <v>913</v>
      </c>
      <c r="Q1674">
        <v>447</v>
      </c>
      <c r="R1674">
        <v>859</v>
      </c>
      <c r="S1674">
        <v>562</v>
      </c>
      <c r="T1674">
        <v>983</v>
      </c>
      <c r="U1674">
        <v>550</v>
      </c>
      <c r="V1674">
        <v>1038</v>
      </c>
      <c r="W1674">
        <v>674</v>
      </c>
      <c r="X1674">
        <v>1289</v>
      </c>
    </row>
    <row r="1675" spans="2:40" x14ac:dyDescent="0.35">
      <c r="B1675" s="46" t="s">
        <v>2440</v>
      </c>
      <c r="D1675" t="s">
        <v>2432</v>
      </c>
      <c r="E1675" t="s">
        <v>2433</v>
      </c>
      <c r="F1675" s="46" t="s">
        <v>2440</v>
      </c>
      <c r="G1675" t="s">
        <v>265</v>
      </c>
      <c r="H1675" s="47" t="s">
        <v>501</v>
      </c>
      <c r="I1675" s="47" t="s">
        <v>2434</v>
      </c>
      <c r="J1675" t="s">
        <v>2775</v>
      </c>
      <c r="K1675">
        <v>32</v>
      </c>
      <c r="L1675">
        <v>83</v>
      </c>
      <c r="M1675">
        <v>32</v>
      </c>
      <c r="N1675">
        <v>83</v>
      </c>
      <c r="O1675" s="24">
        <v>34</v>
      </c>
      <c r="P1675" s="24">
        <v>81</v>
      </c>
      <c r="Q1675">
        <v>30</v>
      </c>
      <c r="R1675">
        <v>78</v>
      </c>
      <c r="S1675">
        <v>41</v>
      </c>
      <c r="T1675">
        <v>87</v>
      </c>
      <c r="U1675">
        <v>39</v>
      </c>
      <c r="V1675">
        <v>91</v>
      </c>
      <c r="W1675">
        <v>48</v>
      </c>
      <c r="X1675">
        <v>86</v>
      </c>
    </row>
    <row r="1676" spans="2:40" x14ac:dyDescent="0.35">
      <c r="B1676" s="46" t="s">
        <v>2441</v>
      </c>
      <c r="D1676" t="s">
        <v>2432</v>
      </c>
      <c r="E1676" t="s">
        <v>2433</v>
      </c>
      <c r="F1676" s="46" t="s">
        <v>2441</v>
      </c>
      <c r="G1676" t="s">
        <v>239</v>
      </c>
      <c r="H1676" s="47" t="s">
        <v>450</v>
      </c>
      <c r="I1676" s="47" t="s">
        <v>2442</v>
      </c>
      <c r="J1676" t="s">
        <v>2776</v>
      </c>
      <c r="K1676">
        <v>8422</v>
      </c>
      <c r="L1676">
        <v>16494</v>
      </c>
      <c r="M1676">
        <v>8422</v>
      </c>
      <c r="N1676">
        <v>16494</v>
      </c>
      <c r="O1676" s="24">
        <v>7768</v>
      </c>
      <c r="P1676" s="24">
        <v>16978</v>
      </c>
      <c r="Q1676">
        <v>7523</v>
      </c>
      <c r="R1676">
        <v>17805</v>
      </c>
      <c r="S1676">
        <v>10027</v>
      </c>
      <c r="T1676">
        <v>21101</v>
      </c>
      <c r="U1676">
        <v>10874</v>
      </c>
      <c r="V1676">
        <v>23520</v>
      </c>
      <c r="W1676">
        <v>14274</v>
      </c>
      <c r="X1676">
        <v>28633</v>
      </c>
    </row>
    <row r="1677" spans="2:40" x14ac:dyDescent="0.35">
      <c r="B1677" s="46" t="s">
        <v>2443</v>
      </c>
      <c r="D1677" t="s">
        <v>2432</v>
      </c>
      <c r="E1677" t="s">
        <v>2433</v>
      </c>
      <c r="F1677" s="46" t="s">
        <v>2443</v>
      </c>
      <c r="G1677" t="s">
        <v>265</v>
      </c>
      <c r="H1677" s="47" t="s">
        <v>501</v>
      </c>
      <c r="I1677" s="47" t="s">
        <v>2434</v>
      </c>
      <c r="J1677" t="s">
        <v>2777</v>
      </c>
      <c r="K1677">
        <v>575</v>
      </c>
      <c r="L1677">
        <v>1065</v>
      </c>
      <c r="M1677">
        <v>575</v>
      </c>
      <c r="N1677">
        <v>1065</v>
      </c>
      <c r="O1677" s="24">
        <v>576</v>
      </c>
      <c r="P1677" s="24">
        <v>1075</v>
      </c>
      <c r="Q1677">
        <v>619</v>
      </c>
      <c r="R1677">
        <v>1241</v>
      </c>
      <c r="S1677">
        <v>705</v>
      </c>
      <c r="T1677">
        <v>1397</v>
      </c>
      <c r="U1677">
        <v>778</v>
      </c>
      <c r="V1677">
        <v>1639</v>
      </c>
      <c r="W1677">
        <v>976</v>
      </c>
      <c r="X1677">
        <v>1907</v>
      </c>
    </row>
    <row r="1678" spans="2:40" x14ac:dyDescent="0.35">
      <c r="B1678" s="46" t="s">
        <v>2444</v>
      </c>
      <c r="D1678" t="s">
        <v>2432</v>
      </c>
      <c r="E1678" t="s">
        <v>2433</v>
      </c>
      <c r="F1678" s="46" t="s">
        <v>2444</v>
      </c>
      <c r="G1678" t="s">
        <v>265</v>
      </c>
      <c r="H1678" s="47" t="s">
        <v>501</v>
      </c>
      <c r="I1678" s="47" t="s">
        <v>2434</v>
      </c>
      <c r="J1678" t="s">
        <v>2778</v>
      </c>
      <c r="K1678">
        <v>270</v>
      </c>
      <c r="L1678">
        <v>413</v>
      </c>
      <c r="M1678">
        <v>270</v>
      </c>
      <c r="N1678">
        <v>413</v>
      </c>
      <c r="O1678" s="24">
        <v>248</v>
      </c>
      <c r="P1678" s="24">
        <v>429</v>
      </c>
      <c r="Q1678">
        <v>199</v>
      </c>
      <c r="R1678">
        <v>443</v>
      </c>
      <c r="S1678">
        <v>227</v>
      </c>
      <c r="T1678">
        <v>516</v>
      </c>
      <c r="U1678">
        <v>264</v>
      </c>
      <c r="V1678">
        <v>521</v>
      </c>
      <c r="W1678">
        <v>352</v>
      </c>
      <c r="X1678">
        <v>672</v>
      </c>
    </row>
    <row r="1679" spans="2:40" x14ac:dyDescent="0.35">
      <c r="B1679" s="46" t="s">
        <v>2445</v>
      </c>
      <c r="D1679" t="s">
        <v>2432</v>
      </c>
      <c r="E1679" t="s">
        <v>2433</v>
      </c>
      <c r="F1679" s="46" t="s">
        <v>2445</v>
      </c>
      <c r="G1679" t="s">
        <v>265</v>
      </c>
      <c r="H1679" s="47" t="s">
        <v>501</v>
      </c>
      <c r="I1679" s="47" t="s">
        <v>2434</v>
      </c>
      <c r="J1679" t="s">
        <v>2779</v>
      </c>
      <c r="K1679">
        <v>278</v>
      </c>
      <c r="L1679">
        <v>458</v>
      </c>
      <c r="M1679">
        <v>278</v>
      </c>
      <c r="N1679">
        <v>458</v>
      </c>
      <c r="O1679" s="24">
        <v>232</v>
      </c>
      <c r="P1679" s="24">
        <v>421</v>
      </c>
      <c r="Q1679">
        <v>228</v>
      </c>
      <c r="R1679">
        <v>417</v>
      </c>
      <c r="S1679">
        <v>298</v>
      </c>
      <c r="T1679">
        <v>508</v>
      </c>
      <c r="U1679">
        <v>294</v>
      </c>
      <c r="V1679">
        <v>568</v>
      </c>
      <c r="W1679">
        <v>338</v>
      </c>
      <c r="X1679">
        <v>594</v>
      </c>
    </row>
    <row r="1680" spans="2:40" x14ac:dyDescent="0.35">
      <c r="B1680" s="46" t="s">
        <v>2446</v>
      </c>
      <c r="D1680" t="s">
        <v>2432</v>
      </c>
      <c r="E1680" t="s">
        <v>2433</v>
      </c>
      <c r="F1680" s="46" t="s">
        <v>2446</v>
      </c>
      <c r="G1680" t="s">
        <v>265</v>
      </c>
      <c r="H1680" s="47" t="s">
        <v>501</v>
      </c>
      <c r="I1680" s="47" t="s">
        <v>2434</v>
      </c>
      <c r="J1680" t="s">
        <v>2780</v>
      </c>
      <c r="K1680">
        <v>595</v>
      </c>
      <c r="L1680">
        <v>1201</v>
      </c>
      <c r="M1680">
        <v>595</v>
      </c>
      <c r="N1680">
        <v>1201</v>
      </c>
      <c r="O1680" s="24">
        <v>475</v>
      </c>
      <c r="P1680" s="24">
        <v>1163</v>
      </c>
      <c r="Q1680">
        <v>404</v>
      </c>
      <c r="R1680">
        <v>1078</v>
      </c>
      <c r="S1680">
        <v>545</v>
      </c>
      <c r="T1680">
        <v>1292</v>
      </c>
      <c r="U1680">
        <v>497</v>
      </c>
      <c r="V1680">
        <v>1315</v>
      </c>
      <c r="W1680">
        <v>637</v>
      </c>
      <c r="X1680">
        <v>1453</v>
      </c>
    </row>
    <row r="1681" spans="2:24" x14ac:dyDescent="0.35">
      <c r="B1681" s="46" t="s">
        <v>2447</v>
      </c>
      <c r="D1681" t="s">
        <v>2432</v>
      </c>
      <c r="E1681" t="s">
        <v>2433</v>
      </c>
      <c r="F1681" s="46" t="s">
        <v>2447</v>
      </c>
      <c r="G1681" t="s">
        <v>259</v>
      </c>
      <c r="H1681" s="47" t="s">
        <v>477</v>
      </c>
      <c r="I1681" s="47" t="s">
        <v>2448</v>
      </c>
      <c r="J1681" t="s">
        <v>2739</v>
      </c>
      <c r="K1681">
        <v>2114</v>
      </c>
      <c r="L1681">
        <v>3754</v>
      </c>
      <c r="M1681">
        <v>2114</v>
      </c>
      <c r="N1681">
        <v>3754</v>
      </c>
      <c r="O1681" s="24">
        <v>2015</v>
      </c>
      <c r="P1681" s="24">
        <v>3983</v>
      </c>
      <c r="Q1681">
        <v>1700</v>
      </c>
      <c r="R1681">
        <v>4046</v>
      </c>
      <c r="S1681">
        <v>2457</v>
      </c>
      <c r="T1681">
        <v>5113</v>
      </c>
      <c r="U1681">
        <v>2746</v>
      </c>
      <c r="V1681">
        <v>5882</v>
      </c>
      <c r="W1681">
        <v>2783</v>
      </c>
      <c r="X1681">
        <v>6506</v>
      </c>
    </row>
    <row r="1682" spans="2:24" x14ac:dyDescent="0.35">
      <c r="B1682" s="46" t="s">
        <v>2449</v>
      </c>
      <c r="D1682" t="s">
        <v>2432</v>
      </c>
      <c r="E1682" t="s">
        <v>2433</v>
      </c>
      <c r="F1682" s="46" t="s">
        <v>2449</v>
      </c>
      <c r="G1682" t="s">
        <v>265</v>
      </c>
      <c r="H1682" s="47" t="s">
        <v>501</v>
      </c>
      <c r="I1682" s="47" t="s">
        <v>2434</v>
      </c>
      <c r="J1682" t="s">
        <v>2781</v>
      </c>
      <c r="K1682">
        <v>659</v>
      </c>
      <c r="L1682">
        <v>1006</v>
      </c>
      <c r="M1682">
        <v>659</v>
      </c>
      <c r="N1682">
        <v>1006</v>
      </c>
      <c r="O1682" s="24">
        <v>684</v>
      </c>
      <c r="P1682" s="24">
        <v>1139</v>
      </c>
      <c r="Q1682">
        <v>717</v>
      </c>
      <c r="R1682">
        <v>1271</v>
      </c>
      <c r="S1682">
        <v>865</v>
      </c>
      <c r="T1682">
        <v>1497</v>
      </c>
      <c r="U1682">
        <v>948</v>
      </c>
      <c r="V1682">
        <v>1628</v>
      </c>
      <c r="W1682">
        <v>1151</v>
      </c>
      <c r="X1682">
        <v>1942</v>
      </c>
    </row>
    <row r="1683" spans="2:24" x14ac:dyDescent="0.35">
      <c r="B1683" s="46" t="s">
        <v>2450</v>
      </c>
      <c r="D1683" t="s">
        <v>2432</v>
      </c>
      <c r="E1683" t="s">
        <v>2433</v>
      </c>
      <c r="F1683" s="46" t="s">
        <v>2450</v>
      </c>
      <c r="G1683" t="s">
        <v>265</v>
      </c>
      <c r="H1683" s="47" t="s">
        <v>501</v>
      </c>
      <c r="I1683" s="47" t="s">
        <v>2434</v>
      </c>
      <c r="J1683" t="s">
        <v>2782</v>
      </c>
      <c r="K1683">
        <v>399</v>
      </c>
      <c r="L1683">
        <v>629</v>
      </c>
      <c r="M1683">
        <v>399</v>
      </c>
      <c r="N1683">
        <v>629</v>
      </c>
      <c r="O1683" s="24">
        <v>339</v>
      </c>
      <c r="P1683" s="24">
        <v>639</v>
      </c>
      <c r="Q1683">
        <v>320</v>
      </c>
      <c r="R1683">
        <v>736</v>
      </c>
      <c r="S1683">
        <v>436</v>
      </c>
      <c r="T1683">
        <v>951</v>
      </c>
      <c r="U1683">
        <v>448</v>
      </c>
      <c r="V1683">
        <v>1060</v>
      </c>
      <c r="W1683">
        <v>620</v>
      </c>
      <c r="X1683">
        <v>1151</v>
      </c>
    </row>
    <row r="1684" spans="2:24" x14ac:dyDescent="0.35">
      <c r="B1684" s="46" t="s">
        <v>2451</v>
      </c>
      <c r="D1684" t="s">
        <v>2432</v>
      </c>
      <c r="E1684" t="s">
        <v>2433</v>
      </c>
      <c r="F1684" s="46" t="s">
        <v>2451</v>
      </c>
      <c r="G1684" t="s">
        <v>265</v>
      </c>
      <c r="H1684" s="47" t="s">
        <v>501</v>
      </c>
      <c r="I1684" s="47" t="s">
        <v>2434</v>
      </c>
      <c r="J1684" t="s">
        <v>2783</v>
      </c>
      <c r="K1684">
        <v>515</v>
      </c>
      <c r="L1684">
        <v>745</v>
      </c>
      <c r="M1684">
        <v>515</v>
      </c>
      <c r="N1684">
        <v>745</v>
      </c>
      <c r="O1684" s="24">
        <v>479</v>
      </c>
      <c r="P1684" s="24">
        <v>806</v>
      </c>
      <c r="Q1684">
        <v>492</v>
      </c>
      <c r="R1684">
        <v>882</v>
      </c>
      <c r="S1684">
        <v>622</v>
      </c>
      <c r="T1684">
        <v>1044</v>
      </c>
      <c r="U1684">
        <v>610</v>
      </c>
      <c r="V1684">
        <v>1160</v>
      </c>
      <c r="W1684">
        <v>754</v>
      </c>
      <c r="X1684">
        <v>1288</v>
      </c>
    </row>
    <row r="1685" spans="2:24" x14ac:dyDescent="0.35">
      <c r="B1685" s="46" t="s">
        <v>2452</v>
      </c>
      <c r="D1685" t="s">
        <v>2432</v>
      </c>
      <c r="E1685" t="s">
        <v>2433</v>
      </c>
      <c r="F1685" s="46" t="s">
        <v>2452</v>
      </c>
      <c r="G1685" t="s">
        <v>235</v>
      </c>
      <c r="H1685" s="47" t="s">
        <v>419</v>
      </c>
      <c r="I1685" s="47" t="s">
        <v>2436</v>
      </c>
      <c r="J1685" t="s">
        <v>263</v>
      </c>
      <c r="K1685">
        <v>317</v>
      </c>
      <c r="L1685">
        <v>726</v>
      </c>
      <c r="M1685">
        <v>317</v>
      </c>
      <c r="N1685">
        <v>726</v>
      </c>
      <c r="O1685" s="24">
        <v>213</v>
      </c>
      <c r="P1685" s="24">
        <v>725</v>
      </c>
      <c r="Q1685">
        <v>203</v>
      </c>
      <c r="R1685">
        <v>734</v>
      </c>
      <c r="S1685">
        <v>239</v>
      </c>
      <c r="T1685">
        <v>866</v>
      </c>
      <c r="U1685">
        <v>295</v>
      </c>
      <c r="V1685">
        <v>1029</v>
      </c>
      <c r="W1685">
        <v>483</v>
      </c>
      <c r="X1685">
        <v>1242</v>
      </c>
    </row>
    <row r="1686" spans="2:24" x14ac:dyDescent="0.35">
      <c r="B1686" s="46" t="s">
        <v>2453</v>
      </c>
      <c r="D1686" t="s">
        <v>2432</v>
      </c>
      <c r="E1686" t="s">
        <v>2433</v>
      </c>
      <c r="F1686" s="46" t="s">
        <v>2453</v>
      </c>
      <c r="G1686" t="s">
        <v>265</v>
      </c>
      <c r="H1686" s="47" t="s">
        <v>501</v>
      </c>
      <c r="I1686" s="47" t="s">
        <v>2434</v>
      </c>
      <c r="J1686" t="s">
        <v>2784</v>
      </c>
      <c r="K1686">
        <v>68</v>
      </c>
      <c r="L1686">
        <v>103</v>
      </c>
      <c r="M1686">
        <v>68</v>
      </c>
      <c r="N1686">
        <v>103</v>
      </c>
      <c r="O1686" s="24">
        <v>57</v>
      </c>
      <c r="P1686" s="24">
        <v>102</v>
      </c>
      <c r="Q1686">
        <v>51</v>
      </c>
      <c r="R1686">
        <v>101</v>
      </c>
      <c r="S1686">
        <v>63</v>
      </c>
      <c r="T1686">
        <v>119</v>
      </c>
      <c r="U1686">
        <v>75</v>
      </c>
      <c r="V1686">
        <v>137</v>
      </c>
      <c r="W1686">
        <v>111</v>
      </c>
      <c r="X1686">
        <v>179</v>
      </c>
    </row>
    <row r="1687" spans="2:24" x14ac:dyDescent="0.35">
      <c r="B1687" s="46" t="s">
        <v>2454</v>
      </c>
      <c r="D1687" t="s">
        <v>2432</v>
      </c>
      <c r="E1687" t="s">
        <v>2433</v>
      </c>
      <c r="F1687" s="46" t="s">
        <v>2454</v>
      </c>
      <c r="G1687" t="s">
        <v>231</v>
      </c>
      <c r="H1687" s="47" t="s">
        <v>393</v>
      </c>
      <c r="I1687" s="47" t="s">
        <v>2438</v>
      </c>
      <c r="J1687" t="s">
        <v>2785</v>
      </c>
      <c r="K1687">
        <v>157</v>
      </c>
      <c r="L1687">
        <v>257</v>
      </c>
      <c r="M1687">
        <v>157</v>
      </c>
      <c r="N1687">
        <v>257</v>
      </c>
      <c r="O1687" s="24">
        <v>169</v>
      </c>
      <c r="P1687" s="24">
        <v>290</v>
      </c>
      <c r="Q1687">
        <v>155</v>
      </c>
      <c r="R1687">
        <v>310</v>
      </c>
      <c r="S1687">
        <v>191</v>
      </c>
      <c r="T1687">
        <v>366</v>
      </c>
      <c r="U1687">
        <v>191</v>
      </c>
      <c r="V1687">
        <v>417</v>
      </c>
      <c r="W1687">
        <v>202</v>
      </c>
      <c r="X1687">
        <v>475</v>
      </c>
    </row>
    <row r="1688" spans="2:24" x14ac:dyDescent="0.35">
      <c r="B1688" s="46" t="s">
        <v>2455</v>
      </c>
      <c r="D1688" t="s">
        <v>2432</v>
      </c>
      <c r="E1688" t="s">
        <v>2433</v>
      </c>
      <c r="F1688" s="46" t="s">
        <v>2455</v>
      </c>
      <c r="G1688" t="s">
        <v>239</v>
      </c>
      <c r="H1688" s="47" t="s">
        <v>450</v>
      </c>
      <c r="I1688" s="47" t="s">
        <v>2442</v>
      </c>
      <c r="J1688" t="s">
        <v>2786</v>
      </c>
      <c r="K1688">
        <v>37720</v>
      </c>
      <c r="L1688">
        <v>65824</v>
      </c>
      <c r="M1688">
        <v>37720</v>
      </c>
      <c r="N1688">
        <v>65824</v>
      </c>
      <c r="O1688" s="24">
        <v>35333</v>
      </c>
      <c r="P1688" s="24">
        <v>66952</v>
      </c>
      <c r="Q1688">
        <v>33667</v>
      </c>
      <c r="R1688">
        <v>69082</v>
      </c>
      <c r="S1688">
        <v>46955</v>
      </c>
      <c r="T1688">
        <v>86543</v>
      </c>
      <c r="U1688">
        <v>56554</v>
      </c>
      <c r="V1688">
        <v>102229</v>
      </c>
      <c r="W1688">
        <v>81768</v>
      </c>
      <c r="X1688">
        <v>134463</v>
      </c>
    </row>
    <row r="1689" spans="2:24" x14ac:dyDescent="0.35">
      <c r="B1689" s="46" t="s">
        <v>2456</v>
      </c>
      <c r="D1689" t="s">
        <v>2432</v>
      </c>
      <c r="E1689" t="s">
        <v>2433</v>
      </c>
      <c r="F1689" s="46" t="s">
        <v>2456</v>
      </c>
      <c r="G1689" t="s">
        <v>265</v>
      </c>
      <c r="H1689" s="47" t="s">
        <v>501</v>
      </c>
      <c r="I1689" s="47" t="s">
        <v>2434</v>
      </c>
      <c r="J1689" t="s">
        <v>2787</v>
      </c>
      <c r="K1689">
        <v>188</v>
      </c>
      <c r="L1689">
        <v>355</v>
      </c>
      <c r="M1689">
        <v>188</v>
      </c>
      <c r="N1689">
        <v>355</v>
      </c>
      <c r="O1689" s="24">
        <v>150</v>
      </c>
      <c r="P1689" s="24">
        <v>355</v>
      </c>
      <c r="Q1689">
        <v>150</v>
      </c>
      <c r="R1689">
        <v>386</v>
      </c>
      <c r="S1689">
        <v>187</v>
      </c>
      <c r="T1689">
        <v>442</v>
      </c>
      <c r="U1689">
        <v>225</v>
      </c>
      <c r="V1689">
        <v>495</v>
      </c>
      <c r="W1689">
        <v>281</v>
      </c>
      <c r="X1689">
        <v>584</v>
      </c>
    </row>
    <row r="1690" spans="2:24" x14ac:dyDescent="0.35">
      <c r="B1690" s="46" t="s">
        <v>2457</v>
      </c>
      <c r="D1690" t="s">
        <v>2432</v>
      </c>
      <c r="E1690" t="s">
        <v>2433</v>
      </c>
      <c r="F1690" s="46" t="s">
        <v>2457</v>
      </c>
      <c r="G1690" t="s">
        <v>265</v>
      </c>
      <c r="H1690" s="47" t="s">
        <v>501</v>
      </c>
      <c r="I1690" s="47" t="s">
        <v>2434</v>
      </c>
      <c r="J1690" t="s">
        <v>2788</v>
      </c>
      <c r="K1690">
        <v>1419</v>
      </c>
      <c r="L1690">
        <v>2074</v>
      </c>
      <c r="M1690">
        <v>1419</v>
      </c>
      <c r="N1690">
        <v>2074</v>
      </c>
      <c r="O1690" s="24">
        <v>1340</v>
      </c>
      <c r="P1690" s="24">
        <v>2148</v>
      </c>
      <c r="Q1690">
        <v>1291</v>
      </c>
      <c r="R1690">
        <v>2228</v>
      </c>
      <c r="S1690">
        <v>1589</v>
      </c>
      <c r="T1690">
        <v>2762</v>
      </c>
      <c r="U1690">
        <v>1823</v>
      </c>
      <c r="V1690">
        <v>3126</v>
      </c>
      <c r="W1690">
        <v>2524</v>
      </c>
      <c r="X1690">
        <v>3783</v>
      </c>
    </row>
    <row r="1691" spans="2:24" x14ac:dyDescent="0.35">
      <c r="B1691" s="46" t="s">
        <v>2458</v>
      </c>
      <c r="D1691" t="s">
        <v>2432</v>
      </c>
      <c r="E1691" t="s">
        <v>2433</v>
      </c>
      <c r="F1691" s="46" t="s">
        <v>2458</v>
      </c>
      <c r="G1691" t="s">
        <v>265</v>
      </c>
      <c r="H1691" s="47" t="s">
        <v>501</v>
      </c>
      <c r="I1691" s="47" t="s">
        <v>2434</v>
      </c>
      <c r="J1691" t="s">
        <v>512</v>
      </c>
      <c r="K1691">
        <v>1012</v>
      </c>
      <c r="L1691">
        <v>1493</v>
      </c>
      <c r="M1691">
        <v>1012</v>
      </c>
      <c r="N1691">
        <v>1493</v>
      </c>
      <c r="O1691" s="24">
        <v>845</v>
      </c>
      <c r="P1691" s="24">
        <v>1577</v>
      </c>
      <c r="Q1691">
        <v>824</v>
      </c>
      <c r="R1691">
        <v>1618</v>
      </c>
      <c r="S1691">
        <v>998</v>
      </c>
      <c r="T1691">
        <v>1908</v>
      </c>
      <c r="U1691">
        <v>997</v>
      </c>
      <c r="V1691">
        <v>1962</v>
      </c>
      <c r="W1691">
        <v>1199</v>
      </c>
      <c r="X1691">
        <v>2227</v>
      </c>
    </row>
    <row r="1692" spans="2:24" x14ac:dyDescent="0.35">
      <c r="B1692" s="46" t="s">
        <v>2459</v>
      </c>
      <c r="D1692" t="s">
        <v>2432</v>
      </c>
      <c r="E1692" t="s">
        <v>2433</v>
      </c>
      <c r="F1692" s="46" t="s">
        <v>2459</v>
      </c>
      <c r="G1692" t="s">
        <v>239</v>
      </c>
      <c r="H1692" s="47" t="s">
        <v>450</v>
      </c>
      <c r="I1692" s="47" t="s">
        <v>2442</v>
      </c>
      <c r="J1692" t="s">
        <v>2789</v>
      </c>
      <c r="K1692">
        <v>1650</v>
      </c>
      <c r="L1692">
        <v>3906</v>
      </c>
      <c r="M1692">
        <v>1650</v>
      </c>
      <c r="N1692">
        <v>3906</v>
      </c>
      <c r="O1692" s="24">
        <v>1374</v>
      </c>
      <c r="P1692" s="24">
        <v>3803</v>
      </c>
      <c r="Q1692">
        <v>1242</v>
      </c>
      <c r="R1692">
        <v>3848</v>
      </c>
      <c r="S1692">
        <v>1745</v>
      </c>
      <c r="T1692">
        <v>4525</v>
      </c>
      <c r="U1692">
        <v>1739</v>
      </c>
      <c r="V1692">
        <v>4776</v>
      </c>
      <c r="W1692">
        <v>1959</v>
      </c>
      <c r="X1692">
        <v>5288</v>
      </c>
    </row>
    <row r="1693" spans="2:24" x14ac:dyDescent="0.35">
      <c r="B1693" s="46" t="s">
        <v>2460</v>
      </c>
      <c r="D1693" t="s">
        <v>2432</v>
      </c>
      <c r="E1693" t="s">
        <v>2433</v>
      </c>
      <c r="F1693" s="46" t="s">
        <v>2460</v>
      </c>
      <c r="G1693" t="s">
        <v>239</v>
      </c>
      <c r="H1693" s="47" t="s">
        <v>450</v>
      </c>
      <c r="I1693" s="47" t="s">
        <v>2442</v>
      </c>
      <c r="J1693" t="s">
        <v>2790</v>
      </c>
      <c r="K1693">
        <v>1435</v>
      </c>
      <c r="L1693">
        <v>2642</v>
      </c>
      <c r="M1693">
        <v>1435</v>
      </c>
      <c r="N1693">
        <v>2642</v>
      </c>
      <c r="O1693" s="24">
        <v>1341</v>
      </c>
      <c r="P1693" s="24">
        <v>2731</v>
      </c>
      <c r="Q1693">
        <v>1355</v>
      </c>
      <c r="R1693">
        <v>2882</v>
      </c>
      <c r="S1693">
        <v>2114</v>
      </c>
      <c r="T1693">
        <v>3940</v>
      </c>
      <c r="U1693">
        <v>2198</v>
      </c>
      <c r="V1693">
        <v>4398</v>
      </c>
      <c r="W1693">
        <v>2928</v>
      </c>
      <c r="X1693">
        <v>5369</v>
      </c>
    </row>
    <row r="1694" spans="2:24" x14ac:dyDescent="0.35">
      <c r="B1694" s="46" t="s">
        <v>2461</v>
      </c>
      <c r="D1694" t="s">
        <v>2432</v>
      </c>
      <c r="E1694" t="s">
        <v>2433</v>
      </c>
      <c r="F1694" s="46" t="s">
        <v>2461</v>
      </c>
      <c r="G1694" t="s">
        <v>265</v>
      </c>
      <c r="H1694" s="47" t="s">
        <v>501</v>
      </c>
      <c r="I1694" s="47" t="s">
        <v>2434</v>
      </c>
      <c r="J1694" t="s">
        <v>2791</v>
      </c>
      <c r="K1694">
        <v>748</v>
      </c>
      <c r="L1694">
        <v>1380</v>
      </c>
      <c r="M1694">
        <v>748</v>
      </c>
      <c r="N1694">
        <v>1380</v>
      </c>
      <c r="O1694" s="24">
        <v>652</v>
      </c>
      <c r="P1694" s="24">
        <v>1399</v>
      </c>
      <c r="Q1694">
        <v>609</v>
      </c>
      <c r="R1694">
        <v>1462</v>
      </c>
      <c r="S1694">
        <v>946</v>
      </c>
      <c r="T1694">
        <v>2118</v>
      </c>
      <c r="U1694">
        <v>970</v>
      </c>
      <c r="V1694">
        <v>2267</v>
      </c>
      <c r="W1694">
        <v>1221</v>
      </c>
      <c r="X1694">
        <v>2776</v>
      </c>
    </row>
    <row r="1695" spans="2:24" x14ac:dyDescent="0.35">
      <c r="B1695" s="46" t="s">
        <v>2462</v>
      </c>
      <c r="D1695" t="s">
        <v>2432</v>
      </c>
      <c r="E1695" t="s">
        <v>2433</v>
      </c>
      <c r="F1695" s="46" t="s">
        <v>2462</v>
      </c>
      <c r="G1695" t="s">
        <v>255</v>
      </c>
      <c r="H1695" s="47" t="s">
        <v>467</v>
      </c>
      <c r="I1695" s="47" t="s">
        <v>2463</v>
      </c>
      <c r="J1695" t="s">
        <v>2792</v>
      </c>
      <c r="K1695">
        <v>25675</v>
      </c>
      <c r="L1695">
        <v>46233</v>
      </c>
      <c r="M1695">
        <v>25675</v>
      </c>
      <c r="N1695">
        <v>46233</v>
      </c>
      <c r="O1695" s="24">
        <v>25378</v>
      </c>
      <c r="P1695" s="24">
        <v>48790</v>
      </c>
      <c r="Q1695">
        <v>25500</v>
      </c>
      <c r="R1695">
        <v>51851</v>
      </c>
      <c r="S1695">
        <v>35040</v>
      </c>
      <c r="T1695">
        <v>64767</v>
      </c>
      <c r="U1695">
        <v>41088</v>
      </c>
      <c r="V1695">
        <v>75197</v>
      </c>
      <c r="W1695">
        <v>57029</v>
      </c>
      <c r="X1695">
        <v>95531</v>
      </c>
    </row>
    <row r="1696" spans="2:24" x14ac:dyDescent="0.35">
      <c r="B1696" s="46" t="s">
        <v>2464</v>
      </c>
      <c r="D1696" t="s">
        <v>2432</v>
      </c>
      <c r="E1696" t="s">
        <v>2433</v>
      </c>
      <c r="F1696" s="46" t="s">
        <v>2464</v>
      </c>
      <c r="G1696" t="s">
        <v>239</v>
      </c>
      <c r="H1696" s="47" t="s">
        <v>450</v>
      </c>
      <c r="I1696" s="47" t="s">
        <v>2442</v>
      </c>
      <c r="J1696" t="s">
        <v>2793</v>
      </c>
      <c r="K1696">
        <v>1845</v>
      </c>
      <c r="L1696">
        <v>3546</v>
      </c>
      <c r="M1696">
        <v>1845</v>
      </c>
      <c r="N1696">
        <v>3546</v>
      </c>
      <c r="O1696" s="24">
        <v>1675</v>
      </c>
      <c r="P1696" s="24">
        <v>3497</v>
      </c>
      <c r="Q1696">
        <v>1548</v>
      </c>
      <c r="R1696">
        <v>3667</v>
      </c>
      <c r="S1696">
        <v>2018</v>
      </c>
      <c r="T1696">
        <v>4366</v>
      </c>
      <c r="U1696">
        <v>2127</v>
      </c>
      <c r="V1696">
        <v>4786</v>
      </c>
      <c r="W1696">
        <v>2410</v>
      </c>
      <c r="X1696">
        <v>5282</v>
      </c>
    </row>
    <row r="1697" spans="1:24" x14ac:dyDescent="0.35">
      <c r="B1697" s="46" t="s">
        <v>2465</v>
      </c>
      <c r="D1697" t="s">
        <v>2432</v>
      </c>
      <c r="E1697" t="s">
        <v>2433</v>
      </c>
      <c r="F1697" s="46" t="s">
        <v>2465</v>
      </c>
      <c r="G1697" t="s">
        <v>259</v>
      </c>
      <c r="H1697" s="47" t="s">
        <v>477</v>
      </c>
      <c r="I1697" s="47" t="s">
        <v>2448</v>
      </c>
      <c r="J1697" t="s">
        <v>385</v>
      </c>
      <c r="K1697">
        <v>8151</v>
      </c>
      <c r="L1697">
        <v>15196</v>
      </c>
      <c r="M1697">
        <v>8151</v>
      </c>
      <c r="N1697">
        <v>15196</v>
      </c>
      <c r="O1697" s="24">
        <v>7529</v>
      </c>
      <c r="P1697" s="24">
        <v>15902</v>
      </c>
      <c r="Q1697">
        <v>6916</v>
      </c>
      <c r="R1697">
        <v>16365</v>
      </c>
      <c r="S1697">
        <v>9800</v>
      </c>
      <c r="T1697">
        <v>20779</v>
      </c>
      <c r="U1697">
        <v>10725</v>
      </c>
      <c r="V1697">
        <v>23409</v>
      </c>
      <c r="W1697">
        <v>10893</v>
      </c>
      <c r="X1697">
        <v>25712</v>
      </c>
    </row>
    <row r="1698" spans="1:24" x14ac:dyDescent="0.35">
      <c r="B1698" s="46" t="s">
        <v>2466</v>
      </c>
      <c r="D1698" t="s">
        <v>2432</v>
      </c>
      <c r="E1698" t="s">
        <v>2433</v>
      </c>
      <c r="F1698" s="46" t="s">
        <v>2466</v>
      </c>
      <c r="G1698" t="s">
        <v>265</v>
      </c>
      <c r="H1698" s="47" t="s">
        <v>501</v>
      </c>
      <c r="I1698" s="47" t="s">
        <v>2434</v>
      </c>
      <c r="J1698" t="s">
        <v>894</v>
      </c>
      <c r="K1698">
        <v>223</v>
      </c>
      <c r="L1698">
        <v>289</v>
      </c>
      <c r="M1698">
        <v>223</v>
      </c>
      <c r="N1698">
        <v>289</v>
      </c>
      <c r="O1698" s="24">
        <v>181</v>
      </c>
      <c r="P1698" s="24">
        <v>280</v>
      </c>
      <c r="Q1698">
        <v>192</v>
      </c>
      <c r="R1698">
        <v>306</v>
      </c>
      <c r="S1698">
        <v>218</v>
      </c>
      <c r="T1698">
        <v>343</v>
      </c>
      <c r="U1698">
        <v>228</v>
      </c>
      <c r="V1698">
        <v>374</v>
      </c>
      <c r="W1698">
        <v>308</v>
      </c>
      <c r="X1698">
        <v>460</v>
      </c>
    </row>
    <row r="1699" spans="1:24" x14ac:dyDescent="0.35">
      <c r="B1699" s="46" t="s">
        <v>2467</v>
      </c>
      <c r="D1699" t="s">
        <v>2432</v>
      </c>
      <c r="E1699" t="s">
        <v>2433</v>
      </c>
      <c r="F1699" s="46" t="s">
        <v>2467</v>
      </c>
      <c r="G1699" t="s">
        <v>235</v>
      </c>
      <c r="H1699" s="47" t="s">
        <v>419</v>
      </c>
      <c r="I1699" s="47" t="s">
        <v>2436</v>
      </c>
      <c r="J1699" t="s">
        <v>2794</v>
      </c>
      <c r="K1699">
        <v>6015</v>
      </c>
      <c r="L1699">
        <v>11265</v>
      </c>
      <c r="M1699">
        <v>6015</v>
      </c>
      <c r="N1699">
        <v>11265</v>
      </c>
      <c r="O1699" s="24">
        <v>5257</v>
      </c>
      <c r="P1699" s="24">
        <v>11195</v>
      </c>
      <c r="Q1699">
        <v>4613</v>
      </c>
      <c r="R1699">
        <v>11341</v>
      </c>
      <c r="S1699">
        <v>6167</v>
      </c>
      <c r="T1699">
        <v>13402</v>
      </c>
      <c r="U1699">
        <v>6683</v>
      </c>
      <c r="V1699">
        <v>14974</v>
      </c>
      <c r="W1699">
        <v>9202</v>
      </c>
      <c r="X1699">
        <v>18382</v>
      </c>
    </row>
    <row r="1700" spans="1:24" x14ac:dyDescent="0.35">
      <c r="A1700" t="str">
        <f>HIX_RatingAreas[[#This Row],[Subdivision]]&amp;" County"</f>
        <v>Barbour County County</v>
      </c>
      <c r="B1700" s="46" t="s">
        <v>2468</v>
      </c>
      <c r="D1700" t="s">
        <v>2469</v>
      </c>
      <c r="E1700" t="s">
        <v>2470</v>
      </c>
      <c r="F1700" s="46" t="s">
        <v>2468</v>
      </c>
      <c r="G1700" t="s">
        <v>283</v>
      </c>
      <c r="H1700" s="47" t="s">
        <v>1366</v>
      </c>
      <c r="I1700" s="47" t="s">
        <v>2471</v>
      </c>
      <c r="J1700" t="s">
        <v>315</v>
      </c>
      <c r="K1700">
        <v>110</v>
      </c>
      <c r="L1700">
        <v>178</v>
      </c>
      <c r="M1700">
        <v>110</v>
      </c>
      <c r="N1700">
        <v>178</v>
      </c>
      <c r="O1700" s="24">
        <v>88</v>
      </c>
      <c r="P1700" s="24">
        <v>146</v>
      </c>
      <c r="Q1700">
        <v>94</v>
      </c>
      <c r="R1700">
        <v>149</v>
      </c>
      <c r="S1700">
        <v>80</v>
      </c>
      <c r="T1700">
        <v>180</v>
      </c>
      <c r="U1700">
        <v>91</v>
      </c>
      <c r="V1700">
        <v>280</v>
      </c>
      <c r="W1700">
        <v>158</v>
      </c>
      <c r="X1700">
        <v>491</v>
      </c>
    </row>
    <row r="1701" spans="1:24" x14ac:dyDescent="0.35">
      <c r="A1701" t="str">
        <f>HIX_RatingAreas[[#This Row],[Subdivision]]&amp;" County"</f>
        <v>Berkeley County County</v>
      </c>
      <c r="B1701" s="46" t="s">
        <v>2472</v>
      </c>
      <c r="D1701" t="s">
        <v>2469</v>
      </c>
      <c r="E1701" t="s">
        <v>2470</v>
      </c>
      <c r="F1701" s="46" t="s">
        <v>2472</v>
      </c>
      <c r="G1701" t="s">
        <v>265</v>
      </c>
      <c r="H1701" s="47" t="s">
        <v>501</v>
      </c>
      <c r="I1701" s="47" t="s">
        <v>2473</v>
      </c>
      <c r="J1701" t="s">
        <v>1685</v>
      </c>
      <c r="K1701">
        <v>1198</v>
      </c>
      <c r="L1701">
        <v>1729</v>
      </c>
      <c r="M1701">
        <v>1198</v>
      </c>
      <c r="N1701">
        <v>1729</v>
      </c>
      <c r="O1701" s="24">
        <v>1115</v>
      </c>
      <c r="P1701" s="24">
        <v>1707</v>
      </c>
      <c r="Q1701">
        <v>996</v>
      </c>
      <c r="R1701">
        <v>1714</v>
      </c>
      <c r="S1701">
        <v>880</v>
      </c>
      <c r="T1701">
        <v>2133</v>
      </c>
      <c r="U1701" t="s">
        <v>1152</v>
      </c>
      <c r="V1701">
        <v>2547</v>
      </c>
      <c r="W1701">
        <v>1248</v>
      </c>
      <c r="X1701">
        <v>3839</v>
      </c>
    </row>
    <row r="1702" spans="1:24" x14ac:dyDescent="0.35">
      <c r="A1702" t="str">
        <f>HIX_RatingAreas[[#This Row],[Subdivision]]&amp;" County"</f>
        <v>Boone County County</v>
      </c>
      <c r="B1702" s="46" t="s">
        <v>2474</v>
      </c>
      <c r="D1702" t="s">
        <v>2469</v>
      </c>
      <c r="E1702" t="s">
        <v>2470</v>
      </c>
      <c r="F1702" s="46" t="s">
        <v>2474</v>
      </c>
      <c r="G1702" t="s">
        <v>239</v>
      </c>
      <c r="H1702" s="47" t="s">
        <v>450</v>
      </c>
      <c r="I1702" s="47" t="s">
        <v>2475</v>
      </c>
      <c r="J1702" t="s">
        <v>459</v>
      </c>
      <c r="K1702">
        <v>75</v>
      </c>
      <c r="L1702">
        <v>126</v>
      </c>
      <c r="M1702">
        <v>75</v>
      </c>
      <c r="N1702">
        <v>126</v>
      </c>
      <c r="O1702" s="24">
        <v>75</v>
      </c>
      <c r="P1702" s="24">
        <v>108</v>
      </c>
      <c r="Q1702">
        <v>65</v>
      </c>
      <c r="R1702">
        <v>112</v>
      </c>
      <c r="S1702">
        <v>64</v>
      </c>
      <c r="T1702">
        <v>144</v>
      </c>
      <c r="U1702">
        <v>62</v>
      </c>
      <c r="V1702">
        <v>216</v>
      </c>
      <c r="W1702">
        <v>185</v>
      </c>
      <c r="X1702">
        <v>528</v>
      </c>
    </row>
    <row r="1703" spans="1:24" x14ac:dyDescent="0.35">
      <c r="A1703" t="str">
        <f>HIX_RatingAreas[[#This Row],[Subdivision]]&amp;" County"</f>
        <v>Braxton County County</v>
      </c>
      <c r="B1703" s="46" t="s">
        <v>2476</v>
      </c>
      <c r="D1703" t="s">
        <v>2469</v>
      </c>
      <c r="E1703" t="s">
        <v>2470</v>
      </c>
      <c r="F1703" s="46" t="s">
        <v>2476</v>
      </c>
      <c r="G1703" t="s">
        <v>231</v>
      </c>
      <c r="H1703" s="47" t="s">
        <v>393</v>
      </c>
      <c r="I1703" s="47" t="s">
        <v>2477</v>
      </c>
      <c r="J1703" t="s">
        <v>2795</v>
      </c>
      <c r="K1703">
        <v>144</v>
      </c>
      <c r="L1703">
        <v>193</v>
      </c>
      <c r="M1703">
        <v>144</v>
      </c>
      <c r="N1703">
        <v>193</v>
      </c>
      <c r="O1703" s="24">
        <v>106</v>
      </c>
      <c r="P1703" s="24">
        <v>171</v>
      </c>
      <c r="Q1703">
        <v>92</v>
      </c>
      <c r="R1703">
        <v>144</v>
      </c>
      <c r="S1703">
        <v>72</v>
      </c>
      <c r="T1703">
        <v>149</v>
      </c>
      <c r="U1703">
        <v>73</v>
      </c>
      <c r="V1703">
        <v>170</v>
      </c>
      <c r="W1703">
        <v>190</v>
      </c>
      <c r="X1703">
        <v>352</v>
      </c>
    </row>
    <row r="1704" spans="1:24" x14ac:dyDescent="0.35">
      <c r="A1704" t="str">
        <f>HIX_RatingAreas[[#This Row],[Subdivision]]&amp;" County"</f>
        <v>Brooke County County</v>
      </c>
      <c r="B1704" s="46" t="s">
        <v>2478</v>
      </c>
      <c r="D1704" t="s">
        <v>2469</v>
      </c>
      <c r="E1704" t="s">
        <v>2470</v>
      </c>
      <c r="F1704" s="46" t="s">
        <v>2478</v>
      </c>
      <c r="G1704" t="s">
        <v>293</v>
      </c>
      <c r="H1704" s="47" t="s">
        <v>2128</v>
      </c>
      <c r="I1704" s="47" t="s">
        <v>2479</v>
      </c>
      <c r="J1704" t="s">
        <v>2796</v>
      </c>
      <c r="K1704">
        <v>178</v>
      </c>
      <c r="L1704">
        <v>248</v>
      </c>
      <c r="M1704">
        <v>178</v>
      </c>
      <c r="N1704">
        <v>248</v>
      </c>
      <c r="O1704" s="24">
        <v>138</v>
      </c>
      <c r="P1704" s="24">
        <v>207</v>
      </c>
      <c r="Q1704">
        <v>121</v>
      </c>
      <c r="R1704">
        <v>201</v>
      </c>
      <c r="S1704">
        <v>139</v>
      </c>
      <c r="T1704">
        <v>262</v>
      </c>
      <c r="U1704">
        <v>158</v>
      </c>
      <c r="V1704">
        <v>360</v>
      </c>
      <c r="W1704">
        <v>391</v>
      </c>
      <c r="X1704">
        <v>723</v>
      </c>
    </row>
    <row r="1705" spans="1:24" x14ac:dyDescent="0.35">
      <c r="A1705" t="str">
        <f>HIX_RatingAreas[[#This Row],[Subdivision]]&amp;" County"</f>
        <v>Cabell County County</v>
      </c>
      <c r="B1705" s="51" t="s">
        <v>2480</v>
      </c>
      <c r="D1705" t="s">
        <v>2469</v>
      </c>
      <c r="E1705" t="s">
        <v>2470</v>
      </c>
      <c r="F1705" s="46" t="s">
        <v>2480</v>
      </c>
      <c r="G1705" t="s">
        <v>259</v>
      </c>
      <c r="H1705" s="47" t="s">
        <v>477</v>
      </c>
      <c r="I1705" s="47" t="s">
        <v>2481</v>
      </c>
      <c r="J1705" t="s">
        <v>2797</v>
      </c>
      <c r="K1705">
        <v>681</v>
      </c>
      <c r="L1705">
        <v>1044</v>
      </c>
      <c r="M1705">
        <v>681</v>
      </c>
      <c r="N1705">
        <v>1044</v>
      </c>
      <c r="O1705" s="24">
        <v>563</v>
      </c>
      <c r="P1705" s="24">
        <v>901</v>
      </c>
      <c r="Q1705">
        <v>533</v>
      </c>
      <c r="R1705">
        <v>897</v>
      </c>
      <c r="S1705">
        <v>523</v>
      </c>
      <c r="T1705">
        <v>1128</v>
      </c>
      <c r="U1705">
        <v>489</v>
      </c>
      <c r="V1705">
        <v>1529</v>
      </c>
      <c r="W1705">
        <v>982</v>
      </c>
      <c r="X1705">
        <v>3077</v>
      </c>
    </row>
    <row r="1706" spans="1:24" x14ac:dyDescent="0.35">
      <c r="A1706" t="str">
        <f>HIX_RatingAreas[[#This Row],[Subdivision]]&amp;" County"</f>
        <v>Calhoun County County</v>
      </c>
      <c r="B1706" s="51" t="s">
        <v>2482</v>
      </c>
      <c r="D1706" t="s">
        <v>2469</v>
      </c>
      <c r="E1706" t="s">
        <v>2470</v>
      </c>
      <c r="F1706" s="46" t="s">
        <v>2482</v>
      </c>
      <c r="G1706" t="s">
        <v>231</v>
      </c>
      <c r="H1706" s="47" t="s">
        <v>393</v>
      </c>
      <c r="I1706" s="47" t="s">
        <v>2477</v>
      </c>
      <c r="J1706" t="s">
        <v>233</v>
      </c>
      <c r="K1706">
        <v>67</v>
      </c>
      <c r="L1706">
        <v>85</v>
      </c>
      <c r="M1706">
        <v>67</v>
      </c>
      <c r="N1706">
        <v>85</v>
      </c>
      <c r="O1706" s="24">
        <v>49</v>
      </c>
      <c r="P1706" s="24">
        <v>66</v>
      </c>
      <c r="Q1706">
        <v>39</v>
      </c>
      <c r="R1706">
        <v>54</v>
      </c>
      <c r="S1706">
        <v>48</v>
      </c>
      <c r="T1706">
        <v>67</v>
      </c>
      <c r="U1706">
        <v>35</v>
      </c>
      <c r="V1706">
        <v>85</v>
      </c>
      <c r="W1706">
        <v>114</v>
      </c>
      <c r="X1706">
        <v>205</v>
      </c>
    </row>
    <row r="1707" spans="1:24" x14ac:dyDescent="0.35">
      <c r="A1707" t="str">
        <f>HIX_RatingAreas[[#This Row],[Subdivision]]&amp;" County"</f>
        <v>Clay County County</v>
      </c>
      <c r="B1707" s="51" t="s">
        <v>2483</v>
      </c>
      <c r="D1707" t="s">
        <v>2469</v>
      </c>
      <c r="E1707" t="s">
        <v>2470</v>
      </c>
      <c r="F1707" s="46" t="s">
        <v>2483</v>
      </c>
      <c r="G1707" t="s">
        <v>231</v>
      </c>
      <c r="H1707" s="47" t="s">
        <v>393</v>
      </c>
      <c r="I1707" s="47" t="s">
        <v>2477</v>
      </c>
      <c r="J1707" t="s">
        <v>329</v>
      </c>
      <c r="K1707">
        <v>41</v>
      </c>
      <c r="L1707">
        <v>77</v>
      </c>
      <c r="M1707">
        <v>41</v>
      </c>
      <c r="N1707">
        <v>77</v>
      </c>
      <c r="O1707" s="24">
        <v>29</v>
      </c>
      <c r="P1707" s="24">
        <v>52</v>
      </c>
      <c r="Q1707">
        <v>35</v>
      </c>
      <c r="R1707">
        <v>52</v>
      </c>
      <c r="S1707">
        <v>37</v>
      </c>
      <c r="T1707">
        <v>67</v>
      </c>
      <c r="U1707">
        <v>37</v>
      </c>
      <c r="V1707">
        <v>81</v>
      </c>
      <c r="W1707">
        <v>152</v>
      </c>
      <c r="X1707">
        <v>232</v>
      </c>
    </row>
    <row r="1708" spans="1:24" x14ac:dyDescent="0.35">
      <c r="A1708" t="str">
        <f>HIX_RatingAreas[[#This Row],[Subdivision]]&amp;" County"</f>
        <v>Doddridge County County</v>
      </c>
      <c r="B1708" s="51" t="s">
        <v>2484</v>
      </c>
      <c r="D1708" t="s">
        <v>2469</v>
      </c>
      <c r="E1708" t="s">
        <v>2470</v>
      </c>
      <c r="F1708" s="46" t="s">
        <v>2484</v>
      </c>
      <c r="G1708" t="s">
        <v>279</v>
      </c>
      <c r="H1708" s="47" t="s">
        <v>1347</v>
      </c>
      <c r="I1708" s="47" t="s">
        <v>2485</v>
      </c>
      <c r="J1708" t="s">
        <v>2798</v>
      </c>
      <c r="K1708">
        <v>32</v>
      </c>
      <c r="L1708">
        <v>56</v>
      </c>
      <c r="M1708">
        <v>32</v>
      </c>
      <c r="N1708">
        <v>56</v>
      </c>
      <c r="O1708" s="24">
        <v>23</v>
      </c>
      <c r="P1708" s="24">
        <v>39</v>
      </c>
      <c r="Q1708">
        <v>30</v>
      </c>
      <c r="R1708">
        <v>47</v>
      </c>
      <c r="S1708">
        <v>30</v>
      </c>
      <c r="T1708">
        <v>71</v>
      </c>
      <c r="U1708">
        <v>25</v>
      </c>
      <c r="V1708">
        <v>69</v>
      </c>
      <c r="W1708">
        <v>87</v>
      </c>
      <c r="X1708">
        <v>188</v>
      </c>
    </row>
    <row r="1709" spans="1:24" x14ac:dyDescent="0.35">
      <c r="A1709" t="str">
        <f>HIX_RatingAreas[[#This Row],[Subdivision]]&amp;" County"</f>
        <v>Fayette County County</v>
      </c>
      <c r="B1709" s="51" t="s">
        <v>2486</v>
      </c>
      <c r="D1709" t="s">
        <v>2469</v>
      </c>
      <c r="E1709" t="s">
        <v>2470</v>
      </c>
      <c r="F1709" s="46" t="s">
        <v>2486</v>
      </c>
      <c r="G1709" t="s">
        <v>231</v>
      </c>
      <c r="H1709" s="47" t="s">
        <v>393</v>
      </c>
      <c r="I1709" s="47" t="s">
        <v>2477</v>
      </c>
      <c r="J1709" t="s">
        <v>353</v>
      </c>
      <c r="K1709">
        <v>271</v>
      </c>
      <c r="L1709">
        <v>452</v>
      </c>
      <c r="M1709">
        <v>271</v>
      </c>
      <c r="N1709">
        <v>452</v>
      </c>
      <c r="O1709" s="24">
        <v>234</v>
      </c>
      <c r="P1709" s="24">
        <v>392</v>
      </c>
      <c r="Q1709">
        <v>218</v>
      </c>
      <c r="R1709">
        <v>367</v>
      </c>
      <c r="S1709">
        <v>229</v>
      </c>
      <c r="T1709">
        <v>456</v>
      </c>
      <c r="U1709">
        <v>234</v>
      </c>
      <c r="V1709">
        <v>601</v>
      </c>
      <c r="W1709">
        <v>595</v>
      </c>
      <c r="X1709">
        <v>1202</v>
      </c>
    </row>
    <row r="1710" spans="1:24" x14ac:dyDescent="0.35">
      <c r="A1710" t="str">
        <f>HIX_RatingAreas[[#This Row],[Subdivision]]&amp;" County"</f>
        <v>Gilmer County County</v>
      </c>
      <c r="B1710" s="51" t="s">
        <v>2487</v>
      </c>
      <c r="D1710" t="s">
        <v>2469</v>
      </c>
      <c r="E1710" t="s">
        <v>2470</v>
      </c>
      <c r="F1710" s="46" t="s">
        <v>2487</v>
      </c>
      <c r="G1710" t="s">
        <v>279</v>
      </c>
      <c r="H1710" s="47" t="s">
        <v>1347</v>
      </c>
      <c r="I1710" s="47" t="s">
        <v>2485</v>
      </c>
      <c r="J1710" t="s">
        <v>998</v>
      </c>
      <c r="K1710">
        <v>49</v>
      </c>
      <c r="L1710">
        <v>63</v>
      </c>
      <c r="M1710">
        <v>49</v>
      </c>
      <c r="N1710">
        <v>63</v>
      </c>
      <c r="O1710" s="24">
        <v>49</v>
      </c>
      <c r="P1710" s="24">
        <v>63</v>
      </c>
      <c r="Q1710">
        <v>39</v>
      </c>
      <c r="R1710">
        <v>56</v>
      </c>
      <c r="S1710">
        <v>35</v>
      </c>
      <c r="T1710">
        <v>76</v>
      </c>
      <c r="U1710">
        <v>32</v>
      </c>
      <c r="V1710">
        <v>81</v>
      </c>
      <c r="W1710">
        <v>80</v>
      </c>
      <c r="X1710">
        <v>159</v>
      </c>
    </row>
    <row r="1711" spans="1:24" x14ac:dyDescent="0.35">
      <c r="A1711" t="str">
        <f>HIX_RatingAreas[[#This Row],[Subdivision]]&amp;" County"</f>
        <v>Grant County County</v>
      </c>
      <c r="B1711" s="51" t="s">
        <v>2488</v>
      </c>
      <c r="D1711" t="s">
        <v>2469</v>
      </c>
      <c r="E1711" t="s">
        <v>2470</v>
      </c>
      <c r="F1711" s="46" t="s">
        <v>2488</v>
      </c>
      <c r="G1711" t="s">
        <v>273</v>
      </c>
      <c r="H1711" s="47" t="s">
        <v>524</v>
      </c>
      <c r="I1711" s="47" t="s">
        <v>2489</v>
      </c>
      <c r="J1711" t="s">
        <v>413</v>
      </c>
      <c r="K1711">
        <v>107</v>
      </c>
      <c r="L1711">
        <v>159</v>
      </c>
      <c r="M1711">
        <v>107</v>
      </c>
      <c r="N1711">
        <v>159</v>
      </c>
      <c r="O1711" s="24">
        <v>70</v>
      </c>
      <c r="P1711" s="24">
        <v>133</v>
      </c>
      <c r="Q1711">
        <v>57</v>
      </c>
      <c r="R1711">
        <v>114</v>
      </c>
      <c r="S1711">
        <v>51</v>
      </c>
      <c r="T1711">
        <v>139</v>
      </c>
      <c r="U1711">
        <v>72</v>
      </c>
      <c r="V1711">
        <v>189</v>
      </c>
      <c r="W1711">
        <v>183</v>
      </c>
      <c r="X1711">
        <v>357</v>
      </c>
    </row>
    <row r="1712" spans="1:24" x14ac:dyDescent="0.35">
      <c r="A1712" t="str">
        <f>HIX_RatingAreas[[#This Row],[Subdivision]]&amp;" County"</f>
        <v>Greenbrier County County</v>
      </c>
      <c r="B1712" s="51" t="s">
        <v>2490</v>
      </c>
      <c r="D1712" t="s">
        <v>2469</v>
      </c>
      <c r="E1712" t="s">
        <v>2470</v>
      </c>
      <c r="F1712" s="46" t="s">
        <v>2490</v>
      </c>
      <c r="G1712" t="s">
        <v>231</v>
      </c>
      <c r="H1712" s="47" t="s">
        <v>393</v>
      </c>
      <c r="I1712" s="47" t="s">
        <v>2477</v>
      </c>
      <c r="J1712" t="s">
        <v>2799</v>
      </c>
      <c r="K1712">
        <v>548</v>
      </c>
      <c r="L1712">
        <v>812</v>
      </c>
      <c r="M1712">
        <v>548</v>
      </c>
      <c r="N1712">
        <v>812</v>
      </c>
      <c r="O1712" s="24">
        <v>491</v>
      </c>
      <c r="P1712" s="24">
        <v>760</v>
      </c>
      <c r="Q1712">
        <v>474</v>
      </c>
      <c r="R1712">
        <v>761</v>
      </c>
      <c r="S1712">
        <v>379</v>
      </c>
      <c r="T1712">
        <v>778</v>
      </c>
      <c r="U1712">
        <v>373</v>
      </c>
      <c r="V1712">
        <v>928</v>
      </c>
      <c r="W1712">
        <v>655</v>
      </c>
      <c r="X1712">
        <v>1406</v>
      </c>
    </row>
    <row r="1713" spans="1:24" x14ac:dyDescent="0.35">
      <c r="A1713" t="str">
        <f>HIX_RatingAreas[[#This Row],[Subdivision]]&amp;" County"</f>
        <v>Hampshire County County</v>
      </c>
      <c r="B1713" s="51" t="s">
        <v>2491</v>
      </c>
      <c r="D1713" t="s">
        <v>2469</v>
      </c>
      <c r="E1713" t="s">
        <v>2470</v>
      </c>
      <c r="F1713" s="46" t="s">
        <v>2491</v>
      </c>
      <c r="G1713" t="s">
        <v>273</v>
      </c>
      <c r="H1713" s="47" t="s">
        <v>524</v>
      </c>
      <c r="I1713" s="47" t="s">
        <v>2489</v>
      </c>
      <c r="J1713" t="s">
        <v>2800</v>
      </c>
      <c r="K1713">
        <v>268</v>
      </c>
      <c r="L1713">
        <v>383</v>
      </c>
      <c r="M1713">
        <v>268</v>
      </c>
      <c r="N1713">
        <v>383</v>
      </c>
      <c r="O1713" s="24">
        <v>241</v>
      </c>
      <c r="P1713" s="24">
        <v>342</v>
      </c>
      <c r="Q1713">
        <v>195</v>
      </c>
      <c r="R1713">
        <v>319</v>
      </c>
      <c r="S1713">
        <v>138</v>
      </c>
      <c r="T1713">
        <v>348</v>
      </c>
      <c r="U1713">
        <v>151</v>
      </c>
      <c r="V1713">
        <v>413</v>
      </c>
      <c r="W1713">
        <v>304</v>
      </c>
      <c r="X1713">
        <v>670</v>
      </c>
    </row>
    <row r="1714" spans="1:24" x14ac:dyDescent="0.35">
      <c r="A1714" t="str">
        <f>HIX_RatingAreas[[#This Row],[Subdivision]]&amp;" County"</f>
        <v>Hancock County County</v>
      </c>
      <c r="B1714" s="51" t="s">
        <v>2492</v>
      </c>
      <c r="D1714" t="s">
        <v>2469</v>
      </c>
      <c r="E1714" t="s">
        <v>2470</v>
      </c>
      <c r="F1714" s="46" t="s">
        <v>2492</v>
      </c>
      <c r="G1714" t="s">
        <v>293</v>
      </c>
      <c r="H1714" s="47" t="s">
        <v>2128</v>
      </c>
      <c r="I1714" s="47" t="s">
        <v>2479</v>
      </c>
      <c r="J1714" t="s">
        <v>1062</v>
      </c>
      <c r="K1714">
        <v>249</v>
      </c>
      <c r="L1714">
        <v>377</v>
      </c>
      <c r="M1714">
        <v>249</v>
      </c>
      <c r="N1714">
        <v>377</v>
      </c>
      <c r="O1714" s="24">
        <v>210</v>
      </c>
      <c r="P1714" s="24">
        <v>318</v>
      </c>
      <c r="Q1714">
        <v>209</v>
      </c>
      <c r="R1714">
        <v>323</v>
      </c>
      <c r="S1714">
        <v>233</v>
      </c>
      <c r="T1714">
        <v>424</v>
      </c>
      <c r="U1714">
        <v>221</v>
      </c>
      <c r="V1714">
        <v>498</v>
      </c>
      <c r="W1714">
        <v>401</v>
      </c>
      <c r="X1714">
        <v>837</v>
      </c>
    </row>
    <row r="1715" spans="1:24" x14ac:dyDescent="0.35">
      <c r="A1715" t="str">
        <f>HIX_RatingAreas[[#This Row],[Subdivision]]&amp;" County"</f>
        <v>Hardy County County</v>
      </c>
      <c r="B1715" s="51" t="s">
        <v>2493</v>
      </c>
      <c r="D1715" t="s">
        <v>2469</v>
      </c>
      <c r="E1715" t="s">
        <v>2470</v>
      </c>
      <c r="F1715" s="46" t="s">
        <v>2493</v>
      </c>
      <c r="G1715" t="s">
        <v>273</v>
      </c>
      <c r="H1715" s="47" t="s">
        <v>524</v>
      </c>
      <c r="I1715" s="47" t="s">
        <v>2489</v>
      </c>
      <c r="J1715" t="s">
        <v>2801</v>
      </c>
      <c r="K1715">
        <v>210</v>
      </c>
      <c r="L1715">
        <v>275</v>
      </c>
      <c r="M1715">
        <v>210</v>
      </c>
      <c r="N1715">
        <v>275</v>
      </c>
      <c r="O1715" s="24">
        <v>199</v>
      </c>
      <c r="P1715" s="24">
        <v>250</v>
      </c>
      <c r="Q1715">
        <v>200</v>
      </c>
      <c r="R1715">
        <v>269</v>
      </c>
      <c r="S1715">
        <v>141</v>
      </c>
      <c r="T1715">
        <v>257</v>
      </c>
      <c r="U1715">
        <v>130</v>
      </c>
      <c r="V1715">
        <v>298</v>
      </c>
      <c r="W1715">
        <v>240</v>
      </c>
      <c r="X1715">
        <v>503</v>
      </c>
    </row>
    <row r="1716" spans="1:24" x14ac:dyDescent="0.35">
      <c r="A1716" t="str">
        <f>HIX_RatingAreas[[#This Row],[Subdivision]]&amp;" County"</f>
        <v>Harrison County County</v>
      </c>
      <c r="B1716" s="51" t="s">
        <v>2494</v>
      </c>
      <c r="D1716" t="s">
        <v>2469</v>
      </c>
      <c r="E1716" t="s">
        <v>2470</v>
      </c>
      <c r="F1716" s="46" t="s">
        <v>2494</v>
      </c>
      <c r="G1716" t="s">
        <v>283</v>
      </c>
      <c r="H1716" s="47" t="s">
        <v>1366</v>
      </c>
      <c r="I1716" s="47" t="s">
        <v>2471</v>
      </c>
      <c r="J1716" t="s">
        <v>1250</v>
      </c>
      <c r="K1716">
        <v>479</v>
      </c>
      <c r="L1716">
        <v>858</v>
      </c>
      <c r="M1716">
        <v>479</v>
      </c>
      <c r="N1716">
        <v>858</v>
      </c>
      <c r="O1716" s="24">
        <v>397</v>
      </c>
      <c r="P1716" s="24">
        <v>734</v>
      </c>
      <c r="Q1716">
        <v>386</v>
      </c>
      <c r="R1716">
        <v>717</v>
      </c>
      <c r="S1716">
        <v>352</v>
      </c>
      <c r="T1716">
        <v>862</v>
      </c>
      <c r="U1716">
        <v>289</v>
      </c>
      <c r="V1716">
        <v>1090</v>
      </c>
      <c r="W1716">
        <v>556</v>
      </c>
      <c r="X1716">
        <v>1988</v>
      </c>
    </row>
    <row r="1717" spans="1:24" x14ac:dyDescent="0.35">
      <c r="A1717" t="str">
        <f>HIX_RatingAreas[[#This Row],[Subdivision]]&amp;" County"</f>
        <v>Jackson County County</v>
      </c>
      <c r="B1717" s="51" t="s">
        <v>2495</v>
      </c>
      <c r="D1717" t="s">
        <v>2469</v>
      </c>
      <c r="E1717" t="s">
        <v>2470</v>
      </c>
      <c r="F1717" s="46" t="s">
        <v>2495</v>
      </c>
      <c r="G1717" t="s">
        <v>289</v>
      </c>
      <c r="H1717" s="47" t="s">
        <v>1355</v>
      </c>
      <c r="I1717" s="47" t="s">
        <v>2496</v>
      </c>
      <c r="J1717" t="s">
        <v>357</v>
      </c>
      <c r="K1717">
        <v>167</v>
      </c>
      <c r="L1717">
        <v>258</v>
      </c>
      <c r="M1717">
        <v>167</v>
      </c>
      <c r="N1717">
        <v>258</v>
      </c>
      <c r="O1717" s="24">
        <v>143</v>
      </c>
      <c r="P1717" s="24">
        <v>233</v>
      </c>
      <c r="Q1717">
        <v>112</v>
      </c>
      <c r="R1717">
        <v>226</v>
      </c>
      <c r="S1717">
        <v>133</v>
      </c>
      <c r="T1717">
        <v>283</v>
      </c>
      <c r="U1717">
        <v>119</v>
      </c>
      <c r="V1717">
        <v>332</v>
      </c>
      <c r="W1717">
        <v>307</v>
      </c>
      <c r="X1717">
        <v>617</v>
      </c>
    </row>
    <row r="1718" spans="1:24" x14ac:dyDescent="0.35">
      <c r="A1718" t="str">
        <f>HIX_RatingAreas[[#This Row],[Subdivision]]&amp;" County"</f>
        <v>Jefferson County County</v>
      </c>
      <c r="B1718" s="51" t="s">
        <v>2497</v>
      </c>
      <c r="D1718" t="s">
        <v>2469</v>
      </c>
      <c r="E1718" t="s">
        <v>2470</v>
      </c>
      <c r="F1718" s="46" t="s">
        <v>2497</v>
      </c>
      <c r="G1718" t="s">
        <v>265</v>
      </c>
      <c r="H1718" s="47" t="s">
        <v>501</v>
      </c>
      <c r="I1718" s="47" t="s">
        <v>2473</v>
      </c>
      <c r="J1718" t="s">
        <v>247</v>
      </c>
      <c r="K1718">
        <v>686</v>
      </c>
      <c r="L1718">
        <v>1051</v>
      </c>
      <c r="M1718">
        <v>686</v>
      </c>
      <c r="N1718">
        <v>1051</v>
      </c>
      <c r="O1718" s="24">
        <v>602</v>
      </c>
      <c r="P1718" s="24">
        <v>962</v>
      </c>
      <c r="Q1718">
        <v>591</v>
      </c>
      <c r="R1718">
        <v>1060</v>
      </c>
      <c r="S1718">
        <v>444</v>
      </c>
      <c r="T1718">
        <v>1182</v>
      </c>
      <c r="U1718" t="s">
        <v>1152</v>
      </c>
      <c r="V1718">
        <v>1350</v>
      </c>
      <c r="W1718">
        <v>558</v>
      </c>
      <c r="X1718">
        <v>1916</v>
      </c>
    </row>
    <row r="1719" spans="1:24" x14ac:dyDescent="0.35">
      <c r="A1719" t="str">
        <f>HIX_RatingAreas[[#This Row],[Subdivision]]&amp;" County"</f>
        <v>Kanawha County County</v>
      </c>
      <c r="B1719" s="51" t="s">
        <v>2498</v>
      </c>
      <c r="D1719" t="s">
        <v>2469</v>
      </c>
      <c r="E1719" t="s">
        <v>2470</v>
      </c>
      <c r="F1719" s="46" t="s">
        <v>2498</v>
      </c>
      <c r="G1719" t="s">
        <v>235</v>
      </c>
      <c r="H1719" s="47" t="s">
        <v>419</v>
      </c>
      <c r="I1719" s="47" t="s">
        <v>2499</v>
      </c>
      <c r="J1719" t="s">
        <v>2802</v>
      </c>
      <c r="K1719">
        <v>1175</v>
      </c>
      <c r="L1719">
        <v>2066</v>
      </c>
      <c r="M1719">
        <v>1175</v>
      </c>
      <c r="N1719">
        <v>2066</v>
      </c>
      <c r="O1719" s="24">
        <v>965</v>
      </c>
      <c r="P1719" s="24">
        <v>1795</v>
      </c>
      <c r="Q1719">
        <v>901</v>
      </c>
      <c r="R1719">
        <v>1643</v>
      </c>
      <c r="S1719">
        <v>842</v>
      </c>
      <c r="T1719">
        <v>2129</v>
      </c>
      <c r="U1719">
        <v>1004</v>
      </c>
      <c r="V1719">
        <v>2834</v>
      </c>
      <c r="W1719">
        <v>1865</v>
      </c>
      <c r="X1719">
        <v>5658</v>
      </c>
    </row>
    <row r="1720" spans="1:24" x14ac:dyDescent="0.35">
      <c r="A1720" t="str">
        <f>HIX_RatingAreas[[#This Row],[Subdivision]]&amp;" County"</f>
        <v>Lewis County County</v>
      </c>
      <c r="B1720" s="51" t="s">
        <v>2500</v>
      </c>
      <c r="D1720" t="s">
        <v>2469</v>
      </c>
      <c r="E1720" t="s">
        <v>2470</v>
      </c>
      <c r="F1720" s="46" t="s">
        <v>2500</v>
      </c>
      <c r="G1720" t="s">
        <v>279</v>
      </c>
      <c r="H1720" s="47" t="s">
        <v>1347</v>
      </c>
      <c r="I1720" s="47" t="s">
        <v>2485</v>
      </c>
      <c r="J1720" t="s">
        <v>1927</v>
      </c>
      <c r="K1720">
        <v>134</v>
      </c>
      <c r="L1720">
        <v>204</v>
      </c>
      <c r="M1720">
        <v>134</v>
      </c>
      <c r="N1720">
        <v>204</v>
      </c>
      <c r="O1720" s="24">
        <v>83</v>
      </c>
      <c r="P1720" s="24">
        <v>154</v>
      </c>
      <c r="Q1720">
        <v>76</v>
      </c>
      <c r="R1720">
        <v>156</v>
      </c>
      <c r="S1720">
        <v>85</v>
      </c>
      <c r="T1720">
        <v>238</v>
      </c>
      <c r="U1720">
        <v>94</v>
      </c>
      <c r="V1720">
        <v>264</v>
      </c>
      <c r="W1720">
        <v>280</v>
      </c>
      <c r="X1720">
        <v>541</v>
      </c>
    </row>
    <row r="1721" spans="1:24" x14ac:dyDescent="0.35">
      <c r="A1721" t="str">
        <f>HIX_RatingAreas[[#This Row],[Subdivision]]&amp;" County"</f>
        <v>Lincoln County County</v>
      </c>
      <c r="B1721" s="51" t="s">
        <v>2501</v>
      </c>
      <c r="D1721" t="s">
        <v>2469</v>
      </c>
      <c r="E1721" t="s">
        <v>2470</v>
      </c>
      <c r="F1721" s="46" t="s">
        <v>2501</v>
      </c>
      <c r="G1721" t="s">
        <v>239</v>
      </c>
      <c r="H1721" s="47" t="s">
        <v>450</v>
      </c>
      <c r="I1721" s="47" t="s">
        <v>2475</v>
      </c>
      <c r="J1721" t="s">
        <v>494</v>
      </c>
      <c r="K1721">
        <v>101</v>
      </c>
      <c r="L1721">
        <v>172</v>
      </c>
      <c r="M1721">
        <v>101</v>
      </c>
      <c r="N1721">
        <v>172</v>
      </c>
      <c r="O1721" s="24">
        <v>99</v>
      </c>
      <c r="P1721" s="24">
        <v>156</v>
      </c>
      <c r="Q1721">
        <v>77</v>
      </c>
      <c r="R1721">
        <v>139</v>
      </c>
      <c r="S1721">
        <v>59</v>
      </c>
      <c r="T1721">
        <v>169</v>
      </c>
      <c r="U1721">
        <v>43</v>
      </c>
      <c r="V1721">
        <v>178</v>
      </c>
      <c r="W1721">
        <v>136</v>
      </c>
      <c r="X1721">
        <v>429</v>
      </c>
    </row>
    <row r="1722" spans="1:24" x14ac:dyDescent="0.35">
      <c r="A1722" t="str">
        <f>HIX_RatingAreas[[#This Row],[Subdivision]]&amp;" County"</f>
        <v>Logan County County</v>
      </c>
      <c r="B1722" s="51" t="s">
        <v>2502</v>
      </c>
      <c r="D1722" t="s">
        <v>2469</v>
      </c>
      <c r="E1722" t="s">
        <v>2470</v>
      </c>
      <c r="F1722" s="46" t="s">
        <v>2502</v>
      </c>
      <c r="G1722" t="s">
        <v>239</v>
      </c>
      <c r="H1722" s="47" t="s">
        <v>450</v>
      </c>
      <c r="I1722" s="47" t="s">
        <v>2475</v>
      </c>
      <c r="J1722" t="s">
        <v>537</v>
      </c>
      <c r="K1722">
        <v>186</v>
      </c>
      <c r="L1722">
        <v>269</v>
      </c>
      <c r="M1722">
        <v>186</v>
      </c>
      <c r="N1722">
        <v>269</v>
      </c>
      <c r="O1722" s="24">
        <v>140</v>
      </c>
      <c r="P1722" s="24">
        <v>224</v>
      </c>
      <c r="Q1722">
        <v>130</v>
      </c>
      <c r="R1722">
        <v>225</v>
      </c>
      <c r="S1722">
        <v>117</v>
      </c>
      <c r="T1722">
        <v>255</v>
      </c>
      <c r="U1722">
        <v>99</v>
      </c>
      <c r="V1722">
        <v>351</v>
      </c>
      <c r="W1722">
        <v>264</v>
      </c>
      <c r="X1722">
        <v>788</v>
      </c>
    </row>
    <row r="1723" spans="1:24" x14ac:dyDescent="0.35">
      <c r="A1723" t="str">
        <f>HIX_RatingAreas[[#This Row],[Subdivision]]&amp;" County"</f>
        <v>McDowell County County</v>
      </c>
      <c r="B1723" s="51" t="s">
        <v>2503</v>
      </c>
      <c r="D1723" t="s">
        <v>2469</v>
      </c>
      <c r="E1723" t="s">
        <v>2470</v>
      </c>
      <c r="F1723" s="46" t="s">
        <v>2503</v>
      </c>
      <c r="G1723" t="s">
        <v>239</v>
      </c>
      <c r="H1723" s="47" t="s">
        <v>450</v>
      </c>
      <c r="I1723" s="47" t="s">
        <v>2475</v>
      </c>
      <c r="J1723" t="s">
        <v>1489</v>
      </c>
      <c r="K1723">
        <v>94</v>
      </c>
      <c r="L1723">
        <v>139</v>
      </c>
      <c r="M1723">
        <v>94</v>
      </c>
      <c r="N1723">
        <v>139</v>
      </c>
      <c r="O1723" s="24">
        <v>64</v>
      </c>
      <c r="P1723" s="24">
        <v>104</v>
      </c>
      <c r="Q1723">
        <v>56</v>
      </c>
      <c r="R1723">
        <v>98</v>
      </c>
      <c r="S1723">
        <v>60</v>
      </c>
      <c r="T1723">
        <v>118</v>
      </c>
      <c r="U1723">
        <v>42</v>
      </c>
      <c r="V1723">
        <v>136</v>
      </c>
      <c r="W1723">
        <v>105</v>
      </c>
      <c r="X1723">
        <v>340</v>
      </c>
    </row>
    <row r="1724" spans="1:24" x14ac:dyDescent="0.35">
      <c r="A1724" t="str">
        <f>HIX_RatingAreas[[#This Row],[Subdivision]]&amp;" County"</f>
        <v>Marion County County</v>
      </c>
      <c r="B1724" s="51" t="s">
        <v>2504</v>
      </c>
      <c r="D1724" t="s">
        <v>2469</v>
      </c>
      <c r="E1724" t="s">
        <v>2470</v>
      </c>
      <c r="F1724" s="46" t="s">
        <v>2504</v>
      </c>
      <c r="G1724" t="s">
        <v>279</v>
      </c>
      <c r="H1724" s="47" t="s">
        <v>1347</v>
      </c>
      <c r="I1724" s="47" t="s">
        <v>2485</v>
      </c>
      <c r="J1724" t="s">
        <v>365</v>
      </c>
      <c r="K1724">
        <v>353</v>
      </c>
      <c r="L1724">
        <v>590</v>
      </c>
      <c r="M1724">
        <v>353</v>
      </c>
      <c r="N1724">
        <v>590</v>
      </c>
      <c r="O1724" s="24">
        <v>297</v>
      </c>
      <c r="P1724" s="24">
        <v>525</v>
      </c>
      <c r="Q1724">
        <v>294</v>
      </c>
      <c r="R1724">
        <v>480</v>
      </c>
      <c r="S1724">
        <v>279</v>
      </c>
      <c r="T1724">
        <v>618</v>
      </c>
      <c r="U1724">
        <v>254</v>
      </c>
      <c r="V1724">
        <v>743</v>
      </c>
      <c r="W1724">
        <v>592</v>
      </c>
      <c r="X1724">
        <v>1384</v>
      </c>
    </row>
    <row r="1725" spans="1:24" x14ac:dyDescent="0.35">
      <c r="A1725" t="str">
        <f>HIX_RatingAreas[[#This Row],[Subdivision]]&amp;" County"</f>
        <v>Marshall County County</v>
      </c>
      <c r="B1725" s="51" t="s">
        <v>2505</v>
      </c>
      <c r="D1725" t="s">
        <v>2469</v>
      </c>
      <c r="E1725" t="s">
        <v>2470</v>
      </c>
      <c r="F1725" s="46" t="s">
        <v>2505</v>
      </c>
      <c r="G1725" t="s">
        <v>293</v>
      </c>
      <c r="H1725" s="47" t="s">
        <v>2128</v>
      </c>
      <c r="I1725" s="47" t="s">
        <v>2479</v>
      </c>
      <c r="J1725" t="s">
        <v>367</v>
      </c>
      <c r="K1725">
        <v>200</v>
      </c>
      <c r="L1725">
        <v>289</v>
      </c>
      <c r="M1725">
        <v>200</v>
      </c>
      <c r="N1725">
        <v>289</v>
      </c>
      <c r="O1725" s="24">
        <v>205</v>
      </c>
      <c r="P1725" s="24">
        <v>276</v>
      </c>
      <c r="Q1725">
        <v>199</v>
      </c>
      <c r="R1725">
        <v>275</v>
      </c>
      <c r="S1725">
        <v>196</v>
      </c>
      <c r="T1725">
        <v>309</v>
      </c>
      <c r="U1725">
        <v>184</v>
      </c>
      <c r="V1725">
        <v>404</v>
      </c>
      <c r="W1725">
        <v>369</v>
      </c>
      <c r="X1725">
        <v>720</v>
      </c>
    </row>
    <row r="1726" spans="1:24" x14ac:dyDescent="0.35">
      <c r="A1726" t="str">
        <f>HIX_RatingAreas[[#This Row],[Subdivision]]&amp;" County"</f>
        <v>Mason County County</v>
      </c>
      <c r="B1726" s="51" t="s">
        <v>2506</v>
      </c>
      <c r="D1726" t="s">
        <v>2469</v>
      </c>
      <c r="E1726" t="s">
        <v>2470</v>
      </c>
      <c r="F1726" s="46" t="s">
        <v>2506</v>
      </c>
      <c r="G1726" t="s">
        <v>259</v>
      </c>
      <c r="H1726" s="47" t="s">
        <v>477</v>
      </c>
      <c r="I1726" s="47" t="s">
        <v>2481</v>
      </c>
      <c r="J1726" t="s">
        <v>2241</v>
      </c>
      <c r="K1726">
        <v>165</v>
      </c>
      <c r="L1726">
        <v>258</v>
      </c>
      <c r="M1726">
        <v>165</v>
      </c>
      <c r="N1726">
        <v>258</v>
      </c>
      <c r="O1726" s="24">
        <v>140</v>
      </c>
      <c r="P1726" s="24">
        <v>230</v>
      </c>
      <c r="Q1726">
        <v>133</v>
      </c>
      <c r="R1726">
        <v>213</v>
      </c>
      <c r="S1726">
        <v>114</v>
      </c>
      <c r="T1726">
        <v>247</v>
      </c>
      <c r="U1726">
        <v>96</v>
      </c>
      <c r="V1726">
        <v>305</v>
      </c>
      <c r="W1726">
        <v>199</v>
      </c>
      <c r="X1726">
        <v>583</v>
      </c>
    </row>
    <row r="1727" spans="1:24" x14ac:dyDescent="0.35">
      <c r="A1727" t="str">
        <f>HIX_RatingAreas[[#This Row],[Subdivision]]&amp;" County"</f>
        <v>Mercer County County</v>
      </c>
      <c r="B1727" s="51" t="s">
        <v>2507</v>
      </c>
      <c r="D1727" t="s">
        <v>2469</v>
      </c>
      <c r="E1727" t="s">
        <v>2470</v>
      </c>
      <c r="F1727" s="46" t="s">
        <v>2507</v>
      </c>
      <c r="G1727" t="s">
        <v>255</v>
      </c>
      <c r="H1727" s="47" t="s">
        <v>467</v>
      </c>
      <c r="I1727" s="47" t="s">
        <v>2508</v>
      </c>
      <c r="J1727" t="s">
        <v>2745</v>
      </c>
      <c r="K1727">
        <v>631</v>
      </c>
      <c r="L1727">
        <v>905</v>
      </c>
      <c r="M1727">
        <v>631</v>
      </c>
      <c r="N1727">
        <v>905</v>
      </c>
      <c r="O1727" s="24">
        <v>616</v>
      </c>
      <c r="P1727" s="24">
        <v>864</v>
      </c>
      <c r="Q1727">
        <v>514</v>
      </c>
      <c r="R1727">
        <v>800</v>
      </c>
      <c r="S1727">
        <v>425</v>
      </c>
      <c r="T1727">
        <v>773</v>
      </c>
      <c r="U1727">
        <v>477</v>
      </c>
      <c r="V1727">
        <v>1003</v>
      </c>
      <c r="W1727">
        <v>1019</v>
      </c>
      <c r="X1727">
        <v>1817</v>
      </c>
    </row>
    <row r="1728" spans="1:24" x14ac:dyDescent="0.35">
      <c r="A1728" t="str">
        <f>HIX_RatingAreas[[#This Row],[Subdivision]]&amp;" County"</f>
        <v>Mineral County County</v>
      </c>
      <c r="B1728" s="51" t="s">
        <v>2509</v>
      </c>
      <c r="D1728" t="s">
        <v>2469</v>
      </c>
      <c r="E1728" t="s">
        <v>2470</v>
      </c>
      <c r="F1728" s="46" t="s">
        <v>2509</v>
      </c>
      <c r="G1728" t="s">
        <v>273</v>
      </c>
      <c r="H1728" s="47" t="s">
        <v>524</v>
      </c>
      <c r="I1728" s="47" t="s">
        <v>2489</v>
      </c>
      <c r="J1728" t="s">
        <v>2803</v>
      </c>
      <c r="K1728">
        <v>229</v>
      </c>
      <c r="L1728">
        <v>331</v>
      </c>
      <c r="M1728">
        <v>229</v>
      </c>
      <c r="N1728">
        <v>331</v>
      </c>
      <c r="O1728" s="24">
        <v>252</v>
      </c>
      <c r="P1728" s="24">
        <v>363</v>
      </c>
      <c r="Q1728">
        <v>220</v>
      </c>
      <c r="R1728">
        <v>375</v>
      </c>
      <c r="S1728">
        <v>145</v>
      </c>
      <c r="T1728">
        <v>374</v>
      </c>
      <c r="U1728">
        <v>146</v>
      </c>
      <c r="V1728">
        <v>441</v>
      </c>
      <c r="W1728">
        <v>287</v>
      </c>
      <c r="X1728">
        <v>691</v>
      </c>
    </row>
    <row r="1729" spans="1:24" x14ac:dyDescent="0.35">
      <c r="A1729" t="str">
        <f>HIX_RatingAreas[[#This Row],[Subdivision]]&amp;" County"</f>
        <v>Mingo County County</v>
      </c>
      <c r="B1729" s="51" t="s">
        <v>2510</v>
      </c>
      <c r="D1729" t="s">
        <v>2469</v>
      </c>
      <c r="E1729" t="s">
        <v>2470</v>
      </c>
      <c r="F1729" s="46" t="s">
        <v>2510</v>
      </c>
      <c r="G1729" t="s">
        <v>239</v>
      </c>
      <c r="H1729" s="47" t="s">
        <v>450</v>
      </c>
      <c r="I1729" s="47" t="s">
        <v>2475</v>
      </c>
      <c r="J1729" t="s">
        <v>2804</v>
      </c>
      <c r="K1729">
        <v>169</v>
      </c>
      <c r="L1729">
        <v>228</v>
      </c>
      <c r="M1729">
        <v>169</v>
      </c>
      <c r="N1729">
        <v>228</v>
      </c>
      <c r="O1729" s="24">
        <v>134</v>
      </c>
      <c r="P1729" s="24">
        <v>198</v>
      </c>
      <c r="Q1729">
        <v>112</v>
      </c>
      <c r="R1729">
        <v>181</v>
      </c>
      <c r="S1729">
        <v>87</v>
      </c>
      <c r="T1729">
        <v>201</v>
      </c>
      <c r="U1729">
        <v>79</v>
      </c>
      <c r="V1729">
        <v>263</v>
      </c>
      <c r="W1729">
        <v>190</v>
      </c>
      <c r="X1729">
        <v>555</v>
      </c>
    </row>
    <row r="1730" spans="1:24" x14ac:dyDescent="0.35">
      <c r="A1730" t="str">
        <f>HIX_RatingAreas[[#This Row],[Subdivision]]&amp;" County"</f>
        <v>Monongalia County County</v>
      </c>
      <c r="B1730" s="51" t="s">
        <v>2511</v>
      </c>
      <c r="D1730" t="s">
        <v>2469</v>
      </c>
      <c r="E1730" t="s">
        <v>2470</v>
      </c>
      <c r="F1730" s="46" t="s">
        <v>2511</v>
      </c>
      <c r="G1730" t="s">
        <v>279</v>
      </c>
      <c r="H1730" s="47" t="s">
        <v>1347</v>
      </c>
      <c r="I1730" s="47" t="s">
        <v>2485</v>
      </c>
      <c r="J1730" t="s">
        <v>2805</v>
      </c>
      <c r="K1730">
        <v>732</v>
      </c>
      <c r="L1730">
        <v>1263</v>
      </c>
      <c r="M1730">
        <v>732</v>
      </c>
      <c r="N1730">
        <v>1263</v>
      </c>
      <c r="O1730" s="24">
        <v>673</v>
      </c>
      <c r="P1730" s="24">
        <v>1163</v>
      </c>
      <c r="Q1730">
        <v>647</v>
      </c>
      <c r="R1730">
        <v>1134</v>
      </c>
      <c r="S1730">
        <v>608</v>
      </c>
      <c r="T1730">
        <v>1524</v>
      </c>
      <c r="U1730">
        <v>657</v>
      </c>
      <c r="V1730">
        <v>1832</v>
      </c>
      <c r="W1730">
        <v>1131</v>
      </c>
      <c r="X1730">
        <v>2805</v>
      </c>
    </row>
    <row r="1731" spans="1:24" x14ac:dyDescent="0.35">
      <c r="A1731" t="str">
        <f>HIX_RatingAreas[[#This Row],[Subdivision]]&amp;" County"</f>
        <v>Monroe County County</v>
      </c>
      <c r="B1731" s="51" t="s">
        <v>2512</v>
      </c>
      <c r="D1731" t="s">
        <v>2469</v>
      </c>
      <c r="E1731" t="s">
        <v>2470</v>
      </c>
      <c r="F1731" s="46" t="s">
        <v>2512</v>
      </c>
      <c r="G1731" t="s">
        <v>255</v>
      </c>
      <c r="H1731" s="47" t="s">
        <v>467</v>
      </c>
      <c r="I1731" s="47" t="s">
        <v>2508</v>
      </c>
      <c r="J1731" t="s">
        <v>369</v>
      </c>
      <c r="K1731">
        <v>271</v>
      </c>
      <c r="L1731">
        <v>365</v>
      </c>
      <c r="M1731">
        <v>271</v>
      </c>
      <c r="N1731">
        <v>365</v>
      </c>
      <c r="O1731" s="24">
        <v>271</v>
      </c>
      <c r="P1731" s="24">
        <v>357</v>
      </c>
      <c r="Q1731">
        <v>217</v>
      </c>
      <c r="R1731">
        <v>301</v>
      </c>
      <c r="S1731">
        <v>161</v>
      </c>
      <c r="T1731">
        <v>287</v>
      </c>
      <c r="U1731">
        <v>164</v>
      </c>
      <c r="V1731">
        <v>307</v>
      </c>
      <c r="W1731">
        <v>248</v>
      </c>
      <c r="X1731">
        <v>498</v>
      </c>
    </row>
    <row r="1732" spans="1:24" x14ac:dyDescent="0.35">
      <c r="A1732" t="str">
        <f>HIX_RatingAreas[[#This Row],[Subdivision]]&amp;" County"</f>
        <v>Morgan County County</v>
      </c>
      <c r="B1732" s="51" t="s">
        <v>2513</v>
      </c>
      <c r="D1732" t="s">
        <v>2469</v>
      </c>
      <c r="E1732" t="s">
        <v>2470</v>
      </c>
      <c r="F1732" s="46" t="s">
        <v>2513</v>
      </c>
      <c r="G1732" t="s">
        <v>273</v>
      </c>
      <c r="H1732" s="47" t="s">
        <v>524</v>
      </c>
      <c r="I1732" s="47" t="s">
        <v>2489</v>
      </c>
      <c r="J1732" t="s">
        <v>263</v>
      </c>
      <c r="K1732">
        <v>231</v>
      </c>
      <c r="L1732">
        <v>351</v>
      </c>
      <c r="M1732">
        <v>231</v>
      </c>
      <c r="N1732">
        <v>351</v>
      </c>
      <c r="O1732" s="24">
        <v>220</v>
      </c>
      <c r="P1732" s="24">
        <v>326</v>
      </c>
      <c r="Q1732">
        <v>180</v>
      </c>
      <c r="R1732">
        <v>319</v>
      </c>
      <c r="S1732">
        <v>115</v>
      </c>
      <c r="T1732">
        <v>278</v>
      </c>
      <c r="U1732">
        <v>119</v>
      </c>
      <c r="V1732">
        <v>340</v>
      </c>
      <c r="W1732">
        <v>193</v>
      </c>
      <c r="X1732">
        <v>521</v>
      </c>
    </row>
    <row r="1733" spans="1:24" x14ac:dyDescent="0.35">
      <c r="A1733" t="str">
        <f>HIX_RatingAreas[[#This Row],[Subdivision]]&amp;" County"</f>
        <v>Nicholas County County</v>
      </c>
      <c r="B1733" s="51" t="s">
        <v>2514</v>
      </c>
      <c r="D1733" t="s">
        <v>2469</v>
      </c>
      <c r="E1733" t="s">
        <v>2470</v>
      </c>
      <c r="F1733" s="46" t="s">
        <v>2514</v>
      </c>
      <c r="G1733" t="s">
        <v>231</v>
      </c>
      <c r="H1733" s="47" t="s">
        <v>393</v>
      </c>
      <c r="I1733" s="47" t="s">
        <v>2477</v>
      </c>
      <c r="J1733" t="s">
        <v>2806</v>
      </c>
      <c r="K1733">
        <v>274</v>
      </c>
      <c r="L1733">
        <v>393</v>
      </c>
      <c r="M1733">
        <v>274</v>
      </c>
      <c r="N1733">
        <v>393</v>
      </c>
      <c r="O1733" s="24">
        <v>158</v>
      </c>
      <c r="P1733" s="24">
        <v>287</v>
      </c>
      <c r="Q1733">
        <v>151</v>
      </c>
      <c r="R1733">
        <v>264</v>
      </c>
      <c r="S1733">
        <v>131</v>
      </c>
      <c r="T1733">
        <v>302</v>
      </c>
      <c r="U1733">
        <v>162</v>
      </c>
      <c r="V1733">
        <v>390</v>
      </c>
      <c r="W1733">
        <v>372</v>
      </c>
      <c r="X1733">
        <v>760</v>
      </c>
    </row>
    <row r="1734" spans="1:24" x14ac:dyDescent="0.35">
      <c r="A1734" t="str">
        <f>HIX_RatingAreas[[#This Row],[Subdivision]]&amp;" County"</f>
        <v>Ohio County County</v>
      </c>
      <c r="B1734" s="51" t="s">
        <v>2515</v>
      </c>
      <c r="D1734" t="s">
        <v>2469</v>
      </c>
      <c r="E1734" t="s">
        <v>2470</v>
      </c>
      <c r="F1734" s="46" t="s">
        <v>2515</v>
      </c>
      <c r="G1734" t="s">
        <v>293</v>
      </c>
      <c r="H1734" s="47" t="s">
        <v>2128</v>
      </c>
      <c r="I1734" s="47" t="s">
        <v>2479</v>
      </c>
      <c r="J1734" t="s">
        <v>2807</v>
      </c>
      <c r="K1734">
        <v>341</v>
      </c>
      <c r="L1734">
        <v>540</v>
      </c>
      <c r="M1734">
        <v>341</v>
      </c>
      <c r="N1734">
        <v>540</v>
      </c>
      <c r="O1734" s="24">
        <v>276</v>
      </c>
      <c r="P1734" s="24">
        <v>450</v>
      </c>
      <c r="Q1734">
        <v>264</v>
      </c>
      <c r="R1734">
        <v>433</v>
      </c>
      <c r="S1734">
        <v>244</v>
      </c>
      <c r="T1734">
        <v>527</v>
      </c>
      <c r="U1734">
        <v>269</v>
      </c>
      <c r="V1734">
        <v>609</v>
      </c>
      <c r="W1734">
        <v>483</v>
      </c>
      <c r="X1734">
        <v>1011</v>
      </c>
    </row>
    <row r="1735" spans="1:24" x14ac:dyDescent="0.35">
      <c r="A1735" t="str">
        <f>HIX_RatingAreas[[#This Row],[Subdivision]]&amp;" County"</f>
        <v>Pendleton County County</v>
      </c>
      <c r="B1735" s="51" t="s">
        <v>2516</v>
      </c>
      <c r="D1735" t="s">
        <v>2469</v>
      </c>
      <c r="E1735" t="s">
        <v>2470</v>
      </c>
      <c r="F1735" s="46" t="s">
        <v>2516</v>
      </c>
      <c r="G1735" t="s">
        <v>273</v>
      </c>
      <c r="H1735" s="47" t="s">
        <v>524</v>
      </c>
      <c r="I1735" s="47" t="s">
        <v>2489</v>
      </c>
      <c r="J1735" t="s">
        <v>2808</v>
      </c>
      <c r="K1735">
        <v>158</v>
      </c>
      <c r="L1735">
        <v>208</v>
      </c>
      <c r="M1735">
        <v>158</v>
      </c>
      <c r="N1735">
        <v>208</v>
      </c>
      <c r="O1735" s="24">
        <v>149</v>
      </c>
      <c r="P1735" s="24">
        <v>191</v>
      </c>
      <c r="Q1735">
        <v>107</v>
      </c>
      <c r="R1735">
        <v>179</v>
      </c>
      <c r="S1735">
        <v>57</v>
      </c>
      <c r="T1735">
        <v>182</v>
      </c>
      <c r="U1735">
        <v>60</v>
      </c>
      <c r="V1735">
        <v>201</v>
      </c>
      <c r="W1735">
        <v>93</v>
      </c>
      <c r="X1735">
        <v>266</v>
      </c>
    </row>
    <row r="1736" spans="1:24" x14ac:dyDescent="0.35">
      <c r="A1736" t="str">
        <f>HIX_RatingAreas[[#This Row],[Subdivision]]&amp;" County"</f>
        <v>Pleasants County County</v>
      </c>
      <c r="B1736" s="51" t="s">
        <v>2517</v>
      </c>
      <c r="D1736" t="s">
        <v>2469</v>
      </c>
      <c r="E1736" t="s">
        <v>2470</v>
      </c>
      <c r="F1736" s="46" t="s">
        <v>2517</v>
      </c>
      <c r="G1736" t="s">
        <v>289</v>
      </c>
      <c r="H1736" s="47" t="s">
        <v>1355</v>
      </c>
      <c r="I1736" s="47" t="s">
        <v>2496</v>
      </c>
      <c r="J1736" t="s">
        <v>2809</v>
      </c>
      <c r="K1736">
        <v>34</v>
      </c>
      <c r="L1736">
        <v>68</v>
      </c>
      <c r="M1736">
        <v>34</v>
      </c>
      <c r="N1736">
        <v>68</v>
      </c>
      <c r="O1736" s="24">
        <v>25</v>
      </c>
      <c r="P1736" s="24">
        <v>58</v>
      </c>
      <c r="Q1736">
        <v>20</v>
      </c>
      <c r="R1736">
        <v>55</v>
      </c>
      <c r="S1736">
        <v>27</v>
      </c>
      <c r="T1736">
        <v>67</v>
      </c>
      <c r="U1736">
        <v>34</v>
      </c>
      <c r="V1736">
        <v>85</v>
      </c>
      <c r="W1736">
        <v>60</v>
      </c>
      <c r="X1736">
        <v>136</v>
      </c>
    </row>
    <row r="1737" spans="1:24" x14ac:dyDescent="0.35">
      <c r="A1737" t="str">
        <f>HIX_RatingAreas[[#This Row],[Subdivision]]&amp;" County"</f>
        <v>Pocahontas County County</v>
      </c>
      <c r="B1737" s="51" t="s">
        <v>2518</v>
      </c>
      <c r="D1737" t="s">
        <v>2469</v>
      </c>
      <c r="E1737" t="s">
        <v>2470</v>
      </c>
      <c r="F1737" s="46" t="s">
        <v>2518</v>
      </c>
      <c r="G1737" t="s">
        <v>283</v>
      </c>
      <c r="H1737" s="47" t="s">
        <v>1366</v>
      </c>
      <c r="I1737" s="47" t="s">
        <v>2471</v>
      </c>
      <c r="J1737" t="s">
        <v>2810</v>
      </c>
      <c r="K1737">
        <v>128</v>
      </c>
      <c r="L1737">
        <v>208</v>
      </c>
      <c r="M1737">
        <v>128</v>
      </c>
      <c r="N1737">
        <v>208</v>
      </c>
      <c r="O1737" s="24">
        <v>104</v>
      </c>
      <c r="P1737" s="24">
        <v>197</v>
      </c>
      <c r="Q1737">
        <v>100</v>
      </c>
      <c r="R1737">
        <v>184</v>
      </c>
      <c r="S1737">
        <v>81</v>
      </c>
      <c r="T1737">
        <v>198</v>
      </c>
      <c r="U1737">
        <v>68</v>
      </c>
      <c r="V1737">
        <v>217</v>
      </c>
      <c r="W1737">
        <v>100</v>
      </c>
      <c r="X1737">
        <v>313</v>
      </c>
    </row>
    <row r="1738" spans="1:24" x14ac:dyDescent="0.35">
      <c r="A1738" t="str">
        <f>HIX_RatingAreas[[#This Row],[Subdivision]]&amp;" County"</f>
        <v>Preston County County</v>
      </c>
      <c r="B1738" s="51" t="s">
        <v>2519</v>
      </c>
      <c r="D1738" t="s">
        <v>2469</v>
      </c>
      <c r="E1738" t="s">
        <v>2470</v>
      </c>
      <c r="F1738" s="46" t="s">
        <v>2519</v>
      </c>
      <c r="G1738" t="s">
        <v>283</v>
      </c>
      <c r="H1738" s="47" t="s">
        <v>1366</v>
      </c>
      <c r="I1738" s="47" t="s">
        <v>2471</v>
      </c>
      <c r="J1738" t="s">
        <v>2811</v>
      </c>
      <c r="K1738">
        <v>203</v>
      </c>
      <c r="L1738">
        <v>381</v>
      </c>
      <c r="M1738">
        <v>203</v>
      </c>
      <c r="N1738">
        <v>381</v>
      </c>
      <c r="O1738" s="24">
        <v>186</v>
      </c>
      <c r="P1738" s="24">
        <v>328</v>
      </c>
      <c r="Q1738">
        <v>204</v>
      </c>
      <c r="R1738">
        <v>362</v>
      </c>
      <c r="S1738">
        <v>179</v>
      </c>
      <c r="T1738">
        <v>454</v>
      </c>
      <c r="U1738">
        <v>128</v>
      </c>
      <c r="V1738">
        <v>508</v>
      </c>
      <c r="W1738">
        <v>236</v>
      </c>
      <c r="X1738">
        <v>847</v>
      </c>
    </row>
    <row r="1739" spans="1:24" x14ac:dyDescent="0.35">
      <c r="A1739" t="str">
        <f>HIX_RatingAreas[[#This Row],[Subdivision]]&amp;" County"</f>
        <v>Putnam County County</v>
      </c>
      <c r="B1739" s="51" t="s">
        <v>2520</v>
      </c>
      <c r="D1739" t="s">
        <v>2469</v>
      </c>
      <c r="E1739" t="s">
        <v>2470</v>
      </c>
      <c r="F1739" s="46" t="s">
        <v>2520</v>
      </c>
      <c r="G1739" t="s">
        <v>259</v>
      </c>
      <c r="H1739" s="47" t="s">
        <v>477</v>
      </c>
      <c r="I1739" s="47" t="s">
        <v>2481</v>
      </c>
      <c r="J1739" t="s">
        <v>729</v>
      </c>
      <c r="K1739">
        <v>491</v>
      </c>
      <c r="L1739">
        <v>771</v>
      </c>
      <c r="M1739">
        <v>491</v>
      </c>
      <c r="N1739">
        <v>771</v>
      </c>
      <c r="O1739" s="24">
        <v>364</v>
      </c>
      <c r="P1739" s="24">
        <v>651</v>
      </c>
      <c r="Q1739">
        <v>342</v>
      </c>
      <c r="R1739">
        <v>618</v>
      </c>
      <c r="S1739">
        <v>309</v>
      </c>
      <c r="T1739">
        <v>807</v>
      </c>
      <c r="U1739">
        <v>274</v>
      </c>
      <c r="V1739">
        <v>934</v>
      </c>
      <c r="W1739">
        <v>496</v>
      </c>
      <c r="X1739">
        <v>1549</v>
      </c>
    </row>
    <row r="1740" spans="1:24" x14ac:dyDescent="0.35">
      <c r="A1740" t="str">
        <f>HIX_RatingAreas[[#This Row],[Subdivision]]&amp;" County"</f>
        <v>Raleigh County County</v>
      </c>
      <c r="B1740" s="51" t="s">
        <v>2521</v>
      </c>
      <c r="D1740" t="s">
        <v>2469</v>
      </c>
      <c r="E1740" t="s">
        <v>2470</v>
      </c>
      <c r="F1740" s="46" t="s">
        <v>2521</v>
      </c>
      <c r="G1740" t="s">
        <v>255</v>
      </c>
      <c r="H1740" s="47" t="s">
        <v>467</v>
      </c>
      <c r="I1740" s="47" t="s">
        <v>2508</v>
      </c>
      <c r="J1740" t="s">
        <v>2812</v>
      </c>
      <c r="K1740">
        <v>412</v>
      </c>
      <c r="L1740">
        <v>703</v>
      </c>
      <c r="M1740">
        <v>412</v>
      </c>
      <c r="N1740">
        <v>703</v>
      </c>
      <c r="O1740" s="24">
        <v>354</v>
      </c>
      <c r="P1740" s="24">
        <v>606</v>
      </c>
      <c r="Q1740">
        <v>372</v>
      </c>
      <c r="R1740">
        <v>623</v>
      </c>
      <c r="S1740">
        <v>359</v>
      </c>
      <c r="T1740">
        <v>809</v>
      </c>
      <c r="U1740">
        <v>359</v>
      </c>
      <c r="V1740">
        <v>1026</v>
      </c>
      <c r="W1740">
        <v>1026</v>
      </c>
      <c r="X1740">
        <v>2076</v>
      </c>
    </row>
    <row r="1741" spans="1:24" x14ac:dyDescent="0.35">
      <c r="A1741" t="str">
        <f>HIX_RatingAreas[[#This Row],[Subdivision]]&amp;" County"</f>
        <v>Randolph County County</v>
      </c>
      <c r="B1741" s="51" t="s">
        <v>2522</v>
      </c>
      <c r="D1741" t="s">
        <v>2469</v>
      </c>
      <c r="E1741" t="s">
        <v>2470</v>
      </c>
      <c r="F1741" s="46" t="s">
        <v>2522</v>
      </c>
      <c r="G1741" t="s">
        <v>283</v>
      </c>
      <c r="H1741" s="47" t="s">
        <v>1366</v>
      </c>
      <c r="I1741" s="47" t="s">
        <v>2471</v>
      </c>
      <c r="J1741" t="s">
        <v>377</v>
      </c>
      <c r="K1741">
        <v>283</v>
      </c>
      <c r="L1741">
        <v>409</v>
      </c>
      <c r="M1741">
        <v>283</v>
      </c>
      <c r="N1741">
        <v>409</v>
      </c>
      <c r="O1741" s="24">
        <v>211</v>
      </c>
      <c r="P1741" s="24">
        <v>375</v>
      </c>
      <c r="Q1741">
        <v>177</v>
      </c>
      <c r="R1741">
        <v>321</v>
      </c>
      <c r="S1741">
        <v>179</v>
      </c>
      <c r="T1741">
        <v>415</v>
      </c>
      <c r="U1741">
        <v>150</v>
      </c>
      <c r="V1741">
        <v>469</v>
      </c>
      <c r="W1741">
        <v>298</v>
      </c>
      <c r="X1741">
        <v>884</v>
      </c>
    </row>
    <row r="1742" spans="1:24" x14ac:dyDescent="0.35">
      <c r="A1742" t="str">
        <f>HIX_RatingAreas[[#This Row],[Subdivision]]&amp;" County"</f>
        <v>Ritchie County County</v>
      </c>
      <c r="B1742" s="51" t="s">
        <v>2523</v>
      </c>
      <c r="D1742" t="s">
        <v>2469</v>
      </c>
      <c r="E1742" t="s">
        <v>2470</v>
      </c>
      <c r="F1742" s="46" t="s">
        <v>2523</v>
      </c>
      <c r="G1742" t="s">
        <v>289</v>
      </c>
      <c r="H1742" s="47" t="s">
        <v>1355</v>
      </c>
      <c r="I1742" s="47" t="s">
        <v>2496</v>
      </c>
      <c r="J1742" t="s">
        <v>2813</v>
      </c>
      <c r="K1742">
        <v>65</v>
      </c>
      <c r="L1742">
        <v>92</v>
      </c>
      <c r="M1742">
        <v>65</v>
      </c>
      <c r="N1742">
        <v>92</v>
      </c>
      <c r="O1742" s="24">
        <v>53</v>
      </c>
      <c r="P1742" s="24">
        <v>83</v>
      </c>
      <c r="Q1742">
        <v>39</v>
      </c>
      <c r="R1742">
        <v>70</v>
      </c>
      <c r="S1742">
        <v>38</v>
      </c>
      <c r="T1742">
        <v>74</v>
      </c>
      <c r="U1742">
        <v>31</v>
      </c>
      <c r="V1742">
        <v>84</v>
      </c>
      <c r="W1742">
        <v>89</v>
      </c>
      <c r="X1742">
        <v>169</v>
      </c>
    </row>
    <row r="1743" spans="1:24" x14ac:dyDescent="0.35">
      <c r="A1743" t="str">
        <f>HIX_RatingAreas[[#This Row],[Subdivision]]&amp;" County"</f>
        <v>Roane County County</v>
      </c>
      <c r="B1743" s="51" t="s">
        <v>2524</v>
      </c>
      <c r="D1743" t="s">
        <v>2469</v>
      </c>
      <c r="E1743" t="s">
        <v>2470</v>
      </c>
      <c r="F1743" s="46" t="s">
        <v>2524</v>
      </c>
      <c r="G1743" t="s">
        <v>231</v>
      </c>
      <c r="H1743" s="47" t="s">
        <v>393</v>
      </c>
      <c r="I1743" s="47" t="s">
        <v>2477</v>
      </c>
      <c r="J1743" t="s">
        <v>1825</v>
      </c>
      <c r="K1743">
        <v>172</v>
      </c>
      <c r="L1743">
        <v>222</v>
      </c>
      <c r="M1743">
        <v>172</v>
      </c>
      <c r="N1743">
        <v>222</v>
      </c>
      <c r="O1743" s="24">
        <v>152</v>
      </c>
      <c r="P1743" s="24">
        <v>201</v>
      </c>
      <c r="Q1743">
        <v>125</v>
      </c>
      <c r="R1743">
        <v>160</v>
      </c>
      <c r="S1743">
        <v>117</v>
      </c>
      <c r="T1743">
        <v>170</v>
      </c>
      <c r="U1743">
        <v>106</v>
      </c>
      <c r="V1743">
        <v>212</v>
      </c>
      <c r="W1743">
        <v>227</v>
      </c>
      <c r="X1743">
        <v>404</v>
      </c>
    </row>
    <row r="1744" spans="1:24" x14ac:dyDescent="0.35">
      <c r="A1744" t="str">
        <f>HIX_RatingAreas[[#This Row],[Subdivision]]&amp;" County"</f>
        <v>Summers County County</v>
      </c>
      <c r="B1744" s="51" t="s">
        <v>2525</v>
      </c>
      <c r="D1744" t="s">
        <v>2469</v>
      </c>
      <c r="E1744" t="s">
        <v>2470</v>
      </c>
      <c r="F1744" s="46" t="s">
        <v>2525</v>
      </c>
      <c r="G1744" t="s">
        <v>255</v>
      </c>
      <c r="H1744" s="47" t="s">
        <v>467</v>
      </c>
      <c r="I1744" s="47" t="s">
        <v>2508</v>
      </c>
      <c r="J1744" t="s">
        <v>2814</v>
      </c>
      <c r="K1744">
        <v>79</v>
      </c>
      <c r="L1744">
        <v>134</v>
      </c>
      <c r="M1744">
        <v>79</v>
      </c>
      <c r="N1744">
        <v>134</v>
      </c>
      <c r="O1744" s="24">
        <v>50</v>
      </c>
      <c r="P1744" s="24">
        <v>103</v>
      </c>
      <c r="Q1744">
        <v>51</v>
      </c>
      <c r="R1744">
        <v>89</v>
      </c>
      <c r="S1744">
        <v>44</v>
      </c>
      <c r="T1744">
        <v>90</v>
      </c>
      <c r="U1744">
        <v>54</v>
      </c>
      <c r="V1744">
        <v>117</v>
      </c>
      <c r="W1744">
        <v>119</v>
      </c>
      <c r="X1744">
        <v>256</v>
      </c>
    </row>
    <row r="1745" spans="1:24" x14ac:dyDescent="0.35">
      <c r="A1745" t="str">
        <f>HIX_RatingAreas[[#This Row],[Subdivision]]&amp;" County"</f>
        <v>Taylor County County</v>
      </c>
      <c r="B1745" s="51" t="s">
        <v>2526</v>
      </c>
      <c r="D1745" t="s">
        <v>2469</v>
      </c>
      <c r="E1745" t="s">
        <v>2470</v>
      </c>
      <c r="F1745" s="46" t="s">
        <v>2526</v>
      </c>
      <c r="G1745" t="s">
        <v>283</v>
      </c>
      <c r="H1745" s="47" t="s">
        <v>1366</v>
      </c>
      <c r="I1745" s="47" t="s">
        <v>2471</v>
      </c>
      <c r="J1745" t="s">
        <v>760</v>
      </c>
      <c r="K1745">
        <v>100</v>
      </c>
      <c r="L1745">
        <v>158</v>
      </c>
      <c r="M1745">
        <v>100</v>
      </c>
      <c r="N1745">
        <v>158</v>
      </c>
      <c r="O1745" s="24">
        <v>71</v>
      </c>
      <c r="P1745" s="24">
        <v>121</v>
      </c>
      <c r="Q1745">
        <v>72</v>
      </c>
      <c r="R1745">
        <v>123</v>
      </c>
      <c r="S1745">
        <v>58</v>
      </c>
      <c r="T1745">
        <v>142</v>
      </c>
      <c r="U1745">
        <v>34</v>
      </c>
      <c r="V1745">
        <v>155</v>
      </c>
      <c r="W1745">
        <v>112</v>
      </c>
      <c r="X1745">
        <v>356</v>
      </c>
    </row>
    <row r="1746" spans="1:24" x14ac:dyDescent="0.35">
      <c r="A1746" t="str">
        <f>HIX_RatingAreas[[#This Row],[Subdivision]]&amp;" County"</f>
        <v>Tucker County County</v>
      </c>
      <c r="B1746" s="51" t="s">
        <v>2527</v>
      </c>
      <c r="D1746" t="s">
        <v>2469</v>
      </c>
      <c r="E1746" t="s">
        <v>2470</v>
      </c>
      <c r="F1746" s="46" t="s">
        <v>2527</v>
      </c>
      <c r="G1746" t="s">
        <v>283</v>
      </c>
      <c r="H1746" s="47" t="s">
        <v>1366</v>
      </c>
      <c r="I1746" s="47" t="s">
        <v>2471</v>
      </c>
      <c r="J1746" t="s">
        <v>2815</v>
      </c>
      <c r="K1746">
        <v>81</v>
      </c>
      <c r="L1746">
        <v>142</v>
      </c>
      <c r="M1746">
        <v>81</v>
      </c>
      <c r="N1746">
        <v>142</v>
      </c>
      <c r="O1746" s="24">
        <v>75</v>
      </c>
      <c r="P1746" s="24">
        <v>128</v>
      </c>
      <c r="Q1746">
        <v>63</v>
      </c>
      <c r="R1746">
        <v>109</v>
      </c>
      <c r="S1746">
        <v>51</v>
      </c>
      <c r="T1746">
        <v>138</v>
      </c>
      <c r="U1746">
        <v>39</v>
      </c>
      <c r="V1746">
        <v>153</v>
      </c>
      <c r="W1746">
        <v>63</v>
      </c>
      <c r="X1746">
        <v>242</v>
      </c>
    </row>
    <row r="1747" spans="1:24" x14ac:dyDescent="0.35">
      <c r="A1747" t="str">
        <f>HIX_RatingAreas[[#This Row],[Subdivision]]&amp;" County"</f>
        <v>Tyler County County</v>
      </c>
      <c r="B1747" s="51" t="s">
        <v>2528</v>
      </c>
      <c r="D1747" t="s">
        <v>2469</v>
      </c>
      <c r="E1747" t="s">
        <v>2470</v>
      </c>
      <c r="F1747" s="46" t="s">
        <v>2528</v>
      </c>
      <c r="G1747" t="s">
        <v>289</v>
      </c>
      <c r="H1747" s="47" t="s">
        <v>1355</v>
      </c>
      <c r="I1747" s="47" t="s">
        <v>2496</v>
      </c>
      <c r="J1747" t="s">
        <v>2059</v>
      </c>
      <c r="K1747">
        <v>57</v>
      </c>
      <c r="L1747">
        <v>111</v>
      </c>
      <c r="M1747">
        <v>57</v>
      </c>
      <c r="N1747">
        <v>111</v>
      </c>
      <c r="O1747" s="24">
        <v>60</v>
      </c>
      <c r="P1747" s="24">
        <v>86</v>
      </c>
      <c r="Q1747">
        <v>67</v>
      </c>
      <c r="R1747">
        <v>90</v>
      </c>
      <c r="S1747">
        <v>49</v>
      </c>
      <c r="T1747">
        <v>88</v>
      </c>
      <c r="U1747">
        <v>50</v>
      </c>
      <c r="V1747">
        <v>107</v>
      </c>
      <c r="W1747">
        <v>103</v>
      </c>
      <c r="X1747">
        <v>213</v>
      </c>
    </row>
    <row r="1748" spans="1:24" x14ac:dyDescent="0.35">
      <c r="A1748" t="str">
        <f>HIX_RatingAreas[[#This Row],[Subdivision]]&amp;" County"</f>
        <v>Upshur County County</v>
      </c>
      <c r="B1748" s="51" t="s">
        <v>2529</v>
      </c>
      <c r="D1748" t="s">
        <v>2469</v>
      </c>
      <c r="E1748" t="s">
        <v>2470</v>
      </c>
      <c r="F1748" s="46" t="s">
        <v>2529</v>
      </c>
      <c r="G1748" t="s">
        <v>283</v>
      </c>
      <c r="H1748" s="47" t="s">
        <v>1366</v>
      </c>
      <c r="I1748" s="47" t="s">
        <v>2471</v>
      </c>
      <c r="J1748" t="s">
        <v>2161</v>
      </c>
      <c r="K1748">
        <v>213</v>
      </c>
      <c r="L1748">
        <v>323</v>
      </c>
      <c r="M1748">
        <v>213</v>
      </c>
      <c r="N1748">
        <v>323</v>
      </c>
      <c r="O1748" s="24">
        <v>164</v>
      </c>
      <c r="P1748" s="24">
        <v>282</v>
      </c>
      <c r="Q1748">
        <v>145</v>
      </c>
      <c r="R1748">
        <v>269</v>
      </c>
      <c r="S1748">
        <v>130</v>
      </c>
      <c r="T1748">
        <v>318</v>
      </c>
      <c r="U1748" t="s">
        <v>1152</v>
      </c>
      <c r="V1748">
        <v>389</v>
      </c>
      <c r="W1748">
        <v>208</v>
      </c>
      <c r="X1748">
        <v>675</v>
      </c>
    </row>
    <row r="1749" spans="1:24" x14ac:dyDescent="0.35">
      <c r="A1749" t="str">
        <f>HIX_RatingAreas[[#This Row],[Subdivision]]&amp;" County"</f>
        <v>Wayne County County</v>
      </c>
      <c r="B1749" s="51" t="s">
        <v>2530</v>
      </c>
      <c r="D1749" t="s">
        <v>2469</v>
      </c>
      <c r="E1749" t="s">
        <v>2470</v>
      </c>
      <c r="F1749" s="46" t="s">
        <v>2530</v>
      </c>
      <c r="G1749" t="s">
        <v>259</v>
      </c>
      <c r="H1749" s="47" t="s">
        <v>477</v>
      </c>
      <c r="I1749" s="47" t="s">
        <v>2481</v>
      </c>
      <c r="J1749" t="s">
        <v>894</v>
      </c>
      <c r="K1749">
        <v>232</v>
      </c>
      <c r="L1749">
        <v>339</v>
      </c>
      <c r="M1749">
        <v>232</v>
      </c>
      <c r="N1749">
        <v>339</v>
      </c>
      <c r="O1749" s="24">
        <v>196</v>
      </c>
      <c r="P1749" s="24">
        <v>320</v>
      </c>
      <c r="Q1749">
        <v>173</v>
      </c>
      <c r="R1749">
        <v>295</v>
      </c>
      <c r="S1749">
        <v>167</v>
      </c>
      <c r="T1749">
        <v>350</v>
      </c>
      <c r="U1749">
        <v>166</v>
      </c>
      <c r="V1749">
        <v>480</v>
      </c>
      <c r="W1749">
        <v>306</v>
      </c>
      <c r="X1749">
        <v>913</v>
      </c>
    </row>
    <row r="1750" spans="1:24" x14ac:dyDescent="0.35">
      <c r="A1750" t="str">
        <f>HIX_RatingAreas[[#This Row],[Subdivision]]&amp;" County"</f>
        <v>Webster County County</v>
      </c>
      <c r="B1750" s="51" t="s">
        <v>2531</v>
      </c>
      <c r="D1750" t="s">
        <v>2469</v>
      </c>
      <c r="E1750" t="s">
        <v>2470</v>
      </c>
      <c r="F1750" s="46" t="s">
        <v>2531</v>
      </c>
      <c r="G1750" t="s">
        <v>283</v>
      </c>
      <c r="H1750" s="47" t="s">
        <v>1366</v>
      </c>
      <c r="I1750" s="47" t="s">
        <v>2471</v>
      </c>
      <c r="J1750" t="s">
        <v>924</v>
      </c>
      <c r="K1750">
        <v>39</v>
      </c>
      <c r="L1750">
        <v>74</v>
      </c>
      <c r="M1750">
        <v>39</v>
      </c>
      <c r="N1750">
        <v>74</v>
      </c>
      <c r="O1750" s="24">
        <v>33</v>
      </c>
      <c r="P1750" s="24">
        <v>58</v>
      </c>
      <c r="Q1750">
        <v>23</v>
      </c>
      <c r="R1750">
        <v>54</v>
      </c>
      <c r="S1750">
        <v>17</v>
      </c>
      <c r="T1750">
        <v>50</v>
      </c>
      <c r="U1750">
        <v>14</v>
      </c>
      <c r="V1750">
        <v>57</v>
      </c>
      <c r="W1750">
        <v>55</v>
      </c>
      <c r="X1750">
        <v>184</v>
      </c>
    </row>
    <row r="1751" spans="1:24" x14ac:dyDescent="0.35">
      <c r="A1751" t="str">
        <f>HIX_RatingAreas[[#This Row],[Subdivision]]&amp;" County"</f>
        <v>Wetzel County County</v>
      </c>
      <c r="B1751" s="51" t="s">
        <v>2532</v>
      </c>
      <c r="D1751" t="s">
        <v>2469</v>
      </c>
      <c r="E1751" t="s">
        <v>2470</v>
      </c>
      <c r="F1751" s="46" t="s">
        <v>2532</v>
      </c>
      <c r="G1751" t="s">
        <v>279</v>
      </c>
      <c r="H1751" s="47" t="s">
        <v>1347</v>
      </c>
      <c r="I1751" s="47" t="s">
        <v>2485</v>
      </c>
      <c r="J1751" t="s">
        <v>2816</v>
      </c>
      <c r="K1751">
        <v>121</v>
      </c>
      <c r="L1751">
        <v>186</v>
      </c>
      <c r="M1751">
        <v>121</v>
      </c>
      <c r="N1751">
        <v>186</v>
      </c>
      <c r="O1751" s="24">
        <v>108</v>
      </c>
      <c r="P1751" s="24">
        <v>170</v>
      </c>
      <c r="Q1751">
        <v>87</v>
      </c>
      <c r="R1751">
        <v>143</v>
      </c>
      <c r="S1751">
        <v>69</v>
      </c>
      <c r="T1751">
        <v>163</v>
      </c>
      <c r="U1751">
        <v>89</v>
      </c>
      <c r="V1751">
        <v>199</v>
      </c>
      <c r="W1751">
        <v>196</v>
      </c>
      <c r="X1751">
        <v>396</v>
      </c>
    </row>
    <row r="1752" spans="1:24" x14ac:dyDescent="0.35">
      <c r="A1752" t="str">
        <f>HIX_RatingAreas[[#This Row],[Subdivision]]&amp;" County"</f>
        <v>Wirt County County</v>
      </c>
      <c r="B1752" s="51" t="s">
        <v>2533</v>
      </c>
      <c r="D1752" t="s">
        <v>2469</v>
      </c>
      <c r="E1752" t="s">
        <v>2470</v>
      </c>
      <c r="F1752" s="46" t="s">
        <v>2533</v>
      </c>
      <c r="G1752" t="s">
        <v>289</v>
      </c>
      <c r="H1752" s="47" t="s">
        <v>1355</v>
      </c>
      <c r="I1752" s="47" t="s">
        <v>2496</v>
      </c>
      <c r="J1752" t="s">
        <v>2817</v>
      </c>
      <c r="K1752">
        <v>55</v>
      </c>
      <c r="L1752">
        <v>66</v>
      </c>
      <c r="M1752">
        <v>55</v>
      </c>
      <c r="N1752">
        <v>66</v>
      </c>
      <c r="O1752" s="24">
        <v>39</v>
      </c>
      <c r="P1752" s="24">
        <v>48</v>
      </c>
      <c r="Q1752">
        <v>37</v>
      </c>
      <c r="R1752">
        <v>51</v>
      </c>
      <c r="S1752">
        <v>41</v>
      </c>
      <c r="T1752">
        <v>55</v>
      </c>
      <c r="U1752">
        <v>36</v>
      </c>
      <c r="V1752">
        <v>70</v>
      </c>
      <c r="W1752">
        <v>67</v>
      </c>
      <c r="X1752">
        <v>132</v>
      </c>
    </row>
    <row r="1753" spans="1:24" x14ac:dyDescent="0.35">
      <c r="A1753" t="str">
        <f>HIX_RatingAreas[[#This Row],[Subdivision]]&amp;" County"</f>
        <v>Wood County County</v>
      </c>
      <c r="B1753" s="51" t="s">
        <v>2534</v>
      </c>
      <c r="D1753" t="s">
        <v>2469</v>
      </c>
      <c r="E1753" t="s">
        <v>2470</v>
      </c>
      <c r="F1753" s="46" t="s">
        <v>2534</v>
      </c>
      <c r="G1753" t="s">
        <v>289</v>
      </c>
      <c r="H1753" s="47" t="s">
        <v>1355</v>
      </c>
      <c r="I1753" s="47" t="s">
        <v>2496</v>
      </c>
      <c r="J1753" t="s">
        <v>2337</v>
      </c>
      <c r="K1753">
        <v>632</v>
      </c>
      <c r="L1753">
        <v>1006</v>
      </c>
      <c r="M1753">
        <v>632</v>
      </c>
      <c r="N1753">
        <v>1006</v>
      </c>
      <c r="O1753" s="24">
        <v>535</v>
      </c>
      <c r="P1753" s="24">
        <v>856</v>
      </c>
      <c r="Q1753">
        <v>484</v>
      </c>
      <c r="R1753">
        <v>813</v>
      </c>
      <c r="S1753">
        <v>473</v>
      </c>
      <c r="T1753">
        <v>944</v>
      </c>
      <c r="U1753">
        <v>492</v>
      </c>
      <c r="V1753">
        <v>1122</v>
      </c>
      <c r="W1753">
        <v>1089</v>
      </c>
      <c r="X1753">
        <v>2162</v>
      </c>
    </row>
    <row r="1754" spans="1:24" x14ac:dyDescent="0.35">
      <c r="B1754" s="51"/>
      <c r="D1754" t="s">
        <v>2469</v>
      </c>
      <c r="E1754" t="s">
        <v>2470</v>
      </c>
      <c r="F1754" s="46" t="s">
        <v>2535</v>
      </c>
      <c r="G1754" t="s">
        <v>239</v>
      </c>
      <c r="H1754" s="47" t="s">
        <v>450</v>
      </c>
      <c r="I1754" s="47" t="s">
        <v>2475</v>
      </c>
      <c r="J1754" t="s">
        <v>2818</v>
      </c>
      <c r="K1754">
        <v>122</v>
      </c>
      <c r="L1754">
        <v>211</v>
      </c>
      <c r="M1754">
        <v>122</v>
      </c>
      <c r="N1754">
        <v>211</v>
      </c>
      <c r="O1754" s="24">
        <v>84</v>
      </c>
      <c r="P1754" s="24">
        <v>148</v>
      </c>
      <c r="Q1754">
        <v>92</v>
      </c>
      <c r="R1754">
        <v>155</v>
      </c>
      <c r="S1754">
        <v>81</v>
      </c>
      <c r="T1754">
        <v>168</v>
      </c>
      <c r="U1754">
        <v>68</v>
      </c>
      <c r="V1754">
        <v>223</v>
      </c>
      <c r="W1754">
        <v>164</v>
      </c>
      <c r="X1754">
        <v>482</v>
      </c>
    </row>
    <row r="1755" spans="1:24" x14ac:dyDescent="0.35">
      <c r="A1755" t="str">
        <f>HIX_RatingAreas[[#This Row],[Subdivision]]&amp;" County"</f>
        <v>National Average County</v>
      </c>
      <c r="B1755" s="51" t="s">
        <v>2535</v>
      </c>
      <c r="D1755" t="s">
        <v>4044</v>
      </c>
      <c r="E1755" t="s">
        <v>4045</v>
      </c>
      <c r="F1755" s="46"/>
      <c r="G1755" t="s">
        <v>4047</v>
      </c>
      <c r="H1755" s="47"/>
      <c r="I1755" s="47" t="s">
        <v>4046</v>
      </c>
      <c r="J1755" t="s">
        <v>4047</v>
      </c>
      <c r="K1755">
        <v>5165232</v>
      </c>
      <c r="L1755">
        <v>8411614</v>
      </c>
      <c r="M1755">
        <v>5165232</v>
      </c>
      <c r="N1755">
        <v>8411614</v>
      </c>
      <c r="O1755" s="24">
        <v>4874045</v>
      </c>
      <c r="P1755" s="24">
        <v>8286871</v>
      </c>
      <c r="Q1755">
        <v>4600587</v>
      </c>
      <c r="R1755">
        <v>8251703</v>
      </c>
      <c r="S1755">
        <v>5935531</v>
      </c>
      <c r="T1755">
        <v>10255636</v>
      </c>
      <c r="U1755">
        <v>6795674</v>
      </c>
      <c r="V1755">
        <v>12203622</v>
      </c>
      <c r="W1755">
        <v>9043201</v>
      </c>
      <c r="X1755">
        <v>16363133</v>
      </c>
    </row>
    <row r="1756" spans="1:24" x14ac:dyDescent="0.35">
      <c r="F1756" s="23"/>
      <c r="H1756" s="47"/>
      <c r="I1756" s="47"/>
    </row>
    <row r="1758" spans="1:24" x14ac:dyDescent="0.35">
      <c r="C1758" s="2" t="s">
        <v>2536</v>
      </c>
    </row>
    <row r="1759" spans="1:24" x14ac:dyDescent="0.35">
      <c r="D1759" t="s">
        <v>2537</v>
      </c>
    </row>
    <row r="1761" spans="3:74" x14ac:dyDescent="0.35">
      <c r="C1761" s="2" t="s">
        <v>175</v>
      </c>
    </row>
    <row r="1762" spans="3:74" x14ac:dyDescent="0.35">
      <c r="D1762" t="s">
        <v>2538</v>
      </c>
    </row>
    <row r="1763" spans="3:74" x14ac:dyDescent="0.35">
      <c r="E1763" t="s">
        <v>2539</v>
      </c>
    </row>
    <row r="1764" spans="3:74" x14ac:dyDescent="0.35">
      <c r="E1764" s="37" t="s">
        <v>2540</v>
      </c>
      <c r="F1764" t="s">
        <v>1662</v>
      </c>
    </row>
    <row r="1765" spans="3:74" x14ac:dyDescent="0.35">
      <c r="E1765" s="37" t="s">
        <v>2541</v>
      </c>
      <c r="F1765" t="str">
        <f>J1321</f>
        <v>York County</v>
      </c>
      <c r="H1765" s="52" t="s">
        <v>1005</v>
      </c>
      <c r="I1765" t="s">
        <v>2298</v>
      </c>
    </row>
    <row r="1766" spans="3:74" x14ac:dyDescent="0.35">
      <c r="E1766" s="38" t="s">
        <v>181</v>
      </c>
      <c r="F1766" t="str">
        <f t="array" ref="F1766">INDEX(HIX_RatingAreas[],MATCH(1,(HIX_RatingAreas[State]=F1764)*(HIX_RatingAreas[Subdivision]=F1765),0),MATCH("Rating Area ID",HIX_RatingAreas[#Headers],0))</f>
        <v>Rating Area 46</v>
      </c>
    </row>
    <row r="1768" spans="3:74" x14ac:dyDescent="0.35">
      <c r="C1768" s="2" t="s">
        <v>2542</v>
      </c>
    </row>
    <row r="1769" spans="3:74" x14ac:dyDescent="0.35">
      <c r="D1769" t="s">
        <v>2543</v>
      </c>
    </row>
    <row r="1770" spans="3:74" x14ac:dyDescent="0.35">
      <c r="D1770" t="s">
        <v>2544</v>
      </c>
    </row>
    <row r="1771" spans="3:74" x14ac:dyDescent="0.35">
      <c r="D1771" t="s">
        <v>2545</v>
      </c>
    </row>
    <row r="1772" spans="3:74" x14ac:dyDescent="0.35">
      <c r="D1772" s="43" t="s">
        <v>2546</v>
      </c>
    </row>
    <row r="1774" spans="3:74" x14ac:dyDescent="0.35">
      <c r="C1774" s="2" t="s">
        <v>2547</v>
      </c>
    </row>
    <row r="1775" spans="3:74" x14ac:dyDescent="0.35">
      <c r="C1775" t="s">
        <v>2548</v>
      </c>
      <c r="AC1775" t="s">
        <v>2549</v>
      </c>
    </row>
    <row r="1776" spans="3:74" ht="43.5" x14ac:dyDescent="0.35">
      <c r="D1776" s="26" t="s">
        <v>212</v>
      </c>
      <c r="E1776" s="26" t="s">
        <v>214</v>
      </c>
      <c r="F1776" s="26" t="s">
        <v>2550</v>
      </c>
      <c r="G1776" s="26" t="s">
        <v>2551</v>
      </c>
      <c r="H1776" s="26" t="s">
        <v>2552</v>
      </c>
      <c r="I1776" s="26" t="s">
        <v>2553</v>
      </c>
      <c r="J1776" s="26" t="s">
        <v>2554</v>
      </c>
      <c r="K1776" s="26" t="s">
        <v>2555</v>
      </c>
      <c r="L1776" s="26" t="s">
        <v>2556</v>
      </c>
      <c r="M1776" s="29" t="s">
        <v>2557</v>
      </c>
      <c r="N1776" s="29" t="s">
        <v>2558</v>
      </c>
      <c r="O1776" s="29" t="s">
        <v>2559</v>
      </c>
      <c r="P1776" s="29" t="s">
        <v>153</v>
      </c>
      <c r="Q1776" s="26" t="s">
        <v>2560</v>
      </c>
      <c r="R1776" s="26" t="s">
        <v>2561</v>
      </c>
      <c r="S1776" s="26" t="s">
        <v>2562</v>
      </c>
      <c r="T1776" s="26" t="s">
        <v>2563</v>
      </c>
      <c r="U1776" s="26" t="s">
        <v>154</v>
      </c>
      <c r="V1776" s="26" t="s">
        <v>2564</v>
      </c>
      <c r="W1776" s="26" t="s">
        <v>2565</v>
      </c>
      <c r="X1776" s="26" t="s">
        <v>2566</v>
      </c>
      <c r="Y1776" s="26" t="s">
        <v>2567</v>
      </c>
      <c r="Z1776" s="26" t="s">
        <v>155</v>
      </c>
      <c r="AA1776" s="26" t="s">
        <v>2568</v>
      </c>
      <c r="AB1776" s="26" t="s">
        <v>2569</v>
      </c>
      <c r="AC1776" s="26" t="s">
        <v>2570</v>
      </c>
      <c r="AD1776" s="26" t="s">
        <v>2571</v>
      </c>
      <c r="AE1776" s="26" t="s">
        <v>156</v>
      </c>
      <c r="AF1776" s="26" t="s">
        <v>2572</v>
      </c>
      <c r="AG1776" s="26" t="s">
        <v>2573</v>
      </c>
      <c r="AH1776" s="26" t="s">
        <v>2708</v>
      </c>
      <c r="AI1776" s="26" t="s">
        <v>2709</v>
      </c>
      <c r="AJ1776" s="26" t="s">
        <v>2701</v>
      </c>
      <c r="AK1776" s="26" t="s">
        <v>2710</v>
      </c>
      <c r="AL1776" s="26" t="s">
        <v>2711</v>
      </c>
      <c r="AM1776" s="26" t="s">
        <v>2823</v>
      </c>
      <c r="AN1776" s="26" t="s">
        <v>2824</v>
      </c>
      <c r="AO1776" s="26" t="s">
        <v>2825</v>
      </c>
      <c r="AP1776" s="26" t="s">
        <v>2826</v>
      </c>
      <c r="AQ1776" s="26" t="s">
        <v>2827</v>
      </c>
      <c r="AR1776" s="26" t="s">
        <v>2574</v>
      </c>
      <c r="AS1776" s="26" t="s">
        <v>2575</v>
      </c>
      <c r="AT1776" s="26" t="s">
        <v>2576</v>
      </c>
      <c r="AU1776" s="26" t="s">
        <v>2577</v>
      </c>
      <c r="AV1776" s="26" t="s">
        <v>2578</v>
      </c>
      <c r="AW1776" s="26" t="s">
        <v>2579</v>
      </c>
      <c r="AX1776" s="26" t="s">
        <v>2704</v>
      </c>
      <c r="AY1776" s="26" t="s">
        <v>2819</v>
      </c>
      <c r="AZ1776" s="26" t="s">
        <v>2580</v>
      </c>
      <c r="BA1776" s="26" t="s">
        <v>2581</v>
      </c>
      <c r="BB1776" s="26" t="s">
        <v>2582</v>
      </c>
      <c r="BC1776" s="26" t="s">
        <v>2583</v>
      </c>
      <c r="BD1776" s="26" t="s">
        <v>2584</v>
      </c>
      <c r="BE1776" s="26" t="s">
        <v>2585</v>
      </c>
      <c r="BF1776" s="26" t="s">
        <v>2586</v>
      </c>
      <c r="BG1776" s="26" t="s">
        <v>2587</v>
      </c>
      <c r="BH1776" s="26" t="s">
        <v>2588</v>
      </c>
      <c r="BI1776" s="26" t="s">
        <v>2589</v>
      </c>
      <c r="BJ1776" s="26" t="s">
        <v>2590</v>
      </c>
      <c r="BK1776" s="26" t="s">
        <v>2591</v>
      </c>
      <c r="BL1776" s="26" t="s">
        <v>2706</v>
      </c>
      <c r="BM1776" s="26" t="s">
        <v>2705</v>
      </c>
      <c r="BN1776" s="26" t="s">
        <v>2821</v>
      </c>
      <c r="BO1776" s="26" t="s">
        <v>2820</v>
      </c>
      <c r="BP1776" s="26" t="s">
        <v>2592</v>
      </c>
      <c r="BQ1776" s="26" t="s">
        <v>2593</v>
      </c>
      <c r="BR1776" s="26" t="s">
        <v>2594</v>
      </c>
      <c r="BS1776" s="26" t="s">
        <v>2595</v>
      </c>
      <c r="BT1776" s="26" t="s">
        <v>2596</v>
      </c>
      <c r="BU1776" s="26" t="s">
        <v>2707</v>
      </c>
      <c r="BV1776" s="26" t="s">
        <v>2822</v>
      </c>
    </row>
    <row r="1777" spans="4:74" x14ac:dyDescent="0.35">
      <c r="D1777" t="s">
        <v>229</v>
      </c>
      <c r="E1777" t="s">
        <v>2597</v>
      </c>
      <c r="F1777" s="23"/>
      <c r="G1777" s="23"/>
      <c r="H1777" s="23"/>
      <c r="I1777" s="23"/>
      <c r="J1777" s="53"/>
      <c r="K1777" s="53">
        <f>SUM(BP1778:BP1790)</f>
        <v>456.13</v>
      </c>
      <c r="L1777" s="53"/>
      <c r="M1777" s="54"/>
      <c r="O1777" s="55"/>
      <c r="P1777" s="56">
        <f>SUM(BQ1778:BQ1790)</f>
        <v>446.58</v>
      </c>
      <c r="Q1777" s="56"/>
      <c r="R1777" s="57"/>
      <c r="S1777" s="23"/>
      <c r="T1777" s="53"/>
      <c r="U1777" s="53">
        <f>SUM(BR1778:BR1790)</f>
        <v>425.65999999999997</v>
      </c>
      <c r="V1777" s="53"/>
      <c r="W1777" s="57"/>
      <c r="X1777" s="57"/>
      <c r="Y1777" s="58"/>
      <c r="Z1777" s="58">
        <f>SUM(BS1778:BS1790)</f>
        <v>487.48</v>
      </c>
      <c r="AA1777" s="58"/>
      <c r="AB1777" s="57"/>
      <c r="AC1777" s="47"/>
      <c r="AD1777" s="57"/>
      <c r="AE1777" s="58">
        <f>SUM(BT1778:BT1790)</f>
        <v>481.05</v>
      </c>
      <c r="AF1777" s="57"/>
      <c r="AG1777" s="57"/>
      <c r="AH1777" s="47"/>
      <c r="AI1777" s="57"/>
      <c r="AJ1777" s="58">
        <f>SUM(BU1778:BU1790)</f>
        <v>460.87</v>
      </c>
      <c r="AK1777" s="57"/>
      <c r="AL1777" s="57"/>
      <c r="AM1777" s="57"/>
      <c r="AN1777" s="57"/>
      <c r="AO1777" s="58">
        <f>SUM(BV1778:BV1790)</f>
        <v>457.16999999999996</v>
      </c>
      <c r="AP1777" s="57"/>
      <c r="AQ1777" s="57"/>
      <c r="AR1777" s="59">
        <f t="shared" ref="AR1777:AZ1777" si="6">SUM(AR1778:AR1790)</f>
        <v>166220</v>
      </c>
      <c r="AS1777" s="59">
        <f t="shared" si="6"/>
        <v>140350</v>
      </c>
      <c r="AT1777" s="59">
        <f t="shared" si="6"/>
        <v>135798</v>
      </c>
      <c r="AU1777" s="59">
        <f t="shared" si="6"/>
        <v>131194</v>
      </c>
      <c r="AV1777" s="59">
        <f t="shared" si="6"/>
        <v>137734</v>
      </c>
      <c r="AW1777" s="59">
        <f t="shared" si="6"/>
        <v>179331</v>
      </c>
      <c r="AX1777" s="59">
        <f t="shared" si="6"/>
        <v>193162</v>
      </c>
      <c r="AY1777" s="59">
        <f t="shared" si="6"/>
        <v>283062</v>
      </c>
      <c r="AZ1777" s="59">
        <f t="shared" si="6"/>
        <v>195047</v>
      </c>
      <c r="BA1777">
        <f t="shared" ref="BA1777:BA1790" si="7">AZ1777/AZ$1777</f>
        <v>1</v>
      </c>
      <c r="BB1777" s="59">
        <f>SUM(BB1778:BB1790)</f>
        <v>170211</v>
      </c>
      <c r="BC1777">
        <f t="shared" ref="BC1777:BC1790" si="8">BB1777/BB$1777</f>
        <v>1</v>
      </c>
      <c r="BD1777" s="59">
        <f>SUM(BD1778:BD1790)</f>
        <v>166128</v>
      </c>
      <c r="BE1777">
        <f t="shared" ref="BE1777:BE1790" si="9">BD1777/BD$1777</f>
        <v>1</v>
      </c>
      <c r="BF1777" s="59">
        <f>SUM(BF1778:BF1790)</f>
        <v>160429</v>
      </c>
      <c r="BG1777">
        <f t="shared" ref="BG1777:BG1790" si="10">BF1777/BF$1777</f>
        <v>1</v>
      </c>
      <c r="BH1777" s="59">
        <f>SUM(BH1778:BH1790)</f>
        <v>169119</v>
      </c>
      <c r="BI1777">
        <f t="shared" ref="BI1777:BI1790" si="11">BH1777/BH$1777</f>
        <v>1</v>
      </c>
      <c r="BJ1777" s="59">
        <f>SUM(BJ1778:BJ1790)</f>
        <v>219314</v>
      </c>
      <c r="BK1777">
        <f t="shared" ref="BK1777:BK1790" si="12">BJ1777/BJ$1777</f>
        <v>1</v>
      </c>
      <c r="BL1777" s="59">
        <f>SUM(BL1778:BL1790)</f>
        <v>258327</v>
      </c>
      <c r="BM1777">
        <f t="shared" ref="BM1777:BO1790" si="13">BL1777/BL$1777</f>
        <v>1</v>
      </c>
      <c r="BN1777" s="59">
        <f>SUM(BN1778:BN1790)</f>
        <v>386195</v>
      </c>
      <c r="BO1777">
        <f t="shared" si="13"/>
        <v>1</v>
      </c>
      <c r="BP1777" s="53"/>
      <c r="BQ1777" s="53"/>
      <c r="BR1777" s="53"/>
      <c r="BS1777" s="53"/>
      <c r="BT1777" s="53"/>
      <c r="BU1777" s="53"/>
      <c r="BV1777" s="53"/>
    </row>
    <row r="1778" spans="4:74" x14ac:dyDescent="0.35">
      <c r="D1778" t="s">
        <v>229</v>
      </c>
      <c r="E1778" t="s">
        <v>231</v>
      </c>
      <c r="F1778" s="23">
        <v>1</v>
      </c>
      <c r="G1778" s="23" t="s">
        <v>230</v>
      </c>
      <c r="H1778" s="23" t="s">
        <v>232</v>
      </c>
      <c r="I1778" s="23">
        <v>9</v>
      </c>
      <c r="J1778" s="53">
        <v>417.6</v>
      </c>
      <c r="K1778" s="53">
        <v>459.81</v>
      </c>
      <c r="L1778" s="53">
        <v>783.62</v>
      </c>
      <c r="M1778" s="54">
        <f t="shared" ref="M1778:M1798" si="14">L1778/K1778</f>
        <v>1.7042256584241318</v>
      </c>
      <c r="N1778" s="24">
        <v>8</v>
      </c>
      <c r="O1778" s="55">
        <v>400.58</v>
      </c>
      <c r="P1778" s="56">
        <v>435.84</v>
      </c>
      <c r="Q1778" s="56">
        <v>742.76</v>
      </c>
      <c r="R1778" s="57">
        <f t="shared" ref="R1778:R1790" si="15">Q1778/P1778</f>
        <v>1.7042033773861969</v>
      </c>
      <c r="S1778" s="23">
        <v>10</v>
      </c>
      <c r="T1778" s="53">
        <v>328.59</v>
      </c>
      <c r="U1778" s="53">
        <v>409.94</v>
      </c>
      <c r="V1778" s="53">
        <v>698.62</v>
      </c>
      <c r="W1778" s="57">
        <f t="shared" ref="W1778:W1790" si="16">V1778/U1778</f>
        <v>1.704200614724106</v>
      </c>
      <c r="X1778" s="47">
        <v>8</v>
      </c>
      <c r="Y1778" s="58">
        <v>431.14</v>
      </c>
      <c r="Z1778" s="58">
        <v>462.85</v>
      </c>
      <c r="AA1778" s="58">
        <v>788.78</v>
      </c>
      <c r="AB1778" s="57">
        <f t="shared" ref="AB1778:AB1790" si="17">AA1778/Z1778</f>
        <v>1.7041806200712972</v>
      </c>
      <c r="AC1778" s="47">
        <v>8</v>
      </c>
      <c r="AD1778" s="23">
        <v>460.77</v>
      </c>
      <c r="AE1778" s="23">
        <v>494.63</v>
      </c>
      <c r="AF1778" s="23">
        <v>842.95</v>
      </c>
      <c r="AG1778" s="57">
        <f t="shared" ref="AG1778:AG1790" si="18">AF1778/AE1778</f>
        <v>1.7042031417423125</v>
      </c>
      <c r="AH1778" s="47">
        <v>12</v>
      </c>
      <c r="AI1778" s="54">
        <v>442.66</v>
      </c>
      <c r="AJ1778">
        <v>459.32</v>
      </c>
      <c r="AK1778">
        <v>782.77</v>
      </c>
      <c r="AL1778" s="57">
        <f t="shared" ref="AL1778:AL1840" si="19">AK1778/AJ1778</f>
        <v>1.7041931550988418</v>
      </c>
      <c r="AM1778" s="47">
        <v>32</v>
      </c>
      <c r="AN1778" s="57">
        <v>402.13</v>
      </c>
      <c r="AO1778" s="57">
        <v>402.4</v>
      </c>
      <c r="AP1778" s="57">
        <v>685.77</v>
      </c>
      <c r="AQ1778" s="57">
        <f t="shared" ref="AQ1778:AQ1790" si="20">AP1778/AO1778</f>
        <v>1.704199801192843</v>
      </c>
      <c r="AR1778" s="59">
        <v>3403</v>
      </c>
      <c r="AS1778" s="59">
        <f>SUMIFS(HIX_RatingAreas[Silver Enrollments 2018],HIX_RatingAreas[Area],HIX_SLCSP[[#This Row],[Area Code]])</f>
        <v>2854</v>
      </c>
      <c r="AT1778" s="59">
        <f>SUMIFS(HIX_RatingAreas[Silver Enrollments 2019],HIX_RatingAreas[Area],HIX_SLCSP[[#This Row],[Area Code]])</f>
        <v>2881</v>
      </c>
      <c r="AU1778" s="59">
        <f>SUMIFS(HIX_RatingAreas[Silver Enrollments 2020],HIX_RatingAreas[Area],HIX_SLCSP[[#This Row],[Area Code]])</f>
        <v>2831</v>
      </c>
      <c r="AV1778" s="59">
        <f>SUMIFS(HIX_RatingAreas[Silver Enrollments 2021],HIX_RatingAreas[Area],HIX_SLCSP[[#This Row],[Area Code]])</f>
        <v>2946</v>
      </c>
      <c r="AW1778" s="59">
        <f>SUMIFS(HIX_RatingAreas[Silver Enrollments 2022],HIX_RatingAreas[Area],HIX_SLCSP[[#This Row],[Area Code]])</f>
        <v>3839</v>
      </c>
      <c r="AX1778" s="59">
        <f>SUMIFS(HIX_RatingAreas[Silver Enrollments 2023],HIX_RatingAreas[Area],HIX_SLCSP[[#This Row],[Area Code]])</f>
        <v>4205</v>
      </c>
      <c r="AY1778" s="59">
        <f>SUMIFS(HIX_RatingAreas[Silver Enrollments 2024],HIX_RatingAreas[Area],HIX_SLCSP[[#This Row],[Area Code]])</f>
        <v>6380</v>
      </c>
      <c r="AZ1778" s="59">
        <v>3966</v>
      </c>
      <c r="BA1778">
        <f t="shared" si="7"/>
        <v>2.0333560628976604E-2</v>
      </c>
      <c r="BB1778">
        <f>SUMIFS(HIX_RatingAreas[QHP Enrollments 2018],HIX_RatingAreas[Area],HIX_SLCSP[[#This Row],[Area Code]])</f>
        <v>3445</v>
      </c>
      <c r="BC1778">
        <f t="shared" si="8"/>
        <v>2.0239584985694226E-2</v>
      </c>
      <c r="BD1778">
        <f>SUMIFS(HIX_RatingAreas[QHP Enrollments 2019],HIX_RatingAreas[Area],HIX_SLCSP[[#This Row],[Area Code]])</f>
        <v>3472</v>
      </c>
      <c r="BE1778">
        <f t="shared" si="9"/>
        <v>2.0899547336993163E-2</v>
      </c>
      <c r="BF1778">
        <f>SUMIFS(HIX_RatingAreas[QHP Enrollments 2020],HIX_RatingAreas[Area],HIX_SLCSP[[#This Row],[Area Code]])</f>
        <v>3375</v>
      </c>
      <c r="BG1778">
        <f t="shared" si="10"/>
        <v>2.1037343622412406E-2</v>
      </c>
      <c r="BH1778">
        <f>SUMIFS(HIX_RatingAreas[QHP Enrollments 2021],HIX_RatingAreas[Area],HIX_SLCSP[[#This Row],[Area Code]])</f>
        <v>3565</v>
      </c>
      <c r="BI1778">
        <f t="shared" si="11"/>
        <v>2.1079831361349111E-2</v>
      </c>
      <c r="BJ1778">
        <f>SUMIFS(HIX_RatingAreas[QHP Enrollments 2022],HIX_RatingAreas[Area],HIX_SLCSP[[#This Row],[Area Code]])</f>
        <v>4537</v>
      </c>
      <c r="BK1778">
        <f t="shared" si="12"/>
        <v>2.0687233829121715E-2</v>
      </c>
      <c r="BL1778">
        <f>SUMIFS(HIX_RatingAreas[QHP Enrollments 2023],HIX_RatingAreas[Area],HIX_SLCSP[[#This Row],[Area Code]])</f>
        <v>5158</v>
      </c>
      <c r="BM1778">
        <f t="shared" si="13"/>
        <v>1.9966941125008224E-2</v>
      </c>
      <c r="BN1778">
        <f>SUMIFS(HIX_RatingAreas[QHP Enrollments 2024],HIX_RatingAreas[Area],HIX_SLCSP[[#This Row],[Area Code]])</f>
        <v>8113</v>
      </c>
      <c r="BO1778">
        <f t="shared" si="13"/>
        <v>2.1007522106707751E-2</v>
      </c>
      <c r="BP1778" s="53">
        <f>ROUND(HIX_SLCSP[[#This Row],[Weighting Factor 2018]]*HIX_SLCSP[[#This Row],[2018]],2)</f>
        <v>9.31</v>
      </c>
      <c r="BQ1778" s="53">
        <f>ROUND(HIX_SLCSP[[#This Row],[Weighting Factor 2019]]*HIX_SLCSP[[#This Row],[2019]],2)</f>
        <v>9.11</v>
      </c>
      <c r="BR1778" s="53">
        <f>ROUND(HIX_SLCSP[[#This Row],[Weighting Factor 2020]]*HIX_SLCSP[[#This Row],[2020]],2)</f>
        <v>8.6199999999999992</v>
      </c>
      <c r="BS1778" s="53">
        <f>ROUND(HIX_SLCSP[[#This Row],[Weighting Factor 2021]]*HIX_SLCSP[[#This Row],[2021]],2)</f>
        <v>9.76</v>
      </c>
      <c r="BT1778" s="53">
        <f>ROUND(HIX_SLCSP[[#This Row],[Weighting Factor 2022]]*HIX_SLCSP[[#This Row],[2022]],2)</f>
        <v>10.23</v>
      </c>
      <c r="BU1778" s="53">
        <f>ROUND(HIX_SLCSP[[#This Row],[Weighting Factor 2023]]*HIX_SLCSP[[#This Row],[2023]],2)</f>
        <v>9.17</v>
      </c>
      <c r="BV1778" s="53">
        <f>ROUND(HIX_SLCSP[[#This Row],[Weighting Factor 2024]]*HIX_SLCSP[[#This Row],[2024]],2)</f>
        <v>8.4499999999999993</v>
      </c>
    </row>
    <row r="1779" spans="4:74" x14ac:dyDescent="0.35">
      <c r="D1779" t="s">
        <v>229</v>
      </c>
      <c r="E1779" t="s">
        <v>235</v>
      </c>
      <c r="F1779" s="23">
        <v>2</v>
      </c>
      <c r="G1779" s="23" t="s">
        <v>230</v>
      </c>
      <c r="H1779" s="23" t="s">
        <v>236</v>
      </c>
      <c r="I1779" s="23">
        <v>10</v>
      </c>
      <c r="J1779" s="53">
        <v>426.49</v>
      </c>
      <c r="K1779" s="53">
        <v>469.6</v>
      </c>
      <c r="L1779" s="53">
        <v>800.29</v>
      </c>
      <c r="M1779" s="54">
        <f t="shared" si="14"/>
        <v>1.7041950596252129</v>
      </c>
      <c r="N1779" s="24">
        <v>8</v>
      </c>
      <c r="O1779" s="55">
        <v>443.65</v>
      </c>
      <c r="P1779" s="56">
        <v>482.7</v>
      </c>
      <c r="Q1779" s="56">
        <v>822.62</v>
      </c>
      <c r="R1779" s="57">
        <f t="shared" si="15"/>
        <v>1.7042055106691527</v>
      </c>
      <c r="S1779" s="23">
        <v>10</v>
      </c>
      <c r="T1779" s="53">
        <v>363.92</v>
      </c>
      <c r="U1779" s="53">
        <v>454.02</v>
      </c>
      <c r="V1779" s="53">
        <v>773.75</v>
      </c>
      <c r="W1779" s="57">
        <f t="shared" si="16"/>
        <v>1.7042200784106427</v>
      </c>
      <c r="X1779" s="47">
        <v>8</v>
      </c>
      <c r="Y1779" s="58">
        <v>477.5</v>
      </c>
      <c r="Z1779" s="58">
        <v>512.62</v>
      </c>
      <c r="AA1779" s="58">
        <v>873.6</v>
      </c>
      <c r="AB1779" s="57">
        <f t="shared" si="17"/>
        <v>1.7041863368577115</v>
      </c>
      <c r="AC1779" s="47">
        <v>8</v>
      </c>
      <c r="AD1779" s="23">
        <v>510.32</v>
      </c>
      <c r="AE1779" s="23">
        <v>547.82000000000005</v>
      </c>
      <c r="AF1779" s="23">
        <v>933.59</v>
      </c>
      <c r="AG1779" s="57">
        <f t="shared" si="18"/>
        <v>1.7041911576795297</v>
      </c>
      <c r="AH1779" s="47">
        <v>40</v>
      </c>
      <c r="AI1779" s="54">
        <v>490.26</v>
      </c>
      <c r="AJ1779">
        <v>508.71</v>
      </c>
      <c r="AK1779">
        <v>866.94</v>
      </c>
      <c r="AL1779" s="57">
        <f t="shared" si="19"/>
        <v>1.7041929586601405</v>
      </c>
      <c r="AM1779" s="47">
        <v>64</v>
      </c>
      <c r="AN1779" s="57">
        <v>471.68</v>
      </c>
      <c r="AO1779" s="57">
        <v>472.34</v>
      </c>
      <c r="AP1779" s="57">
        <v>804.96</v>
      </c>
      <c r="AQ1779" s="57">
        <f t="shared" si="20"/>
        <v>1.7041961299064234</v>
      </c>
      <c r="AR1779" s="59">
        <v>4591</v>
      </c>
      <c r="AS1779" s="59">
        <f>SUMIFS(HIX_RatingAreas[Silver Enrollments 2018],HIX_RatingAreas[Area],HIX_SLCSP[[#This Row],[Area Code]])</f>
        <v>4049</v>
      </c>
      <c r="AT1779" s="59">
        <f>SUMIFS(HIX_RatingAreas[Silver Enrollments 2019],HIX_RatingAreas[Area],HIX_SLCSP[[#This Row],[Area Code]])</f>
        <v>4108</v>
      </c>
      <c r="AU1779" s="59">
        <f>SUMIFS(HIX_RatingAreas[Silver Enrollments 2020],HIX_RatingAreas[Area],HIX_SLCSP[[#This Row],[Area Code]])</f>
        <v>4009</v>
      </c>
      <c r="AV1779" s="59">
        <f>SUMIFS(HIX_RatingAreas[Silver Enrollments 2021],HIX_RatingAreas[Area],HIX_SLCSP[[#This Row],[Area Code]])</f>
        <v>4321</v>
      </c>
      <c r="AW1779" s="59">
        <f>SUMIFS(HIX_RatingAreas[Silver Enrollments 2022],HIX_RatingAreas[Area],HIX_SLCSP[[#This Row],[Area Code]])</f>
        <v>5630</v>
      </c>
      <c r="AX1779" s="59">
        <f>SUMIFS(HIX_RatingAreas[Silver Enrollments 2023],HIX_RatingAreas[Area],HIX_SLCSP[[#This Row],[Area Code]])</f>
        <v>6016</v>
      </c>
      <c r="AY1779" s="59">
        <f>SUMIFS(HIX_RatingAreas[Silver Enrollments 2024],HIX_RatingAreas[Area],HIX_SLCSP[[#This Row],[Area Code]])</f>
        <v>7873</v>
      </c>
      <c r="AZ1779" s="59">
        <v>5455</v>
      </c>
      <c r="BA1779">
        <f t="shared" si="7"/>
        <v>2.796761806128779E-2</v>
      </c>
      <c r="BB1779">
        <f>SUMIFS(HIX_RatingAreas[QHP Enrollments 2018],HIX_RatingAreas[Area],HIX_SLCSP[[#This Row],[Area Code]])</f>
        <v>4998</v>
      </c>
      <c r="BC1779">
        <f t="shared" si="8"/>
        <v>2.936355464687946E-2</v>
      </c>
      <c r="BD1779">
        <f>SUMIFS(HIX_RatingAreas[QHP Enrollments 2019],HIX_RatingAreas[Area],HIX_SLCSP[[#This Row],[Area Code]])</f>
        <v>5051</v>
      </c>
      <c r="BE1779">
        <f t="shared" si="9"/>
        <v>3.0404266589617646E-2</v>
      </c>
      <c r="BF1779">
        <f>SUMIFS(HIX_RatingAreas[QHP Enrollments 2020],HIX_RatingAreas[Area],HIX_SLCSP[[#This Row],[Area Code]])</f>
        <v>4929</v>
      </c>
      <c r="BG1779">
        <f t="shared" si="10"/>
        <v>3.0723871619220963E-2</v>
      </c>
      <c r="BH1779">
        <f>SUMIFS(HIX_RatingAreas[QHP Enrollments 2021],HIX_RatingAreas[Area],HIX_SLCSP[[#This Row],[Area Code]])</f>
        <v>5318</v>
      </c>
      <c r="BI1779">
        <f t="shared" si="11"/>
        <v>3.1445313654882068E-2</v>
      </c>
      <c r="BJ1779">
        <f>SUMIFS(HIX_RatingAreas[QHP Enrollments 2022],HIX_RatingAreas[Area],HIX_SLCSP[[#This Row],[Area Code]])</f>
        <v>6844</v>
      </c>
      <c r="BK1779">
        <f t="shared" si="12"/>
        <v>3.1206398132358173E-2</v>
      </c>
      <c r="BL1779">
        <f>SUMIFS(HIX_RatingAreas[QHP Enrollments 2023],HIX_RatingAreas[Area],HIX_SLCSP[[#This Row],[Area Code]])</f>
        <v>8052</v>
      </c>
      <c r="BM1779">
        <f t="shared" si="13"/>
        <v>3.1169796420815479E-2</v>
      </c>
      <c r="BN1779">
        <f>SUMIFS(HIX_RatingAreas[QHP Enrollments 2024],HIX_RatingAreas[Area],HIX_SLCSP[[#This Row],[Area Code]])</f>
        <v>11416</v>
      </c>
      <c r="BO1779">
        <f t="shared" si="13"/>
        <v>2.9560196273903081E-2</v>
      </c>
      <c r="BP1779" s="53">
        <f>ROUND(HIX_SLCSP[[#This Row],[Weighting Factor 2018]]*HIX_SLCSP[[#This Row],[2018]],2)</f>
        <v>13.79</v>
      </c>
      <c r="BQ1779" s="53">
        <f>ROUND(HIX_SLCSP[[#This Row],[Weighting Factor 2019]]*HIX_SLCSP[[#This Row],[2019]],2)</f>
        <v>14.68</v>
      </c>
      <c r="BR1779" s="53">
        <f>ROUND(HIX_SLCSP[[#This Row],[Weighting Factor 2020]]*HIX_SLCSP[[#This Row],[2020]],2)</f>
        <v>13.95</v>
      </c>
      <c r="BS1779" s="53">
        <f>ROUND(HIX_SLCSP[[#This Row],[Weighting Factor 2021]]*HIX_SLCSP[[#This Row],[2021]],2)</f>
        <v>16.12</v>
      </c>
      <c r="BT1779" s="53">
        <f>ROUND(HIX_SLCSP[[#This Row],[Weighting Factor 2022]]*HIX_SLCSP[[#This Row],[2022]],2)</f>
        <v>17.100000000000001</v>
      </c>
      <c r="BU1779" s="53">
        <f>ROUND(HIX_SLCSP[[#This Row],[Weighting Factor 2023]]*HIX_SLCSP[[#This Row],[2023]],2)</f>
        <v>15.86</v>
      </c>
      <c r="BV1779" s="53">
        <f>ROUND(HIX_SLCSP[[#This Row],[Weighting Factor 2024]]*HIX_SLCSP[[#This Row],[2024]],2)</f>
        <v>13.96</v>
      </c>
    </row>
    <row r="1780" spans="4:74" x14ac:dyDescent="0.35">
      <c r="D1780" t="s">
        <v>229</v>
      </c>
      <c r="E1780" t="s">
        <v>239</v>
      </c>
      <c r="F1780" s="23">
        <v>3</v>
      </c>
      <c r="G1780" s="23" t="s">
        <v>230</v>
      </c>
      <c r="H1780" s="23" t="s">
        <v>240</v>
      </c>
      <c r="I1780" s="23">
        <v>22</v>
      </c>
      <c r="J1780" s="53">
        <v>383.15</v>
      </c>
      <c r="K1780" s="53">
        <v>447.46</v>
      </c>
      <c r="L1780" s="53">
        <v>762.56</v>
      </c>
      <c r="M1780" s="54">
        <f t="shared" si="14"/>
        <v>1.7041970231976042</v>
      </c>
      <c r="N1780" s="24">
        <v>12</v>
      </c>
      <c r="O1780" s="55">
        <v>408.85</v>
      </c>
      <c r="P1780" s="56">
        <v>430.73</v>
      </c>
      <c r="Q1780" s="56">
        <v>734.05</v>
      </c>
      <c r="R1780" s="57">
        <f t="shared" si="15"/>
        <v>1.7041998467717594</v>
      </c>
      <c r="S1780" s="23">
        <v>22</v>
      </c>
      <c r="T1780" s="53">
        <v>353.32</v>
      </c>
      <c r="U1780" s="53">
        <v>430.78</v>
      </c>
      <c r="V1780" s="53">
        <v>734.14</v>
      </c>
      <c r="W1780" s="57">
        <f t="shared" si="16"/>
        <v>1.7042109661544176</v>
      </c>
      <c r="X1780" s="47">
        <v>10</v>
      </c>
      <c r="Y1780" s="58">
        <v>463.59</v>
      </c>
      <c r="Z1780" s="58">
        <v>514.70000000000005</v>
      </c>
      <c r="AA1780" s="58">
        <v>877.16</v>
      </c>
      <c r="AB1780" s="57">
        <f t="shared" si="17"/>
        <v>1.7042160481834077</v>
      </c>
      <c r="AC1780" s="47">
        <v>40</v>
      </c>
      <c r="AD1780" s="23">
        <v>402.38</v>
      </c>
      <c r="AE1780" s="23">
        <v>414.25</v>
      </c>
      <c r="AF1780" s="23">
        <v>705.97</v>
      </c>
      <c r="AG1780" s="57">
        <f t="shared" si="18"/>
        <v>1.7042124321062162</v>
      </c>
      <c r="AH1780" s="47">
        <v>40</v>
      </c>
      <c r="AI1780" s="54">
        <v>441.49</v>
      </c>
      <c r="AJ1780">
        <v>452.41</v>
      </c>
      <c r="AK1780">
        <v>771</v>
      </c>
      <c r="AL1780" s="57">
        <f t="shared" si="19"/>
        <v>1.7042063614862624</v>
      </c>
      <c r="AM1780" s="47">
        <v>72</v>
      </c>
      <c r="AN1780" s="57">
        <v>463.86</v>
      </c>
      <c r="AO1780" s="57">
        <v>464.17</v>
      </c>
      <c r="AP1780" s="57">
        <v>791.03</v>
      </c>
      <c r="AQ1780" s="57">
        <f t="shared" si="20"/>
        <v>1.7041816575823512</v>
      </c>
      <c r="AR1780" s="59">
        <v>37850</v>
      </c>
      <c r="AS1780" s="59">
        <f>SUMIFS(HIX_RatingAreas[Silver Enrollments 2018],HIX_RatingAreas[Area],HIX_SLCSP[[#This Row],[Area Code]])</f>
        <v>30615</v>
      </c>
      <c r="AT1780" s="59">
        <f>SUMIFS(HIX_RatingAreas[Silver Enrollments 2019],HIX_RatingAreas[Area],HIX_SLCSP[[#This Row],[Area Code]])</f>
        <v>28268</v>
      </c>
      <c r="AU1780" s="59">
        <f>SUMIFS(HIX_RatingAreas[Silver Enrollments 2020],HIX_RatingAreas[Area],HIX_SLCSP[[#This Row],[Area Code]])</f>
        <v>26315</v>
      </c>
      <c r="AV1780" s="59">
        <f>SUMIFS(HIX_RatingAreas[Silver Enrollments 2021],HIX_RatingAreas[Area],HIX_SLCSP[[#This Row],[Area Code]])</f>
        <v>27927</v>
      </c>
      <c r="AW1780" s="59">
        <f>SUMIFS(HIX_RatingAreas[Silver Enrollments 2022],HIX_RatingAreas[Area],HIX_SLCSP[[#This Row],[Area Code]])</f>
        <v>35707</v>
      </c>
      <c r="AX1780" s="59">
        <f>SUMIFS(HIX_RatingAreas[Silver Enrollments 2023],HIX_RatingAreas[Area],HIX_SLCSP[[#This Row],[Area Code]])</f>
        <v>35892</v>
      </c>
      <c r="AY1780" s="59">
        <f>SUMIFS(HIX_RatingAreas[Silver Enrollments 2024],HIX_RatingAreas[Area],HIX_SLCSP[[#This Row],[Area Code]])</f>
        <v>63735</v>
      </c>
      <c r="AZ1780" s="59">
        <v>45767</v>
      </c>
      <c r="BA1780">
        <f t="shared" si="7"/>
        <v>0.23464600839797586</v>
      </c>
      <c r="BB1780">
        <f>SUMIFS(HIX_RatingAreas[QHP Enrollments 2018],HIX_RatingAreas[Area],HIX_SLCSP[[#This Row],[Area Code]])</f>
        <v>38648</v>
      </c>
      <c r="BC1780">
        <f t="shared" si="8"/>
        <v>0.22705935574081582</v>
      </c>
      <c r="BD1780">
        <f>SUMIFS(HIX_RatingAreas[QHP Enrollments 2019],HIX_RatingAreas[Area],HIX_SLCSP[[#This Row],[Area Code]])</f>
        <v>36604</v>
      </c>
      <c r="BE1780">
        <f t="shared" si="9"/>
        <v>0.22033612636039679</v>
      </c>
      <c r="BF1780">
        <f>SUMIFS(HIX_RatingAreas[QHP Enrollments 2020],HIX_RatingAreas[Area],HIX_SLCSP[[#This Row],[Area Code]])</f>
        <v>34596</v>
      </c>
      <c r="BG1780">
        <f t="shared" si="10"/>
        <v>0.21564679702547546</v>
      </c>
      <c r="BH1780">
        <f>SUMIFS(HIX_RatingAreas[QHP Enrollments 2021],HIX_RatingAreas[Area],HIX_SLCSP[[#This Row],[Area Code]])</f>
        <v>36552</v>
      </c>
      <c r="BI1780">
        <f t="shared" si="11"/>
        <v>0.21613183616270201</v>
      </c>
      <c r="BJ1780">
        <f>SUMIFS(HIX_RatingAreas[QHP Enrollments 2022],HIX_RatingAreas[Area],HIX_SLCSP[[#This Row],[Area Code]])</f>
        <v>47814</v>
      </c>
      <c r="BK1780">
        <f t="shared" si="12"/>
        <v>0.21801617771779275</v>
      </c>
      <c r="BL1780">
        <f>SUMIFS(HIX_RatingAreas[QHP Enrollments 2023],HIX_RatingAreas[Area],HIX_SLCSP[[#This Row],[Area Code]])</f>
        <v>54513</v>
      </c>
      <c r="BM1780">
        <f t="shared" si="13"/>
        <v>0.21102323798906036</v>
      </c>
      <c r="BN1780">
        <f>SUMIFS(HIX_RatingAreas[QHP Enrollments 2024],HIX_RatingAreas[Area],HIX_SLCSP[[#This Row],[Area Code]])</f>
        <v>85917</v>
      </c>
      <c r="BO1780">
        <f t="shared" si="13"/>
        <v>0.22247051360064216</v>
      </c>
      <c r="BP1780" s="53">
        <f>ROUND(HIX_SLCSP[[#This Row],[Weighting Factor 2018]]*HIX_SLCSP[[#This Row],[2018]],2)</f>
        <v>101.6</v>
      </c>
      <c r="BQ1780" s="53">
        <f>ROUND(HIX_SLCSP[[#This Row],[Weighting Factor 2019]]*HIX_SLCSP[[#This Row],[2019]],2)</f>
        <v>94.91</v>
      </c>
      <c r="BR1780" s="53">
        <f>ROUND(HIX_SLCSP[[#This Row],[Weighting Factor 2020]]*HIX_SLCSP[[#This Row],[2020]],2)</f>
        <v>92.9</v>
      </c>
      <c r="BS1780" s="53">
        <f>ROUND(HIX_SLCSP[[#This Row],[Weighting Factor 2021]]*HIX_SLCSP[[#This Row],[2021]],2)</f>
        <v>111.24</v>
      </c>
      <c r="BT1780" s="53">
        <f>ROUND(HIX_SLCSP[[#This Row],[Weighting Factor 2022]]*HIX_SLCSP[[#This Row],[2022]],2)</f>
        <v>90.31</v>
      </c>
      <c r="BU1780" s="53">
        <f>ROUND(HIX_SLCSP[[#This Row],[Weighting Factor 2023]]*HIX_SLCSP[[#This Row],[2023]],2)</f>
        <v>95.47</v>
      </c>
      <c r="BV1780" s="53">
        <f>ROUND(HIX_SLCSP[[#This Row],[Weighting Factor 2024]]*HIX_SLCSP[[#This Row],[2024]],2)</f>
        <v>103.26</v>
      </c>
    </row>
    <row r="1781" spans="4:74" x14ac:dyDescent="0.35">
      <c r="D1781" t="s">
        <v>229</v>
      </c>
      <c r="E1781" t="s">
        <v>255</v>
      </c>
      <c r="F1781" s="23">
        <v>4</v>
      </c>
      <c r="G1781" s="23" t="s">
        <v>230</v>
      </c>
      <c r="H1781" s="23" t="s">
        <v>256</v>
      </c>
      <c r="I1781" s="23">
        <v>10</v>
      </c>
      <c r="J1781" s="53">
        <v>426.49</v>
      </c>
      <c r="K1781" s="53">
        <v>469.6</v>
      </c>
      <c r="L1781" s="53">
        <v>800.29</v>
      </c>
      <c r="M1781" s="54">
        <f t="shared" si="14"/>
        <v>1.7041950596252129</v>
      </c>
      <c r="N1781" s="24">
        <v>8</v>
      </c>
      <c r="O1781" s="55">
        <v>443.65</v>
      </c>
      <c r="P1781" s="56">
        <v>482.7</v>
      </c>
      <c r="Q1781" s="56">
        <v>822.62</v>
      </c>
      <c r="R1781" s="57">
        <f t="shared" si="15"/>
        <v>1.7042055106691527</v>
      </c>
      <c r="S1781" s="23">
        <v>10</v>
      </c>
      <c r="T1781" s="53">
        <v>363.92</v>
      </c>
      <c r="U1781" s="53">
        <v>454.02</v>
      </c>
      <c r="V1781" s="53">
        <v>773.75</v>
      </c>
      <c r="W1781" s="57">
        <f t="shared" si="16"/>
        <v>1.7042200784106427</v>
      </c>
      <c r="X1781" s="47">
        <v>8</v>
      </c>
      <c r="Y1781" s="58">
        <v>477.5</v>
      </c>
      <c r="Z1781" s="58">
        <v>512.62</v>
      </c>
      <c r="AA1781" s="58">
        <v>873.6</v>
      </c>
      <c r="AB1781" s="57">
        <f t="shared" si="17"/>
        <v>1.7041863368577115</v>
      </c>
      <c r="AC1781" s="47">
        <v>8</v>
      </c>
      <c r="AD1781" s="23">
        <v>510.32</v>
      </c>
      <c r="AE1781" s="23">
        <v>547.82000000000005</v>
      </c>
      <c r="AF1781" s="23">
        <v>933.59</v>
      </c>
      <c r="AG1781" s="57">
        <f t="shared" si="18"/>
        <v>1.7041911576795297</v>
      </c>
      <c r="AH1781" s="47">
        <v>40</v>
      </c>
      <c r="AI1781" s="54">
        <v>490.26</v>
      </c>
      <c r="AJ1781">
        <v>508.71</v>
      </c>
      <c r="AK1781">
        <v>866.94</v>
      </c>
      <c r="AL1781" s="57">
        <f t="shared" si="19"/>
        <v>1.7041929586601405</v>
      </c>
      <c r="AM1781" s="47">
        <v>64</v>
      </c>
      <c r="AN1781" s="57">
        <v>479.31</v>
      </c>
      <c r="AO1781" s="57">
        <v>479.98</v>
      </c>
      <c r="AP1781" s="57">
        <v>817.98</v>
      </c>
      <c r="AQ1781" s="57">
        <f t="shared" si="20"/>
        <v>1.7041960081670069</v>
      </c>
      <c r="AR1781" s="59">
        <v>1696</v>
      </c>
      <c r="AS1781" s="59">
        <f>SUMIFS(HIX_RatingAreas[Silver Enrollments 2018],HIX_RatingAreas[Area],HIX_SLCSP[[#This Row],[Area Code]])</f>
        <v>1408</v>
      </c>
      <c r="AT1781" s="59">
        <f>SUMIFS(HIX_RatingAreas[Silver Enrollments 2019],HIX_RatingAreas[Area],HIX_SLCSP[[#This Row],[Area Code]])</f>
        <v>1350</v>
      </c>
      <c r="AU1781" s="59">
        <f>SUMIFS(HIX_RatingAreas[Silver Enrollments 2020],HIX_RatingAreas[Area],HIX_SLCSP[[#This Row],[Area Code]])</f>
        <v>1299</v>
      </c>
      <c r="AV1781" s="59">
        <f>SUMIFS(HIX_RatingAreas[Silver Enrollments 2021],HIX_RatingAreas[Area],HIX_SLCSP[[#This Row],[Area Code]])</f>
        <v>1334</v>
      </c>
      <c r="AW1781" s="59">
        <f>SUMIFS(HIX_RatingAreas[Silver Enrollments 2022],HIX_RatingAreas[Area],HIX_SLCSP[[#This Row],[Area Code]])</f>
        <v>1871</v>
      </c>
      <c r="AX1781" s="59">
        <f>SUMIFS(HIX_RatingAreas[Silver Enrollments 2023],HIX_RatingAreas[Area],HIX_SLCSP[[#This Row],[Area Code]])</f>
        <v>1970</v>
      </c>
      <c r="AY1781" s="59">
        <f>SUMIFS(HIX_RatingAreas[Silver Enrollments 2024],HIX_RatingAreas[Area],HIX_SLCSP[[#This Row],[Area Code]])</f>
        <v>3520</v>
      </c>
      <c r="AZ1781" s="59">
        <v>1979</v>
      </c>
      <c r="BA1781">
        <f t="shared" si="7"/>
        <v>1.0146272436899825E-2</v>
      </c>
      <c r="BB1781">
        <f>SUMIFS(HIX_RatingAreas[QHP Enrollments 2018],HIX_RatingAreas[Area],HIX_SLCSP[[#This Row],[Area Code]])</f>
        <v>1628</v>
      </c>
      <c r="BC1781">
        <f t="shared" si="8"/>
        <v>9.5645992327170401E-3</v>
      </c>
      <c r="BD1781">
        <f>SUMIFS(HIX_RatingAreas[QHP Enrollments 2019],HIX_RatingAreas[Area],HIX_SLCSP[[#This Row],[Area Code]])</f>
        <v>1567</v>
      </c>
      <c r="BE1781">
        <f t="shared" si="9"/>
        <v>9.4324857940864867E-3</v>
      </c>
      <c r="BF1781">
        <f>SUMIFS(HIX_RatingAreas[QHP Enrollments 2020],HIX_RatingAreas[Area],HIX_SLCSP[[#This Row],[Area Code]])</f>
        <v>1507</v>
      </c>
      <c r="BG1781">
        <f t="shared" si="10"/>
        <v>9.3935635078445916E-3</v>
      </c>
      <c r="BH1781">
        <f>SUMIFS(HIX_RatingAreas[QHP Enrollments 2021],HIX_RatingAreas[Area],HIX_SLCSP[[#This Row],[Area Code]])</f>
        <v>1540</v>
      </c>
      <c r="BI1781">
        <f t="shared" si="11"/>
        <v>9.1060141084088712E-3</v>
      </c>
      <c r="BJ1781">
        <f>SUMIFS(HIX_RatingAreas[QHP Enrollments 2022],HIX_RatingAreas[Area],HIX_SLCSP[[#This Row],[Area Code]])</f>
        <v>2118</v>
      </c>
      <c r="BK1781">
        <f t="shared" si="12"/>
        <v>9.6573862133744314E-3</v>
      </c>
      <c r="BL1781">
        <f>SUMIFS(HIX_RatingAreas[QHP Enrollments 2023],HIX_RatingAreas[Area],HIX_SLCSP[[#This Row],[Area Code]])</f>
        <v>2543</v>
      </c>
      <c r="BM1781">
        <f t="shared" si="13"/>
        <v>9.8441123072694689E-3</v>
      </c>
      <c r="BN1781">
        <f>SUMIFS(HIX_RatingAreas[QHP Enrollments 2024],HIX_RatingAreas[Area],HIX_SLCSP[[#This Row],[Area Code]])</f>
        <v>4829</v>
      </c>
      <c r="BO1781">
        <f t="shared" si="13"/>
        <v>1.2504045883556235E-2</v>
      </c>
      <c r="BP1781" s="53">
        <f>ROUND(HIX_SLCSP[[#This Row],[Weighting Factor 2018]]*HIX_SLCSP[[#This Row],[2018]],2)</f>
        <v>4.49</v>
      </c>
      <c r="BQ1781" s="53">
        <f>ROUND(HIX_SLCSP[[#This Row],[Weighting Factor 2019]]*HIX_SLCSP[[#This Row],[2019]],2)</f>
        <v>4.55</v>
      </c>
      <c r="BR1781" s="53">
        <f>ROUND(HIX_SLCSP[[#This Row],[Weighting Factor 2020]]*HIX_SLCSP[[#This Row],[2020]],2)</f>
        <v>4.26</v>
      </c>
      <c r="BS1781" s="53">
        <f>ROUND(HIX_SLCSP[[#This Row],[Weighting Factor 2021]]*HIX_SLCSP[[#This Row],[2021]],2)</f>
        <v>4.67</v>
      </c>
      <c r="BT1781" s="53">
        <f>ROUND(HIX_SLCSP[[#This Row],[Weighting Factor 2022]]*HIX_SLCSP[[#This Row],[2022]],2)</f>
        <v>5.29</v>
      </c>
      <c r="BU1781" s="53">
        <f>ROUND(HIX_SLCSP[[#This Row],[Weighting Factor 2023]]*HIX_SLCSP[[#This Row],[2023]],2)</f>
        <v>5.01</v>
      </c>
      <c r="BV1781" s="53">
        <f>ROUND(HIX_SLCSP[[#This Row],[Weighting Factor 2024]]*HIX_SLCSP[[#This Row],[2024]],2)</f>
        <v>6</v>
      </c>
    </row>
    <row r="1782" spans="4:74" x14ac:dyDescent="0.35">
      <c r="D1782" t="s">
        <v>229</v>
      </c>
      <c r="E1782" t="s">
        <v>259</v>
      </c>
      <c r="F1782" s="23">
        <v>5</v>
      </c>
      <c r="G1782" s="23" t="s">
        <v>230</v>
      </c>
      <c r="H1782" s="23" t="s">
        <v>260</v>
      </c>
      <c r="I1782" s="23">
        <v>10</v>
      </c>
      <c r="J1782" s="53">
        <v>417.6</v>
      </c>
      <c r="K1782" s="53">
        <v>459.81</v>
      </c>
      <c r="L1782" s="53">
        <v>783.62</v>
      </c>
      <c r="M1782" s="54">
        <f t="shared" si="14"/>
        <v>1.7042256584241318</v>
      </c>
      <c r="N1782" s="24">
        <v>8</v>
      </c>
      <c r="O1782" s="55">
        <v>400.58</v>
      </c>
      <c r="P1782" s="56">
        <v>435.84</v>
      </c>
      <c r="Q1782" s="56">
        <v>742.76</v>
      </c>
      <c r="R1782" s="57">
        <f t="shared" si="15"/>
        <v>1.7042033773861969</v>
      </c>
      <c r="S1782" s="23">
        <v>10</v>
      </c>
      <c r="T1782" s="53">
        <v>328.59</v>
      </c>
      <c r="U1782" s="53">
        <v>409.94</v>
      </c>
      <c r="V1782" s="53">
        <v>698.62</v>
      </c>
      <c r="W1782" s="57">
        <f t="shared" si="16"/>
        <v>1.704200614724106</v>
      </c>
      <c r="X1782" s="47">
        <v>8</v>
      </c>
      <c r="Y1782" s="58">
        <v>438.1</v>
      </c>
      <c r="Z1782" s="58">
        <v>470.31</v>
      </c>
      <c r="AA1782" s="58">
        <v>801.51</v>
      </c>
      <c r="AB1782" s="57">
        <f t="shared" si="17"/>
        <v>1.7042163679275371</v>
      </c>
      <c r="AC1782" s="47">
        <v>8</v>
      </c>
      <c r="AD1782" s="23">
        <v>468.2</v>
      </c>
      <c r="AE1782" s="23">
        <v>502.61</v>
      </c>
      <c r="AF1782" s="23">
        <v>856.54</v>
      </c>
      <c r="AG1782" s="57">
        <f t="shared" si="18"/>
        <v>1.7041841586916295</v>
      </c>
      <c r="AH1782" s="47">
        <v>32</v>
      </c>
      <c r="AI1782" s="54">
        <v>449.8</v>
      </c>
      <c r="AJ1782">
        <v>466.73</v>
      </c>
      <c r="AK1782">
        <v>795.4</v>
      </c>
      <c r="AL1782" s="57">
        <f t="shared" si="19"/>
        <v>1.7041972875109805</v>
      </c>
      <c r="AM1782" s="47">
        <v>64</v>
      </c>
      <c r="AN1782" s="57">
        <v>434.07</v>
      </c>
      <c r="AO1782" s="57">
        <v>434.36</v>
      </c>
      <c r="AP1782" s="57">
        <v>740.23</v>
      </c>
      <c r="AQ1782" s="57">
        <f t="shared" si="20"/>
        <v>1.7041854682751634</v>
      </c>
      <c r="AR1782" s="59">
        <v>5825</v>
      </c>
      <c r="AS1782" s="59">
        <f>SUMIFS(HIX_RatingAreas[Silver Enrollments 2018],HIX_RatingAreas[Area],HIX_SLCSP[[#This Row],[Area Code]])</f>
        <v>5053</v>
      </c>
      <c r="AT1782" s="59">
        <f>SUMIFS(HIX_RatingAreas[Silver Enrollments 2019],HIX_RatingAreas[Area],HIX_SLCSP[[#This Row],[Area Code]])</f>
        <v>4793</v>
      </c>
      <c r="AU1782" s="59">
        <f>SUMIFS(HIX_RatingAreas[Silver Enrollments 2020],HIX_RatingAreas[Area],HIX_SLCSP[[#This Row],[Area Code]])</f>
        <v>4549</v>
      </c>
      <c r="AV1782" s="59">
        <f>SUMIFS(HIX_RatingAreas[Silver Enrollments 2021],HIX_RatingAreas[Area],HIX_SLCSP[[#This Row],[Area Code]])</f>
        <v>4526</v>
      </c>
      <c r="AW1782" s="59">
        <f>SUMIFS(HIX_RatingAreas[Silver Enrollments 2022],HIX_RatingAreas[Area],HIX_SLCSP[[#This Row],[Area Code]])</f>
        <v>5794</v>
      </c>
      <c r="AX1782" s="59">
        <f>SUMIFS(HIX_RatingAreas[Silver Enrollments 2023],HIX_RatingAreas[Area],HIX_SLCSP[[#This Row],[Area Code]])</f>
        <v>6161</v>
      </c>
      <c r="AY1782" s="59">
        <f>SUMIFS(HIX_RatingAreas[Silver Enrollments 2024],HIX_RatingAreas[Area],HIX_SLCSP[[#This Row],[Area Code]])</f>
        <v>8829</v>
      </c>
      <c r="AZ1782" s="59">
        <v>6755</v>
      </c>
      <c r="BA1782">
        <f t="shared" si="7"/>
        <v>3.4632678277543363E-2</v>
      </c>
      <c r="BB1782">
        <f>SUMIFS(HIX_RatingAreas[QHP Enrollments 2018],HIX_RatingAreas[Area],HIX_SLCSP[[#This Row],[Area Code]])</f>
        <v>6009</v>
      </c>
      <c r="BC1782">
        <f t="shared" si="8"/>
        <v>3.5303241271128188E-2</v>
      </c>
      <c r="BD1782">
        <f>SUMIFS(HIX_RatingAreas[QHP Enrollments 2019],HIX_RatingAreas[Area],HIX_SLCSP[[#This Row],[Area Code]])</f>
        <v>5730</v>
      </c>
      <c r="BE1782">
        <f t="shared" si="9"/>
        <v>3.4491476451892517E-2</v>
      </c>
      <c r="BF1782">
        <f>SUMIFS(HIX_RatingAreas[QHP Enrollments 2020],HIX_RatingAreas[Area],HIX_SLCSP[[#This Row],[Area Code]])</f>
        <v>5444</v>
      </c>
      <c r="BG1782">
        <f t="shared" si="10"/>
        <v>3.3934014423826118E-2</v>
      </c>
      <c r="BH1782">
        <f>SUMIFS(HIX_RatingAreas[QHP Enrollments 2021],HIX_RatingAreas[Area],HIX_SLCSP[[#This Row],[Area Code]])</f>
        <v>5493</v>
      </c>
      <c r="BI1782">
        <f t="shared" si="11"/>
        <v>3.2480087985383072E-2</v>
      </c>
      <c r="BJ1782">
        <f>SUMIFS(HIX_RatingAreas[QHP Enrollments 2022],HIX_RatingAreas[Area],HIX_SLCSP[[#This Row],[Area Code]])</f>
        <v>6884</v>
      </c>
      <c r="BK1782">
        <f t="shared" si="12"/>
        <v>3.1388785029683466E-2</v>
      </c>
      <c r="BL1782">
        <f>SUMIFS(HIX_RatingAreas[QHP Enrollments 2023],HIX_RatingAreas[Area],HIX_SLCSP[[#This Row],[Area Code]])</f>
        <v>8080</v>
      </c>
      <c r="BM1782">
        <f t="shared" si="13"/>
        <v>3.1278186174886868E-2</v>
      </c>
      <c r="BN1782">
        <f>SUMIFS(HIX_RatingAreas[QHP Enrollments 2024],HIX_RatingAreas[Area],HIX_SLCSP[[#This Row],[Area Code]])</f>
        <v>11811</v>
      </c>
      <c r="BO1782">
        <f t="shared" si="13"/>
        <v>3.0582995636919172E-2</v>
      </c>
      <c r="BP1782" s="53">
        <f>ROUND(HIX_SLCSP[[#This Row],[Weighting Factor 2018]]*HIX_SLCSP[[#This Row],[2018]],2)</f>
        <v>16.23</v>
      </c>
      <c r="BQ1782" s="53">
        <f>ROUND(HIX_SLCSP[[#This Row],[Weighting Factor 2019]]*HIX_SLCSP[[#This Row],[2019]],2)</f>
        <v>15.03</v>
      </c>
      <c r="BR1782" s="53">
        <f>ROUND(HIX_SLCSP[[#This Row],[Weighting Factor 2020]]*HIX_SLCSP[[#This Row],[2020]],2)</f>
        <v>13.91</v>
      </c>
      <c r="BS1782" s="53">
        <f>ROUND(HIX_SLCSP[[#This Row],[Weighting Factor 2021]]*HIX_SLCSP[[#This Row],[2021]],2)</f>
        <v>15.28</v>
      </c>
      <c r="BT1782" s="53">
        <f>ROUND(HIX_SLCSP[[#This Row],[Weighting Factor 2022]]*HIX_SLCSP[[#This Row],[2022]],2)</f>
        <v>15.78</v>
      </c>
      <c r="BU1782" s="53">
        <f>ROUND(HIX_SLCSP[[#This Row],[Weighting Factor 2023]]*HIX_SLCSP[[#This Row],[2023]],2)</f>
        <v>14.6</v>
      </c>
      <c r="BV1782" s="53">
        <f>ROUND(HIX_SLCSP[[#This Row],[Weighting Factor 2024]]*HIX_SLCSP[[#This Row],[2024]],2)</f>
        <v>13.28</v>
      </c>
    </row>
    <row r="1783" spans="4:74" x14ac:dyDescent="0.35">
      <c r="D1783" t="s">
        <v>229</v>
      </c>
      <c r="E1783" t="s">
        <v>265</v>
      </c>
      <c r="F1783" s="23">
        <v>6</v>
      </c>
      <c r="G1783" s="23" t="s">
        <v>230</v>
      </c>
      <c r="H1783" s="23" t="s">
        <v>266</v>
      </c>
      <c r="I1783" s="23">
        <v>10</v>
      </c>
      <c r="J1783" s="53">
        <v>426.49</v>
      </c>
      <c r="K1783" s="53">
        <v>469.6</v>
      </c>
      <c r="L1783" s="53">
        <v>800.29</v>
      </c>
      <c r="M1783" s="54">
        <f t="shared" si="14"/>
        <v>1.7041950596252129</v>
      </c>
      <c r="N1783" s="24">
        <v>8</v>
      </c>
      <c r="O1783" s="55">
        <v>400.58</v>
      </c>
      <c r="P1783" s="56">
        <v>435.84</v>
      </c>
      <c r="Q1783" s="56">
        <v>742.76</v>
      </c>
      <c r="R1783" s="57">
        <f t="shared" si="15"/>
        <v>1.7042033773861969</v>
      </c>
      <c r="S1783" s="23">
        <v>10</v>
      </c>
      <c r="T1783" s="53">
        <v>328.59</v>
      </c>
      <c r="U1783" s="53">
        <v>409.94</v>
      </c>
      <c r="V1783" s="53">
        <v>698.62</v>
      </c>
      <c r="W1783" s="57">
        <f t="shared" si="16"/>
        <v>1.704200614724106</v>
      </c>
      <c r="X1783" s="47">
        <v>8</v>
      </c>
      <c r="Y1783" s="58">
        <v>440.41</v>
      </c>
      <c r="Z1783" s="58">
        <v>472.8</v>
      </c>
      <c r="AA1783" s="58">
        <v>805.75</v>
      </c>
      <c r="AB1783" s="57">
        <f t="shared" si="17"/>
        <v>1.7042089678510999</v>
      </c>
      <c r="AC1783" s="47">
        <v>20</v>
      </c>
      <c r="AD1783" s="23">
        <v>470.68</v>
      </c>
      <c r="AE1783" s="23">
        <v>488.36</v>
      </c>
      <c r="AF1783" s="23">
        <v>832.26</v>
      </c>
      <c r="AG1783" s="57">
        <f t="shared" si="18"/>
        <v>1.7041936276517322</v>
      </c>
      <c r="AH1783" s="47">
        <v>60</v>
      </c>
      <c r="AI1783">
        <v>452.18</v>
      </c>
      <c r="AJ1783">
        <v>469.2</v>
      </c>
      <c r="AK1783">
        <v>799.6</v>
      </c>
      <c r="AL1783" s="57">
        <f t="shared" si="19"/>
        <v>1.7041773231031543</v>
      </c>
      <c r="AM1783" s="47">
        <v>64</v>
      </c>
      <c r="AN1783" s="57">
        <v>457.1</v>
      </c>
      <c r="AO1783" s="57">
        <v>457.41</v>
      </c>
      <c r="AP1783" s="57">
        <v>779.51</v>
      </c>
      <c r="AQ1783" s="57">
        <f t="shared" si="20"/>
        <v>1.7041822435014538</v>
      </c>
      <c r="AR1783" s="59">
        <v>4919</v>
      </c>
      <c r="AS1783" s="59">
        <f>SUMIFS(HIX_RatingAreas[Silver Enrollments 2018],HIX_RatingAreas[Area],HIX_SLCSP[[#This Row],[Area Code]])</f>
        <v>4232</v>
      </c>
      <c r="AT1783" s="59">
        <f>SUMIFS(HIX_RatingAreas[Silver Enrollments 2019],HIX_RatingAreas[Area],HIX_SLCSP[[#This Row],[Area Code]])</f>
        <v>4218</v>
      </c>
      <c r="AU1783" s="59">
        <f>SUMIFS(HIX_RatingAreas[Silver Enrollments 2020],HIX_RatingAreas[Area],HIX_SLCSP[[#This Row],[Area Code]])</f>
        <v>4112</v>
      </c>
      <c r="AV1783" s="59">
        <f>SUMIFS(HIX_RatingAreas[Silver Enrollments 2021],HIX_RatingAreas[Area],HIX_SLCSP[[#This Row],[Area Code]])</f>
        <v>4297</v>
      </c>
      <c r="AW1783" s="59">
        <f>SUMIFS(HIX_RatingAreas[Silver Enrollments 2022],HIX_RatingAreas[Area],HIX_SLCSP[[#This Row],[Area Code]])</f>
        <v>5881</v>
      </c>
      <c r="AX1783" s="59">
        <f>SUMIFS(HIX_RatingAreas[Silver Enrollments 2023],HIX_RatingAreas[Area],HIX_SLCSP[[#This Row],[Area Code]])</f>
        <v>6086</v>
      </c>
      <c r="AY1783" s="59">
        <f>SUMIFS(HIX_RatingAreas[Silver Enrollments 2024],HIX_RatingAreas[Area],HIX_SLCSP[[#This Row],[Area Code]])</f>
        <v>9120</v>
      </c>
      <c r="AZ1783" s="59">
        <v>5753</v>
      </c>
      <c r="BA1783">
        <f t="shared" si="7"/>
        <v>2.9495454941629452E-2</v>
      </c>
      <c r="BB1783">
        <f>SUMIFS(HIX_RatingAreas[QHP Enrollments 2018],HIX_RatingAreas[Area],HIX_SLCSP[[#This Row],[Area Code]])</f>
        <v>5018</v>
      </c>
      <c r="BC1783">
        <f t="shared" si="8"/>
        <v>2.9481055865954609E-2</v>
      </c>
      <c r="BD1783">
        <f>SUMIFS(HIX_RatingAreas[QHP Enrollments 2019],HIX_RatingAreas[Area],HIX_SLCSP[[#This Row],[Area Code]])</f>
        <v>5080</v>
      </c>
      <c r="BE1783">
        <f t="shared" si="9"/>
        <v>3.0578830781084466E-2</v>
      </c>
      <c r="BF1783">
        <f>SUMIFS(HIX_RatingAreas[QHP Enrollments 2020],HIX_RatingAreas[Area],HIX_SLCSP[[#This Row],[Area Code]])</f>
        <v>4970</v>
      </c>
      <c r="BG1783">
        <f t="shared" si="10"/>
        <v>3.0979436386189531E-2</v>
      </c>
      <c r="BH1783">
        <f>SUMIFS(HIX_RatingAreas[QHP Enrollments 2021],HIX_RatingAreas[Area],HIX_SLCSP[[#This Row],[Area Code]])</f>
        <v>5175</v>
      </c>
      <c r="BI1783">
        <f t="shared" si="11"/>
        <v>3.0599755201958383E-2</v>
      </c>
      <c r="BJ1783">
        <f>SUMIFS(HIX_RatingAreas[QHP Enrollments 2022],HIX_RatingAreas[Area],HIX_SLCSP[[#This Row],[Area Code]])</f>
        <v>7023</v>
      </c>
      <c r="BK1783">
        <f t="shared" si="12"/>
        <v>3.2022579497888871E-2</v>
      </c>
      <c r="BL1783">
        <f>SUMIFS(HIX_RatingAreas[QHP Enrollments 2023],HIX_RatingAreas[Area],HIX_SLCSP[[#This Row],[Area Code]])</f>
        <v>8729</v>
      </c>
      <c r="BM1783">
        <f t="shared" si="13"/>
        <v>3.3790505831755878E-2</v>
      </c>
      <c r="BN1783">
        <f>SUMIFS(HIX_RatingAreas[QHP Enrollments 2024],HIX_RatingAreas[Area],HIX_SLCSP[[#This Row],[Area Code]])</f>
        <v>13411</v>
      </c>
      <c r="BO1783">
        <f t="shared" si="13"/>
        <v>3.4725980398503345E-2</v>
      </c>
      <c r="BP1783" s="53">
        <f>ROUND(HIX_SLCSP[[#This Row],[Weighting Factor 2018]]*HIX_SLCSP[[#This Row],[2018]],2)</f>
        <v>13.84</v>
      </c>
      <c r="BQ1783" s="53">
        <f>ROUND(HIX_SLCSP[[#This Row],[Weighting Factor 2019]]*HIX_SLCSP[[#This Row],[2019]],2)</f>
        <v>13.33</v>
      </c>
      <c r="BR1783" s="53">
        <f>ROUND(HIX_SLCSP[[#This Row],[Weighting Factor 2020]]*HIX_SLCSP[[#This Row],[2020]],2)</f>
        <v>12.7</v>
      </c>
      <c r="BS1783" s="53">
        <f>ROUND(HIX_SLCSP[[#This Row],[Weighting Factor 2021]]*HIX_SLCSP[[#This Row],[2021]],2)</f>
        <v>14.47</v>
      </c>
      <c r="BT1783" s="53">
        <f>ROUND(HIX_SLCSP[[#This Row],[Weighting Factor 2022]]*HIX_SLCSP[[#This Row],[2022]],2)</f>
        <v>15.64</v>
      </c>
      <c r="BU1783" s="53">
        <f>ROUND(HIX_SLCSP[[#This Row],[Weighting Factor 2023]]*HIX_SLCSP[[#This Row],[2023]],2)</f>
        <v>15.85</v>
      </c>
      <c r="BV1783" s="53">
        <f>ROUND(HIX_SLCSP[[#This Row],[Weighting Factor 2024]]*HIX_SLCSP[[#This Row],[2024]],2)</f>
        <v>15.88</v>
      </c>
    </row>
    <row r="1784" spans="4:74" x14ac:dyDescent="0.35">
      <c r="D1784" t="s">
        <v>229</v>
      </c>
      <c r="E1784" t="s">
        <v>273</v>
      </c>
      <c r="F1784" s="23">
        <v>7</v>
      </c>
      <c r="G1784" s="23" t="s">
        <v>230</v>
      </c>
      <c r="H1784" s="23" t="s">
        <v>274</v>
      </c>
      <c r="I1784" s="23">
        <v>10</v>
      </c>
      <c r="J1784" s="53">
        <v>386.5</v>
      </c>
      <c r="K1784" s="53">
        <v>425.57</v>
      </c>
      <c r="L1784" s="53">
        <v>725.26</v>
      </c>
      <c r="M1784" s="54">
        <f t="shared" si="14"/>
        <v>1.7042084733416358</v>
      </c>
      <c r="N1784" s="24">
        <v>8</v>
      </c>
      <c r="O1784" s="55">
        <v>400.58</v>
      </c>
      <c r="P1784" s="56">
        <v>435.84</v>
      </c>
      <c r="Q1784" s="56">
        <v>742.76</v>
      </c>
      <c r="R1784" s="57">
        <f t="shared" si="15"/>
        <v>1.7042033773861969</v>
      </c>
      <c r="S1784" s="23">
        <v>10</v>
      </c>
      <c r="T1784" s="53">
        <v>328.59</v>
      </c>
      <c r="U1784" s="53">
        <v>409.94</v>
      </c>
      <c r="V1784" s="53">
        <v>698.62</v>
      </c>
      <c r="W1784" s="57">
        <f t="shared" si="16"/>
        <v>1.704200614724106</v>
      </c>
      <c r="X1784" s="47">
        <v>8</v>
      </c>
      <c r="Y1784" s="58">
        <v>440.41</v>
      </c>
      <c r="Z1784" s="58">
        <v>472.8</v>
      </c>
      <c r="AA1784" s="58">
        <v>805.75</v>
      </c>
      <c r="AB1784" s="57">
        <f t="shared" si="17"/>
        <v>1.7042089678510999</v>
      </c>
      <c r="AC1784" s="47">
        <v>8</v>
      </c>
      <c r="AD1784" s="23">
        <v>470.68</v>
      </c>
      <c r="AE1784" s="23">
        <v>505.27</v>
      </c>
      <c r="AF1784" s="23">
        <v>861.08</v>
      </c>
      <c r="AG1784" s="57">
        <f t="shared" si="18"/>
        <v>1.7041977556553922</v>
      </c>
      <c r="AH1784" s="47">
        <v>60</v>
      </c>
      <c r="AI1784">
        <v>452.18</v>
      </c>
      <c r="AJ1784">
        <v>453.23</v>
      </c>
      <c r="AK1784">
        <v>772.39</v>
      </c>
      <c r="AL1784" s="57">
        <f t="shared" si="19"/>
        <v>1.7041899256448161</v>
      </c>
      <c r="AM1784" s="47">
        <v>64</v>
      </c>
      <c r="AN1784" s="57">
        <v>439.07</v>
      </c>
      <c r="AO1784" s="57">
        <v>439.36</v>
      </c>
      <c r="AP1784" s="57">
        <v>748.76</v>
      </c>
      <c r="AQ1784" s="57">
        <f t="shared" si="20"/>
        <v>1.7042061179898034</v>
      </c>
      <c r="AR1784" s="59">
        <v>5493</v>
      </c>
      <c r="AS1784" s="59">
        <f>SUMIFS(HIX_RatingAreas[Silver Enrollments 2018],HIX_RatingAreas[Area],HIX_SLCSP[[#This Row],[Area Code]])</f>
        <v>4750</v>
      </c>
      <c r="AT1784" s="59">
        <f>SUMIFS(HIX_RatingAreas[Silver Enrollments 2019],HIX_RatingAreas[Area],HIX_SLCSP[[#This Row],[Area Code]])</f>
        <v>4508</v>
      </c>
      <c r="AU1784" s="59">
        <f>SUMIFS(HIX_RatingAreas[Silver Enrollments 2020],HIX_RatingAreas[Area],HIX_SLCSP[[#This Row],[Area Code]])</f>
        <v>4413</v>
      </c>
      <c r="AV1784" s="59">
        <f>SUMIFS(HIX_RatingAreas[Silver Enrollments 2021],HIX_RatingAreas[Area],HIX_SLCSP[[#This Row],[Area Code]])</f>
        <v>4540</v>
      </c>
      <c r="AW1784" s="59">
        <f>SUMIFS(HIX_RatingAreas[Silver Enrollments 2022],HIX_RatingAreas[Area],HIX_SLCSP[[#This Row],[Area Code]])</f>
        <v>5904</v>
      </c>
      <c r="AX1784" s="59">
        <f>SUMIFS(HIX_RatingAreas[Silver Enrollments 2023],HIX_RatingAreas[Area],HIX_SLCSP[[#This Row],[Area Code]])</f>
        <v>6281</v>
      </c>
      <c r="AY1784" s="59">
        <f>SUMIFS(HIX_RatingAreas[Silver Enrollments 2024],HIX_RatingAreas[Area],HIX_SLCSP[[#This Row],[Area Code]])</f>
        <v>8677</v>
      </c>
      <c r="AZ1784" s="59">
        <v>6256</v>
      </c>
      <c r="BA1784">
        <f t="shared" si="7"/>
        <v>3.207432054838065E-2</v>
      </c>
      <c r="BB1784">
        <f>SUMIFS(HIX_RatingAreas[QHP Enrollments 2018],HIX_RatingAreas[Area],HIX_SLCSP[[#This Row],[Area Code]])</f>
        <v>5684</v>
      </c>
      <c r="BC1784">
        <f t="shared" si="8"/>
        <v>3.3393846461157034E-2</v>
      </c>
      <c r="BD1784">
        <f>SUMIFS(HIX_RatingAreas[QHP Enrollments 2019],HIX_RatingAreas[Area],HIX_SLCSP[[#This Row],[Area Code]])</f>
        <v>5424</v>
      </c>
      <c r="BE1784">
        <f t="shared" si="9"/>
        <v>3.2649523259173648E-2</v>
      </c>
      <c r="BF1784">
        <f>SUMIFS(HIX_RatingAreas[QHP Enrollments 2020],HIX_RatingAreas[Area],HIX_SLCSP[[#This Row],[Area Code]])</f>
        <v>5269</v>
      </c>
      <c r="BG1784">
        <f t="shared" si="10"/>
        <v>3.2843189198960288E-2</v>
      </c>
      <c r="BH1784">
        <f>SUMIFS(HIX_RatingAreas[QHP Enrollments 2021],HIX_RatingAreas[Area],HIX_SLCSP[[#This Row],[Area Code]])</f>
        <v>5452</v>
      </c>
      <c r="BI1784">
        <f t="shared" si="11"/>
        <v>3.2237655142237122E-2</v>
      </c>
      <c r="BJ1784">
        <f>SUMIFS(HIX_RatingAreas[QHP Enrollments 2022],HIX_RatingAreas[Area],HIX_SLCSP[[#This Row],[Area Code]])</f>
        <v>6997</v>
      </c>
      <c r="BK1784">
        <f t="shared" si="12"/>
        <v>3.1904028014627432E-2</v>
      </c>
      <c r="BL1784">
        <f>SUMIFS(HIX_RatingAreas[QHP Enrollments 2023],HIX_RatingAreas[Area],HIX_SLCSP[[#This Row],[Area Code]])</f>
        <v>8151</v>
      </c>
      <c r="BM1784">
        <f t="shared" si="13"/>
        <v>3.1553031622710753E-2</v>
      </c>
      <c r="BN1784">
        <f>SUMIFS(HIX_RatingAreas[QHP Enrollments 2024],HIX_RatingAreas[Area],HIX_SLCSP[[#This Row],[Area Code]])</f>
        <v>12038</v>
      </c>
      <c r="BO1784">
        <f t="shared" si="13"/>
        <v>3.1170781599968927E-2</v>
      </c>
      <c r="BP1784" s="53">
        <f>ROUND(HIX_SLCSP[[#This Row],[Weighting Factor 2018]]*HIX_SLCSP[[#This Row],[2018]],2)</f>
        <v>14.21</v>
      </c>
      <c r="BQ1784" s="53">
        <f>ROUND(HIX_SLCSP[[#This Row],[Weighting Factor 2019]]*HIX_SLCSP[[#This Row],[2019]],2)</f>
        <v>14.23</v>
      </c>
      <c r="BR1784" s="53">
        <f>ROUND(HIX_SLCSP[[#This Row],[Weighting Factor 2020]]*HIX_SLCSP[[#This Row],[2020]],2)</f>
        <v>13.46</v>
      </c>
      <c r="BS1784" s="53">
        <f>ROUND(HIX_SLCSP[[#This Row],[Weighting Factor 2021]]*HIX_SLCSP[[#This Row],[2021]],2)</f>
        <v>15.24</v>
      </c>
      <c r="BT1784" s="53">
        <f>ROUND(HIX_SLCSP[[#This Row],[Weighting Factor 2022]]*HIX_SLCSP[[#This Row],[2022]],2)</f>
        <v>16.12</v>
      </c>
      <c r="BU1784" s="53">
        <f>ROUND(HIX_SLCSP[[#This Row],[Weighting Factor 2023]]*HIX_SLCSP[[#This Row],[2023]],2)</f>
        <v>14.3</v>
      </c>
      <c r="BV1784" s="53">
        <f>ROUND(HIX_SLCSP[[#This Row],[Weighting Factor 2024]]*HIX_SLCSP[[#This Row],[2024]],2)</f>
        <v>13.7</v>
      </c>
    </row>
    <row r="1785" spans="4:74" x14ac:dyDescent="0.35">
      <c r="D1785" t="s">
        <v>229</v>
      </c>
      <c r="E1785" t="s">
        <v>279</v>
      </c>
      <c r="F1785" s="23">
        <v>8</v>
      </c>
      <c r="G1785" s="23" t="s">
        <v>230</v>
      </c>
      <c r="H1785" s="23" t="s">
        <v>280</v>
      </c>
      <c r="I1785" s="23">
        <v>10</v>
      </c>
      <c r="J1785" s="53">
        <v>417.6</v>
      </c>
      <c r="K1785" s="53">
        <v>459.81</v>
      </c>
      <c r="L1785" s="53">
        <v>783.62</v>
      </c>
      <c r="M1785" s="54">
        <f t="shared" si="14"/>
        <v>1.7042256584241318</v>
      </c>
      <c r="N1785" s="24">
        <v>8</v>
      </c>
      <c r="O1785" s="55">
        <v>400.58</v>
      </c>
      <c r="P1785" s="56">
        <v>435.84</v>
      </c>
      <c r="Q1785" s="56">
        <v>742.76</v>
      </c>
      <c r="R1785" s="57">
        <f t="shared" si="15"/>
        <v>1.7042033773861969</v>
      </c>
      <c r="S1785" s="23">
        <v>10</v>
      </c>
      <c r="T1785" s="53">
        <v>328.59</v>
      </c>
      <c r="U1785" s="53">
        <v>409.94</v>
      </c>
      <c r="V1785" s="53">
        <v>698.62</v>
      </c>
      <c r="W1785" s="57">
        <f t="shared" si="16"/>
        <v>1.704200614724106</v>
      </c>
      <c r="X1785" s="47">
        <v>8</v>
      </c>
      <c r="Y1785" s="58">
        <v>431.14</v>
      </c>
      <c r="Z1785" s="58">
        <v>462.85</v>
      </c>
      <c r="AA1785" s="58">
        <v>788.78</v>
      </c>
      <c r="AB1785" s="57">
        <f t="shared" si="17"/>
        <v>1.7041806200712972</v>
      </c>
      <c r="AC1785" s="47">
        <v>8</v>
      </c>
      <c r="AD1785" s="23">
        <v>460.77</v>
      </c>
      <c r="AE1785" s="23">
        <v>494.63</v>
      </c>
      <c r="AF1785" s="23">
        <v>842.95</v>
      </c>
      <c r="AG1785" s="57">
        <f t="shared" si="18"/>
        <v>1.7042031417423125</v>
      </c>
      <c r="AH1785" s="47">
        <v>60</v>
      </c>
      <c r="AI1785">
        <v>442.66</v>
      </c>
      <c r="AJ1785">
        <v>459.32</v>
      </c>
      <c r="AK1785">
        <v>782.77</v>
      </c>
      <c r="AL1785" s="57">
        <f t="shared" si="19"/>
        <v>1.7041931550988418</v>
      </c>
      <c r="AM1785" s="47">
        <v>64</v>
      </c>
      <c r="AN1785" s="57">
        <v>460.02</v>
      </c>
      <c r="AO1785" s="57">
        <v>465.83</v>
      </c>
      <c r="AP1785" s="57">
        <v>793.86</v>
      </c>
      <c r="AQ1785" s="57">
        <f t="shared" si="20"/>
        <v>1.7041839297597836</v>
      </c>
      <c r="AR1785" s="59">
        <v>4143</v>
      </c>
      <c r="AS1785" s="59">
        <f>SUMIFS(HIX_RatingAreas[Silver Enrollments 2018],HIX_RatingAreas[Area],HIX_SLCSP[[#This Row],[Area Code]])</f>
        <v>3617</v>
      </c>
      <c r="AT1785" s="59">
        <f>SUMIFS(HIX_RatingAreas[Silver Enrollments 2019],HIX_RatingAreas[Area],HIX_SLCSP[[#This Row],[Area Code]])</f>
        <v>3474</v>
      </c>
      <c r="AU1785" s="59">
        <f>SUMIFS(HIX_RatingAreas[Silver Enrollments 2020],HIX_RatingAreas[Area],HIX_SLCSP[[#This Row],[Area Code]])</f>
        <v>3415</v>
      </c>
      <c r="AV1785" s="59">
        <f>SUMIFS(HIX_RatingAreas[Silver Enrollments 2021],HIX_RatingAreas[Area],HIX_SLCSP[[#This Row],[Area Code]])</f>
        <v>3617</v>
      </c>
      <c r="AW1785" s="59">
        <f>SUMIFS(HIX_RatingAreas[Silver Enrollments 2022],HIX_RatingAreas[Area],HIX_SLCSP[[#This Row],[Area Code]])</f>
        <v>4338</v>
      </c>
      <c r="AX1785" s="59">
        <f>SUMIFS(HIX_RatingAreas[Silver Enrollments 2023],HIX_RatingAreas[Area],HIX_SLCSP[[#This Row],[Area Code]])</f>
        <v>4590</v>
      </c>
      <c r="AY1785" s="59">
        <f>SUMIFS(HIX_RatingAreas[Silver Enrollments 2024],HIX_RatingAreas[Area],HIX_SLCSP[[#This Row],[Area Code]])</f>
        <v>6638</v>
      </c>
      <c r="AZ1785" s="59">
        <v>4639</v>
      </c>
      <c r="BA1785">
        <f t="shared" si="7"/>
        <v>2.3784011033238142E-2</v>
      </c>
      <c r="BB1785">
        <f>SUMIFS(HIX_RatingAreas[QHP Enrollments 2018],HIX_RatingAreas[Area],HIX_SLCSP[[#This Row],[Area Code]])</f>
        <v>4127</v>
      </c>
      <c r="BC1785">
        <f t="shared" si="8"/>
        <v>2.424637655615677E-2</v>
      </c>
      <c r="BD1785">
        <f>SUMIFS(HIX_RatingAreas[QHP Enrollments 2019],HIX_RatingAreas[Area],HIX_SLCSP[[#This Row],[Area Code]])</f>
        <v>4026</v>
      </c>
      <c r="BE1785">
        <f t="shared" si="9"/>
        <v>2.4234325339497254E-2</v>
      </c>
      <c r="BF1785">
        <f>SUMIFS(HIX_RatingAreas[QHP Enrollments 2020],HIX_RatingAreas[Area],HIX_SLCSP[[#This Row],[Area Code]])</f>
        <v>3932</v>
      </c>
      <c r="BG1785">
        <f t="shared" si="10"/>
        <v>2.4509284480985358E-2</v>
      </c>
      <c r="BH1785">
        <f>SUMIFS(HIX_RatingAreas[QHP Enrollments 2021],HIX_RatingAreas[Area],HIX_SLCSP[[#This Row],[Area Code]])</f>
        <v>4183</v>
      </c>
      <c r="BI1785">
        <f t="shared" si="11"/>
        <v>2.473406299706124E-2</v>
      </c>
      <c r="BJ1785">
        <f>SUMIFS(HIX_RatingAreas[QHP Enrollments 2022],HIX_RatingAreas[Area],HIX_SLCSP[[#This Row],[Area Code]])</f>
        <v>5042</v>
      </c>
      <c r="BK1785">
        <f t="shared" si="12"/>
        <v>2.2989868407853581E-2</v>
      </c>
      <c r="BL1785">
        <f>SUMIFS(HIX_RatingAreas[QHP Enrollments 2023],HIX_RatingAreas[Area],HIX_SLCSP[[#This Row],[Area Code]])</f>
        <v>5979</v>
      </c>
      <c r="BM1785">
        <f t="shared" si="13"/>
        <v>2.31450835568872E-2</v>
      </c>
      <c r="BN1785">
        <f>SUMIFS(HIX_RatingAreas[QHP Enrollments 2024],HIX_RatingAreas[Area],HIX_SLCSP[[#This Row],[Area Code]])</f>
        <v>8812</v>
      </c>
      <c r="BO1785">
        <f t="shared" si="13"/>
        <v>2.2817488574424838E-2</v>
      </c>
      <c r="BP1785" s="53">
        <f>ROUND(HIX_SLCSP[[#This Row],[Weighting Factor 2018]]*HIX_SLCSP[[#This Row],[2018]],2)</f>
        <v>11.15</v>
      </c>
      <c r="BQ1785" s="53">
        <f>ROUND(HIX_SLCSP[[#This Row],[Weighting Factor 2019]]*HIX_SLCSP[[#This Row],[2019]],2)</f>
        <v>10.56</v>
      </c>
      <c r="BR1785" s="53">
        <f>ROUND(HIX_SLCSP[[#This Row],[Weighting Factor 2020]]*HIX_SLCSP[[#This Row],[2020]],2)</f>
        <v>10.050000000000001</v>
      </c>
      <c r="BS1785" s="53">
        <f>ROUND(HIX_SLCSP[[#This Row],[Weighting Factor 2021]]*HIX_SLCSP[[#This Row],[2021]],2)</f>
        <v>11.45</v>
      </c>
      <c r="BT1785" s="53">
        <f>ROUND(HIX_SLCSP[[#This Row],[Weighting Factor 2022]]*HIX_SLCSP[[#This Row],[2022]],2)</f>
        <v>11.37</v>
      </c>
      <c r="BU1785" s="53">
        <f>ROUND(HIX_SLCSP[[#This Row],[Weighting Factor 2023]]*HIX_SLCSP[[#This Row],[2023]],2)</f>
        <v>10.63</v>
      </c>
      <c r="BV1785" s="53">
        <f>ROUND(HIX_SLCSP[[#This Row],[Weighting Factor 2024]]*HIX_SLCSP[[#This Row],[2024]],2)</f>
        <v>10.63</v>
      </c>
    </row>
    <row r="1786" spans="4:74" x14ac:dyDescent="0.35">
      <c r="D1786" t="s">
        <v>229</v>
      </c>
      <c r="E1786" t="s">
        <v>283</v>
      </c>
      <c r="F1786" s="23">
        <v>9</v>
      </c>
      <c r="G1786" s="23" t="s">
        <v>230</v>
      </c>
      <c r="H1786" s="23" t="s">
        <v>284</v>
      </c>
      <c r="I1786" s="23">
        <v>10</v>
      </c>
      <c r="J1786" s="53">
        <v>455.36</v>
      </c>
      <c r="K1786" s="53">
        <v>501.39</v>
      </c>
      <c r="L1786" s="53">
        <v>854.47</v>
      </c>
      <c r="M1786" s="54">
        <f t="shared" si="14"/>
        <v>1.7042023175571912</v>
      </c>
      <c r="N1786" s="24">
        <v>8</v>
      </c>
      <c r="O1786" s="55">
        <v>447.96</v>
      </c>
      <c r="P1786" s="56">
        <v>487.39</v>
      </c>
      <c r="Q1786" s="56">
        <v>830.61</v>
      </c>
      <c r="R1786" s="57">
        <f t="shared" si="15"/>
        <v>1.7041999220336896</v>
      </c>
      <c r="S1786" s="23">
        <v>10</v>
      </c>
      <c r="T1786" s="53">
        <v>367.46</v>
      </c>
      <c r="U1786" s="53">
        <v>458.43</v>
      </c>
      <c r="V1786" s="53">
        <v>781.26</v>
      </c>
      <c r="W1786" s="57">
        <f t="shared" si="16"/>
        <v>1.7042078398010601</v>
      </c>
      <c r="X1786" s="47">
        <v>8</v>
      </c>
      <c r="Y1786" s="58">
        <v>484.45</v>
      </c>
      <c r="Z1786" s="58">
        <v>520.08000000000004</v>
      </c>
      <c r="AA1786" s="58">
        <v>886.32</v>
      </c>
      <c r="AB1786" s="57">
        <f t="shared" si="17"/>
        <v>1.7041993539455469</v>
      </c>
      <c r="AC1786" s="47">
        <v>20</v>
      </c>
      <c r="AD1786" s="23">
        <v>517.75</v>
      </c>
      <c r="AE1786" s="23">
        <v>546.74</v>
      </c>
      <c r="AF1786" s="23">
        <v>931.76</v>
      </c>
      <c r="AG1786" s="57">
        <f t="shared" si="18"/>
        <v>1.7042104107985514</v>
      </c>
      <c r="AH1786" s="47">
        <v>30</v>
      </c>
      <c r="AI1786">
        <v>497.4</v>
      </c>
      <c r="AJ1786">
        <v>516.12</v>
      </c>
      <c r="AK1786">
        <v>879.56</v>
      </c>
      <c r="AL1786" s="57">
        <f t="shared" si="19"/>
        <v>1.7041773231031543</v>
      </c>
      <c r="AM1786" s="47">
        <v>64</v>
      </c>
      <c r="AN1786" s="57">
        <v>516.9</v>
      </c>
      <c r="AO1786" s="57">
        <v>521.79999999999995</v>
      </c>
      <c r="AP1786" s="57">
        <v>889.25</v>
      </c>
      <c r="AQ1786" s="57">
        <f t="shared" si="20"/>
        <v>1.7041970103487929</v>
      </c>
      <c r="AR1786" s="59">
        <v>15486</v>
      </c>
      <c r="AS1786" s="59">
        <f>SUMIFS(HIX_RatingAreas[Silver Enrollments 2018],HIX_RatingAreas[Area],HIX_SLCSP[[#This Row],[Area Code]])</f>
        <v>13675</v>
      </c>
      <c r="AT1786" s="59">
        <f>SUMIFS(HIX_RatingAreas[Silver Enrollments 2019],HIX_RatingAreas[Area],HIX_SLCSP[[#This Row],[Area Code]])</f>
        <v>13739</v>
      </c>
      <c r="AU1786" s="59">
        <f>SUMIFS(HIX_RatingAreas[Silver Enrollments 2020],HIX_RatingAreas[Area],HIX_SLCSP[[#This Row],[Area Code]])</f>
        <v>13371</v>
      </c>
      <c r="AV1786" s="59">
        <f>SUMIFS(HIX_RatingAreas[Silver Enrollments 2021],HIX_RatingAreas[Area],HIX_SLCSP[[#This Row],[Area Code]])</f>
        <v>13984</v>
      </c>
      <c r="AW1786" s="59">
        <f>SUMIFS(HIX_RatingAreas[Silver Enrollments 2022],HIX_RatingAreas[Area],HIX_SLCSP[[#This Row],[Area Code]])</f>
        <v>17950</v>
      </c>
      <c r="AX1786" s="59">
        <f>SUMIFS(HIX_RatingAreas[Silver Enrollments 2023],HIX_RatingAreas[Area],HIX_SLCSP[[#This Row],[Area Code]])</f>
        <v>18195</v>
      </c>
      <c r="AY1786" s="59">
        <f>SUMIFS(HIX_RatingAreas[Silver Enrollments 2024],HIX_RatingAreas[Area],HIX_SLCSP[[#This Row],[Area Code]])</f>
        <v>18833</v>
      </c>
      <c r="AZ1786" s="59">
        <v>18617</v>
      </c>
      <c r="BA1786">
        <f t="shared" si="7"/>
        <v>9.5448789266176864E-2</v>
      </c>
      <c r="BB1786">
        <f>SUMIFS(HIX_RatingAreas[QHP Enrollments 2018],HIX_RatingAreas[Area],HIX_SLCSP[[#This Row],[Area Code]])</f>
        <v>16992</v>
      </c>
      <c r="BC1786">
        <f t="shared" si="8"/>
        <v>9.9829035726245657E-2</v>
      </c>
      <c r="BD1786">
        <f>SUMIFS(HIX_RatingAreas[QHP Enrollments 2019],HIX_RatingAreas[Area],HIX_SLCSP[[#This Row],[Area Code]])</f>
        <v>17115</v>
      </c>
      <c r="BE1786">
        <f t="shared" si="9"/>
        <v>0.10302297023981508</v>
      </c>
      <c r="BF1786">
        <f>SUMIFS(HIX_RatingAreas[QHP Enrollments 2020],HIX_RatingAreas[Area],HIX_SLCSP[[#This Row],[Area Code]])</f>
        <v>16499</v>
      </c>
      <c r="BG1786">
        <f t="shared" si="10"/>
        <v>0.10284300220035031</v>
      </c>
      <c r="BH1786">
        <f>SUMIFS(HIX_RatingAreas[QHP Enrollments 2021],HIX_RatingAreas[Area],HIX_SLCSP[[#This Row],[Area Code]])</f>
        <v>17515</v>
      </c>
      <c r="BI1786">
        <f t="shared" si="11"/>
        <v>0.1035661279927152</v>
      </c>
      <c r="BJ1786">
        <f>SUMIFS(HIX_RatingAreas[QHP Enrollments 2022],HIX_RatingAreas[Area],HIX_SLCSP[[#This Row],[Area Code]])</f>
        <v>22119</v>
      </c>
      <c r="BK1786">
        <f t="shared" si="12"/>
        <v>0.10085539454845564</v>
      </c>
      <c r="BL1786">
        <f>SUMIFS(HIX_RatingAreas[QHP Enrollments 2023],HIX_RatingAreas[Area],HIX_SLCSP[[#This Row],[Area Code]])</f>
        <v>26024</v>
      </c>
      <c r="BM1786">
        <f t="shared" si="13"/>
        <v>0.10074053428406632</v>
      </c>
      <c r="BN1786">
        <f>SUMIFS(HIX_RatingAreas[QHP Enrollments 2024],HIX_RatingAreas[Area],HIX_SLCSP[[#This Row],[Area Code]])</f>
        <v>35184</v>
      </c>
      <c r="BO1786">
        <f t="shared" si="13"/>
        <v>9.1104234907235987E-2</v>
      </c>
      <c r="BP1786" s="53">
        <f>ROUND(HIX_SLCSP[[#This Row],[Weighting Factor 2018]]*HIX_SLCSP[[#This Row],[2018]],2)</f>
        <v>50.05</v>
      </c>
      <c r="BQ1786" s="53">
        <f>ROUND(HIX_SLCSP[[#This Row],[Weighting Factor 2019]]*HIX_SLCSP[[#This Row],[2019]],2)</f>
        <v>50.21</v>
      </c>
      <c r="BR1786" s="53">
        <f>ROUND(HIX_SLCSP[[#This Row],[Weighting Factor 2020]]*HIX_SLCSP[[#This Row],[2020]],2)</f>
        <v>47.15</v>
      </c>
      <c r="BS1786" s="53">
        <f>ROUND(HIX_SLCSP[[#This Row],[Weighting Factor 2021]]*HIX_SLCSP[[#This Row],[2021]],2)</f>
        <v>53.86</v>
      </c>
      <c r="BT1786" s="53">
        <f>ROUND(HIX_SLCSP[[#This Row],[Weighting Factor 2022]]*HIX_SLCSP[[#This Row],[2022]],2)</f>
        <v>55.14</v>
      </c>
      <c r="BU1786" s="53">
        <f>ROUND(HIX_SLCSP[[#This Row],[Weighting Factor 2023]]*HIX_SLCSP[[#This Row],[2023]],2)</f>
        <v>51.99</v>
      </c>
      <c r="BV1786" s="53">
        <f>ROUND(HIX_SLCSP[[#This Row],[Weighting Factor 2024]]*HIX_SLCSP[[#This Row],[2024]],2)</f>
        <v>47.54</v>
      </c>
    </row>
    <row r="1787" spans="4:74" x14ac:dyDescent="0.35">
      <c r="D1787" t="s">
        <v>229</v>
      </c>
      <c r="E1787" t="s">
        <v>289</v>
      </c>
      <c r="F1787" s="23">
        <v>10</v>
      </c>
      <c r="G1787" s="23" t="s">
        <v>230</v>
      </c>
      <c r="H1787" s="23" t="s">
        <v>290</v>
      </c>
      <c r="I1787" s="23">
        <v>10</v>
      </c>
      <c r="J1787" s="53">
        <v>426.49</v>
      </c>
      <c r="K1787" s="53">
        <v>469.6</v>
      </c>
      <c r="L1787" s="53">
        <v>800.29</v>
      </c>
      <c r="M1787" s="54">
        <f t="shared" si="14"/>
        <v>1.7041950596252129</v>
      </c>
      <c r="N1787" s="24">
        <v>8</v>
      </c>
      <c r="O1787" s="55">
        <v>413.5</v>
      </c>
      <c r="P1787" s="56">
        <v>449.9</v>
      </c>
      <c r="Q1787" s="56">
        <v>766.72</v>
      </c>
      <c r="R1787" s="57">
        <f t="shared" si="15"/>
        <v>1.7042009335407871</v>
      </c>
      <c r="S1787" s="23">
        <v>10</v>
      </c>
      <c r="T1787" s="53">
        <v>339.19</v>
      </c>
      <c r="U1787" s="53">
        <v>423.17</v>
      </c>
      <c r="V1787" s="53">
        <v>721.16</v>
      </c>
      <c r="W1787" s="57">
        <f t="shared" si="16"/>
        <v>1.7041850792825577</v>
      </c>
      <c r="X1787" s="47">
        <v>8</v>
      </c>
      <c r="Y1787" s="58">
        <v>435.78</v>
      </c>
      <c r="Z1787" s="58">
        <v>467.82</v>
      </c>
      <c r="AA1787" s="58">
        <v>797.26</v>
      </c>
      <c r="AB1787" s="57">
        <f t="shared" si="17"/>
        <v>1.7042024710358685</v>
      </c>
      <c r="AC1787" s="47">
        <v>20</v>
      </c>
      <c r="AD1787" s="23">
        <v>462.63</v>
      </c>
      <c r="AE1787" s="23">
        <v>465.73</v>
      </c>
      <c r="AF1787" s="23">
        <v>793.69</v>
      </c>
      <c r="AG1787" s="57">
        <f t="shared" si="18"/>
        <v>1.7041848281192966</v>
      </c>
      <c r="AH1787" s="47">
        <v>60</v>
      </c>
      <c r="AI1787">
        <v>444.24</v>
      </c>
      <c r="AJ1787">
        <v>447.42</v>
      </c>
      <c r="AK1787">
        <v>762.5</v>
      </c>
      <c r="AL1787" s="57">
        <f t="shared" si="19"/>
        <v>1.704215278709043</v>
      </c>
      <c r="AM1787" s="47">
        <v>64</v>
      </c>
      <c r="AN1787" s="57">
        <v>438.62</v>
      </c>
      <c r="AO1787" s="57">
        <v>439.23</v>
      </c>
      <c r="AP1787" s="57">
        <v>748.54</v>
      </c>
      <c r="AQ1787" s="57">
        <f t="shared" si="20"/>
        <v>1.7042096395965665</v>
      </c>
      <c r="AR1787" s="59">
        <v>16554</v>
      </c>
      <c r="AS1787" s="59">
        <f>SUMIFS(HIX_RatingAreas[Silver Enrollments 2018],HIX_RatingAreas[Area],HIX_SLCSP[[#This Row],[Area Code]])</f>
        <v>14278</v>
      </c>
      <c r="AT1787" s="59">
        <f>SUMIFS(HIX_RatingAreas[Silver Enrollments 2019],HIX_RatingAreas[Area],HIX_SLCSP[[#This Row],[Area Code]])</f>
        <v>14277</v>
      </c>
      <c r="AU1787" s="59">
        <f>SUMIFS(HIX_RatingAreas[Silver Enrollments 2020],HIX_RatingAreas[Area],HIX_SLCSP[[#This Row],[Area Code]])</f>
        <v>14195</v>
      </c>
      <c r="AV1787" s="59">
        <f>SUMIFS(HIX_RatingAreas[Silver Enrollments 2021],HIX_RatingAreas[Area],HIX_SLCSP[[#This Row],[Area Code]])</f>
        <v>15137</v>
      </c>
      <c r="AW1787" s="59">
        <f>SUMIFS(HIX_RatingAreas[Silver Enrollments 2022],HIX_RatingAreas[Area],HIX_SLCSP[[#This Row],[Area Code]])</f>
        <v>20110</v>
      </c>
      <c r="AX1787" s="59">
        <f>SUMIFS(HIX_RatingAreas[Silver Enrollments 2023],HIX_RatingAreas[Area],HIX_SLCSP[[#This Row],[Area Code]])</f>
        <v>23621</v>
      </c>
      <c r="AY1787" s="59">
        <f>SUMIFS(HIX_RatingAreas[Silver Enrollments 2024],HIX_RatingAreas[Area],HIX_SLCSP[[#This Row],[Area Code]])</f>
        <v>35142</v>
      </c>
      <c r="AZ1787" s="59">
        <v>19313</v>
      </c>
      <c r="BA1787">
        <f t="shared" si="7"/>
        <v>9.9017159966572163E-2</v>
      </c>
      <c r="BB1787">
        <f>SUMIFS(HIX_RatingAreas[QHP Enrollments 2018],HIX_RatingAreas[Area],HIX_SLCSP[[#This Row],[Area Code]])</f>
        <v>16813</v>
      </c>
      <c r="BC1787">
        <f t="shared" si="8"/>
        <v>9.8777399815523081E-2</v>
      </c>
      <c r="BD1787">
        <f>SUMIFS(HIX_RatingAreas[QHP Enrollments 2019],HIX_RatingAreas[Area],HIX_SLCSP[[#This Row],[Area Code]])</f>
        <v>16833</v>
      </c>
      <c r="BE1787">
        <f t="shared" si="9"/>
        <v>0.10132548396417221</v>
      </c>
      <c r="BF1787">
        <f>SUMIFS(HIX_RatingAreas[QHP Enrollments 2020],HIX_RatingAreas[Area],HIX_SLCSP[[#This Row],[Area Code]])</f>
        <v>16676</v>
      </c>
      <c r="BG1787">
        <f t="shared" si="10"/>
        <v>0.10394629399921461</v>
      </c>
      <c r="BH1787">
        <f>SUMIFS(HIX_RatingAreas[QHP Enrollments 2021],HIX_RatingAreas[Area],HIX_SLCSP[[#This Row],[Area Code]])</f>
        <v>17855</v>
      </c>
      <c r="BI1787">
        <f t="shared" si="11"/>
        <v>0.10557654669197429</v>
      </c>
      <c r="BJ1787">
        <f>SUMIFS(HIX_RatingAreas[QHP Enrollments 2022],HIX_RatingAreas[Area],HIX_SLCSP[[#This Row],[Area Code]])</f>
        <v>23642</v>
      </c>
      <c r="BK1787">
        <f t="shared" si="12"/>
        <v>0.10779977566411629</v>
      </c>
      <c r="BL1787">
        <f>SUMIFS(HIX_RatingAreas[QHP Enrollments 2023],HIX_RatingAreas[Area],HIX_SLCSP[[#This Row],[Area Code]])</f>
        <v>30185</v>
      </c>
      <c r="BM1787">
        <f t="shared" si="13"/>
        <v>0.11684802595160397</v>
      </c>
      <c r="BN1787">
        <f>SUMIFS(HIX_RatingAreas[QHP Enrollments 2024],HIX_RatingAreas[Area],HIX_SLCSP[[#This Row],[Area Code]])</f>
        <v>44676</v>
      </c>
      <c r="BO1787">
        <f t="shared" si="13"/>
        <v>0.11568249200533409</v>
      </c>
      <c r="BP1787" s="53">
        <f>ROUND(HIX_SLCSP[[#This Row],[Weighting Factor 2018]]*HIX_SLCSP[[#This Row],[2018]],2)</f>
        <v>46.39</v>
      </c>
      <c r="BQ1787" s="53">
        <f>ROUND(HIX_SLCSP[[#This Row],[Weighting Factor 2019]]*HIX_SLCSP[[#This Row],[2019]],2)</f>
        <v>45.59</v>
      </c>
      <c r="BR1787" s="53">
        <f>ROUND(HIX_SLCSP[[#This Row],[Weighting Factor 2020]]*HIX_SLCSP[[#This Row],[2020]],2)</f>
        <v>43.99</v>
      </c>
      <c r="BS1787" s="53">
        <f>ROUND(HIX_SLCSP[[#This Row],[Weighting Factor 2021]]*HIX_SLCSP[[#This Row],[2021]],2)</f>
        <v>49.39</v>
      </c>
      <c r="BT1787" s="53">
        <f>ROUND(HIX_SLCSP[[#This Row],[Weighting Factor 2022]]*HIX_SLCSP[[#This Row],[2022]],2)</f>
        <v>50.21</v>
      </c>
      <c r="BU1787" s="53">
        <f>ROUND(HIX_SLCSP[[#This Row],[Weighting Factor 2023]]*HIX_SLCSP[[#This Row],[2023]],2)</f>
        <v>52.28</v>
      </c>
      <c r="BV1787" s="53">
        <f>ROUND(HIX_SLCSP[[#This Row],[Weighting Factor 2024]]*HIX_SLCSP[[#This Row],[2024]],2)</f>
        <v>50.81</v>
      </c>
    </row>
    <row r="1788" spans="4:74" x14ac:dyDescent="0.35">
      <c r="D1788" t="s">
        <v>229</v>
      </c>
      <c r="E1788" t="s">
        <v>293</v>
      </c>
      <c r="F1788" s="23">
        <v>11</v>
      </c>
      <c r="G1788" s="23" t="s">
        <v>230</v>
      </c>
      <c r="H1788" s="23" t="s">
        <v>294</v>
      </c>
      <c r="I1788" s="23">
        <v>10</v>
      </c>
      <c r="J1788" s="53">
        <v>417.6</v>
      </c>
      <c r="K1788" s="53">
        <v>459.81</v>
      </c>
      <c r="L1788" s="53">
        <v>783.62</v>
      </c>
      <c r="M1788" s="54">
        <f t="shared" si="14"/>
        <v>1.7042256584241318</v>
      </c>
      <c r="N1788" s="24">
        <v>8</v>
      </c>
      <c r="O1788" s="55">
        <v>430.73</v>
      </c>
      <c r="P1788" s="56">
        <v>468.64</v>
      </c>
      <c r="Q1788" s="56">
        <v>798.66</v>
      </c>
      <c r="R1788" s="57">
        <f t="shared" si="15"/>
        <v>1.7042079207920793</v>
      </c>
      <c r="S1788" s="23">
        <v>10</v>
      </c>
      <c r="T1788" s="53">
        <v>353.32</v>
      </c>
      <c r="U1788" s="53">
        <v>440.8</v>
      </c>
      <c r="V1788" s="53">
        <v>751.21</v>
      </c>
      <c r="W1788" s="57">
        <f t="shared" si="16"/>
        <v>1.7041969147005445</v>
      </c>
      <c r="X1788" s="47">
        <v>8</v>
      </c>
      <c r="Y1788" s="58">
        <v>454.32</v>
      </c>
      <c r="Z1788" s="58">
        <v>487.73</v>
      </c>
      <c r="AA1788" s="58">
        <v>831.19</v>
      </c>
      <c r="AB1788" s="57">
        <f t="shared" si="17"/>
        <v>1.7042010948680624</v>
      </c>
      <c r="AC1788" s="47">
        <v>8</v>
      </c>
      <c r="AD1788" s="23">
        <v>485.54</v>
      </c>
      <c r="AE1788" s="23">
        <v>521.22</v>
      </c>
      <c r="AF1788" s="23">
        <v>888.27</v>
      </c>
      <c r="AG1788" s="57">
        <f t="shared" si="18"/>
        <v>1.7042131921261654</v>
      </c>
      <c r="AH1788" s="47">
        <v>40</v>
      </c>
      <c r="AI1788">
        <v>445.9</v>
      </c>
      <c r="AJ1788">
        <v>450.13</v>
      </c>
      <c r="AK1788">
        <v>767.11</v>
      </c>
      <c r="AL1788" s="57">
        <f t="shared" si="19"/>
        <v>1.7041965654366518</v>
      </c>
      <c r="AM1788" s="47">
        <v>44</v>
      </c>
      <c r="AN1788" s="57">
        <v>406.81</v>
      </c>
      <c r="AO1788" s="57">
        <v>407.38</v>
      </c>
      <c r="AP1788" s="57">
        <v>694.25</v>
      </c>
      <c r="AQ1788" s="57">
        <f t="shared" si="20"/>
        <v>1.704182826844715</v>
      </c>
      <c r="AR1788" s="59">
        <v>11565</v>
      </c>
      <c r="AS1788" s="59">
        <f>SUMIFS(HIX_RatingAreas[Silver Enrollments 2018],HIX_RatingAreas[Area],HIX_SLCSP[[#This Row],[Area Code]])</f>
        <v>9536</v>
      </c>
      <c r="AT1788" s="59">
        <f>SUMIFS(HIX_RatingAreas[Silver Enrollments 2019],HIX_RatingAreas[Area],HIX_SLCSP[[#This Row],[Area Code]])</f>
        <v>9373</v>
      </c>
      <c r="AU1788" s="59">
        <f>SUMIFS(HIX_RatingAreas[Silver Enrollments 2020],HIX_RatingAreas[Area],HIX_SLCSP[[#This Row],[Area Code]])</f>
        <v>9222</v>
      </c>
      <c r="AV1788" s="59">
        <f>SUMIFS(HIX_RatingAreas[Silver Enrollments 2021],HIX_RatingAreas[Area],HIX_SLCSP[[#This Row],[Area Code]])</f>
        <v>9868</v>
      </c>
      <c r="AW1788" s="59">
        <f>SUMIFS(HIX_RatingAreas[Silver Enrollments 2022],HIX_RatingAreas[Area],HIX_SLCSP[[#This Row],[Area Code]])</f>
        <v>13355</v>
      </c>
      <c r="AX1788" s="59">
        <f>SUMIFS(HIX_RatingAreas[Silver Enrollments 2023],HIX_RatingAreas[Area],HIX_SLCSP[[#This Row],[Area Code]])</f>
        <v>14419</v>
      </c>
      <c r="AY1788" s="59">
        <f>SUMIFS(HIX_RatingAreas[Silver Enrollments 2024],HIX_RatingAreas[Area],HIX_SLCSP[[#This Row],[Area Code]])</f>
        <v>17432</v>
      </c>
      <c r="AZ1788" s="59">
        <v>13636</v>
      </c>
      <c r="BA1788">
        <f t="shared" si="7"/>
        <v>6.9911354699123796E-2</v>
      </c>
      <c r="BB1788">
        <f>SUMIFS(HIX_RatingAreas[QHP Enrollments 2018],HIX_RatingAreas[Area],HIX_SLCSP[[#This Row],[Area Code]])</f>
        <v>11506</v>
      </c>
      <c r="BC1788">
        <f t="shared" si="8"/>
        <v>6.7598451333932594E-2</v>
      </c>
      <c r="BD1788">
        <f>SUMIFS(HIX_RatingAreas[QHP Enrollments 2019],HIX_RatingAreas[Area],HIX_SLCSP[[#This Row],[Area Code]])</f>
        <v>11415</v>
      </c>
      <c r="BE1788">
        <f t="shared" si="9"/>
        <v>6.8712077434267549E-2</v>
      </c>
      <c r="BF1788">
        <f>SUMIFS(HIX_RatingAreas[QHP Enrollments 2020],HIX_RatingAreas[Area],HIX_SLCSP[[#This Row],[Area Code]])</f>
        <v>11117</v>
      </c>
      <c r="BG1788">
        <f t="shared" si="10"/>
        <v>6.929545157047666E-2</v>
      </c>
      <c r="BH1788">
        <f>SUMIFS(HIX_RatingAreas[QHP Enrollments 2021],HIX_RatingAreas[Area],HIX_SLCSP[[#This Row],[Area Code]])</f>
        <v>11938</v>
      </c>
      <c r="BI1788">
        <f t="shared" si="11"/>
        <v>7.0589348328691626E-2</v>
      </c>
      <c r="BJ1788">
        <f>SUMIFS(HIX_RatingAreas[QHP Enrollments 2022],HIX_RatingAreas[Area],HIX_SLCSP[[#This Row],[Area Code]])</f>
        <v>15777</v>
      </c>
      <c r="BK1788">
        <f t="shared" si="12"/>
        <v>7.1937951977529932E-2</v>
      </c>
      <c r="BL1788">
        <f>SUMIFS(HIX_RatingAreas[QHP Enrollments 2023],HIX_RatingAreas[Area],HIX_SLCSP[[#This Row],[Area Code]])</f>
        <v>17653</v>
      </c>
      <c r="BM1788">
        <f t="shared" si="13"/>
        <v>6.8335868879366074E-2</v>
      </c>
      <c r="BN1788">
        <f>SUMIFS(HIX_RatingAreas[QHP Enrollments 2024],HIX_RatingAreas[Area],HIX_SLCSP[[#This Row],[Area Code]])</f>
        <v>21842</v>
      </c>
      <c r="BO1788">
        <f t="shared" si="13"/>
        <v>5.6556920726575956E-2</v>
      </c>
      <c r="BP1788" s="53">
        <f>ROUND(HIX_SLCSP[[#This Row],[Weighting Factor 2018]]*HIX_SLCSP[[#This Row],[2018]],2)</f>
        <v>31.08</v>
      </c>
      <c r="BQ1788" s="53">
        <f>ROUND(HIX_SLCSP[[#This Row],[Weighting Factor 2019]]*HIX_SLCSP[[#This Row],[2019]],2)</f>
        <v>32.200000000000003</v>
      </c>
      <c r="BR1788" s="53">
        <f>ROUND(HIX_SLCSP[[#This Row],[Weighting Factor 2020]]*HIX_SLCSP[[#This Row],[2020]],2)</f>
        <v>30.55</v>
      </c>
      <c r="BS1788" s="53">
        <f>ROUND(HIX_SLCSP[[#This Row],[Weighting Factor 2021]]*HIX_SLCSP[[#This Row],[2021]],2)</f>
        <v>34.43</v>
      </c>
      <c r="BT1788" s="53">
        <f>ROUND(HIX_SLCSP[[#This Row],[Weighting Factor 2022]]*HIX_SLCSP[[#This Row],[2022]],2)</f>
        <v>37.5</v>
      </c>
      <c r="BU1788" s="53">
        <f>ROUND(HIX_SLCSP[[#This Row],[Weighting Factor 2023]]*HIX_SLCSP[[#This Row],[2023]],2)</f>
        <v>30.76</v>
      </c>
      <c r="BV1788" s="53">
        <f>ROUND(HIX_SLCSP[[#This Row],[Weighting Factor 2024]]*HIX_SLCSP[[#This Row],[2024]],2)</f>
        <v>23.04</v>
      </c>
    </row>
    <row r="1789" spans="4:74" x14ac:dyDescent="0.35">
      <c r="D1789" t="s">
        <v>229</v>
      </c>
      <c r="E1789" t="s">
        <v>303</v>
      </c>
      <c r="F1789" s="23">
        <v>12</v>
      </c>
      <c r="G1789" s="23" t="s">
        <v>230</v>
      </c>
      <c r="H1789" s="23" t="s">
        <v>304</v>
      </c>
      <c r="I1789" s="23">
        <v>10</v>
      </c>
      <c r="J1789" s="53">
        <v>386.5</v>
      </c>
      <c r="K1789" s="53">
        <v>425.57</v>
      </c>
      <c r="L1789" s="53">
        <v>725.26</v>
      </c>
      <c r="M1789" s="54">
        <f t="shared" si="14"/>
        <v>1.7042084733416358</v>
      </c>
      <c r="N1789" s="24">
        <v>8</v>
      </c>
      <c r="O1789" s="55">
        <v>391.96</v>
      </c>
      <c r="P1789" s="56">
        <v>426.47</v>
      </c>
      <c r="Q1789" s="56">
        <v>726.78</v>
      </c>
      <c r="R1789" s="57">
        <f t="shared" si="15"/>
        <v>1.7041761436912326</v>
      </c>
      <c r="S1789" s="23">
        <v>10</v>
      </c>
      <c r="T1789" s="53">
        <v>321.52</v>
      </c>
      <c r="U1789" s="53">
        <v>401.13</v>
      </c>
      <c r="V1789" s="53">
        <v>683.6</v>
      </c>
      <c r="W1789" s="57">
        <f t="shared" si="16"/>
        <v>1.7041856754668063</v>
      </c>
      <c r="X1789" s="47">
        <v>8</v>
      </c>
      <c r="Y1789" s="58">
        <v>417.23</v>
      </c>
      <c r="Z1789" s="58">
        <v>447.92</v>
      </c>
      <c r="AA1789" s="58">
        <v>763.34</v>
      </c>
      <c r="AB1789" s="57">
        <f t="shared" si="17"/>
        <v>1.704188247901411</v>
      </c>
      <c r="AC1789" s="47">
        <v>8</v>
      </c>
      <c r="AD1789" s="23">
        <v>445.91</v>
      </c>
      <c r="AE1789" s="23">
        <v>478.67</v>
      </c>
      <c r="AF1789" s="23">
        <v>815.76</v>
      </c>
      <c r="AG1789" s="57">
        <f t="shared" si="18"/>
        <v>1.7042221154448784</v>
      </c>
      <c r="AH1789" s="47">
        <v>12</v>
      </c>
      <c r="AI1789">
        <v>428.38</v>
      </c>
      <c r="AJ1789">
        <v>444.5</v>
      </c>
      <c r="AK1789">
        <v>757.52</v>
      </c>
      <c r="AL1789" s="57">
        <f t="shared" si="19"/>
        <v>1.704206974128234</v>
      </c>
      <c r="AM1789" s="47">
        <v>32</v>
      </c>
      <c r="AN1789" s="57">
        <v>418.5</v>
      </c>
      <c r="AO1789" s="57">
        <v>418.78</v>
      </c>
      <c r="AP1789" s="57">
        <v>713.68</v>
      </c>
      <c r="AQ1789" s="57">
        <f t="shared" si="20"/>
        <v>1.7041883566550455</v>
      </c>
      <c r="AR1789" s="59">
        <v>6441</v>
      </c>
      <c r="AS1789" s="59">
        <f>SUMIFS(HIX_RatingAreas[Silver Enrollments 2018],HIX_RatingAreas[Area],HIX_SLCSP[[#This Row],[Area Code]])</f>
        <v>5267</v>
      </c>
      <c r="AT1789" s="59">
        <f>SUMIFS(HIX_RatingAreas[Silver Enrollments 2019],HIX_RatingAreas[Area],HIX_SLCSP[[#This Row],[Area Code]])</f>
        <v>4911</v>
      </c>
      <c r="AU1789" s="59">
        <f>SUMIFS(HIX_RatingAreas[Silver Enrollments 2020],HIX_RatingAreas[Area],HIX_SLCSP[[#This Row],[Area Code]])</f>
        <v>4738</v>
      </c>
      <c r="AV1789" s="59">
        <f>SUMIFS(HIX_RatingAreas[Silver Enrollments 2021],HIX_RatingAreas[Area],HIX_SLCSP[[#This Row],[Area Code]])</f>
        <v>4894</v>
      </c>
      <c r="AW1789" s="59">
        <f>SUMIFS(HIX_RatingAreas[Silver Enrollments 2022],HIX_RatingAreas[Area],HIX_SLCSP[[#This Row],[Area Code]])</f>
        <v>6535</v>
      </c>
      <c r="AX1789" s="59">
        <f>SUMIFS(HIX_RatingAreas[Silver Enrollments 2023],HIX_RatingAreas[Area],HIX_SLCSP[[#This Row],[Area Code]])</f>
        <v>7172</v>
      </c>
      <c r="AY1789" s="59">
        <f>SUMIFS(HIX_RatingAreas[Silver Enrollments 2024],HIX_RatingAreas[Area],HIX_SLCSP[[#This Row],[Area Code]])</f>
        <v>10736</v>
      </c>
      <c r="AZ1789" s="59">
        <v>7521</v>
      </c>
      <c r="BA1789">
        <f t="shared" si="7"/>
        <v>3.8559936835737024E-2</v>
      </c>
      <c r="BB1789">
        <f>SUMIFS(HIX_RatingAreas[QHP Enrollments 2018],HIX_RatingAreas[Area],HIX_SLCSP[[#This Row],[Area Code]])</f>
        <v>6455</v>
      </c>
      <c r="BC1789">
        <f t="shared" si="8"/>
        <v>3.7923518456503984E-2</v>
      </c>
      <c r="BD1789">
        <f>SUMIFS(HIX_RatingAreas[QHP Enrollments 2019],HIX_RatingAreas[Area],HIX_SLCSP[[#This Row],[Area Code]])</f>
        <v>6042</v>
      </c>
      <c r="BE1789">
        <f t="shared" si="9"/>
        <v>3.6369546373880381E-2</v>
      </c>
      <c r="BF1789">
        <f>SUMIFS(HIX_RatingAreas[QHP Enrollments 2020],HIX_RatingAreas[Area],HIX_SLCSP[[#This Row],[Area Code]])</f>
        <v>5807</v>
      </c>
      <c r="BG1789">
        <f t="shared" si="10"/>
        <v>3.6196697604547808E-2</v>
      </c>
      <c r="BH1789">
        <f>SUMIFS(HIX_RatingAreas[QHP Enrollments 2021],HIX_RatingAreas[Area],HIX_SLCSP[[#This Row],[Area Code]])</f>
        <v>6055</v>
      </c>
      <c r="BI1789">
        <f t="shared" si="11"/>
        <v>3.5803191835334883E-2</v>
      </c>
      <c r="BJ1789">
        <f>SUMIFS(HIX_RatingAreas[QHP Enrollments 2022],HIX_RatingAreas[Area],HIX_SLCSP[[#This Row],[Area Code]])</f>
        <v>7977</v>
      </c>
      <c r="BK1789">
        <f t="shared" si="12"/>
        <v>3.6372506999097186E-2</v>
      </c>
      <c r="BL1789">
        <f>SUMIFS(HIX_RatingAreas[QHP Enrollments 2023],HIX_RatingAreas[Area],HIX_SLCSP[[#This Row],[Area Code]])</f>
        <v>8985</v>
      </c>
      <c r="BM1789">
        <f t="shared" si="13"/>
        <v>3.4781497868980014E-2</v>
      </c>
      <c r="BN1789">
        <f>SUMIFS(HIX_RatingAreas[QHP Enrollments 2024],HIX_RatingAreas[Area],HIX_SLCSP[[#This Row],[Area Code]])</f>
        <v>13909</v>
      </c>
      <c r="BO1789">
        <f t="shared" si="13"/>
        <v>3.6015484405546423E-2</v>
      </c>
      <c r="BP1789" s="53">
        <f>ROUND(HIX_SLCSP[[#This Row],[Weighting Factor 2018]]*HIX_SLCSP[[#This Row],[2018]],2)</f>
        <v>16.14</v>
      </c>
      <c r="BQ1789" s="53">
        <f>ROUND(HIX_SLCSP[[#This Row],[Weighting Factor 2019]]*HIX_SLCSP[[#This Row],[2019]],2)</f>
        <v>15.51</v>
      </c>
      <c r="BR1789" s="53">
        <f>ROUND(HIX_SLCSP[[#This Row],[Weighting Factor 2020]]*HIX_SLCSP[[#This Row],[2020]],2)</f>
        <v>14.52</v>
      </c>
      <c r="BS1789" s="53">
        <f>ROUND(HIX_SLCSP[[#This Row],[Weighting Factor 2021]]*HIX_SLCSP[[#This Row],[2021]],2)</f>
        <v>16.04</v>
      </c>
      <c r="BT1789" s="53">
        <f>ROUND(HIX_SLCSP[[#This Row],[Weighting Factor 2022]]*HIX_SLCSP[[#This Row],[2022]],2)</f>
        <v>17.41</v>
      </c>
      <c r="BU1789" s="53">
        <f>ROUND(HIX_SLCSP[[#This Row],[Weighting Factor 2023]]*HIX_SLCSP[[#This Row],[2023]],2)</f>
        <v>15.46</v>
      </c>
      <c r="BV1789" s="53">
        <f>ROUND(HIX_SLCSP[[#This Row],[Weighting Factor 2024]]*HIX_SLCSP[[#This Row],[2024]],2)</f>
        <v>15.08</v>
      </c>
    </row>
    <row r="1790" spans="4:74" x14ac:dyDescent="0.35">
      <c r="D1790" t="s">
        <v>229</v>
      </c>
      <c r="E1790" t="s">
        <v>311</v>
      </c>
      <c r="F1790" s="23">
        <v>13</v>
      </c>
      <c r="G1790" s="23" t="s">
        <v>230</v>
      </c>
      <c r="H1790" s="23" t="s">
        <v>312</v>
      </c>
      <c r="I1790" s="23">
        <v>10</v>
      </c>
      <c r="J1790" s="53">
        <v>404.27</v>
      </c>
      <c r="K1790" s="53">
        <v>445.14</v>
      </c>
      <c r="L1790" s="53">
        <v>758.61</v>
      </c>
      <c r="M1790" s="54">
        <f t="shared" si="14"/>
        <v>1.7042054185200162</v>
      </c>
      <c r="N1790" s="24">
        <v>8</v>
      </c>
      <c r="O1790" s="55">
        <v>404.88</v>
      </c>
      <c r="P1790" s="56">
        <v>440.53</v>
      </c>
      <c r="Q1790" s="56">
        <v>750.74</v>
      </c>
      <c r="R1790" s="57">
        <f t="shared" si="15"/>
        <v>1.7041745170589973</v>
      </c>
      <c r="S1790" s="23">
        <v>10</v>
      </c>
      <c r="T1790" s="53">
        <v>332.12</v>
      </c>
      <c r="U1790" s="53">
        <v>414.35</v>
      </c>
      <c r="V1790" s="53">
        <v>706.14</v>
      </c>
      <c r="W1790" s="57">
        <f t="shared" si="16"/>
        <v>1.7042114154700132</v>
      </c>
      <c r="X1790" s="47">
        <v>8</v>
      </c>
      <c r="Y1790" s="58">
        <v>440.41</v>
      </c>
      <c r="Z1790" s="58">
        <v>472.8</v>
      </c>
      <c r="AA1790" s="58">
        <v>805.75</v>
      </c>
      <c r="AB1790" s="57">
        <f t="shared" si="17"/>
        <v>1.7042089678510999</v>
      </c>
      <c r="AC1790" s="47">
        <v>20</v>
      </c>
      <c r="AD1790" s="23">
        <v>470.68</v>
      </c>
      <c r="AE1790" s="23">
        <v>487.25</v>
      </c>
      <c r="AF1790" s="23">
        <v>830.37</v>
      </c>
      <c r="AG1790" s="57">
        <f t="shared" si="18"/>
        <v>1.7041970241149307</v>
      </c>
      <c r="AH1790" s="47">
        <v>60</v>
      </c>
      <c r="AI1790">
        <v>446.13</v>
      </c>
      <c r="AJ1790">
        <v>450.36</v>
      </c>
      <c r="AK1790">
        <v>767.51</v>
      </c>
      <c r="AL1790" s="57">
        <f t="shared" si="19"/>
        <v>1.7042144062527755</v>
      </c>
      <c r="AM1790" s="47">
        <v>64</v>
      </c>
      <c r="AN1790" s="57">
        <v>457.4</v>
      </c>
      <c r="AO1790" s="57">
        <v>458.21</v>
      </c>
      <c r="AP1790" s="57">
        <v>780.87</v>
      </c>
      <c r="AQ1790" s="57">
        <f t="shared" si="20"/>
        <v>1.7041749416206544</v>
      </c>
      <c r="AR1790" s="59">
        <v>48254</v>
      </c>
      <c r="AS1790" s="59">
        <f>SUMIFS(HIX_RatingAreas[Silver Enrollments 2018],HIX_RatingAreas[Area],HIX_SLCSP[[#This Row],[Area Code]])</f>
        <v>41016</v>
      </c>
      <c r="AT1790" s="59">
        <f>SUMIFS(HIX_RatingAreas[Silver Enrollments 2019],HIX_RatingAreas[Area],HIX_SLCSP[[#This Row],[Area Code]])</f>
        <v>39898</v>
      </c>
      <c r="AU1790" s="59">
        <f>SUMIFS(HIX_RatingAreas[Silver Enrollments 2020],HIX_RatingAreas[Area],HIX_SLCSP[[#This Row],[Area Code]])</f>
        <v>38725</v>
      </c>
      <c r="AV1790" s="59">
        <f>SUMIFS(HIX_RatingAreas[Silver Enrollments 2021],HIX_RatingAreas[Area],HIX_SLCSP[[#This Row],[Area Code]])</f>
        <v>40343</v>
      </c>
      <c r="AW1790" s="59">
        <f>SUMIFS(HIX_RatingAreas[Silver Enrollments 2022],HIX_RatingAreas[Area],HIX_SLCSP[[#This Row],[Area Code]])</f>
        <v>52417</v>
      </c>
      <c r="AX1790" s="59">
        <f>SUMIFS(HIX_RatingAreas[Silver Enrollments 2023],HIX_RatingAreas[Area],HIX_SLCSP[[#This Row],[Area Code]])</f>
        <v>58554</v>
      </c>
      <c r="AY1790" s="59">
        <f>SUMIFS(HIX_RatingAreas[Silver Enrollments 2024],HIX_RatingAreas[Area],HIX_SLCSP[[#This Row],[Area Code]])</f>
        <v>86147</v>
      </c>
      <c r="AZ1790" s="59">
        <v>55390</v>
      </c>
      <c r="BA1790">
        <f t="shared" si="7"/>
        <v>0.28398283490645843</v>
      </c>
      <c r="BB1790">
        <f>SUMIFS(HIX_RatingAreas[QHP Enrollments 2018],HIX_RatingAreas[Area],HIX_SLCSP[[#This Row],[Area Code]])</f>
        <v>48888</v>
      </c>
      <c r="BC1790">
        <f t="shared" si="8"/>
        <v>0.28721997990729153</v>
      </c>
      <c r="BD1790">
        <f>SUMIFS(HIX_RatingAreas[QHP Enrollments 2019],HIX_RatingAreas[Area],HIX_SLCSP[[#This Row],[Area Code]])</f>
        <v>47769</v>
      </c>
      <c r="BE1790">
        <f t="shared" si="9"/>
        <v>0.28754334007512278</v>
      </c>
      <c r="BF1790">
        <f>SUMIFS(HIX_RatingAreas[QHP Enrollments 2020],HIX_RatingAreas[Area],HIX_SLCSP[[#This Row],[Area Code]])</f>
        <v>46308</v>
      </c>
      <c r="BG1790">
        <f t="shared" si="10"/>
        <v>0.28865105436049593</v>
      </c>
      <c r="BH1790">
        <f>SUMIFS(HIX_RatingAreas[QHP Enrollments 2021],HIX_RatingAreas[Area],HIX_SLCSP[[#This Row],[Area Code]])</f>
        <v>48478</v>
      </c>
      <c r="BI1790">
        <f t="shared" si="11"/>
        <v>0.28665022853730215</v>
      </c>
      <c r="BJ1790">
        <f>SUMIFS(HIX_RatingAreas[QHP Enrollments 2022],HIX_RatingAreas[Area],HIX_SLCSP[[#This Row],[Area Code]])</f>
        <v>62540</v>
      </c>
      <c r="BK1790">
        <f t="shared" si="12"/>
        <v>0.28516191396810053</v>
      </c>
      <c r="BL1790">
        <f>SUMIFS(HIX_RatingAreas[QHP Enrollments 2023],HIX_RatingAreas[Area],HIX_SLCSP[[#This Row],[Area Code]])</f>
        <v>74275</v>
      </c>
      <c r="BM1790">
        <f t="shared" si="13"/>
        <v>0.28752317798758936</v>
      </c>
      <c r="BN1790">
        <f>SUMIFS(HIX_RatingAreas[QHP Enrollments 2024],HIX_RatingAreas[Area],HIX_SLCSP[[#This Row],[Area Code]])</f>
        <v>114237</v>
      </c>
      <c r="BO1790">
        <f t="shared" si="13"/>
        <v>0.29580134388068202</v>
      </c>
      <c r="BP1790" s="53">
        <f>ROUND(HIX_SLCSP[[#This Row],[Weighting Factor 2018]]*HIX_SLCSP[[#This Row],[2018]],2)</f>
        <v>127.85</v>
      </c>
      <c r="BQ1790" s="53">
        <f>ROUND(HIX_SLCSP[[#This Row],[Weighting Factor 2019]]*HIX_SLCSP[[#This Row],[2019]],2)</f>
        <v>126.67</v>
      </c>
      <c r="BR1790" s="53">
        <f>ROUND(HIX_SLCSP[[#This Row],[Weighting Factor 2020]]*HIX_SLCSP[[#This Row],[2020]],2)</f>
        <v>119.6</v>
      </c>
      <c r="BS1790" s="53">
        <f>ROUND(HIX_SLCSP[[#This Row],[Weighting Factor 2021]]*HIX_SLCSP[[#This Row],[2021]],2)</f>
        <v>135.53</v>
      </c>
      <c r="BT1790" s="53">
        <f>ROUND(HIX_SLCSP[[#This Row],[Weighting Factor 2022]]*HIX_SLCSP[[#This Row],[2022]],2)</f>
        <v>138.94999999999999</v>
      </c>
      <c r="BU1790" s="53">
        <f>ROUND(HIX_SLCSP[[#This Row],[Weighting Factor 2023]]*HIX_SLCSP[[#This Row],[2023]],2)</f>
        <v>129.49</v>
      </c>
      <c r="BV1790" s="53">
        <f>ROUND(HIX_SLCSP[[#This Row],[Weighting Factor 2024]]*HIX_SLCSP[[#This Row],[2024]],2)</f>
        <v>135.54</v>
      </c>
    </row>
    <row r="1791" spans="4:74" x14ac:dyDescent="0.35">
      <c r="D1791" t="s">
        <v>391</v>
      </c>
      <c r="E1791" t="s">
        <v>2597</v>
      </c>
      <c r="F1791" s="23"/>
      <c r="G1791" s="23"/>
      <c r="H1791" s="23"/>
      <c r="I1791" s="23"/>
      <c r="J1791" s="53"/>
      <c r="K1791" s="53">
        <f>SUM(BP1792:BP1798)</f>
        <v>292.33</v>
      </c>
      <c r="L1791" s="53"/>
      <c r="M1791" s="54">
        <f t="shared" si="14"/>
        <v>0</v>
      </c>
      <c r="O1791" s="55"/>
      <c r="P1791" s="56">
        <f>SUM(BQ1792:BQ1798)</f>
        <v>311.28000000000003</v>
      </c>
      <c r="Q1791" s="56"/>
      <c r="R1791" s="57"/>
      <c r="S1791" s="23"/>
      <c r="T1791" s="53"/>
      <c r="U1791" s="53">
        <f>SUM(BR1792:BR1798)</f>
        <v>293.30000000000007</v>
      </c>
      <c r="V1791" s="53"/>
      <c r="W1791" s="57"/>
      <c r="X1791" s="57"/>
      <c r="Y1791" s="58"/>
      <c r="Z1791" s="53">
        <f>SUM(BS1792:BS1798)</f>
        <v>304.97000000000008</v>
      </c>
      <c r="AA1791" s="58"/>
      <c r="AB1791" s="57"/>
      <c r="AC1791" s="47"/>
      <c r="AD1791" s="57"/>
      <c r="AE1791" s="53">
        <f>SUM(BT1792:BT1798)</f>
        <v>299.08000000000004</v>
      </c>
      <c r="AF1791" s="57"/>
      <c r="AG1791" s="57"/>
      <c r="AH1791" s="47"/>
      <c r="AI1791" s="57"/>
      <c r="AJ1791" s="53">
        <f>SUM(BU1792:BU1798)</f>
        <v>340.76</v>
      </c>
      <c r="AK1791" s="57"/>
      <c r="AL1791" s="57"/>
      <c r="AM1791" s="57"/>
      <c r="AN1791" s="57"/>
      <c r="AO1791" s="53">
        <f>SUM(BV1792:BV1798)</f>
        <v>350.18999999999994</v>
      </c>
      <c r="AP1791" s="57"/>
      <c r="AQ1791" s="57"/>
      <c r="AR1791" s="59"/>
      <c r="AS1791" s="59">
        <f t="shared" ref="AS1791:AY1791" si="21">SUM(AS1792:AS1798)</f>
        <v>49185</v>
      </c>
      <c r="AT1791" s="59">
        <f t="shared" si="21"/>
        <v>50451</v>
      </c>
      <c r="AU1791" s="59">
        <f t="shared" si="21"/>
        <v>46554</v>
      </c>
      <c r="AV1791" s="59">
        <f t="shared" si="21"/>
        <v>46112</v>
      </c>
      <c r="AW1791" s="59">
        <f t="shared" si="21"/>
        <v>60206</v>
      </c>
      <c r="AX1791" s="59">
        <f t="shared" si="21"/>
        <v>67260</v>
      </c>
      <c r="AY1791" s="59">
        <f t="shared" si="21"/>
        <v>112935</v>
      </c>
      <c r="AZ1791" s="59"/>
      <c r="BA1791" s="53"/>
      <c r="BB1791" s="60">
        <f>SUM(BB1792:BB1798)</f>
        <v>68100</v>
      </c>
      <c r="BC1791" s="23">
        <f t="shared" ref="BC1791:BC1798" si="22">BB1791/BB$1791</f>
        <v>1</v>
      </c>
      <c r="BD1791" s="60">
        <f>SUM(BD1792:BD1798)</f>
        <v>67413</v>
      </c>
      <c r="BE1791" s="23">
        <f t="shared" ref="BE1791:BE1798" si="23">BD1791/BD$1791</f>
        <v>1</v>
      </c>
      <c r="BF1791" s="60">
        <f>SUM(BF1792:BF1798)</f>
        <v>64360</v>
      </c>
      <c r="BG1791" s="23">
        <f t="shared" ref="BG1791:BG1798" si="24">BF1791/BF$1791</f>
        <v>1</v>
      </c>
      <c r="BH1791" s="60">
        <f>SUM(BH1792:BH1798)</f>
        <v>66094</v>
      </c>
      <c r="BI1791" s="23">
        <f t="shared" ref="BI1791:BI1798" si="25">BH1791/BH$1791</f>
        <v>1</v>
      </c>
      <c r="BJ1791" s="60">
        <f>SUM(BJ1792:BJ1798)</f>
        <v>88226</v>
      </c>
      <c r="BK1791" s="23">
        <f t="shared" ref="BK1791:BK1798" si="26">BJ1791/BJ$1791</f>
        <v>1</v>
      </c>
      <c r="BL1791" s="60">
        <f>SUM(BL1792:BL1798)</f>
        <v>100407</v>
      </c>
      <c r="BM1791" s="23">
        <f>BL1791/BL$1791</f>
        <v>1</v>
      </c>
      <c r="BN1791" s="60">
        <f>SUM(BN1792:BN1798)</f>
        <v>156607</v>
      </c>
      <c r="BO1791" s="23">
        <f>BN1791/BN$1791</f>
        <v>1</v>
      </c>
      <c r="BP1791" s="53"/>
      <c r="BQ1791" s="53"/>
      <c r="BR1791" s="53"/>
      <c r="BS1791" s="53"/>
      <c r="BT1791" s="53"/>
      <c r="BU1791" s="53"/>
      <c r="BV1791" s="53"/>
    </row>
    <row r="1792" spans="4:74" x14ac:dyDescent="0.35">
      <c r="D1792" t="s">
        <v>391</v>
      </c>
      <c r="E1792" t="s">
        <v>231</v>
      </c>
      <c r="F1792" s="23">
        <v>1</v>
      </c>
      <c r="G1792" s="23" t="s">
        <v>392</v>
      </c>
      <c r="H1792" s="23" t="s">
        <v>394</v>
      </c>
      <c r="I1792" s="23">
        <v>75</v>
      </c>
      <c r="J1792" s="23">
        <v>289.64999999999998</v>
      </c>
      <c r="K1792" s="53">
        <v>302.01</v>
      </c>
      <c r="L1792" s="53">
        <v>514.69000000000005</v>
      </c>
      <c r="M1792" s="54">
        <f t="shared" si="14"/>
        <v>1.7042150922154897</v>
      </c>
      <c r="N1792" s="24">
        <v>64</v>
      </c>
      <c r="O1792" s="55">
        <v>297.39999999999998</v>
      </c>
      <c r="P1792" s="56">
        <v>312.16000000000003</v>
      </c>
      <c r="Q1792" s="56">
        <v>531.98</v>
      </c>
      <c r="R1792" s="57">
        <f t="shared" ref="R1792:R1798" si="27">Q1792/P1792</f>
        <v>1.7041901588928754</v>
      </c>
      <c r="S1792" s="23">
        <v>70</v>
      </c>
      <c r="T1792" s="53">
        <v>289.02999999999997</v>
      </c>
      <c r="U1792" s="53">
        <v>293.3</v>
      </c>
      <c r="V1792" s="53">
        <v>499.84</v>
      </c>
      <c r="W1792" s="57">
        <f t="shared" ref="W1792:W1798" si="28">V1792/U1792</f>
        <v>1.7041936583702693</v>
      </c>
      <c r="X1792" s="23">
        <v>112</v>
      </c>
      <c r="Y1792" s="58">
        <v>287.02</v>
      </c>
      <c r="Z1792" s="58">
        <v>292.60000000000002</v>
      </c>
      <c r="AA1792" s="58">
        <v>498.64</v>
      </c>
      <c r="AB1792" s="57">
        <f t="shared" ref="AB1792:AB1798" si="29">AA1792/Z1792</f>
        <v>1.7041695146958302</v>
      </c>
      <c r="AC1792" s="47">
        <v>143</v>
      </c>
      <c r="AD1792" s="57">
        <v>298.7</v>
      </c>
      <c r="AE1792" s="23">
        <v>299.08</v>
      </c>
      <c r="AF1792" s="23">
        <v>509.69</v>
      </c>
      <c r="AG1792" s="57">
        <f t="shared" ref="AG1792:AG1798" si="30">AF1792/AE1792</f>
        <v>1.7041928580981678</v>
      </c>
      <c r="AH1792" s="47">
        <v>100</v>
      </c>
      <c r="AI1792">
        <v>337.11</v>
      </c>
      <c r="AJ1792">
        <v>340.76</v>
      </c>
      <c r="AK1792">
        <v>580.72</v>
      </c>
      <c r="AL1792" s="57">
        <f t="shared" si="19"/>
        <v>1.7041906327033691</v>
      </c>
      <c r="AM1792" s="47">
        <v>101</v>
      </c>
      <c r="AN1792" s="57">
        <v>348</v>
      </c>
      <c r="AO1792" s="57">
        <v>350.19</v>
      </c>
      <c r="AP1792" s="57">
        <v>596.79999999999995</v>
      </c>
      <c r="AQ1792" s="57">
        <f t="shared" ref="AQ1792:AQ1798" si="31">AP1792/AO1792</f>
        <v>1.7042177103857905</v>
      </c>
      <c r="AR1792" s="59"/>
      <c r="AS1792" s="59">
        <f>SUMIFS(HIX_RatingAreas[Silver Enrollments 2018],HIX_RatingAreas[Area],HIX_SLCSP[[#This Row],[Area Code]])</f>
        <v>15508</v>
      </c>
      <c r="AT1792" s="59">
        <f>SUMIFS(HIX_RatingAreas[Silver Enrollments 2019],HIX_RatingAreas[Area],HIX_SLCSP[[#This Row],[Area Code]])</f>
        <v>16085</v>
      </c>
      <c r="AU1792" s="59">
        <f>SUMIFS(HIX_RatingAreas[Silver Enrollments 2020],HIX_RatingAreas[Area],HIX_SLCSP[[#This Row],[Area Code]])</f>
        <v>14984</v>
      </c>
      <c r="AV1792" s="59">
        <f>SUMIFS(HIX_RatingAreas[Silver Enrollments 2021],HIX_RatingAreas[Area],HIX_SLCSP[[#This Row],[Area Code]])</f>
        <v>14788</v>
      </c>
      <c r="AW1792" s="59">
        <f>SUMIFS(HIX_RatingAreas[Silver Enrollments 2022],HIX_RatingAreas[Area],HIX_SLCSP[[#This Row],[Area Code]])</f>
        <v>19296</v>
      </c>
      <c r="AX1792" s="59">
        <f>SUMIFS(HIX_RatingAreas[Silver Enrollments 2023],HIX_RatingAreas[Area],HIX_SLCSP[[#This Row],[Area Code]])</f>
        <v>21640</v>
      </c>
      <c r="AY1792" s="59">
        <f>SUMIFS(HIX_RatingAreas[Silver Enrollments 2024],HIX_RatingAreas[Area],HIX_SLCSP[[#This Row],[Area Code]])</f>
        <v>36746</v>
      </c>
      <c r="AZ1792" s="59"/>
      <c r="BA1792" s="53"/>
      <c r="BB1792">
        <f>SUMIFS(HIX_RatingAreas[QHP Enrollments 2018],HIX_RatingAreas[Area],HIX_SLCSP[[#This Row],[Area Code]])</f>
        <v>21524</v>
      </c>
      <c r="BC1792" s="23">
        <f t="shared" si="22"/>
        <v>0.316064610866373</v>
      </c>
      <c r="BD1792">
        <f>SUMIFS(HIX_RatingAreas[QHP Enrollments 2019],HIX_RatingAreas[Area],HIX_SLCSP[[#This Row],[Area Code]])</f>
        <v>21522</v>
      </c>
      <c r="BE1792" s="23">
        <f t="shared" si="23"/>
        <v>0.31925592986515955</v>
      </c>
      <c r="BF1792">
        <f>SUMIFS(HIX_RatingAreas[QHP Enrollments 2020],HIX_RatingAreas[Area],HIX_SLCSP[[#This Row],[Area Code]])</f>
        <v>20579</v>
      </c>
      <c r="BG1792" s="23">
        <f t="shared" si="24"/>
        <v>0.31974829086389062</v>
      </c>
      <c r="BH1792">
        <f>SUMIFS(HIX_RatingAreas[QHP Enrollments 2021],HIX_RatingAreas[Area],HIX_SLCSP[[#This Row],[Area Code]])</f>
        <v>21074</v>
      </c>
      <c r="BI1792" s="23">
        <f t="shared" si="25"/>
        <v>0.318848912155415</v>
      </c>
      <c r="BJ1792">
        <f>SUMIFS(HIX_RatingAreas[QHP Enrollments 2022],HIX_RatingAreas[Area],HIX_SLCSP[[#This Row],[Area Code]])</f>
        <v>28245</v>
      </c>
      <c r="BK1792" s="23">
        <f t="shared" si="26"/>
        <v>0.32014372180536349</v>
      </c>
      <c r="BL1792">
        <f>SUMIFS(HIX_RatingAreas[QHP Enrollments 2023],HIX_RatingAreas[Area],HIX_SLCSP[[#This Row],[Area Code]])</f>
        <v>31883</v>
      </c>
      <c r="BM1792" s="23">
        <f>BL1792/BL$1791</f>
        <v>0.31753762187895268</v>
      </c>
      <c r="BN1792" s="23">
        <f>SUMIFS(HIX_RatingAreas[QHP Enrollments 2024],HIX_RatingAreas[Area],HIX_SLCSP[[#This Row],[Area Code]])</f>
        <v>50594</v>
      </c>
      <c r="BO1792" s="23">
        <f>BN1792/BN$1791</f>
        <v>0.32306346459609087</v>
      </c>
      <c r="BP1792" s="53">
        <f>ROUND(HIX_SLCSP[[#This Row],[Weighting Factor 2018]]*HIX_SLCSP[[#This Row],[2018]],2)</f>
        <v>95.45</v>
      </c>
      <c r="BQ1792" s="53">
        <f>ROUND(HIX_SLCSP[[#This Row],[Weighting Factor 2019]]*HIX_SLCSP[[#This Row],[2019]],2)</f>
        <v>99.66</v>
      </c>
      <c r="BR1792" s="53">
        <f>ROUND(HIX_SLCSP[[#This Row],[Weighting Factor 2020]]*HIX_SLCSP[[#This Row],[2020]],2)</f>
        <v>93.78</v>
      </c>
      <c r="BS1792" s="53">
        <f>ROUND(HIX_SLCSP[[#This Row],[Weighting Factor 2021]]*HIX_SLCSP[[#This Row],[2021]],2)</f>
        <v>93.3</v>
      </c>
      <c r="BT1792" s="53">
        <f>ROUND(HIX_SLCSP[[#This Row],[Weighting Factor 2022]]*HIX_SLCSP[[#This Row],[2022]],2)</f>
        <v>95.75</v>
      </c>
      <c r="BU1792" s="53">
        <f>ROUND(HIX_SLCSP[[#This Row],[Weighting Factor 2023]]*HIX_SLCSP[[#This Row],[2023]],2)</f>
        <v>108.2</v>
      </c>
      <c r="BV1792" s="53">
        <f>ROUND(HIX_SLCSP[[#This Row],[Weighting Factor 2024]]*HIX_SLCSP[[#This Row],[2024]],2)</f>
        <v>113.13</v>
      </c>
    </row>
    <row r="1793" spans="4:74" x14ac:dyDescent="0.35">
      <c r="D1793" t="s">
        <v>391</v>
      </c>
      <c r="E1793" t="s">
        <v>235</v>
      </c>
      <c r="F1793" s="23">
        <v>2</v>
      </c>
      <c r="G1793" s="23" t="s">
        <v>392</v>
      </c>
      <c r="H1793" s="23" t="s">
        <v>420</v>
      </c>
      <c r="I1793" s="23">
        <v>75</v>
      </c>
      <c r="J1793" s="53">
        <v>269.89999999999998</v>
      </c>
      <c r="K1793" s="53">
        <v>282.19</v>
      </c>
      <c r="L1793" s="53">
        <v>480.92</v>
      </c>
      <c r="M1793" s="54">
        <f t="shared" si="14"/>
        <v>1.70424182288529</v>
      </c>
      <c r="N1793" s="24">
        <v>64</v>
      </c>
      <c r="O1793" s="55">
        <v>295.62</v>
      </c>
      <c r="P1793" s="56">
        <v>312.16000000000003</v>
      </c>
      <c r="Q1793" s="56">
        <v>531.98</v>
      </c>
      <c r="R1793" s="57">
        <f t="shared" si="27"/>
        <v>1.7041901588928754</v>
      </c>
      <c r="S1793" s="23">
        <v>70</v>
      </c>
      <c r="T1793" s="53">
        <v>289.02999999999997</v>
      </c>
      <c r="U1793" s="53">
        <v>293.3</v>
      </c>
      <c r="V1793" s="53">
        <v>499.84</v>
      </c>
      <c r="W1793" s="57">
        <f t="shared" si="28"/>
        <v>1.7041936583702693</v>
      </c>
      <c r="X1793" s="23">
        <v>93</v>
      </c>
      <c r="Y1793" s="58">
        <v>317.14</v>
      </c>
      <c r="Z1793" s="58">
        <v>322.77999999999997</v>
      </c>
      <c r="AA1793" s="58">
        <v>550.07000000000005</v>
      </c>
      <c r="AB1793" s="57">
        <f t="shared" si="29"/>
        <v>1.7041638267550656</v>
      </c>
      <c r="AC1793" s="47">
        <v>96</v>
      </c>
      <c r="AD1793" s="57">
        <v>298.7</v>
      </c>
      <c r="AE1793" s="23">
        <v>299.08</v>
      </c>
      <c r="AF1793" s="23">
        <v>509.69</v>
      </c>
      <c r="AG1793" s="57">
        <f t="shared" si="30"/>
        <v>1.7041928580981678</v>
      </c>
      <c r="AH1793" s="47">
        <v>100</v>
      </c>
      <c r="AI1793">
        <v>337.11</v>
      </c>
      <c r="AJ1793">
        <v>340.76</v>
      </c>
      <c r="AK1793">
        <v>580.72</v>
      </c>
      <c r="AL1793" s="57">
        <f t="shared" si="19"/>
        <v>1.7041906327033691</v>
      </c>
      <c r="AM1793" s="47">
        <v>101</v>
      </c>
      <c r="AN1793" s="57">
        <v>348</v>
      </c>
      <c r="AO1793" s="57">
        <v>350.19</v>
      </c>
      <c r="AP1793" s="57">
        <v>596.79999999999995</v>
      </c>
      <c r="AQ1793" s="57">
        <f t="shared" si="31"/>
        <v>1.7042177103857905</v>
      </c>
      <c r="AR1793" s="59"/>
      <c r="AS1793" s="59">
        <f>SUMIFS(HIX_RatingAreas[Silver Enrollments 2018],HIX_RatingAreas[Area],HIX_SLCSP[[#This Row],[Area Code]])</f>
        <v>7183</v>
      </c>
      <c r="AT1793" s="59">
        <f>SUMIFS(HIX_RatingAreas[Silver Enrollments 2019],HIX_RatingAreas[Area],HIX_SLCSP[[#This Row],[Area Code]])</f>
        <v>7370</v>
      </c>
      <c r="AU1793" s="59">
        <f>SUMIFS(HIX_RatingAreas[Silver Enrollments 2020],HIX_RatingAreas[Area],HIX_SLCSP[[#This Row],[Area Code]])</f>
        <v>6688</v>
      </c>
      <c r="AV1793" s="59">
        <f>SUMIFS(HIX_RatingAreas[Silver Enrollments 2021],HIX_RatingAreas[Area],HIX_SLCSP[[#This Row],[Area Code]])</f>
        <v>6581</v>
      </c>
      <c r="AW1793" s="59">
        <f>SUMIFS(HIX_RatingAreas[Silver Enrollments 2022],HIX_RatingAreas[Area],HIX_SLCSP[[#This Row],[Area Code]])</f>
        <v>8699</v>
      </c>
      <c r="AX1793" s="59">
        <f>SUMIFS(HIX_RatingAreas[Silver Enrollments 2023],HIX_RatingAreas[Area],HIX_SLCSP[[#This Row],[Area Code]])</f>
        <v>9798</v>
      </c>
      <c r="AY1793" s="59">
        <f>SUMIFS(HIX_RatingAreas[Silver Enrollments 2024],HIX_RatingAreas[Area],HIX_SLCSP[[#This Row],[Area Code]])</f>
        <v>17730</v>
      </c>
      <c r="AZ1793" s="59"/>
      <c r="BA1793" s="53"/>
      <c r="BB1793">
        <f>SUMIFS(HIX_RatingAreas[QHP Enrollments 2018],HIX_RatingAreas[Area],HIX_SLCSP[[#This Row],[Area Code]])</f>
        <v>9577</v>
      </c>
      <c r="BC1793" s="23">
        <f t="shared" si="22"/>
        <v>0.14063142437591777</v>
      </c>
      <c r="BD1793">
        <f>SUMIFS(HIX_RatingAreas[QHP Enrollments 2019],HIX_RatingAreas[Area],HIX_SLCSP[[#This Row],[Area Code]])</f>
        <v>9479</v>
      </c>
      <c r="BE1793" s="23">
        <f t="shared" si="23"/>
        <v>0.14061086140655363</v>
      </c>
      <c r="BF1793">
        <f>SUMIFS(HIX_RatingAreas[QHP Enrollments 2020],HIX_RatingAreas[Area],HIX_SLCSP[[#This Row],[Area Code]])</f>
        <v>9040</v>
      </c>
      <c r="BG1793" s="23">
        <f t="shared" si="24"/>
        <v>0.14045991298943444</v>
      </c>
      <c r="BH1793">
        <f>SUMIFS(HIX_RatingAreas[QHP Enrollments 2021],HIX_RatingAreas[Area],HIX_SLCSP[[#This Row],[Area Code]])</f>
        <v>9125</v>
      </c>
      <c r="BI1793" s="23">
        <f t="shared" si="25"/>
        <v>0.13806094350470541</v>
      </c>
      <c r="BJ1793">
        <f>SUMIFS(HIX_RatingAreas[QHP Enrollments 2022],HIX_RatingAreas[Area],HIX_SLCSP[[#This Row],[Area Code]])</f>
        <v>12075</v>
      </c>
      <c r="BK1793" s="23">
        <f t="shared" si="26"/>
        <v>0.13686441638519256</v>
      </c>
      <c r="BL1793">
        <f>SUMIFS(HIX_RatingAreas[QHP Enrollments 2023],HIX_RatingAreas[Area],HIX_SLCSP[[#This Row],[Area Code]])</f>
        <v>14007</v>
      </c>
      <c r="BM1793" s="23">
        <f t="shared" ref="BM1793:BM1798" si="32">BL1793/BL$1791</f>
        <v>0.13950222594042247</v>
      </c>
      <c r="BN1793" s="23">
        <f>SUMIFS(HIX_RatingAreas[QHP Enrollments 2024],HIX_RatingAreas[Area],HIX_SLCSP[[#This Row],[Area Code]])</f>
        <v>23607</v>
      </c>
      <c r="BO1793" s="23">
        <f t="shared" ref="BO1793:BO1798" si="33">BN1793/BN$1791</f>
        <v>0.15074038836067352</v>
      </c>
      <c r="BP1793" s="53">
        <f>ROUND(HIX_SLCSP[[#This Row],[Weighting Factor 2018]]*HIX_SLCSP[[#This Row],[2018]],2)</f>
        <v>39.68</v>
      </c>
      <c r="BQ1793" s="53">
        <f>ROUND(HIX_SLCSP[[#This Row],[Weighting Factor 2019]]*HIX_SLCSP[[#This Row],[2019]],2)</f>
        <v>43.89</v>
      </c>
      <c r="BR1793" s="53">
        <f>ROUND(HIX_SLCSP[[#This Row],[Weighting Factor 2020]]*HIX_SLCSP[[#This Row],[2020]],2)</f>
        <v>41.2</v>
      </c>
      <c r="BS1793" s="53">
        <f>ROUND(HIX_SLCSP[[#This Row],[Weighting Factor 2021]]*HIX_SLCSP[[#This Row],[2021]],2)</f>
        <v>44.56</v>
      </c>
      <c r="BT1793" s="53">
        <f>ROUND(HIX_SLCSP[[#This Row],[Weighting Factor 2022]]*HIX_SLCSP[[#This Row],[2022]],2)</f>
        <v>40.93</v>
      </c>
      <c r="BU1793" s="53">
        <f>ROUND(HIX_SLCSP[[#This Row],[Weighting Factor 2023]]*HIX_SLCSP[[#This Row],[2023]],2)</f>
        <v>47.54</v>
      </c>
      <c r="BV1793" s="53">
        <f>ROUND(HIX_SLCSP[[#This Row],[Weighting Factor 2024]]*HIX_SLCSP[[#This Row],[2024]],2)</f>
        <v>52.79</v>
      </c>
    </row>
    <row r="1794" spans="4:74" x14ac:dyDescent="0.35">
      <c r="D1794" t="s">
        <v>391</v>
      </c>
      <c r="E1794" t="s">
        <v>239</v>
      </c>
      <c r="F1794" s="23">
        <v>3</v>
      </c>
      <c r="G1794" s="23" t="s">
        <v>392</v>
      </c>
      <c r="H1794" s="23" t="s">
        <v>451</v>
      </c>
      <c r="I1794" s="23">
        <v>75</v>
      </c>
      <c r="J1794" s="53">
        <v>274.07</v>
      </c>
      <c r="K1794" s="53">
        <v>293.49</v>
      </c>
      <c r="L1794" s="53">
        <v>500.17</v>
      </c>
      <c r="M1794" s="54">
        <f t="shared" si="14"/>
        <v>1.7042147943711881</v>
      </c>
      <c r="N1794" s="24">
        <v>64</v>
      </c>
      <c r="O1794" s="55">
        <v>290.57</v>
      </c>
      <c r="P1794" s="56">
        <v>308.83</v>
      </c>
      <c r="Q1794" s="56">
        <v>526.30999999999995</v>
      </c>
      <c r="R1794" s="57">
        <f t="shared" si="27"/>
        <v>1.7042061975844314</v>
      </c>
      <c r="S1794" s="23">
        <v>70</v>
      </c>
      <c r="T1794" s="53">
        <v>289.02999999999997</v>
      </c>
      <c r="U1794" s="53">
        <v>293.3</v>
      </c>
      <c r="V1794" s="53">
        <v>499.84</v>
      </c>
      <c r="W1794" s="57">
        <f t="shared" si="28"/>
        <v>1.7041936583702693</v>
      </c>
      <c r="X1794" s="23">
        <v>112</v>
      </c>
      <c r="Y1794" s="58">
        <v>287.02</v>
      </c>
      <c r="Z1794" s="58">
        <v>292.60000000000002</v>
      </c>
      <c r="AA1794" s="58">
        <v>498.64</v>
      </c>
      <c r="AB1794" s="57">
        <f t="shared" si="29"/>
        <v>1.7041695146958302</v>
      </c>
      <c r="AC1794" s="47">
        <v>143</v>
      </c>
      <c r="AD1794" s="57">
        <v>298.7</v>
      </c>
      <c r="AE1794" s="23">
        <v>299.08</v>
      </c>
      <c r="AF1794" s="23">
        <v>509.69</v>
      </c>
      <c r="AG1794" s="57">
        <f t="shared" si="30"/>
        <v>1.7041928580981678</v>
      </c>
      <c r="AH1794" s="47">
        <v>100</v>
      </c>
      <c r="AI1794">
        <v>337.11</v>
      </c>
      <c r="AJ1794">
        <v>340.76</v>
      </c>
      <c r="AK1794">
        <v>580.72</v>
      </c>
      <c r="AL1794" s="57">
        <f t="shared" si="19"/>
        <v>1.7041906327033691</v>
      </c>
      <c r="AM1794" s="47">
        <v>101</v>
      </c>
      <c r="AN1794" s="57">
        <v>348</v>
      </c>
      <c r="AO1794" s="57">
        <v>350.19</v>
      </c>
      <c r="AP1794" s="57">
        <v>596.79999999999995</v>
      </c>
      <c r="AQ1794" s="57">
        <f t="shared" si="31"/>
        <v>1.7042177103857905</v>
      </c>
      <c r="AR1794" s="59"/>
      <c r="AS1794" s="59">
        <f>SUMIFS(HIX_RatingAreas[Silver Enrollments 2018],HIX_RatingAreas[Area],HIX_SLCSP[[#This Row],[Area Code]])</f>
        <v>12262</v>
      </c>
      <c r="AT1794" s="59">
        <f>SUMIFS(HIX_RatingAreas[Silver Enrollments 2019],HIX_RatingAreas[Area],HIX_SLCSP[[#This Row],[Area Code]])</f>
        <v>12685</v>
      </c>
      <c r="AU1794" s="59">
        <f>SUMIFS(HIX_RatingAreas[Silver Enrollments 2020],HIX_RatingAreas[Area],HIX_SLCSP[[#This Row],[Area Code]])</f>
        <v>11711</v>
      </c>
      <c r="AV1794" s="59">
        <f>SUMIFS(HIX_RatingAreas[Silver Enrollments 2021],HIX_RatingAreas[Area],HIX_SLCSP[[#This Row],[Area Code]])</f>
        <v>12000</v>
      </c>
      <c r="AW1794" s="59">
        <f>SUMIFS(HIX_RatingAreas[Silver Enrollments 2022],HIX_RatingAreas[Area],HIX_SLCSP[[#This Row],[Area Code]])</f>
        <v>15144</v>
      </c>
      <c r="AX1794" s="59">
        <f>SUMIFS(HIX_RatingAreas[Silver Enrollments 2023],HIX_RatingAreas[Area],HIX_SLCSP[[#This Row],[Area Code]])</f>
        <v>16423</v>
      </c>
      <c r="AY1794" s="59">
        <f>SUMIFS(HIX_RatingAreas[Silver Enrollments 2024],HIX_RatingAreas[Area],HIX_SLCSP[[#This Row],[Area Code]])</f>
        <v>24196</v>
      </c>
      <c r="AZ1794" s="59"/>
      <c r="BA1794" s="53"/>
      <c r="BB1794">
        <f>SUMIFS(HIX_RatingAreas[QHP Enrollments 2018],HIX_RatingAreas[Area],HIX_SLCSP[[#This Row],[Area Code]])</f>
        <v>17827</v>
      </c>
      <c r="BC1794" s="23">
        <f t="shared" si="22"/>
        <v>0.26177679882525695</v>
      </c>
      <c r="BD1794">
        <f>SUMIFS(HIX_RatingAreas[QHP Enrollments 2019],HIX_RatingAreas[Area],HIX_SLCSP[[#This Row],[Area Code]])</f>
        <v>17688</v>
      </c>
      <c r="BE1794" s="23">
        <f t="shared" si="23"/>
        <v>0.26238262649637312</v>
      </c>
      <c r="BF1794">
        <f>SUMIFS(HIX_RatingAreas[QHP Enrollments 2020],HIX_RatingAreas[Area],HIX_SLCSP[[#This Row],[Area Code]])</f>
        <v>16965</v>
      </c>
      <c r="BG1794" s="23">
        <f t="shared" si="24"/>
        <v>0.26359540087010563</v>
      </c>
      <c r="BH1794">
        <f>SUMIFS(HIX_RatingAreas[QHP Enrollments 2021],HIX_RatingAreas[Area],HIX_SLCSP[[#This Row],[Area Code]])</f>
        <v>17941</v>
      </c>
      <c r="BI1794" s="23">
        <f t="shared" si="25"/>
        <v>0.2714467273882652</v>
      </c>
      <c r="BJ1794">
        <f>SUMIFS(HIX_RatingAreas[QHP Enrollments 2022],HIX_RatingAreas[Area],HIX_SLCSP[[#This Row],[Area Code]])</f>
        <v>24022</v>
      </c>
      <c r="BK1794" s="23">
        <f t="shared" si="26"/>
        <v>0.27227801328406592</v>
      </c>
      <c r="BL1794">
        <f>SUMIFS(HIX_RatingAreas[QHP Enrollments 2023],HIX_RatingAreas[Area],HIX_SLCSP[[#This Row],[Area Code]])</f>
        <v>26852</v>
      </c>
      <c r="BM1794" s="23">
        <f t="shared" si="32"/>
        <v>0.26743155357694187</v>
      </c>
      <c r="BN1794" s="23">
        <f>SUMIFS(HIX_RatingAreas[QHP Enrollments 2024],HIX_RatingAreas[Area],HIX_SLCSP[[#This Row],[Area Code]])</f>
        <v>37162</v>
      </c>
      <c r="BO1794" s="23">
        <f t="shared" si="33"/>
        <v>0.2372946292311327</v>
      </c>
      <c r="BP1794" s="53">
        <f>ROUND(HIX_SLCSP[[#This Row],[Weighting Factor 2018]]*HIX_SLCSP[[#This Row],[2018]],2)</f>
        <v>76.83</v>
      </c>
      <c r="BQ1794" s="53">
        <f>ROUND(HIX_SLCSP[[#This Row],[Weighting Factor 2019]]*HIX_SLCSP[[#This Row],[2019]],2)</f>
        <v>81.03</v>
      </c>
      <c r="BR1794" s="53">
        <f>ROUND(HIX_SLCSP[[#This Row],[Weighting Factor 2020]]*HIX_SLCSP[[#This Row],[2020]],2)</f>
        <v>77.31</v>
      </c>
      <c r="BS1794" s="53">
        <f>ROUND(HIX_SLCSP[[#This Row],[Weighting Factor 2021]]*HIX_SLCSP[[#This Row],[2021]],2)</f>
        <v>79.430000000000007</v>
      </c>
      <c r="BT1794" s="53">
        <f>ROUND(HIX_SLCSP[[#This Row],[Weighting Factor 2022]]*HIX_SLCSP[[#This Row],[2022]],2)</f>
        <v>81.430000000000007</v>
      </c>
      <c r="BU1794" s="53">
        <f>ROUND(HIX_SLCSP[[#This Row],[Weighting Factor 2023]]*HIX_SLCSP[[#This Row],[2023]],2)</f>
        <v>91.13</v>
      </c>
      <c r="BV1794" s="53">
        <f>ROUND(HIX_SLCSP[[#This Row],[Weighting Factor 2024]]*HIX_SLCSP[[#This Row],[2024]],2)</f>
        <v>83.1</v>
      </c>
    </row>
    <row r="1795" spans="4:74" x14ac:dyDescent="0.35">
      <c r="D1795" t="s">
        <v>391</v>
      </c>
      <c r="E1795" t="s">
        <v>255</v>
      </c>
      <c r="F1795" s="23">
        <v>4</v>
      </c>
      <c r="G1795" s="23" t="s">
        <v>392</v>
      </c>
      <c r="H1795" s="23" t="s">
        <v>468</v>
      </c>
      <c r="I1795" s="23">
        <v>75</v>
      </c>
      <c r="J1795" s="53">
        <v>269.06</v>
      </c>
      <c r="K1795" s="53">
        <v>281.89999999999998</v>
      </c>
      <c r="L1795" s="53">
        <v>480.42</v>
      </c>
      <c r="M1795" s="54">
        <f t="shared" si="14"/>
        <v>1.7042213550904579</v>
      </c>
      <c r="N1795" s="24">
        <v>64</v>
      </c>
      <c r="O1795" s="55">
        <v>295.32</v>
      </c>
      <c r="P1795" s="56">
        <v>312.16000000000003</v>
      </c>
      <c r="Q1795" s="56">
        <v>531.98</v>
      </c>
      <c r="R1795" s="57">
        <f t="shared" si="27"/>
        <v>1.7041901588928754</v>
      </c>
      <c r="S1795" s="23">
        <v>70</v>
      </c>
      <c r="T1795" s="53">
        <v>289.02999999999997</v>
      </c>
      <c r="U1795" s="53">
        <v>293.3</v>
      </c>
      <c r="V1795" s="53">
        <v>499.84</v>
      </c>
      <c r="W1795" s="57">
        <f t="shared" si="28"/>
        <v>1.7041936583702693</v>
      </c>
      <c r="X1795" s="23">
        <v>93</v>
      </c>
      <c r="Y1795" s="58">
        <v>317.14</v>
      </c>
      <c r="Z1795" s="58">
        <v>322.77999999999997</v>
      </c>
      <c r="AA1795" s="58">
        <v>550.07000000000005</v>
      </c>
      <c r="AB1795" s="57">
        <f t="shared" si="29"/>
        <v>1.7041638267550656</v>
      </c>
      <c r="AC1795" s="47">
        <v>96</v>
      </c>
      <c r="AD1795" s="57">
        <v>298.7</v>
      </c>
      <c r="AE1795" s="23">
        <v>299.08</v>
      </c>
      <c r="AF1795" s="23">
        <v>509.69</v>
      </c>
      <c r="AG1795" s="57">
        <f t="shared" si="30"/>
        <v>1.7041928580981678</v>
      </c>
      <c r="AH1795" s="47">
        <v>100</v>
      </c>
      <c r="AI1795">
        <v>337.11</v>
      </c>
      <c r="AJ1795">
        <v>340.76</v>
      </c>
      <c r="AK1795">
        <v>580.72</v>
      </c>
      <c r="AL1795" s="57">
        <f t="shared" si="19"/>
        <v>1.7041906327033691</v>
      </c>
      <c r="AM1795" s="47">
        <v>101</v>
      </c>
      <c r="AN1795" s="57">
        <v>348</v>
      </c>
      <c r="AO1795" s="57">
        <v>350.19</v>
      </c>
      <c r="AP1795" s="57">
        <v>596.79999999999995</v>
      </c>
      <c r="AQ1795" s="57">
        <f t="shared" si="31"/>
        <v>1.7042177103857905</v>
      </c>
      <c r="AR1795" s="59"/>
      <c r="AS1795" s="59">
        <f>SUMIFS(HIX_RatingAreas[Silver Enrollments 2018],HIX_RatingAreas[Area],HIX_SLCSP[[#This Row],[Area Code]])</f>
        <v>3588</v>
      </c>
      <c r="AT1795" s="59">
        <f>SUMIFS(HIX_RatingAreas[Silver Enrollments 2019],HIX_RatingAreas[Area],HIX_SLCSP[[#This Row],[Area Code]])</f>
        <v>3693</v>
      </c>
      <c r="AU1795" s="59">
        <f>SUMIFS(HIX_RatingAreas[Silver Enrollments 2020],HIX_RatingAreas[Area],HIX_SLCSP[[#This Row],[Area Code]])</f>
        <v>3528</v>
      </c>
      <c r="AV1795" s="59">
        <f>SUMIFS(HIX_RatingAreas[Silver Enrollments 2021],HIX_RatingAreas[Area],HIX_SLCSP[[#This Row],[Area Code]])</f>
        <v>3333</v>
      </c>
      <c r="AW1795" s="59">
        <f>SUMIFS(HIX_RatingAreas[Silver Enrollments 2022],HIX_RatingAreas[Area],HIX_SLCSP[[#This Row],[Area Code]])</f>
        <v>4200</v>
      </c>
      <c r="AX1795" s="59">
        <f>SUMIFS(HIX_RatingAreas[Silver Enrollments 2023],HIX_RatingAreas[Area],HIX_SLCSP[[#This Row],[Area Code]])</f>
        <v>4661</v>
      </c>
      <c r="AY1795" s="59">
        <f>SUMIFS(HIX_RatingAreas[Silver Enrollments 2024],HIX_RatingAreas[Area],HIX_SLCSP[[#This Row],[Area Code]])</f>
        <v>7756</v>
      </c>
      <c r="AZ1795" s="59"/>
      <c r="BA1795" s="53"/>
      <c r="BB1795">
        <f>SUMIFS(HIX_RatingAreas[QHP Enrollments 2018],HIX_RatingAreas[Area],HIX_SLCSP[[#This Row],[Area Code]])</f>
        <v>4772</v>
      </c>
      <c r="BC1795" s="23">
        <f t="shared" si="22"/>
        <v>7.0073421439060202E-2</v>
      </c>
      <c r="BD1795">
        <f>SUMIFS(HIX_RatingAreas[QHP Enrollments 2019],HIX_RatingAreas[Area],HIX_SLCSP[[#This Row],[Area Code]])</f>
        <v>4699</v>
      </c>
      <c r="BE1795" s="23">
        <f t="shared" si="23"/>
        <v>6.970465637191639E-2</v>
      </c>
      <c r="BF1795">
        <f>SUMIFS(HIX_RatingAreas[QHP Enrollments 2020],HIX_RatingAreas[Area],HIX_SLCSP[[#This Row],[Area Code]])</f>
        <v>4548</v>
      </c>
      <c r="BG1795" s="23">
        <f t="shared" si="24"/>
        <v>7.066500932256059E-2</v>
      </c>
      <c r="BH1795">
        <f>SUMIFS(HIX_RatingAreas[QHP Enrollments 2021],HIX_RatingAreas[Area],HIX_SLCSP[[#This Row],[Area Code]])</f>
        <v>4578</v>
      </c>
      <c r="BI1795" s="23">
        <f t="shared" si="25"/>
        <v>6.9264986231730566E-2</v>
      </c>
      <c r="BJ1795">
        <f>SUMIFS(HIX_RatingAreas[QHP Enrollments 2022],HIX_RatingAreas[Area],HIX_SLCSP[[#This Row],[Area Code]])</f>
        <v>5903</v>
      </c>
      <c r="BK1795" s="23">
        <f t="shared" si="26"/>
        <v>6.6907714279237418E-2</v>
      </c>
      <c r="BL1795">
        <f>SUMIFS(HIX_RatingAreas[QHP Enrollments 2023],HIX_RatingAreas[Area],HIX_SLCSP[[#This Row],[Area Code]])</f>
        <v>6730</v>
      </c>
      <c r="BM1795" s="23">
        <f t="shared" si="32"/>
        <v>6.702719929885366E-2</v>
      </c>
      <c r="BN1795" s="23">
        <f>SUMIFS(HIX_RatingAreas[QHP Enrollments 2024],HIX_RatingAreas[Area],HIX_SLCSP[[#This Row],[Area Code]])</f>
        <v>10380</v>
      </c>
      <c r="BO1795" s="23">
        <f t="shared" si="33"/>
        <v>6.6280562171550442E-2</v>
      </c>
      <c r="BP1795" s="53">
        <f>ROUND(HIX_SLCSP[[#This Row],[Weighting Factor 2018]]*HIX_SLCSP[[#This Row],[2018]],2)</f>
        <v>19.75</v>
      </c>
      <c r="BQ1795" s="53">
        <f>ROUND(HIX_SLCSP[[#This Row],[Weighting Factor 2019]]*HIX_SLCSP[[#This Row],[2019]],2)</f>
        <v>21.76</v>
      </c>
      <c r="BR1795" s="53">
        <f>ROUND(HIX_SLCSP[[#This Row],[Weighting Factor 2020]]*HIX_SLCSP[[#This Row],[2020]],2)</f>
        <v>20.73</v>
      </c>
      <c r="BS1795" s="53">
        <f>ROUND(HIX_SLCSP[[#This Row],[Weighting Factor 2021]]*HIX_SLCSP[[#This Row],[2021]],2)</f>
        <v>22.36</v>
      </c>
      <c r="BT1795" s="53">
        <f>ROUND(HIX_SLCSP[[#This Row],[Weighting Factor 2022]]*HIX_SLCSP[[#This Row],[2022]],2)</f>
        <v>20.010000000000002</v>
      </c>
      <c r="BU1795" s="53">
        <f>ROUND(HIX_SLCSP[[#This Row],[Weighting Factor 2023]]*HIX_SLCSP[[#This Row],[2023]],2)</f>
        <v>22.84</v>
      </c>
      <c r="BV1795" s="53">
        <f>ROUND(HIX_SLCSP[[#This Row],[Weighting Factor 2024]]*HIX_SLCSP[[#This Row],[2024]],2)</f>
        <v>23.21</v>
      </c>
    </row>
    <row r="1796" spans="4:74" x14ac:dyDescent="0.35">
      <c r="D1796" t="s">
        <v>391</v>
      </c>
      <c r="E1796" t="s">
        <v>259</v>
      </c>
      <c r="F1796" s="23">
        <v>5</v>
      </c>
      <c r="G1796" s="23" t="s">
        <v>392</v>
      </c>
      <c r="H1796" s="23" t="s">
        <v>478</v>
      </c>
      <c r="I1796" s="23">
        <v>75</v>
      </c>
      <c r="J1796" s="53">
        <v>287.14999999999998</v>
      </c>
      <c r="K1796" s="53">
        <v>288.82</v>
      </c>
      <c r="L1796" s="53">
        <v>492.2</v>
      </c>
      <c r="M1796" s="54">
        <f t="shared" si="14"/>
        <v>1.7041756111072641</v>
      </c>
      <c r="N1796" s="24">
        <v>64</v>
      </c>
      <c r="O1796" s="55">
        <v>300.67</v>
      </c>
      <c r="P1796" s="56">
        <v>312.16000000000003</v>
      </c>
      <c r="Q1796" s="56">
        <v>531.98</v>
      </c>
      <c r="R1796" s="57">
        <f t="shared" si="27"/>
        <v>1.7041901588928754</v>
      </c>
      <c r="S1796" s="23">
        <v>70</v>
      </c>
      <c r="T1796" s="53">
        <v>289.02999999999997</v>
      </c>
      <c r="U1796" s="53">
        <v>293.3</v>
      </c>
      <c r="V1796" s="53">
        <v>499.84</v>
      </c>
      <c r="W1796" s="57">
        <f t="shared" si="28"/>
        <v>1.7041936583702693</v>
      </c>
      <c r="X1796" s="23">
        <v>93</v>
      </c>
      <c r="Y1796" s="58">
        <v>317.14</v>
      </c>
      <c r="Z1796" s="58">
        <v>322.77999999999997</v>
      </c>
      <c r="AA1796" s="58">
        <v>550.07000000000005</v>
      </c>
      <c r="AB1796" s="57">
        <f t="shared" si="29"/>
        <v>1.7041638267550656</v>
      </c>
      <c r="AC1796" s="47">
        <v>96</v>
      </c>
      <c r="AD1796" s="57">
        <v>298.7</v>
      </c>
      <c r="AE1796" s="23">
        <v>299.08</v>
      </c>
      <c r="AF1796" s="23">
        <v>509.69</v>
      </c>
      <c r="AG1796" s="57">
        <f t="shared" si="30"/>
        <v>1.7041928580981678</v>
      </c>
      <c r="AH1796" s="47">
        <v>100</v>
      </c>
      <c r="AI1796">
        <v>337.11</v>
      </c>
      <c r="AJ1796">
        <v>340.76</v>
      </c>
      <c r="AK1796">
        <v>580.72</v>
      </c>
      <c r="AL1796" s="57">
        <f t="shared" si="19"/>
        <v>1.7041906327033691</v>
      </c>
      <c r="AM1796" s="47">
        <v>101</v>
      </c>
      <c r="AN1796" s="57">
        <v>348</v>
      </c>
      <c r="AO1796" s="57">
        <v>350.19</v>
      </c>
      <c r="AP1796" s="57">
        <v>596.79999999999995</v>
      </c>
      <c r="AQ1796" s="57">
        <f t="shared" si="31"/>
        <v>1.7042177103857905</v>
      </c>
      <c r="AR1796" s="59"/>
      <c r="AS1796" s="59">
        <f>SUMIFS(HIX_RatingAreas[Silver Enrollments 2018],HIX_RatingAreas[Area],HIX_SLCSP[[#This Row],[Area Code]])</f>
        <v>3304</v>
      </c>
      <c r="AT1796" s="59">
        <f>SUMIFS(HIX_RatingAreas[Silver Enrollments 2019],HIX_RatingAreas[Area],HIX_SLCSP[[#This Row],[Area Code]])</f>
        <v>3340</v>
      </c>
      <c r="AU1796" s="59">
        <f>SUMIFS(HIX_RatingAreas[Silver Enrollments 2020],HIX_RatingAreas[Area],HIX_SLCSP[[#This Row],[Area Code]])</f>
        <v>3082</v>
      </c>
      <c r="AV1796" s="59">
        <f>SUMIFS(HIX_RatingAreas[Silver Enrollments 2021],HIX_RatingAreas[Area],HIX_SLCSP[[#This Row],[Area Code]])</f>
        <v>2920</v>
      </c>
      <c r="AW1796" s="59">
        <f>SUMIFS(HIX_RatingAreas[Silver Enrollments 2022],HIX_RatingAreas[Area],HIX_SLCSP[[#This Row],[Area Code]])</f>
        <v>3973</v>
      </c>
      <c r="AX1796" s="59">
        <f>SUMIFS(HIX_RatingAreas[Silver Enrollments 2023],HIX_RatingAreas[Area],HIX_SLCSP[[#This Row],[Area Code]])</f>
        <v>4491</v>
      </c>
      <c r="AY1796" s="59">
        <f>SUMIFS(HIX_RatingAreas[Silver Enrollments 2024],HIX_RatingAreas[Area],HIX_SLCSP[[#This Row],[Area Code]])</f>
        <v>8657</v>
      </c>
      <c r="AZ1796" s="59"/>
      <c r="BA1796" s="53"/>
      <c r="BB1796">
        <f>SUMIFS(HIX_RatingAreas[QHP Enrollments 2018],HIX_RatingAreas[Area],HIX_SLCSP[[#This Row],[Area Code]])</f>
        <v>4323</v>
      </c>
      <c r="BC1796" s="23">
        <f t="shared" si="22"/>
        <v>6.3480176211453743E-2</v>
      </c>
      <c r="BD1796">
        <f>SUMIFS(HIX_RatingAreas[QHP Enrollments 2019],HIX_RatingAreas[Area],HIX_SLCSP[[#This Row],[Area Code]])</f>
        <v>4218</v>
      </c>
      <c r="BE1796" s="23">
        <f t="shared" si="23"/>
        <v>6.2569534066129681E-2</v>
      </c>
      <c r="BF1796">
        <f>SUMIFS(HIX_RatingAreas[QHP Enrollments 2020],HIX_RatingAreas[Area],HIX_SLCSP[[#This Row],[Area Code]])</f>
        <v>3981</v>
      </c>
      <c r="BG1796" s="23">
        <f t="shared" si="24"/>
        <v>6.1855189558732135E-2</v>
      </c>
      <c r="BH1796">
        <f>SUMIFS(HIX_RatingAreas[QHP Enrollments 2021],HIX_RatingAreas[Area],HIX_SLCSP[[#This Row],[Area Code]])</f>
        <v>3927</v>
      </c>
      <c r="BI1796" s="23">
        <f t="shared" si="25"/>
        <v>5.941537809786062E-2</v>
      </c>
      <c r="BJ1796">
        <f>SUMIFS(HIX_RatingAreas[QHP Enrollments 2022],HIX_RatingAreas[Area],HIX_SLCSP[[#This Row],[Area Code]])</f>
        <v>5191</v>
      </c>
      <c r="BK1796" s="23">
        <f t="shared" si="26"/>
        <v>5.883753088658672E-2</v>
      </c>
      <c r="BL1796">
        <f>SUMIFS(HIX_RatingAreas[QHP Enrollments 2023],HIX_RatingAreas[Area],HIX_SLCSP[[#This Row],[Area Code]])</f>
        <v>6017</v>
      </c>
      <c r="BM1796" s="23">
        <f t="shared" si="32"/>
        <v>5.9926100769866646E-2</v>
      </c>
      <c r="BN1796" s="23">
        <f>SUMIFS(HIX_RatingAreas[QHP Enrollments 2024],HIX_RatingAreas[Area],HIX_SLCSP[[#This Row],[Area Code]])</f>
        <v>10846</v>
      </c>
      <c r="BO1796" s="23">
        <f t="shared" si="33"/>
        <v>6.9256163517595004E-2</v>
      </c>
      <c r="BP1796" s="53">
        <f>ROUND(HIX_SLCSP[[#This Row],[Weighting Factor 2018]]*HIX_SLCSP[[#This Row],[2018]],2)</f>
        <v>18.329999999999998</v>
      </c>
      <c r="BQ1796" s="53">
        <f>ROUND(HIX_SLCSP[[#This Row],[Weighting Factor 2019]]*HIX_SLCSP[[#This Row],[2019]],2)</f>
        <v>19.53</v>
      </c>
      <c r="BR1796" s="53">
        <f>ROUND(HIX_SLCSP[[#This Row],[Weighting Factor 2020]]*HIX_SLCSP[[#This Row],[2020]],2)</f>
        <v>18.14</v>
      </c>
      <c r="BS1796" s="53">
        <f>ROUND(HIX_SLCSP[[#This Row],[Weighting Factor 2021]]*HIX_SLCSP[[#This Row],[2021]],2)</f>
        <v>19.18</v>
      </c>
      <c r="BT1796" s="53">
        <f>ROUND(HIX_SLCSP[[#This Row],[Weighting Factor 2022]]*HIX_SLCSP[[#This Row],[2022]],2)</f>
        <v>17.600000000000001</v>
      </c>
      <c r="BU1796" s="53">
        <f>ROUND(HIX_SLCSP[[#This Row],[Weighting Factor 2023]]*HIX_SLCSP[[#This Row],[2023]],2)</f>
        <v>20.420000000000002</v>
      </c>
      <c r="BV1796" s="53">
        <f>ROUND(HIX_SLCSP[[#This Row],[Weighting Factor 2024]]*HIX_SLCSP[[#This Row],[2024]],2)</f>
        <v>24.25</v>
      </c>
    </row>
    <row r="1797" spans="4:74" x14ac:dyDescent="0.35">
      <c r="D1797" t="s">
        <v>391</v>
      </c>
      <c r="E1797" t="s">
        <v>265</v>
      </c>
      <c r="F1797" s="23">
        <v>6</v>
      </c>
      <c r="G1797" s="23" t="s">
        <v>392</v>
      </c>
      <c r="H1797" s="23" t="s">
        <v>502</v>
      </c>
      <c r="I1797" s="23">
        <v>56</v>
      </c>
      <c r="J1797" s="53">
        <v>292.16000000000003</v>
      </c>
      <c r="K1797" s="53">
        <v>295.60000000000002</v>
      </c>
      <c r="L1797" s="53">
        <v>503.76</v>
      </c>
      <c r="M1797" s="54">
        <f t="shared" si="14"/>
        <v>1.7041948579161026</v>
      </c>
      <c r="N1797" s="24">
        <v>52</v>
      </c>
      <c r="O1797" s="55">
        <v>309.58999999999997</v>
      </c>
      <c r="P1797" s="56">
        <v>312.16000000000003</v>
      </c>
      <c r="Q1797" s="56">
        <v>531.98</v>
      </c>
      <c r="R1797" s="57">
        <f t="shared" si="27"/>
        <v>1.7041901588928754</v>
      </c>
      <c r="S1797" s="23">
        <v>70</v>
      </c>
      <c r="T1797" s="53">
        <v>289.02999999999997</v>
      </c>
      <c r="U1797" s="53">
        <v>293.3</v>
      </c>
      <c r="V1797" s="53">
        <v>499.84</v>
      </c>
      <c r="W1797" s="57">
        <f t="shared" si="28"/>
        <v>1.7041936583702693</v>
      </c>
      <c r="X1797" s="23">
        <v>93</v>
      </c>
      <c r="Y1797" s="58">
        <v>317.14</v>
      </c>
      <c r="Z1797" s="58">
        <v>322.77999999999997</v>
      </c>
      <c r="AA1797" s="58">
        <v>550.07000000000005</v>
      </c>
      <c r="AB1797" s="57">
        <f t="shared" si="29"/>
        <v>1.7041638267550656</v>
      </c>
      <c r="AC1797" s="47">
        <v>96</v>
      </c>
      <c r="AD1797" s="57">
        <v>298.7</v>
      </c>
      <c r="AE1797" s="23">
        <v>299.08</v>
      </c>
      <c r="AF1797" s="23">
        <v>509.69</v>
      </c>
      <c r="AG1797" s="57">
        <f t="shared" si="30"/>
        <v>1.7041928580981678</v>
      </c>
      <c r="AH1797" s="47">
        <v>100</v>
      </c>
      <c r="AI1797">
        <v>337.11</v>
      </c>
      <c r="AJ1797">
        <v>340.76</v>
      </c>
      <c r="AK1797">
        <v>580.72</v>
      </c>
      <c r="AL1797" s="57">
        <f t="shared" si="19"/>
        <v>1.7041906327033691</v>
      </c>
      <c r="AM1797" s="47">
        <v>101</v>
      </c>
      <c r="AN1797" s="57">
        <v>348</v>
      </c>
      <c r="AO1797" s="57">
        <v>350.19</v>
      </c>
      <c r="AP1797" s="57">
        <v>596.79999999999995</v>
      </c>
      <c r="AQ1797" s="57">
        <f t="shared" si="31"/>
        <v>1.7042177103857905</v>
      </c>
      <c r="AR1797" s="59"/>
      <c r="AS1797" s="59">
        <f>SUMIFS(HIX_RatingAreas[Silver Enrollments 2018],HIX_RatingAreas[Area],HIX_SLCSP[[#This Row],[Area Code]])</f>
        <v>3004</v>
      </c>
      <c r="AT1797" s="59">
        <f>SUMIFS(HIX_RatingAreas[Silver Enrollments 2019],HIX_RatingAreas[Area],HIX_SLCSP[[#This Row],[Area Code]])</f>
        <v>2910</v>
      </c>
      <c r="AU1797" s="59">
        <f>SUMIFS(HIX_RatingAreas[Silver Enrollments 2020],HIX_RatingAreas[Area],HIX_SLCSP[[#This Row],[Area Code]])</f>
        <v>2655</v>
      </c>
      <c r="AV1797" s="59">
        <f>SUMIFS(HIX_RatingAreas[Silver Enrollments 2021],HIX_RatingAreas[Area],HIX_SLCSP[[#This Row],[Area Code]])</f>
        <v>2565</v>
      </c>
      <c r="AW1797" s="59">
        <f>SUMIFS(HIX_RatingAreas[Silver Enrollments 2022],HIX_RatingAreas[Area],HIX_SLCSP[[#This Row],[Area Code]])</f>
        <v>3778</v>
      </c>
      <c r="AX1797" s="59">
        <f>SUMIFS(HIX_RatingAreas[Silver Enrollments 2023],HIX_RatingAreas[Area],HIX_SLCSP[[#This Row],[Area Code]])</f>
        <v>4586</v>
      </c>
      <c r="AY1797" s="59">
        <f>SUMIFS(HIX_RatingAreas[Silver Enrollments 2024],HIX_RatingAreas[Area],HIX_SLCSP[[#This Row],[Area Code]])</f>
        <v>8196</v>
      </c>
      <c r="AZ1797" s="59"/>
      <c r="BA1797" s="53"/>
      <c r="BB1797">
        <f>SUMIFS(HIX_RatingAreas[QHP Enrollments 2018],HIX_RatingAreas[Area],HIX_SLCSP[[#This Row],[Area Code]])</f>
        <v>4069</v>
      </c>
      <c r="BC1797" s="23">
        <f t="shared" si="22"/>
        <v>5.97503671071953E-2</v>
      </c>
      <c r="BD1797">
        <f>SUMIFS(HIX_RatingAreas[QHP Enrollments 2019],HIX_RatingAreas[Area],HIX_SLCSP[[#This Row],[Area Code]])</f>
        <v>3926</v>
      </c>
      <c r="BE1797" s="23">
        <f t="shared" si="23"/>
        <v>5.8238025306691588E-2</v>
      </c>
      <c r="BF1797">
        <f>SUMIFS(HIX_RatingAreas[QHP Enrollments 2020],HIX_RatingAreas[Area],HIX_SLCSP[[#This Row],[Area Code]])</f>
        <v>3628</v>
      </c>
      <c r="BG1797" s="23">
        <f t="shared" si="24"/>
        <v>5.6370416407706653E-2</v>
      </c>
      <c r="BH1797">
        <f>SUMIFS(HIX_RatingAreas[QHP Enrollments 2021],HIX_RatingAreas[Area],HIX_SLCSP[[#This Row],[Area Code]])</f>
        <v>3643</v>
      </c>
      <c r="BI1797" s="23">
        <f t="shared" si="25"/>
        <v>5.5118467637001844E-2</v>
      </c>
      <c r="BJ1797">
        <f>SUMIFS(HIX_RatingAreas[QHP Enrollments 2022],HIX_RatingAreas[Area],HIX_SLCSP[[#This Row],[Area Code]])</f>
        <v>5129</v>
      </c>
      <c r="BK1797" s="23">
        <f t="shared" si="26"/>
        <v>5.8134790197900847E-2</v>
      </c>
      <c r="BL1797">
        <f>SUMIFS(HIX_RatingAreas[QHP Enrollments 2023],HIX_RatingAreas[Area],HIX_SLCSP[[#This Row],[Area Code]])</f>
        <v>6202</v>
      </c>
      <c r="BM1797" s="23">
        <f t="shared" si="32"/>
        <v>6.1768601790711801E-2</v>
      </c>
      <c r="BN1797" s="23">
        <f>SUMIFS(HIX_RatingAreas[QHP Enrollments 2024],HIX_RatingAreas[Area],HIX_SLCSP[[#This Row],[Area Code]])</f>
        <v>10464</v>
      </c>
      <c r="BO1797" s="23">
        <f t="shared" si="33"/>
        <v>6.6816936663112128E-2</v>
      </c>
      <c r="BP1797" s="53">
        <f>ROUND(HIX_SLCSP[[#This Row],[Weighting Factor 2018]]*HIX_SLCSP[[#This Row],[2018]],2)</f>
        <v>17.66</v>
      </c>
      <c r="BQ1797" s="53">
        <f>ROUND(HIX_SLCSP[[#This Row],[Weighting Factor 2019]]*HIX_SLCSP[[#This Row],[2019]],2)</f>
        <v>18.18</v>
      </c>
      <c r="BR1797" s="53">
        <f>ROUND(HIX_SLCSP[[#This Row],[Weighting Factor 2020]]*HIX_SLCSP[[#This Row],[2020]],2)</f>
        <v>16.53</v>
      </c>
      <c r="BS1797" s="53">
        <f>ROUND(HIX_SLCSP[[#This Row],[Weighting Factor 2021]]*HIX_SLCSP[[#This Row],[2021]],2)</f>
        <v>17.79</v>
      </c>
      <c r="BT1797" s="53">
        <f>ROUND(HIX_SLCSP[[#This Row],[Weighting Factor 2022]]*HIX_SLCSP[[#This Row],[2022]],2)</f>
        <v>17.39</v>
      </c>
      <c r="BU1797" s="53">
        <f>ROUND(HIX_SLCSP[[#This Row],[Weighting Factor 2023]]*HIX_SLCSP[[#This Row],[2023]],2)</f>
        <v>21.05</v>
      </c>
      <c r="BV1797" s="53">
        <f>ROUND(HIX_SLCSP[[#This Row],[Weighting Factor 2024]]*HIX_SLCSP[[#This Row],[2024]],2)</f>
        <v>23.4</v>
      </c>
    </row>
    <row r="1798" spans="4:74" x14ac:dyDescent="0.35">
      <c r="D1798" t="s">
        <v>391</v>
      </c>
      <c r="E1798" t="s">
        <v>273</v>
      </c>
      <c r="F1798" s="23">
        <v>7</v>
      </c>
      <c r="G1798" s="23" t="s">
        <v>392</v>
      </c>
      <c r="H1798" s="23" t="s">
        <v>525</v>
      </c>
      <c r="I1798" s="23">
        <v>56</v>
      </c>
      <c r="J1798" s="53">
        <v>260.70999999999998</v>
      </c>
      <c r="K1798" s="53">
        <v>279.19</v>
      </c>
      <c r="L1798" s="53">
        <v>475.8</v>
      </c>
      <c r="M1798" s="54">
        <f t="shared" si="14"/>
        <v>1.7042157670403668</v>
      </c>
      <c r="N1798" s="24">
        <v>52</v>
      </c>
      <c r="O1798" s="55">
        <v>297.7</v>
      </c>
      <c r="P1798" s="56">
        <v>312.16000000000003</v>
      </c>
      <c r="Q1798" s="56">
        <v>531.98</v>
      </c>
      <c r="R1798" s="57">
        <f t="shared" si="27"/>
        <v>1.7041901588928754</v>
      </c>
      <c r="S1798" s="23">
        <v>70</v>
      </c>
      <c r="T1798" s="53">
        <v>289.02999999999997</v>
      </c>
      <c r="U1798" s="53">
        <v>293.3</v>
      </c>
      <c r="V1798" s="53">
        <v>499.84</v>
      </c>
      <c r="W1798" s="57">
        <f t="shared" si="28"/>
        <v>1.7041936583702693</v>
      </c>
      <c r="X1798" s="23">
        <v>93</v>
      </c>
      <c r="Y1798" s="58">
        <v>317.14</v>
      </c>
      <c r="Z1798" s="58">
        <v>322.77999999999997</v>
      </c>
      <c r="AA1798" s="58">
        <v>550.07000000000005</v>
      </c>
      <c r="AB1798" s="57">
        <f t="shared" si="29"/>
        <v>1.7041638267550656</v>
      </c>
      <c r="AC1798" s="47">
        <v>96</v>
      </c>
      <c r="AD1798" s="57">
        <v>298.7</v>
      </c>
      <c r="AE1798" s="23">
        <v>299.08</v>
      </c>
      <c r="AF1798" s="23">
        <v>509.69</v>
      </c>
      <c r="AG1798" s="57">
        <f t="shared" si="30"/>
        <v>1.7041928580981678</v>
      </c>
      <c r="AH1798" s="47">
        <v>100</v>
      </c>
      <c r="AI1798">
        <v>337.11</v>
      </c>
      <c r="AJ1798">
        <v>340.76</v>
      </c>
      <c r="AK1798">
        <v>580.72</v>
      </c>
      <c r="AL1798" s="57">
        <f t="shared" si="19"/>
        <v>1.7041906327033691</v>
      </c>
      <c r="AM1798" s="47">
        <v>101</v>
      </c>
      <c r="AN1798" s="57">
        <v>348</v>
      </c>
      <c r="AO1798" s="57">
        <v>350.19</v>
      </c>
      <c r="AP1798" s="57">
        <v>596.79999999999995</v>
      </c>
      <c r="AQ1798" s="57">
        <f t="shared" si="31"/>
        <v>1.7042177103857905</v>
      </c>
      <c r="AR1798" s="59"/>
      <c r="AS1798" s="59">
        <f>SUMIFS(HIX_RatingAreas[Silver Enrollments 2018],HIX_RatingAreas[Area],HIX_SLCSP[[#This Row],[Area Code]])</f>
        <v>4336</v>
      </c>
      <c r="AT1798" s="59">
        <f>SUMIFS(HIX_RatingAreas[Silver Enrollments 2019],HIX_RatingAreas[Area],HIX_SLCSP[[#This Row],[Area Code]])</f>
        <v>4368</v>
      </c>
      <c r="AU1798" s="59">
        <f>SUMIFS(HIX_RatingAreas[Silver Enrollments 2020],HIX_RatingAreas[Area],HIX_SLCSP[[#This Row],[Area Code]])</f>
        <v>3906</v>
      </c>
      <c r="AV1798" s="59">
        <f>SUMIFS(HIX_RatingAreas[Silver Enrollments 2021],HIX_RatingAreas[Area],HIX_SLCSP[[#This Row],[Area Code]])</f>
        <v>3925</v>
      </c>
      <c r="AW1798" s="59">
        <f>SUMIFS(HIX_RatingAreas[Silver Enrollments 2022],HIX_RatingAreas[Area],HIX_SLCSP[[#This Row],[Area Code]])</f>
        <v>5116</v>
      </c>
      <c r="AX1798" s="59">
        <f>SUMIFS(HIX_RatingAreas[Silver Enrollments 2023],HIX_RatingAreas[Area],HIX_SLCSP[[#This Row],[Area Code]])</f>
        <v>5661</v>
      </c>
      <c r="AY1798" s="59">
        <f>SUMIFS(HIX_RatingAreas[Silver Enrollments 2024],HIX_RatingAreas[Area],HIX_SLCSP[[#This Row],[Area Code]])</f>
        <v>9654</v>
      </c>
      <c r="AZ1798" s="59"/>
      <c r="BA1798" s="53"/>
      <c r="BB1798">
        <f>SUMIFS(HIX_RatingAreas[QHP Enrollments 2018],HIX_RatingAreas[Area],HIX_SLCSP[[#This Row],[Area Code]])</f>
        <v>6008</v>
      </c>
      <c r="BC1798" s="23">
        <f t="shared" si="22"/>
        <v>8.8223201174743027E-2</v>
      </c>
      <c r="BD1798">
        <f>SUMIFS(HIX_RatingAreas[QHP Enrollments 2019],HIX_RatingAreas[Area],HIX_SLCSP[[#This Row],[Area Code]])</f>
        <v>5881</v>
      </c>
      <c r="BE1798" s="23">
        <f t="shared" si="23"/>
        <v>8.7238366487176061E-2</v>
      </c>
      <c r="BF1798">
        <f>SUMIFS(HIX_RatingAreas[QHP Enrollments 2020],HIX_RatingAreas[Area],HIX_SLCSP[[#This Row],[Area Code]])</f>
        <v>5619</v>
      </c>
      <c r="BG1798" s="23">
        <f t="shared" si="24"/>
        <v>8.7305779987569915E-2</v>
      </c>
      <c r="BH1798">
        <f>SUMIFS(HIX_RatingAreas[QHP Enrollments 2021],HIX_RatingAreas[Area],HIX_SLCSP[[#This Row],[Area Code]])</f>
        <v>5806</v>
      </c>
      <c r="BI1798" s="23">
        <f t="shared" si="25"/>
        <v>8.7844584985021332E-2</v>
      </c>
      <c r="BJ1798">
        <f>SUMIFS(HIX_RatingAreas[QHP Enrollments 2022],HIX_RatingAreas[Area],HIX_SLCSP[[#This Row],[Area Code]])</f>
        <v>7661</v>
      </c>
      <c r="BK1798" s="23">
        <f t="shared" si="26"/>
        <v>8.6833813161653034E-2</v>
      </c>
      <c r="BL1798">
        <f>SUMIFS(HIX_RatingAreas[QHP Enrollments 2023],HIX_RatingAreas[Area],HIX_SLCSP[[#This Row],[Area Code]])</f>
        <v>8716</v>
      </c>
      <c r="BM1798" s="23">
        <f t="shared" si="32"/>
        <v>8.68066967442509E-2</v>
      </c>
      <c r="BN1798" s="23">
        <f>SUMIFS(HIX_RatingAreas[QHP Enrollments 2024],HIX_RatingAreas[Area],HIX_SLCSP[[#This Row],[Area Code]])</f>
        <v>13554</v>
      </c>
      <c r="BO1798" s="23">
        <f t="shared" si="33"/>
        <v>8.6547855459845349E-2</v>
      </c>
      <c r="BP1798" s="53">
        <f>ROUND(HIX_SLCSP[[#This Row],[Weighting Factor 2018]]*HIX_SLCSP[[#This Row],[2018]],2)</f>
        <v>24.63</v>
      </c>
      <c r="BQ1798" s="53">
        <f>ROUND(HIX_SLCSP[[#This Row],[Weighting Factor 2019]]*HIX_SLCSP[[#This Row],[2019]],2)</f>
        <v>27.23</v>
      </c>
      <c r="BR1798" s="53">
        <f>ROUND(HIX_SLCSP[[#This Row],[Weighting Factor 2020]]*HIX_SLCSP[[#This Row],[2020]],2)</f>
        <v>25.61</v>
      </c>
      <c r="BS1798" s="53">
        <f>ROUND(HIX_SLCSP[[#This Row],[Weighting Factor 2021]]*HIX_SLCSP[[#This Row],[2021]],2)</f>
        <v>28.35</v>
      </c>
      <c r="BT1798" s="53">
        <f>ROUND(HIX_SLCSP[[#This Row],[Weighting Factor 2022]]*HIX_SLCSP[[#This Row],[2022]],2)</f>
        <v>25.97</v>
      </c>
      <c r="BU1798" s="53">
        <f>ROUND(HIX_SLCSP[[#This Row],[Weighting Factor 2023]]*HIX_SLCSP[[#This Row],[2023]],2)</f>
        <v>29.58</v>
      </c>
      <c r="BV1798" s="53">
        <f>ROUND(HIX_SLCSP[[#This Row],[Weighting Factor 2024]]*HIX_SLCSP[[#This Row],[2024]],2)</f>
        <v>30.31</v>
      </c>
    </row>
    <row r="1799" spans="4:74" x14ac:dyDescent="0.35">
      <c r="D1799" t="s">
        <v>539</v>
      </c>
      <c r="E1799" t="s">
        <v>2597</v>
      </c>
      <c r="F1799" s="23"/>
      <c r="G1799" s="23"/>
      <c r="H1799" s="23"/>
      <c r="I1799" s="23"/>
      <c r="J1799" s="53"/>
      <c r="K1799" s="53">
        <f>SUM(BP1800:BP1866)</f>
        <v>379.13000000000011</v>
      </c>
      <c r="L1799" s="53"/>
      <c r="M1799" s="54"/>
      <c r="O1799" s="55"/>
      <c r="P1799" s="56">
        <f>SUM(BQ1800:BQ1866)</f>
        <v>390.0800000000001</v>
      </c>
      <c r="Q1799" s="56"/>
      <c r="R1799" s="57"/>
      <c r="S1799" s="23"/>
      <c r="T1799" s="53"/>
      <c r="U1799" s="53">
        <f>SUM(BR1800:BR1866)</f>
        <v>314.61000000000013</v>
      </c>
      <c r="V1799" s="53"/>
      <c r="W1799" s="57"/>
      <c r="X1799" s="47"/>
      <c r="Y1799" s="58"/>
      <c r="Z1799" s="53">
        <f>SUM(BS1800:BS1866)</f>
        <v>291.66999999999996</v>
      </c>
      <c r="AA1799" s="58"/>
      <c r="AB1799" s="57"/>
      <c r="AC1799" s="47"/>
      <c r="AD1799" s="57"/>
      <c r="AE1799" s="53">
        <f>SUM(BT1800:BT1866)</f>
        <v>298.12</v>
      </c>
      <c r="AF1799" s="57"/>
      <c r="AG1799" s="57"/>
      <c r="AH1799" s="47"/>
      <c r="AI1799" s="57"/>
      <c r="AJ1799" s="53">
        <f>SUM(BU1800:BU1866)</f>
        <v>315.70999999999998</v>
      </c>
      <c r="AK1799" s="57"/>
      <c r="AL1799" s="57"/>
      <c r="AM1799" s="47"/>
      <c r="AN1799" s="57"/>
      <c r="AO1799" s="53">
        <f>SUM(BV1800:BV1866)</f>
        <v>327.9899999999999</v>
      </c>
      <c r="AP1799" s="57"/>
      <c r="AQ1799" s="57"/>
      <c r="AR1799" s="59">
        <f t="shared" ref="AR1799:AZ1799" si="34">SUM(AR1800:AR1866)</f>
        <v>1365444</v>
      </c>
      <c r="AS1799" s="59">
        <f t="shared" si="34"/>
        <v>1164680</v>
      </c>
      <c r="AT1799" s="59">
        <f t="shared" si="34"/>
        <v>1192450</v>
      </c>
      <c r="AU1799" s="59">
        <f t="shared" si="34"/>
        <v>1279920</v>
      </c>
      <c r="AV1799" s="59">
        <f t="shared" si="34"/>
        <v>1371697</v>
      </c>
      <c r="AW1799" s="59">
        <f t="shared" si="34"/>
        <v>1764821</v>
      </c>
      <c r="AX1799" s="59">
        <f t="shared" si="34"/>
        <v>2046198</v>
      </c>
      <c r="AY1799" s="59">
        <f t="shared" si="34"/>
        <v>2674179</v>
      </c>
      <c r="AZ1799" s="59">
        <f t="shared" si="34"/>
        <v>1742806</v>
      </c>
      <c r="BA1799">
        <f t="shared" ref="BA1799:BA1862" si="35">AZ1799/AZ$1799</f>
        <v>1</v>
      </c>
      <c r="BB1799" s="59">
        <f>SUM(BB1800:BB1866)</f>
        <v>1715226</v>
      </c>
      <c r="BC1799">
        <f t="shared" ref="BC1799:BC1862" si="36">BB1799/BB$1799</f>
        <v>1</v>
      </c>
      <c r="BD1799" s="59">
        <f>SUM(BD1800:BD1866)</f>
        <v>1783304</v>
      </c>
      <c r="BE1799">
        <f t="shared" ref="BE1799:BE1862" si="37">BD1799/BD$1799</f>
        <v>1</v>
      </c>
      <c r="BF1799" s="59">
        <f>SUM(BF1800:BF1866)</f>
        <v>1913975</v>
      </c>
      <c r="BG1799">
        <f t="shared" ref="BG1799:BG1862" si="38">BF1799/BF$1799</f>
        <v>1</v>
      </c>
      <c r="BH1799" s="59">
        <f>SUM(BH1800:BH1866)</f>
        <v>2120350</v>
      </c>
      <c r="BI1799">
        <f t="shared" ref="BI1799:BI1862" si="39">BH1799/BH$1799</f>
        <v>1</v>
      </c>
      <c r="BJ1799" s="59">
        <f>SUM(BJ1800:BJ1866)</f>
        <v>2723094</v>
      </c>
      <c r="BK1799">
        <f t="shared" ref="BK1799:BK1830" si="40">BJ1799/BJ$1799</f>
        <v>1</v>
      </c>
      <c r="BL1799" s="59">
        <f>SUM(BL1800:BL1866)</f>
        <v>3225435</v>
      </c>
      <c r="BM1799">
        <f>BL1799/BL$1799</f>
        <v>1</v>
      </c>
      <c r="BN1799" s="59">
        <f>SUM(BN1800:BN1866)</f>
        <v>4211902</v>
      </c>
      <c r="BO1799">
        <f>BN1799/BN$1799</f>
        <v>1</v>
      </c>
      <c r="BP1799" s="53"/>
      <c r="BQ1799" s="53"/>
      <c r="BR1799" s="53"/>
      <c r="BS1799" s="53"/>
      <c r="BT1799" s="53"/>
      <c r="BU1799" s="53"/>
      <c r="BV1799" s="53"/>
    </row>
    <row r="1800" spans="4:74" x14ac:dyDescent="0.35">
      <c r="D1800" t="s">
        <v>539</v>
      </c>
      <c r="E1800" t="s">
        <v>231</v>
      </c>
      <c r="F1800" s="23">
        <v>1</v>
      </c>
      <c r="G1800" s="23" t="s">
        <v>540</v>
      </c>
      <c r="H1800" s="23" t="s">
        <v>541</v>
      </c>
      <c r="I1800" s="23">
        <v>104</v>
      </c>
      <c r="J1800" s="53">
        <v>307.13</v>
      </c>
      <c r="K1800" s="53">
        <v>379.83</v>
      </c>
      <c r="L1800" s="53">
        <v>647.29999999999995</v>
      </c>
      <c r="M1800" s="54">
        <f t="shared" ref="M1800:M1863" si="41">L1800/K1800</f>
        <v>1.7041834504910092</v>
      </c>
      <c r="N1800" s="24">
        <v>96</v>
      </c>
      <c r="O1800" s="55">
        <v>403.86</v>
      </c>
      <c r="P1800" s="56">
        <v>442.03</v>
      </c>
      <c r="Q1800" s="56">
        <v>753.3</v>
      </c>
      <c r="R1800" s="57">
        <f t="shared" ref="R1800:R1863" si="42">Q1800/P1800</f>
        <v>1.7041829740062893</v>
      </c>
      <c r="S1800" s="23">
        <v>104</v>
      </c>
      <c r="T1800" s="53">
        <v>309.33</v>
      </c>
      <c r="U1800" s="53">
        <v>324.73</v>
      </c>
      <c r="V1800" s="53">
        <v>553.41</v>
      </c>
      <c r="W1800" s="57">
        <f t="shared" ref="W1800:W1863" si="43">V1800/U1800</f>
        <v>1.7042158100575862</v>
      </c>
      <c r="X1800" s="47">
        <v>161</v>
      </c>
      <c r="Y1800" s="58">
        <v>301.63</v>
      </c>
      <c r="Z1800" s="58">
        <v>310</v>
      </c>
      <c r="AA1800" s="58">
        <v>528.29999999999995</v>
      </c>
      <c r="AB1800" s="57">
        <f t="shared" ref="AB1800:AB1863" si="44">AA1800/Z1800</f>
        <v>1.7041935483870967</v>
      </c>
      <c r="AC1800" s="47">
        <v>220</v>
      </c>
      <c r="AD1800" s="57">
        <v>310.02</v>
      </c>
      <c r="AE1800" s="57">
        <v>318.13</v>
      </c>
      <c r="AF1800" s="57">
        <v>542.16</v>
      </c>
      <c r="AG1800" s="57">
        <f t="shared" ref="AG1800:AG1863" si="45">AF1800/AE1800</f>
        <v>1.7042089711753057</v>
      </c>
      <c r="AH1800" s="47">
        <v>206</v>
      </c>
      <c r="AI1800">
        <v>329.63</v>
      </c>
      <c r="AJ1800">
        <v>331.15</v>
      </c>
      <c r="AK1800">
        <v>564.35</v>
      </c>
      <c r="AL1800" s="57">
        <f t="shared" si="19"/>
        <v>1.7042125924807492</v>
      </c>
      <c r="AM1800" s="47">
        <v>153</v>
      </c>
      <c r="AN1800" s="57">
        <v>338.47</v>
      </c>
      <c r="AO1800" s="57">
        <v>340.1</v>
      </c>
      <c r="AP1800" s="57">
        <v>579.59</v>
      </c>
      <c r="AQ1800" s="57">
        <f t="shared" ref="AQ1800:AQ1863" si="46">AP1800/AO1800</f>
        <v>1.7041752425757131</v>
      </c>
      <c r="AR1800" s="59">
        <v>11629</v>
      </c>
      <c r="AS1800" s="59">
        <f>SUMIFS(HIX_RatingAreas[Silver Enrollments 2018],HIX_RatingAreas[Area],HIX_SLCSP[[#This Row],[Area Code]])</f>
        <v>10194</v>
      </c>
      <c r="AT1800" s="59">
        <f>SUMIFS(HIX_RatingAreas[Silver Enrollments 2019],HIX_RatingAreas[Area],HIX_SLCSP[[#This Row],[Area Code]])</f>
        <v>9854</v>
      </c>
      <c r="AU1800" s="59">
        <f>SUMIFS(HIX_RatingAreas[Silver Enrollments 2020],HIX_RatingAreas[Area],HIX_SLCSP[[#This Row],[Area Code]])</f>
        <v>8765</v>
      </c>
      <c r="AV1800" s="59">
        <f>SUMIFS(HIX_RatingAreas[Silver Enrollments 2021],HIX_RatingAreas[Area],HIX_SLCSP[[#This Row],[Area Code]])</f>
        <v>8304</v>
      </c>
      <c r="AW1800" s="59">
        <f>SUMIFS(HIX_RatingAreas[Silver Enrollments 2022],HIX_RatingAreas[Area],HIX_SLCSP[[#This Row],[Area Code]])</f>
        <v>10658</v>
      </c>
      <c r="AX1800" s="59">
        <f>SUMIFS(HIX_RatingAreas[Silver Enrollments 2023],HIX_RatingAreas[Area],HIX_SLCSP[[#This Row],[Area Code]])</f>
        <v>12446</v>
      </c>
      <c r="AY1800" s="59">
        <f>SUMIFS(HIX_RatingAreas[Silver Enrollments 2024],HIX_RatingAreas[Area],HIX_SLCSP[[#This Row],[Area Code]])</f>
        <v>19761</v>
      </c>
      <c r="AZ1800" s="59">
        <v>14826</v>
      </c>
      <c r="BA1800">
        <f t="shared" si="35"/>
        <v>8.5069709422620765E-3</v>
      </c>
      <c r="BB1800">
        <f>SUMIFS(HIX_RatingAreas[QHP Enrollments 2018],HIX_RatingAreas[Area],HIX_SLCSP[[#This Row],[Area Code]])</f>
        <v>15038</v>
      </c>
      <c r="BC1800">
        <f t="shared" si="36"/>
        <v>8.7673577709293116E-3</v>
      </c>
      <c r="BD1800">
        <f>SUMIFS(HIX_RatingAreas[QHP Enrollments 2019],HIX_RatingAreas[Area],HIX_SLCSP[[#This Row],[Area Code]])</f>
        <v>15005</v>
      </c>
      <c r="BE1800">
        <f t="shared" si="37"/>
        <v>8.4141570926774129E-3</v>
      </c>
      <c r="BF1800">
        <f>SUMIFS(HIX_RatingAreas[QHP Enrollments 2020],HIX_RatingAreas[Area],HIX_SLCSP[[#This Row],[Area Code]])</f>
        <v>14980</v>
      </c>
      <c r="BG1800">
        <f t="shared" si="38"/>
        <v>7.8266435037030267E-3</v>
      </c>
      <c r="BH1800">
        <f>SUMIFS(HIX_RatingAreas[QHP Enrollments 2021],HIX_RatingAreas[Area],HIX_SLCSP[[#This Row],[Area Code]])</f>
        <v>14990</v>
      </c>
      <c r="BI1800">
        <f t="shared" si="39"/>
        <v>7.0695875680901734E-3</v>
      </c>
      <c r="BJ1800">
        <f>SUMIFS(HIX_RatingAreas[QHP Enrollments 2022],HIX_RatingAreas[Area],HIX_SLCSP[[#This Row],[Area Code]])</f>
        <v>19000</v>
      </c>
      <c r="BK1800">
        <f t="shared" si="40"/>
        <v>6.9773573736345495E-3</v>
      </c>
      <c r="BL1800">
        <f>SUMIFS(HIX_RatingAreas[QHP Enrollments 2023],HIX_RatingAreas[Area],HIX_SLCSP[[#This Row],[Area Code]])</f>
        <v>23015</v>
      </c>
      <c r="BM1800">
        <f>BL1800/BL$1799</f>
        <v>7.1354716495604471E-3</v>
      </c>
      <c r="BN1800">
        <f>SUMIFS(HIX_RatingAreas[QHP Enrollments 2024],HIX_RatingAreas[Area],HIX_SLCSP[[#This Row],[Area Code]])</f>
        <v>33218</v>
      </c>
      <c r="BO1800">
        <f>BN1800/BN$1799</f>
        <v>7.8866982185245519E-3</v>
      </c>
      <c r="BP1800" s="53">
        <f>ROUND(HIX_SLCSP[[#This Row],[Weighting Factor 2018]]*HIX_SLCSP[[#This Row],[2018]],2)</f>
        <v>3.33</v>
      </c>
      <c r="BQ1800" s="53">
        <f>ROUND(HIX_SLCSP[[#This Row],[Weighting Factor 2019]]*HIX_SLCSP[[#This Row],[2019]],2)</f>
        <v>3.72</v>
      </c>
      <c r="BR1800" s="53">
        <f>ROUND(HIX_SLCSP[[#This Row],[Weighting Factor 2020]]*HIX_SLCSP[[#This Row],[2020]],2)</f>
        <v>2.54</v>
      </c>
      <c r="BS1800" s="53">
        <f>ROUND(HIX_SLCSP[[#This Row],[Weighting Factor 2021]]*HIX_SLCSP[[#This Row],[2021]],2)</f>
        <v>2.19</v>
      </c>
      <c r="BT1800" s="53">
        <f>ROUND(HIX_SLCSP[[#This Row],[Weighting Factor 2022]]*HIX_SLCSP[[#This Row],[2022]],2)</f>
        <v>2.2200000000000002</v>
      </c>
      <c r="BU1800" s="53">
        <f>ROUND(HIX_SLCSP[[#This Row],[Weighting Factor 2023]]*HIX_SLCSP[[#This Row],[2023]],2)</f>
        <v>2.36</v>
      </c>
      <c r="BV1800" s="53">
        <f>ROUND(HIX_SLCSP[[#This Row],[Weighting Factor 2024]]*HIX_SLCSP[[#This Row],[2024]],2)</f>
        <v>2.68</v>
      </c>
    </row>
    <row r="1801" spans="4:74" x14ac:dyDescent="0.35">
      <c r="D1801" t="s">
        <v>539</v>
      </c>
      <c r="E1801" t="s">
        <v>235</v>
      </c>
      <c r="F1801" s="23">
        <v>2</v>
      </c>
      <c r="G1801" s="23" t="s">
        <v>540</v>
      </c>
      <c r="H1801" s="23" t="s">
        <v>544</v>
      </c>
      <c r="I1801" s="23">
        <v>52</v>
      </c>
      <c r="J1801" s="53">
        <v>319.85000000000002</v>
      </c>
      <c r="K1801" s="53">
        <v>402.34</v>
      </c>
      <c r="L1801" s="53">
        <v>685.66</v>
      </c>
      <c r="M1801" s="54">
        <f t="shared" si="41"/>
        <v>1.7041805438186608</v>
      </c>
      <c r="N1801" s="24">
        <v>48</v>
      </c>
      <c r="O1801" s="55">
        <v>395.03</v>
      </c>
      <c r="P1801" s="56">
        <v>425.48</v>
      </c>
      <c r="Q1801" s="56">
        <v>725.1</v>
      </c>
      <c r="R1801" s="57">
        <f t="shared" si="42"/>
        <v>1.7041929115352072</v>
      </c>
      <c r="S1801" s="23">
        <v>52</v>
      </c>
      <c r="T1801" s="53">
        <v>393.09</v>
      </c>
      <c r="U1801" s="53">
        <v>399.78</v>
      </c>
      <c r="V1801" s="53">
        <v>681.31</v>
      </c>
      <c r="W1801" s="57">
        <f t="shared" si="43"/>
        <v>1.7042123167742258</v>
      </c>
      <c r="X1801" s="47">
        <v>161</v>
      </c>
      <c r="Y1801" s="58">
        <v>299.61</v>
      </c>
      <c r="Z1801" s="58">
        <v>307.92</v>
      </c>
      <c r="AA1801" s="58">
        <v>524.76</v>
      </c>
      <c r="AB1801" s="57">
        <f t="shared" si="44"/>
        <v>1.7042088854247854</v>
      </c>
      <c r="AC1801" s="47">
        <v>153</v>
      </c>
      <c r="AD1801" s="57">
        <v>291.60000000000002</v>
      </c>
      <c r="AE1801" s="57">
        <v>305.39999999999998</v>
      </c>
      <c r="AF1801" s="57">
        <v>520.47</v>
      </c>
      <c r="AG1801" s="57">
        <f t="shared" si="45"/>
        <v>1.7042239685658156</v>
      </c>
      <c r="AH1801" s="47">
        <v>168</v>
      </c>
      <c r="AI1801">
        <v>343.08</v>
      </c>
      <c r="AJ1801">
        <v>344.74</v>
      </c>
      <c r="AK1801">
        <v>587.51</v>
      </c>
      <c r="AL1801" s="57">
        <f t="shared" si="19"/>
        <v>1.7042118698149329</v>
      </c>
      <c r="AM1801" s="47">
        <v>134</v>
      </c>
      <c r="AN1801" s="57">
        <v>328.79</v>
      </c>
      <c r="AO1801" s="57">
        <v>330.37</v>
      </c>
      <c r="AP1801" s="57">
        <v>563.02</v>
      </c>
      <c r="AQ1801" s="57">
        <f t="shared" si="46"/>
        <v>1.7042104307291823</v>
      </c>
      <c r="AR1801" s="59">
        <v>850</v>
      </c>
      <c r="AS1801" s="59">
        <f>SUMIFS(HIX_RatingAreas[Silver Enrollments 2018],HIX_RatingAreas[Area],HIX_SLCSP[[#This Row],[Area Code]])</f>
        <v>614</v>
      </c>
      <c r="AT1801" s="59">
        <f>SUMIFS(HIX_RatingAreas[Silver Enrollments 2019],HIX_RatingAreas[Area],HIX_SLCSP[[#This Row],[Area Code]])</f>
        <v>580</v>
      </c>
      <c r="AU1801" s="59">
        <f>SUMIFS(HIX_RatingAreas[Silver Enrollments 2020],HIX_RatingAreas[Area],HIX_SLCSP[[#This Row],[Area Code]])</f>
        <v>570</v>
      </c>
      <c r="AV1801" s="59">
        <f>SUMIFS(HIX_RatingAreas[Silver Enrollments 2021],HIX_RatingAreas[Area],HIX_SLCSP[[#This Row],[Area Code]])</f>
        <v>647</v>
      </c>
      <c r="AW1801" s="59">
        <f>SUMIFS(HIX_RatingAreas[Silver Enrollments 2022],HIX_RatingAreas[Area],HIX_SLCSP[[#This Row],[Area Code]])</f>
        <v>758</v>
      </c>
      <c r="AX1801" s="59">
        <f>SUMIFS(HIX_RatingAreas[Silver Enrollments 2023],HIX_RatingAreas[Area],HIX_SLCSP[[#This Row],[Area Code]])</f>
        <v>747</v>
      </c>
      <c r="AY1801" s="59">
        <f>SUMIFS(HIX_RatingAreas[Silver Enrollments 2024],HIX_RatingAreas[Area],HIX_SLCSP[[#This Row],[Area Code]])</f>
        <v>1410</v>
      </c>
      <c r="AZ1801" s="59">
        <v>1043</v>
      </c>
      <c r="BA1801">
        <f t="shared" si="35"/>
        <v>5.9846018432344159E-4</v>
      </c>
      <c r="BB1801">
        <f>SUMIFS(HIX_RatingAreas[QHP Enrollments 2018],HIX_RatingAreas[Area],HIX_SLCSP[[#This Row],[Area Code]])</f>
        <v>889</v>
      </c>
      <c r="BC1801">
        <f t="shared" si="36"/>
        <v>5.1829904630643422E-4</v>
      </c>
      <c r="BD1801">
        <f>SUMIFS(HIX_RatingAreas[QHP Enrollments 2019],HIX_RatingAreas[Area],HIX_SLCSP[[#This Row],[Area Code]])</f>
        <v>893</v>
      </c>
      <c r="BE1801">
        <f t="shared" si="37"/>
        <v>5.0075590028396725E-4</v>
      </c>
      <c r="BF1801">
        <f>SUMIFS(HIX_RatingAreas[QHP Enrollments 2020],HIX_RatingAreas[Area],HIX_SLCSP[[#This Row],[Area Code]])</f>
        <v>878</v>
      </c>
      <c r="BG1801">
        <f t="shared" si="38"/>
        <v>4.5873117464961664E-4</v>
      </c>
      <c r="BH1801">
        <f>SUMIFS(HIX_RatingAreas[QHP Enrollments 2021],HIX_RatingAreas[Area],HIX_SLCSP[[#This Row],[Area Code]])</f>
        <v>1064</v>
      </c>
      <c r="BI1801">
        <f t="shared" si="39"/>
        <v>5.0180394746150399E-4</v>
      </c>
      <c r="BJ1801">
        <f>SUMIFS(HIX_RatingAreas[QHP Enrollments 2022],HIX_RatingAreas[Area],HIX_SLCSP[[#This Row],[Area Code]])</f>
        <v>1492</v>
      </c>
      <c r="BK1801">
        <f t="shared" si="40"/>
        <v>5.4790616849803933E-4</v>
      </c>
      <c r="BL1801">
        <f>SUMIFS(HIX_RatingAreas[QHP Enrollments 2023],HIX_RatingAreas[Area],HIX_SLCSP[[#This Row],[Area Code]])</f>
        <v>1691</v>
      </c>
      <c r="BM1801">
        <f t="shared" ref="BM1801:BM1864" si="47">BL1801/BL$1799</f>
        <v>5.2427036973307474E-4</v>
      </c>
      <c r="BN1801">
        <f>SUMIFS(HIX_RatingAreas[QHP Enrollments 2024],HIX_RatingAreas[Area],HIX_SLCSP[[#This Row],[Area Code]])</f>
        <v>2879</v>
      </c>
      <c r="BO1801">
        <f t="shared" ref="BO1801:BO1864" si="48">BN1801/BN$1799</f>
        <v>6.835391706644647E-4</v>
      </c>
      <c r="BP1801" s="53">
        <f>ROUND(HIX_SLCSP[[#This Row],[Weighting Factor 2018]]*HIX_SLCSP[[#This Row],[2018]],2)</f>
        <v>0.21</v>
      </c>
      <c r="BQ1801" s="53">
        <f>ROUND(HIX_SLCSP[[#This Row],[Weighting Factor 2019]]*HIX_SLCSP[[#This Row],[2019]],2)</f>
        <v>0.21</v>
      </c>
      <c r="BR1801" s="53">
        <f>ROUND(HIX_SLCSP[[#This Row],[Weighting Factor 2020]]*HIX_SLCSP[[#This Row],[2020]],2)</f>
        <v>0.18</v>
      </c>
      <c r="BS1801" s="53">
        <f>ROUND(HIX_SLCSP[[#This Row],[Weighting Factor 2021]]*HIX_SLCSP[[#This Row],[2021]],2)</f>
        <v>0.15</v>
      </c>
      <c r="BT1801" s="53">
        <f>ROUND(HIX_SLCSP[[#This Row],[Weighting Factor 2022]]*HIX_SLCSP[[#This Row],[2022]],2)</f>
        <v>0.17</v>
      </c>
      <c r="BU1801" s="53">
        <f>ROUND(HIX_SLCSP[[#This Row],[Weighting Factor 2023]]*HIX_SLCSP[[#This Row],[2023]],2)</f>
        <v>0.18</v>
      </c>
      <c r="BV1801" s="53">
        <f>ROUND(HIX_SLCSP[[#This Row],[Weighting Factor 2024]]*HIX_SLCSP[[#This Row],[2024]],2)</f>
        <v>0.23</v>
      </c>
    </row>
    <row r="1802" spans="4:74" x14ac:dyDescent="0.35">
      <c r="D1802" t="s">
        <v>539</v>
      </c>
      <c r="E1802" t="s">
        <v>239</v>
      </c>
      <c r="F1802" s="23">
        <v>3</v>
      </c>
      <c r="G1802" s="23" t="s">
        <v>540</v>
      </c>
      <c r="H1802" s="23" t="s">
        <v>547</v>
      </c>
      <c r="I1802" s="23">
        <v>52</v>
      </c>
      <c r="J1802" s="53">
        <v>276.3</v>
      </c>
      <c r="K1802" s="53">
        <v>378.09</v>
      </c>
      <c r="L1802" s="53">
        <v>644.34</v>
      </c>
      <c r="M1802" s="54">
        <f t="shared" si="41"/>
        <v>1.7041974133142905</v>
      </c>
      <c r="N1802" s="24">
        <v>48</v>
      </c>
      <c r="O1802" s="55">
        <v>338.66</v>
      </c>
      <c r="P1802" s="56">
        <v>364.76</v>
      </c>
      <c r="Q1802" s="56">
        <v>621.62</v>
      </c>
      <c r="R1802" s="57">
        <f t="shared" si="42"/>
        <v>1.7041890558175239</v>
      </c>
      <c r="S1802" s="23">
        <v>52</v>
      </c>
      <c r="T1802" s="53">
        <v>338.7</v>
      </c>
      <c r="U1802" s="53">
        <v>362.61</v>
      </c>
      <c r="V1802" s="53">
        <v>617.96</v>
      </c>
      <c r="W1802" s="57">
        <f t="shared" si="43"/>
        <v>1.7042001047957862</v>
      </c>
      <c r="X1802" s="47">
        <v>158</v>
      </c>
      <c r="Y1802" s="58">
        <v>279.49</v>
      </c>
      <c r="Z1802" s="58">
        <v>287.25</v>
      </c>
      <c r="AA1802" s="58">
        <v>489.53</v>
      </c>
      <c r="AB1802" s="57">
        <f t="shared" si="44"/>
        <v>1.7041949521322888</v>
      </c>
      <c r="AC1802" s="47">
        <v>204</v>
      </c>
      <c r="AD1802" s="57">
        <v>287.57</v>
      </c>
      <c r="AE1802" s="57">
        <v>301.18</v>
      </c>
      <c r="AF1802" s="57">
        <v>513.27</v>
      </c>
      <c r="AG1802" s="57">
        <f t="shared" si="45"/>
        <v>1.7041968258184474</v>
      </c>
      <c r="AH1802" s="47">
        <v>186</v>
      </c>
      <c r="AI1802">
        <v>317.60000000000002</v>
      </c>
      <c r="AJ1802">
        <v>319.01</v>
      </c>
      <c r="AK1802">
        <v>543.66</v>
      </c>
      <c r="AL1802" s="57">
        <f t="shared" si="19"/>
        <v>1.7042098993761952</v>
      </c>
      <c r="AM1802" s="47">
        <v>128</v>
      </c>
      <c r="AN1802" s="57">
        <v>301.74</v>
      </c>
      <c r="AO1802" s="57">
        <v>303.2</v>
      </c>
      <c r="AP1802" s="57">
        <v>516.71</v>
      </c>
      <c r="AQ1802" s="57">
        <f t="shared" si="46"/>
        <v>1.7041886543535623</v>
      </c>
      <c r="AR1802" s="59">
        <v>9276</v>
      </c>
      <c r="AS1802" s="59">
        <f>SUMIFS(HIX_RatingAreas[Silver Enrollments 2018],HIX_RatingAreas[Area],HIX_SLCSP[[#This Row],[Area Code]])</f>
        <v>8637</v>
      </c>
      <c r="AT1802" s="59">
        <f>SUMIFS(HIX_RatingAreas[Silver Enrollments 2019],HIX_RatingAreas[Area],HIX_SLCSP[[#This Row],[Area Code]])</f>
        <v>8162</v>
      </c>
      <c r="AU1802" s="59">
        <f>SUMIFS(HIX_RatingAreas[Silver Enrollments 2020],HIX_RatingAreas[Area],HIX_SLCSP[[#This Row],[Area Code]])</f>
        <v>8271</v>
      </c>
      <c r="AV1802" s="59">
        <f>SUMIFS(HIX_RatingAreas[Silver Enrollments 2021],HIX_RatingAreas[Area],HIX_SLCSP[[#This Row],[Area Code]])</f>
        <v>8007</v>
      </c>
      <c r="AW1802" s="59">
        <f>SUMIFS(HIX_RatingAreas[Silver Enrollments 2022],HIX_RatingAreas[Area],HIX_SLCSP[[#This Row],[Area Code]])</f>
        <v>9398</v>
      </c>
      <c r="AX1802" s="59">
        <f>SUMIFS(HIX_RatingAreas[Silver Enrollments 2023],HIX_RatingAreas[Area],HIX_SLCSP[[#This Row],[Area Code]])</f>
        <v>10309</v>
      </c>
      <c r="AY1802" s="59">
        <f>SUMIFS(HIX_RatingAreas[Silver Enrollments 2024],HIX_RatingAreas[Area],HIX_SLCSP[[#This Row],[Area Code]])</f>
        <v>15748</v>
      </c>
      <c r="AZ1802" s="59">
        <v>11567</v>
      </c>
      <c r="BA1802">
        <f t="shared" si="35"/>
        <v>6.6369980364997597E-3</v>
      </c>
      <c r="BB1802">
        <f>SUMIFS(HIX_RatingAreas[QHP Enrollments 2018],HIX_RatingAreas[Area],HIX_SLCSP[[#This Row],[Area Code]])</f>
        <v>12070</v>
      </c>
      <c r="BC1802">
        <f t="shared" si="36"/>
        <v>7.0369735533393268E-3</v>
      </c>
      <c r="BD1802">
        <f>SUMIFS(HIX_RatingAreas[QHP Enrollments 2019],HIX_RatingAreas[Area],HIX_SLCSP[[#This Row],[Area Code]])</f>
        <v>11799</v>
      </c>
      <c r="BE1802">
        <f t="shared" si="37"/>
        <v>6.6163705122626315E-3</v>
      </c>
      <c r="BF1802">
        <f>SUMIFS(HIX_RatingAreas[QHP Enrollments 2020],HIX_RatingAreas[Area],HIX_SLCSP[[#This Row],[Area Code]])</f>
        <v>12106</v>
      </c>
      <c r="BG1802">
        <f t="shared" si="38"/>
        <v>6.325056492378427E-3</v>
      </c>
      <c r="BH1802">
        <f>SUMIFS(HIX_RatingAreas[QHP Enrollments 2021],HIX_RatingAreas[Area],HIX_SLCSP[[#This Row],[Area Code]])</f>
        <v>12858</v>
      </c>
      <c r="BI1802">
        <f t="shared" si="39"/>
        <v>6.0640931921616716E-3</v>
      </c>
      <c r="BJ1802">
        <f>SUMIFS(HIX_RatingAreas[QHP Enrollments 2022],HIX_RatingAreas[Area],HIX_SLCSP[[#This Row],[Area Code]])</f>
        <v>15964</v>
      </c>
      <c r="BK1802">
        <f t="shared" si="40"/>
        <v>5.8624491111948394E-3</v>
      </c>
      <c r="BL1802">
        <f>SUMIFS(HIX_RatingAreas[QHP Enrollments 2023],HIX_RatingAreas[Area],HIX_SLCSP[[#This Row],[Area Code]])</f>
        <v>19834</v>
      </c>
      <c r="BM1802">
        <f t="shared" si="47"/>
        <v>6.1492480859170933E-3</v>
      </c>
      <c r="BN1802">
        <f>SUMIFS(HIX_RatingAreas[QHP Enrollments 2024],HIX_RatingAreas[Area],HIX_SLCSP[[#This Row],[Area Code]])</f>
        <v>27794</v>
      </c>
      <c r="BO1802">
        <f t="shared" si="48"/>
        <v>6.5989189682001152E-3</v>
      </c>
      <c r="BP1802" s="53">
        <f>ROUND(HIX_SLCSP[[#This Row],[Weighting Factor 2018]]*HIX_SLCSP[[#This Row],[2018]],2)</f>
        <v>2.66</v>
      </c>
      <c r="BQ1802" s="53">
        <f>ROUND(HIX_SLCSP[[#This Row],[Weighting Factor 2019]]*HIX_SLCSP[[#This Row],[2019]],2)</f>
        <v>2.41</v>
      </c>
      <c r="BR1802" s="53">
        <f>ROUND(HIX_SLCSP[[#This Row],[Weighting Factor 2020]]*HIX_SLCSP[[#This Row],[2020]],2)</f>
        <v>2.29</v>
      </c>
      <c r="BS1802" s="53">
        <f>ROUND(HIX_SLCSP[[#This Row],[Weighting Factor 2021]]*HIX_SLCSP[[#This Row],[2021]],2)</f>
        <v>1.74</v>
      </c>
      <c r="BT1802" s="53">
        <f>ROUND(HIX_SLCSP[[#This Row],[Weighting Factor 2022]]*HIX_SLCSP[[#This Row],[2022]],2)</f>
        <v>1.77</v>
      </c>
      <c r="BU1802" s="53">
        <f>ROUND(HIX_SLCSP[[#This Row],[Weighting Factor 2023]]*HIX_SLCSP[[#This Row],[2023]],2)</f>
        <v>1.96</v>
      </c>
      <c r="BV1802" s="53">
        <f>ROUND(HIX_SLCSP[[#This Row],[Weighting Factor 2024]]*HIX_SLCSP[[#This Row],[2024]],2)</f>
        <v>2</v>
      </c>
    </row>
    <row r="1803" spans="4:74" x14ac:dyDescent="0.35">
      <c r="D1803" t="s">
        <v>539</v>
      </c>
      <c r="E1803" t="s">
        <v>255</v>
      </c>
      <c r="F1803" s="23">
        <v>4</v>
      </c>
      <c r="G1803" s="23" t="s">
        <v>540</v>
      </c>
      <c r="H1803" s="23" t="s">
        <v>550</v>
      </c>
      <c r="I1803" s="23">
        <v>36</v>
      </c>
      <c r="J1803" s="53">
        <v>344.71</v>
      </c>
      <c r="K1803" s="53">
        <v>466.62</v>
      </c>
      <c r="L1803" s="53">
        <v>777.39</v>
      </c>
      <c r="M1803" s="54">
        <f t="shared" si="41"/>
        <v>1.6660023145171658</v>
      </c>
      <c r="N1803" s="24">
        <v>32</v>
      </c>
      <c r="O1803" s="55">
        <v>429.18</v>
      </c>
      <c r="P1803" s="56">
        <v>485.34</v>
      </c>
      <c r="Q1803" s="56">
        <v>827.11</v>
      </c>
      <c r="R1803" s="57">
        <f t="shared" si="42"/>
        <v>1.7041867556764332</v>
      </c>
      <c r="S1803" s="23">
        <v>36</v>
      </c>
      <c r="T1803" s="53">
        <v>365.11</v>
      </c>
      <c r="U1803" s="53">
        <v>384.78</v>
      </c>
      <c r="V1803" s="53">
        <v>655.75</v>
      </c>
      <c r="W1803" s="57">
        <f t="shared" si="43"/>
        <v>1.7042205935859454</v>
      </c>
      <c r="X1803" s="47">
        <v>145</v>
      </c>
      <c r="Y1803" s="58">
        <v>325.12</v>
      </c>
      <c r="Z1803" s="58">
        <v>334.15</v>
      </c>
      <c r="AA1803" s="58">
        <v>569.45000000000005</v>
      </c>
      <c r="AB1803" s="57">
        <f t="shared" si="44"/>
        <v>1.7041747718090681</v>
      </c>
      <c r="AC1803" s="47">
        <v>137</v>
      </c>
      <c r="AD1803" s="57">
        <v>351.23</v>
      </c>
      <c r="AE1803" s="57">
        <v>367.86</v>
      </c>
      <c r="AF1803" s="57">
        <v>626.9</v>
      </c>
      <c r="AG1803" s="57">
        <f t="shared" si="45"/>
        <v>1.7041809384004782</v>
      </c>
      <c r="AH1803" s="47">
        <v>161</v>
      </c>
      <c r="AI1803">
        <v>364.49</v>
      </c>
      <c r="AJ1803">
        <v>366.11</v>
      </c>
      <c r="AK1803">
        <v>623.91999999999996</v>
      </c>
      <c r="AL1803" s="57">
        <f t="shared" si="19"/>
        <v>1.7041872661222035</v>
      </c>
      <c r="AM1803" s="47">
        <v>131</v>
      </c>
      <c r="AN1803" s="57">
        <v>343.8</v>
      </c>
      <c r="AO1803" s="57">
        <v>345.45</v>
      </c>
      <c r="AP1803" s="57">
        <v>588.72</v>
      </c>
      <c r="AQ1803" s="57">
        <f t="shared" si="46"/>
        <v>1.7042118975249676</v>
      </c>
      <c r="AR1803" s="59">
        <v>939</v>
      </c>
      <c r="AS1803" s="59">
        <f>SUMIFS(HIX_RatingAreas[Silver Enrollments 2018],HIX_RatingAreas[Area],HIX_SLCSP[[#This Row],[Area Code]])</f>
        <v>895</v>
      </c>
      <c r="AT1803" s="59">
        <f>SUMIFS(HIX_RatingAreas[Silver Enrollments 2019],HIX_RatingAreas[Area],HIX_SLCSP[[#This Row],[Area Code]])</f>
        <v>823</v>
      </c>
      <c r="AU1803" s="59">
        <f>SUMIFS(HIX_RatingAreas[Silver Enrollments 2020],HIX_RatingAreas[Area],HIX_SLCSP[[#This Row],[Area Code]])</f>
        <v>861</v>
      </c>
      <c r="AV1803" s="59">
        <f>SUMIFS(HIX_RatingAreas[Silver Enrollments 2021],HIX_RatingAreas[Area],HIX_SLCSP[[#This Row],[Area Code]])</f>
        <v>781</v>
      </c>
      <c r="AW1803" s="59">
        <f>SUMIFS(HIX_RatingAreas[Silver Enrollments 2022],HIX_RatingAreas[Area],HIX_SLCSP[[#This Row],[Area Code]])</f>
        <v>682</v>
      </c>
      <c r="AX1803" s="59">
        <f>SUMIFS(HIX_RatingAreas[Silver Enrollments 2023],HIX_RatingAreas[Area],HIX_SLCSP[[#This Row],[Area Code]])</f>
        <v>854</v>
      </c>
      <c r="AY1803" s="59">
        <f>SUMIFS(HIX_RatingAreas[Silver Enrollments 2024],HIX_RatingAreas[Area],HIX_SLCSP[[#This Row],[Area Code]])</f>
        <v>1711</v>
      </c>
      <c r="AZ1803" s="59">
        <v>1163</v>
      </c>
      <c r="BA1803">
        <f t="shared" si="35"/>
        <v>6.6731466382374176E-4</v>
      </c>
      <c r="BB1803">
        <f>SUMIFS(HIX_RatingAreas[QHP Enrollments 2018],HIX_RatingAreas[Area],HIX_SLCSP[[#This Row],[Area Code]])</f>
        <v>1193</v>
      </c>
      <c r="BC1803">
        <f t="shared" si="36"/>
        <v>6.9553516562831949E-4</v>
      </c>
      <c r="BD1803">
        <f>SUMIFS(HIX_RatingAreas[QHP Enrollments 2019],HIX_RatingAreas[Area],HIX_SLCSP[[#This Row],[Area Code]])</f>
        <v>1156</v>
      </c>
      <c r="BE1803">
        <f t="shared" si="37"/>
        <v>6.482349616217986E-4</v>
      </c>
      <c r="BF1803">
        <f>SUMIFS(HIX_RatingAreas[QHP Enrollments 2020],HIX_RatingAreas[Area],HIX_SLCSP[[#This Row],[Area Code]])</f>
        <v>1261</v>
      </c>
      <c r="BG1803">
        <f t="shared" si="38"/>
        <v>6.5883828158675003E-4</v>
      </c>
      <c r="BH1803">
        <f>SUMIFS(HIX_RatingAreas[QHP Enrollments 2021],HIX_RatingAreas[Area],HIX_SLCSP[[#This Row],[Area Code]])</f>
        <v>1368</v>
      </c>
      <c r="BI1803">
        <f t="shared" si="39"/>
        <v>6.4517650387907661E-4</v>
      </c>
      <c r="BJ1803">
        <f>SUMIFS(HIX_RatingAreas[QHP Enrollments 2022],HIX_RatingAreas[Area],HIX_SLCSP[[#This Row],[Area Code]])</f>
        <v>1463</v>
      </c>
      <c r="BK1803">
        <f t="shared" si="40"/>
        <v>5.3725651776986036E-4</v>
      </c>
      <c r="BL1803">
        <f>SUMIFS(HIX_RatingAreas[QHP Enrollments 2023],HIX_RatingAreas[Area],HIX_SLCSP[[#This Row],[Area Code]])</f>
        <v>1920</v>
      </c>
      <c r="BM1803">
        <f t="shared" si="47"/>
        <v>5.9526854517297668E-4</v>
      </c>
      <c r="BN1803">
        <f>SUMIFS(HIX_RatingAreas[QHP Enrollments 2024],HIX_RatingAreas[Area],HIX_SLCSP[[#This Row],[Area Code]])</f>
        <v>3096</v>
      </c>
      <c r="BO1803">
        <f t="shared" si="48"/>
        <v>7.3505983757456844E-4</v>
      </c>
      <c r="BP1803" s="53">
        <f>ROUND(HIX_SLCSP[[#This Row],[Weighting Factor 2018]]*HIX_SLCSP[[#This Row],[2018]],2)</f>
        <v>0.32</v>
      </c>
      <c r="BQ1803" s="53">
        <f>ROUND(HIX_SLCSP[[#This Row],[Weighting Factor 2019]]*HIX_SLCSP[[#This Row],[2019]],2)</f>
        <v>0.31</v>
      </c>
      <c r="BR1803" s="53">
        <f>ROUND(HIX_SLCSP[[#This Row],[Weighting Factor 2020]]*HIX_SLCSP[[#This Row],[2020]],2)</f>
        <v>0.25</v>
      </c>
      <c r="BS1803" s="53">
        <f>ROUND(HIX_SLCSP[[#This Row],[Weighting Factor 2021]]*HIX_SLCSP[[#This Row],[2021]],2)</f>
        <v>0.22</v>
      </c>
      <c r="BT1803" s="53">
        <f>ROUND(HIX_SLCSP[[#This Row],[Weighting Factor 2022]]*HIX_SLCSP[[#This Row],[2022]],2)</f>
        <v>0.2</v>
      </c>
      <c r="BU1803" s="53">
        <f>ROUND(HIX_SLCSP[[#This Row],[Weighting Factor 2023]]*HIX_SLCSP[[#This Row],[2023]],2)</f>
        <v>0.22</v>
      </c>
      <c r="BV1803" s="53">
        <f>ROUND(HIX_SLCSP[[#This Row],[Weighting Factor 2024]]*HIX_SLCSP[[#This Row],[2024]],2)</f>
        <v>0.25</v>
      </c>
    </row>
    <row r="1804" spans="4:74" x14ac:dyDescent="0.35">
      <c r="D1804" t="s">
        <v>539</v>
      </c>
      <c r="E1804" t="s">
        <v>259</v>
      </c>
      <c r="F1804" s="23">
        <v>5</v>
      </c>
      <c r="G1804" s="23" t="s">
        <v>540</v>
      </c>
      <c r="H1804" s="23" t="s">
        <v>553</v>
      </c>
      <c r="I1804" s="23">
        <v>162</v>
      </c>
      <c r="J1804" s="53">
        <v>290.22000000000003</v>
      </c>
      <c r="K1804" s="53">
        <v>365.07</v>
      </c>
      <c r="L1804" s="53">
        <v>622.15</v>
      </c>
      <c r="M1804" s="54">
        <f t="shared" si="41"/>
        <v>1.7041937162735914</v>
      </c>
      <c r="N1804" s="24">
        <v>116</v>
      </c>
      <c r="O1804" s="55">
        <v>352</v>
      </c>
      <c r="P1804" s="56">
        <v>352.47</v>
      </c>
      <c r="Q1804" s="56">
        <v>600.67999999999995</v>
      </c>
      <c r="R1804" s="57">
        <f t="shared" si="42"/>
        <v>1.7042017760376766</v>
      </c>
      <c r="S1804" s="23">
        <v>162</v>
      </c>
      <c r="T1804" s="53">
        <v>274.02999999999997</v>
      </c>
      <c r="U1804" s="53">
        <v>350.16</v>
      </c>
      <c r="V1804" s="53">
        <v>596.75</v>
      </c>
      <c r="W1804" s="57">
        <f t="shared" si="43"/>
        <v>1.7042209275759652</v>
      </c>
      <c r="X1804" s="47">
        <v>209</v>
      </c>
      <c r="Y1804" s="58">
        <v>273.89</v>
      </c>
      <c r="Z1804" s="58">
        <v>279.02</v>
      </c>
      <c r="AA1804" s="58">
        <v>475.51</v>
      </c>
      <c r="AB1804" s="57">
        <f t="shared" si="44"/>
        <v>1.7042147516307076</v>
      </c>
      <c r="AC1804" s="47">
        <v>220</v>
      </c>
      <c r="AD1804" s="57">
        <v>270.77999999999997</v>
      </c>
      <c r="AE1804" s="57">
        <v>275.41000000000003</v>
      </c>
      <c r="AF1804" s="57">
        <v>469.35</v>
      </c>
      <c r="AG1804" s="57">
        <f t="shared" si="45"/>
        <v>1.7041864856032822</v>
      </c>
      <c r="AH1804" s="47">
        <v>243</v>
      </c>
      <c r="AI1804">
        <v>294.06</v>
      </c>
      <c r="AJ1804">
        <v>295.33999999999997</v>
      </c>
      <c r="AK1804">
        <v>503.31</v>
      </c>
      <c r="AL1804" s="57">
        <f t="shared" si="19"/>
        <v>1.7041714633981175</v>
      </c>
      <c r="AM1804" s="47">
        <v>202</v>
      </c>
      <c r="AN1804" s="57">
        <v>293.64</v>
      </c>
      <c r="AO1804" s="57">
        <v>295.05</v>
      </c>
      <c r="AP1804" s="57">
        <v>502.83</v>
      </c>
      <c r="AQ1804" s="57">
        <f t="shared" si="46"/>
        <v>1.7042196237925775</v>
      </c>
      <c r="AR1804" s="59">
        <v>28564</v>
      </c>
      <c r="AS1804" s="59">
        <f>SUMIFS(HIX_RatingAreas[Silver Enrollments 2018],HIX_RatingAreas[Area],HIX_SLCSP[[#This Row],[Area Code]])</f>
        <v>19815</v>
      </c>
      <c r="AT1804" s="59">
        <f>SUMIFS(HIX_RatingAreas[Silver Enrollments 2019],HIX_RatingAreas[Area],HIX_SLCSP[[#This Row],[Area Code]])</f>
        <v>16864</v>
      </c>
      <c r="AU1804" s="59">
        <f>SUMIFS(HIX_RatingAreas[Silver Enrollments 2020],HIX_RatingAreas[Area],HIX_SLCSP[[#This Row],[Area Code]])</f>
        <v>16830</v>
      </c>
      <c r="AV1804" s="59">
        <f>SUMIFS(HIX_RatingAreas[Silver Enrollments 2021],HIX_RatingAreas[Area],HIX_SLCSP[[#This Row],[Area Code]])</f>
        <v>19060</v>
      </c>
      <c r="AW1804" s="59">
        <f>SUMIFS(HIX_RatingAreas[Silver Enrollments 2022],HIX_RatingAreas[Area],HIX_SLCSP[[#This Row],[Area Code]])</f>
        <v>25247</v>
      </c>
      <c r="AX1804" s="59">
        <f>SUMIFS(HIX_RatingAreas[Silver Enrollments 2023],HIX_RatingAreas[Area],HIX_SLCSP[[#This Row],[Area Code]])</f>
        <v>27268</v>
      </c>
      <c r="AY1804" s="59">
        <f>SUMIFS(HIX_RatingAreas[Silver Enrollments 2024],HIX_RatingAreas[Area],HIX_SLCSP[[#This Row],[Area Code]])</f>
        <v>37984</v>
      </c>
      <c r="AZ1804" s="59">
        <v>37779</v>
      </c>
      <c r="BA1804">
        <f t="shared" si="35"/>
        <v>2.1677111508681977E-2</v>
      </c>
      <c r="BB1804">
        <f>SUMIFS(HIX_RatingAreas[QHP Enrollments 2018],HIX_RatingAreas[Area],HIX_SLCSP[[#This Row],[Area Code]])</f>
        <v>35327</v>
      </c>
      <c r="BC1804">
        <f t="shared" si="36"/>
        <v>2.0596119695013952E-2</v>
      </c>
      <c r="BD1804">
        <f>SUMIFS(HIX_RatingAreas[QHP Enrollments 2019],HIX_RatingAreas[Area],HIX_SLCSP[[#This Row],[Area Code]])</f>
        <v>34500</v>
      </c>
      <c r="BE1804">
        <f t="shared" si="37"/>
        <v>1.9346112608955062E-2</v>
      </c>
      <c r="BF1804">
        <f>SUMIFS(HIX_RatingAreas[QHP Enrollments 2020],HIX_RatingAreas[Area],HIX_SLCSP[[#This Row],[Area Code]])</f>
        <v>34538</v>
      </c>
      <c r="BG1804">
        <f t="shared" si="38"/>
        <v>1.8045167779098474E-2</v>
      </c>
      <c r="BH1804">
        <f>SUMIFS(HIX_RatingAreas[QHP Enrollments 2021],HIX_RatingAreas[Area],HIX_SLCSP[[#This Row],[Area Code]])</f>
        <v>37785</v>
      </c>
      <c r="BI1804">
        <f t="shared" si="39"/>
        <v>1.7820171198151248E-2</v>
      </c>
      <c r="BJ1804">
        <f>SUMIFS(HIX_RatingAreas[QHP Enrollments 2022],HIX_RatingAreas[Area],HIX_SLCSP[[#This Row],[Area Code]])</f>
        <v>49177</v>
      </c>
      <c r="BK1804">
        <f t="shared" si="40"/>
        <v>1.8059237029643488E-2</v>
      </c>
      <c r="BL1804">
        <f>SUMIFS(HIX_RatingAreas[QHP Enrollments 2023],HIX_RatingAreas[Area],HIX_SLCSP[[#This Row],[Area Code]])</f>
        <v>57112</v>
      </c>
      <c r="BM1804">
        <f t="shared" si="47"/>
        <v>1.770675893329117E-2</v>
      </c>
      <c r="BN1804">
        <f>SUMIFS(HIX_RatingAreas[QHP Enrollments 2024],HIX_RatingAreas[Area],HIX_SLCSP[[#This Row],[Area Code]])</f>
        <v>73901</v>
      </c>
      <c r="BO1804">
        <f t="shared" si="48"/>
        <v>1.7545754863242308E-2</v>
      </c>
      <c r="BP1804" s="53">
        <f>ROUND(HIX_SLCSP[[#This Row],[Weighting Factor 2018]]*HIX_SLCSP[[#This Row],[2018]],2)</f>
        <v>7.52</v>
      </c>
      <c r="BQ1804" s="53">
        <f>ROUND(HIX_SLCSP[[#This Row],[Weighting Factor 2019]]*HIX_SLCSP[[#This Row],[2019]],2)</f>
        <v>6.82</v>
      </c>
      <c r="BR1804" s="53">
        <f>ROUND(HIX_SLCSP[[#This Row],[Weighting Factor 2020]]*HIX_SLCSP[[#This Row],[2020]],2)</f>
        <v>6.32</v>
      </c>
      <c r="BS1804" s="53">
        <f>ROUND(HIX_SLCSP[[#This Row],[Weighting Factor 2021]]*HIX_SLCSP[[#This Row],[2021]],2)</f>
        <v>4.97</v>
      </c>
      <c r="BT1804" s="53">
        <f>ROUND(HIX_SLCSP[[#This Row],[Weighting Factor 2022]]*HIX_SLCSP[[#This Row],[2022]],2)</f>
        <v>4.97</v>
      </c>
      <c r="BU1804" s="53">
        <f>ROUND(HIX_SLCSP[[#This Row],[Weighting Factor 2023]]*HIX_SLCSP[[#This Row],[2023]],2)</f>
        <v>5.23</v>
      </c>
      <c r="BV1804" s="53">
        <f>ROUND(HIX_SLCSP[[#This Row],[Weighting Factor 2024]]*HIX_SLCSP[[#This Row],[2024]],2)</f>
        <v>5.18</v>
      </c>
    </row>
    <row r="1805" spans="4:74" x14ac:dyDescent="0.35">
      <c r="D1805" t="s">
        <v>539</v>
      </c>
      <c r="E1805" t="s">
        <v>265</v>
      </c>
      <c r="F1805" s="23">
        <v>6</v>
      </c>
      <c r="G1805" s="23" t="s">
        <v>540</v>
      </c>
      <c r="H1805" s="23" t="s">
        <v>556</v>
      </c>
      <c r="I1805" s="23">
        <v>137</v>
      </c>
      <c r="J1805" s="53">
        <v>282.39</v>
      </c>
      <c r="K1805" s="53">
        <v>349.24</v>
      </c>
      <c r="L1805" s="53">
        <v>595.16999999999996</v>
      </c>
      <c r="M1805" s="54">
        <f t="shared" si="41"/>
        <v>1.7041862329630053</v>
      </c>
      <c r="N1805" s="24">
        <v>100</v>
      </c>
      <c r="O1805" s="55">
        <v>357.36</v>
      </c>
      <c r="P1805" s="56">
        <v>363.39</v>
      </c>
      <c r="Q1805" s="56">
        <v>619.28</v>
      </c>
      <c r="R1805" s="57">
        <f t="shared" si="42"/>
        <v>1.7041745782767825</v>
      </c>
      <c r="S1805" s="23">
        <v>137</v>
      </c>
      <c r="T1805" s="53">
        <v>269.64</v>
      </c>
      <c r="U1805" s="53">
        <v>283.69</v>
      </c>
      <c r="V1805" s="53">
        <v>483.47</v>
      </c>
      <c r="W1805" s="57">
        <f t="shared" si="43"/>
        <v>1.7042193944093906</v>
      </c>
      <c r="X1805" s="47">
        <v>275</v>
      </c>
      <c r="Y1805" s="58">
        <v>275.67</v>
      </c>
      <c r="Z1805" s="58">
        <v>277.45999999999998</v>
      </c>
      <c r="AA1805" s="58">
        <v>472.86</v>
      </c>
      <c r="AB1805" s="57">
        <f t="shared" si="44"/>
        <v>1.7042456570316444</v>
      </c>
      <c r="AC1805" s="47">
        <v>414</v>
      </c>
      <c r="AD1805" s="57">
        <v>270.06</v>
      </c>
      <c r="AE1805" s="57">
        <v>273.7</v>
      </c>
      <c r="AF1805" s="57">
        <v>466.44</v>
      </c>
      <c r="AG1805" s="57">
        <f t="shared" si="45"/>
        <v>1.7042016806722691</v>
      </c>
      <c r="AH1805" s="47">
        <v>377</v>
      </c>
      <c r="AI1805">
        <v>276.64999999999998</v>
      </c>
      <c r="AJ1805">
        <v>289.42</v>
      </c>
      <c r="AK1805">
        <v>493.23</v>
      </c>
      <c r="AL1805" s="57">
        <f t="shared" si="19"/>
        <v>1.7042015064611982</v>
      </c>
      <c r="AM1805" s="47">
        <v>271</v>
      </c>
      <c r="AN1805" s="57">
        <v>306.98</v>
      </c>
      <c r="AO1805" s="57">
        <v>312.52999999999997</v>
      </c>
      <c r="AP1805" s="57">
        <v>532.61</v>
      </c>
      <c r="AQ1805" s="57">
        <f t="shared" si="46"/>
        <v>1.7041883979138004</v>
      </c>
      <c r="AR1805" s="59">
        <v>190594</v>
      </c>
      <c r="AS1805" s="59">
        <f>SUMIFS(HIX_RatingAreas[Silver Enrollments 2018],HIX_RatingAreas[Area],HIX_SLCSP[[#This Row],[Area Code]])</f>
        <v>166761</v>
      </c>
      <c r="AT1805" s="59">
        <f>SUMIFS(HIX_RatingAreas[Silver Enrollments 2019],HIX_RatingAreas[Area],HIX_SLCSP[[#This Row],[Area Code]])</f>
        <v>173578</v>
      </c>
      <c r="AU1805" s="59">
        <f>SUMIFS(HIX_RatingAreas[Silver Enrollments 2020],HIX_RatingAreas[Area],HIX_SLCSP[[#This Row],[Area Code]])</f>
        <v>179658</v>
      </c>
      <c r="AV1805" s="59">
        <f>SUMIFS(HIX_RatingAreas[Silver Enrollments 2021],HIX_RatingAreas[Area],HIX_SLCSP[[#This Row],[Area Code]])</f>
        <v>186348</v>
      </c>
      <c r="AW1805" s="59">
        <f>SUMIFS(HIX_RatingAreas[Silver Enrollments 2022],HIX_RatingAreas[Area],HIX_SLCSP[[#This Row],[Area Code]])</f>
        <v>235550</v>
      </c>
      <c r="AX1805" s="59">
        <f>SUMIFS(HIX_RatingAreas[Silver Enrollments 2023],HIX_RatingAreas[Area],HIX_SLCSP[[#This Row],[Area Code]])</f>
        <v>292732</v>
      </c>
      <c r="AY1805" s="59">
        <f>SUMIFS(HIX_RatingAreas[Silver Enrollments 2024],HIX_RatingAreas[Area],HIX_SLCSP[[#This Row],[Area Code]])</f>
        <v>348348</v>
      </c>
      <c r="AZ1805" s="59">
        <v>241784</v>
      </c>
      <c r="BA1805">
        <f t="shared" si="35"/>
        <v>0.13873259559583798</v>
      </c>
      <c r="BB1805">
        <f>SUMIFS(HIX_RatingAreas[QHP Enrollments 2018],HIX_RatingAreas[Area],HIX_SLCSP[[#This Row],[Area Code]])</f>
        <v>234419</v>
      </c>
      <c r="BC1805">
        <f t="shared" si="36"/>
        <v>0.13666945347143758</v>
      </c>
      <c r="BD1805">
        <f>SUMIFS(HIX_RatingAreas[QHP Enrollments 2019],HIX_RatingAreas[Area],HIX_SLCSP[[#This Row],[Area Code]])</f>
        <v>242609</v>
      </c>
      <c r="BE1805">
        <f t="shared" si="37"/>
        <v>0.13604466765060808</v>
      </c>
      <c r="BF1805">
        <f>SUMIFS(HIX_RatingAreas[QHP Enrollments 2020],HIX_RatingAreas[Area],HIX_SLCSP[[#This Row],[Area Code]])</f>
        <v>258954</v>
      </c>
      <c r="BG1805">
        <f t="shared" si="38"/>
        <v>0.13529643804124925</v>
      </c>
      <c r="BH1805">
        <f>SUMIFS(HIX_RatingAreas[QHP Enrollments 2021],HIX_RatingAreas[Area],HIX_SLCSP[[#This Row],[Area Code]])</f>
        <v>280963</v>
      </c>
      <c r="BI1805">
        <f t="shared" si="39"/>
        <v>0.13250784068667909</v>
      </c>
      <c r="BJ1805">
        <f>SUMIFS(HIX_RatingAreas[QHP Enrollments 2022],HIX_RatingAreas[Area],HIX_SLCSP[[#This Row],[Area Code]])</f>
        <v>349201</v>
      </c>
      <c r="BK1805">
        <f t="shared" si="40"/>
        <v>0.12823685117002939</v>
      </c>
      <c r="BL1805">
        <f>SUMIFS(HIX_RatingAreas[QHP Enrollments 2023],HIX_RatingAreas[Area],HIX_SLCSP[[#This Row],[Area Code]])</f>
        <v>413957</v>
      </c>
      <c r="BM1805">
        <f t="shared" si="47"/>
        <v>0.12834144851779683</v>
      </c>
      <c r="BN1805">
        <f>SUMIFS(HIX_RatingAreas[QHP Enrollments 2024],HIX_RatingAreas[Area],HIX_SLCSP[[#This Row],[Area Code]])</f>
        <v>524516</v>
      </c>
      <c r="BO1805">
        <f t="shared" si="48"/>
        <v>0.12453186232728113</v>
      </c>
      <c r="BP1805" s="53">
        <f>ROUND(HIX_SLCSP[[#This Row],[Weighting Factor 2018]]*HIX_SLCSP[[#This Row],[2018]],2)</f>
        <v>47.73</v>
      </c>
      <c r="BQ1805" s="53">
        <f>ROUND(HIX_SLCSP[[#This Row],[Weighting Factor 2019]]*HIX_SLCSP[[#This Row],[2019]],2)</f>
        <v>49.44</v>
      </c>
      <c r="BR1805" s="53">
        <f>ROUND(HIX_SLCSP[[#This Row],[Weighting Factor 2020]]*HIX_SLCSP[[#This Row],[2020]],2)</f>
        <v>38.380000000000003</v>
      </c>
      <c r="BS1805" s="53">
        <f>ROUND(HIX_SLCSP[[#This Row],[Weighting Factor 2021]]*HIX_SLCSP[[#This Row],[2021]],2)</f>
        <v>36.770000000000003</v>
      </c>
      <c r="BT1805" s="53">
        <f>ROUND(HIX_SLCSP[[#This Row],[Weighting Factor 2022]]*HIX_SLCSP[[#This Row],[2022]],2)</f>
        <v>35.1</v>
      </c>
      <c r="BU1805" s="53">
        <f>ROUND(HIX_SLCSP[[#This Row],[Weighting Factor 2023]]*HIX_SLCSP[[#This Row],[2023]],2)</f>
        <v>37.14</v>
      </c>
      <c r="BV1805" s="53">
        <f>ROUND(HIX_SLCSP[[#This Row],[Weighting Factor 2024]]*HIX_SLCSP[[#This Row],[2024]],2)</f>
        <v>38.92</v>
      </c>
    </row>
    <row r="1806" spans="4:74" x14ac:dyDescent="0.35">
      <c r="D1806" t="s">
        <v>539</v>
      </c>
      <c r="E1806" t="s">
        <v>273</v>
      </c>
      <c r="F1806" s="23">
        <v>7</v>
      </c>
      <c r="G1806" s="23" t="s">
        <v>540</v>
      </c>
      <c r="H1806" s="23" t="s">
        <v>559</v>
      </c>
      <c r="I1806" s="23">
        <v>16</v>
      </c>
      <c r="J1806" s="53">
        <v>451.45</v>
      </c>
      <c r="K1806" s="53">
        <v>590.42999999999995</v>
      </c>
      <c r="L1806" s="53">
        <v>1006.21</v>
      </c>
      <c r="M1806" s="54">
        <f t="shared" si="41"/>
        <v>1.7041986348932137</v>
      </c>
      <c r="N1806" s="24">
        <v>16</v>
      </c>
      <c r="O1806" s="55">
        <v>523.9</v>
      </c>
      <c r="P1806" s="56">
        <v>566.29999999999995</v>
      </c>
      <c r="Q1806" s="56">
        <v>965.08</v>
      </c>
      <c r="R1806" s="57">
        <f t="shared" si="42"/>
        <v>1.704185060921773</v>
      </c>
      <c r="S1806" s="23">
        <v>16</v>
      </c>
      <c r="T1806" s="53">
        <v>501.87</v>
      </c>
      <c r="U1806" s="53">
        <v>541.35</v>
      </c>
      <c r="V1806" s="53">
        <v>922.58</v>
      </c>
      <c r="W1806" s="57">
        <f t="shared" si="43"/>
        <v>1.704220929158585</v>
      </c>
      <c r="X1806" s="47">
        <v>102</v>
      </c>
      <c r="Y1806" s="58">
        <v>316.51</v>
      </c>
      <c r="Z1806" s="58">
        <v>325.29000000000002</v>
      </c>
      <c r="AA1806" s="58">
        <v>554.36</v>
      </c>
      <c r="AB1806" s="57">
        <f t="shared" si="44"/>
        <v>1.7042024040087307</v>
      </c>
      <c r="AC1806" s="47">
        <v>97</v>
      </c>
      <c r="AD1806" s="57">
        <v>329.44</v>
      </c>
      <c r="AE1806" s="57">
        <v>345.04</v>
      </c>
      <c r="AF1806" s="57">
        <v>588.01</v>
      </c>
      <c r="AG1806" s="57">
        <f t="shared" si="45"/>
        <v>1.7041792255970321</v>
      </c>
      <c r="AH1806" s="47">
        <v>117</v>
      </c>
      <c r="AI1806">
        <v>320.12</v>
      </c>
      <c r="AJ1806">
        <v>321.52</v>
      </c>
      <c r="AK1806">
        <v>547.94000000000005</v>
      </c>
      <c r="AL1806" s="57">
        <f t="shared" si="19"/>
        <v>1.7042174670316002</v>
      </c>
      <c r="AM1806" s="47">
        <v>117</v>
      </c>
      <c r="AN1806" s="57">
        <v>290.70999999999998</v>
      </c>
      <c r="AO1806" s="57">
        <v>292.11</v>
      </c>
      <c r="AP1806" s="57">
        <v>497.81</v>
      </c>
      <c r="AQ1806" s="57">
        <f t="shared" si="46"/>
        <v>1.704186778953134</v>
      </c>
      <c r="AR1806" s="59">
        <v>391</v>
      </c>
      <c r="AS1806" s="59">
        <f>SUMIFS(HIX_RatingAreas[Silver Enrollments 2018],HIX_RatingAreas[Area],HIX_SLCSP[[#This Row],[Area Code]])</f>
        <v>389</v>
      </c>
      <c r="AT1806" s="59">
        <f>SUMIFS(HIX_RatingAreas[Silver Enrollments 2019],HIX_RatingAreas[Area],HIX_SLCSP[[#This Row],[Area Code]])</f>
        <v>369</v>
      </c>
      <c r="AU1806" s="59">
        <f>SUMIFS(HIX_RatingAreas[Silver Enrollments 2020],HIX_RatingAreas[Area],HIX_SLCSP[[#This Row],[Area Code]])</f>
        <v>374</v>
      </c>
      <c r="AV1806" s="59">
        <f>SUMIFS(HIX_RatingAreas[Silver Enrollments 2021],HIX_RatingAreas[Area],HIX_SLCSP[[#This Row],[Area Code]])</f>
        <v>280</v>
      </c>
      <c r="AW1806" s="59">
        <f>SUMIFS(HIX_RatingAreas[Silver Enrollments 2022],HIX_RatingAreas[Area],HIX_SLCSP[[#This Row],[Area Code]])</f>
        <v>205</v>
      </c>
      <c r="AX1806" s="59">
        <f>SUMIFS(HIX_RatingAreas[Silver Enrollments 2023],HIX_RatingAreas[Area],HIX_SLCSP[[#This Row],[Area Code]])</f>
        <v>284</v>
      </c>
      <c r="AY1806" s="59">
        <f>SUMIFS(HIX_RatingAreas[Silver Enrollments 2024],HIX_RatingAreas[Area],HIX_SLCSP[[#This Row],[Area Code]])</f>
        <v>710</v>
      </c>
      <c r="AZ1806" s="59">
        <v>503</v>
      </c>
      <c r="BA1806">
        <f t="shared" si="35"/>
        <v>2.8861502657209119E-4</v>
      </c>
      <c r="BB1806">
        <f>SUMIFS(HIX_RatingAreas[QHP Enrollments 2018],HIX_RatingAreas[Area],HIX_SLCSP[[#This Row],[Area Code]])</f>
        <v>541</v>
      </c>
      <c r="BC1806">
        <f t="shared" si="36"/>
        <v>3.154103307669077E-4</v>
      </c>
      <c r="BD1806">
        <f>SUMIFS(HIX_RatingAreas[QHP Enrollments 2019],HIX_RatingAreas[Area],HIX_SLCSP[[#This Row],[Area Code]])</f>
        <v>545</v>
      </c>
      <c r="BE1806">
        <f t="shared" si="37"/>
        <v>3.0561250353276841E-4</v>
      </c>
      <c r="BF1806">
        <f>SUMIFS(HIX_RatingAreas[QHP Enrollments 2020],HIX_RatingAreas[Area],HIX_SLCSP[[#This Row],[Area Code]])</f>
        <v>587</v>
      </c>
      <c r="BG1806">
        <f t="shared" si="38"/>
        <v>3.0669157120652045E-4</v>
      </c>
      <c r="BH1806">
        <f>SUMIFS(HIX_RatingAreas[QHP Enrollments 2021],HIX_RatingAreas[Area],HIX_SLCSP[[#This Row],[Area Code]])</f>
        <v>630</v>
      </c>
      <c r="BI1806">
        <f t="shared" si="39"/>
        <v>2.9712075836536421E-4</v>
      </c>
      <c r="BJ1806">
        <f>SUMIFS(HIX_RatingAreas[QHP Enrollments 2022],HIX_RatingAreas[Area],HIX_SLCSP[[#This Row],[Area Code]])</f>
        <v>730</v>
      </c>
      <c r="BK1806">
        <f t="shared" si="40"/>
        <v>2.6807741488174851E-4</v>
      </c>
      <c r="BL1806">
        <f>SUMIFS(HIX_RatingAreas[QHP Enrollments 2023],HIX_RatingAreas[Area],HIX_SLCSP[[#This Row],[Area Code]])</f>
        <v>931</v>
      </c>
      <c r="BM1806">
        <f t="shared" si="47"/>
        <v>2.8864323726877152E-4</v>
      </c>
      <c r="BN1806">
        <f>SUMIFS(HIX_RatingAreas[QHP Enrollments 2024],HIX_RatingAreas[Area],HIX_SLCSP[[#This Row],[Area Code]])</f>
        <v>1405</v>
      </c>
      <c r="BO1806">
        <f t="shared" si="48"/>
        <v>3.3357851156081027E-4</v>
      </c>
      <c r="BP1806" s="53">
        <f>ROUND(HIX_SLCSP[[#This Row],[Weighting Factor 2018]]*HIX_SLCSP[[#This Row],[2018]],2)</f>
        <v>0.19</v>
      </c>
      <c r="BQ1806" s="53">
        <f>ROUND(HIX_SLCSP[[#This Row],[Weighting Factor 2019]]*HIX_SLCSP[[#This Row],[2019]],2)</f>
        <v>0.17</v>
      </c>
      <c r="BR1806" s="53">
        <f>ROUND(HIX_SLCSP[[#This Row],[Weighting Factor 2020]]*HIX_SLCSP[[#This Row],[2020]],2)</f>
        <v>0.17</v>
      </c>
      <c r="BS1806" s="53">
        <f>ROUND(HIX_SLCSP[[#This Row],[Weighting Factor 2021]]*HIX_SLCSP[[#This Row],[2021]],2)</f>
        <v>0.1</v>
      </c>
      <c r="BT1806" s="53">
        <f>ROUND(HIX_SLCSP[[#This Row],[Weighting Factor 2022]]*HIX_SLCSP[[#This Row],[2022]],2)</f>
        <v>0.09</v>
      </c>
      <c r="BU1806" s="53">
        <f>ROUND(HIX_SLCSP[[#This Row],[Weighting Factor 2023]]*HIX_SLCSP[[#This Row],[2023]],2)</f>
        <v>0.09</v>
      </c>
      <c r="BV1806" s="53">
        <f>ROUND(HIX_SLCSP[[#This Row],[Weighting Factor 2024]]*HIX_SLCSP[[#This Row],[2024]],2)</f>
        <v>0.1</v>
      </c>
    </row>
    <row r="1807" spans="4:74" x14ac:dyDescent="0.35">
      <c r="D1807" t="s">
        <v>539</v>
      </c>
      <c r="E1807" t="s">
        <v>279</v>
      </c>
      <c r="F1807" s="23">
        <v>8</v>
      </c>
      <c r="G1807" s="23" t="s">
        <v>540</v>
      </c>
      <c r="H1807" s="23" t="s">
        <v>561</v>
      </c>
      <c r="I1807" s="23">
        <v>120</v>
      </c>
      <c r="J1807" s="53">
        <v>308.07</v>
      </c>
      <c r="K1807" s="53">
        <v>341.45</v>
      </c>
      <c r="L1807" s="53">
        <v>581.91</v>
      </c>
      <c r="M1807" s="54">
        <f t="shared" si="41"/>
        <v>1.7042319519695417</v>
      </c>
      <c r="N1807" s="24">
        <v>96</v>
      </c>
      <c r="O1807" s="55">
        <v>354.79</v>
      </c>
      <c r="P1807" s="56">
        <v>360.18</v>
      </c>
      <c r="Q1807" s="56">
        <v>613.80999999999995</v>
      </c>
      <c r="R1807" s="57">
        <f t="shared" si="42"/>
        <v>1.7041756899328111</v>
      </c>
      <c r="S1807" s="23">
        <v>120</v>
      </c>
      <c r="T1807" s="53">
        <v>271.75</v>
      </c>
      <c r="U1807" s="53">
        <v>295.13</v>
      </c>
      <c r="V1807" s="53">
        <v>502.96</v>
      </c>
      <c r="W1807" s="57">
        <f t="shared" si="43"/>
        <v>1.7041981499678107</v>
      </c>
      <c r="X1807" s="47">
        <v>184</v>
      </c>
      <c r="Y1807" s="58">
        <v>257.2</v>
      </c>
      <c r="Z1807" s="58">
        <v>262.48</v>
      </c>
      <c r="AA1807" s="58">
        <v>447.32</v>
      </c>
      <c r="AB1807" s="57">
        <f t="shared" si="44"/>
        <v>1.7042060347455044</v>
      </c>
      <c r="AC1807" s="47">
        <v>232</v>
      </c>
      <c r="AD1807" s="57">
        <v>253.7</v>
      </c>
      <c r="AE1807" s="57">
        <v>254.85</v>
      </c>
      <c r="AF1807" s="57">
        <v>434.31</v>
      </c>
      <c r="AG1807" s="57">
        <f t="shared" si="45"/>
        <v>1.7041789287816362</v>
      </c>
      <c r="AH1807" s="47">
        <v>193</v>
      </c>
      <c r="AI1807">
        <v>285.64</v>
      </c>
      <c r="AJ1807">
        <v>288.94</v>
      </c>
      <c r="AK1807">
        <v>492.42</v>
      </c>
      <c r="AL1807" s="57">
        <f t="shared" si="19"/>
        <v>1.7042292517477677</v>
      </c>
      <c r="AM1807" s="47">
        <v>135</v>
      </c>
      <c r="AN1807" s="57">
        <v>316.44</v>
      </c>
      <c r="AO1807" s="57">
        <v>317.95999999999998</v>
      </c>
      <c r="AP1807" s="57">
        <v>541.86</v>
      </c>
      <c r="AQ1807" s="57">
        <f t="shared" si="46"/>
        <v>1.7041766259906908</v>
      </c>
      <c r="AR1807" s="59">
        <v>8627</v>
      </c>
      <c r="AS1807" s="59">
        <f>SUMIFS(HIX_RatingAreas[Silver Enrollments 2018],HIX_RatingAreas[Area],HIX_SLCSP[[#This Row],[Area Code]])</f>
        <v>5239</v>
      </c>
      <c r="AT1807" s="59">
        <f>SUMIFS(HIX_RatingAreas[Silver Enrollments 2019],HIX_RatingAreas[Area],HIX_SLCSP[[#This Row],[Area Code]])</f>
        <v>4988</v>
      </c>
      <c r="AU1807" s="59">
        <f>SUMIFS(HIX_RatingAreas[Silver Enrollments 2020],HIX_RatingAreas[Area],HIX_SLCSP[[#This Row],[Area Code]])</f>
        <v>5217</v>
      </c>
      <c r="AV1807" s="59">
        <f>SUMIFS(HIX_RatingAreas[Silver Enrollments 2021],HIX_RatingAreas[Area],HIX_SLCSP[[#This Row],[Area Code]])</f>
        <v>5167</v>
      </c>
      <c r="AW1807" s="59">
        <f>SUMIFS(HIX_RatingAreas[Silver Enrollments 2022],HIX_RatingAreas[Area],HIX_SLCSP[[#This Row],[Area Code]])</f>
        <v>7007</v>
      </c>
      <c r="AX1807" s="59">
        <f>SUMIFS(HIX_RatingAreas[Silver Enrollments 2023],HIX_RatingAreas[Area],HIX_SLCSP[[#This Row],[Area Code]])</f>
        <v>7989</v>
      </c>
      <c r="AY1807" s="59">
        <f>SUMIFS(HIX_RatingAreas[Silver Enrollments 2024],HIX_RatingAreas[Area],HIX_SLCSP[[#This Row],[Area Code]])</f>
        <v>11619</v>
      </c>
      <c r="AZ1807" s="59">
        <v>11451</v>
      </c>
      <c r="BA1807">
        <f t="shared" si="35"/>
        <v>6.5704387063161363E-3</v>
      </c>
      <c r="BB1807">
        <f>SUMIFS(HIX_RatingAreas[QHP Enrollments 2018],HIX_RatingAreas[Area],HIX_SLCSP[[#This Row],[Area Code]])</f>
        <v>9945</v>
      </c>
      <c r="BC1807">
        <f t="shared" si="36"/>
        <v>5.7980697587373328E-3</v>
      </c>
      <c r="BD1807">
        <f>SUMIFS(HIX_RatingAreas[QHP Enrollments 2019],HIX_RatingAreas[Area],HIX_SLCSP[[#This Row],[Area Code]])</f>
        <v>9700</v>
      </c>
      <c r="BE1807">
        <f t="shared" si="37"/>
        <v>5.439341805996061E-3</v>
      </c>
      <c r="BF1807">
        <f>SUMIFS(HIX_RatingAreas[QHP Enrollments 2020],HIX_RatingAreas[Area],HIX_SLCSP[[#This Row],[Area Code]])</f>
        <v>9953</v>
      </c>
      <c r="BG1807">
        <f t="shared" si="38"/>
        <v>5.2001724160451413E-3</v>
      </c>
      <c r="BH1807">
        <f>SUMIFS(HIX_RatingAreas[QHP Enrollments 2021],HIX_RatingAreas[Area],HIX_SLCSP[[#This Row],[Area Code]])</f>
        <v>10725</v>
      </c>
      <c r="BI1807">
        <f t="shared" si="39"/>
        <v>5.0581271959817958E-3</v>
      </c>
      <c r="BJ1807">
        <f>SUMIFS(HIX_RatingAreas[QHP Enrollments 2022],HIX_RatingAreas[Area],HIX_SLCSP[[#This Row],[Area Code]])</f>
        <v>14452</v>
      </c>
      <c r="BK1807">
        <f t="shared" si="40"/>
        <v>5.3071983559877106E-3</v>
      </c>
      <c r="BL1807">
        <f>SUMIFS(HIX_RatingAreas[QHP Enrollments 2023],HIX_RatingAreas[Area],HIX_SLCSP[[#This Row],[Area Code]])</f>
        <v>16998</v>
      </c>
      <c r="BM1807">
        <f t="shared" si="47"/>
        <v>5.2699868389845094E-3</v>
      </c>
      <c r="BN1807">
        <f>SUMIFS(HIX_RatingAreas[QHP Enrollments 2024],HIX_RatingAreas[Area],HIX_SLCSP[[#This Row],[Area Code]])</f>
        <v>23088</v>
      </c>
      <c r="BO1807">
        <f t="shared" si="48"/>
        <v>5.4816090212925182E-3</v>
      </c>
      <c r="BP1807" s="53">
        <f>ROUND(HIX_SLCSP[[#This Row],[Weighting Factor 2018]]*HIX_SLCSP[[#This Row],[2018]],2)</f>
        <v>1.98</v>
      </c>
      <c r="BQ1807" s="53">
        <f>ROUND(HIX_SLCSP[[#This Row],[Weighting Factor 2019]]*HIX_SLCSP[[#This Row],[2019]],2)</f>
        <v>1.96</v>
      </c>
      <c r="BR1807" s="53">
        <f>ROUND(HIX_SLCSP[[#This Row],[Weighting Factor 2020]]*HIX_SLCSP[[#This Row],[2020]],2)</f>
        <v>1.53</v>
      </c>
      <c r="BS1807" s="53">
        <f>ROUND(HIX_SLCSP[[#This Row],[Weighting Factor 2021]]*HIX_SLCSP[[#This Row],[2021]],2)</f>
        <v>1.33</v>
      </c>
      <c r="BT1807" s="53">
        <f>ROUND(HIX_SLCSP[[#This Row],[Weighting Factor 2022]]*HIX_SLCSP[[#This Row],[2022]],2)</f>
        <v>1.35</v>
      </c>
      <c r="BU1807" s="53">
        <f>ROUND(HIX_SLCSP[[#This Row],[Weighting Factor 2023]]*HIX_SLCSP[[#This Row],[2023]],2)</f>
        <v>1.52</v>
      </c>
      <c r="BV1807" s="53">
        <f>ROUND(HIX_SLCSP[[#This Row],[Weighting Factor 2024]]*HIX_SLCSP[[#This Row],[2024]],2)</f>
        <v>1.74</v>
      </c>
    </row>
    <row r="1808" spans="4:74" x14ac:dyDescent="0.35">
      <c r="D1808" t="s">
        <v>539</v>
      </c>
      <c r="E1808" t="s">
        <v>283</v>
      </c>
      <c r="F1808" s="23">
        <v>9</v>
      </c>
      <c r="G1808" s="23" t="s">
        <v>540</v>
      </c>
      <c r="H1808" s="23" t="s">
        <v>564</v>
      </c>
      <c r="I1808" s="23">
        <v>120</v>
      </c>
      <c r="J1808" s="53">
        <v>313.07</v>
      </c>
      <c r="K1808" s="53">
        <v>338.64</v>
      </c>
      <c r="L1808" s="53">
        <v>577.11</v>
      </c>
      <c r="M1808" s="54">
        <f t="shared" si="41"/>
        <v>1.7041991495393338</v>
      </c>
      <c r="N1808" s="24">
        <v>96</v>
      </c>
      <c r="O1808" s="55">
        <v>354.05</v>
      </c>
      <c r="P1808" s="56">
        <v>360.02</v>
      </c>
      <c r="Q1808" s="56">
        <v>613.54999999999995</v>
      </c>
      <c r="R1808" s="57">
        <f t="shared" si="42"/>
        <v>1.7042108771734903</v>
      </c>
      <c r="S1808" s="23">
        <v>120</v>
      </c>
      <c r="T1808" s="53">
        <v>280.77999999999997</v>
      </c>
      <c r="U1808" s="53">
        <v>291.22000000000003</v>
      </c>
      <c r="V1808" s="53">
        <v>496.29</v>
      </c>
      <c r="W1808" s="57">
        <f t="shared" si="43"/>
        <v>1.7041755373944096</v>
      </c>
      <c r="X1808" s="47">
        <v>185</v>
      </c>
      <c r="Y1808" s="58">
        <v>263.87</v>
      </c>
      <c r="Z1808" s="58">
        <v>263.88</v>
      </c>
      <c r="AA1808" s="58">
        <v>449.7</v>
      </c>
      <c r="AB1808" s="57">
        <f t="shared" si="44"/>
        <v>1.7041837198726695</v>
      </c>
      <c r="AC1808" s="47">
        <v>204</v>
      </c>
      <c r="AD1808" s="57">
        <v>262.23</v>
      </c>
      <c r="AE1808" s="57">
        <v>263.07</v>
      </c>
      <c r="AF1808" s="57">
        <v>448.32</v>
      </c>
      <c r="AG1808" s="57">
        <f t="shared" si="45"/>
        <v>1.704185197856084</v>
      </c>
      <c r="AH1808" s="47">
        <v>186</v>
      </c>
      <c r="AI1808">
        <v>299.27</v>
      </c>
      <c r="AJ1808">
        <v>343.65</v>
      </c>
      <c r="AK1808">
        <v>585.65</v>
      </c>
      <c r="AL1808" s="57">
        <f t="shared" si="19"/>
        <v>1.7042048595955188</v>
      </c>
      <c r="AM1808" s="47">
        <v>128</v>
      </c>
      <c r="AN1808" s="57">
        <v>303.95</v>
      </c>
      <c r="AO1808" s="57">
        <v>305.41000000000003</v>
      </c>
      <c r="AP1808" s="57">
        <v>520.48</v>
      </c>
      <c r="AQ1808" s="57">
        <f t="shared" si="46"/>
        <v>1.7042009102517925</v>
      </c>
      <c r="AR1808" s="59">
        <v>8033</v>
      </c>
      <c r="AS1808" s="59">
        <f>SUMIFS(HIX_RatingAreas[Silver Enrollments 2018],HIX_RatingAreas[Area],HIX_SLCSP[[#This Row],[Area Code]])</f>
        <v>4838</v>
      </c>
      <c r="AT1808" s="59">
        <f>SUMIFS(HIX_RatingAreas[Silver Enrollments 2019],HIX_RatingAreas[Area],HIX_SLCSP[[#This Row],[Area Code]])</f>
        <v>4460</v>
      </c>
      <c r="AU1808" s="59">
        <f>SUMIFS(HIX_RatingAreas[Silver Enrollments 2020],HIX_RatingAreas[Area],HIX_SLCSP[[#This Row],[Area Code]])</f>
        <v>4731</v>
      </c>
      <c r="AV1808" s="59">
        <f>SUMIFS(HIX_RatingAreas[Silver Enrollments 2021],HIX_RatingAreas[Area],HIX_SLCSP[[#This Row],[Area Code]])</f>
        <v>4539</v>
      </c>
      <c r="AW1808" s="59">
        <f>SUMIFS(HIX_RatingAreas[Silver Enrollments 2022],HIX_RatingAreas[Area],HIX_SLCSP[[#This Row],[Area Code]])</f>
        <v>6066</v>
      </c>
      <c r="AX1808" s="59">
        <f>SUMIFS(HIX_RatingAreas[Silver Enrollments 2023],HIX_RatingAreas[Area],HIX_SLCSP[[#This Row],[Area Code]])</f>
        <v>7105</v>
      </c>
      <c r="AY1808" s="59">
        <f>SUMIFS(HIX_RatingAreas[Silver Enrollments 2024],HIX_RatingAreas[Area],HIX_SLCSP[[#This Row],[Area Code]])</f>
        <v>10171</v>
      </c>
      <c r="AZ1808" s="59">
        <v>10017</v>
      </c>
      <c r="BA1808">
        <f t="shared" si="35"/>
        <v>5.7476276762875502E-3</v>
      </c>
      <c r="BB1808">
        <f>SUMIFS(HIX_RatingAreas[QHP Enrollments 2018],HIX_RatingAreas[Area],HIX_SLCSP[[#This Row],[Area Code]])</f>
        <v>8826</v>
      </c>
      <c r="BC1808">
        <f t="shared" si="36"/>
        <v>5.1456775958386826E-3</v>
      </c>
      <c r="BD1808">
        <f>SUMIFS(HIX_RatingAreas[QHP Enrollments 2019],HIX_RatingAreas[Area],HIX_SLCSP[[#This Row],[Area Code]])</f>
        <v>8619</v>
      </c>
      <c r="BE1808">
        <f t="shared" si="37"/>
        <v>4.8331636109154689E-3</v>
      </c>
      <c r="BF1808">
        <f>SUMIFS(HIX_RatingAreas[QHP Enrollments 2020],HIX_RatingAreas[Area],HIX_SLCSP[[#This Row],[Area Code]])</f>
        <v>8754</v>
      </c>
      <c r="BG1808">
        <f t="shared" si="38"/>
        <v>4.5737274520304605E-3</v>
      </c>
      <c r="BH1808">
        <f>SUMIFS(HIX_RatingAreas[QHP Enrollments 2021],HIX_RatingAreas[Area],HIX_SLCSP[[#This Row],[Area Code]])</f>
        <v>9119</v>
      </c>
      <c r="BI1808">
        <f t="shared" si="39"/>
        <v>4.3007050722758036E-3</v>
      </c>
      <c r="BJ1808">
        <f>SUMIFS(HIX_RatingAreas[QHP Enrollments 2022],HIX_RatingAreas[Area],HIX_SLCSP[[#This Row],[Area Code]])</f>
        <v>11665</v>
      </c>
      <c r="BK1808">
        <f t="shared" si="40"/>
        <v>4.2837301980761591E-3</v>
      </c>
      <c r="BL1808">
        <f>SUMIFS(HIX_RatingAreas[QHP Enrollments 2023],HIX_RatingAreas[Area],HIX_SLCSP[[#This Row],[Area Code]])</f>
        <v>13835</v>
      </c>
      <c r="BM1808">
        <f t="shared" si="47"/>
        <v>4.2893439179521519E-3</v>
      </c>
      <c r="BN1808">
        <f>SUMIFS(HIX_RatingAreas[QHP Enrollments 2024],HIX_RatingAreas[Area],HIX_SLCSP[[#This Row],[Area Code]])</f>
        <v>18379</v>
      </c>
      <c r="BO1808">
        <f t="shared" si="48"/>
        <v>4.3635868071004499E-3</v>
      </c>
      <c r="BP1808" s="53">
        <f>ROUND(HIX_SLCSP[[#This Row],[Weighting Factor 2018]]*HIX_SLCSP[[#This Row],[2018]],2)</f>
        <v>1.74</v>
      </c>
      <c r="BQ1808" s="53">
        <f>ROUND(HIX_SLCSP[[#This Row],[Weighting Factor 2019]]*HIX_SLCSP[[#This Row],[2019]],2)</f>
        <v>1.74</v>
      </c>
      <c r="BR1808" s="53">
        <f>ROUND(HIX_SLCSP[[#This Row],[Weighting Factor 2020]]*HIX_SLCSP[[#This Row],[2020]],2)</f>
        <v>1.33</v>
      </c>
      <c r="BS1808" s="53">
        <f>ROUND(HIX_SLCSP[[#This Row],[Weighting Factor 2021]]*HIX_SLCSP[[#This Row],[2021]],2)</f>
        <v>1.1299999999999999</v>
      </c>
      <c r="BT1808" s="53">
        <f>ROUND(HIX_SLCSP[[#This Row],[Weighting Factor 2022]]*HIX_SLCSP[[#This Row],[2022]],2)</f>
        <v>1.1299999999999999</v>
      </c>
      <c r="BU1808" s="53">
        <f>ROUND(HIX_SLCSP[[#This Row],[Weighting Factor 2023]]*HIX_SLCSP[[#This Row],[2023]],2)</f>
        <v>1.47</v>
      </c>
      <c r="BV1808" s="53">
        <f>ROUND(HIX_SLCSP[[#This Row],[Weighting Factor 2024]]*HIX_SLCSP[[#This Row],[2024]],2)</f>
        <v>1.33</v>
      </c>
    </row>
    <row r="1809" spans="4:74" x14ac:dyDescent="0.35">
      <c r="D1809" t="s">
        <v>539</v>
      </c>
      <c r="E1809" t="s">
        <v>289</v>
      </c>
      <c r="F1809" s="23">
        <v>10</v>
      </c>
      <c r="G1809" s="23" t="s">
        <v>540</v>
      </c>
      <c r="H1809" s="23" t="s">
        <v>567</v>
      </c>
      <c r="I1809" s="23">
        <v>122</v>
      </c>
      <c r="J1809" s="53">
        <v>310.57</v>
      </c>
      <c r="K1809" s="53">
        <v>370.14</v>
      </c>
      <c r="L1809" s="53">
        <v>630.78</v>
      </c>
      <c r="M1809" s="54">
        <f t="shared" si="41"/>
        <v>1.7041659912465554</v>
      </c>
      <c r="N1809" s="24">
        <v>96</v>
      </c>
      <c r="O1809" s="55">
        <v>363.62</v>
      </c>
      <c r="P1809" s="56">
        <v>378.32</v>
      </c>
      <c r="Q1809" s="56">
        <v>644.73</v>
      </c>
      <c r="R1809" s="57">
        <f t="shared" si="42"/>
        <v>1.7041922182279552</v>
      </c>
      <c r="S1809" s="23">
        <v>122</v>
      </c>
      <c r="T1809" s="53">
        <v>303.10000000000002</v>
      </c>
      <c r="U1809" s="53">
        <v>309.13</v>
      </c>
      <c r="V1809" s="53">
        <v>526.82000000000005</v>
      </c>
      <c r="W1809" s="57">
        <f t="shared" si="43"/>
        <v>1.7042021156147902</v>
      </c>
      <c r="X1809" s="47">
        <v>246</v>
      </c>
      <c r="Y1809" s="58">
        <v>290.25</v>
      </c>
      <c r="Z1809" s="58">
        <v>298.36</v>
      </c>
      <c r="AA1809" s="58">
        <v>508.46</v>
      </c>
      <c r="AB1809" s="57">
        <f t="shared" si="44"/>
        <v>1.7041828663359697</v>
      </c>
      <c r="AC1809" s="47">
        <v>284</v>
      </c>
      <c r="AD1809" s="57">
        <v>290.3</v>
      </c>
      <c r="AE1809" s="57">
        <v>299.39999999999998</v>
      </c>
      <c r="AF1809" s="57">
        <v>510.24</v>
      </c>
      <c r="AG1809" s="57">
        <f t="shared" si="45"/>
        <v>1.7042084168336675</v>
      </c>
      <c r="AH1809" s="47">
        <v>258</v>
      </c>
      <c r="AI1809">
        <v>306.72000000000003</v>
      </c>
      <c r="AJ1809">
        <v>326.16000000000003</v>
      </c>
      <c r="AK1809">
        <v>555.84</v>
      </c>
      <c r="AL1809" s="57">
        <f t="shared" si="19"/>
        <v>1.7041942604856513</v>
      </c>
      <c r="AM1809" s="47">
        <v>204</v>
      </c>
      <c r="AN1809" s="57">
        <v>347.45</v>
      </c>
      <c r="AO1809" s="57">
        <v>349.12</v>
      </c>
      <c r="AP1809" s="57">
        <v>594.98</v>
      </c>
      <c r="AQ1809" s="57">
        <f t="shared" si="46"/>
        <v>1.7042277726856097</v>
      </c>
      <c r="AR1809" s="59">
        <v>7912</v>
      </c>
      <c r="AS1809" s="59">
        <f>SUMIFS(HIX_RatingAreas[Silver Enrollments 2018],HIX_RatingAreas[Area],HIX_SLCSP[[#This Row],[Area Code]])</f>
        <v>5692</v>
      </c>
      <c r="AT1809" s="59">
        <f>SUMIFS(HIX_RatingAreas[Silver Enrollments 2019],HIX_RatingAreas[Area],HIX_SLCSP[[#This Row],[Area Code]])</f>
        <v>5591</v>
      </c>
      <c r="AU1809" s="59">
        <f>SUMIFS(HIX_RatingAreas[Silver Enrollments 2020],HIX_RatingAreas[Area],HIX_SLCSP[[#This Row],[Area Code]])</f>
        <v>5896</v>
      </c>
      <c r="AV1809" s="59">
        <f>SUMIFS(HIX_RatingAreas[Silver Enrollments 2021],HIX_RatingAreas[Area],HIX_SLCSP[[#This Row],[Area Code]])</f>
        <v>6063</v>
      </c>
      <c r="AW1809" s="59">
        <f>SUMIFS(HIX_RatingAreas[Silver Enrollments 2022],HIX_RatingAreas[Area],HIX_SLCSP[[#This Row],[Area Code]])</f>
        <v>7960</v>
      </c>
      <c r="AX1809" s="59">
        <f>SUMIFS(HIX_RatingAreas[Silver Enrollments 2023],HIX_RatingAreas[Area],HIX_SLCSP[[#This Row],[Area Code]])</f>
        <v>9031</v>
      </c>
      <c r="AY1809" s="59">
        <f>SUMIFS(HIX_RatingAreas[Silver Enrollments 2024],HIX_RatingAreas[Area],HIX_SLCSP[[#This Row],[Area Code]])</f>
        <v>11587</v>
      </c>
      <c r="AZ1809" s="59">
        <v>10449</v>
      </c>
      <c r="BA1809">
        <f t="shared" si="35"/>
        <v>5.9955038024886304E-3</v>
      </c>
      <c r="BB1809">
        <f>SUMIFS(HIX_RatingAreas[QHP Enrollments 2018],HIX_RatingAreas[Area],HIX_SLCSP[[#This Row],[Area Code]])</f>
        <v>9285</v>
      </c>
      <c r="BC1809">
        <f t="shared" si="36"/>
        <v>5.4132808154727131E-3</v>
      </c>
      <c r="BD1809">
        <f>SUMIFS(HIX_RatingAreas[QHP Enrollments 2019],HIX_RatingAreas[Area],HIX_SLCSP[[#This Row],[Area Code]])</f>
        <v>9684</v>
      </c>
      <c r="BE1809">
        <f t="shared" si="37"/>
        <v>5.4303696958006038E-3</v>
      </c>
      <c r="BF1809">
        <f>SUMIFS(HIX_RatingAreas[QHP Enrollments 2020],HIX_RatingAreas[Area],HIX_SLCSP[[#This Row],[Area Code]])</f>
        <v>10136</v>
      </c>
      <c r="BG1809">
        <f t="shared" si="38"/>
        <v>5.2957849501691504E-3</v>
      </c>
      <c r="BH1809">
        <f>SUMIFS(HIX_RatingAreas[QHP Enrollments 2021],HIX_RatingAreas[Area],HIX_SLCSP[[#This Row],[Area Code]])</f>
        <v>11182</v>
      </c>
      <c r="BI1809">
        <f t="shared" si="39"/>
        <v>5.2736576508595279E-3</v>
      </c>
      <c r="BJ1809">
        <f>SUMIFS(HIX_RatingAreas[QHP Enrollments 2022],HIX_RatingAreas[Area],HIX_SLCSP[[#This Row],[Area Code]])</f>
        <v>15029</v>
      </c>
      <c r="BK1809">
        <f t="shared" si="40"/>
        <v>5.519089682544929E-3</v>
      </c>
      <c r="BL1809">
        <f>SUMIFS(HIX_RatingAreas[QHP Enrollments 2023],HIX_RatingAreas[Area],HIX_SLCSP[[#This Row],[Area Code]])</f>
        <v>17702</v>
      </c>
      <c r="BM1809">
        <f t="shared" si="47"/>
        <v>5.4882519722146009E-3</v>
      </c>
      <c r="BN1809">
        <f>SUMIFS(HIX_RatingAreas[QHP Enrollments 2024],HIX_RatingAreas[Area],HIX_SLCSP[[#This Row],[Area Code]])</f>
        <v>24170</v>
      </c>
      <c r="BO1809">
        <f t="shared" si="48"/>
        <v>5.7385000885585655E-3</v>
      </c>
      <c r="BP1809" s="53">
        <f>ROUND(HIX_SLCSP[[#This Row],[Weighting Factor 2018]]*HIX_SLCSP[[#This Row],[2018]],2)</f>
        <v>2</v>
      </c>
      <c r="BQ1809" s="53">
        <f>ROUND(HIX_SLCSP[[#This Row],[Weighting Factor 2019]]*HIX_SLCSP[[#This Row],[2019]],2)</f>
        <v>2.0499999999999998</v>
      </c>
      <c r="BR1809" s="53">
        <f>ROUND(HIX_SLCSP[[#This Row],[Weighting Factor 2020]]*HIX_SLCSP[[#This Row],[2020]],2)</f>
        <v>1.64</v>
      </c>
      <c r="BS1809" s="53">
        <f>ROUND(HIX_SLCSP[[#This Row],[Weighting Factor 2021]]*HIX_SLCSP[[#This Row],[2021]],2)</f>
        <v>1.57</v>
      </c>
      <c r="BT1809" s="53">
        <f>ROUND(HIX_SLCSP[[#This Row],[Weighting Factor 2022]]*HIX_SLCSP[[#This Row],[2022]],2)</f>
        <v>1.65</v>
      </c>
      <c r="BU1809" s="53">
        <f>ROUND(HIX_SLCSP[[#This Row],[Weighting Factor 2023]]*HIX_SLCSP[[#This Row],[2023]],2)</f>
        <v>1.79</v>
      </c>
      <c r="BV1809" s="53">
        <f>ROUND(HIX_SLCSP[[#This Row],[Weighting Factor 2024]]*HIX_SLCSP[[#This Row],[2024]],2)</f>
        <v>2</v>
      </c>
    </row>
    <row r="1810" spans="4:74" x14ac:dyDescent="0.35">
      <c r="D1810" t="s">
        <v>539</v>
      </c>
      <c r="E1810" t="s">
        <v>293</v>
      </c>
      <c r="F1810" s="23">
        <v>11</v>
      </c>
      <c r="G1810" s="23" t="s">
        <v>540</v>
      </c>
      <c r="H1810" s="23" t="s">
        <v>569</v>
      </c>
      <c r="I1810" s="23">
        <v>52</v>
      </c>
      <c r="J1810" s="53">
        <v>320.48</v>
      </c>
      <c r="K1810" s="53">
        <v>450.93</v>
      </c>
      <c r="L1810" s="53">
        <v>768.48</v>
      </c>
      <c r="M1810" s="54">
        <f t="shared" si="41"/>
        <v>1.7042112966535825</v>
      </c>
      <c r="N1810" s="24">
        <v>32</v>
      </c>
      <c r="O1810" s="55">
        <v>389.67</v>
      </c>
      <c r="P1810" s="56">
        <v>440.65</v>
      </c>
      <c r="Q1810" s="56">
        <v>750.96</v>
      </c>
      <c r="R1810" s="57">
        <f t="shared" si="42"/>
        <v>1.7042096902303416</v>
      </c>
      <c r="S1810" s="23">
        <v>52</v>
      </c>
      <c r="T1810" s="53">
        <v>298.69</v>
      </c>
      <c r="U1810" s="53">
        <v>314.77999999999997</v>
      </c>
      <c r="V1810" s="53">
        <v>536.44000000000005</v>
      </c>
      <c r="W1810" s="57">
        <f t="shared" si="43"/>
        <v>1.7041743439862764</v>
      </c>
      <c r="X1810" s="47">
        <v>143</v>
      </c>
      <c r="Y1810" s="58">
        <v>309</v>
      </c>
      <c r="Z1810" s="58">
        <v>317.57</v>
      </c>
      <c r="AA1810" s="58">
        <v>541.21</v>
      </c>
      <c r="AB1810" s="57">
        <f t="shared" si="44"/>
        <v>1.7042226910602389</v>
      </c>
      <c r="AC1810" s="47">
        <v>151</v>
      </c>
      <c r="AD1810" s="57">
        <v>339.58</v>
      </c>
      <c r="AE1810" s="57">
        <v>355.65</v>
      </c>
      <c r="AF1810" s="57">
        <v>606.1</v>
      </c>
      <c r="AG1810" s="57">
        <f t="shared" si="45"/>
        <v>1.7042035709264729</v>
      </c>
      <c r="AH1810" s="47">
        <v>187</v>
      </c>
      <c r="AI1810">
        <v>385.74</v>
      </c>
      <c r="AJ1810">
        <v>387.4</v>
      </c>
      <c r="AK1810">
        <v>660.2</v>
      </c>
      <c r="AL1810" s="57">
        <f t="shared" si="19"/>
        <v>1.7041817243159527</v>
      </c>
      <c r="AM1810" s="47">
        <v>149</v>
      </c>
      <c r="AN1810" s="57">
        <v>347.74</v>
      </c>
      <c r="AO1810" s="57">
        <v>349.41</v>
      </c>
      <c r="AP1810" s="57">
        <v>595.46</v>
      </c>
      <c r="AQ1810" s="57">
        <f t="shared" si="46"/>
        <v>1.7041870581837955</v>
      </c>
      <c r="AR1810" s="59">
        <v>22222</v>
      </c>
      <c r="AS1810" s="59">
        <f>SUMIFS(HIX_RatingAreas[Silver Enrollments 2018],HIX_RatingAreas[Area],HIX_SLCSP[[#This Row],[Area Code]])</f>
        <v>21272</v>
      </c>
      <c r="AT1810" s="59">
        <f>SUMIFS(HIX_RatingAreas[Silver Enrollments 2019],HIX_RatingAreas[Area],HIX_SLCSP[[#This Row],[Area Code]])</f>
        <v>23236</v>
      </c>
      <c r="AU1810" s="59">
        <f>SUMIFS(HIX_RatingAreas[Silver Enrollments 2020],HIX_RatingAreas[Area],HIX_SLCSP[[#This Row],[Area Code]])</f>
        <v>26568</v>
      </c>
      <c r="AV1810" s="59">
        <f>SUMIFS(HIX_RatingAreas[Silver Enrollments 2021],HIX_RatingAreas[Area],HIX_SLCSP[[#This Row],[Area Code]])</f>
        <v>28915</v>
      </c>
      <c r="AW1810" s="59">
        <f>SUMIFS(HIX_RatingAreas[Silver Enrollments 2022],HIX_RatingAreas[Area],HIX_SLCSP[[#This Row],[Area Code]])</f>
        <v>31670</v>
      </c>
      <c r="AX1810" s="59">
        <f>SUMIFS(HIX_RatingAreas[Silver Enrollments 2023],HIX_RatingAreas[Area],HIX_SLCSP[[#This Row],[Area Code]])</f>
        <v>36663</v>
      </c>
      <c r="AY1810" s="59">
        <f>SUMIFS(HIX_RatingAreas[Silver Enrollments 2024],HIX_RatingAreas[Area],HIX_SLCSP[[#This Row],[Area Code]])</f>
        <v>42381</v>
      </c>
      <c r="AZ1810" s="59">
        <v>28283</v>
      </c>
      <c r="BA1810">
        <f t="shared" si="35"/>
        <v>1.6228427030891564E-2</v>
      </c>
      <c r="BB1810">
        <f>SUMIFS(HIX_RatingAreas[QHP Enrollments 2018],HIX_RatingAreas[Area],HIX_SLCSP[[#This Row],[Area Code]])</f>
        <v>30445</v>
      </c>
      <c r="BC1810">
        <f t="shared" si="36"/>
        <v>1.7749847541956569E-2</v>
      </c>
      <c r="BD1810">
        <f>SUMIFS(HIX_RatingAreas[QHP Enrollments 2019],HIX_RatingAreas[Area],HIX_SLCSP[[#This Row],[Area Code]])</f>
        <v>33814</v>
      </c>
      <c r="BE1810">
        <f t="shared" si="37"/>
        <v>1.8961433384324825E-2</v>
      </c>
      <c r="BF1810">
        <f>SUMIFS(HIX_RatingAreas[QHP Enrollments 2020],HIX_RatingAreas[Area],HIX_SLCSP[[#This Row],[Area Code]])</f>
        <v>37557</v>
      </c>
      <c r="BG1810">
        <f t="shared" si="38"/>
        <v>1.9622513355712589E-2</v>
      </c>
      <c r="BH1810">
        <f>SUMIFS(HIX_RatingAreas[QHP Enrollments 2021],HIX_RatingAreas[Area],HIX_SLCSP[[#This Row],[Area Code]])</f>
        <v>42202</v>
      </c>
      <c r="BI1810">
        <f t="shared" si="39"/>
        <v>1.9903317848468414E-2</v>
      </c>
      <c r="BJ1810">
        <f>SUMIFS(HIX_RatingAreas[QHP Enrollments 2022],HIX_RatingAreas[Area],HIX_SLCSP[[#This Row],[Area Code]])</f>
        <v>49570</v>
      </c>
      <c r="BK1810">
        <f t="shared" si="40"/>
        <v>1.8203558158477084E-2</v>
      </c>
      <c r="BL1810">
        <f>SUMIFS(HIX_RatingAreas[QHP Enrollments 2023],HIX_RatingAreas[Area],HIX_SLCSP[[#This Row],[Area Code]])</f>
        <v>56507</v>
      </c>
      <c r="BM1810">
        <f t="shared" si="47"/>
        <v>1.7519187334421558E-2</v>
      </c>
      <c r="BN1810">
        <f>SUMIFS(HIX_RatingAreas[QHP Enrollments 2024],HIX_RatingAreas[Area],HIX_SLCSP[[#This Row],[Area Code]])</f>
        <v>69038</v>
      </c>
      <c r="BO1810">
        <f t="shared" si="48"/>
        <v>1.6391169595114035E-2</v>
      </c>
      <c r="BP1810" s="53">
        <f>ROUND(HIX_SLCSP[[#This Row],[Weighting Factor 2018]]*HIX_SLCSP[[#This Row],[2018]],2)</f>
        <v>8</v>
      </c>
      <c r="BQ1810" s="53">
        <f>ROUND(HIX_SLCSP[[#This Row],[Weighting Factor 2019]]*HIX_SLCSP[[#This Row],[2019]],2)</f>
        <v>8.36</v>
      </c>
      <c r="BR1810" s="53">
        <f>ROUND(HIX_SLCSP[[#This Row],[Weighting Factor 2020]]*HIX_SLCSP[[#This Row],[2020]],2)</f>
        <v>6.18</v>
      </c>
      <c r="BS1810" s="53">
        <f>ROUND(HIX_SLCSP[[#This Row],[Weighting Factor 2021]]*HIX_SLCSP[[#This Row],[2021]],2)</f>
        <v>6.32</v>
      </c>
      <c r="BT1810" s="53">
        <f>ROUND(HIX_SLCSP[[#This Row],[Weighting Factor 2022]]*HIX_SLCSP[[#This Row],[2022]],2)</f>
        <v>6.47</v>
      </c>
      <c r="BU1810" s="53">
        <f>ROUND(HIX_SLCSP[[#This Row],[Weighting Factor 2023]]*HIX_SLCSP[[#This Row],[2023]],2)</f>
        <v>6.79</v>
      </c>
      <c r="BV1810" s="53">
        <f>ROUND(HIX_SLCSP[[#This Row],[Weighting Factor 2024]]*HIX_SLCSP[[#This Row],[2024]],2)</f>
        <v>5.73</v>
      </c>
    </row>
    <row r="1811" spans="4:74" x14ac:dyDescent="0.35">
      <c r="D1811" t="s">
        <v>539</v>
      </c>
      <c r="E1811" t="s">
        <v>303</v>
      </c>
      <c r="F1811" s="23">
        <v>12</v>
      </c>
      <c r="G1811" s="23" t="s">
        <v>540</v>
      </c>
      <c r="H1811" s="23" t="s">
        <v>572</v>
      </c>
      <c r="I1811" s="23">
        <v>36</v>
      </c>
      <c r="J1811" s="53">
        <v>361.78</v>
      </c>
      <c r="K1811" s="53">
        <v>485.28</v>
      </c>
      <c r="L1811" s="53">
        <v>808.49</v>
      </c>
      <c r="M1811" s="54">
        <f t="shared" si="41"/>
        <v>1.6660278602044183</v>
      </c>
      <c r="N1811" s="24">
        <v>32</v>
      </c>
      <c r="O1811" s="55">
        <v>440.04</v>
      </c>
      <c r="P1811" s="56">
        <v>497.62</v>
      </c>
      <c r="Q1811" s="56">
        <v>848.05</v>
      </c>
      <c r="R1811" s="57">
        <f t="shared" si="42"/>
        <v>1.7042120493549293</v>
      </c>
      <c r="S1811" s="23">
        <v>36</v>
      </c>
      <c r="T1811" s="53">
        <v>383.48</v>
      </c>
      <c r="U1811" s="53">
        <v>404.15</v>
      </c>
      <c r="V1811" s="53">
        <v>688.75</v>
      </c>
      <c r="W1811" s="57">
        <f t="shared" si="43"/>
        <v>1.7041939873809231</v>
      </c>
      <c r="X1811" s="47">
        <v>144</v>
      </c>
      <c r="Y1811" s="58">
        <v>338.78</v>
      </c>
      <c r="Z1811" s="58">
        <v>348.18</v>
      </c>
      <c r="AA1811" s="58">
        <v>593.38</v>
      </c>
      <c r="AB1811" s="57">
        <f t="shared" si="44"/>
        <v>1.7042334424722845</v>
      </c>
      <c r="AC1811" s="47">
        <v>169</v>
      </c>
      <c r="AD1811" s="57">
        <v>362.31</v>
      </c>
      <c r="AE1811" s="57">
        <v>379.46</v>
      </c>
      <c r="AF1811" s="57">
        <v>646.66999999999996</v>
      </c>
      <c r="AG1811" s="57">
        <f t="shared" si="45"/>
        <v>1.7041848943235123</v>
      </c>
      <c r="AH1811" s="47">
        <v>161</v>
      </c>
      <c r="AI1811">
        <v>353.1</v>
      </c>
      <c r="AJ1811">
        <v>354.67</v>
      </c>
      <c r="AK1811">
        <v>604.41999999999996</v>
      </c>
      <c r="AL1811" s="57">
        <f t="shared" si="19"/>
        <v>1.7041757126342796</v>
      </c>
      <c r="AM1811" s="47">
        <v>131</v>
      </c>
      <c r="AN1811" s="57">
        <v>350.07</v>
      </c>
      <c r="AO1811" s="57">
        <v>351.75</v>
      </c>
      <c r="AP1811" s="57">
        <v>599.46</v>
      </c>
      <c r="AQ1811" s="57">
        <f t="shared" si="46"/>
        <v>1.7042217484008531</v>
      </c>
      <c r="AR1811" s="59">
        <v>2811</v>
      </c>
      <c r="AS1811" s="59">
        <f>SUMIFS(HIX_RatingAreas[Silver Enrollments 2018],HIX_RatingAreas[Area],HIX_SLCSP[[#This Row],[Area Code]])</f>
        <v>3205</v>
      </c>
      <c r="AT1811" s="59">
        <f>SUMIFS(HIX_RatingAreas[Silver Enrollments 2019],HIX_RatingAreas[Area],HIX_SLCSP[[#This Row],[Area Code]])</f>
        <v>3593</v>
      </c>
      <c r="AU1811" s="59">
        <f>SUMIFS(HIX_RatingAreas[Silver Enrollments 2020],HIX_RatingAreas[Area],HIX_SLCSP[[#This Row],[Area Code]])</f>
        <v>4573</v>
      </c>
      <c r="AV1811" s="59">
        <f>SUMIFS(HIX_RatingAreas[Silver Enrollments 2021],HIX_RatingAreas[Area],HIX_SLCSP[[#This Row],[Area Code]])</f>
        <v>4532</v>
      </c>
      <c r="AW1811" s="59">
        <f>SUMIFS(HIX_RatingAreas[Silver Enrollments 2022],HIX_RatingAreas[Area],HIX_SLCSP[[#This Row],[Area Code]])</f>
        <v>4199</v>
      </c>
      <c r="AX1811" s="59">
        <f>SUMIFS(HIX_RatingAreas[Silver Enrollments 2023],HIX_RatingAreas[Area],HIX_SLCSP[[#This Row],[Area Code]])</f>
        <v>4155</v>
      </c>
      <c r="AY1811" s="59">
        <f>SUMIFS(HIX_RatingAreas[Silver Enrollments 2024],HIX_RatingAreas[Area],HIX_SLCSP[[#This Row],[Area Code]])</f>
        <v>5440</v>
      </c>
      <c r="AZ1811" s="59">
        <v>3489</v>
      </c>
      <c r="BA1811">
        <f t="shared" si="35"/>
        <v>2.001943991471225E-3</v>
      </c>
      <c r="BB1811">
        <f>SUMIFS(HIX_RatingAreas[QHP Enrollments 2018],HIX_RatingAreas[Area],HIX_SLCSP[[#This Row],[Area Code]])</f>
        <v>4167</v>
      </c>
      <c r="BC1811">
        <f t="shared" si="36"/>
        <v>2.4294174645207102E-3</v>
      </c>
      <c r="BD1811">
        <f>SUMIFS(HIX_RatingAreas[QHP Enrollments 2019],HIX_RatingAreas[Area],HIX_SLCSP[[#This Row],[Area Code]])</f>
        <v>4915</v>
      </c>
      <c r="BE1811">
        <f t="shared" si="37"/>
        <v>2.7561201006670766E-3</v>
      </c>
      <c r="BF1811">
        <f>SUMIFS(HIX_RatingAreas[QHP Enrollments 2020],HIX_RatingAreas[Area],HIX_SLCSP[[#This Row],[Area Code]])</f>
        <v>5936</v>
      </c>
      <c r="BG1811">
        <f t="shared" si="38"/>
        <v>3.1013989210935356E-3</v>
      </c>
      <c r="BH1811">
        <f>SUMIFS(HIX_RatingAreas[QHP Enrollments 2021],HIX_RatingAreas[Area],HIX_SLCSP[[#This Row],[Area Code]])</f>
        <v>6577</v>
      </c>
      <c r="BI1811">
        <f t="shared" si="39"/>
        <v>3.1018463932841276E-3</v>
      </c>
      <c r="BJ1811">
        <f>SUMIFS(HIX_RatingAreas[QHP Enrollments 2022],HIX_RatingAreas[Area],HIX_SLCSP[[#This Row],[Area Code]])</f>
        <v>6534</v>
      </c>
      <c r="BK1811">
        <f t="shared" si="40"/>
        <v>2.399476477859376E-3</v>
      </c>
      <c r="BL1811">
        <f>SUMIFS(HIX_RatingAreas[QHP Enrollments 2023],HIX_RatingAreas[Area],HIX_SLCSP[[#This Row],[Area Code]])</f>
        <v>6885</v>
      </c>
      <c r="BM1811">
        <f t="shared" si="47"/>
        <v>2.1345957987062209E-3</v>
      </c>
      <c r="BN1811">
        <f>SUMIFS(HIX_RatingAreas[QHP Enrollments 2024],HIX_RatingAreas[Area],HIX_SLCSP[[#This Row],[Area Code]])</f>
        <v>9275</v>
      </c>
      <c r="BO1811">
        <f t="shared" si="48"/>
        <v>2.2020930211576624E-3</v>
      </c>
      <c r="BP1811" s="53">
        <f>ROUND(HIX_SLCSP[[#This Row],[Weighting Factor 2018]]*HIX_SLCSP[[#This Row],[2018]],2)</f>
        <v>1.18</v>
      </c>
      <c r="BQ1811" s="53">
        <f>ROUND(HIX_SLCSP[[#This Row],[Weighting Factor 2019]]*HIX_SLCSP[[#This Row],[2019]],2)</f>
        <v>1.37</v>
      </c>
      <c r="BR1811" s="53">
        <f>ROUND(HIX_SLCSP[[#This Row],[Weighting Factor 2020]]*HIX_SLCSP[[#This Row],[2020]],2)</f>
        <v>1.25</v>
      </c>
      <c r="BS1811" s="53">
        <f>ROUND(HIX_SLCSP[[#This Row],[Weighting Factor 2021]]*HIX_SLCSP[[#This Row],[2021]],2)</f>
        <v>1.08</v>
      </c>
      <c r="BT1811" s="53">
        <f>ROUND(HIX_SLCSP[[#This Row],[Weighting Factor 2022]]*HIX_SLCSP[[#This Row],[2022]],2)</f>
        <v>0.91</v>
      </c>
      <c r="BU1811" s="53">
        <f>ROUND(HIX_SLCSP[[#This Row],[Weighting Factor 2023]]*HIX_SLCSP[[#This Row],[2023]],2)</f>
        <v>0.76</v>
      </c>
      <c r="BV1811" s="53">
        <f>ROUND(HIX_SLCSP[[#This Row],[Weighting Factor 2024]]*HIX_SLCSP[[#This Row],[2024]],2)</f>
        <v>0.77</v>
      </c>
    </row>
    <row r="1812" spans="4:74" x14ac:dyDescent="0.35">
      <c r="D1812" t="s">
        <v>539</v>
      </c>
      <c r="E1812" t="s">
        <v>311</v>
      </c>
      <c r="F1812" s="23">
        <v>13</v>
      </c>
      <c r="G1812" s="23" t="s">
        <v>540</v>
      </c>
      <c r="H1812" s="23" t="s">
        <v>574</v>
      </c>
      <c r="I1812" s="23">
        <v>36</v>
      </c>
      <c r="J1812" s="53">
        <v>368.93</v>
      </c>
      <c r="K1812" s="53">
        <v>519.1</v>
      </c>
      <c r="L1812" s="53">
        <v>884.64</v>
      </c>
      <c r="M1812" s="54">
        <f t="shared" si="41"/>
        <v>1.7041803120785974</v>
      </c>
      <c r="N1812" s="24">
        <v>32</v>
      </c>
      <c r="O1812" s="55">
        <v>454.86</v>
      </c>
      <c r="P1812" s="56">
        <v>514.38</v>
      </c>
      <c r="Q1812" s="56">
        <v>876.6</v>
      </c>
      <c r="R1812" s="57">
        <f t="shared" si="42"/>
        <v>1.704187565612971</v>
      </c>
      <c r="S1812" s="23">
        <v>36</v>
      </c>
      <c r="T1812" s="53">
        <v>383.08</v>
      </c>
      <c r="U1812" s="53">
        <v>403.71</v>
      </c>
      <c r="V1812" s="53">
        <v>688</v>
      </c>
      <c r="W1812" s="57">
        <f t="shared" si="43"/>
        <v>1.7041936043199326</v>
      </c>
      <c r="X1812" s="47">
        <v>117</v>
      </c>
      <c r="Y1812" s="58">
        <v>317.83999999999997</v>
      </c>
      <c r="Z1812" s="58">
        <v>326.66000000000003</v>
      </c>
      <c r="AA1812" s="58">
        <v>556.69000000000005</v>
      </c>
      <c r="AB1812" s="57">
        <f t="shared" si="44"/>
        <v>1.704187840568175</v>
      </c>
      <c r="AC1812" s="47">
        <v>105</v>
      </c>
      <c r="AD1812" s="57">
        <v>305.92</v>
      </c>
      <c r="AE1812" s="57">
        <v>320.41000000000003</v>
      </c>
      <c r="AF1812" s="57">
        <v>546.04</v>
      </c>
      <c r="AG1812" s="57">
        <f t="shared" si="45"/>
        <v>1.7041915046346865</v>
      </c>
      <c r="AH1812" s="47">
        <v>76</v>
      </c>
      <c r="AI1812">
        <v>340.09</v>
      </c>
      <c r="AJ1812">
        <v>341.74</v>
      </c>
      <c r="AK1812">
        <v>582.39</v>
      </c>
      <c r="AL1812" s="57">
        <f t="shared" si="19"/>
        <v>1.7041903201264119</v>
      </c>
      <c r="AM1812" s="47">
        <v>99</v>
      </c>
      <c r="AN1812" s="57">
        <v>359.72</v>
      </c>
      <c r="AO1812" s="57">
        <v>361.45</v>
      </c>
      <c r="AP1812" s="57">
        <v>615.98</v>
      </c>
      <c r="AQ1812" s="57">
        <f t="shared" si="46"/>
        <v>1.7041914510997374</v>
      </c>
      <c r="AR1812" s="59">
        <v>1182</v>
      </c>
      <c r="AS1812" s="59">
        <f>SUMIFS(HIX_RatingAreas[Silver Enrollments 2018],HIX_RatingAreas[Area],HIX_SLCSP[[#This Row],[Area Code]])</f>
        <v>1104</v>
      </c>
      <c r="AT1812" s="59">
        <f>SUMIFS(HIX_RatingAreas[Silver Enrollments 2019],HIX_RatingAreas[Area],HIX_SLCSP[[#This Row],[Area Code]])</f>
        <v>1135</v>
      </c>
      <c r="AU1812" s="59">
        <f>SUMIFS(HIX_RatingAreas[Silver Enrollments 2020],HIX_RatingAreas[Area],HIX_SLCSP[[#This Row],[Area Code]])</f>
        <v>1309</v>
      </c>
      <c r="AV1812" s="59">
        <f>SUMIFS(HIX_RatingAreas[Silver Enrollments 2021],HIX_RatingAreas[Area],HIX_SLCSP[[#This Row],[Area Code]])</f>
        <v>1026</v>
      </c>
      <c r="AW1812" s="59">
        <f>SUMIFS(HIX_RatingAreas[Silver Enrollments 2022],HIX_RatingAreas[Area],HIX_SLCSP[[#This Row],[Area Code]])</f>
        <v>981</v>
      </c>
      <c r="AX1812" s="59">
        <f>SUMIFS(HIX_RatingAreas[Silver Enrollments 2023],HIX_RatingAreas[Area],HIX_SLCSP[[#This Row],[Area Code]])</f>
        <v>1195</v>
      </c>
      <c r="AY1812" s="59">
        <f>SUMIFS(HIX_RatingAreas[Silver Enrollments 2024],HIX_RatingAreas[Area],HIX_SLCSP[[#This Row],[Area Code]])</f>
        <v>1669</v>
      </c>
      <c r="AZ1812" s="59">
        <v>1432</v>
      </c>
      <c r="BA1812">
        <f t="shared" si="35"/>
        <v>8.2166345537024773E-4</v>
      </c>
      <c r="BB1812">
        <f>SUMIFS(HIX_RatingAreas[QHP Enrollments 2018],HIX_RatingAreas[Area],HIX_SLCSP[[#This Row],[Area Code]])</f>
        <v>1514</v>
      </c>
      <c r="BC1812">
        <f t="shared" si="36"/>
        <v>8.8268251530702077E-4</v>
      </c>
      <c r="BD1812">
        <f>SUMIFS(HIX_RatingAreas[QHP Enrollments 2019],HIX_RatingAreas[Area],HIX_SLCSP[[#This Row],[Area Code]])</f>
        <v>1594</v>
      </c>
      <c r="BE1812">
        <f t="shared" si="37"/>
        <v>8.9384647822244548E-4</v>
      </c>
      <c r="BF1812">
        <f>SUMIFS(HIX_RatingAreas[QHP Enrollments 2020],HIX_RatingAreas[Area],HIX_SLCSP[[#This Row],[Area Code]])</f>
        <v>1785</v>
      </c>
      <c r="BG1812">
        <f t="shared" si="38"/>
        <v>9.3261406235713629E-4</v>
      </c>
      <c r="BH1812">
        <f>SUMIFS(HIX_RatingAreas[QHP Enrollments 2021],HIX_RatingAreas[Area],HIX_SLCSP[[#This Row],[Area Code]])</f>
        <v>1892</v>
      </c>
      <c r="BI1812">
        <f t="shared" si="39"/>
        <v>8.923055155988398E-4</v>
      </c>
      <c r="BJ1812">
        <f>SUMIFS(HIX_RatingAreas[QHP Enrollments 2022],HIX_RatingAreas[Area],HIX_SLCSP[[#This Row],[Area Code]])</f>
        <v>2142</v>
      </c>
      <c r="BK1812">
        <f t="shared" si="40"/>
        <v>7.8660523654343188E-4</v>
      </c>
      <c r="BL1812">
        <f>SUMIFS(HIX_RatingAreas[QHP Enrollments 2023],HIX_RatingAreas[Area],HIX_SLCSP[[#This Row],[Area Code]])</f>
        <v>2487</v>
      </c>
      <c r="BM1812">
        <f t="shared" si="47"/>
        <v>7.7105878741937138E-4</v>
      </c>
      <c r="BN1812">
        <f>SUMIFS(HIX_RatingAreas[QHP Enrollments 2024],HIX_RatingAreas[Area],HIX_SLCSP[[#This Row],[Area Code]])</f>
        <v>3185</v>
      </c>
      <c r="BO1812">
        <f t="shared" si="48"/>
        <v>7.5619043368055567E-4</v>
      </c>
      <c r="BP1812" s="53">
        <f>ROUND(HIX_SLCSP[[#This Row],[Weighting Factor 2018]]*HIX_SLCSP[[#This Row],[2018]],2)</f>
        <v>0.46</v>
      </c>
      <c r="BQ1812" s="53">
        <f>ROUND(HIX_SLCSP[[#This Row],[Weighting Factor 2019]]*HIX_SLCSP[[#This Row],[2019]],2)</f>
        <v>0.46</v>
      </c>
      <c r="BR1812" s="53">
        <f>ROUND(HIX_SLCSP[[#This Row],[Weighting Factor 2020]]*HIX_SLCSP[[#This Row],[2020]],2)</f>
        <v>0.38</v>
      </c>
      <c r="BS1812" s="53">
        <f>ROUND(HIX_SLCSP[[#This Row],[Weighting Factor 2021]]*HIX_SLCSP[[#This Row],[2021]],2)</f>
        <v>0.28999999999999998</v>
      </c>
      <c r="BT1812" s="53">
        <f>ROUND(HIX_SLCSP[[#This Row],[Weighting Factor 2022]]*HIX_SLCSP[[#This Row],[2022]],2)</f>
        <v>0.25</v>
      </c>
      <c r="BU1812" s="53">
        <f>ROUND(HIX_SLCSP[[#This Row],[Weighting Factor 2023]]*HIX_SLCSP[[#This Row],[2023]],2)</f>
        <v>0.26</v>
      </c>
      <c r="BV1812" s="53">
        <f>ROUND(HIX_SLCSP[[#This Row],[Weighting Factor 2024]]*HIX_SLCSP[[#This Row],[2024]],2)</f>
        <v>0.27</v>
      </c>
    </row>
    <row r="1813" spans="4:74" x14ac:dyDescent="0.35">
      <c r="D1813" t="s">
        <v>539</v>
      </c>
      <c r="E1813" t="s">
        <v>577</v>
      </c>
      <c r="F1813" s="23">
        <v>14</v>
      </c>
      <c r="G1813" s="23" t="s">
        <v>540</v>
      </c>
      <c r="H1813" s="23" t="s">
        <v>578</v>
      </c>
      <c r="I1813" s="23">
        <v>36</v>
      </c>
      <c r="J1813" s="53">
        <v>366.55</v>
      </c>
      <c r="K1813" s="53">
        <v>494.03</v>
      </c>
      <c r="L1813" s="53">
        <v>823.06</v>
      </c>
      <c r="M1813" s="54">
        <f t="shared" si="41"/>
        <v>1.666012185494808</v>
      </c>
      <c r="N1813" s="24">
        <v>32</v>
      </c>
      <c r="O1813" s="55">
        <v>459.31</v>
      </c>
      <c r="P1813" s="56">
        <v>519.41</v>
      </c>
      <c r="Q1813" s="56">
        <v>885.18</v>
      </c>
      <c r="R1813" s="57">
        <f t="shared" si="42"/>
        <v>1.7042028455362817</v>
      </c>
      <c r="S1813" s="23">
        <v>36</v>
      </c>
      <c r="T1813" s="53">
        <v>400.2</v>
      </c>
      <c r="U1813" s="53">
        <v>421.77</v>
      </c>
      <c r="V1813" s="53">
        <v>718.78</v>
      </c>
      <c r="W1813" s="57">
        <f t="shared" si="43"/>
        <v>1.7041989710031533</v>
      </c>
      <c r="X1813" s="47">
        <v>117</v>
      </c>
      <c r="Y1813" s="58">
        <v>339.67</v>
      </c>
      <c r="Z1813" s="58">
        <v>349.1</v>
      </c>
      <c r="AA1813" s="58">
        <v>594.92999999999995</v>
      </c>
      <c r="AB1813" s="57">
        <f t="shared" si="44"/>
        <v>1.7041821827556571</v>
      </c>
      <c r="AC1813" s="47">
        <v>105</v>
      </c>
      <c r="AD1813" s="57">
        <v>363.64</v>
      </c>
      <c r="AE1813" s="57">
        <v>380.86</v>
      </c>
      <c r="AF1813" s="57">
        <v>649.05999999999995</v>
      </c>
      <c r="AG1813" s="57">
        <f t="shared" si="45"/>
        <v>1.7041957674736121</v>
      </c>
      <c r="AH1813" s="47">
        <v>125</v>
      </c>
      <c r="AI1813">
        <v>370.18</v>
      </c>
      <c r="AJ1813">
        <v>371.83</v>
      </c>
      <c r="AK1813">
        <v>633.66</v>
      </c>
      <c r="AL1813" s="57">
        <f t="shared" si="19"/>
        <v>1.7041658822580212</v>
      </c>
      <c r="AM1813" s="47">
        <v>95</v>
      </c>
      <c r="AN1813" s="57">
        <v>365.49</v>
      </c>
      <c r="AO1813" s="57">
        <v>367.24</v>
      </c>
      <c r="AP1813" s="57">
        <v>625.85</v>
      </c>
      <c r="AQ1813" s="57">
        <f t="shared" si="46"/>
        <v>1.7041988890099118</v>
      </c>
      <c r="AR1813" s="59">
        <v>578</v>
      </c>
      <c r="AS1813" s="59">
        <f>SUMIFS(HIX_RatingAreas[Silver Enrollments 2018],HIX_RatingAreas[Area],HIX_SLCSP[[#This Row],[Area Code]])</f>
        <v>598</v>
      </c>
      <c r="AT1813" s="59">
        <f>SUMIFS(HIX_RatingAreas[Silver Enrollments 2019],HIX_RatingAreas[Area],HIX_SLCSP[[#This Row],[Area Code]])</f>
        <v>587</v>
      </c>
      <c r="AU1813" s="59">
        <f>SUMIFS(HIX_RatingAreas[Silver Enrollments 2020],HIX_RatingAreas[Area],HIX_SLCSP[[#This Row],[Area Code]])</f>
        <v>579</v>
      </c>
      <c r="AV1813" s="59">
        <f>SUMIFS(HIX_RatingAreas[Silver Enrollments 2021],HIX_RatingAreas[Area],HIX_SLCSP[[#This Row],[Area Code]])</f>
        <v>448</v>
      </c>
      <c r="AW1813" s="59">
        <f>SUMIFS(HIX_RatingAreas[Silver Enrollments 2022],HIX_RatingAreas[Area],HIX_SLCSP[[#This Row],[Area Code]])</f>
        <v>421</v>
      </c>
      <c r="AX1813" s="59">
        <f>SUMIFS(HIX_RatingAreas[Silver Enrollments 2023],HIX_RatingAreas[Area],HIX_SLCSP[[#This Row],[Area Code]])</f>
        <v>629</v>
      </c>
      <c r="AY1813" s="59">
        <f>SUMIFS(HIX_RatingAreas[Silver Enrollments 2024],HIX_RatingAreas[Area],HIX_SLCSP[[#This Row],[Area Code]])</f>
        <v>1191</v>
      </c>
      <c r="AZ1813" s="59">
        <v>667</v>
      </c>
      <c r="BA1813">
        <f t="shared" si="35"/>
        <v>3.8271614855583469E-4</v>
      </c>
      <c r="BB1813">
        <f>SUMIFS(HIX_RatingAreas[QHP Enrollments 2018],HIX_RatingAreas[Area],HIX_SLCSP[[#This Row],[Area Code]])</f>
        <v>764</v>
      </c>
      <c r="BC1813">
        <f t="shared" si="36"/>
        <v>4.4542235250631695E-4</v>
      </c>
      <c r="BD1813">
        <f>SUMIFS(HIX_RatingAreas[QHP Enrollments 2019],HIX_RatingAreas[Area],HIX_SLCSP[[#This Row],[Area Code]])</f>
        <v>805</v>
      </c>
      <c r="BE1813">
        <f t="shared" si="37"/>
        <v>4.5140929420895147E-4</v>
      </c>
      <c r="BF1813">
        <f>SUMIFS(HIX_RatingAreas[QHP Enrollments 2020],HIX_RatingAreas[Area],HIX_SLCSP[[#This Row],[Area Code]])</f>
        <v>790</v>
      </c>
      <c r="BG1813">
        <f t="shared" si="38"/>
        <v>4.1275356261184185E-4</v>
      </c>
      <c r="BH1813">
        <f>SUMIFS(HIX_RatingAreas[QHP Enrollments 2021],HIX_RatingAreas[Area],HIX_SLCSP[[#This Row],[Area Code]])</f>
        <v>810</v>
      </c>
      <c r="BI1813">
        <f t="shared" si="39"/>
        <v>3.8201240361261115E-4</v>
      </c>
      <c r="BJ1813">
        <f>SUMIFS(HIX_RatingAreas[QHP Enrollments 2022],HIX_RatingAreas[Area],HIX_SLCSP[[#This Row],[Area Code]])</f>
        <v>962</v>
      </c>
      <c r="BK1813">
        <f t="shared" si="40"/>
        <v>3.5327462070718085E-4</v>
      </c>
      <c r="BL1813">
        <f>SUMIFS(HIX_RatingAreas[QHP Enrollments 2023],HIX_RatingAreas[Area],HIX_SLCSP[[#This Row],[Area Code]])</f>
        <v>1311</v>
      </c>
      <c r="BM1813">
        <f t="shared" si="47"/>
        <v>4.0645680350092316E-4</v>
      </c>
      <c r="BN1813">
        <f>SUMIFS(HIX_RatingAreas[QHP Enrollments 2024],HIX_RatingAreas[Area],HIX_SLCSP[[#This Row],[Area Code]])</f>
        <v>2063</v>
      </c>
      <c r="BO1813">
        <f t="shared" si="48"/>
        <v>4.8980246928822179E-4</v>
      </c>
      <c r="BP1813" s="53">
        <f>ROUND(HIX_SLCSP[[#This Row],[Weighting Factor 2018]]*HIX_SLCSP[[#This Row],[2018]],2)</f>
        <v>0.22</v>
      </c>
      <c r="BQ1813" s="53">
        <f>ROUND(HIX_SLCSP[[#This Row],[Weighting Factor 2019]]*HIX_SLCSP[[#This Row],[2019]],2)</f>
        <v>0.23</v>
      </c>
      <c r="BR1813" s="53">
        <f>ROUND(HIX_SLCSP[[#This Row],[Weighting Factor 2020]]*HIX_SLCSP[[#This Row],[2020]],2)</f>
        <v>0.17</v>
      </c>
      <c r="BS1813" s="53">
        <f>ROUND(HIX_SLCSP[[#This Row],[Weighting Factor 2021]]*HIX_SLCSP[[#This Row],[2021]],2)</f>
        <v>0.13</v>
      </c>
      <c r="BT1813" s="53">
        <f>ROUND(HIX_SLCSP[[#This Row],[Weighting Factor 2022]]*HIX_SLCSP[[#This Row],[2022]],2)</f>
        <v>0.13</v>
      </c>
      <c r="BU1813" s="53">
        <f>ROUND(HIX_SLCSP[[#This Row],[Weighting Factor 2023]]*HIX_SLCSP[[#This Row],[2023]],2)</f>
        <v>0.15</v>
      </c>
      <c r="BV1813" s="53">
        <f>ROUND(HIX_SLCSP[[#This Row],[Weighting Factor 2024]]*HIX_SLCSP[[#This Row],[2024]],2)</f>
        <v>0.18</v>
      </c>
    </row>
    <row r="1814" spans="4:74" x14ac:dyDescent="0.35">
      <c r="D1814" t="s">
        <v>539</v>
      </c>
      <c r="E1814" t="s">
        <v>581</v>
      </c>
      <c r="F1814" s="23">
        <v>15</v>
      </c>
      <c r="G1814" s="23" t="s">
        <v>540</v>
      </c>
      <c r="H1814" s="23" t="s">
        <v>582</v>
      </c>
      <c r="I1814" s="23">
        <v>125</v>
      </c>
      <c r="J1814" s="53">
        <v>321.26</v>
      </c>
      <c r="K1814" s="53">
        <v>366.95</v>
      </c>
      <c r="L1814" s="53">
        <v>625.36</v>
      </c>
      <c r="M1814" s="54">
        <f t="shared" si="41"/>
        <v>1.7042103828859518</v>
      </c>
      <c r="N1814" s="24">
        <v>100</v>
      </c>
      <c r="O1814" s="55">
        <v>378.69</v>
      </c>
      <c r="P1814" s="56">
        <v>384.71</v>
      </c>
      <c r="Q1814" s="56">
        <v>655.62</v>
      </c>
      <c r="R1814" s="57">
        <f t="shared" si="42"/>
        <v>1.7041927685789298</v>
      </c>
      <c r="S1814" s="23">
        <v>125</v>
      </c>
      <c r="T1814" s="53">
        <v>290.20999999999998</v>
      </c>
      <c r="U1814" s="53">
        <v>308.66000000000003</v>
      </c>
      <c r="V1814" s="53">
        <v>526.02</v>
      </c>
      <c r="W1814" s="57">
        <f t="shared" si="43"/>
        <v>1.7042052744119742</v>
      </c>
      <c r="X1814" s="47">
        <v>234</v>
      </c>
      <c r="Y1814" s="58">
        <v>263.81</v>
      </c>
      <c r="Z1814" s="58">
        <v>271.13</v>
      </c>
      <c r="AA1814" s="58">
        <v>462.06</v>
      </c>
      <c r="AB1814" s="57">
        <f t="shared" si="44"/>
        <v>1.7042009368199758</v>
      </c>
      <c r="AC1814" s="47">
        <v>208</v>
      </c>
      <c r="AD1814" s="57">
        <v>269.83999999999997</v>
      </c>
      <c r="AE1814" s="57">
        <v>282.62</v>
      </c>
      <c r="AF1814" s="57">
        <v>481.63</v>
      </c>
      <c r="AG1814" s="57">
        <f t="shared" si="45"/>
        <v>1.7041610643266576</v>
      </c>
      <c r="AH1814" s="47">
        <v>250</v>
      </c>
      <c r="AI1814">
        <v>275.68</v>
      </c>
      <c r="AJ1814">
        <v>287.32</v>
      </c>
      <c r="AK1814">
        <v>489.65</v>
      </c>
      <c r="AL1814" s="57">
        <f t="shared" si="19"/>
        <v>1.7041974105526938</v>
      </c>
      <c r="AM1814" s="47">
        <v>200</v>
      </c>
      <c r="AN1814" s="57">
        <v>275.97000000000003</v>
      </c>
      <c r="AO1814" s="57">
        <v>277.94</v>
      </c>
      <c r="AP1814" s="57">
        <v>473.67</v>
      </c>
      <c r="AQ1814" s="57">
        <f t="shared" si="46"/>
        <v>1.7042167374253436</v>
      </c>
      <c r="AR1814" s="59">
        <v>40247</v>
      </c>
      <c r="AS1814" s="59">
        <f>SUMIFS(HIX_RatingAreas[Silver Enrollments 2018],HIX_RatingAreas[Area],HIX_SLCSP[[#This Row],[Area Code]])</f>
        <v>28686</v>
      </c>
      <c r="AT1814" s="59">
        <f>SUMIFS(HIX_RatingAreas[Silver Enrollments 2019],HIX_RatingAreas[Area],HIX_SLCSP[[#This Row],[Area Code]])</f>
        <v>27935</v>
      </c>
      <c r="AU1814" s="59">
        <f>SUMIFS(HIX_RatingAreas[Silver Enrollments 2020],HIX_RatingAreas[Area],HIX_SLCSP[[#This Row],[Area Code]])</f>
        <v>29592</v>
      </c>
      <c r="AV1814" s="59">
        <f>SUMIFS(HIX_RatingAreas[Silver Enrollments 2021],HIX_RatingAreas[Area],HIX_SLCSP[[#This Row],[Area Code]])</f>
        <v>32089</v>
      </c>
      <c r="AW1814" s="59">
        <f>SUMIFS(HIX_RatingAreas[Silver Enrollments 2022],HIX_RatingAreas[Area],HIX_SLCSP[[#This Row],[Area Code]])</f>
        <v>47710</v>
      </c>
      <c r="AX1814" s="59">
        <f>SUMIFS(HIX_RatingAreas[Silver Enrollments 2023],HIX_RatingAreas[Area],HIX_SLCSP[[#This Row],[Area Code]])</f>
        <v>57200</v>
      </c>
      <c r="AY1814" s="59">
        <f>SUMIFS(HIX_RatingAreas[Silver Enrollments 2024],HIX_RatingAreas[Area],HIX_SLCSP[[#This Row],[Area Code]])</f>
        <v>90960</v>
      </c>
      <c r="AZ1814" s="59">
        <v>56252</v>
      </c>
      <c r="BA1814">
        <f t="shared" si="35"/>
        <v>3.2276684840424008E-2</v>
      </c>
      <c r="BB1814">
        <f>SUMIFS(HIX_RatingAreas[QHP Enrollments 2018],HIX_RatingAreas[Area],HIX_SLCSP[[#This Row],[Area Code]])</f>
        <v>49175</v>
      </c>
      <c r="BC1814">
        <f t="shared" si="36"/>
        <v>2.8669691340966148E-2</v>
      </c>
      <c r="BD1814">
        <f>SUMIFS(HIX_RatingAreas[QHP Enrollments 2019],HIX_RatingAreas[Area],HIX_SLCSP[[#This Row],[Area Code]])</f>
        <v>50940</v>
      </c>
      <c r="BE1814">
        <f t="shared" si="37"/>
        <v>2.8564955834787562E-2</v>
      </c>
      <c r="BF1814">
        <f>SUMIFS(HIX_RatingAreas[QHP Enrollments 2020],HIX_RatingAreas[Area],HIX_SLCSP[[#This Row],[Area Code]])</f>
        <v>55679</v>
      </c>
      <c r="BG1814">
        <f t="shared" si="38"/>
        <v>2.9090766598309802E-2</v>
      </c>
      <c r="BH1814">
        <f>SUMIFS(HIX_RatingAreas[QHP Enrollments 2021],HIX_RatingAreas[Area],HIX_SLCSP[[#This Row],[Area Code]])</f>
        <v>65483</v>
      </c>
      <c r="BI1814">
        <f t="shared" si="39"/>
        <v>3.0883108920697056E-2</v>
      </c>
      <c r="BJ1814">
        <f>SUMIFS(HIX_RatingAreas[QHP Enrollments 2022],HIX_RatingAreas[Area],HIX_SLCSP[[#This Row],[Area Code]])</f>
        <v>89541</v>
      </c>
      <c r="BK1814">
        <f t="shared" si="40"/>
        <v>3.2882081925926905E-2</v>
      </c>
      <c r="BL1814">
        <f>SUMIFS(HIX_RatingAreas[QHP Enrollments 2023],HIX_RatingAreas[Area],HIX_SLCSP[[#This Row],[Area Code]])</f>
        <v>109287</v>
      </c>
      <c r="BM1814">
        <f t="shared" si="47"/>
        <v>3.3882871612666197E-2</v>
      </c>
      <c r="BN1814">
        <f>SUMIFS(HIX_RatingAreas[QHP Enrollments 2024],HIX_RatingAreas[Area],HIX_SLCSP[[#This Row],[Area Code]])</f>
        <v>163184</v>
      </c>
      <c r="BO1814">
        <f t="shared" si="48"/>
        <v>3.8743541516398056E-2</v>
      </c>
      <c r="BP1814" s="53">
        <f>ROUND(HIX_SLCSP[[#This Row],[Weighting Factor 2018]]*HIX_SLCSP[[#This Row],[2018]],2)</f>
        <v>10.52</v>
      </c>
      <c r="BQ1814" s="53">
        <f>ROUND(HIX_SLCSP[[#This Row],[Weighting Factor 2019]]*HIX_SLCSP[[#This Row],[2019]],2)</f>
        <v>10.99</v>
      </c>
      <c r="BR1814" s="53">
        <f>ROUND(HIX_SLCSP[[#This Row],[Weighting Factor 2020]]*HIX_SLCSP[[#This Row],[2020]],2)</f>
        <v>8.98</v>
      </c>
      <c r="BS1814" s="53">
        <f>ROUND(HIX_SLCSP[[#This Row],[Weighting Factor 2021]]*HIX_SLCSP[[#This Row],[2021]],2)</f>
        <v>8.3699999999999992</v>
      </c>
      <c r="BT1814" s="53">
        <f>ROUND(HIX_SLCSP[[#This Row],[Weighting Factor 2022]]*HIX_SLCSP[[#This Row],[2022]],2)</f>
        <v>9.2899999999999991</v>
      </c>
      <c r="BU1814" s="53">
        <f>ROUND(HIX_SLCSP[[#This Row],[Weighting Factor 2023]]*HIX_SLCSP[[#This Row],[2023]],2)</f>
        <v>9.74</v>
      </c>
      <c r="BV1814" s="53">
        <f>ROUND(HIX_SLCSP[[#This Row],[Weighting Factor 2024]]*HIX_SLCSP[[#This Row],[2024]],2)</f>
        <v>10.77</v>
      </c>
    </row>
    <row r="1815" spans="4:74" x14ac:dyDescent="0.35">
      <c r="D1815" t="s">
        <v>539</v>
      </c>
      <c r="E1815" t="s">
        <v>585</v>
      </c>
      <c r="F1815" s="23">
        <v>16</v>
      </c>
      <c r="G1815" s="23" t="s">
        <v>540</v>
      </c>
      <c r="H1815" s="23" t="s">
        <v>586</v>
      </c>
      <c r="I1815" s="23">
        <v>110</v>
      </c>
      <c r="J1815" s="53">
        <v>309.85000000000002</v>
      </c>
      <c r="K1815" s="53">
        <v>390.38</v>
      </c>
      <c r="L1815" s="53">
        <v>650.38</v>
      </c>
      <c r="M1815" s="54">
        <f t="shared" si="41"/>
        <v>1.6660177263179465</v>
      </c>
      <c r="N1815" s="24">
        <v>48</v>
      </c>
      <c r="O1815" s="55">
        <v>373.09</v>
      </c>
      <c r="P1815" s="56">
        <v>401.83</v>
      </c>
      <c r="Q1815" s="56">
        <v>684.81</v>
      </c>
      <c r="R1815" s="57">
        <f t="shared" si="42"/>
        <v>1.7042281561854515</v>
      </c>
      <c r="S1815" s="23">
        <v>110</v>
      </c>
      <c r="T1815" s="53">
        <v>311.73</v>
      </c>
      <c r="U1815" s="53">
        <v>313.32</v>
      </c>
      <c r="V1815" s="53">
        <v>533.96</v>
      </c>
      <c r="W1815" s="57">
        <f t="shared" si="43"/>
        <v>1.7042001787310099</v>
      </c>
      <c r="X1815" s="47">
        <v>175</v>
      </c>
      <c r="Y1815" s="58">
        <v>322.19</v>
      </c>
      <c r="Z1815" s="58">
        <v>327.52999999999997</v>
      </c>
      <c r="AA1815" s="58">
        <v>558.17999999999995</v>
      </c>
      <c r="AB1815" s="57">
        <f t="shared" si="44"/>
        <v>1.7042103013464416</v>
      </c>
      <c r="AC1815" s="47">
        <v>276</v>
      </c>
      <c r="AD1815" s="57">
        <v>314.8</v>
      </c>
      <c r="AE1815" s="57">
        <v>330.2</v>
      </c>
      <c r="AF1815" s="57">
        <v>562.73</v>
      </c>
      <c r="AG1815" s="57">
        <f t="shared" si="45"/>
        <v>1.7042095699576016</v>
      </c>
      <c r="AH1815" s="47">
        <v>222</v>
      </c>
      <c r="AI1815">
        <v>347.2</v>
      </c>
      <c r="AJ1815">
        <v>368.5</v>
      </c>
      <c r="AK1815">
        <v>627.99</v>
      </c>
      <c r="AL1815" s="57">
        <f t="shared" si="19"/>
        <v>1.704179104477612</v>
      </c>
      <c r="AM1815" s="47">
        <v>153</v>
      </c>
      <c r="AN1815" s="57">
        <v>329.52</v>
      </c>
      <c r="AO1815" s="57">
        <v>331.1</v>
      </c>
      <c r="AP1815" s="57">
        <v>564.26</v>
      </c>
      <c r="AQ1815" s="57">
        <f t="shared" si="46"/>
        <v>1.7041981274539413</v>
      </c>
      <c r="AR1815" s="59">
        <v>10354</v>
      </c>
      <c r="AS1815" s="59">
        <f>SUMIFS(HIX_RatingAreas[Silver Enrollments 2018],HIX_RatingAreas[Area],HIX_SLCSP[[#This Row],[Area Code]])</f>
        <v>9438</v>
      </c>
      <c r="AT1815" s="59">
        <f>SUMIFS(HIX_RatingAreas[Silver Enrollments 2019],HIX_RatingAreas[Area],HIX_SLCSP[[#This Row],[Area Code]])</f>
        <v>9086</v>
      </c>
      <c r="AU1815" s="59">
        <f>SUMIFS(HIX_RatingAreas[Silver Enrollments 2020],HIX_RatingAreas[Area],HIX_SLCSP[[#This Row],[Area Code]])</f>
        <v>9286</v>
      </c>
      <c r="AV1815" s="59">
        <f>SUMIFS(HIX_RatingAreas[Silver Enrollments 2021],HIX_RatingAreas[Area],HIX_SLCSP[[#This Row],[Area Code]])</f>
        <v>8889</v>
      </c>
      <c r="AW1815" s="59">
        <f>SUMIFS(HIX_RatingAreas[Silver Enrollments 2022],HIX_RatingAreas[Area],HIX_SLCSP[[#This Row],[Area Code]])</f>
        <v>10846</v>
      </c>
      <c r="AX1815" s="59">
        <f>SUMIFS(HIX_RatingAreas[Silver Enrollments 2023],HIX_RatingAreas[Area],HIX_SLCSP[[#This Row],[Area Code]])</f>
        <v>11628</v>
      </c>
      <c r="AY1815" s="59">
        <f>SUMIFS(HIX_RatingAreas[Silver Enrollments 2024],HIX_RatingAreas[Area],HIX_SLCSP[[#This Row],[Area Code]])</f>
        <v>17859</v>
      </c>
      <c r="AZ1815" s="59">
        <v>13957</v>
      </c>
      <c r="BA1815">
        <f t="shared" si="35"/>
        <v>8.0083497532140689E-3</v>
      </c>
      <c r="BB1815">
        <f>SUMIFS(HIX_RatingAreas[QHP Enrollments 2018],HIX_RatingAreas[Area],HIX_SLCSP[[#This Row],[Area Code]])</f>
        <v>13694</v>
      </c>
      <c r="BC1815">
        <f t="shared" si="36"/>
        <v>7.98378755919045E-3</v>
      </c>
      <c r="BD1815">
        <f>SUMIFS(HIX_RatingAreas[QHP Enrollments 2019],HIX_RatingAreas[Area],HIX_SLCSP[[#This Row],[Area Code]])</f>
        <v>14157</v>
      </c>
      <c r="BE1815">
        <f t="shared" si="37"/>
        <v>7.9386352523181693E-3</v>
      </c>
      <c r="BF1815">
        <f>SUMIFS(HIX_RatingAreas[QHP Enrollments 2020],HIX_RatingAreas[Area],HIX_SLCSP[[#This Row],[Area Code]])</f>
        <v>14754</v>
      </c>
      <c r="BG1815">
        <f t="shared" si="38"/>
        <v>7.7085646364241957E-3</v>
      </c>
      <c r="BH1815">
        <f>SUMIFS(HIX_RatingAreas[QHP Enrollments 2021],HIX_RatingAreas[Area],HIX_SLCSP[[#This Row],[Area Code]])</f>
        <v>15977</v>
      </c>
      <c r="BI1815">
        <f t="shared" si="39"/>
        <v>7.5350767561959114E-3</v>
      </c>
      <c r="BJ1815">
        <f>SUMIFS(HIX_RatingAreas[QHP Enrollments 2022],HIX_RatingAreas[Area],HIX_SLCSP[[#This Row],[Area Code]])</f>
        <v>21026</v>
      </c>
      <c r="BK1815">
        <f t="shared" si="40"/>
        <v>7.7213640072652653E-3</v>
      </c>
      <c r="BL1815">
        <f>SUMIFS(HIX_RatingAreas[QHP Enrollments 2023],HIX_RatingAreas[Area],HIX_SLCSP[[#This Row],[Area Code]])</f>
        <v>25871</v>
      </c>
      <c r="BM1815">
        <f t="shared" si="47"/>
        <v>8.0209336105052497E-3</v>
      </c>
      <c r="BN1815">
        <f>SUMIFS(HIX_RatingAreas[QHP Enrollments 2024],HIX_RatingAreas[Area],HIX_SLCSP[[#This Row],[Area Code]])</f>
        <v>39804</v>
      </c>
      <c r="BO1815">
        <f t="shared" si="48"/>
        <v>9.4503623303676104E-3</v>
      </c>
      <c r="BP1815" s="53">
        <f>ROUND(HIX_SLCSP[[#This Row],[Weighting Factor 2018]]*HIX_SLCSP[[#This Row],[2018]],2)</f>
        <v>3.12</v>
      </c>
      <c r="BQ1815" s="53">
        <f>ROUND(HIX_SLCSP[[#This Row],[Weighting Factor 2019]]*HIX_SLCSP[[#This Row],[2019]],2)</f>
        <v>3.19</v>
      </c>
      <c r="BR1815" s="53">
        <f>ROUND(HIX_SLCSP[[#This Row],[Weighting Factor 2020]]*HIX_SLCSP[[#This Row],[2020]],2)</f>
        <v>2.42</v>
      </c>
      <c r="BS1815" s="53">
        <f>ROUND(HIX_SLCSP[[#This Row],[Weighting Factor 2021]]*HIX_SLCSP[[#This Row],[2021]],2)</f>
        <v>2.4700000000000002</v>
      </c>
      <c r="BT1815" s="53">
        <f>ROUND(HIX_SLCSP[[#This Row],[Weighting Factor 2022]]*HIX_SLCSP[[#This Row],[2022]],2)</f>
        <v>2.5499999999999998</v>
      </c>
      <c r="BU1815" s="53">
        <f>ROUND(HIX_SLCSP[[#This Row],[Weighting Factor 2023]]*HIX_SLCSP[[#This Row],[2023]],2)</f>
        <v>2.96</v>
      </c>
      <c r="BV1815" s="53">
        <f>ROUND(HIX_SLCSP[[#This Row],[Weighting Factor 2024]]*HIX_SLCSP[[#This Row],[2024]],2)</f>
        <v>3.13</v>
      </c>
    </row>
    <row r="1816" spans="4:74" x14ac:dyDescent="0.35">
      <c r="D1816" t="s">
        <v>539</v>
      </c>
      <c r="E1816" t="s">
        <v>588</v>
      </c>
      <c r="F1816" s="23">
        <v>17</v>
      </c>
      <c r="G1816" s="23" t="s">
        <v>540</v>
      </c>
      <c r="H1816" s="23" t="s">
        <v>589</v>
      </c>
      <c r="I1816" s="23">
        <v>163</v>
      </c>
      <c r="J1816" s="53">
        <v>373.59</v>
      </c>
      <c r="K1816" s="53">
        <v>412.84</v>
      </c>
      <c r="L1816" s="53">
        <v>703.57</v>
      </c>
      <c r="M1816" s="54">
        <f t="shared" si="41"/>
        <v>1.7042195523689567</v>
      </c>
      <c r="N1816" s="24">
        <v>148</v>
      </c>
      <c r="O1816" s="55">
        <v>400.7</v>
      </c>
      <c r="P1816" s="56">
        <v>405.89</v>
      </c>
      <c r="Q1816" s="56">
        <v>691.72</v>
      </c>
      <c r="R1816" s="57">
        <f t="shared" si="42"/>
        <v>1.7042055729384811</v>
      </c>
      <c r="S1816" s="23">
        <v>163</v>
      </c>
      <c r="T1816" s="53">
        <v>300.33999999999997</v>
      </c>
      <c r="U1816" s="53">
        <v>324.44</v>
      </c>
      <c r="V1816" s="53">
        <v>552.91999999999996</v>
      </c>
      <c r="W1816" s="57">
        <f t="shared" si="43"/>
        <v>1.7042288250523978</v>
      </c>
      <c r="X1816" s="47">
        <v>192</v>
      </c>
      <c r="Y1816" s="58">
        <v>293.73</v>
      </c>
      <c r="Z1816" s="58">
        <v>309.94</v>
      </c>
      <c r="AA1816" s="58">
        <v>528.20000000000005</v>
      </c>
      <c r="AB1816" s="57">
        <f t="shared" si="44"/>
        <v>1.7042008130605926</v>
      </c>
      <c r="AC1816" s="47">
        <v>175</v>
      </c>
      <c r="AD1816" s="57">
        <v>292.48</v>
      </c>
      <c r="AE1816" s="57">
        <v>318.56</v>
      </c>
      <c r="AF1816" s="57">
        <v>542.89</v>
      </c>
      <c r="AG1816" s="57">
        <f t="shared" si="45"/>
        <v>1.7042001506780511</v>
      </c>
      <c r="AH1816" s="47">
        <v>174</v>
      </c>
      <c r="AI1816">
        <v>319.98</v>
      </c>
      <c r="AJ1816">
        <v>329.21</v>
      </c>
      <c r="AK1816">
        <v>561.03</v>
      </c>
      <c r="AL1816" s="57">
        <f t="shared" si="19"/>
        <v>1.7041705902007838</v>
      </c>
      <c r="AM1816" s="47">
        <v>131</v>
      </c>
      <c r="AN1816" s="57">
        <v>335.68</v>
      </c>
      <c r="AO1816" s="57">
        <v>360.03</v>
      </c>
      <c r="AP1816" s="57">
        <v>613.57000000000005</v>
      </c>
      <c r="AQ1816" s="57">
        <f t="shared" si="46"/>
        <v>1.7042190928533736</v>
      </c>
      <c r="AR1816" s="59">
        <v>5479</v>
      </c>
      <c r="AS1816" s="59">
        <f>SUMIFS(HIX_RatingAreas[Silver Enrollments 2018],HIX_RatingAreas[Area],HIX_SLCSP[[#This Row],[Area Code]])</f>
        <v>4412</v>
      </c>
      <c r="AT1816" s="59">
        <f>SUMIFS(HIX_RatingAreas[Silver Enrollments 2019],HIX_RatingAreas[Area],HIX_SLCSP[[#This Row],[Area Code]])</f>
        <v>4039</v>
      </c>
      <c r="AU1816" s="59">
        <f>SUMIFS(HIX_RatingAreas[Silver Enrollments 2020],HIX_RatingAreas[Area],HIX_SLCSP[[#This Row],[Area Code]])</f>
        <v>4034</v>
      </c>
      <c r="AV1816" s="59">
        <f>SUMIFS(HIX_RatingAreas[Silver Enrollments 2021],HIX_RatingAreas[Area],HIX_SLCSP[[#This Row],[Area Code]])</f>
        <v>4692</v>
      </c>
      <c r="AW1816" s="59">
        <f>SUMIFS(HIX_RatingAreas[Silver Enrollments 2022],HIX_RatingAreas[Area],HIX_SLCSP[[#This Row],[Area Code]])</f>
        <v>6510</v>
      </c>
      <c r="AX1816" s="59">
        <f>SUMIFS(HIX_RatingAreas[Silver Enrollments 2023],HIX_RatingAreas[Area],HIX_SLCSP[[#This Row],[Area Code]])</f>
        <v>7587</v>
      </c>
      <c r="AY1816" s="59">
        <f>SUMIFS(HIX_RatingAreas[Silver Enrollments 2024],HIX_RatingAreas[Area],HIX_SLCSP[[#This Row],[Area Code]])</f>
        <v>10530</v>
      </c>
      <c r="AZ1816" s="59">
        <v>7473</v>
      </c>
      <c r="BA1816">
        <f t="shared" si="35"/>
        <v>4.2879127108811877E-3</v>
      </c>
      <c r="BB1816">
        <f>SUMIFS(HIX_RatingAreas[QHP Enrollments 2018],HIX_RatingAreas[Area],HIX_SLCSP[[#This Row],[Area Code]])</f>
        <v>7719</v>
      </c>
      <c r="BC1816">
        <f t="shared" si="36"/>
        <v>4.5002815955448435E-3</v>
      </c>
      <c r="BD1816">
        <f>SUMIFS(HIX_RatingAreas[QHP Enrollments 2019],HIX_RatingAreas[Area],HIX_SLCSP[[#This Row],[Area Code]])</f>
        <v>8094</v>
      </c>
      <c r="BE1816">
        <f t="shared" si="37"/>
        <v>4.5387662451270225E-3</v>
      </c>
      <c r="BF1816">
        <f>SUMIFS(HIX_RatingAreas[QHP Enrollments 2020],HIX_RatingAreas[Area],HIX_SLCSP[[#This Row],[Area Code]])</f>
        <v>8365</v>
      </c>
      <c r="BG1816">
        <f t="shared" si="38"/>
        <v>4.3704855079089331E-3</v>
      </c>
      <c r="BH1816">
        <f>SUMIFS(HIX_RatingAreas[QHP Enrollments 2021],HIX_RatingAreas[Area],HIX_SLCSP[[#This Row],[Area Code]])</f>
        <v>9157</v>
      </c>
      <c r="BI1816">
        <f t="shared" si="39"/>
        <v>4.3186266418280004E-3</v>
      </c>
      <c r="BJ1816">
        <f>SUMIFS(HIX_RatingAreas[QHP Enrollments 2022],HIX_RatingAreas[Area],HIX_SLCSP[[#This Row],[Area Code]])</f>
        <v>11760</v>
      </c>
      <c r="BK1816">
        <f t="shared" si="40"/>
        <v>4.3186169849443318E-3</v>
      </c>
      <c r="BL1816">
        <f>SUMIFS(HIX_RatingAreas[QHP Enrollments 2023],HIX_RatingAreas[Area],HIX_SLCSP[[#This Row],[Area Code]])</f>
        <v>13583</v>
      </c>
      <c r="BM1816">
        <f t="shared" si="47"/>
        <v>4.2112149213981986E-3</v>
      </c>
      <c r="BN1816">
        <f>SUMIFS(HIX_RatingAreas[QHP Enrollments 2024],HIX_RatingAreas[Area],HIX_SLCSP[[#This Row],[Area Code]])</f>
        <v>17842</v>
      </c>
      <c r="BO1816">
        <f t="shared" si="48"/>
        <v>4.2360909631800553E-3</v>
      </c>
      <c r="BP1816" s="53">
        <f>ROUND(HIX_SLCSP[[#This Row],[Weighting Factor 2018]]*HIX_SLCSP[[#This Row],[2018]],2)</f>
        <v>1.86</v>
      </c>
      <c r="BQ1816" s="53">
        <f>ROUND(HIX_SLCSP[[#This Row],[Weighting Factor 2019]]*HIX_SLCSP[[#This Row],[2019]],2)</f>
        <v>1.84</v>
      </c>
      <c r="BR1816" s="53">
        <f>ROUND(HIX_SLCSP[[#This Row],[Weighting Factor 2020]]*HIX_SLCSP[[#This Row],[2020]],2)</f>
        <v>1.42</v>
      </c>
      <c r="BS1816" s="53">
        <f>ROUND(HIX_SLCSP[[#This Row],[Weighting Factor 2021]]*HIX_SLCSP[[#This Row],[2021]],2)</f>
        <v>1.34</v>
      </c>
      <c r="BT1816" s="53">
        <f>ROUND(HIX_SLCSP[[#This Row],[Weighting Factor 2022]]*HIX_SLCSP[[#This Row],[2022]],2)</f>
        <v>1.38</v>
      </c>
      <c r="BU1816" s="53">
        <f>ROUND(HIX_SLCSP[[#This Row],[Weighting Factor 2023]]*HIX_SLCSP[[#This Row],[2023]],2)</f>
        <v>1.39</v>
      </c>
      <c r="BV1816" s="53">
        <f>ROUND(HIX_SLCSP[[#This Row],[Weighting Factor 2024]]*HIX_SLCSP[[#This Row],[2024]],2)</f>
        <v>1.53</v>
      </c>
    </row>
    <row r="1817" spans="4:74" x14ac:dyDescent="0.35">
      <c r="D1817" t="s">
        <v>539</v>
      </c>
      <c r="E1817" t="s">
        <v>592</v>
      </c>
      <c r="F1817" s="23">
        <v>18</v>
      </c>
      <c r="G1817" s="23" t="s">
        <v>540</v>
      </c>
      <c r="H1817" s="23" t="s">
        <v>593</v>
      </c>
      <c r="I1817" s="23">
        <v>16</v>
      </c>
      <c r="J1817" s="53">
        <v>477.7</v>
      </c>
      <c r="K1817" s="53">
        <v>624.75</v>
      </c>
      <c r="L1817" s="53">
        <v>1064.71</v>
      </c>
      <c r="M1817" s="54">
        <f t="shared" si="41"/>
        <v>1.70421768707483</v>
      </c>
      <c r="N1817" s="24">
        <v>16</v>
      </c>
      <c r="O1817" s="55">
        <v>547.33000000000004</v>
      </c>
      <c r="P1817" s="56">
        <v>591.63</v>
      </c>
      <c r="Q1817" s="56">
        <v>1008.25</v>
      </c>
      <c r="R1817" s="57">
        <f t="shared" si="42"/>
        <v>1.7041901188242652</v>
      </c>
      <c r="S1817" s="23">
        <v>16</v>
      </c>
      <c r="T1817" s="53">
        <v>524.34</v>
      </c>
      <c r="U1817" s="53">
        <v>565.6</v>
      </c>
      <c r="V1817" s="53">
        <v>963.89</v>
      </c>
      <c r="W1817" s="57">
        <f t="shared" si="43"/>
        <v>1.7041902404526166</v>
      </c>
      <c r="X1817" s="47">
        <v>101</v>
      </c>
      <c r="Y1817" s="58">
        <v>334.27</v>
      </c>
      <c r="Z1817" s="58">
        <v>343.54</v>
      </c>
      <c r="AA1817" s="58">
        <v>585.47</v>
      </c>
      <c r="AB1817" s="57">
        <f t="shared" si="44"/>
        <v>1.7042265820574023</v>
      </c>
      <c r="AC1817" s="47">
        <v>97</v>
      </c>
      <c r="AD1817" s="57">
        <v>351.05</v>
      </c>
      <c r="AE1817" s="57">
        <v>367.67</v>
      </c>
      <c r="AF1817" s="57">
        <v>626.58000000000004</v>
      </c>
      <c r="AG1817" s="57">
        <f t="shared" si="45"/>
        <v>1.7041912584654717</v>
      </c>
      <c r="AH1817" s="47">
        <v>108</v>
      </c>
      <c r="AI1817">
        <v>337.36</v>
      </c>
      <c r="AJ1817">
        <v>338.99</v>
      </c>
      <c r="AK1817">
        <v>577.71</v>
      </c>
      <c r="AL1817" s="57">
        <f t="shared" si="19"/>
        <v>1.7042095637039441</v>
      </c>
      <c r="AM1817" s="47">
        <v>82</v>
      </c>
      <c r="AN1817" s="57">
        <v>308.62</v>
      </c>
      <c r="AO1817" s="57">
        <v>310.10000000000002</v>
      </c>
      <c r="AP1817" s="57">
        <v>528.47</v>
      </c>
      <c r="AQ1817" s="57">
        <f t="shared" si="46"/>
        <v>1.7041921960657851</v>
      </c>
      <c r="AR1817" s="59">
        <v>617</v>
      </c>
      <c r="AS1817" s="59">
        <f>SUMIFS(HIX_RatingAreas[Silver Enrollments 2018],HIX_RatingAreas[Area],HIX_SLCSP[[#This Row],[Area Code]])</f>
        <v>482</v>
      </c>
      <c r="AT1817" s="59">
        <f>SUMIFS(HIX_RatingAreas[Silver Enrollments 2019],HIX_RatingAreas[Area],HIX_SLCSP[[#This Row],[Area Code]])</f>
        <v>473</v>
      </c>
      <c r="AU1817" s="59">
        <f>SUMIFS(HIX_RatingAreas[Silver Enrollments 2020],HIX_RatingAreas[Area],HIX_SLCSP[[#This Row],[Area Code]])</f>
        <v>518</v>
      </c>
      <c r="AV1817" s="59">
        <f>SUMIFS(HIX_RatingAreas[Silver Enrollments 2021],HIX_RatingAreas[Area],HIX_SLCSP[[#This Row],[Area Code]])</f>
        <v>365</v>
      </c>
      <c r="AW1817" s="59">
        <f>SUMIFS(HIX_RatingAreas[Silver Enrollments 2022],HIX_RatingAreas[Area],HIX_SLCSP[[#This Row],[Area Code]])</f>
        <v>262</v>
      </c>
      <c r="AX1817" s="59">
        <f>SUMIFS(HIX_RatingAreas[Silver Enrollments 2023],HIX_RatingAreas[Area],HIX_SLCSP[[#This Row],[Area Code]])</f>
        <v>346</v>
      </c>
      <c r="AY1817" s="59">
        <f>SUMIFS(HIX_RatingAreas[Silver Enrollments 2024],HIX_RatingAreas[Area],HIX_SLCSP[[#This Row],[Area Code]])</f>
        <v>760</v>
      </c>
      <c r="AZ1817" s="59">
        <v>748</v>
      </c>
      <c r="BA1817">
        <f t="shared" si="35"/>
        <v>4.2919292221853722E-4</v>
      </c>
      <c r="BB1817">
        <f>SUMIFS(HIX_RatingAreas[QHP Enrollments 2018],HIX_RatingAreas[Area],HIX_SLCSP[[#This Row],[Area Code]])</f>
        <v>706</v>
      </c>
      <c r="BC1817">
        <f t="shared" si="36"/>
        <v>4.1160756658306251E-4</v>
      </c>
      <c r="BD1817">
        <f>SUMIFS(HIX_RatingAreas[QHP Enrollments 2019],HIX_RatingAreas[Area],HIX_SLCSP[[#This Row],[Area Code]])</f>
        <v>726</v>
      </c>
      <c r="BE1817">
        <f t="shared" si="37"/>
        <v>4.0710950011888045E-4</v>
      </c>
      <c r="BF1817">
        <f>SUMIFS(HIX_RatingAreas[QHP Enrollments 2020],HIX_RatingAreas[Area],HIX_SLCSP[[#This Row],[Area Code]])</f>
        <v>805</v>
      </c>
      <c r="BG1817">
        <f t="shared" si="38"/>
        <v>4.2059065557282621E-4</v>
      </c>
      <c r="BH1817">
        <f>SUMIFS(HIX_RatingAreas[QHP Enrollments 2021],HIX_RatingAreas[Area],HIX_SLCSP[[#This Row],[Area Code]])</f>
        <v>867</v>
      </c>
      <c r="BI1817">
        <f t="shared" si="39"/>
        <v>4.0889475794090598E-4</v>
      </c>
      <c r="BJ1817">
        <f>SUMIFS(HIX_RatingAreas[QHP Enrollments 2022],HIX_RatingAreas[Area],HIX_SLCSP[[#This Row],[Area Code]])</f>
        <v>932</v>
      </c>
      <c r="BK1817">
        <f t="shared" si="40"/>
        <v>3.4225774064354736E-4</v>
      </c>
      <c r="BL1817">
        <f>SUMIFS(HIX_RatingAreas[QHP Enrollments 2023],HIX_RatingAreas[Area],HIX_SLCSP[[#This Row],[Area Code]])</f>
        <v>1165</v>
      </c>
      <c r="BM1817">
        <f t="shared" si="47"/>
        <v>3.6119159121172803E-4</v>
      </c>
      <c r="BN1817">
        <f>SUMIFS(HIX_RatingAreas[QHP Enrollments 2024],HIX_RatingAreas[Area],HIX_SLCSP[[#This Row],[Area Code]])</f>
        <v>1630</v>
      </c>
      <c r="BO1817">
        <f t="shared" si="48"/>
        <v>3.8699855789617137E-4</v>
      </c>
      <c r="BP1817" s="53">
        <f>ROUND(HIX_SLCSP[[#This Row],[Weighting Factor 2018]]*HIX_SLCSP[[#This Row],[2018]],2)</f>
        <v>0.26</v>
      </c>
      <c r="BQ1817" s="53">
        <f>ROUND(HIX_SLCSP[[#This Row],[Weighting Factor 2019]]*HIX_SLCSP[[#This Row],[2019]],2)</f>
        <v>0.24</v>
      </c>
      <c r="BR1817" s="53">
        <f>ROUND(HIX_SLCSP[[#This Row],[Weighting Factor 2020]]*HIX_SLCSP[[#This Row],[2020]],2)</f>
        <v>0.24</v>
      </c>
      <c r="BS1817" s="53">
        <f>ROUND(HIX_SLCSP[[#This Row],[Weighting Factor 2021]]*HIX_SLCSP[[#This Row],[2021]],2)</f>
        <v>0.14000000000000001</v>
      </c>
      <c r="BT1817" s="53">
        <f>ROUND(HIX_SLCSP[[#This Row],[Weighting Factor 2022]]*HIX_SLCSP[[#This Row],[2022]],2)</f>
        <v>0.13</v>
      </c>
      <c r="BU1817" s="53">
        <f>ROUND(HIX_SLCSP[[#This Row],[Weighting Factor 2023]]*HIX_SLCSP[[#This Row],[2023]],2)</f>
        <v>0.12</v>
      </c>
      <c r="BV1817" s="53">
        <f>ROUND(HIX_SLCSP[[#This Row],[Weighting Factor 2024]]*HIX_SLCSP[[#This Row],[2024]],2)</f>
        <v>0.12</v>
      </c>
    </row>
    <row r="1818" spans="4:74" x14ac:dyDescent="0.35">
      <c r="D1818" t="s">
        <v>539</v>
      </c>
      <c r="E1818" t="s">
        <v>595</v>
      </c>
      <c r="F1818" s="23">
        <v>19</v>
      </c>
      <c r="G1818" s="23" t="s">
        <v>540</v>
      </c>
      <c r="H1818" s="23" t="s">
        <v>596</v>
      </c>
      <c r="I1818" s="23">
        <v>16</v>
      </c>
      <c r="J1818" s="53">
        <v>524.94000000000005</v>
      </c>
      <c r="K1818" s="53">
        <v>686.54</v>
      </c>
      <c r="L1818" s="53">
        <v>1170.01</v>
      </c>
      <c r="M1818" s="54">
        <f t="shared" si="41"/>
        <v>1.7042124275351764</v>
      </c>
      <c r="N1818" s="24">
        <v>16</v>
      </c>
      <c r="O1818" s="55">
        <v>601.78</v>
      </c>
      <c r="P1818" s="56">
        <v>650.49</v>
      </c>
      <c r="Q1818" s="56">
        <v>1108.57</v>
      </c>
      <c r="R1818" s="57">
        <f t="shared" si="42"/>
        <v>1.7042075973496902</v>
      </c>
      <c r="S1818" s="23">
        <v>16</v>
      </c>
      <c r="T1818" s="53">
        <v>576.78</v>
      </c>
      <c r="U1818" s="53">
        <v>622.16</v>
      </c>
      <c r="V1818" s="53">
        <v>1060.28</v>
      </c>
      <c r="W1818" s="57">
        <f t="shared" si="43"/>
        <v>1.7041918477562041</v>
      </c>
      <c r="X1818" s="47">
        <v>101</v>
      </c>
      <c r="Y1818" s="58">
        <v>362.53</v>
      </c>
      <c r="Z1818" s="58">
        <v>372.59</v>
      </c>
      <c r="AA1818" s="58">
        <v>634.96</v>
      </c>
      <c r="AB1818" s="57">
        <f t="shared" si="44"/>
        <v>1.7041788561153013</v>
      </c>
      <c r="AC1818" s="47">
        <v>97</v>
      </c>
      <c r="AD1818" s="57">
        <v>317.73</v>
      </c>
      <c r="AE1818" s="57">
        <v>332.77</v>
      </c>
      <c r="AF1818" s="57">
        <v>567.11</v>
      </c>
      <c r="AG1818" s="57">
        <f t="shared" si="45"/>
        <v>1.7042101150945099</v>
      </c>
      <c r="AH1818" s="47">
        <v>108</v>
      </c>
      <c r="AI1818">
        <v>337.77</v>
      </c>
      <c r="AJ1818">
        <v>339.41</v>
      </c>
      <c r="AK1818">
        <v>578.41999999999996</v>
      </c>
      <c r="AL1818" s="57">
        <f t="shared" si="19"/>
        <v>1.7041925694587665</v>
      </c>
      <c r="AM1818" s="47">
        <v>107</v>
      </c>
      <c r="AN1818" s="57">
        <v>317.35000000000002</v>
      </c>
      <c r="AO1818" s="57">
        <v>318.87</v>
      </c>
      <c r="AP1818" s="57">
        <v>543.42999999999995</v>
      </c>
      <c r="AQ1818" s="57">
        <f t="shared" si="46"/>
        <v>1.704236836328284</v>
      </c>
      <c r="AR1818" s="59">
        <v>1388</v>
      </c>
      <c r="AS1818" s="59">
        <f>SUMIFS(HIX_RatingAreas[Silver Enrollments 2018],HIX_RatingAreas[Area],HIX_SLCSP[[#This Row],[Area Code]])</f>
        <v>1429</v>
      </c>
      <c r="AT1818" s="59">
        <f>SUMIFS(HIX_RatingAreas[Silver Enrollments 2019],HIX_RatingAreas[Area],HIX_SLCSP[[#This Row],[Area Code]])</f>
        <v>1485</v>
      </c>
      <c r="AU1818" s="59">
        <f>SUMIFS(HIX_RatingAreas[Silver Enrollments 2020],HIX_RatingAreas[Area],HIX_SLCSP[[#This Row],[Area Code]])</f>
        <v>1830</v>
      </c>
      <c r="AV1818" s="59">
        <f>SUMIFS(HIX_RatingAreas[Silver Enrollments 2021],HIX_RatingAreas[Area],HIX_SLCSP[[#This Row],[Area Code]])</f>
        <v>1515</v>
      </c>
      <c r="AW1818" s="59">
        <f>SUMIFS(HIX_RatingAreas[Silver Enrollments 2022],HIX_RatingAreas[Area],HIX_SLCSP[[#This Row],[Area Code]])</f>
        <v>1195</v>
      </c>
      <c r="AX1818" s="59">
        <f>SUMIFS(HIX_RatingAreas[Silver Enrollments 2023],HIX_RatingAreas[Area],HIX_SLCSP[[#This Row],[Area Code]])</f>
        <v>1239</v>
      </c>
      <c r="AY1818" s="59">
        <f>SUMIFS(HIX_RatingAreas[Silver Enrollments 2024],HIX_RatingAreas[Area],HIX_SLCSP[[#This Row],[Area Code]])</f>
        <v>2911</v>
      </c>
      <c r="AZ1818" s="59">
        <v>1693</v>
      </c>
      <c r="BA1818">
        <f t="shared" si="35"/>
        <v>9.7142194828340046E-4</v>
      </c>
      <c r="BB1818">
        <f>SUMIFS(HIX_RatingAreas[QHP Enrollments 2018],HIX_RatingAreas[Area],HIX_SLCSP[[#This Row],[Area Code]])</f>
        <v>1859</v>
      </c>
      <c r="BC1818">
        <f t="shared" si="36"/>
        <v>1.0838221901953446E-3</v>
      </c>
      <c r="BD1818">
        <f>SUMIFS(HIX_RatingAreas[QHP Enrollments 2019],HIX_RatingAreas[Area],HIX_SLCSP[[#This Row],[Area Code]])</f>
        <v>2041</v>
      </c>
      <c r="BE1818">
        <f t="shared" si="37"/>
        <v>1.1445048068080372E-3</v>
      </c>
      <c r="BF1818">
        <f>SUMIFS(HIX_RatingAreas[QHP Enrollments 2020],HIX_RatingAreas[Area],HIX_SLCSP[[#This Row],[Area Code]])</f>
        <v>2472</v>
      </c>
      <c r="BG1818">
        <f t="shared" si="38"/>
        <v>1.291552919970219E-3</v>
      </c>
      <c r="BH1818">
        <f>SUMIFS(HIX_RatingAreas[QHP Enrollments 2021],HIX_RatingAreas[Area],HIX_SLCSP[[#This Row],[Area Code]])</f>
        <v>3124</v>
      </c>
      <c r="BI1818">
        <f t="shared" si="39"/>
        <v>1.4733416652911076E-3</v>
      </c>
      <c r="BJ1818">
        <f>SUMIFS(HIX_RatingAreas[QHP Enrollments 2022],HIX_RatingAreas[Area],HIX_SLCSP[[#This Row],[Area Code]])</f>
        <v>3282</v>
      </c>
      <c r="BK1818">
        <f t="shared" si="40"/>
        <v>1.2052466789615047E-3</v>
      </c>
      <c r="BL1818">
        <f>SUMIFS(HIX_RatingAreas[QHP Enrollments 2023],HIX_RatingAreas[Area],HIX_SLCSP[[#This Row],[Area Code]])</f>
        <v>3924</v>
      </c>
      <c r="BM1818">
        <f t="shared" si="47"/>
        <v>1.216580089197271E-3</v>
      </c>
      <c r="BN1818">
        <f>SUMIFS(HIX_RatingAreas[QHP Enrollments 2024],HIX_RatingAreas[Area],HIX_SLCSP[[#This Row],[Area Code]])</f>
        <v>6245</v>
      </c>
      <c r="BO1818">
        <f t="shared" si="48"/>
        <v>1.4827030638414663E-3</v>
      </c>
      <c r="BP1818" s="53">
        <f>ROUND(HIX_SLCSP[[#This Row],[Weighting Factor 2018]]*HIX_SLCSP[[#This Row],[2018]],2)</f>
        <v>0.74</v>
      </c>
      <c r="BQ1818" s="53">
        <f>ROUND(HIX_SLCSP[[#This Row],[Weighting Factor 2019]]*HIX_SLCSP[[#This Row],[2019]],2)</f>
        <v>0.74</v>
      </c>
      <c r="BR1818" s="53">
        <f>ROUND(HIX_SLCSP[[#This Row],[Weighting Factor 2020]]*HIX_SLCSP[[#This Row],[2020]],2)</f>
        <v>0.8</v>
      </c>
      <c r="BS1818" s="53">
        <f>ROUND(HIX_SLCSP[[#This Row],[Weighting Factor 2021]]*HIX_SLCSP[[#This Row],[2021]],2)</f>
        <v>0.55000000000000004</v>
      </c>
      <c r="BT1818" s="53">
        <f>ROUND(HIX_SLCSP[[#This Row],[Weighting Factor 2022]]*HIX_SLCSP[[#This Row],[2022]],2)</f>
        <v>0.4</v>
      </c>
      <c r="BU1818" s="53">
        <f>ROUND(HIX_SLCSP[[#This Row],[Weighting Factor 2023]]*HIX_SLCSP[[#This Row],[2023]],2)</f>
        <v>0.41</v>
      </c>
      <c r="BV1818" s="53">
        <f>ROUND(HIX_SLCSP[[#This Row],[Weighting Factor 2024]]*HIX_SLCSP[[#This Row],[2024]],2)</f>
        <v>0.47</v>
      </c>
    </row>
    <row r="1819" spans="4:74" x14ac:dyDescent="0.35">
      <c r="D1819" t="s">
        <v>539</v>
      </c>
      <c r="E1819" t="s">
        <v>599</v>
      </c>
      <c r="F1819" s="23">
        <v>20</v>
      </c>
      <c r="G1819" s="23" t="s">
        <v>540</v>
      </c>
      <c r="H1819" s="23" t="s">
        <v>600</v>
      </c>
      <c r="I1819" s="23">
        <v>36</v>
      </c>
      <c r="J1819" s="53">
        <v>362.58</v>
      </c>
      <c r="K1819" s="53">
        <v>485.87</v>
      </c>
      <c r="L1819" s="53">
        <v>809.46</v>
      </c>
      <c r="M1819" s="54">
        <f t="shared" si="41"/>
        <v>1.6660011937349497</v>
      </c>
      <c r="N1819" s="24">
        <v>32</v>
      </c>
      <c r="O1819" s="55">
        <v>455.85</v>
      </c>
      <c r="P1819" s="56">
        <v>515.5</v>
      </c>
      <c r="Q1819" s="56">
        <v>878.52</v>
      </c>
      <c r="R1819" s="57">
        <f t="shared" si="42"/>
        <v>1.7042095053346265</v>
      </c>
      <c r="S1819" s="23">
        <v>36</v>
      </c>
      <c r="T1819" s="53">
        <v>388.92</v>
      </c>
      <c r="U1819" s="53">
        <v>409.87</v>
      </c>
      <c r="V1819" s="53">
        <v>698.5</v>
      </c>
      <c r="W1819" s="57">
        <f t="shared" si="43"/>
        <v>1.7041988923317148</v>
      </c>
      <c r="X1819" s="47">
        <v>117</v>
      </c>
      <c r="Y1819" s="58">
        <v>347.51</v>
      </c>
      <c r="Z1819" s="58">
        <v>357.15</v>
      </c>
      <c r="AA1819" s="58">
        <v>608.66</v>
      </c>
      <c r="AB1819" s="57">
        <f t="shared" si="44"/>
        <v>1.7042139157216856</v>
      </c>
      <c r="AC1819" s="47">
        <v>105</v>
      </c>
      <c r="AD1819" s="57">
        <v>373.51</v>
      </c>
      <c r="AE1819" s="57">
        <v>391.19</v>
      </c>
      <c r="AF1819" s="57">
        <v>666.66</v>
      </c>
      <c r="AG1819" s="57">
        <f t="shared" si="45"/>
        <v>1.7041846672972212</v>
      </c>
      <c r="AH1819" s="47">
        <v>125</v>
      </c>
      <c r="AI1819">
        <v>394.01</v>
      </c>
      <c r="AJ1819">
        <v>395.75</v>
      </c>
      <c r="AK1819">
        <v>674.44</v>
      </c>
      <c r="AL1819" s="57">
        <f t="shared" si="19"/>
        <v>1.7042072015161087</v>
      </c>
      <c r="AM1819" s="47">
        <v>95</v>
      </c>
      <c r="AN1819" s="57">
        <v>359.62</v>
      </c>
      <c r="AO1819" s="57">
        <v>361.35</v>
      </c>
      <c r="AP1819" s="57">
        <v>615.80999999999995</v>
      </c>
      <c r="AQ1819" s="57">
        <f t="shared" si="46"/>
        <v>1.7041926110419259</v>
      </c>
      <c r="AR1819" s="59">
        <v>600</v>
      </c>
      <c r="AS1819" s="59">
        <f>SUMIFS(HIX_RatingAreas[Silver Enrollments 2018],HIX_RatingAreas[Area],HIX_SLCSP[[#This Row],[Area Code]])</f>
        <v>596</v>
      </c>
      <c r="AT1819" s="59">
        <f>SUMIFS(HIX_RatingAreas[Silver Enrollments 2019],HIX_RatingAreas[Area],HIX_SLCSP[[#This Row],[Area Code]])</f>
        <v>566</v>
      </c>
      <c r="AU1819" s="59">
        <f>SUMIFS(HIX_RatingAreas[Silver Enrollments 2020],HIX_RatingAreas[Area],HIX_SLCSP[[#This Row],[Area Code]])</f>
        <v>596</v>
      </c>
      <c r="AV1819" s="59">
        <f>SUMIFS(HIX_RatingAreas[Silver Enrollments 2021],HIX_RatingAreas[Area],HIX_SLCSP[[#This Row],[Area Code]])</f>
        <v>481</v>
      </c>
      <c r="AW1819" s="59">
        <f>SUMIFS(HIX_RatingAreas[Silver Enrollments 2022],HIX_RatingAreas[Area],HIX_SLCSP[[#This Row],[Area Code]])</f>
        <v>498</v>
      </c>
      <c r="AX1819" s="59">
        <f>SUMIFS(HIX_RatingAreas[Silver Enrollments 2023],HIX_RatingAreas[Area],HIX_SLCSP[[#This Row],[Area Code]])</f>
        <v>571</v>
      </c>
      <c r="AY1819" s="59">
        <f>SUMIFS(HIX_RatingAreas[Silver Enrollments 2024],HIX_RatingAreas[Area],HIX_SLCSP[[#This Row],[Area Code]])</f>
        <v>934</v>
      </c>
      <c r="AZ1819" s="59">
        <v>747</v>
      </c>
      <c r="BA1819">
        <f t="shared" si="35"/>
        <v>4.2861913488936805E-4</v>
      </c>
      <c r="BB1819">
        <f>SUMIFS(HIX_RatingAreas[QHP Enrollments 2018],HIX_RatingAreas[Area],HIX_SLCSP[[#This Row],[Area Code]])</f>
        <v>870</v>
      </c>
      <c r="BC1819">
        <f t="shared" si="36"/>
        <v>5.0722178884881643E-4</v>
      </c>
      <c r="BD1819">
        <f>SUMIFS(HIX_RatingAreas[QHP Enrollments 2019],HIX_RatingAreas[Area],HIX_SLCSP[[#This Row],[Area Code]])</f>
        <v>863</v>
      </c>
      <c r="BE1819">
        <f t="shared" si="37"/>
        <v>4.8393319366748464E-4</v>
      </c>
      <c r="BF1819">
        <f>SUMIFS(HIX_RatingAreas[QHP Enrollments 2020],HIX_RatingAreas[Area],HIX_SLCSP[[#This Row],[Area Code]])</f>
        <v>958</v>
      </c>
      <c r="BG1819">
        <f t="shared" si="38"/>
        <v>5.0052900377486648E-4</v>
      </c>
      <c r="BH1819">
        <f>SUMIFS(HIX_RatingAreas[QHP Enrollments 2021],HIX_RatingAreas[Area],HIX_SLCSP[[#This Row],[Area Code]])</f>
        <v>1005</v>
      </c>
      <c r="BI1819">
        <f t="shared" si="39"/>
        <v>4.7397835263046195E-4</v>
      </c>
      <c r="BJ1819">
        <f>SUMIFS(HIX_RatingAreas[QHP Enrollments 2022],HIX_RatingAreas[Area],HIX_SLCSP[[#This Row],[Area Code]])</f>
        <v>1153</v>
      </c>
      <c r="BK1819">
        <f t="shared" si="40"/>
        <v>4.2341542377898083E-4</v>
      </c>
      <c r="BL1819">
        <f>SUMIFS(HIX_RatingAreas[QHP Enrollments 2023],HIX_RatingAreas[Area],HIX_SLCSP[[#This Row],[Area Code]])</f>
        <v>1411</v>
      </c>
      <c r="BM1819">
        <f t="shared" si="47"/>
        <v>4.3746037356201566E-4</v>
      </c>
      <c r="BN1819">
        <f>SUMIFS(HIX_RatingAreas[QHP Enrollments 2024],HIX_RatingAreas[Area],HIX_SLCSP[[#This Row],[Area Code]])</f>
        <v>1851</v>
      </c>
      <c r="BO1819">
        <f t="shared" si="48"/>
        <v>4.3946891451890379E-4</v>
      </c>
      <c r="BP1819" s="53">
        <f>ROUND(HIX_SLCSP[[#This Row],[Weighting Factor 2018]]*HIX_SLCSP[[#This Row],[2018]],2)</f>
        <v>0.25</v>
      </c>
      <c r="BQ1819" s="53">
        <f>ROUND(HIX_SLCSP[[#This Row],[Weighting Factor 2019]]*HIX_SLCSP[[#This Row],[2019]],2)</f>
        <v>0.25</v>
      </c>
      <c r="BR1819" s="53">
        <f>ROUND(HIX_SLCSP[[#This Row],[Weighting Factor 2020]]*HIX_SLCSP[[#This Row],[2020]],2)</f>
        <v>0.21</v>
      </c>
      <c r="BS1819" s="53">
        <f>ROUND(HIX_SLCSP[[#This Row],[Weighting Factor 2021]]*HIX_SLCSP[[#This Row],[2021]],2)</f>
        <v>0.17</v>
      </c>
      <c r="BT1819" s="53">
        <f>ROUND(HIX_SLCSP[[#This Row],[Weighting Factor 2022]]*HIX_SLCSP[[#This Row],[2022]],2)</f>
        <v>0.17</v>
      </c>
      <c r="BU1819" s="53">
        <f>ROUND(HIX_SLCSP[[#This Row],[Weighting Factor 2023]]*HIX_SLCSP[[#This Row],[2023]],2)</f>
        <v>0.17</v>
      </c>
      <c r="BV1819" s="53">
        <f>ROUND(HIX_SLCSP[[#This Row],[Weighting Factor 2024]]*HIX_SLCSP[[#This Row],[2024]],2)</f>
        <v>0.16</v>
      </c>
    </row>
    <row r="1820" spans="4:74" x14ac:dyDescent="0.35">
      <c r="D1820" t="s">
        <v>539</v>
      </c>
      <c r="E1820" t="s">
        <v>603</v>
      </c>
      <c r="F1820" s="23">
        <v>21</v>
      </c>
      <c r="G1820" s="23" t="s">
        <v>540</v>
      </c>
      <c r="H1820" s="23" t="s">
        <v>604</v>
      </c>
      <c r="I1820" s="23">
        <v>16</v>
      </c>
      <c r="J1820" s="53">
        <v>525.53</v>
      </c>
      <c r="K1820" s="53">
        <v>687.31</v>
      </c>
      <c r="L1820" s="53">
        <v>1171.31</v>
      </c>
      <c r="M1820" s="54">
        <f t="shared" si="41"/>
        <v>1.704194613784173</v>
      </c>
      <c r="N1820" s="24">
        <v>16</v>
      </c>
      <c r="O1820" s="55">
        <v>637.63</v>
      </c>
      <c r="P1820" s="56">
        <v>689.25</v>
      </c>
      <c r="Q1820" s="56">
        <v>1174.6199999999999</v>
      </c>
      <c r="R1820" s="57">
        <f t="shared" si="42"/>
        <v>1.7042002176278561</v>
      </c>
      <c r="S1820" s="23">
        <v>16</v>
      </c>
      <c r="T1820" s="53">
        <v>634.66</v>
      </c>
      <c r="U1820" s="53">
        <v>684.6</v>
      </c>
      <c r="V1820" s="53">
        <v>1166.69</v>
      </c>
      <c r="W1820" s="57">
        <f t="shared" si="43"/>
        <v>1.7041922290388549</v>
      </c>
      <c r="X1820" s="47">
        <v>117</v>
      </c>
      <c r="Y1820" s="58">
        <v>420.51</v>
      </c>
      <c r="Z1820" s="58">
        <v>432.18</v>
      </c>
      <c r="AA1820" s="58">
        <v>736.53</v>
      </c>
      <c r="AB1820" s="57">
        <f t="shared" si="44"/>
        <v>1.7042204636956824</v>
      </c>
      <c r="AC1820" s="47">
        <v>89</v>
      </c>
      <c r="AD1820" s="57">
        <v>415.9</v>
      </c>
      <c r="AE1820" s="57">
        <v>435.59</v>
      </c>
      <c r="AF1820" s="57">
        <v>742.33</v>
      </c>
      <c r="AG1820" s="57">
        <f t="shared" si="45"/>
        <v>1.7041943111641684</v>
      </c>
      <c r="AH1820" s="47">
        <v>69</v>
      </c>
      <c r="AI1820">
        <v>435.04</v>
      </c>
      <c r="AJ1820">
        <v>436.97</v>
      </c>
      <c r="AK1820">
        <v>744.68</v>
      </c>
      <c r="AL1820" s="57">
        <f t="shared" si="19"/>
        <v>1.7041902190081697</v>
      </c>
      <c r="AM1820" s="47">
        <v>80</v>
      </c>
      <c r="AN1820" s="57">
        <v>493.91</v>
      </c>
      <c r="AO1820" s="57">
        <v>496.29</v>
      </c>
      <c r="AP1820" s="57">
        <v>845.77</v>
      </c>
      <c r="AQ1820" s="57">
        <f t="shared" si="46"/>
        <v>1.7041850530939571</v>
      </c>
      <c r="AR1820" s="59">
        <v>418</v>
      </c>
      <c r="AS1820" s="59">
        <f>SUMIFS(HIX_RatingAreas[Silver Enrollments 2018],HIX_RatingAreas[Area],HIX_SLCSP[[#This Row],[Area Code]])</f>
        <v>372</v>
      </c>
      <c r="AT1820" s="59">
        <f>SUMIFS(HIX_RatingAreas[Silver Enrollments 2019],HIX_RatingAreas[Area],HIX_SLCSP[[#This Row],[Area Code]])</f>
        <v>384</v>
      </c>
      <c r="AU1820" s="59">
        <f>SUMIFS(HIX_RatingAreas[Silver Enrollments 2020],HIX_RatingAreas[Area],HIX_SLCSP[[#This Row],[Area Code]])</f>
        <v>415</v>
      </c>
      <c r="AV1820" s="59">
        <f>SUMIFS(HIX_RatingAreas[Silver Enrollments 2021],HIX_RatingAreas[Area],HIX_SLCSP[[#This Row],[Area Code]])</f>
        <v>284</v>
      </c>
      <c r="AW1820" s="59">
        <f>SUMIFS(HIX_RatingAreas[Silver Enrollments 2022],HIX_RatingAreas[Area],HIX_SLCSP[[#This Row],[Area Code]])</f>
        <v>238</v>
      </c>
      <c r="AX1820" s="59">
        <f>SUMIFS(HIX_RatingAreas[Silver Enrollments 2023],HIX_RatingAreas[Area],HIX_SLCSP[[#This Row],[Area Code]])</f>
        <v>587</v>
      </c>
      <c r="AY1820" s="59">
        <f>SUMIFS(HIX_RatingAreas[Silver Enrollments 2024],HIX_RatingAreas[Area],HIX_SLCSP[[#This Row],[Area Code]])</f>
        <v>982</v>
      </c>
      <c r="AZ1820" s="59">
        <v>507</v>
      </c>
      <c r="BA1820">
        <f t="shared" si="35"/>
        <v>2.9091017588876787E-4</v>
      </c>
      <c r="BB1820">
        <f>SUMIFS(HIX_RatingAreas[QHP Enrollments 2018],HIX_RatingAreas[Area],HIX_SLCSP[[#This Row],[Area Code]])</f>
        <v>505</v>
      </c>
      <c r="BC1820">
        <f t="shared" si="36"/>
        <v>2.9442184295247389E-4</v>
      </c>
      <c r="BD1820">
        <f>SUMIFS(HIX_RatingAreas[QHP Enrollments 2019],HIX_RatingAreas[Area],HIX_SLCSP[[#This Row],[Area Code]])</f>
        <v>563</v>
      </c>
      <c r="BE1820">
        <f t="shared" si="37"/>
        <v>3.1570612750265797E-4</v>
      </c>
      <c r="BF1820">
        <f>SUMIFS(HIX_RatingAreas[QHP Enrollments 2020],HIX_RatingAreas[Area],HIX_SLCSP[[#This Row],[Area Code]])</f>
        <v>611</v>
      </c>
      <c r="BG1820">
        <f t="shared" si="38"/>
        <v>3.1923091994409539E-4</v>
      </c>
      <c r="BH1820">
        <f>SUMIFS(HIX_RatingAreas[QHP Enrollments 2021],HIX_RatingAreas[Area],HIX_SLCSP[[#This Row],[Area Code]])</f>
        <v>615</v>
      </c>
      <c r="BI1820">
        <f t="shared" si="39"/>
        <v>2.9004645459476029E-4</v>
      </c>
      <c r="BJ1820">
        <f>SUMIFS(HIX_RatingAreas[QHP Enrollments 2022],HIX_RatingAreas[Area],HIX_SLCSP[[#This Row],[Area Code]])</f>
        <v>756</v>
      </c>
      <c r="BK1820">
        <f t="shared" si="40"/>
        <v>2.7762537760356418E-4</v>
      </c>
      <c r="BL1820">
        <f>SUMIFS(HIX_RatingAreas[QHP Enrollments 2023],HIX_RatingAreas[Area],HIX_SLCSP[[#This Row],[Area Code]])</f>
        <v>1209</v>
      </c>
      <c r="BM1820">
        <f t="shared" si="47"/>
        <v>3.7483316203860875E-4</v>
      </c>
      <c r="BN1820">
        <f>SUMIFS(HIX_RatingAreas[QHP Enrollments 2024],HIX_RatingAreas[Area],HIX_SLCSP[[#This Row],[Area Code]])</f>
        <v>1914</v>
      </c>
      <c r="BO1820">
        <f t="shared" si="48"/>
        <v>4.5442652749280493E-4</v>
      </c>
      <c r="BP1820" s="53">
        <f>ROUND(HIX_SLCSP[[#This Row],[Weighting Factor 2018]]*HIX_SLCSP[[#This Row],[2018]],2)</f>
        <v>0.2</v>
      </c>
      <c r="BQ1820" s="53">
        <f>ROUND(HIX_SLCSP[[#This Row],[Weighting Factor 2019]]*HIX_SLCSP[[#This Row],[2019]],2)</f>
        <v>0.22</v>
      </c>
      <c r="BR1820" s="53">
        <f>ROUND(HIX_SLCSP[[#This Row],[Weighting Factor 2020]]*HIX_SLCSP[[#This Row],[2020]],2)</f>
        <v>0.22</v>
      </c>
      <c r="BS1820" s="53">
        <f>ROUND(HIX_SLCSP[[#This Row],[Weighting Factor 2021]]*HIX_SLCSP[[#This Row],[2021]],2)</f>
        <v>0.13</v>
      </c>
      <c r="BT1820" s="53">
        <f>ROUND(HIX_SLCSP[[#This Row],[Weighting Factor 2022]]*HIX_SLCSP[[#This Row],[2022]],2)</f>
        <v>0.12</v>
      </c>
      <c r="BU1820" s="53">
        <f>ROUND(HIX_SLCSP[[#This Row],[Weighting Factor 2023]]*HIX_SLCSP[[#This Row],[2023]],2)</f>
        <v>0.16</v>
      </c>
      <c r="BV1820" s="53">
        <f>ROUND(HIX_SLCSP[[#This Row],[Weighting Factor 2024]]*HIX_SLCSP[[#This Row],[2024]],2)</f>
        <v>0.23</v>
      </c>
    </row>
    <row r="1821" spans="4:74" x14ac:dyDescent="0.35">
      <c r="D1821" t="s">
        <v>539</v>
      </c>
      <c r="E1821" t="s">
        <v>607</v>
      </c>
      <c r="F1821" s="23">
        <v>22</v>
      </c>
      <c r="G1821" s="23" t="s">
        <v>540</v>
      </c>
      <c r="H1821" s="23" t="s">
        <v>608</v>
      </c>
      <c r="I1821" s="23">
        <v>32</v>
      </c>
      <c r="J1821" s="53">
        <v>273.8</v>
      </c>
      <c r="K1821" s="53">
        <v>374.67</v>
      </c>
      <c r="L1821" s="53">
        <v>638.51</v>
      </c>
      <c r="M1821" s="54">
        <f t="shared" si="41"/>
        <v>1.7041930231937437</v>
      </c>
      <c r="N1821" s="24">
        <v>32</v>
      </c>
      <c r="O1821" s="55">
        <v>331.78</v>
      </c>
      <c r="P1821" s="56">
        <v>357.34</v>
      </c>
      <c r="Q1821" s="56">
        <v>608.97</v>
      </c>
      <c r="R1821" s="57">
        <f t="shared" si="42"/>
        <v>1.7041752952370293</v>
      </c>
      <c r="S1821" s="23">
        <v>32</v>
      </c>
      <c r="T1821" s="53">
        <v>331.86</v>
      </c>
      <c r="U1821" s="53">
        <v>355.27</v>
      </c>
      <c r="V1821" s="53">
        <v>605.45000000000005</v>
      </c>
      <c r="W1821" s="57">
        <f t="shared" si="43"/>
        <v>1.7041968080614747</v>
      </c>
      <c r="X1821" s="47">
        <v>117</v>
      </c>
      <c r="Y1821" s="58">
        <v>279.55</v>
      </c>
      <c r="Z1821" s="58">
        <v>287.31</v>
      </c>
      <c r="AA1821" s="58">
        <v>489.63</v>
      </c>
      <c r="AB1821" s="57">
        <f t="shared" si="44"/>
        <v>1.704187114962932</v>
      </c>
      <c r="AC1821" s="47">
        <v>105</v>
      </c>
      <c r="AD1821" s="57">
        <v>282.70999999999998</v>
      </c>
      <c r="AE1821" s="57">
        <v>296.08999999999997</v>
      </c>
      <c r="AF1821" s="57">
        <v>504.6</v>
      </c>
      <c r="AG1821" s="57">
        <f t="shared" si="45"/>
        <v>1.704211557296768</v>
      </c>
      <c r="AH1821" s="47">
        <v>76</v>
      </c>
      <c r="AI1821">
        <v>304.31</v>
      </c>
      <c r="AJ1821">
        <v>305.77999999999997</v>
      </c>
      <c r="AK1821">
        <v>521.11</v>
      </c>
      <c r="AL1821" s="57">
        <f t="shared" si="19"/>
        <v>1.7041990973902807</v>
      </c>
      <c r="AM1821" s="47">
        <v>58</v>
      </c>
      <c r="AN1821" s="57">
        <v>312.83999999999997</v>
      </c>
      <c r="AO1821" s="57">
        <v>314.35000000000002</v>
      </c>
      <c r="AP1821" s="57">
        <v>535.71</v>
      </c>
      <c r="AQ1821" s="57">
        <f t="shared" si="46"/>
        <v>1.7041832352473358</v>
      </c>
      <c r="AR1821" s="59">
        <v>640</v>
      </c>
      <c r="AS1821" s="59">
        <f>SUMIFS(HIX_RatingAreas[Silver Enrollments 2018],HIX_RatingAreas[Area],HIX_SLCSP[[#This Row],[Area Code]])</f>
        <v>583</v>
      </c>
      <c r="AT1821" s="59">
        <f>SUMIFS(HIX_RatingAreas[Silver Enrollments 2019],HIX_RatingAreas[Area],HIX_SLCSP[[#This Row],[Area Code]])</f>
        <v>577</v>
      </c>
      <c r="AU1821" s="59">
        <f>SUMIFS(HIX_RatingAreas[Silver Enrollments 2020],HIX_RatingAreas[Area],HIX_SLCSP[[#This Row],[Area Code]])</f>
        <v>579</v>
      </c>
      <c r="AV1821" s="59">
        <f>SUMIFS(HIX_RatingAreas[Silver Enrollments 2021],HIX_RatingAreas[Area],HIX_SLCSP[[#This Row],[Area Code]])</f>
        <v>736</v>
      </c>
      <c r="AW1821" s="59">
        <f>SUMIFS(HIX_RatingAreas[Silver Enrollments 2022],HIX_RatingAreas[Area],HIX_SLCSP[[#This Row],[Area Code]])</f>
        <v>866</v>
      </c>
      <c r="AX1821" s="59">
        <f>SUMIFS(HIX_RatingAreas[Silver Enrollments 2023],HIX_RatingAreas[Area],HIX_SLCSP[[#This Row],[Area Code]])</f>
        <v>822</v>
      </c>
      <c r="AY1821" s="59">
        <f>SUMIFS(HIX_RatingAreas[Silver Enrollments 2024],HIX_RatingAreas[Area],HIX_SLCSP[[#This Row],[Area Code]])</f>
        <v>1019</v>
      </c>
      <c r="AZ1821" s="59">
        <v>821</v>
      </c>
      <c r="BA1821">
        <f t="shared" si="35"/>
        <v>4.7107939724788645E-4</v>
      </c>
      <c r="BB1821">
        <f>SUMIFS(HIX_RatingAreas[QHP Enrollments 2018],HIX_RatingAreas[Area],HIX_SLCSP[[#This Row],[Area Code]])</f>
        <v>873</v>
      </c>
      <c r="BC1821">
        <f t="shared" si="36"/>
        <v>5.0897082950001921E-4</v>
      </c>
      <c r="BD1821">
        <f>SUMIFS(HIX_RatingAreas[QHP Enrollments 2019],HIX_RatingAreas[Area],HIX_SLCSP[[#This Row],[Area Code]])</f>
        <v>869</v>
      </c>
      <c r="BE1821">
        <f t="shared" si="37"/>
        <v>4.8729773499078116E-4</v>
      </c>
      <c r="BF1821">
        <f>SUMIFS(HIX_RatingAreas[QHP Enrollments 2020],HIX_RatingAreas[Area],HIX_SLCSP[[#This Row],[Area Code]])</f>
        <v>888</v>
      </c>
      <c r="BG1821">
        <f t="shared" si="38"/>
        <v>4.6395590329027287E-4</v>
      </c>
      <c r="BH1821">
        <f>SUMIFS(HIX_RatingAreas[QHP Enrollments 2021],HIX_RatingAreas[Area],HIX_SLCSP[[#This Row],[Area Code]])</f>
        <v>1076</v>
      </c>
      <c r="BI1821">
        <f t="shared" si="39"/>
        <v>5.0746339047798717E-4</v>
      </c>
      <c r="BJ1821">
        <f>SUMIFS(HIX_RatingAreas[QHP Enrollments 2022],HIX_RatingAreas[Area],HIX_SLCSP[[#This Row],[Area Code]])</f>
        <v>1355</v>
      </c>
      <c r="BK1821">
        <f t="shared" si="40"/>
        <v>4.9759574954077969E-4</v>
      </c>
      <c r="BL1821">
        <f>SUMIFS(HIX_RatingAreas[QHP Enrollments 2023],HIX_RatingAreas[Area],HIX_SLCSP[[#This Row],[Area Code]])</f>
        <v>1479</v>
      </c>
      <c r="BM1821">
        <f t="shared" si="47"/>
        <v>4.5854280120355856E-4</v>
      </c>
      <c r="BN1821">
        <f>SUMIFS(HIX_RatingAreas[QHP Enrollments 2024],HIX_RatingAreas[Area],HIX_SLCSP[[#This Row],[Area Code]])</f>
        <v>1908</v>
      </c>
      <c r="BO1821">
        <f t="shared" si="48"/>
        <v>4.5300199292386197E-4</v>
      </c>
      <c r="BP1821" s="53">
        <f>ROUND(HIX_SLCSP[[#This Row],[Weighting Factor 2018]]*HIX_SLCSP[[#This Row],[2018]],2)</f>
        <v>0.19</v>
      </c>
      <c r="BQ1821" s="53">
        <f>ROUND(HIX_SLCSP[[#This Row],[Weighting Factor 2019]]*HIX_SLCSP[[#This Row],[2019]],2)</f>
        <v>0.17</v>
      </c>
      <c r="BR1821" s="53">
        <f>ROUND(HIX_SLCSP[[#This Row],[Weighting Factor 2020]]*HIX_SLCSP[[#This Row],[2020]],2)</f>
        <v>0.16</v>
      </c>
      <c r="BS1821" s="53">
        <f>ROUND(HIX_SLCSP[[#This Row],[Weighting Factor 2021]]*HIX_SLCSP[[#This Row],[2021]],2)</f>
        <v>0.15</v>
      </c>
      <c r="BT1821" s="53">
        <f>ROUND(HIX_SLCSP[[#This Row],[Weighting Factor 2022]]*HIX_SLCSP[[#This Row],[2022]],2)</f>
        <v>0.15</v>
      </c>
      <c r="BU1821" s="53">
        <f>ROUND(HIX_SLCSP[[#This Row],[Weighting Factor 2023]]*HIX_SLCSP[[#This Row],[2023]],2)</f>
        <v>0.14000000000000001</v>
      </c>
      <c r="BV1821" s="53">
        <f>ROUND(HIX_SLCSP[[#This Row],[Weighting Factor 2024]]*HIX_SLCSP[[#This Row],[2024]],2)</f>
        <v>0.14000000000000001</v>
      </c>
    </row>
    <row r="1822" spans="4:74" x14ac:dyDescent="0.35">
      <c r="D1822" t="s">
        <v>539</v>
      </c>
      <c r="E1822" t="s">
        <v>611</v>
      </c>
      <c r="F1822" s="23">
        <v>23</v>
      </c>
      <c r="G1822" s="23" t="s">
        <v>540</v>
      </c>
      <c r="H1822" s="23" t="s">
        <v>612</v>
      </c>
      <c r="I1822" s="23">
        <v>16</v>
      </c>
      <c r="J1822" s="53">
        <v>480.61</v>
      </c>
      <c r="K1822" s="53">
        <v>628.57000000000005</v>
      </c>
      <c r="L1822" s="53">
        <v>1071.21</v>
      </c>
      <c r="M1822" s="54">
        <f t="shared" si="41"/>
        <v>1.7042016004581828</v>
      </c>
      <c r="N1822" s="24">
        <v>16</v>
      </c>
      <c r="O1822" s="55">
        <v>577.66</v>
      </c>
      <c r="P1822" s="56">
        <v>624.41999999999996</v>
      </c>
      <c r="Q1822" s="56">
        <v>1064.1300000000001</v>
      </c>
      <c r="R1822" s="57">
        <f t="shared" si="42"/>
        <v>1.7041894878447201</v>
      </c>
      <c r="S1822" s="23">
        <v>16</v>
      </c>
      <c r="T1822" s="53">
        <v>578.13</v>
      </c>
      <c r="U1822" s="53">
        <v>623.62</v>
      </c>
      <c r="V1822" s="53">
        <v>1062.78</v>
      </c>
      <c r="W1822" s="57">
        <f t="shared" si="43"/>
        <v>1.7042108976620378</v>
      </c>
      <c r="X1822" s="47">
        <v>117</v>
      </c>
      <c r="Y1822" s="58">
        <v>378.46</v>
      </c>
      <c r="Z1822" s="58">
        <v>388.96</v>
      </c>
      <c r="AA1822" s="58">
        <v>662.87</v>
      </c>
      <c r="AB1822" s="57">
        <f t="shared" si="44"/>
        <v>1.7042112299465242</v>
      </c>
      <c r="AC1822" s="47">
        <v>89</v>
      </c>
      <c r="AD1822" s="57">
        <v>387.92</v>
      </c>
      <c r="AE1822" s="57">
        <v>406.28</v>
      </c>
      <c r="AF1822" s="57">
        <v>692.39</v>
      </c>
      <c r="AG1822" s="57">
        <f t="shared" si="45"/>
        <v>1.7042187653834795</v>
      </c>
      <c r="AH1822" s="47">
        <v>60</v>
      </c>
      <c r="AI1822">
        <v>479.95</v>
      </c>
      <c r="AJ1822">
        <v>482.28</v>
      </c>
      <c r="AK1822">
        <v>821.9</v>
      </c>
      <c r="AL1822" s="57">
        <f t="shared" si="19"/>
        <v>1.7041967321887701</v>
      </c>
      <c r="AM1822" s="47">
        <v>46</v>
      </c>
      <c r="AN1822" s="57">
        <v>531.04999999999995</v>
      </c>
      <c r="AO1822" s="57">
        <v>533.6</v>
      </c>
      <c r="AP1822" s="57">
        <v>909.36</v>
      </c>
      <c r="AQ1822" s="57">
        <f t="shared" si="46"/>
        <v>1.7041979010494752</v>
      </c>
      <c r="AR1822" s="59">
        <v>450</v>
      </c>
      <c r="AS1822" s="59">
        <f>SUMIFS(HIX_RatingAreas[Silver Enrollments 2018],HIX_RatingAreas[Area],HIX_SLCSP[[#This Row],[Area Code]])</f>
        <v>419</v>
      </c>
      <c r="AT1822" s="59">
        <f>SUMIFS(HIX_RatingAreas[Silver Enrollments 2019],HIX_RatingAreas[Area],HIX_SLCSP[[#This Row],[Area Code]])</f>
        <v>414</v>
      </c>
      <c r="AU1822" s="59">
        <f>SUMIFS(HIX_RatingAreas[Silver Enrollments 2020],HIX_RatingAreas[Area],HIX_SLCSP[[#This Row],[Area Code]])</f>
        <v>523</v>
      </c>
      <c r="AV1822" s="59">
        <f>SUMIFS(HIX_RatingAreas[Silver Enrollments 2021],HIX_RatingAreas[Area],HIX_SLCSP[[#This Row],[Area Code]])</f>
        <v>513</v>
      </c>
      <c r="AW1822" s="59">
        <f>SUMIFS(HIX_RatingAreas[Silver Enrollments 2022],HIX_RatingAreas[Area],HIX_SLCSP[[#This Row],[Area Code]])</f>
        <v>384</v>
      </c>
      <c r="AX1822" s="59">
        <f>SUMIFS(HIX_RatingAreas[Silver Enrollments 2023],HIX_RatingAreas[Area],HIX_SLCSP[[#This Row],[Area Code]])</f>
        <v>485</v>
      </c>
      <c r="AY1822" s="59">
        <f>SUMIFS(HIX_RatingAreas[Silver Enrollments 2024],HIX_RatingAreas[Area],HIX_SLCSP[[#This Row],[Area Code]])</f>
        <v>789</v>
      </c>
      <c r="AZ1822" s="59">
        <v>543</v>
      </c>
      <c r="BA1822">
        <f t="shared" si="35"/>
        <v>3.115665197388579E-4</v>
      </c>
      <c r="BB1822">
        <f>SUMIFS(HIX_RatingAreas[QHP Enrollments 2018],HIX_RatingAreas[Area],HIX_SLCSP[[#This Row],[Area Code]])</f>
        <v>560</v>
      </c>
      <c r="BC1822">
        <f t="shared" si="36"/>
        <v>3.2648758822452549E-4</v>
      </c>
      <c r="BD1822">
        <f>SUMIFS(HIX_RatingAreas[QHP Enrollments 2019],HIX_RatingAreas[Area],HIX_SLCSP[[#This Row],[Area Code]])</f>
        <v>599</v>
      </c>
      <c r="BE1822">
        <f t="shared" si="37"/>
        <v>3.3589337544243721E-4</v>
      </c>
      <c r="BF1822">
        <f>SUMIFS(HIX_RatingAreas[QHP Enrollments 2020],HIX_RatingAreas[Area],HIX_SLCSP[[#This Row],[Area Code]])</f>
        <v>719</v>
      </c>
      <c r="BG1822">
        <f t="shared" si="38"/>
        <v>3.7565798926318265E-4</v>
      </c>
      <c r="BH1822">
        <f>SUMIFS(HIX_RatingAreas[QHP Enrollments 2021],HIX_RatingAreas[Area],HIX_SLCSP[[#This Row],[Area Code]])</f>
        <v>885</v>
      </c>
      <c r="BI1822">
        <f t="shared" si="39"/>
        <v>4.1738392246563069E-4</v>
      </c>
      <c r="BJ1822">
        <f>SUMIFS(HIX_RatingAreas[QHP Enrollments 2022],HIX_RatingAreas[Area],HIX_SLCSP[[#This Row],[Area Code]])</f>
        <v>926</v>
      </c>
      <c r="BK1822">
        <f t="shared" si="40"/>
        <v>3.4005436463082066E-4</v>
      </c>
      <c r="BL1822">
        <f>SUMIFS(HIX_RatingAreas[QHP Enrollments 2023],HIX_RatingAreas[Area],HIX_SLCSP[[#This Row],[Area Code]])</f>
        <v>1186</v>
      </c>
      <c r="BM1822">
        <f t="shared" si="47"/>
        <v>3.6770234092455749E-4</v>
      </c>
      <c r="BN1822">
        <f>SUMIFS(HIX_RatingAreas[QHP Enrollments 2024],HIX_RatingAreas[Area],HIX_SLCSP[[#This Row],[Area Code]])</f>
        <v>1726</v>
      </c>
      <c r="BO1822">
        <f t="shared" si="48"/>
        <v>4.0979111099925878E-4</v>
      </c>
      <c r="BP1822" s="53">
        <f>ROUND(HIX_SLCSP[[#This Row],[Weighting Factor 2018]]*HIX_SLCSP[[#This Row],[2018]],2)</f>
        <v>0.21</v>
      </c>
      <c r="BQ1822" s="53">
        <f>ROUND(HIX_SLCSP[[#This Row],[Weighting Factor 2019]]*HIX_SLCSP[[#This Row],[2019]],2)</f>
        <v>0.21</v>
      </c>
      <c r="BR1822" s="53">
        <f>ROUND(HIX_SLCSP[[#This Row],[Weighting Factor 2020]]*HIX_SLCSP[[#This Row],[2020]],2)</f>
        <v>0.23</v>
      </c>
      <c r="BS1822" s="53">
        <f>ROUND(HIX_SLCSP[[#This Row],[Weighting Factor 2021]]*HIX_SLCSP[[#This Row],[2021]],2)</f>
        <v>0.16</v>
      </c>
      <c r="BT1822" s="53">
        <f>ROUND(HIX_SLCSP[[#This Row],[Weighting Factor 2022]]*HIX_SLCSP[[#This Row],[2022]],2)</f>
        <v>0.14000000000000001</v>
      </c>
      <c r="BU1822" s="53">
        <f>ROUND(HIX_SLCSP[[#This Row],[Weighting Factor 2023]]*HIX_SLCSP[[#This Row],[2023]],2)</f>
        <v>0.18</v>
      </c>
      <c r="BV1822" s="53">
        <f>ROUND(HIX_SLCSP[[#This Row],[Weighting Factor 2024]]*HIX_SLCSP[[#This Row],[2024]],2)</f>
        <v>0.22</v>
      </c>
    </row>
    <row r="1823" spans="4:74" x14ac:dyDescent="0.35">
      <c r="D1823" t="s">
        <v>539</v>
      </c>
      <c r="E1823" t="s">
        <v>615</v>
      </c>
      <c r="F1823" s="23">
        <v>24</v>
      </c>
      <c r="G1823" s="23" t="s">
        <v>540</v>
      </c>
      <c r="H1823" s="23" t="s">
        <v>616</v>
      </c>
      <c r="I1823" s="23">
        <v>16</v>
      </c>
      <c r="J1823" s="53">
        <v>566.35</v>
      </c>
      <c r="K1823" s="53">
        <v>740.71</v>
      </c>
      <c r="L1823" s="53">
        <v>1262.31</v>
      </c>
      <c r="M1823" s="54">
        <f t="shared" si="41"/>
        <v>1.7041892238527898</v>
      </c>
      <c r="N1823" s="24">
        <v>16</v>
      </c>
      <c r="O1823" s="55">
        <v>683.82</v>
      </c>
      <c r="P1823" s="56">
        <v>739.16</v>
      </c>
      <c r="Q1823" s="56">
        <v>1259.68</v>
      </c>
      <c r="R1823" s="57">
        <f t="shared" si="42"/>
        <v>1.7042047729855514</v>
      </c>
      <c r="S1823" s="23">
        <v>16</v>
      </c>
      <c r="T1823" s="53">
        <v>695.93</v>
      </c>
      <c r="U1823" s="53">
        <v>750.7</v>
      </c>
      <c r="V1823" s="53">
        <v>1279.3499999999999</v>
      </c>
      <c r="W1823" s="57">
        <f t="shared" si="43"/>
        <v>1.7042094045557477</v>
      </c>
      <c r="X1823" s="47">
        <v>101</v>
      </c>
      <c r="Y1823" s="58">
        <v>447.5</v>
      </c>
      <c r="Z1823" s="58">
        <v>459.92</v>
      </c>
      <c r="AA1823" s="58">
        <v>783.79</v>
      </c>
      <c r="AB1823" s="57">
        <f t="shared" si="44"/>
        <v>1.7041876848147504</v>
      </c>
      <c r="AC1823" s="47">
        <v>48</v>
      </c>
      <c r="AD1823" s="57">
        <v>625.94000000000005</v>
      </c>
      <c r="AE1823" s="57">
        <v>625.94000000000005</v>
      </c>
      <c r="AF1823" s="57">
        <v>1066.72</v>
      </c>
      <c r="AG1823" s="57">
        <f t="shared" si="45"/>
        <v>1.7041888998945585</v>
      </c>
      <c r="AH1823" s="47">
        <v>145</v>
      </c>
      <c r="AI1823">
        <v>460.9</v>
      </c>
      <c r="AJ1823">
        <v>462.96</v>
      </c>
      <c r="AK1823">
        <v>788.98</v>
      </c>
      <c r="AL1823" s="57">
        <f t="shared" si="19"/>
        <v>1.7042077069293244</v>
      </c>
      <c r="AM1823" s="47">
        <v>124</v>
      </c>
      <c r="AN1823" s="57">
        <v>477.62</v>
      </c>
      <c r="AO1823" s="57">
        <v>479.91</v>
      </c>
      <c r="AP1823" s="57">
        <v>817.86</v>
      </c>
      <c r="AQ1823" s="57">
        <f t="shared" si="46"/>
        <v>1.7041945364755891</v>
      </c>
      <c r="AR1823" s="59">
        <v>876</v>
      </c>
      <c r="AS1823" s="59">
        <f>SUMIFS(HIX_RatingAreas[Silver Enrollments 2018],HIX_RatingAreas[Area],HIX_SLCSP[[#This Row],[Area Code]])</f>
        <v>809</v>
      </c>
      <c r="AT1823" s="59">
        <f>SUMIFS(HIX_RatingAreas[Silver Enrollments 2019],HIX_RatingAreas[Area],HIX_SLCSP[[#This Row],[Area Code]])</f>
        <v>802</v>
      </c>
      <c r="AU1823" s="59">
        <f>SUMIFS(HIX_RatingAreas[Silver Enrollments 2020],HIX_RatingAreas[Area],HIX_SLCSP[[#This Row],[Area Code]])</f>
        <v>1153</v>
      </c>
      <c r="AV1823" s="59">
        <f>SUMIFS(HIX_RatingAreas[Silver Enrollments 2021],HIX_RatingAreas[Area],HIX_SLCSP[[#This Row],[Area Code]])</f>
        <v>675</v>
      </c>
      <c r="AW1823" s="59">
        <f>SUMIFS(HIX_RatingAreas[Silver Enrollments 2022],HIX_RatingAreas[Area],HIX_SLCSP[[#This Row],[Area Code]])</f>
        <v>699</v>
      </c>
      <c r="AX1823" s="59">
        <f>SUMIFS(HIX_RatingAreas[Silver Enrollments 2023],HIX_RatingAreas[Area],HIX_SLCSP[[#This Row],[Area Code]])</f>
        <v>1010</v>
      </c>
      <c r="AY1823" s="59">
        <f>SUMIFS(HIX_RatingAreas[Silver Enrollments 2024],HIX_RatingAreas[Area],HIX_SLCSP[[#This Row],[Area Code]])</f>
        <v>1312</v>
      </c>
      <c r="AZ1823" s="59">
        <v>1137</v>
      </c>
      <c r="BA1823">
        <f t="shared" si="35"/>
        <v>6.5239619326534336E-4</v>
      </c>
      <c r="BB1823">
        <f>SUMIFS(HIX_RatingAreas[QHP Enrollments 2018],HIX_RatingAreas[Area],HIX_SLCSP[[#This Row],[Area Code]])</f>
        <v>1098</v>
      </c>
      <c r="BC1823">
        <f t="shared" si="36"/>
        <v>6.4014887834023041E-4</v>
      </c>
      <c r="BD1823">
        <f>SUMIFS(HIX_RatingAreas[QHP Enrollments 2019],HIX_RatingAreas[Area],HIX_SLCSP[[#This Row],[Area Code]])</f>
        <v>1146</v>
      </c>
      <c r="BE1823">
        <f t="shared" si="37"/>
        <v>6.4262739274963772E-4</v>
      </c>
      <c r="BF1823">
        <f>SUMIFS(HIX_RatingAreas[QHP Enrollments 2020],HIX_RatingAreas[Area],HIX_SLCSP[[#This Row],[Area Code]])</f>
        <v>1519</v>
      </c>
      <c r="BG1823">
        <f t="shared" si="38"/>
        <v>7.9363628051568069E-4</v>
      </c>
      <c r="BH1823">
        <f>SUMIFS(HIX_RatingAreas[QHP Enrollments 2021],HIX_RatingAreas[Area],HIX_SLCSP[[#This Row],[Area Code]])</f>
        <v>1418</v>
      </c>
      <c r="BI1823">
        <f t="shared" si="39"/>
        <v>6.6875751644775627E-4</v>
      </c>
      <c r="BJ1823">
        <f>SUMIFS(HIX_RatingAreas[QHP Enrollments 2022],HIX_RatingAreas[Area],HIX_SLCSP[[#This Row],[Area Code]])</f>
        <v>1561</v>
      </c>
      <c r="BK1823">
        <f t="shared" si="40"/>
        <v>5.7324499264439636E-4</v>
      </c>
      <c r="BL1823">
        <f>SUMIFS(HIX_RatingAreas[QHP Enrollments 2023],HIX_RatingAreas[Area],HIX_SLCSP[[#This Row],[Area Code]])</f>
        <v>1976</v>
      </c>
      <c r="BM1823">
        <f t="shared" si="47"/>
        <v>6.1263054440718846E-4</v>
      </c>
      <c r="BN1823">
        <f>SUMIFS(HIX_RatingAreas[QHP Enrollments 2024],HIX_RatingAreas[Area],HIX_SLCSP[[#This Row],[Area Code]])</f>
        <v>2643</v>
      </c>
      <c r="BO1823">
        <f t="shared" si="48"/>
        <v>6.2750747761937484E-4</v>
      </c>
      <c r="BP1823" s="53">
        <f>ROUND(HIX_SLCSP[[#This Row],[Weighting Factor 2018]]*HIX_SLCSP[[#This Row],[2018]],2)</f>
        <v>0.47</v>
      </c>
      <c r="BQ1823" s="53">
        <f>ROUND(HIX_SLCSP[[#This Row],[Weighting Factor 2019]]*HIX_SLCSP[[#This Row],[2019]],2)</f>
        <v>0.48</v>
      </c>
      <c r="BR1823" s="53">
        <f>ROUND(HIX_SLCSP[[#This Row],[Weighting Factor 2020]]*HIX_SLCSP[[#This Row],[2020]],2)</f>
        <v>0.6</v>
      </c>
      <c r="BS1823" s="53">
        <f>ROUND(HIX_SLCSP[[#This Row],[Weighting Factor 2021]]*HIX_SLCSP[[#This Row],[2021]],2)</f>
        <v>0.31</v>
      </c>
      <c r="BT1823" s="53">
        <f>ROUND(HIX_SLCSP[[#This Row],[Weighting Factor 2022]]*HIX_SLCSP[[#This Row],[2022]],2)</f>
        <v>0.36</v>
      </c>
      <c r="BU1823" s="53">
        <f>ROUND(HIX_SLCSP[[#This Row],[Weighting Factor 2023]]*HIX_SLCSP[[#This Row],[2023]],2)</f>
        <v>0.28000000000000003</v>
      </c>
      <c r="BV1823" s="53">
        <f>ROUND(HIX_SLCSP[[#This Row],[Weighting Factor 2024]]*HIX_SLCSP[[#This Row],[2024]],2)</f>
        <v>0.3</v>
      </c>
    </row>
    <row r="1824" spans="4:74" x14ac:dyDescent="0.35">
      <c r="D1824" t="s">
        <v>539</v>
      </c>
      <c r="E1824" t="s">
        <v>619</v>
      </c>
      <c r="F1824" s="23">
        <v>25</v>
      </c>
      <c r="G1824" s="23" t="s">
        <v>540</v>
      </c>
      <c r="H1824" s="23" t="s">
        <v>620</v>
      </c>
      <c r="I1824" s="23">
        <v>36</v>
      </c>
      <c r="J1824" s="53">
        <v>349.87</v>
      </c>
      <c r="K1824" s="53">
        <v>492.28</v>
      </c>
      <c r="L1824" s="53">
        <v>838.94</v>
      </c>
      <c r="M1824" s="54">
        <f t="shared" si="41"/>
        <v>1.7041927358413913</v>
      </c>
      <c r="N1824" s="24">
        <v>32</v>
      </c>
      <c r="O1824" s="55">
        <v>434.12</v>
      </c>
      <c r="P1824" s="56">
        <v>490.93</v>
      </c>
      <c r="Q1824" s="56">
        <v>836.63</v>
      </c>
      <c r="R1824" s="57">
        <f t="shared" si="42"/>
        <v>1.7041737111197115</v>
      </c>
      <c r="S1824" s="23">
        <v>36</v>
      </c>
      <c r="T1824" s="53">
        <v>378.06</v>
      </c>
      <c r="U1824" s="53">
        <v>398.43</v>
      </c>
      <c r="V1824" s="53">
        <v>679</v>
      </c>
      <c r="W1824" s="57">
        <f t="shared" si="43"/>
        <v>1.7041889415957634</v>
      </c>
      <c r="X1824" s="47">
        <v>32</v>
      </c>
      <c r="Y1824" s="58">
        <v>459.96</v>
      </c>
      <c r="Z1824" s="58">
        <v>533.76</v>
      </c>
      <c r="AA1824" s="58">
        <v>909.63</v>
      </c>
      <c r="AB1824" s="57">
        <f t="shared" si="44"/>
        <v>1.7041928956834533</v>
      </c>
      <c r="AC1824" s="47">
        <v>40</v>
      </c>
      <c r="AD1824" s="57">
        <v>443.66</v>
      </c>
      <c r="AE1824" s="57">
        <v>443.66</v>
      </c>
      <c r="AF1824" s="57">
        <v>756.08</v>
      </c>
      <c r="AG1824" s="57">
        <f t="shared" si="45"/>
        <v>1.7041878916287247</v>
      </c>
      <c r="AH1824" s="47">
        <v>64</v>
      </c>
      <c r="AI1824">
        <v>478.89</v>
      </c>
      <c r="AJ1824">
        <v>483.2</v>
      </c>
      <c r="AK1824">
        <v>823.47</v>
      </c>
      <c r="AL1824" s="57">
        <f t="shared" si="19"/>
        <v>1.7042011589403974</v>
      </c>
      <c r="AM1824" s="47">
        <v>65</v>
      </c>
      <c r="AN1824" s="57">
        <v>426.08</v>
      </c>
      <c r="AO1824" s="57">
        <v>476.91</v>
      </c>
      <c r="AP1824" s="57">
        <v>812.74</v>
      </c>
      <c r="AQ1824" s="57">
        <f t="shared" si="46"/>
        <v>1.7041789855528295</v>
      </c>
      <c r="AR1824" s="59">
        <v>2332</v>
      </c>
      <c r="AS1824" s="59">
        <f>SUMIFS(HIX_RatingAreas[Silver Enrollments 2018],HIX_RatingAreas[Area],HIX_SLCSP[[#This Row],[Area Code]])</f>
        <v>1886</v>
      </c>
      <c r="AT1824" s="59">
        <f>SUMIFS(HIX_RatingAreas[Silver Enrollments 2019],HIX_RatingAreas[Area],HIX_SLCSP[[#This Row],[Area Code]])</f>
        <v>2129</v>
      </c>
      <c r="AU1824" s="59">
        <f>SUMIFS(HIX_RatingAreas[Silver Enrollments 2020],HIX_RatingAreas[Area],HIX_SLCSP[[#This Row],[Area Code]])</f>
        <v>2643</v>
      </c>
      <c r="AV1824" s="59">
        <f>SUMIFS(HIX_RatingAreas[Silver Enrollments 2021],HIX_RatingAreas[Area],HIX_SLCSP[[#This Row],[Area Code]])</f>
        <v>3243</v>
      </c>
      <c r="AW1824" s="59">
        <f>SUMIFS(HIX_RatingAreas[Silver Enrollments 2022],HIX_RatingAreas[Area],HIX_SLCSP[[#This Row],[Area Code]])</f>
        <v>4263</v>
      </c>
      <c r="AX1824" s="59">
        <f>SUMIFS(HIX_RatingAreas[Silver Enrollments 2023],HIX_RatingAreas[Area],HIX_SLCSP[[#This Row],[Area Code]])</f>
        <v>4528</v>
      </c>
      <c r="AY1824" s="59">
        <f>SUMIFS(HIX_RatingAreas[Silver Enrollments 2024],HIX_RatingAreas[Area],HIX_SLCSP[[#This Row],[Area Code]])</f>
        <v>5395</v>
      </c>
      <c r="AZ1824" s="59">
        <v>2641</v>
      </c>
      <c r="BA1824">
        <f t="shared" si="35"/>
        <v>1.5153723363357712E-3</v>
      </c>
      <c r="BB1824">
        <f>SUMIFS(HIX_RatingAreas[QHP Enrollments 2018],HIX_RatingAreas[Area],HIX_SLCSP[[#This Row],[Area Code]])</f>
        <v>2337</v>
      </c>
      <c r="BC1824">
        <f t="shared" si="36"/>
        <v>1.362502667286993E-3</v>
      </c>
      <c r="BD1824">
        <f>SUMIFS(HIX_RatingAreas[QHP Enrollments 2019],HIX_RatingAreas[Area],HIX_SLCSP[[#This Row],[Area Code]])</f>
        <v>2680</v>
      </c>
      <c r="BE1824">
        <f t="shared" si="37"/>
        <v>1.502828457739118E-3</v>
      </c>
      <c r="BF1824">
        <f>SUMIFS(HIX_RatingAreas[QHP Enrollments 2020],HIX_RatingAreas[Area],HIX_SLCSP[[#This Row],[Area Code]])</f>
        <v>3280</v>
      </c>
      <c r="BG1824">
        <f t="shared" si="38"/>
        <v>1.713710994135242E-3</v>
      </c>
      <c r="BH1824">
        <f>SUMIFS(HIX_RatingAreas[QHP Enrollments 2021],HIX_RatingAreas[Area],HIX_SLCSP[[#This Row],[Area Code]])</f>
        <v>4043</v>
      </c>
      <c r="BI1824">
        <f t="shared" si="39"/>
        <v>1.9067606763034405E-3</v>
      </c>
      <c r="BJ1824">
        <f>SUMIFS(HIX_RatingAreas[QHP Enrollments 2022],HIX_RatingAreas[Area],HIX_SLCSP[[#This Row],[Area Code]])</f>
        <v>5554</v>
      </c>
      <c r="BK1824">
        <f t="shared" si="40"/>
        <v>2.0395917291140151E-3</v>
      </c>
      <c r="BL1824">
        <f>SUMIFS(HIX_RatingAreas[QHP Enrollments 2023],HIX_RatingAreas[Area],HIX_SLCSP[[#This Row],[Area Code]])</f>
        <v>6437</v>
      </c>
      <c r="BM1824">
        <f t="shared" si="47"/>
        <v>1.9956998048325267E-3</v>
      </c>
      <c r="BN1824">
        <f>SUMIFS(HIX_RatingAreas[QHP Enrollments 2024],HIX_RatingAreas[Area],HIX_SLCSP[[#This Row],[Area Code]])</f>
        <v>8282</v>
      </c>
      <c r="BO1824">
        <f t="shared" si="48"/>
        <v>1.966332549997602E-3</v>
      </c>
      <c r="BP1824" s="53">
        <f>ROUND(HIX_SLCSP[[#This Row],[Weighting Factor 2018]]*HIX_SLCSP[[#This Row],[2018]],2)</f>
        <v>0.67</v>
      </c>
      <c r="BQ1824" s="53">
        <f>ROUND(HIX_SLCSP[[#This Row],[Weighting Factor 2019]]*HIX_SLCSP[[#This Row],[2019]],2)</f>
        <v>0.74</v>
      </c>
      <c r="BR1824" s="53">
        <f>ROUND(HIX_SLCSP[[#This Row],[Weighting Factor 2020]]*HIX_SLCSP[[#This Row],[2020]],2)</f>
        <v>0.68</v>
      </c>
      <c r="BS1824" s="53">
        <f>ROUND(HIX_SLCSP[[#This Row],[Weighting Factor 2021]]*HIX_SLCSP[[#This Row],[2021]],2)</f>
        <v>1.02</v>
      </c>
      <c r="BT1824" s="53">
        <f>ROUND(HIX_SLCSP[[#This Row],[Weighting Factor 2022]]*HIX_SLCSP[[#This Row],[2022]],2)</f>
        <v>0.9</v>
      </c>
      <c r="BU1824" s="53">
        <f>ROUND(HIX_SLCSP[[#This Row],[Weighting Factor 2023]]*HIX_SLCSP[[#This Row],[2023]],2)</f>
        <v>0.96</v>
      </c>
      <c r="BV1824" s="53">
        <f>ROUND(HIX_SLCSP[[#This Row],[Weighting Factor 2024]]*HIX_SLCSP[[#This Row],[2024]],2)</f>
        <v>0.94</v>
      </c>
    </row>
    <row r="1825" spans="4:74" x14ac:dyDescent="0.35">
      <c r="D1825" t="s">
        <v>539</v>
      </c>
      <c r="E1825" t="s">
        <v>623</v>
      </c>
      <c r="F1825" s="23">
        <v>26</v>
      </c>
      <c r="G1825" s="23" t="s">
        <v>540</v>
      </c>
      <c r="H1825" s="23" t="s">
        <v>624</v>
      </c>
      <c r="I1825" s="23">
        <v>115</v>
      </c>
      <c r="J1825" s="53">
        <v>288.08</v>
      </c>
      <c r="K1825" s="53">
        <v>358.46</v>
      </c>
      <c r="L1825" s="53">
        <v>610.88</v>
      </c>
      <c r="M1825" s="54">
        <f t="shared" si="41"/>
        <v>1.7041789878926519</v>
      </c>
      <c r="N1825" s="24">
        <v>96</v>
      </c>
      <c r="O1825" s="55">
        <v>357.6</v>
      </c>
      <c r="P1825" s="56">
        <v>381.63</v>
      </c>
      <c r="Q1825" s="56">
        <v>650.37</v>
      </c>
      <c r="R1825" s="57">
        <f t="shared" si="42"/>
        <v>1.7041899221759296</v>
      </c>
      <c r="S1825" s="23">
        <v>115</v>
      </c>
      <c r="T1825" s="53">
        <v>278.64999999999998</v>
      </c>
      <c r="U1825" s="53">
        <v>299.29000000000002</v>
      </c>
      <c r="V1825" s="53">
        <v>510.06</v>
      </c>
      <c r="W1825" s="57">
        <f t="shared" si="43"/>
        <v>1.7042333522670319</v>
      </c>
      <c r="X1825" s="47">
        <v>184</v>
      </c>
      <c r="Y1825" s="58">
        <v>277.61</v>
      </c>
      <c r="Z1825" s="58">
        <v>285.67</v>
      </c>
      <c r="AA1825" s="58">
        <v>486.84</v>
      </c>
      <c r="AB1825" s="57">
        <f t="shared" si="44"/>
        <v>1.7042041516435045</v>
      </c>
      <c r="AC1825" s="47">
        <v>204</v>
      </c>
      <c r="AD1825" s="57">
        <v>271.27</v>
      </c>
      <c r="AE1825" s="57">
        <v>277.61</v>
      </c>
      <c r="AF1825" s="57">
        <v>473.11</v>
      </c>
      <c r="AG1825" s="57">
        <f t="shared" si="45"/>
        <v>1.704225352112676</v>
      </c>
      <c r="AH1825" s="47">
        <v>186</v>
      </c>
      <c r="AI1825">
        <v>298.10000000000002</v>
      </c>
      <c r="AJ1825">
        <v>325.01</v>
      </c>
      <c r="AK1825">
        <v>553.89</v>
      </c>
      <c r="AL1825" s="57">
        <f t="shared" si="19"/>
        <v>1.7042244854004491</v>
      </c>
      <c r="AM1825" s="47">
        <v>144</v>
      </c>
      <c r="AN1825" s="57">
        <v>304.87</v>
      </c>
      <c r="AO1825" s="57">
        <v>306.33</v>
      </c>
      <c r="AP1825" s="57">
        <v>522.04999999999995</v>
      </c>
      <c r="AQ1825" s="57">
        <f t="shared" si="46"/>
        <v>1.7042078803904286</v>
      </c>
      <c r="AR1825" s="59">
        <v>9962</v>
      </c>
      <c r="AS1825" s="59">
        <f>SUMIFS(HIX_RatingAreas[Silver Enrollments 2018],HIX_RatingAreas[Area],HIX_SLCSP[[#This Row],[Area Code]])</f>
        <v>7741</v>
      </c>
      <c r="AT1825" s="59">
        <f>SUMIFS(HIX_RatingAreas[Silver Enrollments 2019],HIX_RatingAreas[Area],HIX_SLCSP[[#This Row],[Area Code]])</f>
        <v>7841</v>
      </c>
      <c r="AU1825" s="59">
        <f>SUMIFS(HIX_RatingAreas[Silver Enrollments 2020],HIX_RatingAreas[Area],HIX_SLCSP[[#This Row],[Area Code]])</f>
        <v>8101</v>
      </c>
      <c r="AV1825" s="59">
        <f>SUMIFS(HIX_RatingAreas[Silver Enrollments 2021],HIX_RatingAreas[Area],HIX_SLCSP[[#This Row],[Area Code]])</f>
        <v>8286</v>
      </c>
      <c r="AW1825" s="59">
        <f>SUMIFS(HIX_RatingAreas[Silver Enrollments 2022],HIX_RatingAreas[Area],HIX_SLCSP[[#This Row],[Area Code]])</f>
        <v>10419</v>
      </c>
      <c r="AX1825" s="59">
        <f>SUMIFS(HIX_RatingAreas[Silver Enrollments 2023],HIX_RatingAreas[Area],HIX_SLCSP[[#This Row],[Area Code]])</f>
        <v>11189</v>
      </c>
      <c r="AY1825" s="59">
        <f>SUMIFS(HIX_RatingAreas[Silver Enrollments 2024],HIX_RatingAreas[Area],HIX_SLCSP[[#This Row],[Area Code]])</f>
        <v>13958</v>
      </c>
      <c r="AZ1825" s="59">
        <v>12035</v>
      </c>
      <c r="BA1825">
        <f t="shared" si="35"/>
        <v>6.9055305065509297E-3</v>
      </c>
      <c r="BB1825">
        <f>SUMIFS(HIX_RatingAreas[QHP Enrollments 2018],HIX_RatingAreas[Area],HIX_SLCSP[[#This Row],[Area Code]])</f>
        <v>11414</v>
      </c>
      <c r="BC1825">
        <f t="shared" si="36"/>
        <v>6.6545166642763111E-3</v>
      </c>
      <c r="BD1825">
        <f>SUMIFS(HIX_RatingAreas[QHP Enrollments 2019],HIX_RatingAreas[Area],HIX_SLCSP[[#This Row],[Area Code]])</f>
        <v>11802</v>
      </c>
      <c r="BE1825">
        <f t="shared" si="37"/>
        <v>6.6180527829242802E-3</v>
      </c>
      <c r="BF1825">
        <f>SUMIFS(HIX_RatingAreas[QHP Enrollments 2020],HIX_RatingAreas[Area],HIX_SLCSP[[#This Row],[Area Code]])</f>
        <v>12350</v>
      </c>
      <c r="BG1825">
        <f t="shared" si="38"/>
        <v>6.4525398712104391E-3</v>
      </c>
      <c r="BH1825">
        <f>SUMIFS(HIX_RatingAreas[QHP Enrollments 2021],HIX_RatingAreas[Area],HIX_SLCSP[[#This Row],[Area Code]])</f>
        <v>12981</v>
      </c>
      <c r="BI1825">
        <f t="shared" si="39"/>
        <v>6.1221024830806232E-3</v>
      </c>
      <c r="BJ1825">
        <f>SUMIFS(HIX_RatingAreas[QHP Enrollments 2022],HIX_RatingAreas[Area],HIX_SLCSP[[#This Row],[Area Code]])</f>
        <v>16658</v>
      </c>
      <c r="BK1825">
        <f t="shared" si="40"/>
        <v>6.1173062700002273E-3</v>
      </c>
      <c r="BL1825">
        <f>SUMIFS(HIX_RatingAreas[QHP Enrollments 2023],HIX_RatingAreas[Area],HIX_SLCSP[[#This Row],[Area Code]])</f>
        <v>19172</v>
      </c>
      <c r="BM1825">
        <f t="shared" si="47"/>
        <v>5.9440044521126608E-3</v>
      </c>
      <c r="BN1825">
        <f>SUMIFS(HIX_RatingAreas[QHP Enrollments 2024],HIX_RatingAreas[Area],HIX_SLCSP[[#This Row],[Area Code]])</f>
        <v>25317</v>
      </c>
      <c r="BO1825">
        <f t="shared" si="48"/>
        <v>6.0108236136548285E-3</v>
      </c>
      <c r="BP1825" s="53">
        <f>ROUND(HIX_SLCSP[[#This Row],[Weighting Factor 2018]]*HIX_SLCSP[[#This Row],[2018]],2)</f>
        <v>2.39</v>
      </c>
      <c r="BQ1825" s="53">
        <f>ROUND(HIX_SLCSP[[#This Row],[Weighting Factor 2019]]*HIX_SLCSP[[#This Row],[2019]],2)</f>
        <v>2.5299999999999998</v>
      </c>
      <c r="BR1825" s="53">
        <f>ROUND(HIX_SLCSP[[#This Row],[Weighting Factor 2020]]*HIX_SLCSP[[#This Row],[2020]],2)</f>
        <v>1.93</v>
      </c>
      <c r="BS1825" s="53">
        <f>ROUND(HIX_SLCSP[[#This Row],[Weighting Factor 2021]]*HIX_SLCSP[[#This Row],[2021]],2)</f>
        <v>1.75</v>
      </c>
      <c r="BT1825" s="53">
        <f>ROUND(HIX_SLCSP[[#This Row],[Weighting Factor 2022]]*HIX_SLCSP[[#This Row],[2022]],2)</f>
        <v>1.7</v>
      </c>
      <c r="BU1825" s="53">
        <f>ROUND(HIX_SLCSP[[#This Row],[Weighting Factor 2023]]*HIX_SLCSP[[#This Row],[2023]],2)</f>
        <v>1.93</v>
      </c>
      <c r="BV1825" s="53">
        <f>ROUND(HIX_SLCSP[[#This Row],[Weighting Factor 2024]]*HIX_SLCSP[[#This Row],[2024]],2)</f>
        <v>1.84</v>
      </c>
    </row>
    <row r="1826" spans="4:74" x14ac:dyDescent="0.35">
      <c r="D1826" t="s">
        <v>539</v>
      </c>
      <c r="E1826" t="s">
        <v>627</v>
      </c>
      <c r="F1826" s="23">
        <v>27</v>
      </c>
      <c r="G1826" s="23" t="s">
        <v>540</v>
      </c>
      <c r="H1826" s="23" t="s">
        <v>628</v>
      </c>
      <c r="I1826" s="23">
        <v>77</v>
      </c>
      <c r="J1826" s="53">
        <v>317.35000000000002</v>
      </c>
      <c r="K1826" s="53">
        <v>434.26</v>
      </c>
      <c r="L1826" s="53">
        <v>740.06</v>
      </c>
      <c r="M1826" s="54">
        <f t="shared" si="41"/>
        <v>1.7041864320913738</v>
      </c>
      <c r="N1826" s="24">
        <v>80</v>
      </c>
      <c r="O1826" s="55">
        <v>370.94</v>
      </c>
      <c r="P1826" s="56">
        <v>394.86</v>
      </c>
      <c r="Q1826" s="56">
        <v>672.92</v>
      </c>
      <c r="R1826" s="57">
        <f t="shared" si="42"/>
        <v>1.7041989565922098</v>
      </c>
      <c r="S1826" s="23">
        <v>77</v>
      </c>
      <c r="T1826" s="53">
        <v>310.23</v>
      </c>
      <c r="U1826" s="53">
        <v>380.25</v>
      </c>
      <c r="V1826" s="53">
        <v>648.01</v>
      </c>
      <c r="W1826" s="57">
        <f t="shared" si="43"/>
        <v>1.7041683103221565</v>
      </c>
      <c r="X1826" s="47">
        <v>117</v>
      </c>
      <c r="Y1826" s="58">
        <v>272.7</v>
      </c>
      <c r="Z1826" s="58">
        <v>280.27</v>
      </c>
      <c r="AA1826" s="58">
        <v>477.64</v>
      </c>
      <c r="AB1826" s="57">
        <f t="shared" si="44"/>
        <v>1.7042137938416528</v>
      </c>
      <c r="AC1826" s="47">
        <v>137</v>
      </c>
      <c r="AD1826" s="57">
        <v>289.42</v>
      </c>
      <c r="AE1826" s="57">
        <v>303.12</v>
      </c>
      <c r="AF1826" s="57">
        <v>516.57000000000005</v>
      </c>
      <c r="AG1826" s="57">
        <f t="shared" si="45"/>
        <v>1.704176563737134</v>
      </c>
      <c r="AH1826" s="47">
        <v>152</v>
      </c>
      <c r="AI1826">
        <v>312.29000000000002</v>
      </c>
      <c r="AJ1826">
        <v>313.8</v>
      </c>
      <c r="AK1826">
        <v>534.78</v>
      </c>
      <c r="AL1826" s="57">
        <f t="shared" si="19"/>
        <v>1.7042065009560228</v>
      </c>
      <c r="AM1826" s="47">
        <v>111</v>
      </c>
      <c r="AN1826" s="57">
        <v>343.96</v>
      </c>
      <c r="AO1826" s="57">
        <v>345.61</v>
      </c>
      <c r="AP1826" s="57">
        <v>588.99</v>
      </c>
      <c r="AQ1826" s="57">
        <f t="shared" si="46"/>
        <v>1.7042041607592373</v>
      </c>
      <c r="AR1826" s="59">
        <v>4317</v>
      </c>
      <c r="AS1826" s="59">
        <f>SUMIFS(HIX_RatingAreas[Silver Enrollments 2018],HIX_RatingAreas[Area],HIX_SLCSP[[#This Row],[Area Code]])</f>
        <v>3669</v>
      </c>
      <c r="AT1826" s="59">
        <f>SUMIFS(HIX_RatingAreas[Silver Enrollments 2019],HIX_RatingAreas[Area],HIX_SLCSP[[#This Row],[Area Code]])</f>
        <v>3910</v>
      </c>
      <c r="AU1826" s="59">
        <f>SUMIFS(HIX_RatingAreas[Silver Enrollments 2020],HIX_RatingAreas[Area],HIX_SLCSP[[#This Row],[Area Code]])</f>
        <v>4270</v>
      </c>
      <c r="AV1826" s="59">
        <f>SUMIFS(HIX_RatingAreas[Silver Enrollments 2021],HIX_RatingAreas[Area],HIX_SLCSP[[#This Row],[Area Code]])</f>
        <v>3766</v>
      </c>
      <c r="AW1826" s="59">
        <f>SUMIFS(HIX_RatingAreas[Silver Enrollments 2022],HIX_RatingAreas[Area],HIX_SLCSP[[#This Row],[Area Code]])</f>
        <v>4344</v>
      </c>
      <c r="AX1826" s="59">
        <f>SUMIFS(HIX_RatingAreas[Silver Enrollments 2023],HIX_RatingAreas[Area],HIX_SLCSP[[#This Row],[Area Code]])</f>
        <v>5028</v>
      </c>
      <c r="AY1826" s="59">
        <f>SUMIFS(HIX_RatingAreas[Silver Enrollments 2024],HIX_RatingAreas[Area],HIX_SLCSP[[#This Row],[Area Code]])</f>
        <v>7629</v>
      </c>
      <c r="AZ1826" s="59">
        <v>5310</v>
      </c>
      <c r="BA1826">
        <f t="shared" si="35"/>
        <v>3.0468107178882788E-3</v>
      </c>
      <c r="BB1826">
        <f>SUMIFS(HIX_RatingAreas[QHP Enrollments 2018],HIX_RatingAreas[Area],HIX_SLCSP[[#This Row],[Area Code]])</f>
        <v>5038</v>
      </c>
      <c r="BC1826">
        <f t="shared" si="36"/>
        <v>2.9372222669199278E-3</v>
      </c>
      <c r="BD1826">
        <f>SUMIFS(HIX_RatingAreas[QHP Enrollments 2019],HIX_RatingAreas[Area],HIX_SLCSP[[#This Row],[Area Code]])</f>
        <v>5521</v>
      </c>
      <c r="BE1826">
        <f t="shared" si="37"/>
        <v>3.0959387743200264E-3</v>
      </c>
      <c r="BF1826">
        <f>SUMIFS(HIX_RatingAreas[QHP Enrollments 2020],HIX_RatingAreas[Area],HIX_SLCSP[[#This Row],[Area Code]])</f>
        <v>6053</v>
      </c>
      <c r="BG1826">
        <f t="shared" si="38"/>
        <v>3.1625282461892135E-3</v>
      </c>
      <c r="BH1826">
        <f>SUMIFS(HIX_RatingAreas[QHP Enrollments 2021],HIX_RatingAreas[Area],HIX_SLCSP[[#This Row],[Area Code]])</f>
        <v>6354</v>
      </c>
      <c r="BI1826">
        <f t="shared" si="39"/>
        <v>2.996675077227816E-3</v>
      </c>
      <c r="BJ1826">
        <f>SUMIFS(HIX_RatingAreas[QHP Enrollments 2022],HIX_RatingAreas[Area],HIX_SLCSP[[#This Row],[Area Code]])</f>
        <v>7946</v>
      </c>
      <c r="BK1826">
        <f t="shared" si="40"/>
        <v>2.9180042995210595E-3</v>
      </c>
      <c r="BL1826">
        <f>SUMIFS(HIX_RatingAreas[QHP Enrollments 2023],HIX_RatingAreas[Area],HIX_SLCSP[[#This Row],[Area Code]])</f>
        <v>9319</v>
      </c>
      <c r="BM1826">
        <f t="shared" si="47"/>
        <v>2.8892226939932135E-3</v>
      </c>
      <c r="BN1826">
        <f>SUMIFS(HIX_RatingAreas[QHP Enrollments 2024],HIX_RatingAreas[Area],HIX_SLCSP[[#This Row],[Area Code]])</f>
        <v>12610</v>
      </c>
      <c r="BO1826">
        <f t="shared" si="48"/>
        <v>2.9938968190617921E-3</v>
      </c>
      <c r="BP1826" s="53">
        <f>ROUND(HIX_SLCSP[[#This Row],[Weighting Factor 2018]]*HIX_SLCSP[[#This Row],[2018]],2)</f>
        <v>1.28</v>
      </c>
      <c r="BQ1826" s="53">
        <f>ROUND(HIX_SLCSP[[#This Row],[Weighting Factor 2019]]*HIX_SLCSP[[#This Row],[2019]],2)</f>
        <v>1.22</v>
      </c>
      <c r="BR1826" s="53">
        <f>ROUND(HIX_SLCSP[[#This Row],[Weighting Factor 2020]]*HIX_SLCSP[[#This Row],[2020]],2)</f>
        <v>1.2</v>
      </c>
      <c r="BS1826" s="53">
        <f>ROUND(HIX_SLCSP[[#This Row],[Weighting Factor 2021]]*HIX_SLCSP[[#This Row],[2021]],2)</f>
        <v>0.84</v>
      </c>
      <c r="BT1826" s="53">
        <f>ROUND(HIX_SLCSP[[#This Row],[Weighting Factor 2022]]*HIX_SLCSP[[#This Row],[2022]],2)</f>
        <v>0.88</v>
      </c>
      <c r="BU1826" s="53">
        <f>ROUND(HIX_SLCSP[[#This Row],[Weighting Factor 2023]]*HIX_SLCSP[[#This Row],[2023]],2)</f>
        <v>0.91</v>
      </c>
      <c r="BV1826" s="53">
        <f>ROUND(HIX_SLCSP[[#This Row],[Weighting Factor 2024]]*HIX_SLCSP[[#This Row],[2024]],2)</f>
        <v>1.03</v>
      </c>
    </row>
    <row r="1827" spans="4:74" x14ac:dyDescent="0.35">
      <c r="D1827" t="s">
        <v>539</v>
      </c>
      <c r="E1827" t="s">
        <v>631</v>
      </c>
      <c r="F1827" s="23">
        <v>28</v>
      </c>
      <c r="G1827" s="23" t="s">
        <v>540</v>
      </c>
      <c r="H1827" s="23" t="s">
        <v>632</v>
      </c>
      <c r="I1827" s="23">
        <v>143</v>
      </c>
      <c r="J1827" s="53">
        <v>318.79000000000002</v>
      </c>
      <c r="K1827" s="53">
        <v>350.67</v>
      </c>
      <c r="L1827" s="53">
        <v>597.62</v>
      </c>
      <c r="M1827" s="54">
        <f t="shared" si="41"/>
        <v>1.7042233438845638</v>
      </c>
      <c r="N1827" s="24">
        <v>100</v>
      </c>
      <c r="O1827" s="55">
        <v>383.1</v>
      </c>
      <c r="P1827" s="56">
        <v>389.56</v>
      </c>
      <c r="Q1827" s="56">
        <v>663.88</v>
      </c>
      <c r="R1827" s="57">
        <f t="shared" si="42"/>
        <v>1.7041790738268816</v>
      </c>
      <c r="S1827" s="23">
        <v>143</v>
      </c>
      <c r="T1827" s="53">
        <v>280.49</v>
      </c>
      <c r="U1827" s="53">
        <v>284.23</v>
      </c>
      <c r="V1827" s="53">
        <v>484.38</v>
      </c>
      <c r="W1827" s="57">
        <f t="shared" si="43"/>
        <v>1.7041832318896666</v>
      </c>
      <c r="X1827" s="47">
        <v>206</v>
      </c>
      <c r="Y1827" s="58">
        <v>271.24</v>
      </c>
      <c r="Z1827" s="58">
        <v>278.76</v>
      </c>
      <c r="AA1827" s="58">
        <v>475.07</v>
      </c>
      <c r="AB1827" s="57">
        <f t="shared" si="44"/>
        <v>1.7042258573683455</v>
      </c>
      <c r="AC1827" s="47">
        <v>316</v>
      </c>
      <c r="AD1827" s="57">
        <v>274.08999999999997</v>
      </c>
      <c r="AE1827" s="57">
        <v>279.67</v>
      </c>
      <c r="AF1827" s="57">
        <v>476.62</v>
      </c>
      <c r="AG1827" s="57">
        <f t="shared" si="45"/>
        <v>1.7042228340544212</v>
      </c>
      <c r="AH1827" s="47">
        <v>282</v>
      </c>
      <c r="AI1827">
        <v>283.41000000000003</v>
      </c>
      <c r="AJ1827">
        <v>293.77999999999997</v>
      </c>
      <c r="AK1827">
        <v>500.66</v>
      </c>
      <c r="AL1827" s="57">
        <f t="shared" si="19"/>
        <v>1.7042004220845532</v>
      </c>
      <c r="AM1827" s="47">
        <v>229</v>
      </c>
      <c r="AN1827" s="57">
        <v>293.58</v>
      </c>
      <c r="AO1827" s="57">
        <v>294.99</v>
      </c>
      <c r="AP1827" s="57">
        <v>502.72</v>
      </c>
      <c r="AQ1827" s="57">
        <f t="shared" si="46"/>
        <v>1.7041933624868639</v>
      </c>
      <c r="AR1827" s="59">
        <v>65078</v>
      </c>
      <c r="AS1827" s="59">
        <f>SUMIFS(HIX_RatingAreas[Silver Enrollments 2018],HIX_RatingAreas[Area],HIX_SLCSP[[#This Row],[Area Code]])</f>
        <v>50034</v>
      </c>
      <c r="AT1827" s="59">
        <f>SUMIFS(HIX_RatingAreas[Silver Enrollments 2019],HIX_RatingAreas[Area],HIX_SLCSP[[#This Row],[Area Code]])</f>
        <v>50137</v>
      </c>
      <c r="AU1827" s="59">
        <f>SUMIFS(HIX_RatingAreas[Silver Enrollments 2020],HIX_RatingAreas[Area],HIX_SLCSP[[#This Row],[Area Code]])</f>
        <v>54799</v>
      </c>
      <c r="AV1827" s="59">
        <f>SUMIFS(HIX_RatingAreas[Silver Enrollments 2021],HIX_RatingAreas[Area],HIX_SLCSP[[#This Row],[Area Code]])</f>
        <v>60203</v>
      </c>
      <c r="AW1827" s="59">
        <f>SUMIFS(HIX_RatingAreas[Silver Enrollments 2022],HIX_RatingAreas[Area],HIX_SLCSP[[#This Row],[Area Code]])</f>
        <v>84285</v>
      </c>
      <c r="AX1827" s="59">
        <f>SUMIFS(HIX_RatingAreas[Silver Enrollments 2023],HIX_RatingAreas[Area],HIX_SLCSP[[#This Row],[Area Code]])</f>
        <v>104743</v>
      </c>
      <c r="AY1827" s="59">
        <f>SUMIFS(HIX_RatingAreas[Silver Enrollments 2024],HIX_RatingAreas[Area],HIX_SLCSP[[#This Row],[Area Code]])</f>
        <v>154472</v>
      </c>
      <c r="AZ1827" s="59">
        <v>83941</v>
      </c>
      <c r="BA1827">
        <f t="shared" si="35"/>
        <v>4.8164282197789079E-2</v>
      </c>
      <c r="BB1827">
        <f>SUMIFS(HIX_RatingAreas[QHP Enrollments 2018],HIX_RatingAreas[Area],HIX_SLCSP[[#This Row],[Area Code]])</f>
        <v>81954</v>
      </c>
      <c r="BC1827">
        <f t="shared" si="36"/>
        <v>4.7780292509558508E-2</v>
      </c>
      <c r="BD1827">
        <f>SUMIFS(HIX_RatingAreas[QHP Enrollments 2019],HIX_RatingAreas[Area],HIX_SLCSP[[#This Row],[Area Code]])</f>
        <v>82742</v>
      </c>
      <c r="BE1827">
        <f t="shared" si="37"/>
        <v>4.639814636203362E-2</v>
      </c>
      <c r="BF1827">
        <f>SUMIFS(HIX_RatingAreas[QHP Enrollments 2020],HIX_RatingAreas[Area],HIX_SLCSP[[#This Row],[Area Code]])</f>
        <v>90451</v>
      </c>
      <c r="BG1827">
        <f t="shared" si="38"/>
        <v>4.7258193027599628E-2</v>
      </c>
      <c r="BH1827">
        <f>SUMIFS(HIX_RatingAreas[QHP Enrollments 2021],HIX_RatingAreas[Area],HIX_SLCSP[[#This Row],[Area Code]])</f>
        <v>100688</v>
      </c>
      <c r="BI1827">
        <f t="shared" si="39"/>
        <v>4.7486499870304434E-2</v>
      </c>
      <c r="BJ1827">
        <f>SUMIFS(HIX_RatingAreas[QHP Enrollments 2022],HIX_RatingAreas[Area],HIX_SLCSP[[#This Row],[Area Code]])</f>
        <v>140075</v>
      </c>
      <c r="BK1827">
        <f t="shared" si="40"/>
        <v>5.1439649163782082E-2</v>
      </c>
      <c r="BL1827">
        <f>SUMIFS(HIX_RatingAreas[QHP Enrollments 2023],HIX_RatingAreas[Area],HIX_SLCSP[[#This Row],[Area Code]])</f>
        <v>172408</v>
      </c>
      <c r="BM1827">
        <f t="shared" si="47"/>
        <v>5.3452635070928414E-2</v>
      </c>
      <c r="BN1827">
        <f>SUMIFS(HIX_RatingAreas[QHP Enrollments 2024],HIX_RatingAreas[Area],HIX_SLCSP[[#This Row],[Area Code]])</f>
        <v>244377</v>
      </c>
      <c r="BO1827">
        <f t="shared" si="48"/>
        <v>5.8020580725762376E-2</v>
      </c>
      <c r="BP1827" s="53">
        <f>ROUND(HIX_SLCSP[[#This Row],[Weighting Factor 2018]]*HIX_SLCSP[[#This Row],[2018]],2)</f>
        <v>16.760000000000002</v>
      </c>
      <c r="BQ1827" s="53">
        <f>ROUND(HIX_SLCSP[[#This Row],[Weighting Factor 2019]]*HIX_SLCSP[[#This Row],[2019]],2)</f>
        <v>18.07</v>
      </c>
      <c r="BR1827" s="53">
        <f>ROUND(HIX_SLCSP[[#This Row],[Weighting Factor 2020]]*HIX_SLCSP[[#This Row],[2020]],2)</f>
        <v>13.43</v>
      </c>
      <c r="BS1827" s="53">
        <f>ROUND(HIX_SLCSP[[#This Row],[Weighting Factor 2021]]*HIX_SLCSP[[#This Row],[2021]],2)</f>
        <v>13.24</v>
      </c>
      <c r="BT1827" s="53">
        <f>ROUND(HIX_SLCSP[[#This Row],[Weighting Factor 2022]]*HIX_SLCSP[[#This Row],[2022]],2)</f>
        <v>14.39</v>
      </c>
      <c r="BU1827" s="53">
        <f>ROUND(HIX_SLCSP[[#This Row],[Weighting Factor 2023]]*HIX_SLCSP[[#This Row],[2023]],2)</f>
        <v>15.7</v>
      </c>
      <c r="BV1827" s="53">
        <f>ROUND(HIX_SLCSP[[#This Row],[Weighting Factor 2024]]*HIX_SLCSP[[#This Row],[2024]],2)</f>
        <v>17.12</v>
      </c>
    </row>
    <row r="1828" spans="4:74" x14ac:dyDescent="0.35">
      <c r="D1828" t="s">
        <v>539</v>
      </c>
      <c r="E1828" t="s">
        <v>635</v>
      </c>
      <c r="F1828" s="23">
        <v>29</v>
      </c>
      <c r="G1828" s="23" t="s">
        <v>540</v>
      </c>
      <c r="H1828" s="23" t="s">
        <v>636</v>
      </c>
      <c r="I1828" s="23">
        <v>16</v>
      </c>
      <c r="J1828" s="53">
        <v>462.53</v>
      </c>
      <c r="K1828" s="53">
        <v>604.92999999999995</v>
      </c>
      <c r="L1828" s="53">
        <v>1030.9100000000001</v>
      </c>
      <c r="M1828" s="54">
        <f t="shared" si="41"/>
        <v>1.7041806490007112</v>
      </c>
      <c r="N1828" s="24">
        <v>16</v>
      </c>
      <c r="O1828" s="55">
        <v>530.1</v>
      </c>
      <c r="P1828" s="56">
        <v>573</v>
      </c>
      <c r="Q1828" s="56">
        <v>976.51</v>
      </c>
      <c r="R1828" s="57">
        <f t="shared" si="42"/>
        <v>1.7042059336823734</v>
      </c>
      <c r="S1828" s="23">
        <v>16</v>
      </c>
      <c r="T1828" s="53">
        <v>508</v>
      </c>
      <c r="U1828" s="53">
        <v>547.97</v>
      </c>
      <c r="V1828" s="53">
        <v>933.85</v>
      </c>
      <c r="W1828" s="57">
        <f t="shared" si="43"/>
        <v>1.7041991349891417</v>
      </c>
      <c r="X1828" s="47">
        <v>101</v>
      </c>
      <c r="Y1828" s="58">
        <v>324.86</v>
      </c>
      <c r="Z1828" s="58">
        <v>324.86</v>
      </c>
      <c r="AA1828" s="58">
        <v>553.63</v>
      </c>
      <c r="AB1828" s="57">
        <f t="shared" si="44"/>
        <v>1.7042110447577417</v>
      </c>
      <c r="AC1828" s="47">
        <v>89</v>
      </c>
      <c r="AD1828" s="57">
        <v>319.73</v>
      </c>
      <c r="AE1828" s="57">
        <v>334.87</v>
      </c>
      <c r="AF1828" s="57">
        <v>570.67999999999995</v>
      </c>
      <c r="AG1828" s="57">
        <f t="shared" si="45"/>
        <v>1.7041837130826887</v>
      </c>
      <c r="AH1828" s="47">
        <v>100</v>
      </c>
      <c r="AI1828">
        <v>380.2</v>
      </c>
      <c r="AJ1828">
        <v>382.04</v>
      </c>
      <c r="AK1828">
        <v>651.08000000000004</v>
      </c>
      <c r="AL1828" s="57">
        <f t="shared" si="19"/>
        <v>1.7042194534603707</v>
      </c>
      <c r="AM1828" s="47">
        <v>74</v>
      </c>
      <c r="AN1828" s="57">
        <v>293.52</v>
      </c>
      <c r="AO1828" s="57">
        <v>294.93</v>
      </c>
      <c r="AP1828" s="57">
        <v>502.62</v>
      </c>
      <c r="AQ1828" s="57">
        <f t="shared" si="46"/>
        <v>1.7042009968467093</v>
      </c>
      <c r="AR1828" s="59">
        <v>649</v>
      </c>
      <c r="AS1828" s="59">
        <f>SUMIFS(HIX_RatingAreas[Silver Enrollments 2018],HIX_RatingAreas[Area],HIX_SLCSP[[#This Row],[Area Code]])</f>
        <v>596</v>
      </c>
      <c r="AT1828" s="59">
        <f>SUMIFS(HIX_RatingAreas[Silver Enrollments 2019],HIX_RatingAreas[Area],HIX_SLCSP[[#This Row],[Area Code]])</f>
        <v>599</v>
      </c>
      <c r="AU1828" s="59">
        <f>SUMIFS(HIX_RatingAreas[Silver Enrollments 2020],HIX_RatingAreas[Area],HIX_SLCSP[[#This Row],[Area Code]])</f>
        <v>660</v>
      </c>
      <c r="AV1828" s="59">
        <f>SUMIFS(HIX_RatingAreas[Silver Enrollments 2021],HIX_RatingAreas[Area],HIX_SLCSP[[#This Row],[Area Code]])</f>
        <v>470</v>
      </c>
      <c r="AW1828" s="59">
        <f>SUMIFS(HIX_RatingAreas[Silver Enrollments 2022],HIX_RatingAreas[Area],HIX_SLCSP[[#This Row],[Area Code]])</f>
        <v>411</v>
      </c>
      <c r="AX1828" s="59">
        <f>SUMIFS(HIX_RatingAreas[Silver Enrollments 2023],HIX_RatingAreas[Area],HIX_SLCSP[[#This Row],[Area Code]])</f>
        <v>447</v>
      </c>
      <c r="AY1828" s="59">
        <f>SUMIFS(HIX_RatingAreas[Silver Enrollments 2024],HIX_RatingAreas[Area],HIX_SLCSP[[#This Row],[Area Code]])</f>
        <v>1002</v>
      </c>
      <c r="AZ1828" s="59">
        <v>789</v>
      </c>
      <c r="BA1828">
        <f t="shared" si="35"/>
        <v>4.5271820271447309E-4</v>
      </c>
      <c r="BB1828">
        <f>SUMIFS(HIX_RatingAreas[QHP Enrollments 2018],HIX_RatingAreas[Area],HIX_SLCSP[[#This Row],[Area Code]])</f>
        <v>806</v>
      </c>
      <c r="BC1828">
        <f t="shared" si="36"/>
        <v>4.6990892162315637E-4</v>
      </c>
      <c r="BD1828">
        <f>SUMIFS(HIX_RatingAreas[QHP Enrollments 2019],HIX_RatingAreas[Area],HIX_SLCSP[[#This Row],[Area Code]])</f>
        <v>881</v>
      </c>
      <c r="BE1828">
        <f t="shared" si="37"/>
        <v>4.940268176373742E-4</v>
      </c>
      <c r="BF1828">
        <f>SUMIFS(HIX_RatingAreas[QHP Enrollments 2020],HIX_RatingAreas[Area],HIX_SLCSP[[#This Row],[Area Code]])</f>
        <v>998</v>
      </c>
      <c r="BG1828">
        <f t="shared" si="38"/>
        <v>5.2142791833749132E-4</v>
      </c>
      <c r="BH1828">
        <f>SUMIFS(HIX_RatingAreas[QHP Enrollments 2021],HIX_RatingAreas[Area],HIX_SLCSP[[#This Row],[Area Code]])</f>
        <v>1064</v>
      </c>
      <c r="BI1828">
        <f t="shared" si="39"/>
        <v>5.0180394746150399E-4</v>
      </c>
      <c r="BJ1828">
        <f>SUMIFS(HIX_RatingAreas[QHP Enrollments 2022],HIX_RatingAreas[Area],HIX_SLCSP[[#This Row],[Area Code]])</f>
        <v>1249</v>
      </c>
      <c r="BK1828">
        <f t="shared" si="40"/>
        <v>4.58669439982608E-4</v>
      </c>
      <c r="BL1828">
        <f>SUMIFS(HIX_RatingAreas[QHP Enrollments 2023],HIX_RatingAreas[Area],HIX_SLCSP[[#This Row],[Area Code]])</f>
        <v>1497</v>
      </c>
      <c r="BM1828">
        <f t="shared" si="47"/>
        <v>4.6412344381455524E-4</v>
      </c>
      <c r="BN1828">
        <f>SUMIFS(HIX_RatingAreas[QHP Enrollments 2024],HIX_RatingAreas[Area],HIX_SLCSP[[#This Row],[Area Code]])</f>
        <v>2145</v>
      </c>
      <c r="BO1828">
        <f t="shared" si="48"/>
        <v>5.0927110839710894E-4</v>
      </c>
      <c r="BP1828" s="53">
        <f>ROUND(HIX_SLCSP[[#This Row],[Weighting Factor 2018]]*HIX_SLCSP[[#This Row],[2018]],2)</f>
        <v>0.28000000000000003</v>
      </c>
      <c r="BQ1828" s="53">
        <f>ROUND(HIX_SLCSP[[#This Row],[Weighting Factor 2019]]*HIX_SLCSP[[#This Row],[2019]],2)</f>
        <v>0.28000000000000003</v>
      </c>
      <c r="BR1828" s="53">
        <f>ROUND(HIX_SLCSP[[#This Row],[Weighting Factor 2020]]*HIX_SLCSP[[#This Row],[2020]],2)</f>
        <v>0.28999999999999998</v>
      </c>
      <c r="BS1828" s="53">
        <f>ROUND(HIX_SLCSP[[#This Row],[Weighting Factor 2021]]*HIX_SLCSP[[#This Row],[2021]],2)</f>
        <v>0.16</v>
      </c>
      <c r="BT1828" s="53">
        <f>ROUND(HIX_SLCSP[[#This Row],[Weighting Factor 2022]]*HIX_SLCSP[[#This Row],[2022]],2)</f>
        <v>0.15</v>
      </c>
      <c r="BU1828" s="53">
        <f>ROUND(HIX_SLCSP[[#This Row],[Weighting Factor 2023]]*HIX_SLCSP[[#This Row],[2023]],2)</f>
        <v>0.18</v>
      </c>
      <c r="BV1828" s="53">
        <f>ROUND(HIX_SLCSP[[#This Row],[Weighting Factor 2024]]*HIX_SLCSP[[#This Row],[2024]],2)</f>
        <v>0.15</v>
      </c>
    </row>
    <row r="1829" spans="4:74" x14ac:dyDescent="0.35">
      <c r="D1829" t="s">
        <v>539</v>
      </c>
      <c r="E1829" t="s">
        <v>639</v>
      </c>
      <c r="F1829" s="23">
        <v>30</v>
      </c>
      <c r="G1829" s="23" t="s">
        <v>540</v>
      </c>
      <c r="H1829" s="23" t="s">
        <v>640</v>
      </c>
      <c r="I1829" s="23">
        <v>33</v>
      </c>
      <c r="J1829" s="53">
        <v>284.51</v>
      </c>
      <c r="K1829" s="53">
        <v>389.32</v>
      </c>
      <c r="L1829" s="53">
        <v>663.48</v>
      </c>
      <c r="M1829" s="54">
        <f t="shared" si="41"/>
        <v>1.7042021987054352</v>
      </c>
      <c r="N1829" s="24">
        <v>32</v>
      </c>
      <c r="O1829" s="55">
        <v>353.29</v>
      </c>
      <c r="P1829" s="56">
        <v>380.52</v>
      </c>
      <c r="Q1829" s="56">
        <v>648.48</v>
      </c>
      <c r="R1829" s="57">
        <f t="shared" si="42"/>
        <v>1.7041942604856513</v>
      </c>
      <c r="S1829" s="23">
        <v>33</v>
      </c>
      <c r="T1829" s="53">
        <v>352.84</v>
      </c>
      <c r="U1829" s="53">
        <v>377.73</v>
      </c>
      <c r="V1829" s="53">
        <v>643.73</v>
      </c>
      <c r="W1829" s="57">
        <f t="shared" si="43"/>
        <v>1.7042067084954862</v>
      </c>
      <c r="X1829" s="47">
        <v>243</v>
      </c>
      <c r="Y1829" s="58">
        <v>305.87</v>
      </c>
      <c r="Z1829" s="58">
        <v>314.36</v>
      </c>
      <c r="AA1829" s="58">
        <v>535.73</v>
      </c>
      <c r="AB1829" s="57">
        <f t="shared" si="44"/>
        <v>1.7041926453747296</v>
      </c>
      <c r="AC1829" s="47">
        <v>195</v>
      </c>
      <c r="AD1829" s="57">
        <v>308.23</v>
      </c>
      <c r="AE1829" s="57">
        <v>322.82</v>
      </c>
      <c r="AF1829" s="57">
        <v>550.15</v>
      </c>
      <c r="AG1829" s="57">
        <f t="shared" si="45"/>
        <v>1.7042004832414348</v>
      </c>
      <c r="AH1829" s="47">
        <v>172</v>
      </c>
      <c r="AI1829">
        <v>329.56</v>
      </c>
      <c r="AJ1829">
        <v>330.82</v>
      </c>
      <c r="AK1829">
        <v>563.78</v>
      </c>
      <c r="AL1829" s="57">
        <f t="shared" si="19"/>
        <v>1.7041895895048667</v>
      </c>
      <c r="AM1829" s="47">
        <v>145</v>
      </c>
      <c r="AN1829" s="57">
        <v>292.45</v>
      </c>
      <c r="AO1829" s="57">
        <v>293.85000000000002</v>
      </c>
      <c r="AP1829" s="57">
        <v>500.78</v>
      </c>
      <c r="AQ1829" s="57">
        <f t="shared" si="46"/>
        <v>1.7042028245703589</v>
      </c>
      <c r="AR1829" s="59">
        <v>8006</v>
      </c>
      <c r="AS1829" s="59">
        <f>SUMIFS(HIX_RatingAreas[Silver Enrollments 2018],HIX_RatingAreas[Area],HIX_SLCSP[[#This Row],[Area Code]])</f>
        <v>7242</v>
      </c>
      <c r="AT1829" s="59">
        <f>SUMIFS(HIX_RatingAreas[Silver Enrollments 2019],HIX_RatingAreas[Area],HIX_SLCSP[[#This Row],[Area Code]])</f>
        <v>7363</v>
      </c>
      <c r="AU1829" s="59">
        <f>SUMIFS(HIX_RatingAreas[Silver Enrollments 2020],HIX_RatingAreas[Area],HIX_SLCSP[[#This Row],[Area Code]])</f>
        <v>7959</v>
      </c>
      <c r="AV1829" s="59">
        <f>SUMIFS(HIX_RatingAreas[Silver Enrollments 2021],HIX_RatingAreas[Area],HIX_SLCSP[[#This Row],[Area Code]])</f>
        <v>8132</v>
      </c>
      <c r="AW1829" s="59">
        <f>SUMIFS(HIX_RatingAreas[Silver Enrollments 2022],HIX_RatingAreas[Area],HIX_SLCSP[[#This Row],[Area Code]])</f>
        <v>8821</v>
      </c>
      <c r="AX1829" s="59">
        <f>SUMIFS(HIX_RatingAreas[Silver Enrollments 2023],HIX_RatingAreas[Area],HIX_SLCSP[[#This Row],[Area Code]])</f>
        <v>9301</v>
      </c>
      <c r="AY1829" s="59">
        <f>SUMIFS(HIX_RatingAreas[Silver Enrollments 2024],HIX_RatingAreas[Area],HIX_SLCSP[[#This Row],[Area Code]])</f>
        <v>10664</v>
      </c>
      <c r="AZ1829" s="59">
        <v>10396</v>
      </c>
      <c r="BA1829">
        <f t="shared" si="35"/>
        <v>5.9650930740426647E-3</v>
      </c>
      <c r="BB1829">
        <f>SUMIFS(HIX_RatingAreas[QHP Enrollments 2018],HIX_RatingAreas[Area],HIX_SLCSP[[#This Row],[Area Code]])</f>
        <v>11062</v>
      </c>
      <c r="BC1829">
        <f t="shared" si="36"/>
        <v>6.449295894535181E-3</v>
      </c>
      <c r="BD1829">
        <f>SUMIFS(HIX_RatingAreas[QHP Enrollments 2019],HIX_RatingAreas[Area],HIX_SLCSP[[#This Row],[Area Code]])</f>
        <v>11692</v>
      </c>
      <c r="BE1829">
        <f t="shared" si="37"/>
        <v>6.5563695253305103E-3</v>
      </c>
      <c r="BF1829">
        <f>SUMIFS(HIX_RatingAreas[QHP Enrollments 2020],HIX_RatingAreas[Area],HIX_SLCSP[[#This Row],[Area Code]])</f>
        <v>12339</v>
      </c>
      <c r="BG1829">
        <f t="shared" si="38"/>
        <v>6.4467926697057169E-3</v>
      </c>
      <c r="BH1829">
        <f>SUMIFS(HIX_RatingAreas[QHP Enrollments 2021],HIX_RatingAreas[Area],HIX_SLCSP[[#This Row],[Area Code]])</f>
        <v>13219</v>
      </c>
      <c r="BI1829">
        <f t="shared" si="39"/>
        <v>6.2343481029075391E-3</v>
      </c>
      <c r="BJ1829">
        <f>SUMIFS(HIX_RatingAreas[QHP Enrollments 2022],HIX_RatingAreas[Area],HIX_SLCSP[[#This Row],[Area Code]])</f>
        <v>15761</v>
      </c>
      <c r="BK1829">
        <f t="shared" si="40"/>
        <v>5.7879015560975862E-3</v>
      </c>
      <c r="BL1829">
        <f>SUMIFS(HIX_RatingAreas[QHP Enrollments 2023],HIX_RatingAreas[Area],HIX_SLCSP[[#This Row],[Area Code]])</f>
        <v>17305</v>
      </c>
      <c r="BM1829">
        <f t="shared" si="47"/>
        <v>5.3651677990720634E-3</v>
      </c>
      <c r="BN1829">
        <f>SUMIFS(HIX_RatingAreas[QHP Enrollments 2024],HIX_RatingAreas[Area],HIX_SLCSP[[#This Row],[Area Code]])</f>
        <v>20854</v>
      </c>
      <c r="BO1829">
        <f t="shared" si="48"/>
        <v>4.951207316789422E-3</v>
      </c>
      <c r="BP1829" s="53">
        <f>ROUND(HIX_SLCSP[[#This Row],[Weighting Factor 2018]]*HIX_SLCSP[[#This Row],[2018]],2)</f>
        <v>2.5099999999999998</v>
      </c>
      <c r="BQ1829" s="53">
        <f>ROUND(HIX_SLCSP[[#This Row],[Weighting Factor 2019]]*HIX_SLCSP[[#This Row],[2019]],2)</f>
        <v>2.4900000000000002</v>
      </c>
      <c r="BR1829" s="53">
        <f>ROUND(HIX_SLCSP[[#This Row],[Weighting Factor 2020]]*HIX_SLCSP[[#This Row],[2020]],2)</f>
        <v>2.44</v>
      </c>
      <c r="BS1829" s="53">
        <f>ROUND(HIX_SLCSP[[#This Row],[Weighting Factor 2021]]*HIX_SLCSP[[#This Row],[2021]],2)</f>
        <v>1.96</v>
      </c>
      <c r="BT1829" s="53">
        <f>ROUND(HIX_SLCSP[[#This Row],[Weighting Factor 2022]]*HIX_SLCSP[[#This Row],[2022]],2)</f>
        <v>1.87</v>
      </c>
      <c r="BU1829" s="53">
        <f>ROUND(HIX_SLCSP[[#This Row],[Weighting Factor 2023]]*HIX_SLCSP[[#This Row],[2023]],2)</f>
        <v>1.77</v>
      </c>
      <c r="BV1829" s="53">
        <f>ROUND(HIX_SLCSP[[#This Row],[Weighting Factor 2024]]*HIX_SLCSP[[#This Row],[2024]],2)</f>
        <v>1.45</v>
      </c>
    </row>
    <row r="1830" spans="4:74" x14ac:dyDescent="0.35">
      <c r="D1830" t="s">
        <v>539</v>
      </c>
      <c r="E1830" t="s">
        <v>643</v>
      </c>
      <c r="F1830" s="23">
        <v>31</v>
      </c>
      <c r="G1830" s="23" t="s">
        <v>540</v>
      </c>
      <c r="H1830" s="23" t="s">
        <v>644</v>
      </c>
      <c r="I1830" s="23">
        <v>16</v>
      </c>
      <c r="J1830" s="53">
        <v>464.28</v>
      </c>
      <c r="K1830" s="53">
        <v>607.21</v>
      </c>
      <c r="L1830" s="53">
        <v>1034.81</v>
      </c>
      <c r="M1830" s="54">
        <f t="shared" si="41"/>
        <v>1.7042044762108659</v>
      </c>
      <c r="N1830" s="24">
        <v>16</v>
      </c>
      <c r="O1830" s="55">
        <v>532.16</v>
      </c>
      <c r="P1830" s="56">
        <v>575.24</v>
      </c>
      <c r="Q1830" s="56">
        <v>980.32</v>
      </c>
      <c r="R1830" s="57">
        <f t="shared" si="42"/>
        <v>1.7041930324734025</v>
      </c>
      <c r="S1830" s="23">
        <v>16</v>
      </c>
      <c r="T1830" s="53">
        <v>510.04</v>
      </c>
      <c r="U1830" s="53">
        <v>550.16999999999996</v>
      </c>
      <c r="V1830" s="53">
        <v>937.6</v>
      </c>
      <c r="W1830" s="57">
        <f t="shared" si="43"/>
        <v>1.7042005198393226</v>
      </c>
      <c r="X1830" s="47">
        <v>143</v>
      </c>
      <c r="Y1830" s="58">
        <v>311.27</v>
      </c>
      <c r="Z1830" s="58">
        <v>319.91000000000003</v>
      </c>
      <c r="AA1830" s="58">
        <v>545.19000000000005</v>
      </c>
      <c r="AB1830" s="57">
        <f t="shared" si="44"/>
        <v>1.7041980557031666</v>
      </c>
      <c r="AC1830" s="47">
        <v>105</v>
      </c>
      <c r="AD1830" s="57">
        <v>320.10000000000002</v>
      </c>
      <c r="AE1830" s="57">
        <v>335.25</v>
      </c>
      <c r="AF1830" s="57">
        <v>571.33000000000004</v>
      </c>
      <c r="AG1830" s="57">
        <f t="shared" si="45"/>
        <v>1.7041909023117079</v>
      </c>
      <c r="AH1830" s="47">
        <v>100</v>
      </c>
      <c r="AI1830">
        <v>332.36</v>
      </c>
      <c r="AJ1830">
        <v>333.97</v>
      </c>
      <c r="AK1830">
        <v>569.16</v>
      </c>
      <c r="AL1830" s="57">
        <f t="shared" si="19"/>
        <v>1.7042249303829684</v>
      </c>
      <c r="AM1830" s="47">
        <v>74</v>
      </c>
      <c r="AN1830" s="23">
        <v>322.49</v>
      </c>
      <c r="AO1830" s="23">
        <v>324.04000000000002</v>
      </c>
      <c r="AP1830" s="57">
        <v>552.22</v>
      </c>
      <c r="AQ1830" s="57">
        <f t="shared" si="46"/>
        <v>1.7041723244043945</v>
      </c>
      <c r="AR1830" s="59">
        <v>1556</v>
      </c>
      <c r="AS1830" s="59">
        <f>SUMIFS(HIX_RatingAreas[Silver Enrollments 2018],HIX_RatingAreas[Area],HIX_SLCSP[[#This Row],[Area Code]])</f>
        <v>1401</v>
      </c>
      <c r="AT1830" s="59">
        <f>SUMIFS(HIX_RatingAreas[Silver Enrollments 2019],HIX_RatingAreas[Area],HIX_SLCSP[[#This Row],[Area Code]])</f>
        <v>1420</v>
      </c>
      <c r="AU1830" s="59">
        <f>SUMIFS(HIX_RatingAreas[Silver Enrollments 2020],HIX_RatingAreas[Area],HIX_SLCSP[[#This Row],[Area Code]])</f>
        <v>1548</v>
      </c>
      <c r="AV1830" s="59">
        <f>SUMIFS(HIX_RatingAreas[Silver Enrollments 2021],HIX_RatingAreas[Area],HIX_SLCSP[[#This Row],[Area Code]])</f>
        <v>1045</v>
      </c>
      <c r="AW1830" s="59">
        <f>SUMIFS(HIX_RatingAreas[Silver Enrollments 2022],HIX_RatingAreas[Area],HIX_SLCSP[[#This Row],[Area Code]])</f>
        <v>1013</v>
      </c>
      <c r="AX1830" s="59">
        <f>SUMIFS(HIX_RatingAreas[Silver Enrollments 2023],HIX_RatingAreas[Area],HIX_SLCSP[[#This Row],[Area Code]])</f>
        <v>1136</v>
      </c>
      <c r="AY1830" s="59">
        <f>SUMIFS(HIX_RatingAreas[Silver Enrollments 2024],HIX_RatingAreas[Area],HIX_SLCSP[[#This Row],[Area Code]])</f>
        <v>2418</v>
      </c>
      <c r="AZ1830" s="59">
        <v>1895</v>
      </c>
      <c r="BA1830">
        <f t="shared" si="35"/>
        <v>1.0873269887755723E-3</v>
      </c>
      <c r="BB1830">
        <f>SUMIFS(HIX_RatingAreas[QHP Enrollments 2018],HIX_RatingAreas[Area],HIX_SLCSP[[#This Row],[Area Code]])</f>
        <v>1918</v>
      </c>
      <c r="BC1830">
        <f t="shared" si="36"/>
        <v>1.1182199896689999E-3</v>
      </c>
      <c r="BD1830">
        <f>SUMIFS(HIX_RatingAreas[QHP Enrollments 2019],HIX_RatingAreas[Area],HIX_SLCSP[[#This Row],[Area Code]])</f>
        <v>2063</v>
      </c>
      <c r="BE1830">
        <f t="shared" si="37"/>
        <v>1.1568414583267913E-3</v>
      </c>
      <c r="BF1830">
        <f>SUMIFS(HIX_RatingAreas[QHP Enrollments 2020],HIX_RatingAreas[Area],HIX_SLCSP[[#This Row],[Area Code]])</f>
        <v>2326</v>
      </c>
      <c r="BG1830">
        <f t="shared" si="38"/>
        <v>1.2152718818166381E-3</v>
      </c>
      <c r="BH1830">
        <f>SUMIFS(HIX_RatingAreas[QHP Enrollments 2021],HIX_RatingAreas[Area],HIX_SLCSP[[#This Row],[Area Code]])</f>
        <v>2448</v>
      </c>
      <c r="BI1830">
        <f t="shared" si="39"/>
        <v>1.154526375362558E-3</v>
      </c>
      <c r="BJ1830">
        <f>SUMIFS(HIX_RatingAreas[QHP Enrollments 2022],HIX_RatingAreas[Area],HIX_SLCSP[[#This Row],[Area Code]])</f>
        <v>2901</v>
      </c>
      <c r="BK1830">
        <f t="shared" si="40"/>
        <v>1.0653323021533594E-3</v>
      </c>
      <c r="BL1830">
        <f>SUMIFS(HIX_RatingAreas[QHP Enrollments 2023],HIX_RatingAreas[Area],HIX_SLCSP[[#This Row],[Area Code]])</f>
        <v>3320</v>
      </c>
      <c r="BM1830">
        <f t="shared" si="47"/>
        <v>1.0293185260282721E-3</v>
      </c>
      <c r="BN1830">
        <f>SUMIFS(HIX_RatingAreas[QHP Enrollments 2024],HIX_RatingAreas[Area],HIX_SLCSP[[#This Row],[Area Code]])</f>
        <v>4738</v>
      </c>
      <c r="BO1830">
        <f t="shared" si="48"/>
        <v>1.1249074646086257E-3</v>
      </c>
      <c r="BP1830" s="53">
        <f>ROUND(HIX_SLCSP[[#This Row],[Weighting Factor 2018]]*HIX_SLCSP[[#This Row],[2018]],2)</f>
        <v>0.68</v>
      </c>
      <c r="BQ1830" s="53">
        <f>ROUND(HIX_SLCSP[[#This Row],[Weighting Factor 2019]]*HIX_SLCSP[[#This Row],[2019]],2)</f>
        <v>0.67</v>
      </c>
      <c r="BR1830" s="53">
        <f>ROUND(HIX_SLCSP[[#This Row],[Weighting Factor 2020]]*HIX_SLCSP[[#This Row],[2020]],2)</f>
        <v>0.67</v>
      </c>
      <c r="BS1830" s="53">
        <f>ROUND(HIX_SLCSP[[#This Row],[Weighting Factor 2021]]*HIX_SLCSP[[#This Row],[2021]],2)</f>
        <v>0.37</v>
      </c>
      <c r="BT1830" s="53">
        <f>ROUND(HIX_SLCSP[[#This Row],[Weighting Factor 2022]]*HIX_SLCSP[[#This Row],[2022]],2)</f>
        <v>0.36</v>
      </c>
      <c r="BU1830" s="53">
        <f>ROUND(HIX_SLCSP[[#This Row],[Weighting Factor 2023]]*HIX_SLCSP[[#This Row],[2023]],2)</f>
        <v>0.34</v>
      </c>
      <c r="BV1830" s="53">
        <f>ROUND(HIX_SLCSP[[#This Row],[Weighting Factor 2024]]*HIX_SLCSP[[#This Row],[2024]],2)</f>
        <v>0.36</v>
      </c>
    </row>
    <row r="1831" spans="4:74" x14ac:dyDescent="0.35">
      <c r="D1831" t="s">
        <v>539</v>
      </c>
      <c r="E1831" t="s">
        <v>646</v>
      </c>
      <c r="F1831" s="23">
        <v>32</v>
      </c>
      <c r="G1831" s="23" t="s">
        <v>540</v>
      </c>
      <c r="H1831" s="23" t="s">
        <v>647</v>
      </c>
      <c r="I1831" s="23">
        <v>16</v>
      </c>
      <c r="J1831" s="53">
        <v>524.36</v>
      </c>
      <c r="K1831" s="53">
        <v>685.78</v>
      </c>
      <c r="L1831" s="53">
        <v>1168.7</v>
      </c>
      <c r="M1831" s="54">
        <f t="shared" si="41"/>
        <v>1.7041908483770307</v>
      </c>
      <c r="N1831" s="24">
        <v>16</v>
      </c>
      <c r="O1831" s="55">
        <v>624.53</v>
      </c>
      <c r="P1831" s="56">
        <v>675.09</v>
      </c>
      <c r="Q1831" s="56">
        <v>1150.49</v>
      </c>
      <c r="R1831" s="57">
        <f t="shared" si="42"/>
        <v>1.7042024026426106</v>
      </c>
      <c r="S1831" s="23">
        <v>16</v>
      </c>
      <c r="T1831" s="53">
        <v>598.57000000000005</v>
      </c>
      <c r="U1831" s="53">
        <v>645.66</v>
      </c>
      <c r="V1831" s="53">
        <v>1100.3399999999999</v>
      </c>
      <c r="W1831" s="57">
        <f t="shared" si="43"/>
        <v>1.7042096459436855</v>
      </c>
      <c r="X1831" s="47">
        <v>104</v>
      </c>
      <c r="Y1831" s="58">
        <v>331.64</v>
      </c>
      <c r="Z1831" s="58">
        <v>331.64</v>
      </c>
      <c r="AA1831" s="58">
        <v>565.17999999999995</v>
      </c>
      <c r="AB1831" s="57">
        <f t="shared" si="44"/>
        <v>1.7041973223977807</v>
      </c>
      <c r="AC1831" s="47">
        <v>105</v>
      </c>
      <c r="AD1831" s="57">
        <v>308.52999999999997</v>
      </c>
      <c r="AE1831" s="57">
        <v>323.14</v>
      </c>
      <c r="AF1831" s="57">
        <v>550.69000000000005</v>
      </c>
      <c r="AG1831" s="57">
        <f t="shared" si="45"/>
        <v>1.7041839450393022</v>
      </c>
      <c r="AH1831" s="47">
        <v>80</v>
      </c>
      <c r="AI1831">
        <v>306.18</v>
      </c>
      <c r="AJ1831">
        <v>307.67</v>
      </c>
      <c r="AK1831">
        <v>524.33000000000004</v>
      </c>
      <c r="AL1831" s="57">
        <f t="shared" si="19"/>
        <v>1.7041960542139305</v>
      </c>
      <c r="AM1831" s="47">
        <v>99</v>
      </c>
      <c r="AN1831" s="23">
        <v>289.61</v>
      </c>
      <c r="AO1831" s="23">
        <v>291</v>
      </c>
      <c r="AP1831" s="57">
        <v>495.92</v>
      </c>
      <c r="AQ1831" s="57">
        <f t="shared" si="46"/>
        <v>1.704192439862543</v>
      </c>
      <c r="AR1831" s="59">
        <v>479</v>
      </c>
      <c r="AS1831" s="59">
        <f>SUMIFS(HIX_RatingAreas[Silver Enrollments 2018],HIX_RatingAreas[Area],HIX_SLCSP[[#This Row],[Area Code]])</f>
        <v>490</v>
      </c>
      <c r="AT1831" s="59">
        <f>SUMIFS(HIX_RatingAreas[Silver Enrollments 2019],HIX_RatingAreas[Area],HIX_SLCSP[[#This Row],[Area Code]])</f>
        <v>488</v>
      </c>
      <c r="AU1831" s="59">
        <f>SUMIFS(HIX_RatingAreas[Silver Enrollments 2020],HIX_RatingAreas[Area],HIX_SLCSP[[#This Row],[Area Code]])</f>
        <v>569</v>
      </c>
      <c r="AV1831" s="59">
        <f>SUMIFS(HIX_RatingAreas[Silver Enrollments 2021],HIX_RatingAreas[Area],HIX_SLCSP[[#This Row],[Area Code]])</f>
        <v>351</v>
      </c>
      <c r="AW1831" s="59">
        <f>SUMIFS(HIX_RatingAreas[Silver Enrollments 2022],HIX_RatingAreas[Area],HIX_SLCSP[[#This Row],[Area Code]])</f>
        <v>372</v>
      </c>
      <c r="AX1831" s="59">
        <f>SUMIFS(HIX_RatingAreas[Silver Enrollments 2023],HIX_RatingAreas[Area],HIX_SLCSP[[#This Row],[Area Code]])</f>
        <v>500</v>
      </c>
      <c r="AY1831" s="59">
        <f>SUMIFS(HIX_RatingAreas[Silver Enrollments 2024],HIX_RatingAreas[Area],HIX_SLCSP[[#This Row],[Area Code]])</f>
        <v>895</v>
      </c>
      <c r="AZ1831" s="59">
        <v>626</v>
      </c>
      <c r="BA1831">
        <f t="shared" si="35"/>
        <v>3.5919086805989882E-4</v>
      </c>
      <c r="BB1831">
        <f>SUMIFS(HIX_RatingAreas[QHP Enrollments 2018],HIX_RatingAreas[Area],HIX_SLCSP[[#This Row],[Area Code]])</f>
        <v>684</v>
      </c>
      <c r="BC1831">
        <f t="shared" si="36"/>
        <v>3.9878126847424188E-4</v>
      </c>
      <c r="BD1831">
        <f>SUMIFS(HIX_RatingAreas[QHP Enrollments 2019],HIX_RatingAreas[Area],HIX_SLCSP[[#This Row],[Area Code]])</f>
        <v>720</v>
      </c>
      <c r="BE1831">
        <f t="shared" si="37"/>
        <v>4.0374495879558393E-4</v>
      </c>
      <c r="BF1831">
        <f>SUMIFS(HIX_RatingAreas[QHP Enrollments 2020],HIX_RatingAreas[Area],HIX_SLCSP[[#This Row],[Area Code]])</f>
        <v>820</v>
      </c>
      <c r="BG1831">
        <f t="shared" si="38"/>
        <v>4.2842774853381051E-4</v>
      </c>
      <c r="BH1831">
        <f>SUMIFS(HIX_RatingAreas[QHP Enrollments 2021],HIX_RatingAreas[Area],HIX_SLCSP[[#This Row],[Area Code]])</f>
        <v>854</v>
      </c>
      <c r="BI1831">
        <f t="shared" si="39"/>
        <v>4.0276369467304927E-4</v>
      </c>
      <c r="BJ1831">
        <f>SUMIFS(HIX_RatingAreas[QHP Enrollments 2022],HIX_RatingAreas[Area],HIX_SLCSP[[#This Row],[Area Code]])</f>
        <v>955</v>
      </c>
      <c r="BK1831">
        <f t="shared" ref="BK1831:BK1862" si="49">BJ1831/BJ$1799</f>
        <v>3.5070401535899974E-4</v>
      </c>
      <c r="BL1831">
        <f>SUMIFS(HIX_RatingAreas[QHP Enrollments 2023],HIX_RatingAreas[Area],HIX_SLCSP[[#This Row],[Area Code]])</f>
        <v>1200</v>
      </c>
      <c r="BM1831">
        <f t="shared" si="47"/>
        <v>3.7204284073311041E-4</v>
      </c>
      <c r="BN1831">
        <f>SUMIFS(HIX_RatingAreas[QHP Enrollments 2024],HIX_RatingAreas[Area],HIX_SLCSP[[#This Row],[Area Code]])</f>
        <v>1664</v>
      </c>
      <c r="BO1831">
        <f t="shared" si="48"/>
        <v>3.9507092045351481E-4</v>
      </c>
      <c r="BP1831" s="53">
        <f>ROUND(HIX_SLCSP[[#This Row],[Weighting Factor 2018]]*HIX_SLCSP[[#This Row],[2018]],2)</f>
        <v>0.27</v>
      </c>
      <c r="BQ1831" s="53">
        <f>ROUND(HIX_SLCSP[[#This Row],[Weighting Factor 2019]]*HIX_SLCSP[[#This Row],[2019]],2)</f>
        <v>0.27</v>
      </c>
      <c r="BR1831" s="53">
        <f>ROUND(HIX_SLCSP[[#This Row],[Weighting Factor 2020]]*HIX_SLCSP[[#This Row],[2020]],2)</f>
        <v>0.28000000000000003</v>
      </c>
      <c r="BS1831" s="53">
        <f>ROUND(HIX_SLCSP[[#This Row],[Weighting Factor 2021]]*HIX_SLCSP[[#This Row],[2021]],2)</f>
        <v>0.13</v>
      </c>
      <c r="BT1831" s="53">
        <f>ROUND(HIX_SLCSP[[#This Row],[Weighting Factor 2022]]*HIX_SLCSP[[#This Row],[2022]],2)</f>
        <v>0.11</v>
      </c>
      <c r="BU1831" s="53">
        <f>ROUND(HIX_SLCSP[[#This Row],[Weighting Factor 2023]]*HIX_SLCSP[[#This Row],[2023]],2)</f>
        <v>0.11</v>
      </c>
      <c r="BV1831" s="53">
        <f>ROUND(HIX_SLCSP[[#This Row],[Weighting Factor 2024]]*HIX_SLCSP[[#This Row],[2024]],2)</f>
        <v>0.11</v>
      </c>
    </row>
    <row r="1832" spans="4:74" x14ac:dyDescent="0.35">
      <c r="D1832" t="s">
        <v>539</v>
      </c>
      <c r="E1832" t="s">
        <v>649</v>
      </c>
      <c r="F1832" s="23">
        <v>33</v>
      </c>
      <c r="G1832" s="23" t="s">
        <v>540</v>
      </c>
      <c r="H1832" s="23" t="s">
        <v>650</v>
      </c>
      <c r="I1832" s="23">
        <v>16</v>
      </c>
      <c r="J1832" s="53">
        <v>470.7</v>
      </c>
      <c r="K1832" s="53">
        <v>615.61</v>
      </c>
      <c r="L1832" s="53">
        <v>1049.1099999999999</v>
      </c>
      <c r="M1832" s="54">
        <f t="shared" si="41"/>
        <v>1.7041795942236153</v>
      </c>
      <c r="N1832" s="24">
        <v>16</v>
      </c>
      <c r="O1832" s="55">
        <v>544.57000000000005</v>
      </c>
      <c r="P1832" s="56">
        <v>588.65</v>
      </c>
      <c r="Q1832" s="56">
        <v>1003.18</v>
      </c>
      <c r="R1832" s="57">
        <f t="shared" si="42"/>
        <v>1.7042045358022593</v>
      </c>
      <c r="S1832" s="23">
        <v>16</v>
      </c>
      <c r="T1832" s="53">
        <v>521.61</v>
      </c>
      <c r="U1832" s="53">
        <v>562.66</v>
      </c>
      <c r="V1832" s="53">
        <v>958.89</v>
      </c>
      <c r="W1832" s="57">
        <f t="shared" si="43"/>
        <v>1.7042085806703871</v>
      </c>
      <c r="X1832" s="47">
        <v>101</v>
      </c>
      <c r="Y1832" s="58">
        <v>340.5</v>
      </c>
      <c r="Z1832" s="58">
        <v>340.5</v>
      </c>
      <c r="AA1832" s="58">
        <v>580.27</v>
      </c>
      <c r="AB1832" s="57">
        <f t="shared" si="44"/>
        <v>1.7041703377386197</v>
      </c>
      <c r="AC1832" s="47">
        <v>89</v>
      </c>
      <c r="AD1832" s="57">
        <v>375.84</v>
      </c>
      <c r="AE1832" s="57">
        <v>393.63</v>
      </c>
      <c r="AF1832" s="57">
        <v>670.83</v>
      </c>
      <c r="AG1832" s="57">
        <f t="shared" si="45"/>
        <v>1.7042146177882784</v>
      </c>
      <c r="AH1832" s="47">
        <v>69</v>
      </c>
      <c r="AI1832">
        <v>403.55</v>
      </c>
      <c r="AJ1832">
        <v>405.32</v>
      </c>
      <c r="AK1832">
        <v>690.74</v>
      </c>
      <c r="AL1832" s="57">
        <f t="shared" si="19"/>
        <v>1.7041843481693477</v>
      </c>
      <c r="AM1832" s="47">
        <v>55</v>
      </c>
      <c r="AN1832" s="57">
        <v>416.71</v>
      </c>
      <c r="AO1832" s="57">
        <v>418.72</v>
      </c>
      <c r="AP1832" s="57">
        <v>713.57</v>
      </c>
      <c r="AQ1832" s="57">
        <f t="shared" si="46"/>
        <v>1.7041698509743981</v>
      </c>
      <c r="AR1832" s="59">
        <v>264</v>
      </c>
      <c r="AS1832" s="59">
        <f>SUMIFS(HIX_RatingAreas[Silver Enrollments 2018],HIX_RatingAreas[Area],HIX_SLCSP[[#This Row],[Area Code]])</f>
        <v>284</v>
      </c>
      <c r="AT1832" s="59">
        <f>SUMIFS(HIX_RatingAreas[Silver Enrollments 2019],HIX_RatingAreas[Area],HIX_SLCSP[[#This Row],[Area Code]])</f>
        <v>243</v>
      </c>
      <c r="AU1832" s="59">
        <f>SUMIFS(HIX_RatingAreas[Silver Enrollments 2020],HIX_RatingAreas[Area],HIX_SLCSP[[#This Row],[Area Code]])</f>
        <v>351</v>
      </c>
      <c r="AV1832" s="59">
        <f>SUMIFS(HIX_RatingAreas[Silver Enrollments 2021],HIX_RatingAreas[Area],HIX_SLCSP[[#This Row],[Area Code]])</f>
        <v>326</v>
      </c>
      <c r="AW1832" s="59">
        <f>SUMIFS(HIX_RatingAreas[Silver Enrollments 2022],HIX_RatingAreas[Area],HIX_SLCSP[[#This Row],[Area Code]])</f>
        <v>286</v>
      </c>
      <c r="AX1832" s="59">
        <f>SUMIFS(HIX_RatingAreas[Silver Enrollments 2023],HIX_RatingAreas[Area],HIX_SLCSP[[#This Row],[Area Code]])</f>
        <v>373</v>
      </c>
      <c r="AY1832" s="59">
        <f>SUMIFS(HIX_RatingAreas[Silver Enrollments 2024],HIX_RatingAreas[Area],HIX_SLCSP[[#This Row],[Area Code]])</f>
        <v>505</v>
      </c>
      <c r="AZ1832" s="59">
        <v>320</v>
      </c>
      <c r="BA1832">
        <f t="shared" si="35"/>
        <v>1.8361194533413357E-4</v>
      </c>
      <c r="BB1832">
        <f>SUMIFS(HIX_RatingAreas[QHP Enrollments 2018],HIX_RatingAreas[Area],HIX_SLCSP[[#This Row],[Area Code]])</f>
        <v>363</v>
      </c>
      <c r="BC1832">
        <f t="shared" si="36"/>
        <v>2.1163391879554065E-4</v>
      </c>
      <c r="BD1832">
        <f>SUMIFS(HIX_RatingAreas[QHP Enrollments 2019],HIX_RatingAreas[Area],HIX_SLCSP[[#This Row],[Area Code]])</f>
        <v>349</v>
      </c>
      <c r="BE1832">
        <f t="shared" si="37"/>
        <v>1.9570415363841497E-4</v>
      </c>
      <c r="BF1832">
        <f>SUMIFS(HIX_RatingAreas[QHP Enrollments 2020],HIX_RatingAreas[Area],HIX_SLCSP[[#This Row],[Area Code]])</f>
        <v>480</v>
      </c>
      <c r="BG1832">
        <f t="shared" si="38"/>
        <v>2.5078697475149883E-4</v>
      </c>
      <c r="BH1832">
        <f>SUMIFS(HIX_RatingAreas[QHP Enrollments 2021],HIX_RatingAreas[Area],HIX_SLCSP[[#This Row],[Area Code]])</f>
        <v>563</v>
      </c>
      <c r="BI1832">
        <f t="shared" si="39"/>
        <v>2.6552220152333342E-4</v>
      </c>
      <c r="BJ1832">
        <f>SUMIFS(HIX_RatingAreas[QHP Enrollments 2022],HIX_RatingAreas[Area],HIX_SLCSP[[#This Row],[Area Code]])</f>
        <v>594</v>
      </c>
      <c r="BK1832">
        <f t="shared" si="49"/>
        <v>2.1813422525994328E-4</v>
      </c>
      <c r="BL1832">
        <f>SUMIFS(HIX_RatingAreas[QHP Enrollments 2023],HIX_RatingAreas[Area],HIX_SLCSP[[#This Row],[Area Code]])</f>
        <v>708</v>
      </c>
      <c r="BM1832">
        <f t="shared" si="47"/>
        <v>2.1950527603253515E-4</v>
      </c>
      <c r="BN1832">
        <f>SUMIFS(HIX_RatingAreas[QHP Enrollments 2024],HIX_RatingAreas[Area],HIX_SLCSP[[#This Row],[Area Code]])</f>
        <v>957</v>
      </c>
      <c r="BO1832">
        <f t="shared" si="48"/>
        <v>2.2721326374640247E-4</v>
      </c>
      <c r="BP1832" s="53">
        <f>ROUND(HIX_SLCSP[[#This Row],[Weighting Factor 2018]]*HIX_SLCSP[[#This Row],[2018]],2)</f>
        <v>0.13</v>
      </c>
      <c r="BQ1832" s="53">
        <f>ROUND(HIX_SLCSP[[#This Row],[Weighting Factor 2019]]*HIX_SLCSP[[#This Row],[2019]],2)</f>
        <v>0.12</v>
      </c>
      <c r="BR1832" s="53">
        <f>ROUND(HIX_SLCSP[[#This Row],[Weighting Factor 2020]]*HIX_SLCSP[[#This Row],[2020]],2)</f>
        <v>0.14000000000000001</v>
      </c>
      <c r="BS1832" s="53">
        <f>ROUND(HIX_SLCSP[[#This Row],[Weighting Factor 2021]]*HIX_SLCSP[[#This Row],[2021]],2)</f>
        <v>0.09</v>
      </c>
      <c r="BT1832" s="53">
        <f>ROUND(HIX_SLCSP[[#This Row],[Weighting Factor 2022]]*HIX_SLCSP[[#This Row],[2022]],2)</f>
        <v>0.09</v>
      </c>
      <c r="BU1832" s="53">
        <f>ROUND(HIX_SLCSP[[#This Row],[Weighting Factor 2023]]*HIX_SLCSP[[#This Row],[2023]],2)</f>
        <v>0.09</v>
      </c>
      <c r="BV1832" s="53">
        <f>ROUND(HIX_SLCSP[[#This Row],[Weighting Factor 2024]]*HIX_SLCSP[[#This Row],[2024]],2)</f>
        <v>0.1</v>
      </c>
    </row>
    <row r="1833" spans="4:74" x14ac:dyDescent="0.35">
      <c r="D1833" t="s">
        <v>539</v>
      </c>
      <c r="E1833" t="s">
        <v>652</v>
      </c>
      <c r="F1833" s="23">
        <v>34</v>
      </c>
      <c r="G1833" s="23" t="s">
        <v>540</v>
      </c>
      <c r="H1833" s="23" t="s">
        <v>653</v>
      </c>
      <c r="I1833" s="23">
        <v>128</v>
      </c>
      <c r="J1833" s="53">
        <v>292.72000000000003</v>
      </c>
      <c r="K1833" s="53">
        <v>368.21</v>
      </c>
      <c r="L1833" s="53">
        <v>627.51</v>
      </c>
      <c r="M1833" s="54">
        <f t="shared" si="41"/>
        <v>1.7042177018549198</v>
      </c>
      <c r="N1833" s="24">
        <v>109</v>
      </c>
      <c r="O1833" s="55">
        <v>286.29000000000002</v>
      </c>
      <c r="P1833" s="56">
        <v>359.32</v>
      </c>
      <c r="Q1833" s="56">
        <v>612.35</v>
      </c>
      <c r="R1833" s="57">
        <f t="shared" si="42"/>
        <v>1.7041912501391518</v>
      </c>
      <c r="S1833" s="23">
        <v>128</v>
      </c>
      <c r="T1833" s="53">
        <v>292.94</v>
      </c>
      <c r="U1833" s="53">
        <v>298.49</v>
      </c>
      <c r="V1833" s="53">
        <v>508.68</v>
      </c>
      <c r="W1833" s="57">
        <f t="shared" si="43"/>
        <v>1.7041776943951221</v>
      </c>
      <c r="X1833" s="47">
        <v>253</v>
      </c>
      <c r="Y1833" s="58">
        <v>309.83</v>
      </c>
      <c r="Z1833" s="58">
        <v>308.85000000000002</v>
      </c>
      <c r="AA1833" s="58">
        <v>526.33000000000004</v>
      </c>
      <c r="AB1833" s="57">
        <f t="shared" si="44"/>
        <v>1.7041605957584589</v>
      </c>
      <c r="AC1833" s="47">
        <v>346</v>
      </c>
      <c r="AD1833" s="57">
        <v>284.41000000000003</v>
      </c>
      <c r="AE1833" s="57">
        <v>288.73</v>
      </c>
      <c r="AF1833" s="57">
        <v>492.06</v>
      </c>
      <c r="AG1833" s="57">
        <f t="shared" si="45"/>
        <v>1.704221937450213</v>
      </c>
      <c r="AH1833" s="47">
        <v>320</v>
      </c>
      <c r="AI1833">
        <v>293.02999999999997</v>
      </c>
      <c r="AJ1833">
        <v>303.8</v>
      </c>
      <c r="AK1833">
        <v>517.73</v>
      </c>
      <c r="AL1833" s="57">
        <f t="shared" si="19"/>
        <v>1.7041803818301513</v>
      </c>
      <c r="AM1833" s="47">
        <v>255</v>
      </c>
      <c r="AN1833" s="57">
        <v>317.76</v>
      </c>
      <c r="AO1833" s="57">
        <v>319.02999999999997</v>
      </c>
      <c r="AP1833" s="57">
        <v>543.69000000000005</v>
      </c>
      <c r="AQ1833" s="57">
        <f t="shared" si="46"/>
        <v>1.7041970974516507</v>
      </c>
      <c r="AR1833" s="59">
        <v>17560</v>
      </c>
      <c r="AS1833" s="59">
        <f>SUMIFS(HIX_RatingAreas[Silver Enrollments 2018],HIX_RatingAreas[Area],HIX_SLCSP[[#This Row],[Area Code]])</f>
        <v>14172</v>
      </c>
      <c r="AT1833" s="59">
        <f>SUMIFS(HIX_RatingAreas[Silver Enrollments 2019],HIX_RatingAreas[Area],HIX_SLCSP[[#This Row],[Area Code]])</f>
        <v>14575</v>
      </c>
      <c r="AU1833" s="59">
        <f>SUMIFS(HIX_RatingAreas[Silver Enrollments 2020],HIX_RatingAreas[Area],HIX_SLCSP[[#This Row],[Area Code]])</f>
        <v>15670</v>
      </c>
      <c r="AV1833" s="59">
        <f>SUMIFS(HIX_RatingAreas[Silver Enrollments 2021],HIX_RatingAreas[Area],HIX_SLCSP[[#This Row],[Area Code]])</f>
        <v>16950</v>
      </c>
      <c r="AW1833" s="59">
        <f>SUMIFS(HIX_RatingAreas[Silver Enrollments 2022],HIX_RatingAreas[Area],HIX_SLCSP[[#This Row],[Area Code]])</f>
        <v>21595</v>
      </c>
      <c r="AX1833" s="59">
        <f>SUMIFS(HIX_RatingAreas[Silver Enrollments 2023],HIX_RatingAreas[Area],HIX_SLCSP[[#This Row],[Area Code]])</f>
        <v>23386</v>
      </c>
      <c r="AY1833" s="59">
        <f>SUMIFS(HIX_RatingAreas[Silver Enrollments 2024],HIX_RatingAreas[Area],HIX_SLCSP[[#This Row],[Area Code]])</f>
        <v>34098</v>
      </c>
      <c r="AZ1833" s="59">
        <v>22323</v>
      </c>
      <c r="BA1833">
        <f t="shared" si="35"/>
        <v>1.2808654549043324E-2</v>
      </c>
      <c r="BB1833">
        <f>SUMIFS(HIX_RatingAreas[QHP Enrollments 2018],HIX_RatingAreas[Area],HIX_SLCSP[[#This Row],[Area Code]])</f>
        <v>22311</v>
      </c>
      <c r="BC1833">
        <f t="shared" si="36"/>
        <v>1.3007615322995337E-2</v>
      </c>
      <c r="BD1833">
        <f>SUMIFS(HIX_RatingAreas[QHP Enrollments 2019],HIX_RatingAreas[Area],HIX_SLCSP[[#This Row],[Area Code]])</f>
        <v>23469</v>
      </c>
      <c r="BE1833">
        <f t="shared" si="37"/>
        <v>1.3160403386074387E-2</v>
      </c>
      <c r="BF1833">
        <f>SUMIFS(HIX_RatingAreas[QHP Enrollments 2020],HIX_RatingAreas[Area],HIX_SLCSP[[#This Row],[Area Code]])</f>
        <v>25384</v>
      </c>
      <c r="BG1833">
        <f t="shared" si="38"/>
        <v>1.3262451181441764E-2</v>
      </c>
      <c r="BH1833">
        <f>SUMIFS(HIX_RatingAreas[QHP Enrollments 2021],HIX_RatingAreas[Area],HIX_SLCSP[[#This Row],[Area Code]])</f>
        <v>27970</v>
      </c>
      <c r="BI1833">
        <f t="shared" si="39"/>
        <v>1.3191218430919424E-2</v>
      </c>
      <c r="BJ1833">
        <f>SUMIFS(HIX_RatingAreas[QHP Enrollments 2022],HIX_RatingAreas[Area],HIX_SLCSP[[#This Row],[Area Code]])</f>
        <v>37844</v>
      </c>
      <c r="BK1833">
        <f t="shared" si="49"/>
        <v>1.3897426970938204E-2</v>
      </c>
      <c r="BL1833">
        <f>SUMIFS(HIX_RatingAreas[QHP Enrollments 2023],HIX_RatingAreas[Area],HIX_SLCSP[[#This Row],[Area Code]])</f>
        <v>43882</v>
      </c>
      <c r="BM1833">
        <f t="shared" si="47"/>
        <v>1.3604986614208626E-2</v>
      </c>
      <c r="BN1833">
        <f>SUMIFS(HIX_RatingAreas[QHP Enrollments 2024],HIX_RatingAreas[Area],HIX_SLCSP[[#This Row],[Area Code]])</f>
        <v>57829</v>
      </c>
      <c r="BO1833">
        <f t="shared" si="48"/>
        <v>1.3729901597900426E-2</v>
      </c>
      <c r="BP1833" s="53">
        <f>ROUND(HIX_SLCSP[[#This Row],[Weighting Factor 2018]]*HIX_SLCSP[[#This Row],[2018]],2)</f>
        <v>4.79</v>
      </c>
      <c r="BQ1833" s="53">
        <f>ROUND(HIX_SLCSP[[#This Row],[Weighting Factor 2019]]*HIX_SLCSP[[#This Row],[2019]],2)</f>
        <v>4.7300000000000004</v>
      </c>
      <c r="BR1833" s="53">
        <f>ROUND(HIX_SLCSP[[#This Row],[Weighting Factor 2020]]*HIX_SLCSP[[#This Row],[2020]],2)</f>
        <v>3.96</v>
      </c>
      <c r="BS1833" s="53">
        <f>ROUND(HIX_SLCSP[[#This Row],[Weighting Factor 2021]]*HIX_SLCSP[[#This Row],[2021]],2)</f>
        <v>4.07</v>
      </c>
      <c r="BT1833" s="53">
        <f>ROUND(HIX_SLCSP[[#This Row],[Weighting Factor 2022]]*HIX_SLCSP[[#This Row],[2022]],2)</f>
        <v>4.01</v>
      </c>
      <c r="BU1833" s="53">
        <f>ROUND(HIX_SLCSP[[#This Row],[Weighting Factor 2023]]*HIX_SLCSP[[#This Row],[2023]],2)</f>
        <v>4.13</v>
      </c>
      <c r="BV1833" s="53">
        <f>ROUND(HIX_SLCSP[[#This Row],[Weighting Factor 2024]]*HIX_SLCSP[[#This Row],[2024]],2)</f>
        <v>4.38</v>
      </c>
    </row>
    <row r="1834" spans="4:74" x14ac:dyDescent="0.35">
      <c r="D1834" t="s">
        <v>539</v>
      </c>
      <c r="E1834" t="s">
        <v>656</v>
      </c>
      <c r="F1834" s="23">
        <v>35</v>
      </c>
      <c r="G1834" s="23" t="s">
        <v>540</v>
      </c>
      <c r="H1834" s="23" t="s">
        <v>657</v>
      </c>
      <c r="I1834" s="23">
        <v>37</v>
      </c>
      <c r="J1834" s="53">
        <v>397.53</v>
      </c>
      <c r="K1834" s="53">
        <v>550.02</v>
      </c>
      <c r="L1834" s="53">
        <v>916.34</v>
      </c>
      <c r="M1834" s="54">
        <f t="shared" si="41"/>
        <v>1.6660121450129088</v>
      </c>
      <c r="N1834" s="24">
        <v>32</v>
      </c>
      <c r="O1834" s="55">
        <v>486.96</v>
      </c>
      <c r="P1834" s="56">
        <v>550.67999999999995</v>
      </c>
      <c r="Q1834" s="56">
        <v>938.47</v>
      </c>
      <c r="R1834" s="57">
        <f t="shared" si="42"/>
        <v>1.7042020774315394</v>
      </c>
      <c r="S1834" s="23">
        <v>37</v>
      </c>
      <c r="T1834" s="53">
        <v>404.79</v>
      </c>
      <c r="U1834" s="53">
        <v>426.61</v>
      </c>
      <c r="V1834" s="53">
        <v>727.03</v>
      </c>
      <c r="W1834" s="57">
        <f t="shared" si="43"/>
        <v>1.7042029019479148</v>
      </c>
      <c r="X1834" s="47">
        <v>149</v>
      </c>
      <c r="Y1834" s="58">
        <v>343.94</v>
      </c>
      <c r="Z1834" s="58">
        <v>353.48</v>
      </c>
      <c r="AA1834" s="58">
        <v>602.4</v>
      </c>
      <c r="AB1834" s="57">
        <f t="shared" si="44"/>
        <v>1.704198257327147</v>
      </c>
      <c r="AC1834" s="47">
        <v>129</v>
      </c>
      <c r="AD1834" s="57">
        <v>343.74</v>
      </c>
      <c r="AE1834" s="57">
        <v>360.01</v>
      </c>
      <c r="AF1834" s="57">
        <v>613.52</v>
      </c>
      <c r="AG1834" s="57">
        <f t="shared" si="45"/>
        <v>1.7041748840309991</v>
      </c>
      <c r="AH1834" s="47">
        <v>176</v>
      </c>
      <c r="AI1834">
        <v>389.42</v>
      </c>
      <c r="AJ1834">
        <v>391.31</v>
      </c>
      <c r="AK1834">
        <v>666.87</v>
      </c>
      <c r="AL1834" s="57">
        <f t="shared" si="19"/>
        <v>1.7041987171296415</v>
      </c>
      <c r="AM1834" s="47">
        <v>167</v>
      </c>
      <c r="AN1834" s="57">
        <v>392.72</v>
      </c>
      <c r="AO1834" s="57">
        <v>394.61</v>
      </c>
      <c r="AP1834" s="57">
        <v>672.49</v>
      </c>
      <c r="AQ1834" s="57">
        <f t="shared" si="46"/>
        <v>1.7041889460479966</v>
      </c>
      <c r="AR1834" s="59">
        <v>39711</v>
      </c>
      <c r="AS1834" s="59">
        <f>SUMIFS(HIX_RatingAreas[Silver Enrollments 2018],HIX_RatingAreas[Area],HIX_SLCSP[[#This Row],[Area Code]])</f>
        <v>40818</v>
      </c>
      <c r="AT1834" s="59">
        <f>SUMIFS(HIX_RatingAreas[Silver Enrollments 2019],HIX_RatingAreas[Area],HIX_SLCSP[[#This Row],[Area Code]])</f>
        <v>43303</v>
      </c>
      <c r="AU1834" s="59">
        <f>SUMIFS(HIX_RatingAreas[Silver Enrollments 2020],HIX_RatingAreas[Area],HIX_SLCSP[[#This Row],[Area Code]])</f>
        <v>48476</v>
      </c>
      <c r="AV1834" s="59">
        <f>SUMIFS(HIX_RatingAreas[Silver Enrollments 2021],HIX_RatingAreas[Area],HIX_SLCSP[[#This Row],[Area Code]])</f>
        <v>52548</v>
      </c>
      <c r="AW1834" s="59">
        <f>SUMIFS(HIX_RatingAreas[Silver Enrollments 2022],HIX_RatingAreas[Area],HIX_SLCSP[[#This Row],[Area Code]])</f>
        <v>57770</v>
      </c>
      <c r="AX1834" s="59">
        <f>SUMIFS(HIX_RatingAreas[Silver Enrollments 2023],HIX_RatingAreas[Area],HIX_SLCSP[[#This Row],[Area Code]])</f>
        <v>60200</v>
      </c>
      <c r="AY1834" s="59">
        <f>SUMIFS(HIX_RatingAreas[Silver Enrollments 2024],HIX_RatingAreas[Area],HIX_SLCSP[[#This Row],[Area Code]])</f>
        <v>76342</v>
      </c>
      <c r="AZ1834" s="59">
        <v>49821</v>
      </c>
      <c r="BA1834">
        <f t="shared" si="35"/>
        <v>2.8586658526537089E-2</v>
      </c>
      <c r="BB1834">
        <f>SUMIFS(HIX_RatingAreas[QHP Enrollments 2018],HIX_RatingAreas[Area],HIX_SLCSP[[#This Row],[Area Code]])</f>
        <v>55750</v>
      </c>
      <c r="BC1834">
        <f t="shared" si="36"/>
        <v>3.2503005434852315E-2</v>
      </c>
      <c r="BD1834">
        <f>SUMIFS(HIX_RatingAreas[QHP Enrollments 2019],HIX_RatingAreas[Area],HIX_SLCSP[[#This Row],[Area Code]])</f>
        <v>61569</v>
      </c>
      <c r="BE1834">
        <f t="shared" si="37"/>
        <v>3.4525240789007372E-2</v>
      </c>
      <c r="BF1834">
        <f>SUMIFS(HIX_RatingAreas[QHP Enrollments 2020],HIX_RatingAreas[Area],HIX_SLCSP[[#This Row],[Area Code]])</f>
        <v>68271</v>
      </c>
      <c r="BG1834">
        <f t="shared" si="38"/>
        <v>3.5669744902624118E-2</v>
      </c>
      <c r="BH1834">
        <f>SUMIFS(HIX_RatingAreas[QHP Enrollments 2021],HIX_RatingAreas[Area],HIX_SLCSP[[#This Row],[Area Code]])</f>
        <v>76085</v>
      </c>
      <c r="BI1834">
        <f t="shared" si="39"/>
        <v>3.5883226825759895E-2</v>
      </c>
      <c r="BJ1834">
        <f>SUMIFS(HIX_RatingAreas[QHP Enrollments 2022],HIX_RatingAreas[Area],HIX_SLCSP[[#This Row],[Area Code]])</f>
        <v>90591</v>
      </c>
      <c r="BK1834">
        <f t="shared" si="49"/>
        <v>3.3267672728154077E-2</v>
      </c>
      <c r="BL1834">
        <f>SUMIFS(HIX_RatingAreas[QHP Enrollments 2023],HIX_RatingAreas[Area],HIX_SLCSP[[#This Row],[Area Code]])</f>
        <v>103348</v>
      </c>
      <c r="BM1834">
        <f t="shared" si="47"/>
        <v>3.2041569586737914E-2</v>
      </c>
      <c r="BN1834">
        <f>SUMIFS(HIX_RatingAreas[QHP Enrollments 2024],HIX_RatingAreas[Area],HIX_SLCSP[[#This Row],[Area Code]])</f>
        <v>127275</v>
      </c>
      <c r="BO1834">
        <f t="shared" si="48"/>
        <v>3.0217939543702582E-2</v>
      </c>
      <c r="BP1834" s="53">
        <f>ROUND(HIX_SLCSP[[#This Row],[Weighting Factor 2018]]*HIX_SLCSP[[#This Row],[2018]],2)</f>
        <v>17.88</v>
      </c>
      <c r="BQ1834" s="53">
        <f>ROUND(HIX_SLCSP[[#This Row],[Weighting Factor 2019]]*HIX_SLCSP[[#This Row],[2019]],2)</f>
        <v>19.010000000000002</v>
      </c>
      <c r="BR1834" s="53">
        <f>ROUND(HIX_SLCSP[[#This Row],[Weighting Factor 2020]]*HIX_SLCSP[[#This Row],[2020]],2)</f>
        <v>15.22</v>
      </c>
      <c r="BS1834" s="53">
        <f>ROUND(HIX_SLCSP[[#This Row],[Weighting Factor 2021]]*HIX_SLCSP[[#This Row],[2021]],2)</f>
        <v>12.68</v>
      </c>
      <c r="BT1834" s="53">
        <f>ROUND(HIX_SLCSP[[#This Row],[Weighting Factor 2022]]*HIX_SLCSP[[#This Row],[2022]],2)</f>
        <v>11.98</v>
      </c>
      <c r="BU1834" s="53">
        <f>ROUND(HIX_SLCSP[[#This Row],[Weighting Factor 2023]]*HIX_SLCSP[[#This Row],[2023]],2)</f>
        <v>12.54</v>
      </c>
      <c r="BV1834" s="53">
        <f>ROUND(HIX_SLCSP[[#This Row],[Weighting Factor 2024]]*HIX_SLCSP[[#This Row],[2024]],2)</f>
        <v>11.92</v>
      </c>
    </row>
    <row r="1835" spans="4:74" x14ac:dyDescent="0.35">
      <c r="D1835" t="s">
        <v>539</v>
      </c>
      <c r="E1835" t="s">
        <v>659</v>
      </c>
      <c r="F1835" s="23">
        <v>36</v>
      </c>
      <c r="G1835" s="23" t="s">
        <v>540</v>
      </c>
      <c r="H1835" s="23" t="s">
        <v>660</v>
      </c>
      <c r="I1835" s="23">
        <v>16</v>
      </c>
      <c r="J1835" s="53">
        <v>467.2</v>
      </c>
      <c r="K1835" s="53">
        <v>611.03</v>
      </c>
      <c r="L1835" s="53">
        <v>1041.31</v>
      </c>
      <c r="M1835" s="54">
        <f t="shared" si="41"/>
        <v>1.7041880104086542</v>
      </c>
      <c r="N1835" s="24">
        <v>16</v>
      </c>
      <c r="O1835" s="55">
        <v>543.19000000000005</v>
      </c>
      <c r="P1835" s="56">
        <v>587.16</v>
      </c>
      <c r="Q1835" s="56">
        <v>1000.64</v>
      </c>
      <c r="R1835" s="57">
        <f t="shared" si="42"/>
        <v>1.7042032836024252</v>
      </c>
      <c r="S1835" s="23">
        <v>16</v>
      </c>
      <c r="T1835" s="53">
        <v>520.25</v>
      </c>
      <c r="U1835" s="53">
        <v>561.19000000000005</v>
      </c>
      <c r="V1835" s="53">
        <v>956.39</v>
      </c>
      <c r="W1835" s="57">
        <f t="shared" si="43"/>
        <v>1.704217822840749</v>
      </c>
      <c r="X1835" s="47">
        <v>104</v>
      </c>
      <c r="Y1835" s="58">
        <v>282.18</v>
      </c>
      <c r="Z1835" s="58">
        <v>290.01</v>
      </c>
      <c r="AA1835" s="58">
        <v>494.24</v>
      </c>
      <c r="AB1835" s="57">
        <f t="shared" si="44"/>
        <v>1.7042170959622083</v>
      </c>
      <c r="AC1835" s="47">
        <v>194</v>
      </c>
      <c r="AD1835" s="57">
        <v>274.20999999999998</v>
      </c>
      <c r="AE1835" s="57">
        <v>287.19</v>
      </c>
      <c r="AF1835" s="57">
        <v>489.43</v>
      </c>
      <c r="AG1835" s="57">
        <f t="shared" si="45"/>
        <v>1.7042027925763432</v>
      </c>
      <c r="AH1835" s="47">
        <v>184</v>
      </c>
      <c r="AI1835">
        <v>292.16000000000003</v>
      </c>
      <c r="AJ1835">
        <v>293.43</v>
      </c>
      <c r="AK1835">
        <v>500.06</v>
      </c>
      <c r="AL1835" s="57">
        <f t="shared" si="19"/>
        <v>1.7041883924615751</v>
      </c>
      <c r="AM1835" s="47">
        <v>162</v>
      </c>
      <c r="AN1835" s="57">
        <v>278.58</v>
      </c>
      <c r="AO1835" s="57">
        <v>279.31</v>
      </c>
      <c r="AP1835" s="57">
        <v>476</v>
      </c>
      <c r="AQ1835" s="57">
        <f t="shared" si="46"/>
        <v>1.704199634814364</v>
      </c>
      <c r="AR1835" s="59">
        <v>9601</v>
      </c>
      <c r="AS1835" s="59">
        <f>SUMIFS(HIX_RatingAreas[Silver Enrollments 2018],HIX_RatingAreas[Area],HIX_SLCSP[[#This Row],[Area Code]])</f>
        <v>9576</v>
      </c>
      <c r="AT1835" s="59">
        <f>SUMIFS(HIX_RatingAreas[Silver Enrollments 2019],HIX_RatingAreas[Area],HIX_SLCSP[[#This Row],[Area Code]])</f>
        <v>10084</v>
      </c>
      <c r="AU1835" s="59">
        <f>SUMIFS(HIX_RatingAreas[Silver Enrollments 2020],HIX_RatingAreas[Area],HIX_SLCSP[[#This Row],[Area Code]])</f>
        <v>10870</v>
      </c>
      <c r="AV1835" s="59">
        <f>SUMIFS(HIX_RatingAreas[Silver Enrollments 2021],HIX_RatingAreas[Area],HIX_SLCSP[[#This Row],[Area Code]])</f>
        <v>9442</v>
      </c>
      <c r="AW1835" s="59">
        <f>SUMIFS(HIX_RatingAreas[Silver Enrollments 2022],HIX_RatingAreas[Area],HIX_SLCSP[[#This Row],[Area Code]])</f>
        <v>10105</v>
      </c>
      <c r="AX1835" s="59">
        <f>SUMIFS(HIX_RatingAreas[Silver Enrollments 2023],HIX_RatingAreas[Area],HIX_SLCSP[[#This Row],[Area Code]])</f>
        <v>9611</v>
      </c>
      <c r="AY1835" s="59">
        <f>SUMIFS(HIX_RatingAreas[Silver Enrollments 2024],HIX_RatingAreas[Area],HIX_SLCSP[[#This Row],[Area Code]])</f>
        <v>17255</v>
      </c>
      <c r="AZ1835" s="59">
        <v>12296</v>
      </c>
      <c r="BA1835">
        <f t="shared" si="35"/>
        <v>7.0552889994640825E-3</v>
      </c>
      <c r="BB1835">
        <f>SUMIFS(HIX_RatingAreas[QHP Enrollments 2018],HIX_RatingAreas[Area],HIX_SLCSP[[#This Row],[Area Code]])</f>
        <v>13388</v>
      </c>
      <c r="BC1835">
        <f t="shared" si="36"/>
        <v>7.8053854127677633E-3</v>
      </c>
      <c r="BD1835">
        <f>SUMIFS(HIX_RatingAreas[QHP Enrollments 2019],HIX_RatingAreas[Area],HIX_SLCSP[[#This Row],[Area Code]])</f>
        <v>14723</v>
      </c>
      <c r="BE1835">
        <f t="shared" si="37"/>
        <v>8.2560236504824747E-3</v>
      </c>
      <c r="BF1835">
        <f>SUMIFS(HIX_RatingAreas[QHP Enrollments 2020],HIX_RatingAreas[Area],HIX_SLCSP[[#This Row],[Area Code]])</f>
        <v>15849</v>
      </c>
      <c r="BG1835">
        <f t="shared" si="38"/>
        <v>8.2806724225760516E-3</v>
      </c>
      <c r="BH1835">
        <f>SUMIFS(HIX_RatingAreas[QHP Enrollments 2021],HIX_RatingAreas[Area],HIX_SLCSP[[#This Row],[Area Code]])</f>
        <v>18153</v>
      </c>
      <c r="BI1835">
        <f t="shared" si="39"/>
        <v>8.5613224231848514E-3</v>
      </c>
      <c r="BJ1835">
        <f>SUMIFS(HIX_RatingAreas[QHP Enrollments 2022],HIX_RatingAreas[Area],HIX_SLCSP[[#This Row],[Area Code]])</f>
        <v>20336</v>
      </c>
      <c r="BK1835">
        <f t="shared" si="49"/>
        <v>7.4679757658016946E-3</v>
      </c>
      <c r="BL1835">
        <f>SUMIFS(HIX_RatingAreas[QHP Enrollments 2023],HIX_RatingAreas[Area],HIX_SLCSP[[#This Row],[Area Code]])</f>
        <v>25079</v>
      </c>
      <c r="BM1835">
        <f t="shared" si="47"/>
        <v>7.7753853356213971E-3</v>
      </c>
      <c r="BN1835">
        <f>SUMIFS(HIX_RatingAreas[QHP Enrollments 2024],HIX_RatingAreas[Area],HIX_SLCSP[[#This Row],[Area Code]])</f>
        <v>36406</v>
      </c>
      <c r="BO1835">
        <f t="shared" si="48"/>
        <v>8.6436009194895795E-3</v>
      </c>
      <c r="BP1835" s="53">
        <f>ROUND(HIX_SLCSP[[#This Row],[Weighting Factor 2018]]*HIX_SLCSP[[#This Row],[2018]],2)</f>
        <v>4.7699999999999996</v>
      </c>
      <c r="BQ1835" s="53">
        <f>ROUND(HIX_SLCSP[[#This Row],[Weighting Factor 2019]]*HIX_SLCSP[[#This Row],[2019]],2)</f>
        <v>4.8499999999999996</v>
      </c>
      <c r="BR1835" s="53">
        <f>ROUND(HIX_SLCSP[[#This Row],[Weighting Factor 2020]]*HIX_SLCSP[[#This Row],[2020]],2)</f>
        <v>4.6500000000000004</v>
      </c>
      <c r="BS1835" s="53">
        <f>ROUND(HIX_SLCSP[[#This Row],[Weighting Factor 2021]]*HIX_SLCSP[[#This Row],[2021]],2)</f>
        <v>2.48</v>
      </c>
      <c r="BT1835" s="53">
        <f>ROUND(HIX_SLCSP[[#This Row],[Weighting Factor 2022]]*HIX_SLCSP[[#This Row],[2022]],2)</f>
        <v>2.14</v>
      </c>
      <c r="BU1835" s="53">
        <f>ROUND(HIX_SLCSP[[#This Row],[Weighting Factor 2023]]*HIX_SLCSP[[#This Row],[2023]],2)</f>
        <v>2.2799999999999998</v>
      </c>
      <c r="BV1835" s="53">
        <f>ROUND(HIX_SLCSP[[#This Row],[Weighting Factor 2024]]*HIX_SLCSP[[#This Row],[2024]],2)</f>
        <v>2.41</v>
      </c>
    </row>
    <row r="1836" spans="4:74" x14ac:dyDescent="0.35">
      <c r="D1836" t="s">
        <v>539</v>
      </c>
      <c r="E1836" t="s">
        <v>663</v>
      </c>
      <c r="F1836" s="23">
        <v>37</v>
      </c>
      <c r="G1836" s="23" t="s">
        <v>540</v>
      </c>
      <c r="H1836" s="23" t="s">
        <v>664</v>
      </c>
      <c r="I1836" s="23">
        <v>36</v>
      </c>
      <c r="J1836" s="53">
        <v>338.75</v>
      </c>
      <c r="K1836" s="53">
        <v>476.63</v>
      </c>
      <c r="L1836" s="53">
        <v>812.27</v>
      </c>
      <c r="M1836" s="54">
        <f t="shared" si="41"/>
        <v>1.7041940289113149</v>
      </c>
      <c r="N1836" s="24">
        <v>32</v>
      </c>
      <c r="O1836" s="55">
        <v>431.16</v>
      </c>
      <c r="P1836" s="56">
        <v>487.57</v>
      </c>
      <c r="Q1836" s="56">
        <v>830.92</v>
      </c>
      <c r="R1836" s="57">
        <f t="shared" si="42"/>
        <v>1.7042065754660869</v>
      </c>
      <c r="S1836" s="23">
        <v>36</v>
      </c>
      <c r="T1836" s="53">
        <v>367.62</v>
      </c>
      <c r="U1836" s="53">
        <v>387.42</v>
      </c>
      <c r="V1836" s="53">
        <v>660.25</v>
      </c>
      <c r="W1836" s="57">
        <f t="shared" si="43"/>
        <v>1.7042228072892467</v>
      </c>
      <c r="X1836" s="47">
        <v>118</v>
      </c>
      <c r="Y1836" s="58">
        <v>323.68</v>
      </c>
      <c r="Z1836" s="58">
        <v>332.67</v>
      </c>
      <c r="AA1836" s="58">
        <v>566.92999999999995</v>
      </c>
      <c r="AB1836" s="57">
        <f t="shared" si="44"/>
        <v>1.7041813208284484</v>
      </c>
      <c r="AC1836" s="47">
        <v>137</v>
      </c>
      <c r="AD1836" s="57">
        <v>334.09</v>
      </c>
      <c r="AE1836" s="57">
        <v>349.9</v>
      </c>
      <c r="AF1836" s="57">
        <v>596.29999999999995</v>
      </c>
      <c r="AG1836" s="57">
        <f t="shared" si="45"/>
        <v>1.7042012003429552</v>
      </c>
      <c r="AH1836" s="47">
        <v>116</v>
      </c>
      <c r="AI1836">
        <v>371.42</v>
      </c>
      <c r="AJ1836">
        <v>373.22</v>
      </c>
      <c r="AK1836">
        <v>636.04</v>
      </c>
      <c r="AL1836" s="57">
        <f t="shared" si="19"/>
        <v>1.7041959166175444</v>
      </c>
      <c r="AM1836" s="47">
        <v>86</v>
      </c>
      <c r="AN1836" s="57">
        <v>346.79</v>
      </c>
      <c r="AO1836" s="57">
        <v>348.46</v>
      </c>
      <c r="AP1836" s="57">
        <v>593.84</v>
      </c>
      <c r="AQ1836" s="57">
        <f t="shared" si="46"/>
        <v>1.7041841244332205</v>
      </c>
      <c r="AR1836" s="59">
        <v>1902</v>
      </c>
      <c r="AS1836" s="59">
        <f>SUMIFS(HIX_RatingAreas[Silver Enrollments 2018],HIX_RatingAreas[Area],HIX_SLCSP[[#This Row],[Area Code]])</f>
        <v>2058</v>
      </c>
      <c r="AT1836" s="59">
        <f>SUMIFS(HIX_RatingAreas[Silver Enrollments 2019],HIX_RatingAreas[Area],HIX_SLCSP[[#This Row],[Area Code]])</f>
        <v>1890</v>
      </c>
      <c r="AU1836" s="59">
        <f>SUMIFS(HIX_RatingAreas[Silver Enrollments 2020],HIX_RatingAreas[Area],HIX_SLCSP[[#This Row],[Area Code]])</f>
        <v>2056</v>
      </c>
      <c r="AV1836" s="59">
        <f>SUMIFS(HIX_RatingAreas[Silver Enrollments 2021],HIX_RatingAreas[Area],HIX_SLCSP[[#This Row],[Area Code]])</f>
        <v>1753</v>
      </c>
      <c r="AW1836" s="59">
        <f>SUMIFS(HIX_RatingAreas[Silver Enrollments 2022],HIX_RatingAreas[Area],HIX_SLCSP[[#This Row],[Area Code]])</f>
        <v>1810</v>
      </c>
      <c r="AX1836" s="59">
        <f>SUMIFS(HIX_RatingAreas[Silver Enrollments 2023],HIX_RatingAreas[Area],HIX_SLCSP[[#This Row],[Area Code]])</f>
        <v>1916</v>
      </c>
      <c r="AY1836" s="59">
        <f>SUMIFS(HIX_RatingAreas[Silver Enrollments 2024],HIX_RatingAreas[Area],HIX_SLCSP[[#This Row],[Area Code]])</f>
        <v>2898</v>
      </c>
      <c r="AZ1836" s="59">
        <v>2353</v>
      </c>
      <c r="BA1836">
        <f t="shared" si="35"/>
        <v>1.3501215855350509E-3</v>
      </c>
      <c r="BB1836">
        <f>SUMIFS(HIX_RatingAreas[QHP Enrollments 2018],HIX_RatingAreas[Area],HIX_SLCSP[[#This Row],[Area Code]])</f>
        <v>2666</v>
      </c>
      <c r="BC1836">
        <f t="shared" si="36"/>
        <v>1.5543141253689019E-3</v>
      </c>
      <c r="BD1836">
        <f>SUMIFS(HIX_RatingAreas[QHP Enrollments 2019],HIX_RatingAreas[Area],HIX_SLCSP[[#This Row],[Area Code]])</f>
        <v>2606</v>
      </c>
      <c r="BE1836">
        <f t="shared" si="37"/>
        <v>1.4613324480851275E-3</v>
      </c>
      <c r="BF1836">
        <f>SUMIFS(HIX_RatingAreas[QHP Enrollments 2020],HIX_RatingAreas[Area],HIX_SLCSP[[#This Row],[Area Code]])</f>
        <v>2922</v>
      </c>
      <c r="BG1836">
        <f t="shared" si="38"/>
        <v>1.5266657087997491E-3</v>
      </c>
      <c r="BH1836">
        <f>SUMIFS(HIX_RatingAreas[QHP Enrollments 2021],HIX_RatingAreas[Area],HIX_SLCSP[[#This Row],[Area Code]])</f>
        <v>2970</v>
      </c>
      <c r="BI1836">
        <f t="shared" si="39"/>
        <v>1.4007121465795741E-3</v>
      </c>
      <c r="BJ1836">
        <f>SUMIFS(HIX_RatingAreas[QHP Enrollments 2022],HIX_RatingAreas[Area],HIX_SLCSP[[#This Row],[Area Code]])</f>
        <v>3367</v>
      </c>
      <c r="BK1836">
        <f t="shared" si="49"/>
        <v>1.236461172475133E-3</v>
      </c>
      <c r="BL1836">
        <f>SUMIFS(HIX_RatingAreas[QHP Enrollments 2023],HIX_RatingAreas[Area],HIX_SLCSP[[#This Row],[Area Code]])</f>
        <v>3838</v>
      </c>
      <c r="BM1836">
        <f t="shared" si="47"/>
        <v>1.1899170189447314E-3</v>
      </c>
      <c r="BN1836">
        <f>SUMIFS(HIX_RatingAreas[QHP Enrollments 2024],HIX_RatingAreas[Area],HIX_SLCSP[[#This Row],[Area Code]])</f>
        <v>5219</v>
      </c>
      <c r="BO1836">
        <f t="shared" si="48"/>
        <v>1.2391076525522199E-3</v>
      </c>
      <c r="BP1836" s="53">
        <f>ROUND(HIX_SLCSP[[#This Row],[Weighting Factor 2018]]*HIX_SLCSP[[#This Row],[2018]],2)</f>
        <v>0.74</v>
      </c>
      <c r="BQ1836" s="53">
        <f>ROUND(HIX_SLCSP[[#This Row],[Weighting Factor 2019]]*HIX_SLCSP[[#This Row],[2019]],2)</f>
        <v>0.71</v>
      </c>
      <c r="BR1836" s="53">
        <f>ROUND(HIX_SLCSP[[#This Row],[Weighting Factor 2020]]*HIX_SLCSP[[#This Row],[2020]],2)</f>
        <v>0.59</v>
      </c>
      <c r="BS1836" s="53">
        <f>ROUND(HIX_SLCSP[[#This Row],[Weighting Factor 2021]]*HIX_SLCSP[[#This Row],[2021]],2)</f>
        <v>0.47</v>
      </c>
      <c r="BT1836" s="53">
        <f>ROUND(HIX_SLCSP[[#This Row],[Weighting Factor 2022]]*HIX_SLCSP[[#This Row],[2022]],2)</f>
        <v>0.43</v>
      </c>
      <c r="BU1836" s="53">
        <f>ROUND(HIX_SLCSP[[#This Row],[Weighting Factor 2023]]*HIX_SLCSP[[#This Row],[2023]],2)</f>
        <v>0.44</v>
      </c>
      <c r="BV1836" s="53">
        <f>ROUND(HIX_SLCSP[[#This Row],[Weighting Factor 2024]]*HIX_SLCSP[[#This Row],[2024]],2)</f>
        <v>0.43</v>
      </c>
    </row>
    <row r="1837" spans="4:74" x14ac:dyDescent="0.35">
      <c r="D1837" t="s">
        <v>539</v>
      </c>
      <c r="E1837" t="s">
        <v>667</v>
      </c>
      <c r="F1837" s="23">
        <v>38</v>
      </c>
      <c r="G1837" s="23" t="s">
        <v>540</v>
      </c>
      <c r="H1837" s="23" t="s">
        <v>668</v>
      </c>
      <c r="I1837" s="23">
        <v>16</v>
      </c>
      <c r="J1837" s="53">
        <v>487.03</v>
      </c>
      <c r="K1837" s="53">
        <v>636.96</v>
      </c>
      <c r="L1837" s="53">
        <v>1085.51</v>
      </c>
      <c r="M1837" s="54">
        <f t="shared" si="41"/>
        <v>1.7042043456417983</v>
      </c>
      <c r="N1837" s="24">
        <v>16</v>
      </c>
      <c r="O1837" s="55">
        <v>561.12</v>
      </c>
      <c r="P1837" s="56">
        <v>606.53</v>
      </c>
      <c r="Q1837" s="56">
        <v>1033.6500000000001</v>
      </c>
      <c r="R1837" s="57">
        <f t="shared" si="42"/>
        <v>1.704202595090103</v>
      </c>
      <c r="S1837" s="23">
        <v>16</v>
      </c>
      <c r="T1837" s="53">
        <v>540.67999999999995</v>
      </c>
      <c r="U1837" s="53">
        <v>583.22</v>
      </c>
      <c r="V1837" s="53">
        <v>993.93</v>
      </c>
      <c r="W1837" s="57">
        <f t="shared" si="43"/>
        <v>1.7042111038716092</v>
      </c>
      <c r="X1837" s="47">
        <v>101</v>
      </c>
      <c r="Y1837" s="58">
        <v>349.06</v>
      </c>
      <c r="Z1837" s="58">
        <v>358.75</v>
      </c>
      <c r="AA1837" s="58">
        <v>611.38</v>
      </c>
      <c r="AB1837" s="57">
        <f t="shared" si="44"/>
        <v>1.7041951219512195</v>
      </c>
      <c r="AC1837" s="47">
        <v>97</v>
      </c>
      <c r="AD1837" s="57">
        <v>340.73</v>
      </c>
      <c r="AE1837" s="57">
        <v>356.86</v>
      </c>
      <c r="AF1837" s="57">
        <v>608.16</v>
      </c>
      <c r="AG1837" s="57">
        <f t="shared" si="45"/>
        <v>1.7041977245978814</v>
      </c>
      <c r="AH1837" s="47">
        <v>108</v>
      </c>
      <c r="AI1837">
        <v>330.2</v>
      </c>
      <c r="AJ1837">
        <v>331.8</v>
      </c>
      <c r="AK1837">
        <v>565.45000000000005</v>
      </c>
      <c r="AL1837" s="57">
        <f t="shared" si="19"/>
        <v>1.7041892706449668</v>
      </c>
      <c r="AM1837" s="47">
        <v>107</v>
      </c>
      <c r="AN1837" s="57">
        <v>307.10000000000002</v>
      </c>
      <c r="AO1837" s="57">
        <v>308.58</v>
      </c>
      <c r="AP1837" s="57">
        <v>525.88</v>
      </c>
      <c r="AQ1837" s="57">
        <f t="shared" si="46"/>
        <v>1.7041934020351288</v>
      </c>
      <c r="AR1837" s="59">
        <v>165</v>
      </c>
      <c r="AS1837" s="59">
        <f>SUMIFS(HIX_RatingAreas[Silver Enrollments 2018],HIX_RatingAreas[Area],HIX_SLCSP[[#This Row],[Area Code]])</f>
        <v>177</v>
      </c>
      <c r="AT1837" s="59">
        <f>SUMIFS(HIX_RatingAreas[Silver Enrollments 2019],HIX_RatingAreas[Area],HIX_SLCSP[[#This Row],[Area Code]])</f>
        <v>187</v>
      </c>
      <c r="AU1837" s="59">
        <f>SUMIFS(HIX_RatingAreas[Silver Enrollments 2020],HIX_RatingAreas[Area],HIX_SLCSP[[#This Row],[Area Code]])</f>
        <v>206</v>
      </c>
      <c r="AV1837" s="59">
        <f>SUMIFS(HIX_RatingAreas[Silver Enrollments 2021],HIX_RatingAreas[Area],HIX_SLCSP[[#This Row],[Area Code]])</f>
        <v>147</v>
      </c>
      <c r="AW1837" s="59">
        <f>SUMIFS(HIX_RatingAreas[Silver Enrollments 2022],HIX_RatingAreas[Area],HIX_SLCSP[[#This Row],[Area Code]])</f>
        <v>130</v>
      </c>
      <c r="AX1837" s="59">
        <f>SUMIFS(HIX_RatingAreas[Silver Enrollments 2023],HIX_RatingAreas[Area],HIX_SLCSP[[#This Row],[Area Code]])</f>
        <v>172</v>
      </c>
      <c r="AY1837" s="59">
        <f>SUMIFS(HIX_RatingAreas[Silver Enrollments 2024],HIX_RatingAreas[Area],HIX_SLCSP[[#This Row],[Area Code]])</f>
        <v>339</v>
      </c>
      <c r="AZ1837" s="59">
        <v>195</v>
      </c>
      <c r="BA1837">
        <f t="shared" si="35"/>
        <v>1.1188852918798764E-4</v>
      </c>
      <c r="BB1837">
        <f>SUMIFS(HIX_RatingAreas[QHP Enrollments 2018],HIX_RatingAreas[Area],HIX_SLCSP[[#This Row],[Area Code]])</f>
        <v>230</v>
      </c>
      <c r="BC1837">
        <f t="shared" si="36"/>
        <v>1.3409311659221584E-4</v>
      </c>
      <c r="BD1837">
        <f>SUMIFS(HIX_RatingAreas[QHP Enrollments 2019],HIX_RatingAreas[Area],HIX_SLCSP[[#This Row],[Area Code]])</f>
        <v>256</v>
      </c>
      <c r="BE1837">
        <f t="shared" si="37"/>
        <v>1.4355376312731873E-4</v>
      </c>
      <c r="BF1837">
        <f>SUMIFS(HIX_RatingAreas[QHP Enrollments 2020],HIX_RatingAreas[Area],HIX_SLCSP[[#This Row],[Area Code]])</f>
        <v>299</v>
      </c>
      <c r="BG1837">
        <f t="shared" si="38"/>
        <v>1.5621938635562116E-4</v>
      </c>
      <c r="BH1837">
        <f>SUMIFS(HIX_RatingAreas[QHP Enrollments 2021],HIX_RatingAreas[Area],HIX_SLCSP[[#This Row],[Area Code]])</f>
        <v>308</v>
      </c>
      <c r="BI1837">
        <f t="shared" si="39"/>
        <v>1.4525903742306694E-4</v>
      </c>
      <c r="BJ1837">
        <f>SUMIFS(HIX_RatingAreas[QHP Enrollments 2022],HIX_RatingAreas[Area],HIX_SLCSP[[#This Row],[Area Code]])</f>
        <v>367</v>
      </c>
      <c r="BK1837">
        <f t="shared" si="49"/>
        <v>1.3477316611178313E-4</v>
      </c>
      <c r="BL1837">
        <f>SUMIFS(HIX_RatingAreas[QHP Enrollments 2023],HIX_RatingAreas[Area],HIX_SLCSP[[#This Row],[Area Code]])</f>
        <v>470</v>
      </c>
      <c r="BM1837">
        <f t="shared" si="47"/>
        <v>1.457167792871349E-4</v>
      </c>
      <c r="BN1837">
        <f>SUMIFS(HIX_RatingAreas[QHP Enrollments 2024],HIX_RatingAreas[Area],HIX_SLCSP[[#This Row],[Area Code]])</f>
        <v>657</v>
      </c>
      <c r="BO1837">
        <f t="shared" si="48"/>
        <v>1.5598653529925435E-4</v>
      </c>
      <c r="BP1837" s="53">
        <f>ROUND(HIX_SLCSP[[#This Row],[Weighting Factor 2018]]*HIX_SLCSP[[#This Row],[2018]],2)</f>
        <v>0.09</v>
      </c>
      <c r="BQ1837" s="53">
        <f>ROUND(HIX_SLCSP[[#This Row],[Weighting Factor 2019]]*HIX_SLCSP[[#This Row],[2019]],2)</f>
        <v>0.09</v>
      </c>
      <c r="BR1837" s="53">
        <f>ROUND(HIX_SLCSP[[#This Row],[Weighting Factor 2020]]*HIX_SLCSP[[#This Row],[2020]],2)</f>
        <v>0.09</v>
      </c>
      <c r="BS1837" s="53">
        <f>ROUND(HIX_SLCSP[[#This Row],[Weighting Factor 2021]]*HIX_SLCSP[[#This Row],[2021]],2)</f>
        <v>0.05</v>
      </c>
      <c r="BT1837" s="53">
        <f>ROUND(HIX_SLCSP[[#This Row],[Weighting Factor 2022]]*HIX_SLCSP[[#This Row],[2022]],2)</f>
        <v>0.05</v>
      </c>
      <c r="BU1837" s="53">
        <f>ROUND(HIX_SLCSP[[#This Row],[Weighting Factor 2023]]*HIX_SLCSP[[#This Row],[2023]],2)</f>
        <v>0.05</v>
      </c>
      <c r="BV1837" s="53">
        <f>ROUND(HIX_SLCSP[[#This Row],[Weighting Factor 2024]]*HIX_SLCSP[[#This Row],[2024]],2)</f>
        <v>0.05</v>
      </c>
    </row>
    <row r="1838" spans="4:74" x14ac:dyDescent="0.35">
      <c r="D1838" t="s">
        <v>539</v>
      </c>
      <c r="E1838" t="s">
        <v>671</v>
      </c>
      <c r="F1838" s="23">
        <v>39</v>
      </c>
      <c r="G1838" s="23" t="s">
        <v>540</v>
      </c>
      <c r="H1838" s="23" t="s">
        <v>672</v>
      </c>
      <c r="I1838" s="23">
        <v>16</v>
      </c>
      <c r="J1838" s="53">
        <v>457.29</v>
      </c>
      <c r="K1838" s="53">
        <v>598.05999999999995</v>
      </c>
      <c r="L1838" s="53">
        <v>1019.22</v>
      </c>
      <c r="M1838" s="54">
        <f t="shared" si="41"/>
        <v>1.7042102799050265</v>
      </c>
      <c r="N1838" s="24">
        <v>16</v>
      </c>
      <c r="O1838" s="55">
        <v>533.54999999999995</v>
      </c>
      <c r="P1838" s="56">
        <v>576.72</v>
      </c>
      <c r="Q1838" s="56">
        <v>982.85</v>
      </c>
      <c r="R1838" s="57">
        <f t="shared" si="42"/>
        <v>1.7042065473713413</v>
      </c>
      <c r="S1838" s="23">
        <v>16</v>
      </c>
      <c r="T1838" s="53">
        <v>511.4</v>
      </c>
      <c r="U1838" s="53">
        <v>551.65</v>
      </c>
      <c r="V1838" s="53">
        <v>940.11</v>
      </c>
      <c r="W1838" s="57">
        <f t="shared" si="43"/>
        <v>1.7041783739690022</v>
      </c>
      <c r="X1838" s="47">
        <v>101</v>
      </c>
      <c r="Y1838" s="58">
        <v>322.38</v>
      </c>
      <c r="Z1838" s="58">
        <v>331.33</v>
      </c>
      <c r="AA1838" s="58">
        <v>564.65</v>
      </c>
      <c r="AB1838" s="57">
        <f t="shared" si="44"/>
        <v>1.7041921950925061</v>
      </c>
      <c r="AC1838" s="47">
        <v>89</v>
      </c>
      <c r="AD1838" s="57">
        <v>351.2</v>
      </c>
      <c r="AE1838" s="57">
        <v>367.83</v>
      </c>
      <c r="AF1838" s="57">
        <v>626.85</v>
      </c>
      <c r="AG1838" s="57">
        <f t="shared" si="45"/>
        <v>1.7041839980425741</v>
      </c>
      <c r="AH1838" s="47">
        <v>108</v>
      </c>
      <c r="AI1838">
        <v>406.92</v>
      </c>
      <c r="AJ1838">
        <v>408.89</v>
      </c>
      <c r="AK1838">
        <v>696.83</v>
      </c>
      <c r="AL1838" s="57">
        <f t="shared" si="19"/>
        <v>1.7041991733718116</v>
      </c>
      <c r="AM1838" s="47">
        <v>107</v>
      </c>
      <c r="AN1838" s="57">
        <v>298.12</v>
      </c>
      <c r="AO1838" s="57">
        <v>299.55</v>
      </c>
      <c r="AP1838" s="57">
        <v>510.5</v>
      </c>
      <c r="AQ1838" s="57">
        <f t="shared" si="46"/>
        <v>1.7042230011684192</v>
      </c>
      <c r="AR1838" s="59">
        <v>674</v>
      </c>
      <c r="AS1838" s="59">
        <f>SUMIFS(HIX_RatingAreas[Silver Enrollments 2018],HIX_RatingAreas[Area],HIX_SLCSP[[#This Row],[Area Code]])</f>
        <v>684</v>
      </c>
      <c r="AT1838" s="59">
        <f>SUMIFS(HIX_RatingAreas[Silver Enrollments 2019],HIX_RatingAreas[Area],HIX_SLCSP[[#This Row],[Area Code]])</f>
        <v>660</v>
      </c>
      <c r="AU1838" s="59">
        <f>SUMIFS(HIX_RatingAreas[Silver Enrollments 2020],HIX_RatingAreas[Area],HIX_SLCSP[[#This Row],[Area Code]])</f>
        <v>725</v>
      </c>
      <c r="AV1838" s="59">
        <f>SUMIFS(HIX_RatingAreas[Silver Enrollments 2021],HIX_RatingAreas[Area],HIX_SLCSP[[#This Row],[Area Code]])</f>
        <v>538</v>
      </c>
      <c r="AW1838" s="59">
        <f>SUMIFS(HIX_RatingAreas[Silver Enrollments 2022],HIX_RatingAreas[Area],HIX_SLCSP[[#This Row],[Area Code]])</f>
        <v>494</v>
      </c>
      <c r="AX1838" s="59">
        <f>SUMIFS(HIX_RatingAreas[Silver Enrollments 2023],HIX_RatingAreas[Area],HIX_SLCSP[[#This Row],[Area Code]])</f>
        <v>453</v>
      </c>
      <c r="AY1838" s="59">
        <f>SUMIFS(HIX_RatingAreas[Silver Enrollments 2024],HIX_RatingAreas[Area],HIX_SLCSP[[#This Row],[Area Code]])</f>
        <v>1085</v>
      </c>
      <c r="AZ1838" s="59">
        <v>820</v>
      </c>
      <c r="BA1838">
        <f t="shared" si="35"/>
        <v>4.7050560991871728E-4</v>
      </c>
      <c r="BB1838">
        <f>SUMIFS(HIX_RatingAreas[QHP Enrollments 2018],HIX_RatingAreas[Area],HIX_SLCSP[[#This Row],[Area Code]])</f>
        <v>880</v>
      </c>
      <c r="BC1838">
        <f t="shared" si="36"/>
        <v>5.1305192435282577E-4</v>
      </c>
      <c r="BD1838">
        <f>SUMIFS(HIX_RatingAreas[QHP Enrollments 2019],HIX_RatingAreas[Area],HIX_SLCSP[[#This Row],[Area Code]])</f>
        <v>884</v>
      </c>
      <c r="BE1838">
        <f t="shared" si="37"/>
        <v>4.9570908829902249E-4</v>
      </c>
      <c r="BF1838">
        <f>SUMIFS(HIX_RatingAreas[QHP Enrollments 2020],HIX_RatingAreas[Area],HIX_SLCSP[[#This Row],[Area Code]])</f>
        <v>966</v>
      </c>
      <c r="BG1838">
        <f t="shared" si="38"/>
        <v>5.0470878668739142E-4</v>
      </c>
      <c r="BH1838">
        <f>SUMIFS(HIX_RatingAreas[QHP Enrollments 2021],HIX_RatingAreas[Area],HIX_SLCSP[[#This Row],[Area Code]])</f>
        <v>1093</v>
      </c>
      <c r="BI1838">
        <f t="shared" si="39"/>
        <v>5.154809347513382E-4</v>
      </c>
      <c r="BJ1838">
        <f>SUMIFS(HIX_RatingAreas[QHP Enrollments 2022],HIX_RatingAreas[Area],HIX_SLCSP[[#This Row],[Area Code]])</f>
        <v>1226</v>
      </c>
      <c r="BK1838">
        <f t="shared" si="49"/>
        <v>4.5022316526715568E-4</v>
      </c>
      <c r="BL1838">
        <f>SUMIFS(HIX_RatingAreas[QHP Enrollments 2023],HIX_RatingAreas[Area],HIX_SLCSP[[#This Row],[Area Code]])</f>
        <v>1528</v>
      </c>
      <c r="BM1838">
        <f t="shared" si="47"/>
        <v>4.7373455053349392E-4</v>
      </c>
      <c r="BN1838">
        <f>SUMIFS(HIX_RatingAreas[QHP Enrollments 2024],HIX_RatingAreas[Area],HIX_SLCSP[[#This Row],[Area Code]])</f>
        <v>2236</v>
      </c>
      <c r="BO1838">
        <f t="shared" si="48"/>
        <v>5.3087654935941051E-4</v>
      </c>
      <c r="BP1838" s="53">
        <f>ROUND(HIX_SLCSP[[#This Row],[Weighting Factor 2018]]*HIX_SLCSP[[#This Row],[2018]],2)</f>
        <v>0.31</v>
      </c>
      <c r="BQ1838" s="53">
        <f>ROUND(HIX_SLCSP[[#This Row],[Weighting Factor 2019]]*HIX_SLCSP[[#This Row],[2019]],2)</f>
        <v>0.28999999999999998</v>
      </c>
      <c r="BR1838" s="53">
        <f>ROUND(HIX_SLCSP[[#This Row],[Weighting Factor 2020]]*HIX_SLCSP[[#This Row],[2020]],2)</f>
        <v>0.28000000000000003</v>
      </c>
      <c r="BS1838" s="53">
        <f>ROUND(HIX_SLCSP[[#This Row],[Weighting Factor 2021]]*HIX_SLCSP[[#This Row],[2021]],2)</f>
        <v>0.17</v>
      </c>
      <c r="BT1838" s="53">
        <f>ROUND(HIX_SLCSP[[#This Row],[Weighting Factor 2022]]*HIX_SLCSP[[#This Row],[2022]],2)</f>
        <v>0.17</v>
      </c>
      <c r="BU1838" s="53">
        <f>ROUND(HIX_SLCSP[[#This Row],[Weighting Factor 2023]]*HIX_SLCSP[[#This Row],[2023]],2)</f>
        <v>0.19</v>
      </c>
      <c r="BV1838" s="53">
        <f>ROUND(HIX_SLCSP[[#This Row],[Weighting Factor 2024]]*HIX_SLCSP[[#This Row],[2024]],2)</f>
        <v>0.16</v>
      </c>
    </row>
    <row r="1839" spans="4:74" x14ac:dyDescent="0.35">
      <c r="D1839" t="s">
        <v>539</v>
      </c>
      <c r="E1839" t="s">
        <v>674</v>
      </c>
      <c r="F1839" s="23">
        <v>40</v>
      </c>
      <c r="G1839" s="23" t="s">
        <v>540</v>
      </c>
      <c r="H1839" s="23" t="s">
        <v>675</v>
      </c>
      <c r="I1839" s="23">
        <v>105</v>
      </c>
      <c r="J1839" s="53">
        <v>298.64</v>
      </c>
      <c r="K1839" s="53">
        <v>342.54</v>
      </c>
      <c r="L1839" s="53">
        <v>583.76</v>
      </c>
      <c r="M1839" s="54">
        <f t="shared" si="41"/>
        <v>1.7042097273311145</v>
      </c>
      <c r="N1839" s="24">
        <v>96</v>
      </c>
      <c r="O1839" s="55">
        <v>353.32</v>
      </c>
      <c r="P1839" s="56">
        <v>359.27</v>
      </c>
      <c r="Q1839" s="56">
        <v>612.27</v>
      </c>
      <c r="R1839" s="57">
        <f t="shared" si="42"/>
        <v>1.7042057505497259</v>
      </c>
      <c r="S1839" s="23">
        <v>105</v>
      </c>
      <c r="T1839" s="53">
        <v>275.82</v>
      </c>
      <c r="U1839" s="53">
        <v>307.91000000000003</v>
      </c>
      <c r="V1839" s="53">
        <v>524.74</v>
      </c>
      <c r="W1839" s="57">
        <f t="shared" si="43"/>
        <v>1.7041992790101002</v>
      </c>
      <c r="X1839" s="47">
        <v>169</v>
      </c>
      <c r="Y1839" s="58">
        <v>272.81</v>
      </c>
      <c r="Z1839" s="58">
        <v>272.81</v>
      </c>
      <c r="AA1839" s="58">
        <v>464.93</v>
      </c>
      <c r="AB1839" s="57">
        <f t="shared" si="44"/>
        <v>1.7042263846633188</v>
      </c>
      <c r="AC1839" s="47">
        <v>208</v>
      </c>
      <c r="AD1839" s="57">
        <v>269.63</v>
      </c>
      <c r="AE1839" s="57">
        <v>277.12</v>
      </c>
      <c r="AF1839" s="57">
        <v>472.26</v>
      </c>
      <c r="AG1839" s="57">
        <f t="shared" si="45"/>
        <v>1.7041714780600461</v>
      </c>
      <c r="AH1839" s="47">
        <v>238</v>
      </c>
      <c r="AI1839">
        <v>295.14999999999998</v>
      </c>
      <c r="AJ1839">
        <v>296.58</v>
      </c>
      <c r="AK1839">
        <v>505.43</v>
      </c>
      <c r="AL1839" s="57">
        <f t="shared" si="19"/>
        <v>1.7041944837817791</v>
      </c>
      <c r="AM1839" s="47">
        <v>157</v>
      </c>
      <c r="AN1839" s="57">
        <v>295.52999999999997</v>
      </c>
      <c r="AO1839" s="57">
        <v>296.95999999999998</v>
      </c>
      <c r="AP1839" s="57">
        <v>506.07</v>
      </c>
      <c r="AQ1839" s="57">
        <f t="shared" si="46"/>
        <v>1.704168911637931</v>
      </c>
      <c r="AR1839" s="59">
        <v>15266</v>
      </c>
      <c r="AS1839" s="59">
        <f>SUMIFS(HIX_RatingAreas[Silver Enrollments 2018],HIX_RatingAreas[Area],HIX_SLCSP[[#This Row],[Area Code]])</f>
        <v>10672</v>
      </c>
      <c r="AT1839" s="59">
        <f>SUMIFS(HIX_RatingAreas[Silver Enrollments 2019],HIX_RatingAreas[Area],HIX_SLCSP[[#This Row],[Area Code]])</f>
        <v>9373</v>
      </c>
      <c r="AU1839" s="59">
        <f>SUMIFS(HIX_RatingAreas[Silver Enrollments 2020],HIX_RatingAreas[Area],HIX_SLCSP[[#This Row],[Area Code]])</f>
        <v>9925</v>
      </c>
      <c r="AV1839" s="59">
        <f>SUMIFS(HIX_RatingAreas[Silver Enrollments 2021],HIX_RatingAreas[Area],HIX_SLCSP[[#This Row],[Area Code]])</f>
        <v>10760</v>
      </c>
      <c r="AW1839" s="59">
        <f>SUMIFS(HIX_RatingAreas[Silver Enrollments 2022],HIX_RatingAreas[Area],HIX_SLCSP[[#This Row],[Area Code]])</f>
        <v>15587</v>
      </c>
      <c r="AX1839" s="59">
        <f>SUMIFS(HIX_RatingAreas[Silver Enrollments 2023],HIX_RatingAreas[Area],HIX_SLCSP[[#This Row],[Area Code]])</f>
        <v>18714</v>
      </c>
      <c r="AY1839" s="59">
        <f>SUMIFS(HIX_RatingAreas[Silver Enrollments 2024],HIX_RatingAreas[Area],HIX_SLCSP[[#This Row],[Area Code]])</f>
        <v>28045</v>
      </c>
      <c r="AZ1839" s="59">
        <v>21324</v>
      </c>
      <c r="BA1839">
        <f t="shared" si="35"/>
        <v>1.2235441007203326E-2</v>
      </c>
      <c r="BB1839">
        <f>SUMIFS(HIX_RatingAreas[QHP Enrollments 2018],HIX_RatingAreas[Area],HIX_SLCSP[[#This Row],[Area Code]])</f>
        <v>19717</v>
      </c>
      <c r="BC1839">
        <f t="shared" si="36"/>
        <v>1.1495278173255304E-2</v>
      </c>
      <c r="BD1839">
        <f>SUMIFS(HIX_RatingAreas[QHP Enrollments 2019],HIX_RatingAreas[Area],HIX_SLCSP[[#This Row],[Area Code]])</f>
        <v>18965</v>
      </c>
      <c r="BE1839">
        <f t="shared" si="37"/>
        <v>1.0634754366053123E-2</v>
      </c>
      <c r="BF1839">
        <f>SUMIFS(HIX_RatingAreas[QHP Enrollments 2020],HIX_RatingAreas[Area],HIX_SLCSP[[#This Row],[Area Code]])</f>
        <v>19302</v>
      </c>
      <c r="BG1839">
        <f t="shared" si="38"/>
        <v>1.0084771222194647E-2</v>
      </c>
      <c r="BH1839">
        <f>SUMIFS(HIX_RatingAreas[QHP Enrollments 2021],HIX_RatingAreas[Area],HIX_SLCSP[[#This Row],[Area Code]])</f>
        <v>21183</v>
      </c>
      <c r="BI1839">
        <f t="shared" si="39"/>
        <v>9.9903317848468419E-3</v>
      </c>
      <c r="BJ1839">
        <f>SUMIFS(HIX_RatingAreas[QHP Enrollments 2022],HIX_RatingAreas[Area],HIX_SLCSP[[#This Row],[Area Code]])</f>
        <v>29989</v>
      </c>
      <c r="BK1839">
        <f t="shared" si="49"/>
        <v>1.1012840540943499E-2</v>
      </c>
      <c r="BL1839">
        <f>SUMIFS(HIX_RatingAreas[QHP Enrollments 2023],HIX_RatingAreas[Area],HIX_SLCSP[[#This Row],[Area Code]])</f>
        <v>36256</v>
      </c>
      <c r="BM1839">
        <f t="shared" si="47"/>
        <v>1.124065436134971E-2</v>
      </c>
      <c r="BN1839">
        <f>SUMIFS(HIX_RatingAreas[QHP Enrollments 2024],HIX_RatingAreas[Area],HIX_SLCSP[[#This Row],[Area Code]])</f>
        <v>50687</v>
      </c>
      <c r="BO1839">
        <f t="shared" si="48"/>
        <v>1.2034230616001987E-2</v>
      </c>
      <c r="BP1839" s="53">
        <f>ROUND(HIX_SLCSP[[#This Row],[Weighting Factor 2018]]*HIX_SLCSP[[#This Row],[2018]],2)</f>
        <v>3.94</v>
      </c>
      <c r="BQ1839" s="53">
        <f>ROUND(HIX_SLCSP[[#This Row],[Weighting Factor 2019]]*HIX_SLCSP[[#This Row],[2019]],2)</f>
        <v>3.82</v>
      </c>
      <c r="BR1839" s="53">
        <f>ROUND(HIX_SLCSP[[#This Row],[Weighting Factor 2020]]*HIX_SLCSP[[#This Row],[2020]],2)</f>
        <v>3.11</v>
      </c>
      <c r="BS1839" s="53">
        <f>ROUND(HIX_SLCSP[[#This Row],[Weighting Factor 2021]]*HIX_SLCSP[[#This Row],[2021]],2)</f>
        <v>2.73</v>
      </c>
      <c r="BT1839" s="53">
        <f>ROUND(HIX_SLCSP[[#This Row],[Weighting Factor 2022]]*HIX_SLCSP[[#This Row],[2022]],2)</f>
        <v>3.05</v>
      </c>
      <c r="BU1839" s="53">
        <f>ROUND(HIX_SLCSP[[#This Row],[Weighting Factor 2023]]*HIX_SLCSP[[#This Row],[2023]],2)</f>
        <v>3.33</v>
      </c>
      <c r="BV1839" s="53">
        <f>ROUND(HIX_SLCSP[[#This Row],[Weighting Factor 2024]]*HIX_SLCSP[[#This Row],[2024]],2)</f>
        <v>3.57</v>
      </c>
    </row>
    <row r="1840" spans="4:74" x14ac:dyDescent="0.35">
      <c r="D1840" t="s">
        <v>539</v>
      </c>
      <c r="E1840" t="s">
        <v>678</v>
      </c>
      <c r="F1840" s="23">
        <v>41</v>
      </c>
      <c r="G1840" s="23" t="s">
        <v>540</v>
      </c>
      <c r="H1840" s="23" t="s">
        <v>679</v>
      </c>
      <c r="I1840" s="23">
        <v>114</v>
      </c>
      <c r="J1840" s="53">
        <v>277.37</v>
      </c>
      <c r="K1840" s="53">
        <v>334.78</v>
      </c>
      <c r="L1840" s="53">
        <v>557.74</v>
      </c>
      <c r="M1840" s="54">
        <f t="shared" si="41"/>
        <v>1.6659896051138063</v>
      </c>
      <c r="N1840" s="24">
        <v>96</v>
      </c>
      <c r="O1840" s="55">
        <v>338.23</v>
      </c>
      <c r="P1840" s="56">
        <v>357.36</v>
      </c>
      <c r="Q1840" s="56">
        <v>609.02</v>
      </c>
      <c r="R1840" s="57">
        <f t="shared" si="42"/>
        <v>1.7042198343407207</v>
      </c>
      <c r="S1840" s="23">
        <v>114</v>
      </c>
      <c r="T1840" s="53">
        <v>276.35000000000002</v>
      </c>
      <c r="U1840" s="53">
        <v>290.58</v>
      </c>
      <c r="V1840" s="53">
        <v>495.21</v>
      </c>
      <c r="W1840" s="57">
        <f t="shared" si="43"/>
        <v>1.7042122651249225</v>
      </c>
      <c r="X1840" s="47">
        <v>212</v>
      </c>
      <c r="Y1840" s="58">
        <v>253.42</v>
      </c>
      <c r="Z1840" s="58">
        <v>260.45999999999998</v>
      </c>
      <c r="AA1840" s="58">
        <v>443.87</v>
      </c>
      <c r="AB1840" s="57">
        <f t="shared" si="44"/>
        <v>1.7041772249097751</v>
      </c>
      <c r="AC1840" s="47">
        <v>236</v>
      </c>
      <c r="AD1840" s="57">
        <v>256.95</v>
      </c>
      <c r="AE1840" s="57">
        <v>257.74</v>
      </c>
      <c r="AF1840" s="57">
        <v>439.24</v>
      </c>
      <c r="AG1840" s="57">
        <f t="shared" si="45"/>
        <v>1.7041980290214944</v>
      </c>
      <c r="AH1840" s="47">
        <v>222</v>
      </c>
      <c r="AI1840">
        <v>276.27999999999997</v>
      </c>
      <c r="AJ1840">
        <v>277.62</v>
      </c>
      <c r="AK1840">
        <v>473.12</v>
      </c>
      <c r="AL1840" s="57">
        <f t="shared" si="19"/>
        <v>1.7041999855918162</v>
      </c>
      <c r="AM1840" s="47">
        <v>189</v>
      </c>
      <c r="AN1840" s="57">
        <v>291.81</v>
      </c>
      <c r="AO1840" s="57">
        <v>293.22000000000003</v>
      </c>
      <c r="AP1840" s="57">
        <v>499.7</v>
      </c>
      <c r="AQ1840" s="57">
        <f t="shared" si="46"/>
        <v>1.7041811609030759</v>
      </c>
      <c r="AR1840" s="59">
        <v>18167</v>
      </c>
      <c r="AS1840" s="59">
        <f>SUMIFS(HIX_RatingAreas[Silver Enrollments 2018],HIX_RatingAreas[Area],HIX_SLCSP[[#This Row],[Area Code]])</f>
        <v>14440</v>
      </c>
      <c r="AT1840" s="59">
        <f>SUMIFS(HIX_RatingAreas[Silver Enrollments 2019],HIX_RatingAreas[Area],HIX_SLCSP[[#This Row],[Area Code]])</f>
        <v>14149</v>
      </c>
      <c r="AU1840" s="59">
        <f>SUMIFS(HIX_RatingAreas[Silver Enrollments 2020],HIX_RatingAreas[Area],HIX_SLCSP[[#This Row],[Area Code]])</f>
        <v>15396</v>
      </c>
      <c r="AV1840" s="59">
        <f>SUMIFS(HIX_RatingAreas[Silver Enrollments 2021],HIX_RatingAreas[Area],HIX_SLCSP[[#This Row],[Area Code]])</f>
        <v>15376</v>
      </c>
      <c r="AW1840" s="59">
        <f>SUMIFS(HIX_RatingAreas[Silver Enrollments 2022],HIX_RatingAreas[Area],HIX_SLCSP[[#This Row],[Area Code]])</f>
        <v>19569</v>
      </c>
      <c r="AX1840" s="59">
        <f>SUMIFS(HIX_RatingAreas[Silver Enrollments 2023],HIX_RatingAreas[Area],HIX_SLCSP[[#This Row],[Area Code]])</f>
        <v>20477</v>
      </c>
      <c r="AY1840" s="59">
        <f>SUMIFS(HIX_RatingAreas[Silver Enrollments 2024],HIX_RatingAreas[Area],HIX_SLCSP[[#This Row],[Area Code]])</f>
        <v>31252</v>
      </c>
      <c r="AZ1840" s="59">
        <v>22270</v>
      </c>
      <c r="BA1840">
        <f t="shared" si="35"/>
        <v>1.2778243820597359E-2</v>
      </c>
      <c r="BB1840">
        <f>SUMIFS(HIX_RatingAreas[QHP Enrollments 2018],HIX_RatingAreas[Area],HIX_SLCSP[[#This Row],[Area Code]])</f>
        <v>22207</v>
      </c>
      <c r="BC1840">
        <f t="shared" si="36"/>
        <v>1.294698191375364E-2</v>
      </c>
      <c r="BD1840">
        <f>SUMIFS(HIX_RatingAreas[QHP Enrollments 2019],HIX_RatingAreas[Area],HIX_SLCSP[[#This Row],[Area Code]])</f>
        <v>22114</v>
      </c>
      <c r="BE1840">
        <f t="shared" si="37"/>
        <v>1.2400577803896588E-2</v>
      </c>
      <c r="BF1840">
        <f>SUMIFS(HIX_RatingAreas[QHP Enrollments 2020],HIX_RatingAreas[Area],HIX_SLCSP[[#This Row],[Area Code]])</f>
        <v>23912</v>
      </c>
      <c r="BG1840">
        <f t="shared" si="38"/>
        <v>1.2493371125537167E-2</v>
      </c>
      <c r="BH1840">
        <f>SUMIFS(HIX_RatingAreas[QHP Enrollments 2021],HIX_RatingAreas[Area],HIX_SLCSP[[#This Row],[Area Code]])</f>
        <v>25415</v>
      </c>
      <c r="BI1840">
        <f t="shared" si="39"/>
        <v>1.1986228688659891E-2</v>
      </c>
      <c r="BJ1840">
        <f>SUMIFS(HIX_RatingAreas[QHP Enrollments 2022],HIX_RatingAreas[Area],HIX_SLCSP[[#This Row],[Area Code]])</f>
        <v>32830</v>
      </c>
      <c r="BK1840">
        <f t="shared" si="49"/>
        <v>1.2056139082969593E-2</v>
      </c>
      <c r="BL1840">
        <f>SUMIFS(HIX_RatingAreas[QHP Enrollments 2023],HIX_RatingAreas[Area],HIX_SLCSP[[#This Row],[Area Code]])</f>
        <v>38547</v>
      </c>
      <c r="BM1840">
        <f t="shared" si="47"/>
        <v>1.195094615144934E-2</v>
      </c>
      <c r="BN1840">
        <f>SUMIFS(HIX_RatingAreas[QHP Enrollments 2024],HIX_RatingAreas[Area],HIX_SLCSP[[#This Row],[Area Code]])</f>
        <v>53252</v>
      </c>
      <c r="BO1840">
        <f t="shared" si="48"/>
        <v>1.2643219144225103E-2</v>
      </c>
      <c r="BP1840" s="53">
        <f>ROUND(HIX_SLCSP[[#This Row],[Weighting Factor 2018]]*HIX_SLCSP[[#This Row],[2018]],2)</f>
        <v>4.33</v>
      </c>
      <c r="BQ1840" s="53">
        <f>ROUND(HIX_SLCSP[[#This Row],[Weighting Factor 2019]]*HIX_SLCSP[[#This Row],[2019]],2)</f>
        <v>4.43</v>
      </c>
      <c r="BR1840" s="53">
        <f>ROUND(HIX_SLCSP[[#This Row],[Weighting Factor 2020]]*HIX_SLCSP[[#This Row],[2020]],2)</f>
        <v>3.63</v>
      </c>
      <c r="BS1840" s="53">
        <f>ROUND(HIX_SLCSP[[#This Row],[Weighting Factor 2021]]*HIX_SLCSP[[#This Row],[2021]],2)</f>
        <v>3.12</v>
      </c>
      <c r="BT1840" s="53">
        <f>ROUND(HIX_SLCSP[[#This Row],[Weighting Factor 2022]]*HIX_SLCSP[[#This Row],[2022]],2)</f>
        <v>3.11</v>
      </c>
      <c r="BU1840" s="53">
        <f>ROUND(HIX_SLCSP[[#This Row],[Weighting Factor 2023]]*HIX_SLCSP[[#This Row],[2023]],2)</f>
        <v>3.32</v>
      </c>
      <c r="BV1840" s="53">
        <f>ROUND(HIX_SLCSP[[#This Row],[Weighting Factor 2024]]*HIX_SLCSP[[#This Row],[2024]],2)</f>
        <v>3.71</v>
      </c>
    </row>
    <row r="1841" spans="4:74" x14ac:dyDescent="0.35">
      <c r="D1841" t="s">
        <v>539</v>
      </c>
      <c r="E1841" t="s">
        <v>681</v>
      </c>
      <c r="F1841" s="23">
        <v>42</v>
      </c>
      <c r="G1841" s="23" t="s">
        <v>540</v>
      </c>
      <c r="H1841" s="23" t="s">
        <v>682</v>
      </c>
      <c r="I1841" s="23">
        <v>75</v>
      </c>
      <c r="J1841" s="53">
        <v>297</v>
      </c>
      <c r="K1841" s="53">
        <v>373.6</v>
      </c>
      <c r="L1841" s="53">
        <v>636.69000000000005</v>
      </c>
      <c r="M1841" s="54">
        <f t="shared" si="41"/>
        <v>1.7042023554603856</v>
      </c>
      <c r="N1841" s="24">
        <v>48</v>
      </c>
      <c r="O1841" s="55">
        <v>364.05</v>
      </c>
      <c r="P1841" s="56">
        <v>392.1</v>
      </c>
      <c r="Q1841" s="56">
        <v>668.21</v>
      </c>
      <c r="R1841" s="57">
        <f t="shared" si="42"/>
        <v>1.7041826064779393</v>
      </c>
      <c r="S1841" s="23">
        <v>75</v>
      </c>
      <c r="T1841" s="53">
        <v>295.48</v>
      </c>
      <c r="U1841" s="53">
        <v>310.19</v>
      </c>
      <c r="V1841" s="53">
        <v>528.62</v>
      </c>
      <c r="W1841" s="57">
        <f t="shared" si="43"/>
        <v>1.7041813082304393</v>
      </c>
      <c r="X1841" s="47">
        <v>122</v>
      </c>
      <c r="Y1841" s="58">
        <v>285.87</v>
      </c>
      <c r="Z1841" s="58">
        <v>305.39999999999998</v>
      </c>
      <c r="AA1841" s="58">
        <v>520.46</v>
      </c>
      <c r="AB1841" s="57">
        <f t="shared" si="44"/>
        <v>1.704191224623445</v>
      </c>
      <c r="AC1841" s="47">
        <v>197</v>
      </c>
      <c r="AD1841" s="57">
        <v>287.88</v>
      </c>
      <c r="AE1841" s="57">
        <v>313.54000000000002</v>
      </c>
      <c r="AF1841" s="57">
        <v>534.34</v>
      </c>
      <c r="AG1841" s="57">
        <f t="shared" si="45"/>
        <v>1.7042163679275371</v>
      </c>
      <c r="AH1841" s="47">
        <v>187</v>
      </c>
      <c r="AI1841">
        <v>314.72000000000003</v>
      </c>
      <c r="AJ1841">
        <v>328.4</v>
      </c>
      <c r="AK1841">
        <v>559.66</v>
      </c>
      <c r="AL1841" s="57">
        <f t="shared" ref="AL1841:AL1904" si="50">AK1841/AJ1841</f>
        <v>1.7042021924482338</v>
      </c>
      <c r="AM1841" s="47">
        <v>122</v>
      </c>
      <c r="AN1841" s="57">
        <v>360.48</v>
      </c>
      <c r="AO1841" s="57">
        <v>376.89</v>
      </c>
      <c r="AP1841" s="57">
        <v>642.29</v>
      </c>
      <c r="AQ1841" s="57">
        <f t="shared" si="46"/>
        <v>1.7041842447398445</v>
      </c>
      <c r="AR1841" s="59">
        <v>8756</v>
      </c>
      <c r="AS1841" s="59">
        <f>SUMIFS(HIX_RatingAreas[Silver Enrollments 2018],HIX_RatingAreas[Area],HIX_SLCSP[[#This Row],[Area Code]])</f>
        <v>7679</v>
      </c>
      <c r="AT1841" s="59">
        <f>SUMIFS(HIX_RatingAreas[Silver Enrollments 2019],HIX_RatingAreas[Area],HIX_SLCSP[[#This Row],[Area Code]])</f>
        <v>7540</v>
      </c>
      <c r="AU1841" s="59">
        <f>SUMIFS(HIX_RatingAreas[Silver Enrollments 2020],HIX_RatingAreas[Area],HIX_SLCSP[[#This Row],[Area Code]])</f>
        <v>7284</v>
      </c>
      <c r="AV1841" s="59">
        <f>SUMIFS(HIX_RatingAreas[Silver Enrollments 2021],HIX_RatingAreas[Area],HIX_SLCSP[[#This Row],[Area Code]])</f>
        <v>6671</v>
      </c>
      <c r="AW1841" s="59">
        <f>SUMIFS(HIX_RatingAreas[Silver Enrollments 2022],HIX_RatingAreas[Area],HIX_SLCSP[[#This Row],[Area Code]])</f>
        <v>8073</v>
      </c>
      <c r="AX1841" s="59">
        <f>SUMIFS(HIX_RatingAreas[Silver Enrollments 2023],HIX_RatingAreas[Area],HIX_SLCSP[[#This Row],[Area Code]])</f>
        <v>8730</v>
      </c>
      <c r="AY1841" s="59">
        <f>SUMIFS(HIX_RatingAreas[Silver Enrollments 2024],HIX_RatingAreas[Area],HIX_SLCSP[[#This Row],[Area Code]])</f>
        <v>10626</v>
      </c>
      <c r="AZ1841" s="59">
        <v>11903</v>
      </c>
      <c r="BA1841">
        <f t="shared" si="35"/>
        <v>6.8297905791005996E-3</v>
      </c>
      <c r="BB1841">
        <f>SUMIFS(HIX_RatingAreas[QHP Enrollments 2018],HIX_RatingAreas[Area],HIX_SLCSP[[#This Row],[Area Code]])</f>
        <v>12173</v>
      </c>
      <c r="BC1841">
        <f t="shared" si="36"/>
        <v>7.0970239490306232E-3</v>
      </c>
      <c r="BD1841">
        <f>SUMIFS(HIX_RatingAreas[QHP Enrollments 2019],HIX_RatingAreas[Area],HIX_SLCSP[[#This Row],[Area Code]])</f>
        <v>12446</v>
      </c>
      <c r="BE1841">
        <f t="shared" si="37"/>
        <v>6.9791802182914411E-3</v>
      </c>
      <c r="BF1841">
        <f>SUMIFS(HIX_RatingAreas[QHP Enrollments 2020],HIX_RatingAreas[Area],HIX_SLCSP[[#This Row],[Area Code]])</f>
        <v>12512</v>
      </c>
      <c r="BG1841">
        <f t="shared" si="38"/>
        <v>6.5371804751890696E-3</v>
      </c>
      <c r="BH1841">
        <f>SUMIFS(HIX_RatingAreas[QHP Enrollments 2021],HIX_RatingAreas[Area],HIX_SLCSP[[#This Row],[Area Code]])</f>
        <v>12789</v>
      </c>
      <c r="BI1841">
        <f t="shared" si="39"/>
        <v>6.0315513948168932E-3</v>
      </c>
      <c r="BJ1841">
        <f>SUMIFS(HIX_RatingAreas[QHP Enrollments 2022],HIX_RatingAreas[Area],HIX_SLCSP[[#This Row],[Area Code]])</f>
        <v>15817</v>
      </c>
      <c r="BK1841">
        <f t="shared" si="49"/>
        <v>5.8084663988830351E-3</v>
      </c>
      <c r="BL1841">
        <f>SUMIFS(HIX_RatingAreas[QHP Enrollments 2023],HIX_RatingAreas[Area],HIX_SLCSP[[#This Row],[Area Code]])</f>
        <v>17191</v>
      </c>
      <c r="BM1841">
        <f t="shared" si="47"/>
        <v>5.3298237292024181E-3</v>
      </c>
      <c r="BN1841">
        <f>SUMIFS(HIX_RatingAreas[QHP Enrollments 2024],HIX_RatingAreas[Area],HIX_SLCSP[[#This Row],[Area Code]])</f>
        <v>20331</v>
      </c>
      <c r="BO1841">
        <f t="shared" si="48"/>
        <v>4.8270353868632267E-3</v>
      </c>
      <c r="BP1841" s="53">
        <f>ROUND(HIX_SLCSP[[#This Row],[Weighting Factor 2018]]*HIX_SLCSP[[#This Row],[2018]],2)</f>
        <v>2.65</v>
      </c>
      <c r="BQ1841" s="53">
        <f>ROUND(HIX_SLCSP[[#This Row],[Weighting Factor 2019]]*HIX_SLCSP[[#This Row],[2019]],2)</f>
        <v>2.74</v>
      </c>
      <c r="BR1841" s="53">
        <f>ROUND(HIX_SLCSP[[#This Row],[Weighting Factor 2020]]*HIX_SLCSP[[#This Row],[2020]],2)</f>
        <v>2.0299999999999998</v>
      </c>
      <c r="BS1841" s="53">
        <f>ROUND(HIX_SLCSP[[#This Row],[Weighting Factor 2021]]*HIX_SLCSP[[#This Row],[2021]],2)</f>
        <v>1.84</v>
      </c>
      <c r="BT1841" s="53">
        <f>ROUND(HIX_SLCSP[[#This Row],[Weighting Factor 2022]]*HIX_SLCSP[[#This Row],[2022]],2)</f>
        <v>1.82</v>
      </c>
      <c r="BU1841" s="53">
        <f>ROUND(HIX_SLCSP[[#This Row],[Weighting Factor 2023]]*HIX_SLCSP[[#This Row],[2023]],2)</f>
        <v>1.75</v>
      </c>
      <c r="BV1841" s="53">
        <f>ROUND(HIX_SLCSP[[#This Row],[Weighting Factor 2024]]*HIX_SLCSP[[#This Row],[2024]],2)</f>
        <v>1.82</v>
      </c>
    </row>
    <row r="1842" spans="4:74" x14ac:dyDescent="0.35">
      <c r="D1842" t="s">
        <v>539</v>
      </c>
      <c r="E1842" t="s">
        <v>685</v>
      </c>
      <c r="F1842" s="23">
        <v>43</v>
      </c>
      <c r="G1842" s="23" t="s">
        <v>540</v>
      </c>
      <c r="H1842" s="23" t="s">
        <v>686</v>
      </c>
      <c r="I1842" s="23">
        <v>137</v>
      </c>
      <c r="J1842" s="53">
        <v>293.35000000000002</v>
      </c>
      <c r="K1842" s="53">
        <v>362.79</v>
      </c>
      <c r="L1842" s="53">
        <v>618.26</v>
      </c>
      <c r="M1842" s="54">
        <f t="shared" si="41"/>
        <v>1.7041814824002866</v>
      </c>
      <c r="N1842" s="24">
        <v>100</v>
      </c>
      <c r="O1842" s="55">
        <v>360.67</v>
      </c>
      <c r="P1842" s="56">
        <v>366.75</v>
      </c>
      <c r="Q1842" s="56">
        <v>625.02</v>
      </c>
      <c r="R1842" s="57">
        <f t="shared" si="42"/>
        <v>1.7042126789366052</v>
      </c>
      <c r="S1842" s="23">
        <v>137</v>
      </c>
      <c r="T1842" s="53">
        <v>283.01</v>
      </c>
      <c r="U1842" s="53">
        <v>289.75</v>
      </c>
      <c r="V1842" s="53">
        <v>493.79</v>
      </c>
      <c r="W1842" s="57">
        <f t="shared" si="43"/>
        <v>1.704193270060397</v>
      </c>
      <c r="X1842" s="47">
        <v>252</v>
      </c>
      <c r="Y1842" s="58">
        <v>275.45</v>
      </c>
      <c r="Z1842" s="58">
        <v>283.08999999999997</v>
      </c>
      <c r="AA1842" s="58">
        <v>482.45</v>
      </c>
      <c r="AB1842" s="57">
        <f t="shared" si="44"/>
        <v>1.7042283372778977</v>
      </c>
      <c r="AC1842" s="47">
        <v>434</v>
      </c>
      <c r="AD1842" s="57">
        <v>290.92</v>
      </c>
      <c r="AE1842" s="57">
        <v>293.91000000000003</v>
      </c>
      <c r="AF1842" s="57">
        <v>500.88</v>
      </c>
      <c r="AG1842" s="57">
        <f t="shared" si="45"/>
        <v>1.7041951617842195</v>
      </c>
      <c r="AH1842" s="47">
        <v>377</v>
      </c>
      <c r="AI1842">
        <v>305.48</v>
      </c>
      <c r="AJ1842">
        <v>319.58</v>
      </c>
      <c r="AK1842">
        <v>544.64</v>
      </c>
      <c r="AL1842" s="57">
        <f t="shared" si="50"/>
        <v>1.7042368108141936</v>
      </c>
      <c r="AM1842" s="47">
        <v>271</v>
      </c>
      <c r="AN1842" s="57">
        <v>347.37</v>
      </c>
      <c r="AO1842" s="57">
        <v>347.64</v>
      </c>
      <c r="AP1842" s="57">
        <v>592.44000000000005</v>
      </c>
      <c r="AQ1842" s="57">
        <f t="shared" si="46"/>
        <v>1.7041767345529861</v>
      </c>
      <c r="AR1842" s="59">
        <v>311075</v>
      </c>
      <c r="AS1842" s="59">
        <f>SUMIFS(HIX_RatingAreas[Silver Enrollments 2018],HIX_RatingAreas[Area],HIX_SLCSP[[#This Row],[Area Code]])</f>
        <v>302716</v>
      </c>
      <c r="AT1842" s="59">
        <f>SUMIFS(HIX_RatingAreas[Silver Enrollments 2019],HIX_RatingAreas[Area],HIX_SLCSP[[#This Row],[Area Code]])</f>
        <v>329415</v>
      </c>
      <c r="AU1842" s="59">
        <f>SUMIFS(HIX_RatingAreas[Silver Enrollments 2020],HIX_RatingAreas[Area],HIX_SLCSP[[#This Row],[Area Code]])</f>
        <v>360743</v>
      </c>
      <c r="AV1842" s="59">
        <f>SUMIFS(HIX_RatingAreas[Silver Enrollments 2021],HIX_RatingAreas[Area],HIX_SLCSP[[#This Row],[Area Code]])</f>
        <v>390470</v>
      </c>
      <c r="AW1842" s="59">
        <f>SUMIFS(HIX_RatingAreas[Silver Enrollments 2022],HIX_RatingAreas[Area],HIX_SLCSP[[#This Row],[Area Code]])</f>
        <v>483326</v>
      </c>
      <c r="AX1842" s="59">
        <f>SUMIFS(HIX_RatingAreas[Silver Enrollments 2023],HIX_RatingAreas[Area],HIX_SLCSP[[#This Row],[Area Code]])</f>
        <v>546359</v>
      </c>
      <c r="AY1842" s="59">
        <f>SUMIFS(HIX_RatingAreas[Silver Enrollments 2024],HIX_RatingAreas[Area],HIX_SLCSP[[#This Row],[Area Code]])</f>
        <v>679727</v>
      </c>
      <c r="AZ1842" s="59">
        <v>392901</v>
      </c>
      <c r="BA1842">
        <f t="shared" si="35"/>
        <v>0.22544161541789504</v>
      </c>
      <c r="BB1842">
        <f>SUMIFS(HIX_RatingAreas[QHP Enrollments 2018],HIX_RatingAreas[Area],HIX_SLCSP[[#This Row],[Area Code]])</f>
        <v>394677</v>
      </c>
      <c r="BC1842">
        <f t="shared" si="36"/>
        <v>0.23010203903159118</v>
      </c>
      <c r="BD1842">
        <f>SUMIFS(HIX_RatingAreas[QHP Enrollments 2019],HIX_RatingAreas[Area],HIX_SLCSP[[#This Row],[Area Code]])</f>
        <v>422183</v>
      </c>
      <c r="BE1842">
        <f t="shared" si="37"/>
        <v>0.23674202491555002</v>
      </c>
      <c r="BF1842">
        <f>SUMIFS(HIX_RatingAreas[QHP Enrollments 2020],HIX_RatingAreas[Area],HIX_SLCSP[[#This Row],[Area Code]])</f>
        <v>457666</v>
      </c>
      <c r="BG1842">
        <f t="shared" si="38"/>
        <v>0.23911806580545722</v>
      </c>
      <c r="BH1842">
        <f>SUMIFS(HIX_RatingAreas[QHP Enrollments 2021],HIX_RatingAreas[Area],HIX_SLCSP[[#This Row],[Area Code]])</f>
        <v>509218</v>
      </c>
      <c r="BI1842">
        <f t="shared" si="39"/>
        <v>0.24015752116395878</v>
      </c>
      <c r="BJ1842">
        <f>SUMIFS(HIX_RatingAreas[QHP Enrollments 2022],HIX_RatingAreas[Area],HIX_SLCSP[[#This Row],[Area Code]])</f>
        <v>631365</v>
      </c>
      <c r="BK1842">
        <f t="shared" si="49"/>
        <v>0.23185574937919881</v>
      </c>
      <c r="BL1842">
        <f>SUMIFS(HIX_RatingAreas[QHP Enrollments 2023],HIX_RatingAreas[Area],HIX_SLCSP[[#This Row],[Area Code]])</f>
        <v>746987</v>
      </c>
      <c r="BM1842">
        <f t="shared" si="47"/>
        <v>0.23159263789225329</v>
      </c>
      <c r="BN1842">
        <f>SUMIFS(HIX_RatingAreas[QHP Enrollments 2024],HIX_RatingAreas[Area],HIX_SLCSP[[#This Row],[Area Code]])</f>
        <v>949577</v>
      </c>
      <c r="BO1842">
        <f t="shared" si="48"/>
        <v>0.22545087706219186</v>
      </c>
      <c r="BP1842" s="53">
        <f>ROUND(HIX_SLCSP[[#This Row],[Weighting Factor 2018]]*HIX_SLCSP[[#This Row],[2018]],2)</f>
        <v>83.48</v>
      </c>
      <c r="BQ1842" s="53">
        <f>ROUND(HIX_SLCSP[[#This Row],[Weighting Factor 2019]]*HIX_SLCSP[[#This Row],[2019]],2)</f>
        <v>86.83</v>
      </c>
      <c r="BR1842" s="53">
        <f>ROUND(HIX_SLCSP[[#This Row],[Weighting Factor 2020]]*HIX_SLCSP[[#This Row],[2020]],2)</f>
        <v>69.28</v>
      </c>
      <c r="BS1842" s="53">
        <f>ROUND(HIX_SLCSP[[#This Row],[Weighting Factor 2021]]*HIX_SLCSP[[#This Row],[2021]],2)</f>
        <v>67.989999999999995</v>
      </c>
      <c r="BT1842" s="53">
        <f>ROUND(HIX_SLCSP[[#This Row],[Weighting Factor 2022]]*HIX_SLCSP[[#This Row],[2022]],2)</f>
        <v>68.14</v>
      </c>
      <c r="BU1842" s="53">
        <f>ROUND(HIX_SLCSP[[#This Row],[Weighting Factor 2023]]*HIX_SLCSP[[#This Row],[2023]],2)</f>
        <v>74.010000000000005</v>
      </c>
      <c r="BV1842" s="53">
        <f>ROUND(HIX_SLCSP[[#This Row],[Weighting Factor 2024]]*HIX_SLCSP[[#This Row],[2024]],2)</f>
        <v>78.38</v>
      </c>
    </row>
    <row r="1843" spans="4:74" x14ac:dyDescent="0.35">
      <c r="D1843" t="s">
        <v>539</v>
      </c>
      <c r="E1843" t="s">
        <v>689</v>
      </c>
      <c r="F1843" s="23">
        <v>44</v>
      </c>
      <c r="G1843" s="23" t="s">
        <v>540</v>
      </c>
      <c r="H1843" s="23" t="s">
        <v>690</v>
      </c>
      <c r="I1843" s="23">
        <v>16</v>
      </c>
      <c r="J1843" s="53">
        <v>628.77</v>
      </c>
      <c r="K1843" s="53">
        <v>822.33</v>
      </c>
      <c r="L1843" s="53">
        <v>1401.42</v>
      </c>
      <c r="M1843" s="54">
        <f t="shared" si="41"/>
        <v>1.704206340520229</v>
      </c>
      <c r="N1843" s="24">
        <v>16</v>
      </c>
      <c r="O1843" s="55">
        <v>721.04</v>
      </c>
      <c r="P1843" s="56">
        <v>779.41</v>
      </c>
      <c r="Q1843" s="56">
        <v>1328.27</v>
      </c>
      <c r="R1843" s="57">
        <f t="shared" si="42"/>
        <v>1.7041993302626346</v>
      </c>
      <c r="S1843" s="23">
        <v>16</v>
      </c>
      <c r="T1843" s="53">
        <v>691.18</v>
      </c>
      <c r="U1843" s="53">
        <v>745.56</v>
      </c>
      <c r="V1843" s="53">
        <v>1270.58</v>
      </c>
      <c r="W1843" s="57">
        <f t="shared" si="43"/>
        <v>1.7041955040506465</v>
      </c>
      <c r="X1843" s="47">
        <v>17</v>
      </c>
      <c r="Y1843" s="58">
        <v>658.62</v>
      </c>
      <c r="Z1843" s="58">
        <v>722.49</v>
      </c>
      <c r="AA1843" s="58">
        <v>1231.27</v>
      </c>
      <c r="AB1843" s="57">
        <f t="shared" si="44"/>
        <v>1.7042035183877977</v>
      </c>
      <c r="AC1843" s="47">
        <v>32</v>
      </c>
      <c r="AD1843" s="57">
        <v>584.87</v>
      </c>
      <c r="AE1843" s="57">
        <v>584.87</v>
      </c>
      <c r="AF1843" s="57">
        <v>996.73</v>
      </c>
      <c r="AG1843" s="57">
        <f t="shared" si="45"/>
        <v>1.7041906748508215</v>
      </c>
      <c r="AH1843" s="47">
        <v>32</v>
      </c>
      <c r="AI1843">
        <v>622.02</v>
      </c>
      <c r="AJ1843">
        <v>655.95</v>
      </c>
      <c r="AK1843">
        <v>1117.8800000000001</v>
      </c>
      <c r="AL1843" s="57">
        <f t="shared" si="50"/>
        <v>1.7042152603094749</v>
      </c>
      <c r="AM1843" s="47">
        <v>24</v>
      </c>
      <c r="AN1843" s="57">
        <v>645.20000000000005</v>
      </c>
      <c r="AO1843" s="57">
        <v>670.23</v>
      </c>
      <c r="AP1843" s="57">
        <v>1142.2</v>
      </c>
      <c r="AQ1843" s="57">
        <f t="shared" si="46"/>
        <v>1.7041910985781001</v>
      </c>
      <c r="AR1843" s="59">
        <v>5013</v>
      </c>
      <c r="AS1843" s="59">
        <f>SUMIFS(HIX_RatingAreas[Silver Enrollments 2018],HIX_RatingAreas[Area],HIX_SLCSP[[#This Row],[Area Code]])</f>
        <v>4469</v>
      </c>
      <c r="AT1843" s="59">
        <f>SUMIFS(HIX_RatingAreas[Silver Enrollments 2019],HIX_RatingAreas[Area],HIX_SLCSP[[#This Row],[Area Code]])</f>
        <v>4711</v>
      </c>
      <c r="AU1843" s="59">
        <f>SUMIFS(HIX_RatingAreas[Silver Enrollments 2020],HIX_RatingAreas[Area],HIX_SLCSP[[#This Row],[Area Code]])</f>
        <v>6881</v>
      </c>
      <c r="AV1843" s="59">
        <f>SUMIFS(HIX_RatingAreas[Silver Enrollments 2021],HIX_RatingAreas[Area],HIX_SLCSP[[#This Row],[Area Code]])</f>
        <v>9450</v>
      </c>
      <c r="AW1843" s="59">
        <f>SUMIFS(HIX_RatingAreas[Silver Enrollments 2022],HIX_RatingAreas[Area],HIX_SLCSP[[#This Row],[Area Code]])</f>
        <v>10489</v>
      </c>
      <c r="AX1843" s="59">
        <f>SUMIFS(HIX_RatingAreas[Silver Enrollments 2023],HIX_RatingAreas[Area],HIX_SLCSP[[#This Row],[Area Code]])</f>
        <v>10406</v>
      </c>
      <c r="AY1843" s="59">
        <f>SUMIFS(HIX_RatingAreas[Silver Enrollments 2024],HIX_RatingAreas[Area],HIX_SLCSP[[#This Row],[Area Code]])</f>
        <v>11523</v>
      </c>
      <c r="AZ1843" s="59">
        <v>7149</v>
      </c>
      <c r="BA1843">
        <f t="shared" si="35"/>
        <v>4.1020056162303781E-3</v>
      </c>
      <c r="BB1843">
        <f>SUMIFS(HIX_RatingAreas[QHP Enrollments 2018],HIX_RatingAreas[Area],HIX_SLCSP[[#This Row],[Area Code]])</f>
        <v>7365</v>
      </c>
      <c r="BC1843">
        <f t="shared" si="36"/>
        <v>4.2938947987029115E-3</v>
      </c>
      <c r="BD1843">
        <f>SUMIFS(HIX_RatingAreas[QHP Enrollments 2019],HIX_RatingAreas[Area],HIX_SLCSP[[#This Row],[Area Code]])</f>
        <v>8064</v>
      </c>
      <c r="BE1843">
        <f t="shared" si="37"/>
        <v>4.5219435385105396E-3</v>
      </c>
      <c r="BF1843">
        <f>SUMIFS(HIX_RatingAreas[QHP Enrollments 2020],HIX_RatingAreas[Area],HIX_SLCSP[[#This Row],[Area Code]])</f>
        <v>10623</v>
      </c>
      <c r="BG1843">
        <f t="shared" si="38"/>
        <v>5.5502292349691087E-3</v>
      </c>
      <c r="BH1843">
        <f>SUMIFS(HIX_RatingAreas[QHP Enrollments 2021],HIX_RatingAreas[Area],HIX_SLCSP[[#This Row],[Area Code]])</f>
        <v>13773</v>
      </c>
      <c r="BI1843">
        <f t="shared" si="39"/>
        <v>6.4956257221685096E-3</v>
      </c>
      <c r="BJ1843">
        <f>SUMIFS(HIX_RatingAreas[QHP Enrollments 2022],HIX_RatingAreas[Area],HIX_SLCSP[[#This Row],[Area Code]])</f>
        <v>16609</v>
      </c>
      <c r="BK1843">
        <f t="shared" si="49"/>
        <v>6.0993120325629592E-3</v>
      </c>
      <c r="BL1843">
        <f>SUMIFS(HIX_RatingAreas[QHP Enrollments 2023],HIX_RatingAreas[Area],HIX_SLCSP[[#This Row],[Area Code]])</f>
        <v>16615</v>
      </c>
      <c r="BM1843">
        <f t="shared" si="47"/>
        <v>5.1512431656505243E-3</v>
      </c>
      <c r="BN1843">
        <f>SUMIFS(HIX_RatingAreas[QHP Enrollments 2024],HIX_RatingAreas[Area],HIX_SLCSP[[#This Row],[Area Code]])</f>
        <v>18085</v>
      </c>
      <c r="BO1843">
        <f t="shared" si="48"/>
        <v>4.2937846132222448E-3</v>
      </c>
      <c r="BP1843" s="53">
        <f>ROUND(HIX_SLCSP[[#This Row],[Weighting Factor 2018]]*HIX_SLCSP[[#This Row],[2018]],2)</f>
        <v>3.53</v>
      </c>
      <c r="BQ1843" s="53">
        <f>ROUND(HIX_SLCSP[[#This Row],[Weighting Factor 2019]]*HIX_SLCSP[[#This Row],[2019]],2)</f>
        <v>3.52</v>
      </c>
      <c r="BR1843" s="53">
        <f>ROUND(HIX_SLCSP[[#This Row],[Weighting Factor 2020]]*HIX_SLCSP[[#This Row],[2020]],2)</f>
        <v>4.1399999999999997</v>
      </c>
      <c r="BS1843" s="53">
        <f>ROUND(HIX_SLCSP[[#This Row],[Weighting Factor 2021]]*HIX_SLCSP[[#This Row],[2021]],2)</f>
        <v>4.6900000000000004</v>
      </c>
      <c r="BT1843" s="53">
        <f>ROUND(HIX_SLCSP[[#This Row],[Weighting Factor 2022]]*HIX_SLCSP[[#This Row],[2022]],2)</f>
        <v>3.57</v>
      </c>
      <c r="BU1843" s="53">
        <f>ROUND(HIX_SLCSP[[#This Row],[Weighting Factor 2023]]*HIX_SLCSP[[#This Row],[2023]],2)</f>
        <v>3.38</v>
      </c>
      <c r="BV1843" s="53">
        <f>ROUND(HIX_SLCSP[[#This Row],[Weighting Factor 2024]]*HIX_SLCSP[[#This Row],[2024]],2)</f>
        <v>2.88</v>
      </c>
    </row>
    <row r="1844" spans="4:74" x14ac:dyDescent="0.35">
      <c r="D1844" t="s">
        <v>539</v>
      </c>
      <c r="E1844" t="s">
        <v>692</v>
      </c>
      <c r="F1844" s="23">
        <v>45</v>
      </c>
      <c r="G1844" s="23" t="s">
        <v>540</v>
      </c>
      <c r="H1844" s="23" t="s">
        <v>693</v>
      </c>
      <c r="I1844" s="23">
        <v>41</v>
      </c>
      <c r="J1844" s="53">
        <v>413.01</v>
      </c>
      <c r="K1844" s="53">
        <v>561.67999999999995</v>
      </c>
      <c r="L1844" s="53">
        <v>935.78</v>
      </c>
      <c r="M1844" s="54">
        <f t="shared" si="41"/>
        <v>1.6660376014812706</v>
      </c>
      <c r="N1844" s="24">
        <v>32</v>
      </c>
      <c r="O1844" s="55">
        <v>528.95000000000005</v>
      </c>
      <c r="P1844" s="56">
        <v>598.16</v>
      </c>
      <c r="Q1844" s="56">
        <v>1019.38</v>
      </c>
      <c r="R1844" s="57">
        <f t="shared" si="42"/>
        <v>1.7041928580981678</v>
      </c>
      <c r="S1844" s="23">
        <v>41</v>
      </c>
      <c r="T1844" s="53">
        <v>381.13</v>
      </c>
      <c r="U1844" s="53">
        <v>435.29</v>
      </c>
      <c r="V1844" s="53">
        <v>741.82</v>
      </c>
      <c r="W1844" s="57">
        <f t="shared" si="43"/>
        <v>1.704197201865423</v>
      </c>
      <c r="X1844" s="47">
        <v>149</v>
      </c>
      <c r="Y1844" s="58">
        <v>304.23</v>
      </c>
      <c r="Z1844" s="58">
        <v>312.68</v>
      </c>
      <c r="AA1844" s="58">
        <v>532.86</v>
      </c>
      <c r="AB1844" s="57">
        <f t="shared" si="44"/>
        <v>1.704170397850838</v>
      </c>
      <c r="AC1844" s="47">
        <v>145</v>
      </c>
      <c r="AD1844" s="57">
        <v>334.63</v>
      </c>
      <c r="AE1844" s="57">
        <v>350.47</v>
      </c>
      <c r="AF1844" s="57">
        <v>597.28</v>
      </c>
      <c r="AG1844" s="57">
        <f t="shared" si="45"/>
        <v>1.7042257539875023</v>
      </c>
      <c r="AH1844" s="47">
        <v>133</v>
      </c>
      <c r="AI1844">
        <v>349.7</v>
      </c>
      <c r="AJ1844">
        <v>351.23</v>
      </c>
      <c r="AK1844">
        <v>598.57000000000005</v>
      </c>
      <c r="AL1844" s="57">
        <f t="shared" si="50"/>
        <v>1.7042109159240384</v>
      </c>
      <c r="AM1844" s="47">
        <v>123</v>
      </c>
      <c r="AN1844" s="57">
        <v>356.94</v>
      </c>
      <c r="AO1844" s="57">
        <v>358.66</v>
      </c>
      <c r="AP1844" s="57">
        <v>611.23</v>
      </c>
      <c r="AQ1844" s="57">
        <f t="shared" si="46"/>
        <v>1.7042045391178273</v>
      </c>
      <c r="AR1844" s="59">
        <v>3220</v>
      </c>
      <c r="AS1844" s="59">
        <f>SUMIFS(HIX_RatingAreas[Silver Enrollments 2018],HIX_RatingAreas[Area],HIX_SLCSP[[#This Row],[Area Code]])</f>
        <v>2801</v>
      </c>
      <c r="AT1844" s="59">
        <f>SUMIFS(HIX_RatingAreas[Silver Enrollments 2019],HIX_RatingAreas[Area],HIX_SLCSP[[#This Row],[Area Code]])</f>
        <v>2589</v>
      </c>
      <c r="AU1844" s="59">
        <f>SUMIFS(HIX_RatingAreas[Silver Enrollments 2020],HIX_RatingAreas[Area],HIX_SLCSP[[#This Row],[Area Code]])</f>
        <v>2701</v>
      </c>
      <c r="AV1844" s="59">
        <f>SUMIFS(HIX_RatingAreas[Silver Enrollments 2021],HIX_RatingAreas[Area],HIX_SLCSP[[#This Row],[Area Code]])</f>
        <v>1919</v>
      </c>
      <c r="AW1844" s="59">
        <f>SUMIFS(HIX_RatingAreas[Silver Enrollments 2022],HIX_RatingAreas[Area],HIX_SLCSP[[#This Row],[Area Code]])</f>
        <v>2422</v>
      </c>
      <c r="AX1844" s="59">
        <f>SUMIFS(HIX_RatingAreas[Silver Enrollments 2023],HIX_RatingAreas[Area],HIX_SLCSP[[#This Row],[Area Code]])</f>
        <v>2721</v>
      </c>
      <c r="AY1844" s="59">
        <f>SUMIFS(HIX_RatingAreas[Silver Enrollments 2024],HIX_RatingAreas[Area],HIX_SLCSP[[#This Row],[Area Code]])</f>
        <v>3912</v>
      </c>
      <c r="AZ1844" s="59">
        <v>4210</v>
      </c>
      <c r="BA1844">
        <f t="shared" si="35"/>
        <v>2.4156446558021949E-3</v>
      </c>
      <c r="BB1844">
        <f>SUMIFS(HIX_RatingAreas[QHP Enrollments 2018],HIX_RatingAreas[Area],HIX_SLCSP[[#This Row],[Area Code]])</f>
        <v>4309</v>
      </c>
      <c r="BC1844">
        <f t="shared" si="36"/>
        <v>2.5122053886776434E-3</v>
      </c>
      <c r="BD1844">
        <f>SUMIFS(HIX_RatingAreas[QHP Enrollments 2019],HIX_RatingAreas[Area],HIX_SLCSP[[#This Row],[Area Code]])</f>
        <v>4471</v>
      </c>
      <c r="BE1844">
        <f t="shared" si="37"/>
        <v>2.507144042743133E-3</v>
      </c>
      <c r="BF1844">
        <f>SUMIFS(HIX_RatingAreas[QHP Enrollments 2020],HIX_RatingAreas[Area],HIX_SLCSP[[#This Row],[Area Code]])</f>
        <v>4689</v>
      </c>
      <c r="BG1844">
        <f t="shared" si="38"/>
        <v>2.4498752596037042E-3</v>
      </c>
      <c r="BH1844">
        <f>SUMIFS(HIX_RatingAreas[QHP Enrollments 2021],HIX_RatingAreas[Area],HIX_SLCSP[[#This Row],[Area Code]])</f>
        <v>4504</v>
      </c>
      <c r="BI1844">
        <f t="shared" si="39"/>
        <v>2.1241776121866673E-3</v>
      </c>
      <c r="BJ1844">
        <f>SUMIFS(HIX_RatingAreas[QHP Enrollments 2022],HIX_RatingAreas[Area],HIX_SLCSP[[#This Row],[Area Code]])</f>
        <v>5434</v>
      </c>
      <c r="BK1844">
        <f t="shared" si="49"/>
        <v>1.9955242088594812E-3</v>
      </c>
      <c r="BL1844">
        <f>SUMIFS(HIX_RatingAreas[QHP Enrollments 2023],HIX_RatingAreas[Area],HIX_SLCSP[[#This Row],[Area Code]])</f>
        <v>6675</v>
      </c>
      <c r="BM1844">
        <f t="shared" si="47"/>
        <v>2.0694883015779267E-3</v>
      </c>
      <c r="BN1844">
        <f>SUMIFS(HIX_RatingAreas[QHP Enrollments 2024],HIX_RatingAreas[Area],HIX_SLCSP[[#This Row],[Area Code]])</f>
        <v>8838</v>
      </c>
      <c r="BO1844">
        <f t="shared" si="48"/>
        <v>2.0983394200529831E-3</v>
      </c>
      <c r="BP1844" s="53">
        <f>ROUND(HIX_SLCSP[[#This Row],[Weighting Factor 2018]]*HIX_SLCSP[[#This Row],[2018]],2)</f>
        <v>1.41</v>
      </c>
      <c r="BQ1844" s="53">
        <f>ROUND(HIX_SLCSP[[#This Row],[Weighting Factor 2019]]*HIX_SLCSP[[#This Row],[2019]],2)</f>
        <v>1.5</v>
      </c>
      <c r="BR1844" s="53">
        <f>ROUND(HIX_SLCSP[[#This Row],[Weighting Factor 2020]]*HIX_SLCSP[[#This Row],[2020]],2)</f>
        <v>1.07</v>
      </c>
      <c r="BS1844" s="53">
        <f>ROUND(HIX_SLCSP[[#This Row],[Weighting Factor 2021]]*HIX_SLCSP[[#This Row],[2021]],2)</f>
        <v>0.66</v>
      </c>
      <c r="BT1844" s="53">
        <f>ROUND(HIX_SLCSP[[#This Row],[Weighting Factor 2022]]*HIX_SLCSP[[#This Row],[2022]],2)</f>
        <v>0.7</v>
      </c>
      <c r="BU1844" s="53">
        <f>ROUND(HIX_SLCSP[[#This Row],[Weighting Factor 2023]]*HIX_SLCSP[[#This Row],[2023]],2)</f>
        <v>0.73</v>
      </c>
      <c r="BV1844" s="53">
        <f>ROUND(HIX_SLCSP[[#This Row],[Weighting Factor 2024]]*HIX_SLCSP[[#This Row],[2024]],2)</f>
        <v>0.75</v>
      </c>
    </row>
    <row r="1845" spans="4:74" x14ac:dyDescent="0.35">
      <c r="D1845" t="s">
        <v>539</v>
      </c>
      <c r="E1845" t="s">
        <v>696</v>
      </c>
      <c r="F1845" s="23">
        <v>46</v>
      </c>
      <c r="G1845" s="23" t="s">
        <v>540</v>
      </c>
      <c r="H1845" s="23" t="s">
        <v>697</v>
      </c>
      <c r="I1845" s="23">
        <v>97</v>
      </c>
      <c r="J1845" s="53">
        <v>302.70999999999998</v>
      </c>
      <c r="K1845" s="53">
        <v>409.04</v>
      </c>
      <c r="L1845" s="53">
        <v>681.46</v>
      </c>
      <c r="M1845" s="54">
        <f t="shared" si="41"/>
        <v>1.665998435360845</v>
      </c>
      <c r="N1845" s="24">
        <v>48</v>
      </c>
      <c r="O1845" s="55">
        <v>374.81</v>
      </c>
      <c r="P1845" s="56">
        <v>403.69</v>
      </c>
      <c r="Q1845" s="56">
        <v>687.97</v>
      </c>
      <c r="R1845" s="57">
        <f t="shared" si="42"/>
        <v>1.7042037206767571</v>
      </c>
      <c r="S1845" s="23">
        <v>97</v>
      </c>
      <c r="T1845" s="53">
        <v>300.51</v>
      </c>
      <c r="U1845" s="53">
        <v>357.55</v>
      </c>
      <c r="V1845" s="53">
        <v>609.33000000000004</v>
      </c>
      <c r="W1845" s="57">
        <f t="shared" si="43"/>
        <v>1.704181233393931</v>
      </c>
      <c r="X1845" s="47">
        <v>157</v>
      </c>
      <c r="Y1845" s="58">
        <v>293.01</v>
      </c>
      <c r="Z1845" s="58">
        <v>301.14999999999998</v>
      </c>
      <c r="AA1845" s="58">
        <v>513.21</v>
      </c>
      <c r="AB1845" s="57">
        <f t="shared" si="44"/>
        <v>1.7041673584592398</v>
      </c>
      <c r="AC1845" s="47">
        <v>204</v>
      </c>
      <c r="AD1845" s="57">
        <v>302.86</v>
      </c>
      <c r="AE1845" s="57">
        <v>304.58</v>
      </c>
      <c r="AF1845" s="57">
        <v>519.07000000000005</v>
      </c>
      <c r="AG1845" s="57">
        <f t="shared" si="45"/>
        <v>1.704215641210848</v>
      </c>
      <c r="AH1845" s="47">
        <v>177</v>
      </c>
      <c r="AI1845">
        <v>337.8</v>
      </c>
      <c r="AJ1845">
        <v>342.89</v>
      </c>
      <c r="AK1845">
        <v>584.35</v>
      </c>
      <c r="AL1845" s="57">
        <f t="shared" si="50"/>
        <v>1.7041908483770307</v>
      </c>
      <c r="AM1845" s="47">
        <v>119</v>
      </c>
      <c r="AN1845" s="57">
        <v>330.59</v>
      </c>
      <c r="AO1845" s="57">
        <v>332.18</v>
      </c>
      <c r="AP1845" s="57">
        <v>566.1</v>
      </c>
      <c r="AQ1845" s="57">
        <f t="shared" si="46"/>
        <v>1.7041965199590583</v>
      </c>
      <c r="AR1845" s="59">
        <v>7300</v>
      </c>
      <c r="AS1845" s="59">
        <f>SUMIFS(HIX_RatingAreas[Silver Enrollments 2018],HIX_RatingAreas[Area],HIX_SLCSP[[#This Row],[Area Code]])</f>
        <v>5748</v>
      </c>
      <c r="AT1845" s="59">
        <f>SUMIFS(HIX_RatingAreas[Silver Enrollments 2019],HIX_RatingAreas[Area],HIX_SLCSP[[#This Row],[Area Code]])</f>
        <v>5614</v>
      </c>
      <c r="AU1845" s="59">
        <f>SUMIFS(HIX_RatingAreas[Silver Enrollments 2020],HIX_RatingAreas[Area],HIX_SLCSP[[#This Row],[Area Code]])</f>
        <v>5993</v>
      </c>
      <c r="AV1845" s="59">
        <f>SUMIFS(HIX_RatingAreas[Silver Enrollments 2021],HIX_RatingAreas[Area],HIX_SLCSP[[#This Row],[Area Code]])</f>
        <v>5881</v>
      </c>
      <c r="AW1845" s="59">
        <f>SUMIFS(HIX_RatingAreas[Silver Enrollments 2022],HIX_RatingAreas[Area],HIX_SLCSP[[#This Row],[Area Code]])</f>
        <v>6783</v>
      </c>
      <c r="AX1845" s="59">
        <f>SUMIFS(HIX_RatingAreas[Silver Enrollments 2023],HIX_RatingAreas[Area],HIX_SLCSP[[#This Row],[Area Code]])</f>
        <v>7751</v>
      </c>
      <c r="AY1845" s="59">
        <f>SUMIFS(HIX_RatingAreas[Silver Enrollments 2024],HIX_RatingAreas[Area],HIX_SLCSP[[#This Row],[Area Code]])</f>
        <v>11060</v>
      </c>
      <c r="AZ1845" s="59">
        <v>9368</v>
      </c>
      <c r="BA1845">
        <f t="shared" si="35"/>
        <v>5.37523969965676E-3</v>
      </c>
      <c r="BB1845">
        <f>SUMIFS(HIX_RatingAreas[QHP Enrollments 2018],HIX_RatingAreas[Area],HIX_SLCSP[[#This Row],[Area Code]])</f>
        <v>9109</v>
      </c>
      <c r="BC1845">
        <f t="shared" si="36"/>
        <v>5.3106704306021477E-3</v>
      </c>
      <c r="BD1845">
        <f>SUMIFS(HIX_RatingAreas[QHP Enrollments 2019],HIX_RatingAreas[Area],HIX_SLCSP[[#This Row],[Area Code]])</f>
        <v>9262</v>
      </c>
      <c r="BE1845">
        <f t="shared" si="37"/>
        <v>5.1937302893954145E-3</v>
      </c>
      <c r="BF1845">
        <f>SUMIFS(HIX_RatingAreas[QHP Enrollments 2020],HIX_RatingAreas[Area],HIX_SLCSP[[#This Row],[Area Code]])</f>
        <v>9770</v>
      </c>
      <c r="BG1845">
        <f t="shared" si="38"/>
        <v>5.1045598819211323E-3</v>
      </c>
      <c r="BH1845">
        <f>SUMIFS(HIX_RatingAreas[QHP Enrollments 2021],HIX_RatingAreas[Area],HIX_SLCSP[[#This Row],[Area Code]])</f>
        <v>10698</v>
      </c>
      <c r="BI1845">
        <f t="shared" si="39"/>
        <v>5.0453934491947088E-3</v>
      </c>
      <c r="BJ1845">
        <f>SUMIFS(HIX_RatingAreas[QHP Enrollments 2022],HIX_RatingAreas[Area],HIX_SLCSP[[#This Row],[Area Code]])</f>
        <v>13356</v>
      </c>
      <c r="BK1845">
        <f t="shared" si="49"/>
        <v>4.9047150043296335E-3</v>
      </c>
      <c r="BL1845">
        <f>SUMIFS(HIX_RatingAreas[QHP Enrollments 2023],HIX_RatingAreas[Area],HIX_SLCSP[[#This Row],[Area Code]])</f>
        <v>16983</v>
      </c>
      <c r="BM1845">
        <f t="shared" si="47"/>
        <v>5.2653363034753453E-3</v>
      </c>
      <c r="BN1845">
        <f>SUMIFS(HIX_RatingAreas[QHP Enrollments 2024],HIX_RatingAreas[Area],HIX_SLCSP[[#This Row],[Area Code]])</f>
        <v>22985</v>
      </c>
      <c r="BO1845">
        <f t="shared" si="48"/>
        <v>5.4571545111923303E-3</v>
      </c>
      <c r="BP1845" s="53">
        <f>ROUND(HIX_SLCSP[[#This Row],[Weighting Factor 2018]]*HIX_SLCSP[[#This Row],[2018]],2)</f>
        <v>2.17</v>
      </c>
      <c r="BQ1845" s="53">
        <f>ROUND(HIX_SLCSP[[#This Row],[Weighting Factor 2019]]*HIX_SLCSP[[#This Row],[2019]],2)</f>
        <v>2.1</v>
      </c>
      <c r="BR1845" s="53">
        <f>ROUND(HIX_SLCSP[[#This Row],[Weighting Factor 2020]]*HIX_SLCSP[[#This Row],[2020]],2)</f>
        <v>1.83</v>
      </c>
      <c r="BS1845" s="53">
        <f>ROUND(HIX_SLCSP[[#This Row],[Weighting Factor 2021]]*HIX_SLCSP[[#This Row],[2021]],2)</f>
        <v>1.52</v>
      </c>
      <c r="BT1845" s="53">
        <f>ROUND(HIX_SLCSP[[#This Row],[Weighting Factor 2022]]*HIX_SLCSP[[#This Row],[2022]],2)</f>
        <v>1.49</v>
      </c>
      <c r="BU1845" s="53">
        <f>ROUND(HIX_SLCSP[[#This Row],[Weighting Factor 2023]]*HIX_SLCSP[[#This Row],[2023]],2)</f>
        <v>1.81</v>
      </c>
      <c r="BV1845" s="53">
        <f>ROUND(HIX_SLCSP[[#This Row],[Weighting Factor 2024]]*HIX_SLCSP[[#This Row],[2024]],2)</f>
        <v>1.81</v>
      </c>
    </row>
    <row r="1846" spans="4:74" x14ac:dyDescent="0.35">
      <c r="D1846" t="s">
        <v>539</v>
      </c>
      <c r="E1846" t="s">
        <v>700</v>
      </c>
      <c r="F1846" s="23">
        <v>47</v>
      </c>
      <c r="G1846" s="23" t="s">
        <v>540</v>
      </c>
      <c r="H1846" s="23" t="s">
        <v>701</v>
      </c>
      <c r="I1846" s="23">
        <v>81</v>
      </c>
      <c r="J1846" s="53">
        <v>424.53</v>
      </c>
      <c r="K1846" s="53">
        <v>569.27</v>
      </c>
      <c r="L1846" s="53">
        <v>948.42</v>
      </c>
      <c r="M1846" s="54">
        <f t="shared" si="41"/>
        <v>1.6660284223654855</v>
      </c>
      <c r="N1846" s="24">
        <v>80</v>
      </c>
      <c r="O1846" s="55">
        <v>359.94</v>
      </c>
      <c r="P1846" s="56">
        <v>366</v>
      </c>
      <c r="Q1846" s="56">
        <v>623.74</v>
      </c>
      <c r="R1846" s="57">
        <f t="shared" si="42"/>
        <v>1.704207650273224</v>
      </c>
      <c r="S1846" s="23">
        <v>81</v>
      </c>
      <c r="T1846" s="53">
        <v>277.95</v>
      </c>
      <c r="U1846" s="53">
        <v>355.17</v>
      </c>
      <c r="V1846" s="53">
        <v>605.29</v>
      </c>
      <c r="W1846" s="57">
        <f t="shared" si="43"/>
        <v>1.7042261452262295</v>
      </c>
      <c r="X1846" s="47">
        <v>141</v>
      </c>
      <c r="Y1846" s="58">
        <v>303.04000000000002</v>
      </c>
      <c r="Z1846" s="58">
        <v>311.45</v>
      </c>
      <c r="AA1846" s="58">
        <v>530.78</v>
      </c>
      <c r="AB1846" s="57">
        <f t="shared" si="44"/>
        <v>1.7042221865467972</v>
      </c>
      <c r="AC1846" s="47">
        <v>137</v>
      </c>
      <c r="AD1846" s="57">
        <v>314</v>
      </c>
      <c r="AE1846" s="57">
        <v>328.86</v>
      </c>
      <c r="AF1846" s="57">
        <v>560.44000000000005</v>
      </c>
      <c r="AG1846" s="57">
        <f t="shared" si="45"/>
        <v>1.7041902329258651</v>
      </c>
      <c r="AH1846" s="47">
        <v>116</v>
      </c>
      <c r="AI1846">
        <v>376.19</v>
      </c>
      <c r="AJ1846">
        <v>378.02</v>
      </c>
      <c r="AK1846">
        <v>644.21</v>
      </c>
      <c r="AL1846" s="57">
        <f t="shared" si="50"/>
        <v>1.7041690915824561</v>
      </c>
      <c r="AM1846" s="47">
        <v>86</v>
      </c>
      <c r="AN1846" s="57">
        <v>339.45</v>
      </c>
      <c r="AO1846" s="57">
        <v>341.08</v>
      </c>
      <c r="AP1846" s="57">
        <v>581.27</v>
      </c>
      <c r="AQ1846" s="57">
        <f t="shared" si="46"/>
        <v>1.7042042922481531</v>
      </c>
      <c r="AR1846" s="59">
        <v>1492</v>
      </c>
      <c r="AS1846" s="59">
        <f>SUMIFS(HIX_RatingAreas[Silver Enrollments 2018],HIX_RatingAreas[Area],HIX_SLCSP[[#This Row],[Area Code]])</f>
        <v>1450</v>
      </c>
      <c r="AT1846" s="59">
        <f>SUMIFS(HIX_RatingAreas[Silver Enrollments 2019],HIX_RatingAreas[Area],HIX_SLCSP[[#This Row],[Area Code]])</f>
        <v>1170</v>
      </c>
      <c r="AU1846" s="59">
        <f>SUMIFS(HIX_RatingAreas[Silver Enrollments 2020],HIX_RatingAreas[Area],HIX_SLCSP[[#This Row],[Area Code]])</f>
        <v>803</v>
      </c>
      <c r="AV1846" s="59">
        <f>SUMIFS(HIX_RatingAreas[Silver Enrollments 2021],HIX_RatingAreas[Area],HIX_SLCSP[[#This Row],[Area Code]])</f>
        <v>942</v>
      </c>
      <c r="AW1846" s="59">
        <f>SUMIFS(HIX_RatingAreas[Silver Enrollments 2022],HIX_RatingAreas[Area],HIX_SLCSP[[#This Row],[Area Code]])</f>
        <v>1678</v>
      </c>
      <c r="AX1846" s="59">
        <f>SUMIFS(HIX_RatingAreas[Silver Enrollments 2023],HIX_RatingAreas[Area],HIX_SLCSP[[#This Row],[Area Code]])</f>
        <v>1970</v>
      </c>
      <c r="AY1846" s="59">
        <f>SUMIFS(HIX_RatingAreas[Silver Enrollments 2024],HIX_RatingAreas[Area],HIX_SLCSP[[#This Row],[Area Code]])</f>
        <v>2652</v>
      </c>
      <c r="AZ1846" s="59">
        <v>1801</v>
      </c>
      <c r="BA1846">
        <f t="shared" si="35"/>
        <v>1.0333909798336705E-3</v>
      </c>
      <c r="BB1846">
        <f>SUMIFS(HIX_RatingAreas[QHP Enrollments 2018],HIX_RatingAreas[Area],HIX_SLCSP[[#This Row],[Area Code]])</f>
        <v>1847</v>
      </c>
      <c r="BC1846">
        <f t="shared" si="36"/>
        <v>1.0768260275905333E-3</v>
      </c>
      <c r="BD1846">
        <f>SUMIFS(HIX_RatingAreas[QHP Enrollments 2019],HIX_RatingAreas[Area],HIX_SLCSP[[#This Row],[Area Code]])</f>
        <v>1745</v>
      </c>
      <c r="BE1846">
        <f t="shared" si="37"/>
        <v>9.7852076819207492E-4</v>
      </c>
      <c r="BF1846">
        <f>SUMIFS(HIX_RatingAreas[QHP Enrollments 2020],HIX_RatingAreas[Area],HIX_SLCSP[[#This Row],[Area Code]])</f>
        <v>1298</v>
      </c>
      <c r="BG1846">
        <f t="shared" si="38"/>
        <v>6.781697775571781E-4</v>
      </c>
      <c r="BH1846">
        <f>SUMIFS(HIX_RatingAreas[QHP Enrollments 2021],HIX_RatingAreas[Area],HIX_SLCSP[[#This Row],[Area Code]])</f>
        <v>1500</v>
      </c>
      <c r="BI1846">
        <f t="shared" si="39"/>
        <v>7.0743037706039093E-4</v>
      </c>
      <c r="BJ1846">
        <f>SUMIFS(HIX_RatingAreas[QHP Enrollments 2022],HIX_RatingAreas[Area],HIX_SLCSP[[#This Row],[Area Code]])</f>
        <v>2550</v>
      </c>
      <c r="BK1846">
        <f t="shared" si="49"/>
        <v>9.3643480540884746E-4</v>
      </c>
      <c r="BL1846">
        <f>SUMIFS(HIX_RatingAreas[QHP Enrollments 2023],HIX_RatingAreas[Area],HIX_SLCSP[[#This Row],[Area Code]])</f>
        <v>3283</v>
      </c>
      <c r="BM1846">
        <f t="shared" si="47"/>
        <v>1.017847205105668E-3</v>
      </c>
      <c r="BN1846">
        <f>SUMIFS(HIX_RatingAreas[QHP Enrollments 2024],HIX_RatingAreas[Area],HIX_SLCSP[[#This Row],[Area Code]])</f>
        <v>4467</v>
      </c>
      <c r="BO1846">
        <f t="shared" si="48"/>
        <v>1.0605659865780353E-3</v>
      </c>
      <c r="BP1846" s="53">
        <f>ROUND(HIX_SLCSP[[#This Row],[Weighting Factor 2018]]*HIX_SLCSP[[#This Row],[2018]],2)</f>
        <v>0.61</v>
      </c>
      <c r="BQ1846" s="53">
        <f>ROUND(HIX_SLCSP[[#This Row],[Weighting Factor 2019]]*HIX_SLCSP[[#This Row],[2019]],2)</f>
        <v>0.36</v>
      </c>
      <c r="BR1846" s="53">
        <f>ROUND(HIX_SLCSP[[#This Row],[Weighting Factor 2020]]*HIX_SLCSP[[#This Row],[2020]],2)</f>
        <v>0.24</v>
      </c>
      <c r="BS1846" s="53">
        <f>ROUND(HIX_SLCSP[[#This Row],[Weighting Factor 2021]]*HIX_SLCSP[[#This Row],[2021]],2)</f>
        <v>0.22</v>
      </c>
      <c r="BT1846" s="53">
        <f>ROUND(HIX_SLCSP[[#This Row],[Weighting Factor 2022]]*HIX_SLCSP[[#This Row],[2022]],2)</f>
        <v>0.31</v>
      </c>
      <c r="BU1846" s="53">
        <f>ROUND(HIX_SLCSP[[#This Row],[Weighting Factor 2023]]*HIX_SLCSP[[#This Row],[2023]],2)</f>
        <v>0.38</v>
      </c>
      <c r="BV1846" s="53">
        <f>ROUND(HIX_SLCSP[[#This Row],[Weighting Factor 2024]]*HIX_SLCSP[[#This Row],[2024]],2)</f>
        <v>0.36</v>
      </c>
    </row>
    <row r="1847" spans="4:74" x14ac:dyDescent="0.35">
      <c r="D1847" t="s">
        <v>539</v>
      </c>
      <c r="E1847" t="s">
        <v>704</v>
      </c>
      <c r="F1847" s="23">
        <v>48</v>
      </c>
      <c r="G1847" s="23" t="s">
        <v>540</v>
      </c>
      <c r="H1847" s="23" t="s">
        <v>705</v>
      </c>
      <c r="I1847" s="23">
        <v>143</v>
      </c>
      <c r="J1847" s="53">
        <v>310.66000000000003</v>
      </c>
      <c r="K1847" s="53">
        <v>384.2</v>
      </c>
      <c r="L1847" s="53">
        <v>654.75</v>
      </c>
      <c r="M1847" s="54">
        <f t="shared" si="41"/>
        <v>1.7041905257678294</v>
      </c>
      <c r="N1847" s="24">
        <v>109</v>
      </c>
      <c r="O1847" s="55">
        <v>291.54000000000002</v>
      </c>
      <c r="P1847" s="56">
        <v>383.33</v>
      </c>
      <c r="Q1847" s="56">
        <v>653.28</v>
      </c>
      <c r="R1847" s="57">
        <f t="shared" si="42"/>
        <v>1.7042235149870868</v>
      </c>
      <c r="S1847" s="23">
        <v>143</v>
      </c>
      <c r="T1847" s="53">
        <v>301.74</v>
      </c>
      <c r="U1847" s="53">
        <v>308.52</v>
      </c>
      <c r="V1847" s="53">
        <v>525.79</v>
      </c>
      <c r="W1847" s="57">
        <f t="shared" si="43"/>
        <v>1.7042331129262285</v>
      </c>
      <c r="X1847" s="47">
        <v>256</v>
      </c>
      <c r="Y1847" s="58">
        <v>292.77</v>
      </c>
      <c r="Z1847" s="58">
        <v>292.77</v>
      </c>
      <c r="AA1847" s="58">
        <v>498.94</v>
      </c>
      <c r="AB1847" s="57">
        <f t="shared" si="44"/>
        <v>1.7042046657785976</v>
      </c>
      <c r="AC1847" s="47">
        <v>358</v>
      </c>
      <c r="AD1847" s="57">
        <v>294.20999999999998</v>
      </c>
      <c r="AE1847" s="57">
        <v>300.10000000000002</v>
      </c>
      <c r="AF1847" s="57">
        <v>511.43</v>
      </c>
      <c r="AG1847" s="57">
        <f t="shared" si="45"/>
        <v>1.7041986004665111</v>
      </c>
      <c r="AH1847" s="47">
        <v>336</v>
      </c>
      <c r="AI1847">
        <v>306.37</v>
      </c>
      <c r="AJ1847">
        <v>318.02</v>
      </c>
      <c r="AK1847">
        <v>541.96</v>
      </c>
      <c r="AL1847" s="57">
        <f t="shared" si="50"/>
        <v>1.7041695490849633</v>
      </c>
      <c r="AM1847" s="47">
        <v>271</v>
      </c>
      <c r="AN1847" s="57">
        <v>315.76</v>
      </c>
      <c r="AO1847" s="57">
        <v>316.62</v>
      </c>
      <c r="AP1847" s="57">
        <v>539.59</v>
      </c>
      <c r="AQ1847" s="57">
        <f t="shared" si="46"/>
        <v>1.7042195691996715</v>
      </c>
      <c r="AR1847" s="59">
        <v>99478</v>
      </c>
      <c r="AS1847" s="59">
        <f>SUMIFS(HIX_RatingAreas[Silver Enrollments 2018],HIX_RatingAreas[Area],HIX_SLCSP[[#This Row],[Area Code]])</f>
        <v>96777</v>
      </c>
      <c r="AT1847" s="59">
        <f>SUMIFS(HIX_RatingAreas[Silver Enrollments 2019],HIX_RatingAreas[Area],HIX_SLCSP[[#This Row],[Area Code]])</f>
        <v>96815</v>
      </c>
      <c r="AU1847" s="59">
        <f>SUMIFS(HIX_RatingAreas[Silver Enrollments 2020],HIX_RatingAreas[Area],HIX_SLCSP[[#This Row],[Area Code]])</f>
        <v>103786</v>
      </c>
      <c r="AV1847" s="59">
        <f>SUMIFS(HIX_RatingAreas[Silver Enrollments 2021],HIX_RatingAreas[Area],HIX_SLCSP[[#This Row],[Area Code]])</f>
        <v>118289</v>
      </c>
      <c r="AW1847" s="59">
        <f>SUMIFS(HIX_RatingAreas[Silver Enrollments 2022],HIX_RatingAreas[Area],HIX_SLCSP[[#This Row],[Area Code]])</f>
        <v>165642</v>
      </c>
      <c r="AX1847" s="59">
        <f>SUMIFS(HIX_RatingAreas[Silver Enrollments 2023],HIX_RatingAreas[Area],HIX_SLCSP[[#This Row],[Area Code]])</f>
        <v>201186</v>
      </c>
      <c r="AY1847" s="59">
        <f>SUMIFS(HIX_RatingAreas[Silver Enrollments 2024],HIX_RatingAreas[Area],HIX_SLCSP[[#This Row],[Area Code]])</f>
        <v>270661</v>
      </c>
      <c r="AZ1847" s="59">
        <v>120913</v>
      </c>
      <c r="BA1847">
        <f t="shared" si="35"/>
        <v>6.9378347331831541E-2</v>
      </c>
      <c r="BB1847">
        <f>SUMIFS(HIX_RatingAreas[QHP Enrollments 2018],HIX_RatingAreas[Area],HIX_SLCSP[[#This Row],[Area Code]])</f>
        <v>133742</v>
      </c>
      <c r="BC1847">
        <f t="shared" si="36"/>
        <v>7.7973398257722301E-2</v>
      </c>
      <c r="BD1847">
        <f>SUMIFS(HIX_RatingAreas[QHP Enrollments 2019],HIX_RatingAreas[Area],HIX_SLCSP[[#This Row],[Area Code]])</f>
        <v>140932</v>
      </c>
      <c r="BE1847">
        <f t="shared" si="37"/>
        <v>7.9028589629137821E-2</v>
      </c>
      <c r="BF1847">
        <f>SUMIFS(HIX_RatingAreas[QHP Enrollments 2020],HIX_RatingAreas[Area],HIX_SLCSP[[#This Row],[Area Code]])</f>
        <v>152794</v>
      </c>
      <c r="BG1847">
        <f t="shared" si="38"/>
        <v>7.9830718792042732E-2</v>
      </c>
      <c r="BH1847">
        <f>SUMIFS(HIX_RatingAreas[QHP Enrollments 2021],HIX_RatingAreas[Area],HIX_SLCSP[[#This Row],[Area Code]])</f>
        <v>176773</v>
      </c>
      <c r="BI1847">
        <f t="shared" si="39"/>
        <v>8.3369726696064322E-2</v>
      </c>
      <c r="BJ1847">
        <f>SUMIFS(HIX_RatingAreas[QHP Enrollments 2022],HIX_RatingAreas[Area],HIX_SLCSP[[#This Row],[Area Code]])</f>
        <v>244577</v>
      </c>
      <c r="BK1847">
        <f t="shared" si="49"/>
        <v>8.9815849177443008E-2</v>
      </c>
      <c r="BL1847">
        <f>SUMIFS(HIX_RatingAreas[QHP Enrollments 2023],HIX_RatingAreas[Area],HIX_SLCSP[[#This Row],[Area Code]])</f>
        <v>296301</v>
      </c>
      <c r="BM1847">
        <f t="shared" si="47"/>
        <v>9.1863888126717794E-2</v>
      </c>
      <c r="BN1847">
        <f>SUMIFS(HIX_RatingAreas[QHP Enrollments 2024],HIX_RatingAreas[Area],HIX_SLCSP[[#This Row],[Area Code]])</f>
        <v>388468</v>
      </c>
      <c r="BO1847">
        <f t="shared" si="48"/>
        <v>9.2231015821355761E-2</v>
      </c>
      <c r="BP1847" s="53">
        <f>ROUND(HIX_SLCSP[[#This Row],[Weighting Factor 2018]]*HIX_SLCSP[[#This Row],[2018]],2)</f>
        <v>29.96</v>
      </c>
      <c r="BQ1847" s="53">
        <f>ROUND(HIX_SLCSP[[#This Row],[Weighting Factor 2019]]*HIX_SLCSP[[#This Row],[2019]],2)</f>
        <v>30.29</v>
      </c>
      <c r="BR1847" s="53">
        <f>ROUND(HIX_SLCSP[[#This Row],[Weighting Factor 2020]]*HIX_SLCSP[[#This Row],[2020]],2)</f>
        <v>24.63</v>
      </c>
      <c r="BS1847" s="53">
        <f>ROUND(HIX_SLCSP[[#This Row],[Weighting Factor 2021]]*HIX_SLCSP[[#This Row],[2021]],2)</f>
        <v>24.41</v>
      </c>
      <c r="BT1847" s="53">
        <f>ROUND(HIX_SLCSP[[#This Row],[Weighting Factor 2022]]*HIX_SLCSP[[#This Row],[2022]],2)</f>
        <v>26.95</v>
      </c>
      <c r="BU1847" s="53">
        <f>ROUND(HIX_SLCSP[[#This Row],[Weighting Factor 2023]]*HIX_SLCSP[[#This Row],[2023]],2)</f>
        <v>29.21</v>
      </c>
      <c r="BV1847" s="53">
        <f>ROUND(HIX_SLCSP[[#This Row],[Weighting Factor 2024]]*HIX_SLCSP[[#This Row],[2024]],2)</f>
        <v>29.2</v>
      </c>
    </row>
    <row r="1848" spans="4:74" x14ac:dyDescent="0.35">
      <c r="D1848" t="s">
        <v>539</v>
      </c>
      <c r="E1848" t="s">
        <v>708</v>
      </c>
      <c r="F1848" s="23">
        <v>49</v>
      </c>
      <c r="G1848" s="23" t="s">
        <v>540</v>
      </c>
      <c r="H1848" s="23" t="s">
        <v>709</v>
      </c>
      <c r="I1848" s="23">
        <v>143</v>
      </c>
      <c r="J1848" s="53">
        <v>304.3</v>
      </c>
      <c r="K1848" s="53">
        <v>377.21</v>
      </c>
      <c r="L1848" s="53">
        <v>642.84</v>
      </c>
      <c r="M1848" s="54">
        <f t="shared" si="41"/>
        <v>1.7041966013626364</v>
      </c>
      <c r="N1848" s="24">
        <v>113</v>
      </c>
      <c r="O1848" s="55">
        <v>286.29000000000002</v>
      </c>
      <c r="P1848" s="56">
        <v>376.43</v>
      </c>
      <c r="Q1848" s="56">
        <v>641.52</v>
      </c>
      <c r="R1848" s="57">
        <f t="shared" si="42"/>
        <v>1.7042212363520441</v>
      </c>
      <c r="S1848" s="23">
        <v>143</v>
      </c>
      <c r="T1848" s="53">
        <v>292.55</v>
      </c>
      <c r="U1848" s="53">
        <v>292.94</v>
      </c>
      <c r="V1848" s="53">
        <v>499.23</v>
      </c>
      <c r="W1848" s="57">
        <f t="shared" si="43"/>
        <v>1.704205639380078</v>
      </c>
      <c r="X1848" s="47">
        <v>256</v>
      </c>
      <c r="Y1848" s="58">
        <v>298.35000000000002</v>
      </c>
      <c r="Z1848" s="58">
        <v>290.3</v>
      </c>
      <c r="AA1848" s="58">
        <v>494.73</v>
      </c>
      <c r="AB1848" s="57">
        <f t="shared" si="44"/>
        <v>1.7042025490871513</v>
      </c>
      <c r="AC1848" s="47">
        <v>358</v>
      </c>
      <c r="AD1848" s="57">
        <v>287.52999999999997</v>
      </c>
      <c r="AE1848" s="57">
        <v>292.72000000000003</v>
      </c>
      <c r="AF1848" s="57">
        <v>498.86</v>
      </c>
      <c r="AG1848" s="57">
        <f t="shared" si="45"/>
        <v>1.7042224651544136</v>
      </c>
      <c r="AH1848" s="47">
        <v>336</v>
      </c>
      <c r="AI1848">
        <v>303.36</v>
      </c>
      <c r="AJ1848">
        <v>311.39999999999998</v>
      </c>
      <c r="AK1848">
        <v>530.69000000000005</v>
      </c>
      <c r="AL1848" s="57">
        <f t="shared" si="50"/>
        <v>1.7042068079640338</v>
      </c>
      <c r="AM1848" s="47">
        <v>271</v>
      </c>
      <c r="AN1848" s="57">
        <v>306.60000000000002</v>
      </c>
      <c r="AO1848" s="57">
        <v>307.61</v>
      </c>
      <c r="AP1848" s="57">
        <v>524.24</v>
      </c>
      <c r="AQ1848" s="57">
        <f t="shared" si="46"/>
        <v>1.7042358830987288</v>
      </c>
      <c r="AR1848" s="59">
        <v>30801</v>
      </c>
      <c r="AS1848" s="59">
        <f>SUMIFS(HIX_RatingAreas[Silver Enrollments 2018],HIX_RatingAreas[Area],HIX_SLCSP[[#This Row],[Area Code]])</f>
        <v>31721</v>
      </c>
      <c r="AT1848" s="59">
        <f>SUMIFS(HIX_RatingAreas[Silver Enrollments 2019],HIX_RatingAreas[Area],HIX_SLCSP[[#This Row],[Area Code]])</f>
        <v>33108</v>
      </c>
      <c r="AU1848" s="59">
        <f>SUMIFS(HIX_RatingAreas[Silver Enrollments 2020],HIX_RatingAreas[Area],HIX_SLCSP[[#This Row],[Area Code]])</f>
        <v>37171</v>
      </c>
      <c r="AV1848" s="59">
        <f>SUMIFS(HIX_RatingAreas[Silver Enrollments 2021],HIX_RatingAreas[Area],HIX_SLCSP[[#This Row],[Area Code]])</f>
        <v>44632</v>
      </c>
      <c r="AW1848" s="59">
        <f>SUMIFS(HIX_RatingAreas[Silver Enrollments 2022],HIX_RatingAreas[Area],HIX_SLCSP[[#This Row],[Area Code]])</f>
        <v>69034</v>
      </c>
      <c r="AX1848" s="59">
        <f>SUMIFS(HIX_RatingAreas[Silver Enrollments 2023],HIX_RatingAreas[Area],HIX_SLCSP[[#This Row],[Area Code]])</f>
        <v>82214</v>
      </c>
      <c r="AY1848" s="59">
        <f>SUMIFS(HIX_RatingAreas[Silver Enrollments 2024],HIX_RatingAreas[Area],HIX_SLCSP[[#This Row],[Area Code]])</f>
        <v>106573</v>
      </c>
      <c r="AZ1848" s="59">
        <v>35732</v>
      </c>
      <c r="BA1848">
        <f t="shared" si="35"/>
        <v>2.050256884587269E-2</v>
      </c>
      <c r="BB1848">
        <f>SUMIFS(HIX_RatingAreas[QHP Enrollments 2018],HIX_RatingAreas[Area],HIX_SLCSP[[#This Row],[Area Code]])</f>
        <v>40414</v>
      </c>
      <c r="BC1848">
        <f t="shared" si="36"/>
        <v>2.3561909625903526E-2</v>
      </c>
      <c r="BD1848">
        <f>SUMIFS(HIX_RatingAreas[QHP Enrollments 2019],HIX_RatingAreas[Area],HIX_SLCSP[[#This Row],[Area Code]])</f>
        <v>44306</v>
      </c>
      <c r="BE1848">
        <f t="shared" si="37"/>
        <v>2.4844894644996028E-2</v>
      </c>
      <c r="BF1848">
        <f>SUMIFS(HIX_RatingAreas[QHP Enrollments 2020],HIX_RatingAreas[Area],HIX_SLCSP[[#This Row],[Area Code]])</f>
        <v>49758</v>
      </c>
      <c r="BG1848">
        <f t="shared" si="38"/>
        <v>2.5997204770177248E-2</v>
      </c>
      <c r="BH1848">
        <f>SUMIFS(HIX_RatingAreas[QHP Enrollments 2021],HIX_RatingAreas[Area],HIX_SLCSP[[#This Row],[Area Code]])</f>
        <v>59280</v>
      </c>
      <c r="BI1848">
        <f t="shared" si="39"/>
        <v>2.7957648501426652E-2</v>
      </c>
      <c r="BJ1848">
        <f>SUMIFS(HIX_RatingAreas[QHP Enrollments 2022],HIX_RatingAreas[Area],HIX_SLCSP[[#This Row],[Area Code]])</f>
        <v>89146</v>
      </c>
      <c r="BK1848">
        <f t="shared" si="49"/>
        <v>3.2737026338422397E-2</v>
      </c>
      <c r="BL1848">
        <f>SUMIFS(HIX_RatingAreas[QHP Enrollments 2023],HIX_RatingAreas[Area],HIX_SLCSP[[#This Row],[Area Code]])</f>
        <v>110812</v>
      </c>
      <c r="BM1848">
        <f t="shared" si="47"/>
        <v>3.4355676056097857E-2</v>
      </c>
      <c r="BN1848">
        <f>SUMIFS(HIX_RatingAreas[QHP Enrollments 2024],HIX_RatingAreas[Area],HIX_SLCSP[[#This Row],[Area Code]])</f>
        <v>143286</v>
      </c>
      <c r="BO1848">
        <f t="shared" si="48"/>
        <v>3.4019310040926877E-2</v>
      </c>
      <c r="BP1848" s="53">
        <f>ROUND(HIX_SLCSP[[#This Row],[Weighting Factor 2018]]*HIX_SLCSP[[#This Row],[2018]],2)</f>
        <v>8.89</v>
      </c>
      <c r="BQ1848" s="53">
        <f>ROUND(HIX_SLCSP[[#This Row],[Weighting Factor 2019]]*HIX_SLCSP[[#This Row],[2019]],2)</f>
        <v>9.35</v>
      </c>
      <c r="BR1848" s="53">
        <f>ROUND(HIX_SLCSP[[#This Row],[Weighting Factor 2020]]*HIX_SLCSP[[#This Row],[2020]],2)</f>
        <v>7.62</v>
      </c>
      <c r="BS1848" s="53">
        <f>ROUND(HIX_SLCSP[[#This Row],[Weighting Factor 2021]]*HIX_SLCSP[[#This Row],[2021]],2)</f>
        <v>8.1199999999999992</v>
      </c>
      <c r="BT1848" s="53">
        <f>ROUND(HIX_SLCSP[[#This Row],[Weighting Factor 2022]]*HIX_SLCSP[[#This Row],[2022]],2)</f>
        <v>9.58</v>
      </c>
      <c r="BU1848" s="53">
        <f>ROUND(HIX_SLCSP[[#This Row],[Weighting Factor 2023]]*HIX_SLCSP[[#This Row],[2023]],2)</f>
        <v>10.7</v>
      </c>
      <c r="BV1848" s="53">
        <f>ROUND(HIX_SLCSP[[#This Row],[Weighting Factor 2024]]*HIX_SLCSP[[#This Row],[2024]],2)</f>
        <v>10.46</v>
      </c>
    </row>
    <row r="1849" spans="4:74" x14ac:dyDescent="0.35">
      <c r="D1849" t="s">
        <v>539</v>
      </c>
      <c r="E1849" t="s">
        <v>712</v>
      </c>
      <c r="F1849" s="23">
        <v>50</v>
      </c>
      <c r="G1849" s="23" t="s">
        <v>540</v>
      </c>
      <c r="H1849" s="23" t="s">
        <v>713</v>
      </c>
      <c r="I1849" s="23">
        <v>157</v>
      </c>
      <c r="J1849" s="53">
        <v>301.47000000000003</v>
      </c>
      <c r="K1849" s="53">
        <v>348.71</v>
      </c>
      <c r="L1849" s="53">
        <v>594.27</v>
      </c>
      <c r="M1849" s="54">
        <f t="shared" si="41"/>
        <v>1.7041954632789424</v>
      </c>
      <c r="N1849" s="24">
        <v>100</v>
      </c>
      <c r="O1849" s="55">
        <v>364.35</v>
      </c>
      <c r="P1849" s="56">
        <v>370.49</v>
      </c>
      <c r="Q1849" s="56">
        <v>631.39</v>
      </c>
      <c r="R1849" s="57">
        <f t="shared" si="42"/>
        <v>1.704202542578747</v>
      </c>
      <c r="S1849" s="23">
        <v>157</v>
      </c>
      <c r="T1849" s="53">
        <v>281.25</v>
      </c>
      <c r="U1849" s="53">
        <v>301.52</v>
      </c>
      <c r="V1849" s="53">
        <v>513.85</v>
      </c>
      <c r="W1849" s="57">
        <f t="shared" si="43"/>
        <v>1.7041987264526401</v>
      </c>
      <c r="X1849" s="47">
        <v>256</v>
      </c>
      <c r="Y1849" s="58">
        <v>279.35000000000002</v>
      </c>
      <c r="Z1849" s="58">
        <v>279.35000000000002</v>
      </c>
      <c r="AA1849" s="58">
        <v>476.08</v>
      </c>
      <c r="AB1849" s="57">
        <f t="shared" si="44"/>
        <v>1.7042419903347055</v>
      </c>
      <c r="AC1849" s="47">
        <v>362</v>
      </c>
      <c r="AD1849" s="57">
        <v>283.73</v>
      </c>
      <c r="AE1849" s="57">
        <v>306</v>
      </c>
      <c r="AF1849" s="57">
        <v>521.48</v>
      </c>
      <c r="AG1849" s="57">
        <f t="shared" si="45"/>
        <v>1.7041830065359478</v>
      </c>
      <c r="AH1849" s="47">
        <v>356</v>
      </c>
      <c r="AI1849">
        <v>307.3</v>
      </c>
      <c r="AJ1849">
        <v>307.77999999999997</v>
      </c>
      <c r="AK1849">
        <v>524.52</v>
      </c>
      <c r="AL1849" s="57">
        <f t="shared" si="50"/>
        <v>1.7042043017739945</v>
      </c>
      <c r="AM1849" s="47">
        <v>258</v>
      </c>
      <c r="AN1849" s="57">
        <v>342.91</v>
      </c>
      <c r="AO1849" s="57">
        <v>343.69</v>
      </c>
      <c r="AP1849" s="57">
        <v>585.72</v>
      </c>
      <c r="AQ1849" s="57">
        <f t="shared" si="46"/>
        <v>1.7042101894148798</v>
      </c>
      <c r="AR1849" s="59">
        <v>117476</v>
      </c>
      <c r="AS1849" s="59">
        <f>SUMIFS(HIX_RatingAreas[Silver Enrollments 2018],HIX_RatingAreas[Area],HIX_SLCSP[[#This Row],[Area Code]])</f>
        <v>86308</v>
      </c>
      <c r="AT1849" s="59">
        <f>SUMIFS(HIX_RatingAreas[Silver Enrollments 2019],HIX_RatingAreas[Area],HIX_SLCSP[[#This Row],[Area Code]])</f>
        <v>88199</v>
      </c>
      <c r="AU1849" s="59">
        <f>SUMIFS(HIX_RatingAreas[Silver Enrollments 2020],HIX_RatingAreas[Area],HIX_SLCSP[[#This Row],[Area Code]])</f>
        <v>95031</v>
      </c>
      <c r="AV1849" s="59">
        <f>SUMIFS(HIX_RatingAreas[Silver Enrollments 2021],HIX_RatingAreas[Area],HIX_SLCSP[[#This Row],[Area Code]])</f>
        <v>102185</v>
      </c>
      <c r="AW1849" s="59">
        <f>SUMIFS(HIX_RatingAreas[Silver Enrollments 2022],HIX_RatingAreas[Area],HIX_SLCSP[[#This Row],[Area Code]])</f>
        <v>131363</v>
      </c>
      <c r="AX1849" s="59">
        <f>SUMIFS(HIX_RatingAreas[Silver Enrollments 2023],HIX_RatingAreas[Area],HIX_SLCSP[[#This Row],[Area Code]])</f>
        <v>151710</v>
      </c>
      <c r="AY1849" s="59">
        <f>SUMIFS(HIX_RatingAreas[Silver Enrollments 2024],HIX_RatingAreas[Area],HIX_SLCSP[[#This Row],[Area Code]])</f>
        <v>182981</v>
      </c>
      <c r="AZ1849" s="59">
        <v>148961</v>
      </c>
      <c r="BA1849">
        <f t="shared" si="35"/>
        <v>8.5471934340368344E-2</v>
      </c>
      <c r="BB1849">
        <f>SUMIFS(HIX_RatingAreas[QHP Enrollments 2018],HIX_RatingAreas[Area],HIX_SLCSP[[#This Row],[Area Code]])</f>
        <v>132761</v>
      </c>
      <c r="BC1849">
        <f t="shared" si="36"/>
        <v>7.7401461964778984E-2</v>
      </c>
      <c r="BD1849">
        <f>SUMIFS(HIX_RatingAreas[QHP Enrollments 2019],HIX_RatingAreas[Area],HIX_SLCSP[[#This Row],[Area Code]])</f>
        <v>136310</v>
      </c>
      <c r="BE1849">
        <f t="shared" si="37"/>
        <v>7.6436771296425066E-2</v>
      </c>
      <c r="BF1849">
        <f>SUMIFS(HIX_RatingAreas[QHP Enrollments 2020],HIX_RatingAreas[Area],HIX_SLCSP[[#This Row],[Area Code]])</f>
        <v>146436</v>
      </c>
      <c r="BG1849">
        <f t="shared" si="38"/>
        <v>7.6508836322313506E-2</v>
      </c>
      <c r="BH1849">
        <f>SUMIFS(HIX_RatingAreas[QHP Enrollments 2021],HIX_RatingAreas[Area],HIX_SLCSP[[#This Row],[Area Code]])</f>
        <v>161066</v>
      </c>
      <c r="BI1849">
        <f t="shared" si="39"/>
        <v>7.5961987407739281E-2</v>
      </c>
      <c r="BJ1849">
        <f>SUMIFS(HIX_RatingAreas[QHP Enrollments 2022],HIX_RatingAreas[Area],HIX_SLCSP[[#This Row],[Area Code]])</f>
        <v>203075</v>
      </c>
      <c r="BK1849">
        <f t="shared" si="49"/>
        <v>7.4575097297412435E-2</v>
      </c>
      <c r="BL1849">
        <f>SUMIFS(HIX_RatingAreas[QHP Enrollments 2023],HIX_RatingAreas[Area],HIX_SLCSP[[#This Row],[Area Code]])</f>
        <v>231043</v>
      </c>
      <c r="BM1849">
        <f t="shared" si="47"/>
        <v>7.1631578376250019E-2</v>
      </c>
      <c r="BN1849">
        <f>SUMIFS(HIX_RatingAreas[QHP Enrollments 2024],HIX_RatingAreas[Area],HIX_SLCSP[[#This Row],[Area Code]])</f>
        <v>284076</v>
      </c>
      <c r="BO1849">
        <f t="shared" si="48"/>
        <v>6.7446013701173479E-2</v>
      </c>
      <c r="BP1849" s="53">
        <f>ROUND(HIX_SLCSP[[#This Row],[Weighting Factor 2018]]*HIX_SLCSP[[#This Row],[2018]],2)</f>
        <v>26.99</v>
      </c>
      <c r="BQ1849" s="53">
        <f>ROUND(HIX_SLCSP[[#This Row],[Weighting Factor 2019]]*HIX_SLCSP[[#This Row],[2019]],2)</f>
        <v>28.32</v>
      </c>
      <c r="BR1849" s="53">
        <f>ROUND(HIX_SLCSP[[#This Row],[Weighting Factor 2020]]*HIX_SLCSP[[#This Row],[2020]],2)</f>
        <v>23.07</v>
      </c>
      <c r="BS1849" s="53">
        <f>ROUND(HIX_SLCSP[[#This Row],[Weighting Factor 2021]]*HIX_SLCSP[[#This Row],[2021]],2)</f>
        <v>21.22</v>
      </c>
      <c r="BT1849" s="53">
        <f>ROUND(HIX_SLCSP[[#This Row],[Weighting Factor 2022]]*HIX_SLCSP[[#This Row],[2022]],2)</f>
        <v>22.82</v>
      </c>
      <c r="BU1849" s="53">
        <f>ROUND(HIX_SLCSP[[#This Row],[Weighting Factor 2023]]*HIX_SLCSP[[#This Row],[2023]],2)</f>
        <v>22.05</v>
      </c>
      <c r="BV1849" s="53">
        <f>ROUND(HIX_SLCSP[[#This Row],[Weighting Factor 2024]]*HIX_SLCSP[[#This Row],[2024]],2)</f>
        <v>23.18</v>
      </c>
    </row>
    <row r="1850" spans="4:74" x14ac:dyDescent="0.35">
      <c r="D1850" t="s">
        <v>539</v>
      </c>
      <c r="E1850" t="s">
        <v>716</v>
      </c>
      <c r="F1850" s="23">
        <v>51</v>
      </c>
      <c r="G1850" s="23" t="s">
        <v>540</v>
      </c>
      <c r="H1850" s="23" t="s">
        <v>717</v>
      </c>
      <c r="I1850" s="23">
        <v>143</v>
      </c>
      <c r="J1850" s="53">
        <v>319.5</v>
      </c>
      <c r="K1850" s="53">
        <v>362.7</v>
      </c>
      <c r="L1850" s="53">
        <v>618.12</v>
      </c>
      <c r="M1850" s="54">
        <f t="shared" si="41"/>
        <v>1.7042183622828784</v>
      </c>
      <c r="N1850" s="24">
        <v>96</v>
      </c>
      <c r="O1850" s="55">
        <v>388.24</v>
      </c>
      <c r="P1850" s="56">
        <v>394.79</v>
      </c>
      <c r="Q1850" s="56">
        <v>672.8</v>
      </c>
      <c r="R1850" s="57">
        <f t="shared" si="42"/>
        <v>1.7041971681146937</v>
      </c>
      <c r="S1850" s="23">
        <v>143</v>
      </c>
      <c r="T1850" s="53">
        <v>292.58</v>
      </c>
      <c r="U1850" s="53">
        <v>295.89</v>
      </c>
      <c r="V1850" s="53">
        <v>504.26</v>
      </c>
      <c r="W1850" s="57">
        <f t="shared" si="43"/>
        <v>1.704214404001487</v>
      </c>
      <c r="X1850" s="47">
        <v>206</v>
      </c>
      <c r="Y1850" s="58">
        <v>273.89999999999998</v>
      </c>
      <c r="Z1850" s="58">
        <v>281.5</v>
      </c>
      <c r="AA1850" s="58">
        <v>479.73</v>
      </c>
      <c r="AB1850" s="57">
        <f t="shared" si="44"/>
        <v>1.7041918294849023</v>
      </c>
      <c r="AC1850" s="47">
        <v>316</v>
      </c>
      <c r="AD1850" s="57">
        <v>286.99</v>
      </c>
      <c r="AE1850" s="57">
        <v>291.85000000000002</v>
      </c>
      <c r="AF1850" s="57">
        <v>497.37</v>
      </c>
      <c r="AG1850" s="57">
        <f t="shared" si="45"/>
        <v>1.7041973616583861</v>
      </c>
      <c r="AH1850" s="47">
        <v>270</v>
      </c>
      <c r="AI1850">
        <v>299.26</v>
      </c>
      <c r="AJ1850">
        <v>310.19</v>
      </c>
      <c r="AK1850">
        <v>528.63</v>
      </c>
      <c r="AL1850" s="57">
        <f t="shared" si="50"/>
        <v>1.704213546535994</v>
      </c>
      <c r="AM1850" s="47">
        <v>246</v>
      </c>
      <c r="AN1850" s="57">
        <v>313.19</v>
      </c>
      <c r="AO1850" s="57">
        <v>314.61</v>
      </c>
      <c r="AP1850" s="57">
        <v>536.15</v>
      </c>
      <c r="AQ1850" s="57">
        <f t="shared" si="46"/>
        <v>1.704173421060996</v>
      </c>
      <c r="AR1850" s="59">
        <v>25587</v>
      </c>
      <c r="AS1850" s="59">
        <f>SUMIFS(HIX_RatingAreas[Silver Enrollments 2018],HIX_RatingAreas[Area],HIX_SLCSP[[#This Row],[Area Code]])</f>
        <v>17460</v>
      </c>
      <c r="AT1850" s="59">
        <f>SUMIFS(HIX_RatingAreas[Silver Enrollments 2019],HIX_RatingAreas[Area],HIX_SLCSP[[#This Row],[Area Code]])</f>
        <v>16597</v>
      </c>
      <c r="AU1850" s="59">
        <f>SUMIFS(HIX_RatingAreas[Silver Enrollments 2020],HIX_RatingAreas[Area],HIX_SLCSP[[#This Row],[Area Code]])</f>
        <v>16822</v>
      </c>
      <c r="AV1850" s="59">
        <f>SUMIFS(HIX_RatingAreas[Silver Enrollments 2021],HIX_RatingAreas[Area],HIX_SLCSP[[#This Row],[Area Code]])</f>
        <v>17771</v>
      </c>
      <c r="AW1850" s="59">
        <f>SUMIFS(HIX_RatingAreas[Silver Enrollments 2022],HIX_RatingAreas[Area],HIX_SLCSP[[#This Row],[Area Code]])</f>
        <v>25037</v>
      </c>
      <c r="AX1850" s="59">
        <f>SUMIFS(HIX_RatingAreas[Silver Enrollments 2023],HIX_RatingAreas[Area],HIX_SLCSP[[#This Row],[Area Code]])</f>
        <v>29686</v>
      </c>
      <c r="AY1850" s="59">
        <f>SUMIFS(HIX_RatingAreas[Silver Enrollments 2024],HIX_RatingAreas[Area],HIX_SLCSP[[#This Row],[Area Code]])</f>
        <v>39823</v>
      </c>
      <c r="AZ1850" s="59">
        <v>32655</v>
      </c>
      <c r="BA1850">
        <f t="shared" si="35"/>
        <v>1.8737025234019163E-2</v>
      </c>
      <c r="BB1850">
        <f>SUMIFS(HIX_RatingAreas[QHP Enrollments 2018],HIX_RatingAreas[Area],HIX_SLCSP[[#This Row],[Area Code]])</f>
        <v>28950</v>
      </c>
      <c r="BC1850">
        <f t="shared" si="36"/>
        <v>1.6878242284107167E-2</v>
      </c>
      <c r="BD1850">
        <f>SUMIFS(HIX_RatingAreas[QHP Enrollments 2019],HIX_RatingAreas[Area],HIX_SLCSP[[#This Row],[Area Code]])</f>
        <v>29008</v>
      </c>
      <c r="BE1850">
        <f t="shared" si="37"/>
        <v>1.6266435784364302E-2</v>
      </c>
      <c r="BF1850">
        <f>SUMIFS(HIX_RatingAreas[QHP Enrollments 2020],HIX_RatingAreas[Area],HIX_SLCSP[[#This Row],[Area Code]])</f>
        <v>30459</v>
      </c>
      <c r="BG1850">
        <f t="shared" si="38"/>
        <v>1.5914000966574797E-2</v>
      </c>
      <c r="BH1850">
        <f>SUMIFS(HIX_RatingAreas[QHP Enrollments 2021],HIX_RatingAreas[Area],HIX_SLCSP[[#This Row],[Area Code]])</f>
        <v>32614</v>
      </c>
      <c r="BI1850">
        <f t="shared" si="39"/>
        <v>1.5381422878298395E-2</v>
      </c>
      <c r="BJ1850">
        <f>SUMIFS(HIX_RatingAreas[QHP Enrollments 2022],HIX_RatingAreas[Area],HIX_SLCSP[[#This Row],[Area Code]])</f>
        <v>43721</v>
      </c>
      <c r="BK1850">
        <f t="shared" si="49"/>
        <v>1.6055633775404008E-2</v>
      </c>
      <c r="BL1850">
        <f>SUMIFS(HIX_RatingAreas[QHP Enrollments 2023],HIX_RatingAreas[Area],HIX_SLCSP[[#This Row],[Area Code]])</f>
        <v>52314</v>
      </c>
      <c r="BM1850">
        <f t="shared" si="47"/>
        <v>1.621920764175995E-2</v>
      </c>
      <c r="BN1850">
        <f>SUMIFS(HIX_RatingAreas[QHP Enrollments 2024],HIX_RatingAreas[Area],HIX_SLCSP[[#This Row],[Area Code]])</f>
        <v>71438</v>
      </c>
      <c r="BO1850">
        <f t="shared" si="48"/>
        <v>1.6960983422691221E-2</v>
      </c>
      <c r="BP1850" s="53">
        <f>ROUND(HIX_SLCSP[[#This Row],[Weighting Factor 2018]]*HIX_SLCSP[[#This Row],[2018]],2)</f>
        <v>6.12</v>
      </c>
      <c r="BQ1850" s="53">
        <f>ROUND(HIX_SLCSP[[#This Row],[Weighting Factor 2019]]*HIX_SLCSP[[#This Row],[2019]],2)</f>
        <v>6.42</v>
      </c>
      <c r="BR1850" s="53">
        <f>ROUND(HIX_SLCSP[[#This Row],[Weighting Factor 2020]]*HIX_SLCSP[[#This Row],[2020]],2)</f>
        <v>4.71</v>
      </c>
      <c r="BS1850" s="53">
        <f>ROUND(HIX_SLCSP[[#This Row],[Weighting Factor 2021]]*HIX_SLCSP[[#This Row],[2021]],2)</f>
        <v>4.33</v>
      </c>
      <c r="BT1850" s="53">
        <f>ROUND(HIX_SLCSP[[#This Row],[Weighting Factor 2022]]*HIX_SLCSP[[#This Row],[2022]],2)</f>
        <v>4.6900000000000004</v>
      </c>
      <c r="BU1850" s="53">
        <f>ROUND(HIX_SLCSP[[#This Row],[Weighting Factor 2023]]*HIX_SLCSP[[#This Row],[2023]],2)</f>
        <v>5.03</v>
      </c>
      <c r="BV1850" s="53">
        <f>ROUND(HIX_SLCSP[[#This Row],[Weighting Factor 2024]]*HIX_SLCSP[[#This Row],[2024]],2)</f>
        <v>5.34</v>
      </c>
    </row>
    <row r="1851" spans="4:74" x14ac:dyDescent="0.35">
      <c r="D1851" t="s">
        <v>539</v>
      </c>
      <c r="E1851" t="s">
        <v>720</v>
      </c>
      <c r="F1851" s="23">
        <v>52</v>
      </c>
      <c r="G1851" s="23" t="s">
        <v>540</v>
      </c>
      <c r="H1851" s="23" t="s">
        <v>721</v>
      </c>
      <c r="I1851" s="23">
        <v>143</v>
      </c>
      <c r="J1851" s="53">
        <v>332.22</v>
      </c>
      <c r="K1851" s="53">
        <v>359.17</v>
      </c>
      <c r="L1851" s="53">
        <v>612.09</v>
      </c>
      <c r="M1851" s="54">
        <f t="shared" si="41"/>
        <v>1.7041790795445053</v>
      </c>
      <c r="N1851" s="24">
        <v>100</v>
      </c>
      <c r="O1851" s="55">
        <v>394.86</v>
      </c>
      <c r="P1851" s="56">
        <v>399.8</v>
      </c>
      <c r="Q1851" s="56">
        <v>681.34</v>
      </c>
      <c r="R1851" s="57">
        <f t="shared" si="42"/>
        <v>1.7042021010505253</v>
      </c>
      <c r="S1851" s="23">
        <v>143</v>
      </c>
      <c r="T1851" s="53">
        <v>292.58</v>
      </c>
      <c r="U1851" s="53">
        <v>300.64999999999998</v>
      </c>
      <c r="V1851" s="53">
        <v>512.37</v>
      </c>
      <c r="W1851" s="57">
        <f t="shared" si="43"/>
        <v>1.7042075503076668</v>
      </c>
      <c r="X1851" s="47">
        <v>206</v>
      </c>
      <c r="Y1851" s="58">
        <v>274.92</v>
      </c>
      <c r="Z1851" s="58">
        <v>282.55</v>
      </c>
      <c r="AA1851" s="58">
        <v>481.52</v>
      </c>
      <c r="AB1851" s="57">
        <f t="shared" si="44"/>
        <v>1.7041939479738097</v>
      </c>
      <c r="AC1851" s="47">
        <v>301</v>
      </c>
      <c r="AD1851" s="57">
        <v>283.86</v>
      </c>
      <c r="AE1851" s="57">
        <v>286.10000000000002</v>
      </c>
      <c r="AF1851" s="57">
        <v>487.57</v>
      </c>
      <c r="AG1851" s="57">
        <f t="shared" si="45"/>
        <v>1.7041943376441802</v>
      </c>
      <c r="AH1851" s="47">
        <v>253</v>
      </c>
      <c r="AI1851">
        <v>294.35000000000002</v>
      </c>
      <c r="AJ1851">
        <v>295.77999999999997</v>
      </c>
      <c r="AK1851">
        <v>504.06</v>
      </c>
      <c r="AL1851" s="57">
        <f t="shared" si="50"/>
        <v>1.7041720197444048</v>
      </c>
      <c r="AM1851" s="47">
        <v>208</v>
      </c>
      <c r="AN1851" s="57">
        <v>294.97000000000003</v>
      </c>
      <c r="AO1851" s="57">
        <v>296.39</v>
      </c>
      <c r="AP1851" s="57">
        <v>505.1</v>
      </c>
      <c r="AQ1851" s="57">
        <f t="shared" si="46"/>
        <v>1.7041735551131956</v>
      </c>
      <c r="AR1851" s="59">
        <v>50638</v>
      </c>
      <c r="AS1851" s="59">
        <f>SUMIFS(HIX_RatingAreas[Silver Enrollments 2018],HIX_RatingAreas[Area],HIX_SLCSP[[#This Row],[Area Code]])</f>
        <v>31838</v>
      </c>
      <c r="AT1851" s="59">
        <f>SUMIFS(HIX_RatingAreas[Silver Enrollments 2019],HIX_RatingAreas[Area],HIX_SLCSP[[#This Row],[Area Code]])</f>
        <v>30184</v>
      </c>
      <c r="AU1851" s="59">
        <f>SUMIFS(HIX_RatingAreas[Silver Enrollments 2020],HIX_RatingAreas[Area],HIX_SLCSP[[#This Row],[Area Code]])</f>
        <v>30150</v>
      </c>
      <c r="AV1851" s="59">
        <f>SUMIFS(HIX_RatingAreas[Silver Enrollments 2021],HIX_RatingAreas[Area],HIX_SLCSP[[#This Row],[Area Code]])</f>
        <v>31853</v>
      </c>
      <c r="AW1851" s="59">
        <f>SUMIFS(HIX_RatingAreas[Silver Enrollments 2022],HIX_RatingAreas[Area],HIX_SLCSP[[#This Row],[Area Code]])</f>
        <v>44982</v>
      </c>
      <c r="AX1851" s="59">
        <f>SUMIFS(HIX_RatingAreas[Silver Enrollments 2023],HIX_RatingAreas[Area],HIX_SLCSP[[#This Row],[Area Code]])</f>
        <v>49355</v>
      </c>
      <c r="AY1851" s="59">
        <f>SUMIFS(HIX_RatingAreas[Silver Enrollments 2024],HIX_RatingAreas[Area],HIX_SLCSP[[#This Row],[Area Code]])</f>
        <v>65652</v>
      </c>
      <c r="AZ1851" s="59">
        <v>66221</v>
      </c>
      <c r="BA1851">
        <f t="shared" si="35"/>
        <v>3.7996770724911436E-2</v>
      </c>
      <c r="BB1851">
        <f>SUMIFS(HIX_RatingAreas[QHP Enrollments 2018],HIX_RatingAreas[Area],HIX_SLCSP[[#This Row],[Area Code]])</f>
        <v>60167</v>
      </c>
      <c r="BC1851">
        <f t="shared" si="36"/>
        <v>3.507817628697326E-2</v>
      </c>
      <c r="BD1851">
        <f>SUMIFS(HIX_RatingAreas[QHP Enrollments 2019],HIX_RatingAreas[Area],HIX_SLCSP[[#This Row],[Area Code]])</f>
        <v>57485</v>
      </c>
      <c r="BE1851">
        <f t="shared" si="37"/>
        <v>3.2235109661616863E-2</v>
      </c>
      <c r="BF1851">
        <f>SUMIFS(HIX_RatingAreas[QHP Enrollments 2020],HIX_RatingAreas[Area],HIX_SLCSP[[#This Row],[Area Code]])</f>
        <v>58163</v>
      </c>
      <c r="BG1851">
        <f t="shared" si="38"/>
        <v>3.0388589192648807E-2</v>
      </c>
      <c r="BH1851">
        <f>SUMIFS(HIX_RatingAreas[QHP Enrollments 2021],HIX_RatingAreas[Area],HIX_SLCSP[[#This Row],[Area Code]])</f>
        <v>62868</v>
      </c>
      <c r="BI1851">
        <f t="shared" si="39"/>
        <v>2.9649821963355107E-2</v>
      </c>
      <c r="BJ1851">
        <f>SUMIFS(HIX_RatingAreas[QHP Enrollments 2022],HIX_RatingAreas[Area],HIX_SLCSP[[#This Row],[Area Code]])</f>
        <v>80839</v>
      </c>
      <c r="BK1851">
        <f t="shared" si="49"/>
        <v>2.9686452248802283E-2</v>
      </c>
      <c r="BL1851">
        <f>SUMIFS(HIX_RatingAreas[QHP Enrollments 2023],HIX_RatingAreas[Area],HIX_SLCSP[[#This Row],[Area Code]])</f>
        <v>95585</v>
      </c>
      <c r="BM1851">
        <f t="shared" si="47"/>
        <v>2.9634762442895299E-2</v>
      </c>
      <c r="BN1851">
        <f>SUMIFS(HIX_RatingAreas[QHP Enrollments 2024],HIX_RatingAreas[Area],HIX_SLCSP[[#This Row],[Area Code]])</f>
        <v>122023</v>
      </c>
      <c r="BO1851">
        <f t="shared" si="48"/>
        <v>2.8970996951021177E-2</v>
      </c>
      <c r="BP1851" s="53">
        <f>ROUND(HIX_SLCSP[[#This Row],[Weighting Factor 2018]]*HIX_SLCSP[[#This Row],[2018]],2)</f>
        <v>12.6</v>
      </c>
      <c r="BQ1851" s="53">
        <f>ROUND(HIX_SLCSP[[#This Row],[Weighting Factor 2019]]*HIX_SLCSP[[#This Row],[2019]],2)</f>
        <v>12.89</v>
      </c>
      <c r="BR1851" s="53">
        <f>ROUND(HIX_SLCSP[[#This Row],[Weighting Factor 2020]]*HIX_SLCSP[[#This Row],[2020]],2)</f>
        <v>9.14</v>
      </c>
      <c r="BS1851" s="53">
        <f>ROUND(HIX_SLCSP[[#This Row],[Weighting Factor 2021]]*HIX_SLCSP[[#This Row],[2021]],2)</f>
        <v>8.3800000000000008</v>
      </c>
      <c r="BT1851" s="53">
        <f>ROUND(HIX_SLCSP[[#This Row],[Weighting Factor 2022]]*HIX_SLCSP[[#This Row],[2022]],2)</f>
        <v>8.49</v>
      </c>
      <c r="BU1851" s="53">
        <f>ROUND(HIX_SLCSP[[#This Row],[Weighting Factor 2023]]*HIX_SLCSP[[#This Row],[2023]],2)</f>
        <v>8.77</v>
      </c>
      <c r="BV1851" s="53">
        <f>ROUND(HIX_SLCSP[[#This Row],[Weighting Factor 2024]]*HIX_SLCSP[[#This Row],[2024]],2)</f>
        <v>8.59</v>
      </c>
    </row>
    <row r="1852" spans="4:74" x14ac:dyDescent="0.35">
      <c r="D1852" t="s">
        <v>539</v>
      </c>
      <c r="E1852" t="s">
        <v>724</v>
      </c>
      <c r="F1852" s="23">
        <v>53</v>
      </c>
      <c r="G1852" s="23" t="s">
        <v>540</v>
      </c>
      <c r="H1852" s="23" t="s">
        <v>725</v>
      </c>
      <c r="I1852" s="23">
        <v>113</v>
      </c>
      <c r="J1852" s="53">
        <v>326.56</v>
      </c>
      <c r="K1852" s="53">
        <v>353.5</v>
      </c>
      <c r="L1852" s="53">
        <v>602.44000000000005</v>
      </c>
      <c r="M1852" s="54">
        <f t="shared" si="41"/>
        <v>1.7042149929278643</v>
      </c>
      <c r="N1852" s="24">
        <v>100</v>
      </c>
      <c r="O1852" s="55">
        <v>388.24</v>
      </c>
      <c r="P1852" s="56">
        <v>388.58</v>
      </c>
      <c r="Q1852" s="56">
        <v>662.21</v>
      </c>
      <c r="R1852" s="57">
        <f t="shared" si="42"/>
        <v>1.7041793195738331</v>
      </c>
      <c r="S1852" s="23">
        <v>113</v>
      </c>
      <c r="T1852" s="53">
        <v>299.24</v>
      </c>
      <c r="U1852" s="53">
        <v>333.13</v>
      </c>
      <c r="V1852" s="53">
        <v>567.72</v>
      </c>
      <c r="W1852" s="57">
        <f t="shared" si="43"/>
        <v>1.7041995617326571</v>
      </c>
      <c r="X1852" s="47">
        <v>175</v>
      </c>
      <c r="Y1852" s="58">
        <v>268.66000000000003</v>
      </c>
      <c r="Z1852" s="58">
        <v>276.12</v>
      </c>
      <c r="AA1852" s="58">
        <v>470.56</v>
      </c>
      <c r="AB1852" s="57">
        <f t="shared" si="44"/>
        <v>1.7041865855425178</v>
      </c>
      <c r="AC1852" s="47">
        <v>173</v>
      </c>
      <c r="AD1852" s="57">
        <v>288.45</v>
      </c>
      <c r="AE1852" s="57">
        <v>302.10000000000002</v>
      </c>
      <c r="AF1852" s="57">
        <v>514.84</v>
      </c>
      <c r="AG1852" s="57">
        <f t="shared" si="45"/>
        <v>1.7042039059913936</v>
      </c>
      <c r="AH1852" s="47">
        <v>180</v>
      </c>
      <c r="AI1852">
        <v>308.22000000000003</v>
      </c>
      <c r="AJ1852">
        <v>309.70999999999998</v>
      </c>
      <c r="AK1852">
        <v>527.80999999999995</v>
      </c>
      <c r="AL1852" s="57">
        <f t="shared" si="50"/>
        <v>1.7042071615382131</v>
      </c>
      <c r="AM1852" s="47">
        <v>181</v>
      </c>
      <c r="AN1852" s="57">
        <v>327.27999999999997</v>
      </c>
      <c r="AO1852" s="57">
        <v>328.85</v>
      </c>
      <c r="AP1852" s="57">
        <v>560.42999999999995</v>
      </c>
      <c r="AQ1852" s="57">
        <f t="shared" si="46"/>
        <v>1.7042116466474073</v>
      </c>
      <c r="AR1852" s="59">
        <v>26841</v>
      </c>
      <c r="AS1852" s="59">
        <f>SUMIFS(HIX_RatingAreas[Silver Enrollments 2018],HIX_RatingAreas[Area],HIX_SLCSP[[#This Row],[Area Code]])</f>
        <v>18612</v>
      </c>
      <c r="AT1852" s="59">
        <f>SUMIFS(HIX_RatingAreas[Silver Enrollments 2019],HIX_RatingAreas[Area],HIX_SLCSP[[#This Row],[Area Code]])</f>
        <v>19423</v>
      </c>
      <c r="AU1852" s="59">
        <f>SUMIFS(HIX_RatingAreas[Silver Enrollments 2020],HIX_RatingAreas[Area],HIX_SLCSP[[#This Row],[Area Code]])</f>
        <v>23654</v>
      </c>
      <c r="AV1852" s="59">
        <f>SUMIFS(HIX_RatingAreas[Silver Enrollments 2021],HIX_RatingAreas[Area],HIX_SLCSP[[#This Row],[Area Code]])</f>
        <v>27771</v>
      </c>
      <c r="AW1852" s="59">
        <f>SUMIFS(HIX_RatingAreas[Silver Enrollments 2022],HIX_RatingAreas[Area],HIX_SLCSP[[#This Row],[Area Code]])</f>
        <v>38550</v>
      </c>
      <c r="AX1852" s="59">
        <f>SUMIFS(HIX_RatingAreas[Silver Enrollments 2023],HIX_RatingAreas[Area],HIX_SLCSP[[#This Row],[Area Code]])</f>
        <v>48082</v>
      </c>
      <c r="AY1852" s="59">
        <f>SUMIFS(HIX_RatingAreas[Silver Enrollments 2024],HIX_RatingAreas[Area],HIX_SLCSP[[#This Row],[Area Code]])</f>
        <v>74227</v>
      </c>
      <c r="AZ1852" s="59">
        <v>34156</v>
      </c>
      <c r="BA1852">
        <f t="shared" si="35"/>
        <v>1.9598280015102082E-2</v>
      </c>
      <c r="BB1852">
        <f>SUMIFS(HIX_RatingAreas[QHP Enrollments 2018],HIX_RatingAreas[Area],HIX_SLCSP[[#This Row],[Area Code]])</f>
        <v>30399</v>
      </c>
      <c r="BC1852">
        <f t="shared" si="36"/>
        <v>1.7723028918638126E-2</v>
      </c>
      <c r="BD1852">
        <f>SUMIFS(HIX_RatingAreas[QHP Enrollments 2019],HIX_RatingAreas[Area],HIX_SLCSP[[#This Row],[Area Code]])</f>
        <v>32706</v>
      </c>
      <c r="BE1852">
        <f t="shared" si="37"/>
        <v>1.8340114753289401E-2</v>
      </c>
      <c r="BF1852">
        <f>SUMIFS(HIX_RatingAreas[QHP Enrollments 2020],HIX_RatingAreas[Area],HIX_SLCSP[[#This Row],[Area Code]])</f>
        <v>39479</v>
      </c>
      <c r="BG1852">
        <f t="shared" si="38"/>
        <v>2.0626706200446713E-2</v>
      </c>
      <c r="BH1852">
        <f>SUMIFS(HIX_RatingAreas[QHP Enrollments 2021],HIX_RatingAreas[Area],HIX_SLCSP[[#This Row],[Area Code]])</f>
        <v>45675</v>
      </c>
      <c r="BI1852">
        <f t="shared" si="39"/>
        <v>2.1541254981488907E-2</v>
      </c>
      <c r="BJ1852">
        <f>SUMIFS(HIX_RatingAreas[QHP Enrollments 2022],HIX_RatingAreas[Area],HIX_SLCSP[[#This Row],[Area Code]])</f>
        <v>62987</v>
      </c>
      <c r="BK1852">
        <f t="shared" si="49"/>
        <v>2.313067415226944E-2</v>
      </c>
      <c r="BL1852">
        <f>SUMIFS(HIX_RatingAreas[QHP Enrollments 2023],HIX_RatingAreas[Area],HIX_SLCSP[[#This Row],[Area Code]])</f>
        <v>78138</v>
      </c>
      <c r="BM1852">
        <f t="shared" si="47"/>
        <v>2.4225569574336484E-2</v>
      </c>
      <c r="BN1852">
        <f>SUMIFS(HIX_RatingAreas[QHP Enrollments 2024],HIX_RatingAreas[Area],HIX_SLCSP[[#This Row],[Area Code]])</f>
        <v>115842</v>
      </c>
      <c r="BO1852">
        <f t="shared" si="48"/>
        <v>2.7503488922581771E-2</v>
      </c>
      <c r="BP1852" s="53">
        <f>ROUND(HIX_SLCSP[[#This Row],[Weighting Factor 2018]]*HIX_SLCSP[[#This Row],[2018]],2)</f>
        <v>6.27</v>
      </c>
      <c r="BQ1852" s="53">
        <f>ROUND(HIX_SLCSP[[#This Row],[Weighting Factor 2019]]*HIX_SLCSP[[#This Row],[2019]],2)</f>
        <v>7.13</v>
      </c>
      <c r="BR1852" s="53">
        <f>ROUND(HIX_SLCSP[[#This Row],[Weighting Factor 2020]]*HIX_SLCSP[[#This Row],[2020]],2)</f>
        <v>6.87</v>
      </c>
      <c r="BS1852" s="53">
        <f>ROUND(HIX_SLCSP[[#This Row],[Weighting Factor 2021]]*HIX_SLCSP[[#This Row],[2021]],2)</f>
        <v>5.95</v>
      </c>
      <c r="BT1852" s="53">
        <f>ROUND(HIX_SLCSP[[#This Row],[Weighting Factor 2022]]*HIX_SLCSP[[#This Row],[2022]],2)</f>
        <v>6.99</v>
      </c>
      <c r="BU1852" s="53">
        <f>ROUND(HIX_SLCSP[[#This Row],[Weighting Factor 2023]]*HIX_SLCSP[[#This Row],[2023]],2)</f>
        <v>7.5</v>
      </c>
      <c r="BV1852" s="53">
        <f>ROUND(HIX_SLCSP[[#This Row],[Weighting Factor 2024]]*HIX_SLCSP[[#This Row],[2024]],2)</f>
        <v>9.0399999999999991</v>
      </c>
    </row>
    <row r="1853" spans="4:74" x14ac:dyDescent="0.35">
      <c r="D1853" t="s">
        <v>539</v>
      </c>
      <c r="E1853" t="s">
        <v>727</v>
      </c>
      <c r="F1853" s="23">
        <v>54</v>
      </c>
      <c r="G1853" s="23" t="s">
        <v>540</v>
      </c>
      <c r="H1853" s="23" t="s">
        <v>728</v>
      </c>
      <c r="I1853" s="23">
        <v>84</v>
      </c>
      <c r="J1853" s="53">
        <v>478.86</v>
      </c>
      <c r="K1853" s="53">
        <v>626.28</v>
      </c>
      <c r="L1853" s="53">
        <v>1067.31</v>
      </c>
      <c r="M1853" s="54">
        <f t="shared" si="41"/>
        <v>1.7042057865491473</v>
      </c>
      <c r="N1853" s="24">
        <v>64</v>
      </c>
      <c r="O1853" s="55">
        <v>375.01</v>
      </c>
      <c r="P1853" s="56">
        <v>381.33</v>
      </c>
      <c r="Q1853" s="56">
        <v>649.86</v>
      </c>
      <c r="R1853" s="57">
        <f t="shared" si="42"/>
        <v>1.7041932184721895</v>
      </c>
      <c r="S1853" s="23">
        <v>84</v>
      </c>
      <c r="T1853" s="53">
        <v>289.81</v>
      </c>
      <c r="U1853" s="53">
        <v>337.39</v>
      </c>
      <c r="V1853" s="53">
        <v>574.98</v>
      </c>
      <c r="W1853" s="57">
        <f t="shared" si="43"/>
        <v>1.7041998873706987</v>
      </c>
      <c r="X1853" s="47">
        <v>126</v>
      </c>
      <c r="Y1853" s="58">
        <v>289.41000000000003</v>
      </c>
      <c r="Z1853" s="58">
        <v>297.44</v>
      </c>
      <c r="AA1853" s="58">
        <v>506.9</v>
      </c>
      <c r="AB1853" s="57">
        <f t="shared" si="44"/>
        <v>1.7042092522861754</v>
      </c>
      <c r="AC1853" s="47">
        <v>121</v>
      </c>
      <c r="AD1853" s="57">
        <v>289.87</v>
      </c>
      <c r="AE1853" s="57">
        <v>303.58999999999997</v>
      </c>
      <c r="AF1853" s="57">
        <v>517.38</v>
      </c>
      <c r="AG1853" s="57">
        <f t="shared" si="45"/>
        <v>1.7042063309068152</v>
      </c>
      <c r="AH1853" s="47">
        <v>109</v>
      </c>
      <c r="AI1853">
        <v>336.21</v>
      </c>
      <c r="AJ1853">
        <v>337.84</v>
      </c>
      <c r="AK1853">
        <v>575.75</v>
      </c>
      <c r="AL1853" s="57">
        <f t="shared" si="50"/>
        <v>1.7042090930618046</v>
      </c>
      <c r="AM1853" s="47">
        <v>83</v>
      </c>
      <c r="AN1853" s="57">
        <v>338.97</v>
      </c>
      <c r="AO1853" s="57">
        <v>340.6</v>
      </c>
      <c r="AP1853" s="57">
        <v>580.46</v>
      </c>
      <c r="AQ1853" s="57">
        <f t="shared" si="46"/>
        <v>1.7042278332354668</v>
      </c>
      <c r="AR1853" s="59">
        <v>2702</v>
      </c>
      <c r="AS1853" s="59">
        <f>SUMIFS(HIX_RatingAreas[Silver Enrollments 2018],HIX_RatingAreas[Area],HIX_SLCSP[[#This Row],[Area Code]])</f>
        <v>2672</v>
      </c>
      <c r="AT1853" s="59">
        <f>SUMIFS(HIX_RatingAreas[Silver Enrollments 2019],HIX_RatingAreas[Area],HIX_SLCSP[[#This Row],[Area Code]])</f>
        <v>1775</v>
      </c>
      <c r="AU1853" s="59">
        <f>SUMIFS(HIX_RatingAreas[Silver Enrollments 2020],HIX_RatingAreas[Area],HIX_SLCSP[[#This Row],[Area Code]])</f>
        <v>1225</v>
      </c>
      <c r="AV1853" s="59">
        <f>SUMIFS(HIX_RatingAreas[Silver Enrollments 2021],HIX_RatingAreas[Area],HIX_SLCSP[[#This Row],[Area Code]])</f>
        <v>1300</v>
      </c>
      <c r="AW1853" s="59">
        <f>SUMIFS(HIX_RatingAreas[Silver Enrollments 2022],HIX_RatingAreas[Area],HIX_SLCSP[[#This Row],[Area Code]])</f>
        <v>2106</v>
      </c>
      <c r="AX1853" s="59">
        <f>SUMIFS(HIX_RatingAreas[Silver Enrollments 2023],HIX_RatingAreas[Area],HIX_SLCSP[[#This Row],[Area Code]])</f>
        <v>2323</v>
      </c>
      <c r="AY1853" s="59">
        <f>SUMIFS(HIX_RatingAreas[Silver Enrollments 2024],HIX_RatingAreas[Area],HIX_SLCSP[[#This Row],[Area Code]])</f>
        <v>4007</v>
      </c>
      <c r="AZ1853" s="59">
        <v>3728</v>
      </c>
      <c r="BA1853">
        <f t="shared" si="35"/>
        <v>2.139079163142656E-3</v>
      </c>
      <c r="BB1853">
        <f>SUMIFS(HIX_RatingAreas[QHP Enrollments 2018],HIX_RatingAreas[Area],HIX_SLCSP[[#This Row],[Area Code]])</f>
        <v>3655</v>
      </c>
      <c r="BC1853">
        <f t="shared" si="36"/>
        <v>2.1309145267154298E-3</v>
      </c>
      <c r="BD1853">
        <f>SUMIFS(HIX_RatingAreas[QHP Enrollments 2019],HIX_RatingAreas[Area],HIX_SLCSP[[#This Row],[Area Code]])</f>
        <v>3337</v>
      </c>
      <c r="BE1853">
        <f t="shared" si="37"/>
        <v>1.8712457326400882E-3</v>
      </c>
      <c r="BF1853">
        <f>SUMIFS(HIX_RatingAreas[QHP Enrollments 2020],HIX_RatingAreas[Area],HIX_SLCSP[[#This Row],[Area Code]])</f>
        <v>2615</v>
      </c>
      <c r="BG1853">
        <f t="shared" si="38"/>
        <v>1.3662665395316031E-3</v>
      </c>
      <c r="BH1853">
        <f>SUMIFS(HIX_RatingAreas[QHP Enrollments 2021],HIX_RatingAreas[Area],HIX_SLCSP[[#This Row],[Area Code]])</f>
        <v>2805</v>
      </c>
      <c r="BI1853">
        <f t="shared" si="39"/>
        <v>1.3228948051029312E-3</v>
      </c>
      <c r="BJ1853">
        <f>SUMIFS(HIX_RatingAreas[QHP Enrollments 2022],HIX_RatingAreas[Area],HIX_SLCSP[[#This Row],[Area Code]])</f>
        <v>4029</v>
      </c>
      <c r="BK1853">
        <f t="shared" si="49"/>
        <v>1.4795669925459789E-3</v>
      </c>
      <c r="BL1853">
        <f>SUMIFS(HIX_RatingAreas[QHP Enrollments 2023],HIX_RatingAreas[Area],HIX_SLCSP[[#This Row],[Area Code]])</f>
        <v>5125</v>
      </c>
      <c r="BM1853">
        <f t="shared" si="47"/>
        <v>1.5889329656309924E-3</v>
      </c>
      <c r="BN1853">
        <f>SUMIFS(HIX_RatingAreas[QHP Enrollments 2024],HIX_RatingAreas[Area],HIX_SLCSP[[#This Row],[Area Code]])</f>
        <v>8524</v>
      </c>
      <c r="BO1853">
        <f t="shared" si="48"/>
        <v>2.0237887776116347E-3</v>
      </c>
      <c r="BP1853" s="53">
        <f>ROUND(HIX_SLCSP[[#This Row],[Weighting Factor 2018]]*HIX_SLCSP[[#This Row],[2018]],2)</f>
        <v>1.33</v>
      </c>
      <c r="BQ1853" s="53">
        <f>ROUND(HIX_SLCSP[[#This Row],[Weighting Factor 2019]]*HIX_SLCSP[[#This Row],[2019]],2)</f>
        <v>0.71</v>
      </c>
      <c r="BR1853" s="53">
        <f>ROUND(HIX_SLCSP[[#This Row],[Weighting Factor 2020]]*HIX_SLCSP[[#This Row],[2020]],2)</f>
        <v>0.46</v>
      </c>
      <c r="BS1853" s="53">
        <f>ROUND(HIX_SLCSP[[#This Row],[Weighting Factor 2021]]*HIX_SLCSP[[#This Row],[2021]],2)</f>
        <v>0.39</v>
      </c>
      <c r="BT1853" s="53">
        <f>ROUND(HIX_SLCSP[[#This Row],[Weighting Factor 2022]]*HIX_SLCSP[[#This Row],[2022]],2)</f>
        <v>0.45</v>
      </c>
      <c r="BU1853" s="53">
        <f>ROUND(HIX_SLCSP[[#This Row],[Weighting Factor 2023]]*HIX_SLCSP[[#This Row],[2023]],2)</f>
        <v>0.54</v>
      </c>
      <c r="BV1853" s="53">
        <f>ROUND(HIX_SLCSP[[#This Row],[Weighting Factor 2024]]*HIX_SLCSP[[#This Row],[2024]],2)</f>
        <v>0.69</v>
      </c>
    </row>
    <row r="1854" spans="4:74" x14ac:dyDescent="0.35">
      <c r="D1854" t="s">
        <v>539</v>
      </c>
      <c r="E1854" t="s">
        <v>731</v>
      </c>
      <c r="F1854" s="23">
        <v>55</v>
      </c>
      <c r="G1854" s="23" t="s">
        <v>540</v>
      </c>
      <c r="H1854" s="23" t="s">
        <v>732</v>
      </c>
      <c r="I1854" s="23">
        <v>65</v>
      </c>
      <c r="J1854" s="53">
        <v>319.85000000000002</v>
      </c>
      <c r="K1854" s="53">
        <v>402.34</v>
      </c>
      <c r="L1854" s="53">
        <v>685.66</v>
      </c>
      <c r="M1854" s="54">
        <f t="shared" si="41"/>
        <v>1.7041805438186608</v>
      </c>
      <c r="N1854" s="24">
        <v>48</v>
      </c>
      <c r="O1854" s="55">
        <v>394.17</v>
      </c>
      <c r="P1854" s="56">
        <v>424.54</v>
      </c>
      <c r="Q1854" s="56">
        <v>723.51</v>
      </c>
      <c r="R1854" s="57">
        <f t="shared" si="42"/>
        <v>1.7042210392424741</v>
      </c>
      <c r="S1854" s="23">
        <v>65</v>
      </c>
      <c r="T1854" s="53">
        <v>309.62</v>
      </c>
      <c r="U1854" s="53">
        <v>362.1</v>
      </c>
      <c r="V1854" s="53">
        <v>617.09</v>
      </c>
      <c r="W1854" s="57">
        <f t="shared" si="43"/>
        <v>1.7041977354322011</v>
      </c>
      <c r="X1854" s="47">
        <v>175</v>
      </c>
      <c r="Y1854" s="58">
        <v>330.62</v>
      </c>
      <c r="Z1854" s="58">
        <v>334.93</v>
      </c>
      <c r="AA1854" s="58">
        <v>570.79</v>
      </c>
      <c r="AB1854" s="57">
        <f t="shared" si="44"/>
        <v>1.7042068491923683</v>
      </c>
      <c r="AC1854" s="47">
        <v>276</v>
      </c>
      <c r="AD1854" s="57">
        <v>329.56</v>
      </c>
      <c r="AE1854" s="57">
        <v>331.98</v>
      </c>
      <c r="AF1854" s="57">
        <v>565.77</v>
      </c>
      <c r="AG1854" s="57">
        <f t="shared" si="45"/>
        <v>1.7042291704319537</v>
      </c>
      <c r="AH1854" s="47">
        <v>222</v>
      </c>
      <c r="AI1854">
        <v>362.69</v>
      </c>
      <c r="AJ1854">
        <v>385.23</v>
      </c>
      <c r="AK1854">
        <v>656.5</v>
      </c>
      <c r="AL1854" s="57">
        <f t="shared" si="50"/>
        <v>1.7041767255925031</v>
      </c>
      <c r="AM1854" s="47">
        <v>153</v>
      </c>
      <c r="AN1854" s="57">
        <v>370.62</v>
      </c>
      <c r="AO1854" s="57">
        <v>383.8</v>
      </c>
      <c r="AP1854" s="57">
        <v>654.07000000000005</v>
      </c>
      <c r="AQ1854" s="57">
        <f t="shared" si="46"/>
        <v>1.704194893173528</v>
      </c>
      <c r="AR1854" s="59">
        <v>5065</v>
      </c>
      <c r="AS1854" s="59">
        <f>SUMIFS(HIX_RatingAreas[Silver Enrollments 2018],HIX_RatingAreas[Area],HIX_SLCSP[[#This Row],[Area Code]])</f>
        <v>4518</v>
      </c>
      <c r="AT1854" s="59">
        <f>SUMIFS(HIX_RatingAreas[Silver Enrollments 2019],HIX_RatingAreas[Area],HIX_SLCSP[[#This Row],[Area Code]])</f>
        <v>4391</v>
      </c>
      <c r="AU1854" s="59">
        <f>SUMIFS(HIX_RatingAreas[Silver Enrollments 2020],HIX_RatingAreas[Area],HIX_SLCSP[[#This Row],[Area Code]])</f>
        <v>4287</v>
      </c>
      <c r="AV1854" s="59">
        <f>SUMIFS(HIX_RatingAreas[Silver Enrollments 2021],HIX_RatingAreas[Area],HIX_SLCSP[[#This Row],[Area Code]])</f>
        <v>4110</v>
      </c>
      <c r="AW1854" s="59">
        <f>SUMIFS(HIX_RatingAreas[Silver Enrollments 2022],HIX_RatingAreas[Area],HIX_SLCSP[[#This Row],[Area Code]])</f>
        <v>4980</v>
      </c>
      <c r="AX1854" s="59">
        <f>SUMIFS(HIX_RatingAreas[Silver Enrollments 2023],HIX_RatingAreas[Area],HIX_SLCSP[[#This Row],[Area Code]])</f>
        <v>5138</v>
      </c>
      <c r="AY1854" s="59">
        <f>SUMIFS(HIX_RatingAreas[Silver Enrollments 2024],HIX_RatingAreas[Area],HIX_SLCSP[[#This Row],[Area Code]])</f>
        <v>6961</v>
      </c>
      <c r="AZ1854" s="59">
        <v>7114</v>
      </c>
      <c r="BA1854">
        <f t="shared" si="35"/>
        <v>4.0819230597094573E-3</v>
      </c>
      <c r="BB1854">
        <f>SUMIFS(HIX_RatingAreas[QHP Enrollments 2018],HIX_RatingAreas[Area],HIX_SLCSP[[#This Row],[Area Code]])</f>
        <v>7129</v>
      </c>
      <c r="BC1854">
        <f t="shared" si="36"/>
        <v>4.1563036008082904E-3</v>
      </c>
      <c r="BD1854">
        <f>SUMIFS(HIX_RatingAreas[QHP Enrollments 2019],HIX_RatingAreas[Area],HIX_SLCSP[[#This Row],[Area Code]])</f>
        <v>7357</v>
      </c>
      <c r="BE1854">
        <f t="shared" si="37"/>
        <v>4.1254884192487651E-3</v>
      </c>
      <c r="BF1854">
        <f>SUMIFS(HIX_RatingAreas[QHP Enrollments 2020],HIX_RatingAreas[Area],HIX_SLCSP[[#This Row],[Area Code]])</f>
        <v>7471</v>
      </c>
      <c r="BG1854">
        <f t="shared" si="38"/>
        <v>3.9033947674342664E-3</v>
      </c>
      <c r="BH1854">
        <f>SUMIFS(HIX_RatingAreas[QHP Enrollments 2021],HIX_RatingAreas[Area],HIX_SLCSP[[#This Row],[Area Code]])</f>
        <v>7775</v>
      </c>
      <c r="BI1854">
        <f t="shared" si="39"/>
        <v>3.6668474544296931E-3</v>
      </c>
      <c r="BJ1854">
        <f>SUMIFS(HIX_RatingAreas[QHP Enrollments 2022],HIX_RatingAreas[Area],HIX_SLCSP[[#This Row],[Area Code]])</f>
        <v>10186</v>
      </c>
      <c r="BK1854">
        <f t="shared" si="49"/>
        <v>3.7405980109390274E-3</v>
      </c>
      <c r="BL1854">
        <f>SUMIFS(HIX_RatingAreas[QHP Enrollments 2023],HIX_RatingAreas[Area],HIX_SLCSP[[#This Row],[Area Code]])</f>
        <v>11978</v>
      </c>
      <c r="BM1854">
        <f t="shared" si="47"/>
        <v>3.7136076219176639E-3</v>
      </c>
      <c r="BN1854">
        <f>SUMIFS(HIX_RatingAreas[QHP Enrollments 2024],HIX_RatingAreas[Area],HIX_SLCSP[[#This Row],[Area Code]])</f>
        <v>15593</v>
      </c>
      <c r="BO1854">
        <f t="shared" si="48"/>
        <v>3.7021279222546012E-3</v>
      </c>
      <c r="BP1854" s="53">
        <f>ROUND(HIX_SLCSP[[#This Row],[Weighting Factor 2018]]*HIX_SLCSP[[#This Row],[2018]],2)</f>
        <v>1.67</v>
      </c>
      <c r="BQ1854" s="53">
        <f>ROUND(HIX_SLCSP[[#This Row],[Weighting Factor 2019]]*HIX_SLCSP[[#This Row],[2019]],2)</f>
        <v>1.75</v>
      </c>
      <c r="BR1854" s="53">
        <f>ROUND(HIX_SLCSP[[#This Row],[Weighting Factor 2020]]*HIX_SLCSP[[#This Row],[2020]],2)</f>
        <v>1.41</v>
      </c>
      <c r="BS1854" s="53">
        <f>ROUND(HIX_SLCSP[[#This Row],[Weighting Factor 2021]]*HIX_SLCSP[[#This Row],[2021]],2)</f>
        <v>1.23</v>
      </c>
      <c r="BT1854" s="53">
        <f>ROUND(HIX_SLCSP[[#This Row],[Weighting Factor 2022]]*HIX_SLCSP[[#This Row],[2022]],2)</f>
        <v>1.24</v>
      </c>
      <c r="BU1854" s="53">
        <f>ROUND(HIX_SLCSP[[#This Row],[Weighting Factor 2023]]*HIX_SLCSP[[#This Row],[2023]],2)</f>
        <v>1.43</v>
      </c>
      <c r="BV1854" s="53">
        <f>ROUND(HIX_SLCSP[[#This Row],[Weighting Factor 2024]]*HIX_SLCSP[[#This Row],[2024]],2)</f>
        <v>1.42</v>
      </c>
    </row>
    <row r="1855" spans="4:74" x14ac:dyDescent="0.35">
      <c r="D1855" t="s">
        <v>539</v>
      </c>
      <c r="E1855" t="s">
        <v>735</v>
      </c>
      <c r="F1855" s="23">
        <v>56</v>
      </c>
      <c r="G1855" s="23" t="s">
        <v>540</v>
      </c>
      <c r="H1855" s="23" t="s">
        <v>736</v>
      </c>
      <c r="I1855" s="23">
        <v>98</v>
      </c>
      <c r="J1855" s="53">
        <v>299.5</v>
      </c>
      <c r="K1855" s="53">
        <v>376.75</v>
      </c>
      <c r="L1855" s="53">
        <v>642.04999999999995</v>
      </c>
      <c r="M1855" s="54">
        <f t="shared" si="41"/>
        <v>1.7041804910418048</v>
      </c>
      <c r="N1855" s="24">
        <v>96</v>
      </c>
      <c r="O1855" s="55">
        <v>355.87</v>
      </c>
      <c r="P1855" s="56">
        <v>383.3</v>
      </c>
      <c r="Q1855" s="56">
        <v>653.21</v>
      </c>
      <c r="R1855" s="57">
        <f t="shared" si="42"/>
        <v>1.7041742760240022</v>
      </c>
      <c r="S1855" s="23">
        <v>98</v>
      </c>
      <c r="T1855" s="53">
        <v>318.5</v>
      </c>
      <c r="U1855" s="53">
        <v>353.7</v>
      </c>
      <c r="V1855" s="53">
        <v>602.78</v>
      </c>
      <c r="W1855" s="57">
        <f t="shared" si="43"/>
        <v>1.704212609556121</v>
      </c>
      <c r="X1855" s="47">
        <v>165</v>
      </c>
      <c r="Y1855" s="58">
        <v>267.83</v>
      </c>
      <c r="Z1855" s="58">
        <v>275.26</v>
      </c>
      <c r="AA1855" s="58">
        <v>469.1</v>
      </c>
      <c r="AB1855" s="57">
        <f t="shared" si="44"/>
        <v>1.7042069316282789</v>
      </c>
      <c r="AC1855" s="47">
        <v>216</v>
      </c>
      <c r="AD1855" s="57">
        <v>262.86</v>
      </c>
      <c r="AE1855" s="57">
        <v>275.31</v>
      </c>
      <c r="AF1855" s="57">
        <v>469.18</v>
      </c>
      <c r="AG1855" s="57">
        <f t="shared" si="45"/>
        <v>1.7041880062475028</v>
      </c>
      <c r="AH1855" s="47">
        <v>190</v>
      </c>
      <c r="AI1855">
        <v>291.01</v>
      </c>
      <c r="AJ1855">
        <v>292.35000000000002</v>
      </c>
      <c r="AK1855">
        <v>498.22</v>
      </c>
      <c r="AL1855" s="57">
        <f t="shared" si="50"/>
        <v>1.7041901829998289</v>
      </c>
      <c r="AM1855" s="47">
        <v>136</v>
      </c>
      <c r="AN1855" s="57">
        <v>289.01</v>
      </c>
      <c r="AO1855" s="57">
        <v>289.14999999999998</v>
      </c>
      <c r="AP1855" s="57">
        <v>492.77</v>
      </c>
      <c r="AQ1855" s="57">
        <f t="shared" si="46"/>
        <v>1.7042019712951755</v>
      </c>
      <c r="AR1855" s="59">
        <v>20670</v>
      </c>
      <c r="AS1855" s="59">
        <f>SUMIFS(HIX_RatingAreas[Silver Enrollments 2018],HIX_RatingAreas[Area],HIX_SLCSP[[#This Row],[Area Code]])</f>
        <v>16287</v>
      </c>
      <c r="AT1855" s="59">
        <f>SUMIFS(HIX_RatingAreas[Silver Enrollments 2019],HIX_RatingAreas[Area],HIX_SLCSP[[#This Row],[Area Code]])</f>
        <v>15421</v>
      </c>
      <c r="AU1855" s="59">
        <f>SUMIFS(HIX_RatingAreas[Silver Enrollments 2020],HIX_RatingAreas[Area],HIX_SLCSP[[#This Row],[Area Code]])</f>
        <v>16407</v>
      </c>
      <c r="AV1855" s="59">
        <f>SUMIFS(HIX_RatingAreas[Silver Enrollments 2021],HIX_RatingAreas[Area],HIX_SLCSP[[#This Row],[Area Code]])</f>
        <v>16691</v>
      </c>
      <c r="AW1855" s="59">
        <f>SUMIFS(HIX_RatingAreas[Silver Enrollments 2022],HIX_RatingAreas[Area],HIX_SLCSP[[#This Row],[Area Code]])</f>
        <v>20294</v>
      </c>
      <c r="AX1855" s="59">
        <f>SUMIFS(HIX_RatingAreas[Silver Enrollments 2023],HIX_RatingAreas[Area],HIX_SLCSP[[#This Row],[Area Code]])</f>
        <v>22518</v>
      </c>
      <c r="AY1855" s="59">
        <f>SUMIFS(HIX_RatingAreas[Silver Enrollments 2024],HIX_RatingAreas[Area],HIX_SLCSP[[#This Row],[Area Code]])</f>
        <v>30324</v>
      </c>
      <c r="AZ1855" s="59">
        <v>28425</v>
      </c>
      <c r="BA1855">
        <f t="shared" si="35"/>
        <v>1.6309904831633585E-2</v>
      </c>
      <c r="BB1855">
        <f>SUMIFS(HIX_RatingAreas[QHP Enrollments 2018],HIX_RatingAreas[Area],HIX_SLCSP[[#This Row],[Area Code]])</f>
        <v>28911</v>
      </c>
      <c r="BC1855">
        <f t="shared" si="36"/>
        <v>1.6855504755641532E-2</v>
      </c>
      <c r="BD1855">
        <f>SUMIFS(HIX_RatingAreas[QHP Enrollments 2019],HIX_RatingAreas[Area],HIX_SLCSP[[#This Row],[Area Code]])</f>
        <v>28958</v>
      </c>
      <c r="BE1855">
        <f t="shared" si="37"/>
        <v>1.62383979400035E-2</v>
      </c>
      <c r="BF1855">
        <f>SUMIFS(HIX_RatingAreas[QHP Enrollments 2020],HIX_RatingAreas[Area],HIX_SLCSP[[#This Row],[Area Code]])</f>
        <v>29669</v>
      </c>
      <c r="BG1855">
        <f t="shared" si="38"/>
        <v>1.5501247403962956E-2</v>
      </c>
      <c r="BH1855">
        <f>SUMIFS(HIX_RatingAreas[QHP Enrollments 2021],HIX_RatingAreas[Area],HIX_SLCSP[[#This Row],[Area Code]])</f>
        <v>31971</v>
      </c>
      <c r="BI1855">
        <f t="shared" si="39"/>
        <v>1.5078171056665174E-2</v>
      </c>
      <c r="BJ1855">
        <f>SUMIFS(HIX_RatingAreas[QHP Enrollments 2022],HIX_RatingAreas[Area],HIX_SLCSP[[#This Row],[Area Code]])</f>
        <v>40694</v>
      </c>
      <c r="BK1855">
        <f t="shared" si="49"/>
        <v>1.4944030576983387E-2</v>
      </c>
      <c r="BL1855">
        <f>SUMIFS(HIX_RatingAreas[QHP Enrollments 2023],HIX_RatingAreas[Area],HIX_SLCSP[[#This Row],[Area Code]])</f>
        <v>46361</v>
      </c>
      <c r="BM1855">
        <f t="shared" si="47"/>
        <v>1.4373565116023111E-2</v>
      </c>
      <c r="BN1855">
        <f>SUMIFS(HIX_RatingAreas[QHP Enrollments 2024],HIX_RatingAreas[Area],HIX_SLCSP[[#This Row],[Area Code]])</f>
        <v>57934</v>
      </c>
      <c r="BO1855">
        <f t="shared" si="48"/>
        <v>1.3754830952856928E-2</v>
      </c>
      <c r="BP1855" s="53">
        <f>ROUND(HIX_SLCSP[[#This Row],[Weighting Factor 2018]]*HIX_SLCSP[[#This Row],[2018]],2)</f>
        <v>6.35</v>
      </c>
      <c r="BQ1855" s="53">
        <f>ROUND(HIX_SLCSP[[#This Row],[Weighting Factor 2019]]*HIX_SLCSP[[#This Row],[2019]],2)</f>
        <v>6.22</v>
      </c>
      <c r="BR1855" s="53">
        <f>ROUND(HIX_SLCSP[[#This Row],[Weighting Factor 2020]]*HIX_SLCSP[[#This Row],[2020]],2)</f>
        <v>5.48</v>
      </c>
      <c r="BS1855" s="53">
        <f>ROUND(HIX_SLCSP[[#This Row],[Weighting Factor 2021]]*HIX_SLCSP[[#This Row],[2021]],2)</f>
        <v>4.1500000000000004</v>
      </c>
      <c r="BT1855" s="53">
        <f>ROUND(HIX_SLCSP[[#This Row],[Weighting Factor 2022]]*HIX_SLCSP[[#This Row],[2022]],2)</f>
        <v>4.1100000000000003</v>
      </c>
      <c r="BU1855" s="53">
        <f>ROUND(HIX_SLCSP[[#This Row],[Weighting Factor 2023]]*HIX_SLCSP[[#This Row],[2023]],2)</f>
        <v>4.2</v>
      </c>
      <c r="BV1855" s="53">
        <f>ROUND(HIX_SLCSP[[#This Row],[Weighting Factor 2024]]*HIX_SLCSP[[#This Row],[2024]],2)</f>
        <v>3.98</v>
      </c>
    </row>
    <row r="1856" spans="4:74" x14ac:dyDescent="0.35">
      <c r="D1856" t="s">
        <v>539</v>
      </c>
      <c r="E1856" t="s">
        <v>739</v>
      </c>
      <c r="F1856" s="23">
        <v>57</v>
      </c>
      <c r="G1856" s="23" t="s">
        <v>540</v>
      </c>
      <c r="H1856" s="23" t="s">
        <v>740</v>
      </c>
      <c r="I1856" s="23">
        <v>207</v>
      </c>
      <c r="J1856" s="53">
        <v>315.97000000000003</v>
      </c>
      <c r="K1856" s="53">
        <v>376.16</v>
      </c>
      <c r="L1856" s="53">
        <v>626.67999999999995</v>
      </c>
      <c r="M1856" s="54">
        <f t="shared" si="41"/>
        <v>1.6659931943853676</v>
      </c>
      <c r="N1856" s="24">
        <v>177</v>
      </c>
      <c r="O1856" s="55">
        <v>286.29000000000002</v>
      </c>
      <c r="P1856" s="56">
        <v>376.43</v>
      </c>
      <c r="Q1856" s="56">
        <v>641.52</v>
      </c>
      <c r="R1856" s="57">
        <f t="shared" si="42"/>
        <v>1.7042212363520441</v>
      </c>
      <c r="S1856" s="23">
        <v>207</v>
      </c>
      <c r="T1856" s="53">
        <v>292.94</v>
      </c>
      <c r="U1856" s="53">
        <v>301.11</v>
      </c>
      <c r="V1856" s="53">
        <v>513.15</v>
      </c>
      <c r="W1856" s="57">
        <f t="shared" si="43"/>
        <v>1.7041944804224369</v>
      </c>
      <c r="X1856" s="47">
        <v>304</v>
      </c>
      <c r="Y1856" s="58">
        <v>289.10000000000002</v>
      </c>
      <c r="Z1856" s="58">
        <v>308.85000000000002</v>
      </c>
      <c r="AA1856" s="58">
        <v>526.33000000000004</v>
      </c>
      <c r="AB1856" s="57">
        <f t="shared" si="44"/>
        <v>1.7041605957584589</v>
      </c>
      <c r="AC1856" s="47">
        <v>354</v>
      </c>
      <c r="AD1856" s="57">
        <v>292.98</v>
      </c>
      <c r="AE1856" s="57">
        <v>319.10000000000002</v>
      </c>
      <c r="AF1856" s="57">
        <v>543.80999999999995</v>
      </c>
      <c r="AG1856" s="57">
        <f t="shared" si="45"/>
        <v>1.7041993105609523</v>
      </c>
      <c r="AH1856" s="47">
        <v>397</v>
      </c>
      <c r="AI1856">
        <v>318.45</v>
      </c>
      <c r="AJ1856">
        <v>322.75</v>
      </c>
      <c r="AK1856">
        <v>550.03</v>
      </c>
      <c r="AL1856" s="57">
        <f t="shared" si="50"/>
        <v>1.7041982958946553</v>
      </c>
      <c r="AM1856" s="47">
        <v>311</v>
      </c>
      <c r="AN1856" s="57">
        <v>332.45</v>
      </c>
      <c r="AO1856" s="57">
        <v>357.07</v>
      </c>
      <c r="AP1856" s="57">
        <v>608.52</v>
      </c>
      <c r="AQ1856" s="57">
        <f t="shared" si="46"/>
        <v>1.7042036575461394</v>
      </c>
      <c r="AR1856" s="59">
        <v>27830</v>
      </c>
      <c r="AS1856" s="59">
        <f>SUMIFS(HIX_RatingAreas[Silver Enrollments 2018],HIX_RatingAreas[Area],HIX_SLCSP[[#This Row],[Area Code]])</f>
        <v>20008</v>
      </c>
      <c r="AT1856" s="59">
        <f>SUMIFS(HIX_RatingAreas[Silver Enrollments 2019],HIX_RatingAreas[Area],HIX_SLCSP[[#This Row],[Area Code]])</f>
        <v>18697</v>
      </c>
      <c r="AU1856" s="59">
        <f>SUMIFS(HIX_RatingAreas[Silver Enrollments 2020],HIX_RatingAreas[Area],HIX_SLCSP[[#This Row],[Area Code]])</f>
        <v>18413</v>
      </c>
      <c r="AV1856" s="59">
        <f>SUMIFS(HIX_RatingAreas[Silver Enrollments 2021],HIX_RatingAreas[Area],HIX_SLCSP[[#This Row],[Area Code]])</f>
        <v>20294</v>
      </c>
      <c r="AW1856" s="59">
        <f>SUMIFS(HIX_RatingAreas[Silver Enrollments 2022],HIX_RatingAreas[Area],HIX_SLCSP[[#This Row],[Area Code]])</f>
        <v>28593</v>
      </c>
      <c r="AX1856" s="59">
        <f>SUMIFS(HIX_RatingAreas[Silver Enrollments 2023],HIX_RatingAreas[Area],HIX_SLCSP[[#This Row],[Area Code]])</f>
        <v>30477</v>
      </c>
      <c r="AY1856" s="59">
        <f>SUMIFS(HIX_RatingAreas[Silver Enrollments 2024],HIX_RatingAreas[Area],HIX_SLCSP[[#This Row],[Area Code]])</f>
        <v>38203</v>
      </c>
      <c r="AZ1856" s="59">
        <v>37130</v>
      </c>
      <c r="BA1856">
        <f t="shared" si="35"/>
        <v>2.1304723532051185E-2</v>
      </c>
      <c r="BB1856">
        <f>SUMIFS(HIX_RatingAreas[QHP Enrollments 2018],HIX_RatingAreas[Area],HIX_SLCSP[[#This Row],[Area Code]])</f>
        <v>34063</v>
      </c>
      <c r="BC1856">
        <f t="shared" si="36"/>
        <v>1.9859190567307165E-2</v>
      </c>
      <c r="BD1856">
        <f>SUMIFS(HIX_RatingAreas[QHP Enrollments 2019],HIX_RatingAreas[Area],HIX_SLCSP[[#This Row],[Area Code]])</f>
        <v>33643</v>
      </c>
      <c r="BE1856">
        <f t="shared" si="37"/>
        <v>1.8865543956610876E-2</v>
      </c>
      <c r="BF1856">
        <f>SUMIFS(HIX_RatingAreas[QHP Enrollments 2020],HIX_RatingAreas[Area],HIX_SLCSP[[#This Row],[Area Code]])</f>
        <v>33824</v>
      </c>
      <c r="BG1856">
        <f t="shared" si="38"/>
        <v>1.7672122154155617E-2</v>
      </c>
      <c r="BH1856">
        <f>SUMIFS(HIX_RatingAreas[QHP Enrollments 2021],HIX_RatingAreas[Area],HIX_SLCSP[[#This Row],[Area Code]])</f>
        <v>36736</v>
      </c>
      <c r="BI1856">
        <f t="shared" si="39"/>
        <v>1.732544155446035E-2</v>
      </c>
      <c r="BJ1856">
        <f>SUMIFS(HIX_RatingAreas[QHP Enrollments 2022],HIX_RatingAreas[Area],HIX_SLCSP[[#This Row],[Area Code]])</f>
        <v>48512</v>
      </c>
      <c r="BK1856">
        <f t="shared" si="49"/>
        <v>1.7815029521566276E-2</v>
      </c>
      <c r="BL1856">
        <f>SUMIFS(HIX_RatingAreas[QHP Enrollments 2023],HIX_RatingAreas[Area],HIX_SLCSP[[#This Row],[Area Code]])</f>
        <v>58701</v>
      </c>
      <c r="BM1856">
        <f t="shared" si="47"/>
        <v>1.8199405661561929E-2</v>
      </c>
      <c r="BN1856">
        <f>SUMIFS(HIX_RatingAreas[QHP Enrollments 2024],HIX_RatingAreas[Area],HIX_SLCSP[[#This Row],[Area Code]])</f>
        <v>70247</v>
      </c>
      <c r="BO1856">
        <f t="shared" si="48"/>
        <v>1.6678213310756043E-2</v>
      </c>
      <c r="BP1856" s="53">
        <f>ROUND(HIX_SLCSP[[#This Row],[Weighting Factor 2018]]*HIX_SLCSP[[#This Row],[2018]],2)</f>
        <v>7.47</v>
      </c>
      <c r="BQ1856" s="53">
        <f>ROUND(HIX_SLCSP[[#This Row],[Weighting Factor 2019]]*HIX_SLCSP[[#This Row],[2019]],2)</f>
        <v>7.1</v>
      </c>
      <c r="BR1856" s="53">
        <f>ROUND(HIX_SLCSP[[#This Row],[Weighting Factor 2020]]*HIX_SLCSP[[#This Row],[2020]],2)</f>
        <v>5.32</v>
      </c>
      <c r="BS1856" s="53">
        <f>ROUND(HIX_SLCSP[[#This Row],[Weighting Factor 2021]]*HIX_SLCSP[[#This Row],[2021]],2)</f>
        <v>5.35</v>
      </c>
      <c r="BT1856" s="53">
        <f>ROUND(HIX_SLCSP[[#This Row],[Weighting Factor 2022]]*HIX_SLCSP[[#This Row],[2022]],2)</f>
        <v>5.68</v>
      </c>
      <c r="BU1856" s="53">
        <f>ROUND(HIX_SLCSP[[#This Row],[Weighting Factor 2023]]*HIX_SLCSP[[#This Row],[2023]],2)</f>
        <v>5.87</v>
      </c>
      <c r="BV1856" s="53">
        <f>ROUND(HIX_SLCSP[[#This Row],[Weighting Factor 2024]]*HIX_SLCSP[[#This Row],[2024]],2)</f>
        <v>5.96</v>
      </c>
    </row>
    <row r="1857" spans="4:74" x14ac:dyDescent="0.35">
      <c r="D1857" t="s">
        <v>539</v>
      </c>
      <c r="E1857" t="s">
        <v>743</v>
      </c>
      <c r="F1857" s="23">
        <v>58</v>
      </c>
      <c r="G1857" s="23" t="s">
        <v>540</v>
      </c>
      <c r="H1857" s="23" t="s">
        <v>744</v>
      </c>
      <c r="I1857" s="23">
        <v>80</v>
      </c>
      <c r="J1857" s="53">
        <v>294.86</v>
      </c>
      <c r="K1857" s="53">
        <v>375.69</v>
      </c>
      <c r="L1857" s="53">
        <v>625.9</v>
      </c>
      <c r="M1857" s="54">
        <f t="shared" si="41"/>
        <v>1.6660012244137454</v>
      </c>
      <c r="N1857" s="24">
        <v>48</v>
      </c>
      <c r="O1857" s="55">
        <v>346.41</v>
      </c>
      <c r="P1857" s="56">
        <v>373.1</v>
      </c>
      <c r="Q1857" s="56">
        <v>635.83000000000004</v>
      </c>
      <c r="R1857" s="57">
        <f t="shared" si="42"/>
        <v>1.7041811846689896</v>
      </c>
      <c r="S1857" s="23">
        <v>80</v>
      </c>
      <c r="T1857" s="53">
        <v>343.82</v>
      </c>
      <c r="U1857" s="53">
        <v>353.27</v>
      </c>
      <c r="V1857" s="53">
        <v>602.04</v>
      </c>
      <c r="W1857" s="57">
        <f t="shared" si="43"/>
        <v>1.7041922608769495</v>
      </c>
      <c r="X1857" s="47">
        <v>193</v>
      </c>
      <c r="Y1857" s="58">
        <v>247.71</v>
      </c>
      <c r="Z1857" s="58">
        <v>254.59</v>
      </c>
      <c r="AA1857" s="58">
        <v>433.87</v>
      </c>
      <c r="AB1857" s="57">
        <f t="shared" si="44"/>
        <v>1.7041910522801367</v>
      </c>
      <c r="AC1857" s="47">
        <v>185</v>
      </c>
      <c r="AD1857" s="57">
        <v>254.43</v>
      </c>
      <c r="AE1857" s="57">
        <v>266.47000000000003</v>
      </c>
      <c r="AF1857" s="57">
        <v>454.12</v>
      </c>
      <c r="AG1857" s="57">
        <f t="shared" si="45"/>
        <v>1.7042068525537581</v>
      </c>
      <c r="AH1857" s="47">
        <v>184</v>
      </c>
      <c r="AI1857">
        <v>272.72000000000003</v>
      </c>
      <c r="AJ1857">
        <v>274.04000000000002</v>
      </c>
      <c r="AK1857">
        <v>467.02</v>
      </c>
      <c r="AL1857" s="57">
        <f t="shared" si="50"/>
        <v>1.7042037658735949</v>
      </c>
      <c r="AM1857" s="47">
        <v>190</v>
      </c>
      <c r="AN1857" s="57">
        <v>288.13</v>
      </c>
      <c r="AO1857" s="57">
        <v>289.51</v>
      </c>
      <c r="AP1857" s="57">
        <v>493.39</v>
      </c>
      <c r="AQ1857" s="57">
        <f t="shared" si="46"/>
        <v>1.7042243791233465</v>
      </c>
      <c r="AR1857" s="59">
        <v>9295</v>
      </c>
      <c r="AS1857" s="59">
        <f>SUMIFS(HIX_RatingAreas[Silver Enrollments 2018],HIX_RatingAreas[Area],HIX_SLCSP[[#This Row],[Area Code]])</f>
        <v>7320</v>
      </c>
      <c r="AT1857" s="59">
        <f>SUMIFS(HIX_RatingAreas[Silver Enrollments 2019],HIX_RatingAreas[Area],HIX_SLCSP[[#This Row],[Area Code]])</f>
        <v>7268</v>
      </c>
      <c r="AU1857" s="59">
        <f>SUMIFS(HIX_RatingAreas[Silver Enrollments 2020],HIX_RatingAreas[Area],HIX_SLCSP[[#This Row],[Area Code]])</f>
        <v>7097</v>
      </c>
      <c r="AV1857" s="59">
        <f>SUMIFS(HIX_RatingAreas[Silver Enrollments 2021],HIX_RatingAreas[Area],HIX_SLCSP[[#This Row],[Area Code]])</f>
        <v>7088</v>
      </c>
      <c r="AW1857" s="59">
        <f>SUMIFS(HIX_RatingAreas[Silver Enrollments 2022],HIX_RatingAreas[Area],HIX_SLCSP[[#This Row],[Area Code]])</f>
        <v>8145</v>
      </c>
      <c r="AX1857" s="59">
        <f>SUMIFS(HIX_RatingAreas[Silver Enrollments 2023],HIX_RatingAreas[Area],HIX_SLCSP[[#This Row],[Area Code]])</f>
        <v>8847</v>
      </c>
      <c r="AY1857" s="59">
        <f>SUMIFS(HIX_RatingAreas[Silver Enrollments 2024],HIX_RatingAreas[Area],HIX_SLCSP[[#This Row],[Area Code]])</f>
        <v>12289</v>
      </c>
      <c r="AZ1857" s="59">
        <v>13139</v>
      </c>
      <c r="BA1857">
        <f t="shared" si="35"/>
        <v>7.5389917179536905E-3</v>
      </c>
      <c r="BB1857">
        <f>SUMIFS(HIX_RatingAreas[QHP Enrollments 2018],HIX_RatingAreas[Area],HIX_SLCSP[[#This Row],[Area Code]])</f>
        <v>13443</v>
      </c>
      <c r="BC1857">
        <f t="shared" si="36"/>
        <v>7.8374511580398144E-3</v>
      </c>
      <c r="BD1857">
        <f>SUMIFS(HIX_RatingAreas[QHP Enrollments 2019],HIX_RatingAreas[Area],HIX_SLCSP[[#This Row],[Area Code]])</f>
        <v>13924</v>
      </c>
      <c r="BE1857">
        <f t="shared" si="37"/>
        <v>7.8079788975968199E-3</v>
      </c>
      <c r="BF1857">
        <f>SUMIFS(HIX_RatingAreas[QHP Enrollments 2020],HIX_RatingAreas[Area],HIX_SLCSP[[#This Row],[Area Code]])</f>
        <v>14176</v>
      </c>
      <c r="BG1857">
        <f t="shared" si="38"/>
        <v>7.4065753209942662E-3</v>
      </c>
      <c r="BH1857">
        <f>SUMIFS(HIX_RatingAreas[QHP Enrollments 2021],HIX_RatingAreas[Area],HIX_SLCSP[[#This Row],[Area Code]])</f>
        <v>15240</v>
      </c>
      <c r="BI1857">
        <f t="shared" si="39"/>
        <v>7.1874926309335721E-3</v>
      </c>
      <c r="BJ1857">
        <f>SUMIFS(HIX_RatingAreas[QHP Enrollments 2022],HIX_RatingAreas[Area],HIX_SLCSP[[#This Row],[Area Code]])</f>
        <v>19585</v>
      </c>
      <c r="BK1857">
        <f t="shared" si="49"/>
        <v>7.1921865348754024E-3</v>
      </c>
      <c r="BL1857">
        <f>SUMIFS(HIX_RatingAreas[QHP Enrollments 2023],HIX_RatingAreas[Area],HIX_SLCSP[[#This Row],[Area Code]])</f>
        <v>21638</v>
      </c>
      <c r="BM1857">
        <f t="shared" si="47"/>
        <v>6.708552489819203E-3</v>
      </c>
      <c r="BN1857">
        <f>SUMIFS(HIX_RatingAreas[QHP Enrollments 2024],HIX_RatingAreas[Area],HIX_SLCSP[[#This Row],[Area Code]])</f>
        <v>27205</v>
      </c>
      <c r="BO1857">
        <f t="shared" si="48"/>
        <v>6.4590771580155474E-3</v>
      </c>
      <c r="BP1857" s="53">
        <f>ROUND(HIX_SLCSP[[#This Row],[Weighting Factor 2018]]*HIX_SLCSP[[#This Row],[2018]],2)</f>
        <v>2.94</v>
      </c>
      <c r="BQ1857" s="53">
        <f>ROUND(HIX_SLCSP[[#This Row],[Weighting Factor 2019]]*HIX_SLCSP[[#This Row],[2019]],2)</f>
        <v>2.91</v>
      </c>
      <c r="BR1857" s="53">
        <f>ROUND(HIX_SLCSP[[#This Row],[Weighting Factor 2020]]*HIX_SLCSP[[#This Row],[2020]],2)</f>
        <v>2.62</v>
      </c>
      <c r="BS1857" s="53">
        <f>ROUND(HIX_SLCSP[[#This Row],[Weighting Factor 2021]]*HIX_SLCSP[[#This Row],[2021]],2)</f>
        <v>1.83</v>
      </c>
      <c r="BT1857" s="53">
        <f>ROUND(HIX_SLCSP[[#This Row],[Weighting Factor 2022]]*HIX_SLCSP[[#This Row],[2022]],2)</f>
        <v>1.92</v>
      </c>
      <c r="BU1857" s="53">
        <f>ROUND(HIX_SLCSP[[#This Row],[Weighting Factor 2023]]*HIX_SLCSP[[#This Row],[2023]],2)</f>
        <v>1.84</v>
      </c>
      <c r="BV1857" s="53">
        <f>ROUND(HIX_SLCSP[[#This Row],[Weighting Factor 2024]]*HIX_SLCSP[[#This Row],[2024]],2)</f>
        <v>1.87</v>
      </c>
    </row>
    <row r="1858" spans="4:74" x14ac:dyDescent="0.35">
      <c r="D1858" t="s">
        <v>539</v>
      </c>
      <c r="E1858" t="s">
        <v>747</v>
      </c>
      <c r="F1858" s="23">
        <v>59</v>
      </c>
      <c r="G1858" s="23" t="s">
        <v>540</v>
      </c>
      <c r="H1858" s="23" t="s">
        <v>748</v>
      </c>
      <c r="I1858" s="23">
        <v>104</v>
      </c>
      <c r="J1858" s="53">
        <v>363.38</v>
      </c>
      <c r="K1858" s="53">
        <v>388.63</v>
      </c>
      <c r="L1858" s="53">
        <v>662.3</v>
      </c>
      <c r="M1858" s="54">
        <f t="shared" si="41"/>
        <v>1.7041916475825334</v>
      </c>
      <c r="N1858" s="24">
        <v>80</v>
      </c>
      <c r="O1858" s="55">
        <v>404.05</v>
      </c>
      <c r="P1858" s="56">
        <v>410.87</v>
      </c>
      <c r="Q1858" s="56">
        <v>700.2</v>
      </c>
      <c r="R1858" s="57">
        <f t="shared" si="42"/>
        <v>1.7041886728162194</v>
      </c>
      <c r="S1858" s="23">
        <v>104</v>
      </c>
      <c r="T1858" s="53">
        <v>305.79000000000002</v>
      </c>
      <c r="U1858" s="53">
        <v>318.62</v>
      </c>
      <c r="V1858" s="53">
        <v>542.99</v>
      </c>
      <c r="W1858" s="57">
        <f t="shared" si="43"/>
        <v>1.7041930826690102</v>
      </c>
      <c r="X1858" s="47">
        <v>191</v>
      </c>
      <c r="Y1858" s="58">
        <v>285.87</v>
      </c>
      <c r="Z1858" s="58">
        <v>305.39999999999998</v>
      </c>
      <c r="AA1858" s="58">
        <v>520.46</v>
      </c>
      <c r="AB1858" s="57">
        <f t="shared" si="44"/>
        <v>1.704191224623445</v>
      </c>
      <c r="AC1858" s="47">
        <v>226</v>
      </c>
      <c r="AD1858" s="57">
        <v>293.47000000000003</v>
      </c>
      <c r="AE1858" s="57">
        <v>319.63</v>
      </c>
      <c r="AF1858" s="57">
        <v>544.71</v>
      </c>
      <c r="AG1858" s="57">
        <f t="shared" si="45"/>
        <v>1.7041892187842194</v>
      </c>
      <c r="AH1858" s="47">
        <v>224</v>
      </c>
      <c r="AI1858">
        <v>321.67</v>
      </c>
      <c r="AJ1858">
        <v>332.13</v>
      </c>
      <c r="AK1858">
        <v>566.01</v>
      </c>
      <c r="AL1858" s="57">
        <f t="shared" si="50"/>
        <v>1.7041820973715112</v>
      </c>
      <c r="AM1858" s="47">
        <v>153</v>
      </c>
      <c r="AN1858" s="57">
        <v>364.05</v>
      </c>
      <c r="AO1858" s="57">
        <v>375.51</v>
      </c>
      <c r="AP1858" s="57">
        <v>639.94000000000005</v>
      </c>
      <c r="AQ1858" s="57">
        <f t="shared" si="46"/>
        <v>1.7041889696679184</v>
      </c>
      <c r="AR1858" s="59">
        <v>21277</v>
      </c>
      <c r="AS1858" s="59">
        <f>SUMIFS(HIX_RatingAreas[Silver Enrollments 2018],HIX_RatingAreas[Area],HIX_SLCSP[[#This Row],[Area Code]])</f>
        <v>12803</v>
      </c>
      <c r="AT1858" s="59">
        <f>SUMIFS(HIX_RatingAreas[Silver Enrollments 2019],HIX_RatingAreas[Area],HIX_SLCSP[[#This Row],[Area Code]])</f>
        <v>11355</v>
      </c>
      <c r="AU1858" s="59">
        <f>SUMIFS(HIX_RatingAreas[Silver Enrollments 2020],HIX_RatingAreas[Area],HIX_SLCSP[[#This Row],[Area Code]])</f>
        <v>13802</v>
      </c>
      <c r="AV1858" s="59">
        <f>SUMIFS(HIX_RatingAreas[Silver Enrollments 2021],HIX_RatingAreas[Area],HIX_SLCSP[[#This Row],[Area Code]])</f>
        <v>14125</v>
      </c>
      <c r="AW1858" s="59">
        <f>SUMIFS(HIX_RatingAreas[Silver Enrollments 2022],HIX_RatingAreas[Area],HIX_SLCSP[[#This Row],[Area Code]])</f>
        <v>20325</v>
      </c>
      <c r="AX1858" s="59">
        <f>SUMIFS(HIX_RatingAreas[Silver Enrollments 2023],HIX_RatingAreas[Area],HIX_SLCSP[[#This Row],[Area Code]])</f>
        <v>24544</v>
      </c>
      <c r="AY1858" s="59">
        <f>SUMIFS(HIX_RatingAreas[Silver Enrollments 2024],HIX_RatingAreas[Area],HIX_SLCSP[[#This Row],[Area Code]])</f>
        <v>34536</v>
      </c>
      <c r="AZ1858" s="59">
        <v>25627</v>
      </c>
      <c r="BA1858">
        <f t="shared" si="35"/>
        <v>1.4704447884618254E-2</v>
      </c>
      <c r="BB1858">
        <f>SUMIFS(HIX_RatingAreas[QHP Enrollments 2018],HIX_RatingAreas[Area],HIX_SLCSP[[#This Row],[Area Code]])</f>
        <v>25909</v>
      </c>
      <c r="BC1858">
        <f t="shared" si="36"/>
        <v>1.5105298077337913E-2</v>
      </c>
      <c r="BD1858">
        <f>SUMIFS(HIX_RatingAreas[QHP Enrollments 2019],HIX_RatingAreas[Area],HIX_SLCSP[[#This Row],[Area Code]])</f>
        <v>25236</v>
      </c>
      <c r="BE1858">
        <f t="shared" si="37"/>
        <v>1.4151260805785217E-2</v>
      </c>
      <c r="BF1858">
        <f>SUMIFS(HIX_RatingAreas[QHP Enrollments 2020],HIX_RatingAreas[Area],HIX_SLCSP[[#This Row],[Area Code]])</f>
        <v>26331</v>
      </c>
      <c r="BG1858">
        <f t="shared" si="38"/>
        <v>1.3757232983711908E-2</v>
      </c>
      <c r="BH1858">
        <f>SUMIFS(HIX_RatingAreas[QHP Enrollments 2021],HIX_RatingAreas[Area],HIX_SLCSP[[#This Row],[Area Code]])</f>
        <v>28142</v>
      </c>
      <c r="BI1858">
        <f t="shared" si="39"/>
        <v>1.3272337114155682E-2</v>
      </c>
      <c r="BJ1858">
        <f>SUMIFS(HIX_RatingAreas[QHP Enrollments 2022],HIX_RatingAreas[Area],HIX_SLCSP[[#This Row],[Area Code]])</f>
        <v>35880</v>
      </c>
      <c r="BK1858">
        <f t="shared" si="49"/>
        <v>1.3176188556105665E-2</v>
      </c>
      <c r="BL1858">
        <f>SUMIFS(HIX_RatingAreas[QHP Enrollments 2023],HIX_RatingAreas[Area],HIX_SLCSP[[#This Row],[Area Code]])</f>
        <v>41941</v>
      </c>
      <c r="BM1858">
        <f t="shared" si="47"/>
        <v>1.3003207319322819E-2</v>
      </c>
      <c r="BN1858">
        <f>SUMIFS(HIX_RatingAreas[QHP Enrollments 2024],HIX_RatingAreas[Area],HIX_SLCSP[[#This Row],[Area Code]])</f>
        <v>55825</v>
      </c>
      <c r="BO1858">
        <f t="shared" si="48"/>
        <v>1.3254107051873477E-2</v>
      </c>
      <c r="BP1858" s="53">
        <f>ROUND(HIX_SLCSP[[#This Row],[Weighting Factor 2018]]*HIX_SLCSP[[#This Row],[2018]],2)</f>
        <v>5.87</v>
      </c>
      <c r="BQ1858" s="53">
        <f>ROUND(HIX_SLCSP[[#This Row],[Weighting Factor 2019]]*HIX_SLCSP[[#This Row],[2019]],2)</f>
        <v>5.81</v>
      </c>
      <c r="BR1858" s="53">
        <f>ROUND(HIX_SLCSP[[#This Row],[Weighting Factor 2020]]*HIX_SLCSP[[#This Row],[2020]],2)</f>
        <v>4.38</v>
      </c>
      <c r="BS1858" s="53">
        <f>ROUND(HIX_SLCSP[[#This Row],[Weighting Factor 2021]]*HIX_SLCSP[[#This Row],[2021]],2)</f>
        <v>4.05</v>
      </c>
      <c r="BT1858" s="53">
        <f>ROUND(HIX_SLCSP[[#This Row],[Weighting Factor 2022]]*HIX_SLCSP[[#This Row],[2022]],2)</f>
        <v>4.21</v>
      </c>
      <c r="BU1858" s="53">
        <f>ROUND(HIX_SLCSP[[#This Row],[Weighting Factor 2023]]*HIX_SLCSP[[#This Row],[2023]],2)</f>
        <v>4.32</v>
      </c>
      <c r="BV1858" s="53">
        <f>ROUND(HIX_SLCSP[[#This Row],[Weighting Factor 2024]]*HIX_SLCSP[[#This Row],[2024]],2)</f>
        <v>4.9800000000000004</v>
      </c>
    </row>
    <row r="1859" spans="4:74" x14ac:dyDescent="0.35">
      <c r="D1859" t="s">
        <v>539</v>
      </c>
      <c r="E1859" t="s">
        <v>751</v>
      </c>
      <c r="F1859" s="23">
        <v>60</v>
      </c>
      <c r="G1859" s="23" t="s">
        <v>540</v>
      </c>
      <c r="H1859" s="23" t="s">
        <v>752</v>
      </c>
      <c r="I1859" s="23">
        <v>53</v>
      </c>
      <c r="J1859" s="53">
        <v>282.01</v>
      </c>
      <c r="K1859" s="53">
        <v>354.74</v>
      </c>
      <c r="L1859" s="53">
        <v>604.54</v>
      </c>
      <c r="M1859" s="54">
        <f t="shared" si="41"/>
        <v>1.7041777076168461</v>
      </c>
      <c r="N1859" s="24">
        <v>48</v>
      </c>
      <c r="O1859" s="55">
        <v>350.28</v>
      </c>
      <c r="P1859" s="56">
        <v>377.27</v>
      </c>
      <c r="Q1859" s="56">
        <v>642.94000000000005</v>
      </c>
      <c r="R1859" s="57">
        <f t="shared" si="42"/>
        <v>1.7041906327033691</v>
      </c>
      <c r="S1859" s="23">
        <v>53</v>
      </c>
      <c r="T1859" s="53">
        <v>356.27</v>
      </c>
      <c r="U1859" s="53">
        <v>381.4</v>
      </c>
      <c r="V1859" s="53">
        <v>649.98</v>
      </c>
      <c r="W1859" s="57">
        <f t="shared" si="43"/>
        <v>1.7041950707918199</v>
      </c>
      <c r="X1859" s="47">
        <v>133</v>
      </c>
      <c r="Y1859" s="58">
        <v>246.02</v>
      </c>
      <c r="Z1859" s="58">
        <v>252.85</v>
      </c>
      <c r="AA1859" s="58">
        <v>430.91</v>
      </c>
      <c r="AB1859" s="57">
        <f t="shared" si="44"/>
        <v>1.7042119833893614</v>
      </c>
      <c r="AC1859" s="47">
        <v>153</v>
      </c>
      <c r="AD1859" s="57">
        <v>243.65</v>
      </c>
      <c r="AE1859" s="57">
        <v>255.19</v>
      </c>
      <c r="AF1859" s="57">
        <v>434.89</v>
      </c>
      <c r="AG1859" s="57">
        <f t="shared" si="45"/>
        <v>1.7041811983228183</v>
      </c>
      <c r="AH1859" s="47">
        <v>141</v>
      </c>
      <c r="AI1859">
        <v>275.83999999999997</v>
      </c>
      <c r="AJ1859">
        <v>277.02999999999997</v>
      </c>
      <c r="AK1859">
        <v>472.12</v>
      </c>
      <c r="AL1859" s="57">
        <f t="shared" si="50"/>
        <v>1.7042197595928241</v>
      </c>
      <c r="AM1859" s="47">
        <v>107</v>
      </c>
      <c r="AN1859" s="57">
        <v>299.85000000000002</v>
      </c>
      <c r="AO1859" s="57">
        <v>301.29000000000002</v>
      </c>
      <c r="AP1859" s="57">
        <v>513.47</v>
      </c>
      <c r="AQ1859" s="57">
        <f t="shared" si="46"/>
        <v>1.7042384413687808</v>
      </c>
      <c r="AR1859" s="59">
        <v>3150</v>
      </c>
      <c r="AS1859" s="59">
        <f>SUMIFS(HIX_RatingAreas[Silver Enrollments 2018],HIX_RatingAreas[Area],HIX_SLCSP[[#This Row],[Area Code]])</f>
        <v>2746</v>
      </c>
      <c r="AT1859" s="59">
        <f>SUMIFS(HIX_RatingAreas[Silver Enrollments 2019],HIX_RatingAreas[Area],HIX_SLCSP[[#This Row],[Area Code]])</f>
        <v>2677</v>
      </c>
      <c r="AU1859" s="59">
        <f>SUMIFS(HIX_RatingAreas[Silver Enrollments 2020],HIX_RatingAreas[Area],HIX_SLCSP[[#This Row],[Area Code]])</f>
        <v>2858</v>
      </c>
      <c r="AV1859" s="59">
        <f>SUMIFS(HIX_RatingAreas[Silver Enrollments 2021],HIX_RatingAreas[Area],HIX_SLCSP[[#This Row],[Area Code]])</f>
        <v>3012</v>
      </c>
      <c r="AW1859" s="59">
        <f>SUMIFS(HIX_RatingAreas[Silver Enrollments 2022],HIX_RatingAreas[Area],HIX_SLCSP[[#This Row],[Area Code]])</f>
        <v>3296</v>
      </c>
      <c r="AX1859" s="59">
        <f>SUMIFS(HIX_RatingAreas[Silver Enrollments 2023],HIX_RatingAreas[Area],HIX_SLCSP[[#This Row],[Area Code]])</f>
        <v>3630</v>
      </c>
      <c r="AY1859" s="59">
        <f>SUMIFS(HIX_RatingAreas[Silver Enrollments 2024],HIX_RatingAreas[Area],HIX_SLCSP[[#This Row],[Area Code]])</f>
        <v>5509</v>
      </c>
      <c r="AZ1859" s="59">
        <v>4270</v>
      </c>
      <c r="BA1859">
        <f t="shared" si="35"/>
        <v>2.4500718955523448E-3</v>
      </c>
      <c r="BB1859">
        <f>SUMIFS(HIX_RatingAreas[QHP Enrollments 2018],HIX_RatingAreas[Area],HIX_SLCSP[[#This Row],[Area Code]])</f>
        <v>4487</v>
      </c>
      <c r="BC1859">
        <f t="shared" si="36"/>
        <v>2.6159818006490105E-3</v>
      </c>
      <c r="BD1859">
        <f>SUMIFS(HIX_RatingAreas[QHP Enrollments 2019],HIX_RatingAreas[Area],HIX_SLCSP[[#This Row],[Area Code]])</f>
        <v>4588</v>
      </c>
      <c r="BE1859">
        <f t="shared" si="37"/>
        <v>2.5727525985474154E-3</v>
      </c>
      <c r="BF1859">
        <f>SUMIFS(HIX_RatingAreas[QHP Enrollments 2020],HIX_RatingAreas[Area],HIX_SLCSP[[#This Row],[Area Code]])</f>
        <v>4907</v>
      </c>
      <c r="BG1859">
        <f t="shared" si="38"/>
        <v>2.56377434397001E-3</v>
      </c>
      <c r="BH1859">
        <f>SUMIFS(HIX_RatingAreas[QHP Enrollments 2021],HIX_RatingAreas[Area],HIX_SLCSP[[#This Row],[Area Code]])</f>
        <v>5480</v>
      </c>
      <c r="BI1859">
        <f t="shared" si="39"/>
        <v>2.5844789775272951E-3</v>
      </c>
      <c r="BJ1859">
        <f>SUMIFS(HIX_RatingAreas[QHP Enrollments 2022],HIX_RatingAreas[Area],HIX_SLCSP[[#This Row],[Area Code]])</f>
        <v>6959</v>
      </c>
      <c r="BK1859">
        <f t="shared" si="49"/>
        <v>2.5555489454275175E-3</v>
      </c>
      <c r="BL1859">
        <f>SUMIFS(HIX_RatingAreas[QHP Enrollments 2023],HIX_RatingAreas[Area],HIX_SLCSP[[#This Row],[Area Code]])</f>
        <v>8053</v>
      </c>
      <c r="BM1859">
        <f t="shared" si="47"/>
        <v>2.496717497019782E-3</v>
      </c>
      <c r="BN1859">
        <f>SUMIFS(HIX_RatingAreas[QHP Enrollments 2024],HIX_RatingAreas[Area],HIX_SLCSP[[#This Row],[Area Code]])</f>
        <v>11039</v>
      </c>
      <c r="BO1859">
        <f t="shared" si="48"/>
        <v>2.6209061844268931E-3</v>
      </c>
      <c r="BP1859" s="53">
        <f>ROUND(HIX_SLCSP[[#This Row],[Weighting Factor 2018]]*HIX_SLCSP[[#This Row],[2018]],2)</f>
        <v>0.93</v>
      </c>
      <c r="BQ1859" s="53">
        <f>ROUND(HIX_SLCSP[[#This Row],[Weighting Factor 2019]]*HIX_SLCSP[[#This Row],[2019]],2)</f>
        <v>0.97</v>
      </c>
      <c r="BR1859" s="53">
        <f>ROUND(HIX_SLCSP[[#This Row],[Weighting Factor 2020]]*HIX_SLCSP[[#This Row],[2020]],2)</f>
        <v>0.98</v>
      </c>
      <c r="BS1859" s="53">
        <f>ROUND(HIX_SLCSP[[#This Row],[Weighting Factor 2021]]*HIX_SLCSP[[#This Row],[2021]],2)</f>
        <v>0.65</v>
      </c>
      <c r="BT1859" s="53">
        <f>ROUND(HIX_SLCSP[[#This Row],[Weighting Factor 2022]]*HIX_SLCSP[[#This Row],[2022]],2)</f>
        <v>0.65</v>
      </c>
      <c r="BU1859" s="53">
        <f>ROUND(HIX_SLCSP[[#This Row],[Weighting Factor 2023]]*HIX_SLCSP[[#This Row],[2023]],2)</f>
        <v>0.69</v>
      </c>
      <c r="BV1859" s="53">
        <f>ROUND(HIX_SLCSP[[#This Row],[Weighting Factor 2024]]*HIX_SLCSP[[#This Row],[2024]],2)</f>
        <v>0.79</v>
      </c>
    </row>
    <row r="1860" spans="4:74" x14ac:dyDescent="0.35">
      <c r="D1860" t="s">
        <v>539</v>
      </c>
      <c r="E1860" t="s">
        <v>754</v>
      </c>
      <c r="F1860" s="23">
        <v>61</v>
      </c>
      <c r="G1860" s="23" t="s">
        <v>540</v>
      </c>
      <c r="H1860" s="23" t="s">
        <v>755</v>
      </c>
      <c r="I1860" s="23">
        <v>36</v>
      </c>
      <c r="J1860" s="53">
        <v>350.67</v>
      </c>
      <c r="K1860" s="53">
        <v>481.78</v>
      </c>
      <c r="L1860" s="53">
        <v>802.66</v>
      </c>
      <c r="M1860" s="54">
        <f t="shared" si="41"/>
        <v>1.6660301382373697</v>
      </c>
      <c r="N1860" s="24">
        <v>32</v>
      </c>
      <c r="O1860" s="55">
        <v>432.14</v>
      </c>
      <c r="P1860" s="56">
        <v>488.69</v>
      </c>
      <c r="Q1860" s="56">
        <v>832.83</v>
      </c>
      <c r="R1860" s="57">
        <f t="shared" si="42"/>
        <v>1.704209212384129</v>
      </c>
      <c r="S1860" s="23">
        <v>36</v>
      </c>
      <c r="T1860" s="53">
        <v>375.97</v>
      </c>
      <c r="U1860" s="53">
        <v>396.23</v>
      </c>
      <c r="V1860" s="53">
        <v>675.25</v>
      </c>
      <c r="W1860" s="57">
        <f t="shared" si="43"/>
        <v>1.7041869621179617</v>
      </c>
      <c r="X1860" s="47">
        <v>145</v>
      </c>
      <c r="Y1860" s="58">
        <v>331.72</v>
      </c>
      <c r="Z1860" s="58">
        <v>340.92</v>
      </c>
      <c r="AA1860" s="58">
        <v>581</v>
      </c>
      <c r="AB1860" s="57">
        <f t="shared" si="44"/>
        <v>1.7042121318784464</v>
      </c>
      <c r="AC1860" s="47">
        <v>169</v>
      </c>
      <c r="AD1860" s="57">
        <v>359.09</v>
      </c>
      <c r="AE1860" s="57">
        <v>376.09</v>
      </c>
      <c r="AF1860" s="57">
        <v>640.92999999999995</v>
      </c>
      <c r="AG1860" s="57">
        <f t="shared" si="45"/>
        <v>1.7041931452577841</v>
      </c>
      <c r="AH1860" s="47">
        <v>161</v>
      </c>
      <c r="AI1860">
        <v>353.7</v>
      </c>
      <c r="AJ1860">
        <v>355.27</v>
      </c>
      <c r="AK1860">
        <v>605.45000000000005</v>
      </c>
      <c r="AL1860" s="57">
        <f t="shared" si="50"/>
        <v>1.7041968080614747</v>
      </c>
      <c r="AM1860" s="47">
        <v>131</v>
      </c>
      <c r="AN1860" s="57">
        <v>360.91</v>
      </c>
      <c r="AO1860" s="57">
        <v>362.65</v>
      </c>
      <c r="AP1860" s="57">
        <v>618.03</v>
      </c>
      <c r="AQ1860" s="57">
        <f t="shared" si="46"/>
        <v>1.7042051564869709</v>
      </c>
      <c r="AR1860" s="59">
        <v>1700</v>
      </c>
      <c r="AS1860" s="59">
        <f>SUMIFS(HIX_RatingAreas[Silver Enrollments 2018],HIX_RatingAreas[Area],HIX_SLCSP[[#This Row],[Area Code]])</f>
        <v>1830</v>
      </c>
      <c r="AT1860" s="59">
        <f>SUMIFS(HIX_RatingAreas[Silver Enrollments 2019],HIX_RatingAreas[Area],HIX_SLCSP[[#This Row],[Area Code]])</f>
        <v>1953</v>
      </c>
      <c r="AU1860" s="59">
        <f>SUMIFS(HIX_RatingAreas[Silver Enrollments 2020],HIX_RatingAreas[Area],HIX_SLCSP[[#This Row],[Area Code]])</f>
        <v>2221</v>
      </c>
      <c r="AV1860" s="59">
        <f>SUMIFS(HIX_RatingAreas[Silver Enrollments 2021],HIX_RatingAreas[Area],HIX_SLCSP[[#This Row],[Area Code]])</f>
        <v>2122</v>
      </c>
      <c r="AW1860" s="59">
        <f>SUMIFS(HIX_RatingAreas[Silver Enrollments 2022],HIX_RatingAreas[Area],HIX_SLCSP[[#This Row],[Area Code]])</f>
        <v>2300</v>
      </c>
      <c r="AX1860" s="59">
        <f>SUMIFS(HIX_RatingAreas[Silver Enrollments 2023],HIX_RatingAreas[Area],HIX_SLCSP[[#This Row],[Area Code]])</f>
        <v>3260</v>
      </c>
      <c r="AY1860" s="59">
        <f>SUMIFS(HIX_RatingAreas[Silver Enrollments 2024],HIX_RatingAreas[Area],HIX_SLCSP[[#This Row],[Area Code]])</f>
        <v>4353</v>
      </c>
      <c r="AZ1860" s="59">
        <v>2063</v>
      </c>
      <c r="BA1860">
        <f t="shared" si="35"/>
        <v>1.1837232600759924E-3</v>
      </c>
      <c r="BB1860">
        <f>SUMIFS(HIX_RatingAreas[QHP Enrollments 2018],HIX_RatingAreas[Area],HIX_SLCSP[[#This Row],[Area Code]])</f>
        <v>2397</v>
      </c>
      <c r="BC1860">
        <f t="shared" si="36"/>
        <v>1.3974834803110493E-3</v>
      </c>
      <c r="BD1860">
        <f>SUMIFS(HIX_RatingAreas[QHP Enrollments 2019],HIX_RatingAreas[Area],HIX_SLCSP[[#This Row],[Area Code]])</f>
        <v>2677</v>
      </c>
      <c r="BE1860">
        <f t="shared" si="37"/>
        <v>1.5011461870774697E-3</v>
      </c>
      <c r="BF1860">
        <f>SUMIFS(HIX_RatingAreas[QHP Enrollments 2020],HIX_RatingAreas[Area],HIX_SLCSP[[#This Row],[Area Code]])</f>
        <v>2907</v>
      </c>
      <c r="BG1860">
        <f t="shared" si="38"/>
        <v>1.5188286158387648E-3</v>
      </c>
      <c r="BH1860">
        <f>SUMIFS(HIX_RatingAreas[QHP Enrollments 2021],HIX_RatingAreas[Area],HIX_SLCSP[[#This Row],[Area Code]])</f>
        <v>3267</v>
      </c>
      <c r="BI1860">
        <f t="shared" si="39"/>
        <v>1.5407833612375316E-3</v>
      </c>
      <c r="BJ1860">
        <f>SUMIFS(HIX_RatingAreas[QHP Enrollments 2022],HIX_RatingAreas[Area],HIX_SLCSP[[#This Row],[Area Code]])</f>
        <v>3701</v>
      </c>
      <c r="BK1860">
        <f t="shared" si="49"/>
        <v>1.3591157705169193E-3</v>
      </c>
      <c r="BL1860">
        <f>SUMIFS(HIX_RatingAreas[QHP Enrollments 2023],HIX_RatingAreas[Area],HIX_SLCSP[[#This Row],[Area Code]])</f>
        <v>5024</v>
      </c>
      <c r="BM1860">
        <f t="shared" si="47"/>
        <v>1.557619359869289E-3</v>
      </c>
      <c r="BN1860">
        <f>SUMIFS(HIX_RatingAreas[QHP Enrollments 2024],HIX_RatingAreas[Area],HIX_SLCSP[[#This Row],[Area Code]])</f>
        <v>6712</v>
      </c>
      <c r="BO1860">
        <f t="shared" si="48"/>
        <v>1.5935793377908603E-3</v>
      </c>
      <c r="BP1860" s="53">
        <f>ROUND(HIX_SLCSP[[#This Row],[Weighting Factor 2018]]*HIX_SLCSP[[#This Row],[2018]],2)</f>
        <v>0.67</v>
      </c>
      <c r="BQ1860" s="53">
        <f>ROUND(HIX_SLCSP[[#This Row],[Weighting Factor 2019]]*HIX_SLCSP[[#This Row],[2019]],2)</f>
        <v>0.73</v>
      </c>
      <c r="BR1860" s="53">
        <f>ROUND(HIX_SLCSP[[#This Row],[Weighting Factor 2020]]*HIX_SLCSP[[#This Row],[2020]],2)</f>
        <v>0.6</v>
      </c>
      <c r="BS1860" s="53">
        <f>ROUND(HIX_SLCSP[[#This Row],[Weighting Factor 2021]]*HIX_SLCSP[[#This Row],[2021]],2)</f>
        <v>0.53</v>
      </c>
      <c r="BT1860" s="53">
        <f>ROUND(HIX_SLCSP[[#This Row],[Weighting Factor 2022]]*HIX_SLCSP[[#This Row],[2022]],2)</f>
        <v>0.51</v>
      </c>
      <c r="BU1860" s="53">
        <f>ROUND(HIX_SLCSP[[#This Row],[Weighting Factor 2023]]*HIX_SLCSP[[#This Row],[2023]],2)</f>
        <v>0.55000000000000004</v>
      </c>
      <c r="BV1860" s="53">
        <f>ROUND(HIX_SLCSP[[#This Row],[Weighting Factor 2024]]*HIX_SLCSP[[#This Row],[2024]],2)</f>
        <v>0.57999999999999996</v>
      </c>
    </row>
    <row r="1861" spans="4:74" x14ac:dyDescent="0.35">
      <c r="D1861" t="s">
        <v>539</v>
      </c>
      <c r="E1861" t="s">
        <v>758</v>
      </c>
      <c r="F1861" s="23">
        <v>62</v>
      </c>
      <c r="G1861" s="23" t="s">
        <v>540</v>
      </c>
      <c r="H1861" s="23" t="s">
        <v>759</v>
      </c>
      <c r="I1861" s="23">
        <v>16</v>
      </c>
      <c r="J1861" s="53">
        <v>449.7</v>
      </c>
      <c r="K1861" s="53">
        <v>588.14</v>
      </c>
      <c r="L1861" s="53">
        <v>1002.3</v>
      </c>
      <c r="M1861" s="54">
        <f t="shared" si="41"/>
        <v>1.7041860781446594</v>
      </c>
      <c r="N1861" s="24">
        <v>16</v>
      </c>
      <c r="O1861" s="55">
        <v>517.69000000000005</v>
      </c>
      <c r="P1861" s="56">
        <v>559.59</v>
      </c>
      <c r="Q1861" s="56">
        <v>953.65</v>
      </c>
      <c r="R1861" s="57">
        <f t="shared" si="42"/>
        <v>1.7041941421397808</v>
      </c>
      <c r="S1861" s="23">
        <v>16</v>
      </c>
      <c r="T1861" s="53">
        <v>502.55</v>
      </c>
      <c r="U1861" s="53">
        <v>542.09</v>
      </c>
      <c r="V1861" s="53">
        <v>923.83</v>
      </c>
      <c r="W1861" s="57">
        <f t="shared" si="43"/>
        <v>1.7042004095260934</v>
      </c>
      <c r="X1861" s="47">
        <v>17</v>
      </c>
      <c r="Y1861" s="58">
        <v>487.63</v>
      </c>
      <c r="Z1861" s="58">
        <v>534.92999999999995</v>
      </c>
      <c r="AA1861" s="58">
        <v>911.63</v>
      </c>
      <c r="AB1861" s="57">
        <f t="shared" si="44"/>
        <v>1.704204288411568</v>
      </c>
      <c r="AC1861" s="47">
        <v>16</v>
      </c>
      <c r="AD1861" s="57">
        <v>513.35</v>
      </c>
      <c r="AE1861" s="57">
        <v>513.35</v>
      </c>
      <c r="AF1861" s="57">
        <v>874.85</v>
      </c>
      <c r="AG1861" s="57">
        <f t="shared" si="45"/>
        <v>1.7041979156520892</v>
      </c>
      <c r="AH1861" s="47">
        <v>24</v>
      </c>
      <c r="AI1861">
        <v>473.1</v>
      </c>
      <c r="AJ1861">
        <v>491.73</v>
      </c>
      <c r="AK1861">
        <v>838</v>
      </c>
      <c r="AL1861" s="57">
        <f t="shared" si="50"/>
        <v>1.7041872572346612</v>
      </c>
      <c r="AM1861" s="47">
        <v>73</v>
      </c>
      <c r="AN1861" s="57">
        <v>434.66</v>
      </c>
      <c r="AO1861" s="57">
        <v>466.66</v>
      </c>
      <c r="AP1861" s="57">
        <v>795.29</v>
      </c>
      <c r="AQ1861" s="57">
        <f t="shared" si="46"/>
        <v>1.7042172031029013</v>
      </c>
      <c r="AR1861" s="59">
        <v>512</v>
      </c>
      <c r="AS1861" s="59">
        <f>SUMIFS(HIX_RatingAreas[Silver Enrollments 2018],HIX_RatingAreas[Area],HIX_SLCSP[[#This Row],[Area Code]])</f>
        <v>528</v>
      </c>
      <c r="AT1861" s="59">
        <f>SUMIFS(HIX_RatingAreas[Silver Enrollments 2019],HIX_RatingAreas[Area],HIX_SLCSP[[#This Row],[Area Code]])</f>
        <v>586</v>
      </c>
      <c r="AU1861" s="59">
        <f>SUMIFS(HIX_RatingAreas[Silver Enrollments 2020],HIX_RatingAreas[Area],HIX_SLCSP[[#This Row],[Area Code]])</f>
        <v>657</v>
      </c>
      <c r="AV1861" s="59">
        <f>SUMIFS(HIX_RatingAreas[Silver Enrollments 2021],HIX_RatingAreas[Area],HIX_SLCSP[[#This Row],[Area Code]])</f>
        <v>1273</v>
      </c>
      <c r="AW1861" s="59">
        <f>SUMIFS(HIX_RatingAreas[Silver Enrollments 2022],HIX_RatingAreas[Area],HIX_SLCSP[[#This Row],[Area Code]])</f>
        <v>1966</v>
      </c>
      <c r="AX1861" s="59">
        <f>SUMIFS(HIX_RatingAreas[Silver Enrollments 2023],HIX_RatingAreas[Area],HIX_SLCSP[[#This Row],[Area Code]])</f>
        <v>1178</v>
      </c>
      <c r="AY1861" s="59">
        <f>SUMIFS(HIX_RatingAreas[Silver Enrollments 2024],HIX_RatingAreas[Area],HIX_SLCSP[[#This Row],[Area Code]])</f>
        <v>867</v>
      </c>
      <c r="AZ1861" s="59">
        <v>624</v>
      </c>
      <c r="BA1861">
        <f t="shared" si="35"/>
        <v>3.5804329340156048E-4</v>
      </c>
      <c r="BB1861">
        <f>SUMIFS(HIX_RatingAreas[QHP Enrollments 2018],HIX_RatingAreas[Area],HIX_SLCSP[[#This Row],[Area Code]])</f>
        <v>743</v>
      </c>
      <c r="BC1861">
        <f t="shared" si="36"/>
        <v>4.3317906794789726E-4</v>
      </c>
      <c r="BD1861">
        <f>SUMIFS(HIX_RatingAreas[QHP Enrollments 2019],HIX_RatingAreas[Area],HIX_SLCSP[[#This Row],[Area Code]])</f>
        <v>845</v>
      </c>
      <c r="BE1861">
        <f t="shared" si="37"/>
        <v>4.7383956969759502E-4</v>
      </c>
      <c r="BF1861">
        <f>SUMIFS(HIX_RatingAreas[QHP Enrollments 2020],HIX_RatingAreas[Area],HIX_SLCSP[[#This Row],[Area Code]])</f>
        <v>973</v>
      </c>
      <c r="BG1861">
        <f t="shared" si="38"/>
        <v>5.0836609673585078E-4</v>
      </c>
      <c r="BH1861">
        <f>SUMIFS(HIX_RatingAreas[QHP Enrollments 2021],HIX_RatingAreas[Area],HIX_SLCSP[[#This Row],[Area Code]])</f>
        <v>1679</v>
      </c>
      <c r="BI1861">
        <f t="shared" si="39"/>
        <v>7.9185040205626434E-4</v>
      </c>
      <c r="BJ1861">
        <f>SUMIFS(HIX_RatingAreas[QHP Enrollments 2022],HIX_RatingAreas[Area],HIX_SLCSP[[#This Row],[Area Code]])</f>
        <v>2743</v>
      </c>
      <c r="BK1861">
        <f t="shared" si="49"/>
        <v>1.0073100671515562E-3</v>
      </c>
      <c r="BL1861">
        <f>SUMIFS(HIX_RatingAreas[QHP Enrollments 2023],HIX_RatingAreas[Area],HIX_SLCSP[[#This Row],[Area Code]])</f>
        <v>2364</v>
      </c>
      <c r="BM1861">
        <f t="shared" si="47"/>
        <v>7.3292439624422757E-4</v>
      </c>
      <c r="BN1861">
        <f>SUMIFS(HIX_RatingAreas[QHP Enrollments 2024],HIX_RatingAreas[Area],HIX_SLCSP[[#This Row],[Area Code]])</f>
        <v>2563</v>
      </c>
      <c r="BO1861">
        <f t="shared" si="48"/>
        <v>6.0851368336680204E-4</v>
      </c>
      <c r="BP1861" s="53">
        <f>ROUND(HIX_SLCSP[[#This Row],[Weighting Factor 2018]]*HIX_SLCSP[[#This Row],[2018]],2)</f>
        <v>0.25</v>
      </c>
      <c r="BQ1861" s="53">
        <f>ROUND(HIX_SLCSP[[#This Row],[Weighting Factor 2019]]*HIX_SLCSP[[#This Row],[2019]],2)</f>
        <v>0.27</v>
      </c>
      <c r="BR1861" s="53">
        <f>ROUND(HIX_SLCSP[[#This Row],[Weighting Factor 2020]]*HIX_SLCSP[[#This Row],[2020]],2)</f>
        <v>0.28000000000000003</v>
      </c>
      <c r="BS1861" s="53">
        <f>ROUND(HIX_SLCSP[[#This Row],[Weighting Factor 2021]]*HIX_SLCSP[[#This Row],[2021]],2)</f>
        <v>0.42</v>
      </c>
      <c r="BT1861" s="53">
        <f>ROUND(HIX_SLCSP[[#This Row],[Weighting Factor 2022]]*HIX_SLCSP[[#This Row],[2022]],2)</f>
        <v>0.52</v>
      </c>
      <c r="BU1861" s="53">
        <f>ROUND(HIX_SLCSP[[#This Row],[Weighting Factor 2023]]*HIX_SLCSP[[#This Row],[2023]],2)</f>
        <v>0.36</v>
      </c>
      <c r="BV1861" s="53">
        <f>ROUND(HIX_SLCSP[[#This Row],[Weighting Factor 2024]]*HIX_SLCSP[[#This Row],[2024]],2)</f>
        <v>0.28000000000000003</v>
      </c>
    </row>
    <row r="1862" spans="4:74" x14ac:dyDescent="0.35">
      <c r="D1862" t="s">
        <v>539</v>
      </c>
      <c r="E1862" t="s">
        <v>762</v>
      </c>
      <c r="F1862" s="23">
        <v>63</v>
      </c>
      <c r="G1862" s="23" t="s">
        <v>540</v>
      </c>
      <c r="H1862" s="23" t="s">
        <v>763</v>
      </c>
      <c r="I1862" s="23">
        <v>16</v>
      </c>
      <c r="J1862" s="53">
        <v>505.11</v>
      </c>
      <c r="K1862" s="53">
        <v>660.61</v>
      </c>
      <c r="L1862" s="53">
        <v>1125.81</v>
      </c>
      <c r="M1862" s="54">
        <f t="shared" si="41"/>
        <v>1.7041976355186872</v>
      </c>
      <c r="N1862" s="24">
        <v>16</v>
      </c>
      <c r="O1862" s="55">
        <v>599.03</v>
      </c>
      <c r="P1862" s="56">
        <v>647.52</v>
      </c>
      <c r="Q1862" s="56">
        <v>1103.5</v>
      </c>
      <c r="R1862" s="57">
        <f t="shared" si="42"/>
        <v>1.7041944650358292</v>
      </c>
      <c r="S1862" s="23">
        <v>16</v>
      </c>
      <c r="T1862" s="53">
        <v>583.58000000000004</v>
      </c>
      <c r="U1862" s="53">
        <v>629.5</v>
      </c>
      <c r="V1862" s="53">
        <v>1072.8</v>
      </c>
      <c r="W1862" s="57">
        <f t="shared" si="43"/>
        <v>1.7042096902303414</v>
      </c>
      <c r="X1862" s="47">
        <v>130</v>
      </c>
      <c r="Y1862" s="58">
        <v>394.14</v>
      </c>
      <c r="Z1862" s="58">
        <v>405.08</v>
      </c>
      <c r="AA1862" s="58">
        <v>690.33</v>
      </c>
      <c r="AB1862" s="57">
        <f t="shared" si="44"/>
        <v>1.7041818899970378</v>
      </c>
      <c r="AC1862" s="47">
        <v>121</v>
      </c>
      <c r="AD1862" s="57">
        <v>376.66</v>
      </c>
      <c r="AE1862" s="57">
        <v>394.49</v>
      </c>
      <c r="AF1862" s="57">
        <v>672.29</v>
      </c>
      <c r="AG1862" s="57">
        <f t="shared" si="45"/>
        <v>1.7042003599584272</v>
      </c>
      <c r="AH1862" s="47">
        <v>105</v>
      </c>
      <c r="AI1862">
        <v>436.91</v>
      </c>
      <c r="AJ1862">
        <v>438.88</v>
      </c>
      <c r="AK1862">
        <v>747.93</v>
      </c>
      <c r="AL1862" s="57">
        <f t="shared" si="50"/>
        <v>1.7041788188115201</v>
      </c>
      <c r="AM1862" s="47">
        <v>119</v>
      </c>
      <c r="AN1862" s="57">
        <v>515.41</v>
      </c>
      <c r="AO1862" s="57">
        <v>517.89</v>
      </c>
      <c r="AP1862" s="57">
        <v>882.59</v>
      </c>
      <c r="AQ1862" s="57">
        <f t="shared" si="46"/>
        <v>1.7042035953580876</v>
      </c>
      <c r="AR1862" s="59">
        <v>264</v>
      </c>
      <c r="AS1862" s="59">
        <f>SUMIFS(HIX_RatingAreas[Silver Enrollments 2018],HIX_RatingAreas[Area],HIX_SLCSP[[#This Row],[Area Code]])</f>
        <v>338</v>
      </c>
      <c r="AT1862" s="59">
        <f>SUMIFS(HIX_RatingAreas[Silver Enrollments 2019],HIX_RatingAreas[Area],HIX_SLCSP[[#This Row],[Area Code]])</f>
        <v>373</v>
      </c>
      <c r="AU1862" s="59">
        <f>SUMIFS(HIX_RatingAreas[Silver Enrollments 2020],HIX_RatingAreas[Area],HIX_SLCSP[[#This Row],[Area Code]])</f>
        <v>425</v>
      </c>
      <c r="AV1862" s="59">
        <f>SUMIFS(HIX_RatingAreas[Silver Enrollments 2021],HIX_RatingAreas[Area],HIX_SLCSP[[#This Row],[Area Code]])</f>
        <v>305</v>
      </c>
      <c r="AW1862" s="59">
        <f>SUMIFS(HIX_RatingAreas[Silver Enrollments 2022],HIX_RatingAreas[Area],HIX_SLCSP[[#This Row],[Area Code]])</f>
        <v>233</v>
      </c>
      <c r="AX1862" s="59">
        <f>SUMIFS(HIX_RatingAreas[Silver Enrollments 2023],HIX_RatingAreas[Area],HIX_SLCSP[[#This Row],[Area Code]])</f>
        <v>299</v>
      </c>
      <c r="AY1862" s="59">
        <f>SUMIFS(HIX_RatingAreas[Silver Enrollments 2024],HIX_RatingAreas[Area],HIX_SLCSP[[#This Row],[Area Code]])</f>
        <v>369</v>
      </c>
      <c r="AZ1862" s="59">
        <v>358</v>
      </c>
      <c r="BA1862">
        <f t="shared" si="35"/>
        <v>2.0541586384256193E-4</v>
      </c>
      <c r="BB1862">
        <f>SUMIFS(HIX_RatingAreas[QHP Enrollments 2018],HIX_RatingAreas[Area],HIX_SLCSP[[#This Row],[Area Code]])</f>
        <v>473</v>
      </c>
      <c r="BC1862">
        <f t="shared" si="36"/>
        <v>2.7576540933964386E-4</v>
      </c>
      <c r="BD1862">
        <f>SUMIFS(HIX_RatingAreas[QHP Enrollments 2019],HIX_RatingAreas[Area],HIX_SLCSP[[#This Row],[Area Code]])</f>
        <v>568</v>
      </c>
      <c r="BE1862">
        <f t="shared" si="37"/>
        <v>3.1850991193873841E-4</v>
      </c>
      <c r="BF1862">
        <f>SUMIFS(HIX_RatingAreas[QHP Enrollments 2020],HIX_RatingAreas[Area],HIX_SLCSP[[#This Row],[Area Code]])</f>
        <v>694</v>
      </c>
      <c r="BG1862">
        <f t="shared" si="38"/>
        <v>3.6259616766154206E-4</v>
      </c>
      <c r="BH1862">
        <f>SUMIFS(HIX_RatingAreas[QHP Enrollments 2021],HIX_RatingAreas[Area],HIX_SLCSP[[#This Row],[Area Code]])</f>
        <v>588</v>
      </c>
      <c r="BI1862">
        <f t="shared" si="39"/>
        <v>2.7731270780767325E-4</v>
      </c>
      <c r="BJ1862">
        <f>SUMIFS(HIX_RatingAreas[QHP Enrollments 2022],HIX_RatingAreas[Area],HIX_SLCSP[[#This Row],[Area Code]])</f>
        <v>631</v>
      </c>
      <c r="BK1862">
        <f t="shared" si="49"/>
        <v>2.3172171067175793E-4</v>
      </c>
      <c r="BL1862">
        <f>SUMIFS(HIX_RatingAreas[QHP Enrollments 2023],HIX_RatingAreas[Area],HIX_SLCSP[[#This Row],[Area Code]])</f>
        <v>768</v>
      </c>
      <c r="BM1862">
        <f t="shared" si="47"/>
        <v>2.3810741806919066E-4</v>
      </c>
      <c r="BN1862">
        <f>SUMIFS(HIX_RatingAreas[QHP Enrollments 2024],HIX_RatingAreas[Area],HIX_SLCSP[[#This Row],[Area Code]])</f>
        <v>950</v>
      </c>
      <c r="BO1862">
        <f t="shared" si="48"/>
        <v>2.2555130674930233E-4</v>
      </c>
      <c r="BP1862" s="53">
        <f>ROUND(HIX_SLCSP[[#This Row],[Weighting Factor 2018]]*HIX_SLCSP[[#This Row],[2018]],2)</f>
        <v>0.18</v>
      </c>
      <c r="BQ1862" s="53">
        <f>ROUND(HIX_SLCSP[[#This Row],[Weighting Factor 2019]]*HIX_SLCSP[[#This Row],[2019]],2)</f>
        <v>0.21</v>
      </c>
      <c r="BR1862" s="53">
        <f>ROUND(HIX_SLCSP[[#This Row],[Weighting Factor 2020]]*HIX_SLCSP[[#This Row],[2020]],2)</f>
        <v>0.23</v>
      </c>
      <c r="BS1862" s="53">
        <f>ROUND(HIX_SLCSP[[#This Row],[Weighting Factor 2021]]*HIX_SLCSP[[#This Row],[2021]],2)</f>
        <v>0.11</v>
      </c>
      <c r="BT1862" s="53">
        <f>ROUND(HIX_SLCSP[[#This Row],[Weighting Factor 2022]]*HIX_SLCSP[[#This Row],[2022]],2)</f>
        <v>0.09</v>
      </c>
      <c r="BU1862" s="53">
        <f>ROUND(HIX_SLCSP[[#This Row],[Weighting Factor 2023]]*HIX_SLCSP[[#This Row],[2023]],2)</f>
        <v>0.1</v>
      </c>
      <c r="BV1862" s="53">
        <f>ROUND(HIX_SLCSP[[#This Row],[Weighting Factor 2024]]*HIX_SLCSP[[#This Row],[2024]],2)</f>
        <v>0.12</v>
      </c>
    </row>
    <row r="1863" spans="4:74" x14ac:dyDescent="0.35">
      <c r="D1863" t="s">
        <v>539</v>
      </c>
      <c r="E1863" t="s">
        <v>765</v>
      </c>
      <c r="F1863" s="23">
        <v>64</v>
      </c>
      <c r="G1863" s="23" t="s">
        <v>540</v>
      </c>
      <c r="H1863" s="23" t="s">
        <v>766</v>
      </c>
      <c r="I1863" s="23">
        <v>176</v>
      </c>
      <c r="J1863" s="53">
        <v>347.13</v>
      </c>
      <c r="K1863" s="53">
        <v>355.8</v>
      </c>
      <c r="L1863" s="53">
        <v>606.35</v>
      </c>
      <c r="M1863" s="54">
        <f t="shared" si="41"/>
        <v>1.7041877459246768</v>
      </c>
      <c r="N1863" s="24">
        <v>148</v>
      </c>
      <c r="O1863" s="55">
        <v>371.02</v>
      </c>
      <c r="P1863" s="56">
        <v>384.65</v>
      </c>
      <c r="Q1863" s="56">
        <v>655.52</v>
      </c>
      <c r="R1863" s="57">
        <f t="shared" si="42"/>
        <v>1.7041986221240089</v>
      </c>
      <c r="S1863" s="23">
        <v>176</v>
      </c>
      <c r="T1863" s="53">
        <v>291.99</v>
      </c>
      <c r="U1863" s="53">
        <v>299.20999999999998</v>
      </c>
      <c r="V1863" s="53">
        <v>509.91</v>
      </c>
      <c r="W1863" s="57">
        <f t="shared" si="43"/>
        <v>1.7041876942615557</v>
      </c>
      <c r="X1863" s="47">
        <v>210</v>
      </c>
      <c r="Y1863" s="58">
        <v>273.29000000000002</v>
      </c>
      <c r="Z1863" s="58">
        <v>280.87</v>
      </c>
      <c r="AA1863" s="58">
        <v>478.66</v>
      </c>
      <c r="AB1863" s="57">
        <f t="shared" si="44"/>
        <v>1.7042047922526435</v>
      </c>
      <c r="AC1863" s="47">
        <v>260</v>
      </c>
      <c r="AD1863" s="57">
        <v>277.7</v>
      </c>
      <c r="AE1863" s="57">
        <v>287.97000000000003</v>
      </c>
      <c r="AF1863" s="57">
        <v>490.76</v>
      </c>
      <c r="AG1863" s="57">
        <f t="shared" si="45"/>
        <v>1.7042052991631071</v>
      </c>
      <c r="AH1863" s="47">
        <v>227</v>
      </c>
      <c r="AI1863">
        <v>296.23</v>
      </c>
      <c r="AJ1863">
        <v>297.66000000000003</v>
      </c>
      <c r="AK1863">
        <v>507.28</v>
      </c>
      <c r="AL1863" s="57">
        <f t="shared" si="50"/>
        <v>1.7042262984613314</v>
      </c>
      <c r="AM1863" s="47">
        <v>190</v>
      </c>
      <c r="AN1863" s="57">
        <v>315.08</v>
      </c>
      <c r="AO1863" s="57">
        <v>316.58999999999997</v>
      </c>
      <c r="AP1863" s="57">
        <v>539.54</v>
      </c>
      <c r="AQ1863" s="57">
        <f t="shared" si="46"/>
        <v>1.7042231277046023</v>
      </c>
      <c r="AR1863" s="59">
        <v>30069</v>
      </c>
      <c r="AS1863" s="59">
        <f>SUMIFS(HIX_RatingAreas[Silver Enrollments 2018],HIX_RatingAreas[Area],HIX_SLCSP[[#This Row],[Area Code]])</f>
        <v>21241</v>
      </c>
      <c r="AT1863" s="59">
        <f>SUMIFS(HIX_RatingAreas[Silver Enrollments 2019],HIX_RatingAreas[Area],HIX_SLCSP[[#This Row],[Area Code]])</f>
        <v>20318</v>
      </c>
      <c r="AU1863" s="59">
        <f>SUMIFS(HIX_RatingAreas[Silver Enrollments 2020],HIX_RatingAreas[Area],HIX_SLCSP[[#This Row],[Area Code]])</f>
        <v>20316</v>
      </c>
      <c r="AV1863" s="59">
        <f>SUMIFS(HIX_RatingAreas[Silver Enrollments 2021],HIX_RatingAreas[Area],HIX_SLCSP[[#This Row],[Area Code]])</f>
        <v>22069</v>
      </c>
      <c r="AW1863" s="59">
        <f>SUMIFS(HIX_RatingAreas[Silver Enrollments 2022],HIX_RatingAreas[Area],HIX_SLCSP[[#This Row],[Area Code]])</f>
        <v>29806</v>
      </c>
      <c r="AX1863" s="59">
        <f>SUMIFS(HIX_RatingAreas[Silver Enrollments 2023],HIX_RatingAreas[Area],HIX_SLCSP[[#This Row],[Area Code]])</f>
        <v>34257</v>
      </c>
      <c r="AY1863" s="59">
        <f>SUMIFS(HIX_RatingAreas[Silver Enrollments 2024],HIX_RatingAreas[Area],HIX_SLCSP[[#This Row],[Area Code]])</f>
        <v>44306</v>
      </c>
      <c r="AZ1863" s="59">
        <v>40262</v>
      </c>
      <c r="BA1863">
        <f>AZ1863/AZ$1799</f>
        <v>2.310182544700902E-2</v>
      </c>
      <c r="BB1863">
        <f>SUMIFS(HIX_RatingAreas[QHP Enrollments 2018],HIX_RatingAreas[Area],HIX_SLCSP[[#This Row],[Area Code]])</f>
        <v>36993</v>
      </c>
      <c r="BC1863">
        <f>BB1863/BB$1799</f>
        <v>2.1567420269981916E-2</v>
      </c>
      <c r="BD1863">
        <f>SUMIFS(HIX_RatingAreas[QHP Enrollments 2019],HIX_RatingAreas[Area],HIX_SLCSP[[#This Row],[Area Code]])</f>
        <v>37219</v>
      </c>
      <c r="BE1863">
        <f>BD1863/BD$1799</f>
        <v>2.0870810585295607E-2</v>
      </c>
      <c r="BF1863">
        <f>SUMIFS(HIX_RatingAreas[QHP Enrollments 2020],HIX_RatingAreas[Area],HIX_SLCSP[[#This Row],[Area Code]])</f>
        <v>38182</v>
      </c>
      <c r="BG1863">
        <f>BF1863/BF$1799</f>
        <v>1.9949058895753602E-2</v>
      </c>
      <c r="BH1863">
        <f>SUMIFS(HIX_RatingAreas[QHP Enrollments 2021],HIX_RatingAreas[Area],HIX_SLCSP[[#This Row],[Area Code]])</f>
        <v>40719</v>
      </c>
      <c r="BI1863">
        <f>BH1863/BH$1799</f>
        <v>1.9203905015681373E-2</v>
      </c>
      <c r="BJ1863">
        <f>SUMIFS(HIX_RatingAreas[QHP Enrollments 2022],HIX_RatingAreas[Area],HIX_SLCSP[[#This Row],[Area Code]])</f>
        <v>52761</v>
      </c>
      <c r="BK1863">
        <f t="shared" ref="BK1863:BK1866" si="51">BJ1863/BJ$1799</f>
        <v>1.9375386967912234E-2</v>
      </c>
      <c r="BL1863">
        <f>SUMIFS(HIX_RatingAreas[QHP Enrollments 2023],HIX_RatingAreas[Area],HIX_SLCSP[[#This Row],[Area Code]])</f>
        <v>60421</v>
      </c>
      <c r="BM1863">
        <f t="shared" si="47"/>
        <v>1.873266706661272E-2</v>
      </c>
      <c r="BN1863">
        <f>SUMIFS(HIX_RatingAreas[QHP Enrollments 2024],HIX_RatingAreas[Area],HIX_SLCSP[[#This Row],[Area Code]])</f>
        <v>81024</v>
      </c>
      <c r="BO1863">
        <f t="shared" si="48"/>
        <v>1.923691481900576E-2</v>
      </c>
      <c r="BP1863" s="53">
        <f>ROUND(HIX_SLCSP[[#This Row],[Weighting Factor 2018]]*HIX_SLCSP[[#This Row],[2018]],2)</f>
        <v>7.67</v>
      </c>
      <c r="BQ1863" s="53">
        <f>ROUND(HIX_SLCSP[[#This Row],[Weighting Factor 2019]]*HIX_SLCSP[[#This Row],[2019]],2)</f>
        <v>8.0299999999999994</v>
      </c>
      <c r="BR1863" s="53">
        <f>ROUND(HIX_SLCSP[[#This Row],[Weighting Factor 2020]]*HIX_SLCSP[[#This Row],[2020]],2)</f>
        <v>5.97</v>
      </c>
      <c r="BS1863" s="53">
        <f>ROUND(HIX_SLCSP[[#This Row],[Weighting Factor 2021]]*HIX_SLCSP[[#This Row],[2021]],2)</f>
        <v>5.39</v>
      </c>
      <c r="BT1863" s="53">
        <f>ROUND(HIX_SLCSP[[#This Row],[Weighting Factor 2022]]*HIX_SLCSP[[#This Row],[2022]],2)</f>
        <v>5.58</v>
      </c>
      <c r="BU1863" s="53">
        <f>ROUND(HIX_SLCSP[[#This Row],[Weighting Factor 2023]]*HIX_SLCSP[[#This Row],[2023]],2)</f>
        <v>5.58</v>
      </c>
      <c r="BV1863" s="53">
        <f>ROUND(HIX_SLCSP[[#This Row],[Weighting Factor 2024]]*HIX_SLCSP[[#This Row],[2024]],2)</f>
        <v>6.09</v>
      </c>
    </row>
    <row r="1864" spans="4:74" x14ac:dyDescent="0.35">
      <c r="D1864" t="s">
        <v>539</v>
      </c>
      <c r="E1864" t="s">
        <v>769</v>
      </c>
      <c r="F1864" s="23">
        <v>65</v>
      </c>
      <c r="G1864" s="23" t="s">
        <v>540</v>
      </c>
      <c r="H1864" s="23" t="s">
        <v>770</v>
      </c>
      <c r="I1864" s="23">
        <v>16</v>
      </c>
      <c r="J1864" s="53">
        <v>537.19000000000005</v>
      </c>
      <c r="K1864" s="53">
        <v>702.57</v>
      </c>
      <c r="L1864" s="53">
        <v>1197.32</v>
      </c>
      <c r="M1864" s="54">
        <f>L1864/K1864</f>
        <v>1.7042002932092173</v>
      </c>
      <c r="N1864" s="24">
        <v>16</v>
      </c>
      <c r="O1864" s="55">
        <v>625.23</v>
      </c>
      <c r="P1864" s="56">
        <v>675.83</v>
      </c>
      <c r="Q1864" s="56">
        <v>1151.76</v>
      </c>
      <c r="R1864" s="57">
        <f>Q1864/P1864</f>
        <v>1.704215557166743</v>
      </c>
      <c r="S1864" s="23">
        <v>16</v>
      </c>
      <c r="T1864" s="53">
        <v>599.25</v>
      </c>
      <c r="U1864" s="53">
        <v>646.4</v>
      </c>
      <c r="V1864" s="53">
        <v>1101.5899999999999</v>
      </c>
      <c r="W1864" s="57">
        <f>V1864/U1864</f>
        <v>1.7041924504950494</v>
      </c>
      <c r="X1864" s="47">
        <v>106</v>
      </c>
      <c r="Y1864" s="58">
        <v>309</v>
      </c>
      <c r="Z1864" s="58">
        <v>317.57</v>
      </c>
      <c r="AA1864" s="58">
        <v>541.21</v>
      </c>
      <c r="AB1864" s="57">
        <f>AA1864/Z1864</f>
        <v>1.7042226910602389</v>
      </c>
      <c r="AC1864" s="47">
        <v>105</v>
      </c>
      <c r="AD1864" s="57">
        <v>316.33</v>
      </c>
      <c r="AE1864" s="57">
        <v>331.31</v>
      </c>
      <c r="AF1864" s="57">
        <v>564.61</v>
      </c>
      <c r="AG1864" s="57">
        <f>AF1864/AE1864</f>
        <v>1.7041743382330747</v>
      </c>
      <c r="AH1864" s="47">
        <v>89</v>
      </c>
      <c r="AI1864">
        <v>302.14</v>
      </c>
      <c r="AJ1864">
        <v>303.47000000000003</v>
      </c>
      <c r="AK1864">
        <v>517.17999999999995</v>
      </c>
      <c r="AL1864" s="57">
        <f t="shared" si="50"/>
        <v>1.7042211750749658</v>
      </c>
      <c r="AM1864" s="47">
        <v>108</v>
      </c>
      <c r="AN1864" s="57">
        <v>291.85000000000002</v>
      </c>
      <c r="AO1864" s="57">
        <v>293.25</v>
      </c>
      <c r="AP1864" s="57">
        <v>499.76</v>
      </c>
      <c r="AQ1864" s="57">
        <f t="shared" ref="AQ1864:AQ1927" si="52">AP1864/AO1864</f>
        <v>1.7042114236999146</v>
      </c>
      <c r="AR1864" s="59">
        <v>781</v>
      </c>
      <c r="AS1864" s="59">
        <f>SUMIFS(HIX_RatingAreas[Silver Enrollments 2018],HIX_RatingAreas[Area],HIX_SLCSP[[#This Row],[Area Code]])</f>
        <v>774</v>
      </c>
      <c r="AT1864" s="59">
        <f>SUMIFS(HIX_RatingAreas[Silver Enrollments 2019],HIX_RatingAreas[Area],HIX_SLCSP[[#This Row],[Area Code]])</f>
        <v>787</v>
      </c>
      <c r="AU1864" s="59">
        <f>SUMIFS(HIX_RatingAreas[Silver Enrollments 2020],HIX_RatingAreas[Area],HIX_SLCSP[[#This Row],[Area Code]])</f>
        <v>886</v>
      </c>
      <c r="AV1864" s="59">
        <f>SUMIFS(HIX_RatingAreas[Silver Enrollments 2021],HIX_RatingAreas[Area],HIX_SLCSP[[#This Row],[Area Code]])</f>
        <v>628</v>
      </c>
      <c r="AW1864" s="59">
        <f>SUMIFS(HIX_RatingAreas[Silver Enrollments 2022],HIX_RatingAreas[Area],HIX_SLCSP[[#This Row],[Area Code]])</f>
        <v>682</v>
      </c>
      <c r="AX1864" s="59">
        <f>SUMIFS(HIX_RatingAreas[Silver Enrollments 2023],HIX_RatingAreas[Area],HIX_SLCSP[[#This Row],[Area Code]])</f>
        <v>879</v>
      </c>
      <c r="AY1864" s="59">
        <f>SUMIFS(HIX_RatingAreas[Silver Enrollments 2024],HIX_RatingAreas[Area],HIX_SLCSP[[#This Row],[Area Code]])</f>
        <v>1547</v>
      </c>
      <c r="AZ1864" s="59">
        <v>995</v>
      </c>
      <c r="BA1864">
        <f>AZ1864/AZ$1799</f>
        <v>5.7091839252332158E-4</v>
      </c>
      <c r="BB1864">
        <f>SUMIFS(HIX_RatingAreas[QHP Enrollments 2018],HIX_RatingAreas[Area],HIX_SLCSP[[#This Row],[Area Code]])</f>
        <v>1108</v>
      </c>
      <c r="BC1864">
        <f>BB1864/BB$1799</f>
        <v>6.4597901384423975E-4</v>
      </c>
      <c r="BD1864">
        <f>SUMIFS(HIX_RatingAreas[QHP Enrollments 2019],HIX_RatingAreas[Area],HIX_SLCSP[[#This Row],[Area Code]])</f>
        <v>1255</v>
      </c>
      <c r="BE1864">
        <f>BD1864/BD$1799</f>
        <v>7.0374989345619145E-4</v>
      </c>
      <c r="BF1864">
        <f>SUMIFS(HIX_RatingAreas[QHP Enrollments 2020],HIX_RatingAreas[Area],HIX_SLCSP[[#This Row],[Area Code]])</f>
        <v>1399</v>
      </c>
      <c r="BG1864">
        <f>BF1864/BF$1799</f>
        <v>7.3093953682780595E-4</v>
      </c>
      <c r="BH1864">
        <f>SUMIFS(HIX_RatingAreas[QHP Enrollments 2021],HIX_RatingAreas[Area],HIX_SLCSP[[#This Row],[Area Code]])</f>
        <v>1514</v>
      </c>
      <c r="BI1864">
        <f>BH1864/BH$1799</f>
        <v>7.1403306057962127E-4</v>
      </c>
      <c r="BJ1864">
        <f>SUMIFS(HIX_RatingAreas[QHP Enrollments 2022],HIX_RatingAreas[Area],HIX_SLCSP[[#This Row],[Area Code]])</f>
        <v>1733</v>
      </c>
      <c r="BK1864">
        <f t="shared" si="51"/>
        <v>6.3640843834256177E-4</v>
      </c>
      <c r="BL1864">
        <f>SUMIFS(HIX_RatingAreas[QHP Enrollments 2023],HIX_RatingAreas[Area],HIX_SLCSP[[#This Row],[Area Code]])</f>
        <v>2054</v>
      </c>
      <c r="BM1864">
        <f t="shared" si="47"/>
        <v>6.3681332905484063E-4</v>
      </c>
      <c r="BN1864">
        <f>SUMIFS(HIX_RatingAreas[QHP Enrollments 2024],HIX_RatingAreas[Area],HIX_SLCSP[[#This Row],[Area Code]])</f>
        <v>2757</v>
      </c>
      <c r="BO1864">
        <f t="shared" si="48"/>
        <v>6.5457363442929109E-4</v>
      </c>
      <c r="BP1864" s="53">
        <f>ROUND(HIX_SLCSP[[#This Row],[Weighting Factor 2018]]*HIX_SLCSP[[#This Row],[2018]],2)</f>
        <v>0.45</v>
      </c>
      <c r="BQ1864" s="53">
        <f>ROUND(HIX_SLCSP[[#This Row],[Weighting Factor 2019]]*HIX_SLCSP[[#This Row],[2019]],2)</f>
        <v>0.48</v>
      </c>
      <c r="BR1864" s="53">
        <f>ROUND(HIX_SLCSP[[#This Row],[Weighting Factor 2020]]*HIX_SLCSP[[#This Row],[2020]],2)</f>
        <v>0.47</v>
      </c>
      <c r="BS1864" s="53">
        <f>ROUND(HIX_SLCSP[[#This Row],[Weighting Factor 2021]]*HIX_SLCSP[[#This Row],[2021]],2)</f>
        <v>0.23</v>
      </c>
      <c r="BT1864" s="53">
        <f>ROUND(HIX_SLCSP[[#This Row],[Weighting Factor 2022]]*HIX_SLCSP[[#This Row],[2022]],2)</f>
        <v>0.21</v>
      </c>
      <c r="BU1864" s="53">
        <f>ROUND(HIX_SLCSP[[#This Row],[Weighting Factor 2023]]*HIX_SLCSP[[#This Row],[2023]],2)</f>
        <v>0.19</v>
      </c>
      <c r="BV1864" s="53">
        <f>ROUND(HIX_SLCSP[[#This Row],[Weighting Factor 2024]]*HIX_SLCSP[[#This Row],[2024]],2)</f>
        <v>0.19</v>
      </c>
    </row>
    <row r="1865" spans="4:74" x14ac:dyDescent="0.35">
      <c r="D1865" t="s">
        <v>539</v>
      </c>
      <c r="E1865" t="s">
        <v>773</v>
      </c>
      <c r="F1865" s="23">
        <v>66</v>
      </c>
      <c r="G1865" s="23" t="s">
        <v>540</v>
      </c>
      <c r="H1865" s="23" t="s">
        <v>774</v>
      </c>
      <c r="I1865" s="23">
        <v>97</v>
      </c>
      <c r="J1865" s="53">
        <v>313.77999999999997</v>
      </c>
      <c r="K1865" s="53">
        <v>399.51</v>
      </c>
      <c r="L1865" s="53">
        <v>665.6</v>
      </c>
      <c r="M1865" s="54">
        <f>L1865/K1865</f>
        <v>1.6660409001026257</v>
      </c>
      <c r="N1865" s="24">
        <v>48</v>
      </c>
      <c r="O1865" s="55">
        <v>389.44</v>
      </c>
      <c r="P1865" s="56">
        <v>419.45</v>
      </c>
      <c r="Q1865" s="56">
        <v>714.83</v>
      </c>
      <c r="R1865" s="57">
        <f>Q1865/P1865</f>
        <v>1.7042078912862082</v>
      </c>
      <c r="S1865" s="23">
        <v>97</v>
      </c>
      <c r="T1865" s="53">
        <v>281.79000000000002</v>
      </c>
      <c r="U1865" s="53">
        <v>360.08</v>
      </c>
      <c r="V1865" s="53">
        <v>613.64</v>
      </c>
      <c r="W1865" s="57">
        <f>V1865/U1865</f>
        <v>1.7041768495889802</v>
      </c>
      <c r="X1865" s="47">
        <v>156</v>
      </c>
      <c r="Y1865" s="58">
        <v>275.7</v>
      </c>
      <c r="Z1865" s="58">
        <v>283.35000000000002</v>
      </c>
      <c r="AA1865" s="58">
        <v>482.88</v>
      </c>
      <c r="AB1865" s="57">
        <f>AA1865/Z1865</f>
        <v>1.7041821069348859</v>
      </c>
      <c r="AC1865" s="47">
        <v>153</v>
      </c>
      <c r="AD1865" s="57">
        <v>275.33999999999997</v>
      </c>
      <c r="AE1865" s="57">
        <v>288.37</v>
      </c>
      <c r="AF1865" s="57">
        <v>491.44</v>
      </c>
      <c r="AG1865" s="57">
        <f>AF1865/AE1865</f>
        <v>1.7041994659638657</v>
      </c>
      <c r="AH1865" s="47">
        <v>141</v>
      </c>
      <c r="AI1865">
        <v>319.83</v>
      </c>
      <c r="AJ1865">
        <v>321.2</v>
      </c>
      <c r="AK1865">
        <v>547.4</v>
      </c>
      <c r="AL1865" s="57">
        <f t="shared" si="50"/>
        <v>1.7042341220423411</v>
      </c>
      <c r="AM1865" s="47">
        <v>107</v>
      </c>
      <c r="AN1865" s="57">
        <v>322.08</v>
      </c>
      <c r="AO1865" s="57">
        <v>323.63</v>
      </c>
      <c r="AP1865" s="57">
        <v>551.52</v>
      </c>
      <c r="AQ1865" s="57">
        <f t="shared" si="52"/>
        <v>1.7041683403887156</v>
      </c>
      <c r="AR1865" s="59">
        <v>3279</v>
      </c>
      <c r="AS1865" s="59">
        <f>SUMIFS(HIX_RatingAreas[Silver Enrollments 2018],HIX_RatingAreas[Area],HIX_SLCSP[[#This Row],[Area Code]])</f>
        <v>2791</v>
      </c>
      <c r="AT1865" s="59">
        <f>SUMIFS(HIX_RatingAreas[Silver Enrollments 2019],HIX_RatingAreas[Area],HIX_SLCSP[[#This Row],[Area Code]])</f>
        <v>2718</v>
      </c>
      <c r="AU1865" s="59">
        <f>SUMIFS(HIX_RatingAreas[Silver Enrollments 2020],HIX_RatingAreas[Area],HIX_SLCSP[[#This Row],[Area Code]])</f>
        <v>2458</v>
      </c>
      <c r="AV1865" s="59">
        <f>SUMIFS(HIX_RatingAreas[Silver Enrollments 2021],HIX_RatingAreas[Area],HIX_SLCSP[[#This Row],[Area Code]])</f>
        <v>2484</v>
      </c>
      <c r="AW1865" s="59">
        <f>SUMIFS(HIX_RatingAreas[Silver Enrollments 2022],HIX_RatingAreas[Area],HIX_SLCSP[[#This Row],[Area Code]])</f>
        <v>2922</v>
      </c>
      <c r="AX1865" s="59">
        <f>SUMIFS(HIX_RatingAreas[Silver Enrollments 2023],HIX_RatingAreas[Area],HIX_SLCSP[[#This Row],[Area Code]])</f>
        <v>3036</v>
      </c>
      <c r="AY1865" s="59">
        <f>SUMIFS(HIX_RatingAreas[Silver Enrollments 2024],HIX_RatingAreas[Area],HIX_SLCSP[[#This Row],[Area Code]])</f>
        <v>4344</v>
      </c>
      <c r="AZ1865" s="59">
        <v>4454</v>
      </c>
      <c r="BA1865">
        <f>AZ1865/AZ$1799</f>
        <v>2.5556487641194719E-3</v>
      </c>
      <c r="BB1865">
        <f>SUMIFS(HIX_RatingAreas[QHP Enrollments 2018],HIX_RatingAreas[Area],HIX_SLCSP[[#This Row],[Area Code]])</f>
        <v>4668</v>
      </c>
      <c r="BC1865">
        <f>BB1865/BB$1799</f>
        <v>2.7215072532715805E-3</v>
      </c>
      <c r="BD1865">
        <f>SUMIFS(HIX_RatingAreas[QHP Enrollments 2019],HIX_RatingAreas[Area],HIX_SLCSP[[#This Row],[Area Code]])</f>
        <v>4893</v>
      </c>
      <c r="BE1865">
        <f>BD1865/BD$1799</f>
        <v>2.7437834491483223E-3</v>
      </c>
      <c r="BF1865">
        <f>SUMIFS(HIX_RatingAreas[QHP Enrollments 2020],HIX_RatingAreas[Area],HIX_SLCSP[[#This Row],[Area Code]])</f>
        <v>4884</v>
      </c>
      <c r="BG1865">
        <f>BF1865/BF$1799</f>
        <v>2.5517574680965008E-3</v>
      </c>
      <c r="BH1865">
        <f>SUMIFS(HIX_RatingAreas[QHP Enrollments 2021],HIX_RatingAreas[Area],HIX_SLCSP[[#This Row],[Area Code]])</f>
        <v>5145</v>
      </c>
      <c r="BI1865">
        <f>BH1865/BH$1799</f>
        <v>2.4264861933171412E-3</v>
      </c>
      <c r="BJ1865">
        <f>SUMIFS(HIX_RatingAreas[QHP Enrollments 2022],HIX_RatingAreas[Area],HIX_SLCSP[[#This Row],[Area Code]])</f>
        <v>6760</v>
      </c>
      <c r="BK1865">
        <f t="shared" si="51"/>
        <v>2.4824703076720819E-3</v>
      </c>
      <c r="BL1865">
        <f>SUMIFS(HIX_RatingAreas[QHP Enrollments 2023],HIX_RatingAreas[Area],HIX_SLCSP[[#This Row],[Area Code]])</f>
        <v>7650</v>
      </c>
      <c r="BM1865">
        <f>BL1865/BL$1799</f>
        <v>2.371773109673579E-3</v>
      </c>
      <c r="BN1865">
        <f>SUMIFS(HIX_RatingAreas[QHP Enrollments 2024],HIX_RatingAreas[Area],HIX_SLCSP[[#This Row],[Area Code]])</f>
        <v>10109</v>
      </c>
      <c r="BO1865">
        <f>BN1865/BN$1799</f>
        <v>2.4001033262407339E-3</v>
      </c>
      <c r="BP1865" s="53">
        <f>ROUND(HIX_SLCSP[[#This Row],[Weighting Factor 2018]]*HIX_SLCSP[[#This Row],[2018]],2)</f>
        <v>1.0900000000000001</v>
      </c>
      <c r="BQ1865" s="53">
        <f>ROUND(HIX_SLCSP[[#This Row],[Weighting Factor 2019]]*HIX_SLCSP[[#This Row],[2019]],2)</f>
        <v>1.1499999999999999</v>
      </c>
      <c r="BR1865" s="53">
        <f>ROUND(HIX_SLCSP[[#This Row],[Weighting Factor 2020]]*HIX_SLCSP[[#This Row],[2020]],2)</f>
        <v>0.92</v>
      </c>
      <c r="BS1865" s="53">
        <f>ROUND(HIX_SLCSP[[#This Row],[Weighting Factor 2021]]*HIX_SLCSP[[#This Row],[2021]],2)</f>
        <v>0.69</v>
      </c>
      <c r="BT1865" s="53">
        <f>ROUND(HIX_SLCSP[[#This Row],[Weighting Factor 2022]]*HIX_SLCSP[[#This Row],[2022]],2)</f>
        <v>0.72</v>
      </c>
      <c r="BU1865" s="53">
        <f>ROUND(HIX_SLCSP[[#This Row],[Weighting Factor 2023]]*HIX_SLCSP[[#This Row],[2023]],2)</f>
        <v>0.76</v>
      </c>
      <c r="BV1865" s="53">
        <f>ROUND(HIX_SLCSP[[#This Row],[Weighting Factor 2024]]*HIX_SLCSP[[#This Row],[2024]],2)</f>
        <v>0.78</v>
      </c>
    </row>
    <row r="1866" spans="4:74" x14ac:dyDescent="0.35">
      <c r="D1866" t="s">
        <v>539</v>
      </c>
      <c r="E1866" t="s">
        <v>777</v>
      </c>
      <c r="F1866" s="23">
        <v>67</v>
      </c>
      <c r="G1866" s="23" t="s">
        <v>540</v>
      </c>
      <c r="H1866" s="23" t="s">
        <v>778</v>
      </c>
      <c r="I1866" s="23">
        <v>16</v>
      </c>
      <c r="J1866" s="53">
        <v>460.2</v>
      </c>
      <c r="K1866" s="53">
        <v>601.88</v>
      </c>
      <c r="L1866" s="53">
        <v>1025.72</v>
      </c>
      <c r="M1866" s="54">
        <f>L1866/K1866</f>
        <v>1.7041935269488935</v>
      </c>
      <c r="N1866" s="24">
        <v>16</v>
      </c>
      <c r="O1866" s="55">
        <v>530.79</v>
      </c>
      <c r="P1866" s="56">
        <v>573.75</v>
      </c>
      <c r="Q1866" s="56">
        <v>977.78</v>
      </c>
      <c r="R1866" s="57">
        <f>Q1866/P1866</f>
        <v>1.7041917211328976</v>
      </c>
      <c r="S1866" s="23">
        <v>16</v>
      </c>
      <c r="T1866" s="53">
        <v>514.13</v>
      </c>
      <c r="U1866" s="53">
        <v>554.58000000000004</v>
      </c>
      <c r="V1866" s="53">
        <v>945.12</v>
      </c>
      <c r="W1866" s="57">
        <f>V1866/U1866</f>
        <v>1.7042085902845396</v>
      </c>
      <c r="X1866" s="47">
        <v>101</v>
      </c>
      <c r="Y1866" s="58">
        <v>319.58</v>
      </c>
      <c r="Z1866" s="58">
        <v>328.45</v>
      </c>
      <c r="AA1866" s="58">
        <v>559.75</v>
      </c>
      <c r="AB1866" s="57">
        <f>AA1866/Z1866</f>
        <v>1.7042167757649567</v>
      </c>
      <c r="AC1866" s="47">
        <v>89</v>
      </c>
      <c r="AD1866" s="57">
        <v>319.27999999999997</v>
      </c>
      <c r="AE1866" s="57">
        <v>334.39</v>
      </c>
      <c r="AF1866" s="57">
        <v>569.87</v>
      </c>
      <c r="AG1866" s="57">
        <f>AF1866/AE1866</f>
        <v>1.7042076617123718</v>
      </c>
      <c r="AH1866" s="47">
        <v>69</v>
      </c>
      <c r="AI1866">
        <v>386.37</v>
      </c>
      <c r="AJ1866">
        <v>388.03</v>
      </c>
      <c r="AK1866">
        <v>661.28</v>
      </c>
      <c r="AL1866" s="57">
        <f t="shared" si="50"/>
        <v>1.7041981290106436</v>
      </c>
      <c r="AM1866" s="47">
        <v>55</v>
      </c>
      <c r="AN1866" s="57">
        <v>416.77</v>
      </c>
      <c r="AO1866" s="57">
        <v>418.78</v>
      </c>
      <c r="AP1866" s="57">
        <v>713.68</v>
      </c>
      <c r="AQ1866" s="57">
        <f t="shared" si="52"/>
        <v>1.7041883566550455</v>
      </c>
      <c r="AR1866" s="59">
        <v>807</v>
      </c>
      <c r="AS1866" s="59">
        <f>SUMIFS(HIX_RatingAreas[Silver Enrollments 2018],HIX_RatingAreas[Area],HIX_SLCSP[[#This Row],[Area Code]])</f>
        <v>826</v>
      </c>
      <c r="AT1866" s="59">
        <f>SUMIFS(HIX_RatingAreas[Silver Enrollments 2019],HIX_RatingAreas[Area],HIX_SLCSP[[#This Row],[Area Code]])</f>
        <v>834</v>
      </c>
      <c r="AU1866" s="59">
        <f>SUMIFS(HIX_RatingAreas[Silver Enrollments 2020],HIX_RatingAreas[Area],HIX_SLCSP[[#This Row],[Area Code]])</f>
        <v>897</v>
      </c>
      <c r="AV1866" s="59">
        <f>SUMIFS(HIX_RatingAreas[Silver Enrollments 2021],HIX_RatingAreas[Area],HIX_SLCSP[[#This Row],[Area Code]])</f>
        <v>670</v>
      </c>
      <c r="AW1866" s="59">
        <f>SUMIFS(HIX_RatingAreas[Silver Enrollments 2022],HIX_RatingAreas[Area],HIX_SLCSP[[#This Row],[Area Code]])</f>
        <v>510</v>
      </c>
      <c r="AX1866" s="59">
        <f>SUMIFS(HIX_RatingAreas[Silver Enrollments 2023],HIX_RatingAreas[Area],HIX_SLCSP[[#This Row],[Area Code]])</f>
        <v>586</v>
      </c>
      <c r="AY1866" s="59">
        <f>SUMIFS(HIX_RatingAreas[Silver Enrollments 2024],HIX_RatingAreas[Area],HIX_SLCSP[[#This Row],[Area Code]])</f>
        <v>1109</v>
      </c>
      <c r="AZ1866" s="59">
        <v>961</v>
      </c>
      <c r="BA1866">
        <f>AZ1866/AZ$1799</f>
        <v>5.5140962333156995E-4</v>
      </c>
      <c r="BB1866">
        <f>SUMIFS(HIX_RatingAreas[QHP Enrollments 2018],HIX_RatingAreas[Area],HIX_SLCSP[[#This Row],[Area Code]])</f>
        <v>1127</v>
      </c>
      <c r="BC1866">
        <f>BB1866/BB$1799</f>
        <v>6.5705627130185754E-4</v>
      </c>
      <c r="BD1866">
        <f>SUMIFS(HIX_RatingAreas[QHP Enrollments 2019],HIX_RatingAreas[Area],HIX_SLCSP[[#This Row],[Area Code]])</f>
        <v>1214</v>
      </c>
      <c r="BE1866">
        <f>BD1866/BD$1799</f>
        <v>6.8075886108033177E-4</v>
      </c>
      <c r="BF1866">
        <f>SUMIFS(HIX_RatingAreas[QHP Enrollments 2020],HIX_RatingAreas[Area],HIX_SLCSP[[#This Row],[Area Code]])</f>
        <v>1309</v>
      </c>
      <c r="BG1866">
        <f>BF1866/BF$1799</f>
        <v>6.8391697906189993E-4</v>
      </c>
      <c r="BH1866">
        <f>SUMIFS(HIX_RatingAreas[QHP Enrollments 2021],HIX_RatingAreas[Area],HIX_SLCSP[[#This Row],[Area Code]])</f>
        <v>1368</v>
      </c>
      <c r="BI1866">
        <f>BH1866/BH$1799</f>
        <v>6.4517650387907661E-4</v>
      </c>
      <c r="BJ1866">
        <f>SUMIFS(HIX_RatingAreas[QHP Enrollments 2022],HIX_RatingAreas[Area],HIX_SLCSP[[#This Row],[Area Code]])</f>
        <v>1528</v>
      </c>
      <c r="BK1866">
        <f t="shared" si="51"/>
        <v>5.6112642457439952E-4</v>
      </c>
      <c r="BL1866">
        <f>SUMIFS(HIX_RatingAreas[QHP Enrollments 2023],HIX_RatingAreas[Area],HIX_SLCSP[[#This Row],[Area Code]])</f>
        <v>1840</v>
      </c>
      <c r="BM1866">
        <f>BL1866/BL$1799</f>
        <v>5.7046568912410265E-4</v>
      </c>
      <c r="BN1866">
        <f>SUMIFS(HIX_RatingAreas[QHP Enrollments 2024],HIX_RatingAreas[Area],HIX_SLCSP[[#This Row],[Area Code]])</f>
        <v>2745</v>
      </c>
      <c r="BO1866">
        <f>BN1866/BN$1799</f>
        <v>6.5172456529140517E-4</v>
      </c>
      <c r="BP1866" s="53">
        <f>ROUND(HIX_SLCSP[[#This Row],[Weighting Factor 2018]]*HIX_SLCSP[[#This Row],[2018]],2)</f>
        <v>0.4</v>
      </c>
      <c r="BQ1866" s="53">
        <f>ROUND(HIX_SLCSP[[#This Row],[Weighting Factor 2019]]*HIX_SLCSP[[#This Row],[2019]],2)</f>
        <v>0.39</v>
      </c>
      <c r="BR1866" s="53">
        <f>ROUND(HIX_SLCSP[[#This Row],[Weighting Factor 2020]]*HIX_SLCSP[[#This Row],[2020]],2)</f>
        <v>0.38</v>
      </c>
      <c r="BS1866" s="53">
        <f>ROUND(HIX_SLCSP[[#This Row],[Weighting Factor 2021]]*HIX_SLCSP[[#This Row],[2021]],2)</f>
        <v>0.21</v>
      </c>
      <c r="BT1866" s="53">
        <f>ROUND(HIX_SLCSP[[#This Row],[Weighting Factor 2022]]*HIX_SLCSP[[#This Row],[2022]],2)</f>
        <v>0.19</v>
      </c>
      <c r="BU1866" s="53">
        <f>ROUND(HIX_SLCSP[[#This Row],[Weighting Factor 2023]]*HIX_SLCSP[[#This Row],[2023]],2)</f>
        <v>0.22</v>
      </c>
      <c r="BV1866" s="53">
        <f>ROUND(HIX_SLCSP[[#This Row],[Weighting Factor 2024]]*HIX_SLCSP[[#This Row],[2024]],2)</f>
        <v>0.27</v>
      </c>
    </row>
    <row r="1867" spans="4:74" x14ac:dyDescent="0.35">
      <c r="D1867" t="s">
        <v>780</v>
      </c>
      <c r="E1867" t="s">
        <v>2597</v>
      </c>
      <c r="F1867" s="23"/>
      <c r="G1867" s="23"/>
      <c r="H1867" s="23"/>
      <c r="I1867" s="23"/>
      <c r="J1867" s="53"/>
      <c r="K1867" s="53">
        <f>SUM(BP1868:BP1883)</f>
        <v>389.07999999999993</v>
      </c>
      <c r="L1867" s="53"/>
      <c r="M1867" s="54"/>
      <c r="O1867" s="55"/>
      <c r="P1867" s="56">
        <f>SUM(BQ1868:BQ1883)</f>
        <v>362.86</v>
      </c>
      <c r="Q1867" s="56"/>
      <c r="R1867" s="57"/>
      <c r="S1867" s="23"/>
      <c r="T1867" s="53"/>
      <c r="U1867" s="53">
        <f>SUM(BR1868:BR1883)</f>
        <v>355.41999999999996</v>
      </c>
      <c r="V1867" s="53"/>
      <c r="W1867" s="57"/>
      <c r="X1867" s="47"/>
      <c r="Y1867" s="58"/>
      <c r="Z1867" s="53">
        <f>SUM(BS1868:BS1883)</f>
        <v>290.58</v>
      </c>
      <c r="AA1867" s="53"/>
      <c r="AB1867" s="57"/>
      <c r="AC1867" s="47"/>
      <c r="AD1867" s="57"/>
      <c r="AE1867" s="53">
        <f>SUM(BT1868:BT1883)</f>
        <v>281.11</v>
      </c>
      <c r="AF1867" s="57"/>
      <c r="AG1867" s="57"/>
      <c r="AH1867" s="47"/>
      <c r="AI1867" s="57"/>
      <c r="AJ1867" s="53">
        <f>SUM(BU1868:BU1883)</f>
        <v>290.34000000000009</v>
      </c>
      <c r="AK1867" s="57"/>
      <c r="AL1867" s="57"/>
      <c r="AM1867" s="47"/>
      <c r="AN1867" s="57"/>
      <c r="AO1867" s="53">
        <f>SUM(BV1868:BV1883)</f>
        <v>334.62</v>
      </c>
      <c r="AP1867" s="57"/>
      <c r="AQ1867" s="57"/>
      <c r="AR1867" s="59">
        <f t="shared" ref="AR1867:AZ1867" si="53">SUM(AR1868:AR1883)</f>
        <v>447613</v>
      </c>
      <c r="AS1867" s="59">
        <f t="shared" si="53"/>
        <v>373612</v>
      </c>
      <c r="AT1867" s="59">
        <f t="shared" si="53"/>
        <v>339381</v>
      </c>
      <c r="AU1867" s="59">
        <f t="shared" si="53"/>
        <v>335180</v>
      </c>
      <c r="AV1867" s="59">
        <f t="shared" si="53"/>
        <v>357441</v>
      </c>
      <c r="AW1867" s="59">
        <f t="shared" si="53"/>
        <v>476098</v>
      </c>
      <c r="AX1867" s="59">
        <f t="shared" si="53"/>
        <v>578969</v>
      </c>
      <c r="AY1867" s="59">
        <f t="shared" si="53"/>
        <v>870231</v>
      </c>
      <c r="AZ1867" s="59">
        <f t="shared" si="53"/>
        <v>587833</v>
      </c>
      <c r="BA1867">
        <f t="shared" ref="BA1867:BA1883" si="54">AZ1867/AZ$1867</f>
        <v>1</v>
      </c>
      <c r="BB1867" s="59">
        <f>SUM(BB1868:BB1883)</f>
        <v>480911</v>
      </c>
      <c r="BC1867">
        <f t="shared" ref="BC1867:BC1883" si="55">BB1867/BB$1867</f>
        <v>1</v>
      </c>
      <c r="BD1867" s="59">
        <f>SUM(BD1868:BD1883)</f>
        <v>458437</v>
      </c>
      <c r="BE1867">
        <f t="shared" ref="BE1867:BE1883" si="56">BD1867/BD$1867</f>
        <v>1</v>
      </c>
      <c r="BF1867" s="59">
        <f>SUM(BF1868:BF1883)</f>
        <v>463910</v>
      </c>
      <c r="BG1867">
        <f t="shared" ref="BG1867:BG1883" si="57">BF1867/BF$1867</f>
        <v>1</v>
      </c>
      <c r="BH1867" s="59">
        <f>SUM(BH1868:BH1883)</f>
        <v>517113</v>
      </c>
      <c r="BI1867">
        <f t="shared" ref="BI1867:BI1883" si="58">BH1867/BH$1867</f>
        <v>1</v>
      </c>
      <c r="BJ1867" s="59">
        <f>SUM(BJ1868:BJ1883)</f>
        <v>701135</v>
      </c>
      <c r="BK1867">
        <f t="shared" ref="BK1867:BK1883" si="59">BJ1867/BJ$1867</f>
        <v>1</v>
      </c>
      <c r="BL1867" s="59">
        <f>SUM(BL1868:BL1883)</f>
        <v>879084</v>
      </c>
      <c r="BM1867">
        <f>BL1867/BL$1867</f>
        <v>1</v>
      </c>
      <c r="BN1867" s="59">
        <f>SUM(BN1868:BN1883)</f>
        <v>1305114</v>
      </c>
      <c r="BO1867">
        <f t="shared" ref="BO1867:BO1883" si="60">BN1867/BN$1867</f>
        <v>1</v>
      </c>
      <c r="BP1867" s="53"/>
      <c r="BQ1867" s="53"/>
      <c r="BR1867" s="53"/>
      <c r="BS1867" s="53"/>
      <c r="BT1867" s="53"/>
      <c r="BU1867" s="53"/>
      <c r="BV1867" s="53"/>
    </row>
    <row r="1868" spans="4:74" x14ac:dyDescent="0.35">
      <c r="D1868" t="s">
        <v>780</v>
      </c>
      <c r="E1868" t="s">
        <v>231</v>
      </c>
      <c r="F1868" s="23">
        <v>1</v>
      </c>
      <c r="G1868" s="23" t="s">
        <v>781</v>
      </c>
      <c r="H1868" s="23" t="s">
        <v>782</v>
      </c>
      <c r="I1868" s="23">
        <v>12</v>
      </c>
      <c r="J1868" s="53">
        <v>433.92</v>
      </c>
      <c r="K1868" s="53">
        <v>454.27</v>
      </c>
      <c r="L1868" s="53">
        <v>774.17</v>
      </c>
      <c r="M1868" s="54">
        <f t="shared" ref="M1868:M1883" si="61">L1868/K1868</f>
        <v>1.7042067492900697</v>
      </c>
      <c r="N1868" s="24">
        <v>44</v>
      </c>
      <c r="O1868" s="55">
        <v>412.95</v>
      </c>
      <c r="P1868" s="56">
        <v>434.22</v>
      </c>
      <c r="Q1868" s="56">
        <v>740</v>
      </c>
      <c r="R1868" s="57">
        <f t="shared" ref="R1868:R1883" si="62">Q1868/P1868</f>
        <v>1.7042052415826079</v>
      </c>
      <c r="S1868" s="23">
        <v>12</v>
      </c>
      <c r="T1868" s="53">
        <v>358.56</v>
      </c>
      <c r="U1868" s="53">
        <v>392.69</v>
      </c>
      <c r="V1868" s="53">
        <v>669.23</v>
      </c>
      <c r="W1868" s="57">
        <f t="shared" ref="W1868:W1883" si="63">V1868/U1868</f>
        <v>1.7042196134355345</v>
      </c>
      <c r="X1868" s="47">
        <v>101</v>
      </c>
      <c r="Y1868" s="23">
        <v>297.68</v>
      </c>
      <c r="Z1868" s="23">
        <v>304.14999999999998</v>
      </c>
      <c r="AA1868" s="23">
        <v>518.34</v>
      </c>
      <c r="AB1868" s="57">
        <f t="shared" ref="AB1868:AB1883" si="64">AA1868/Z1868</f>
        <v>1.7042248890350158</v>
      </c>
      <c r="AC1868" s="47">
        <v>143</v>
      </c>
      <c r="AD1868" s="57">
        <v>232.71</v>
      </c>
      <c r="AE1868" s="57">
        <v>244.13</v>
      </c>
      <c r="AF1868" s="57">
        <v>416.05</v>
      </c>
      <c r="AG1868" s="57">
        <f t="shared" ref="AG1868:AG1883" si="65">AF1868/AE1868</f>
        <v>1.7042149674353828</v>
      </c>
      <c r="AH1868" s="47">
        <v>154</v>
      </c>
      <c r="AI1868">
        <v>277.29000000000002</v>
      </c>
      <c r="AJ1868">
        <v>278</v>
      </c>
      <c r="AK1868">
        <v>473.76</v>
      </c>
      <c r="AL1868" s="57">
        <f t="shared" si="50"/>
        <v>1.7041726618705035</v>
      </c>
      <c r="AM1868" s="47">
        <v>130</v>
      </c>
      <c r="AN1868" s="57">
        <v>318.67</v>
      </c>
      <c r="AO1868" s="57">
        <v>321.36</v>
      </c>
      <c r="AP1868" s="57">
        <v>547.65</v>
      </c>
      <c r="AQ1868" s="57">
        <f t="shared" si="52"/>
        <v>1.70416355489171</v>
      </c>
      <c r="AR1868" s="59">
        <v>7906</v>
      </c>
      <c r="AS1868" s="59">
        <f>SUMIFS(HIX_RatingAreas[Silver Enrollments 2018],HIX_RatingAreas[Area],HIX_SLCSP[[#This Row],[Area Code]])</f>
        <v>6776</v>
      </c>
      <c r="AT1868" s="59">
        <f>SUMIFS(HIX_RatingAreas[Silver Enrollments 2019],HIX_RatingAreas[Area],HIX_SLCSP[[#This Row],[Area Code]])</f>
        <v>6899</v>
      </c>
      <c r="AU1868" s="59">
        <f>SUMIFS(HIX_RatingAreas[Silver Enrollments 2020],HIX_RatingAreas[Area],HIX_SLCSP[[#This Row],[Area Code]])</f>
        <v>7053</v>
      </c>
      <c r="AV1868" s="59">
        <f>SUMIFS(HIX_RatingAreas[Silver Enrollments 2021],HIX_RatingAreas[Area],HIX_SLCSP[[#This Row],[Area Code]])</f>
        <v>6730</v>
      </c>
      <c r="AW1868" s="59">
        <f>SUMIFS(HIX_RatingAreas[Silver Enrollments 2022],HIX_RatingAreas[Area],HIX_SLCSP[[#This Row],[Area Code]])</f>
        <v>9913</v>
      </c>
      <c r="AX1868" s="59">
        <f>SUMIFS(HIX_RatingAreas[Silver Enrollments 2023],HIX_RatingAreas[Area],HIX_SLCSP[[#This Row],[Area Code]])</f>
        <v>11611</v>
      </c>
      <c r="AY1868" s="59">
        <f>SUMIFS(HIX_RatingAreas[Silver Enrollments 2024],HIX_RatingAreas[Area],HIX_SLCSP[[#This Row],[Area Code]])</f>
        <v>20538</v>
      </c>
      <c r="AZ1868" s="59">
        <v>10409</v>
      </c>
      <c r="BA1868">
        <f t="shared" si="54"/>
        <v>1.7707410097765861E-2</v>
      </c>
      <c r="BB1868">
        <f>SUMIFS(HIX_RatingAreas[QHP Enrollments 2018],HIX_RatingAreas[Area],HIX_SLCSP[[#This Row],[Area Code]])</f>
        <v>8604</v>
      </c>
      <c r="BC1868">
        <f t="shared" si="55"/>
        <v>1.7891044288860101E-2</v>
      </c>
      <c r="BD1868">
        <f>SUMIFS(HIX_RatingAreas[QHP Enrollments 2019],HIX_RatingAreas[Area],HIX_SLCSP[[#This Row],[Area Code]])</f>
        <v>8146</v>
      </c>
      <c r="BE1868">
        <f t="shared" si="56"/>
        <v>1.7769071868108378E-2</v>
      </c>
      <c r="BF1868">
        <f>SUMIFS(HIX_RatingAreas[QHP Enrollments 2020],HIX_RatingAreas[Area],HIX_SLCSP[[#This Row],[Area Code]])</f>
        <v>8537</v>
      </c>
      <c r="BG1868">
        <f t="shared" si="57"/>
        <v>1.8402276303593368E-2</v>
      </c>
      <c r="BH1868">
        <f>SUMIFS(HIX_RatingAreas[QHP Enrollments 2021],HIX_RatingAreas[Area],HIX_SLCSP[[#This Row],[Area Code]])</f>
        <v>9538</v>
      </c>
      <c r="BI1868">
        <f t="shared" si="58"/>
        <v>1.8444711310680643E-2</v>
      </c>
      <c r="BJ1868">
        <f>SUMIFS(HIX_RatingAreas[QHP Enrollments 2022],HIX_RatingAreas[Area],HIX_SLCSP[[#This Row],[Area Code]])</f>
        <v>13648</v>
      </c>
      <c r="BK1868">
        <f t="shared" si="59"/>
        <v>1.9465580808260892E-2</v>
      </c>
      <c r="BL1868">
        <f>SUMIFS(HIX_RatingAreas[QHP Enrollments 2023],HIX_RatingAreas[Area],HIX_SLCSP[[#This Row],[Area Code]])</f>
        <v>18270</v>
      </c>
      <c r="BM1868">
        <f>BL1868/BL$1867</f>
        <v>2.0782996846717718E-2</v>
      </c>
      <c r="BN1868">
        <f>SUMIFS(HIX_RatingAreas[QHP Enrollments 2024],HIX_RatingAreas[Area],HIX_SLCSP[[#This Row],[Area Code]])</f>
        <v>32033</v>
      </c>
      <c r="BO1868">
        <f t="shared" si="60"/>
        <v>2.4544216060819208E-2</v>
      </c>
      <c r="BP1868" s="53">
        <f>ROUND(HIX_SLCSP[[#This Row],[Weighting Factor 2018]]*HIX_SLCSP[[#This Row],[2018]],2)</f>
        <v>8.1300000000000008</v>
      </c>
      <c r="BQ1868" s="53">
        <f>ROUND(HIX_SLCSP[[#This Row],[Weighting Factor 2019]]*HIX_SLCSP[[#This Row],[2019]],2)</f>
        <v>7.72</v>
      </c>
      <c r="BR1868" s="53">
        <f>ROUND(HIX_SLCSP[[#This Row],[Weighting Factor 2020]]*HIX_SLCSP[[#This Row],[2020]],2)</f>
        <v>7.23</v>
      </c>
      <c r="BS1868" s="53">
        <f>ROUND(HIX_SLCSP[[#This Row],[Weighting Factor 2021]]*HIX_SLCSP[[#This Row],[2021]],2)</f>
        <v>5.61</v>
      </c>
      <c r="BT1868" s="53">
        <f>ROUND(HIX_SLCSP[[#This Row],[Weighting Factor 2022]]*HIX_SLCSP[[#This Row],[2022]],2)</f>
        <v>4.75</v>
      </c>
      <c r="BU1868" s="53">
        <f>ROUND(HIX_SLCSP[[#This Row],[Weighting Factor 2023]]*HIX_SLCSP[[#This Row],[2023]],2)</f>
        <v>5.78</v>
      </c>
      <c r="BV1868" s="53">
        <f>ROUND(HIX_SLCSP[[#This Row],[Weighting Factor 2024]]*HIX_SLCSP[[#This Row],[2024]],2)</f>
        <v>7.89</v>
      </c>
    </row>
    <row r="1869" spans="4:74" x14ac:dyDescent="0.35">
      <c r="D1869" t="s">
        <v>780</v>
      </c>
      <c r="E1869" t="s">
        <v>235</v>
      </c>
      <c r="F1869" s="23">
        <v>2</v>
      </c>
      <c r="G1869" s="23" t="s">
        <v>781</v>
      </c>
      <c r="H1869" s="23" t="s">
        <v>801</v>
      </c>
      <c r="I1869" s="23">
        <v>41</v>
      </c>
      <c r="J1869" s="53">
        <v>316.99</v>
      </c>
      <c r="K1869" s="53">
        <v>331.86</v>
      </c>
      <c r="L1869" s="53">
        <v>565.54999999999995</v>
      </c>
      <c r="M1869" s="54">
        <f t="shared" si="61"/>
        <v>1.7041824865907309</v>
      </c>
      <c r="N1869" s="24">
        <v>61</v>
      </c>
      <c r="O1869" s="55">
        <v>309</v>
      </c>
      <c r="P1869" s="56">
        <v>324.92</v>
      </c>
      <c r="Q1869" s="56">
        <v>553.74</v>
      </c>
      <c r="R1869" s="57">
        <f t="shared" si="62"/>
        <v>1.7042348885879601</v>
      </c>
      <c r="S1869" s="23">
        <v>41</v>
      </c>
      <c r="T1869" s="53">
        <v>315.45</v>
      </c>
      <c r="U1869" s="53">
        <v>345.48</v>
      </c>
      <c r="V1869" s="53">
        <v>588.77</v>
      </c>
      <c r="W1869" s="57">
        <f t="shared" si="63"/>
        <v>1.7042086372583072</v>
      </c>
      <c r="X1869" s="47">
        <v>128</v>
      </c>
      <c r="Y1869" s="23">
        <v>316.75</v>
      </c>
      <c r="Z1869" s="23">
        <v>323.64</v>
      </c>
      <c r="AA1869" s="23">
        <v>551.54</v>
      </c>
      <c r="AB1869" s="57">
        <f t="shared" si="64"/>
        <v>1.704177481151897</v>
      </c>
      <c r="AC1869" s="47">
        <v>179</v>
      </c>
      <c r="AD1869" s="57">
        <v>272.70999999999998</v>
      </c>
      <c r="AE1869" s="57">
        <v>286.08999999999997</v>
      </c>
      <c r="AF1869" s="57">
        <v>487.55</v>
      </c>
      <c r="AG1869" s="57">
        <f t="shared" si="65"/>
        <v>1.7041839980425741</v>
      </c>
      <c r="AH1869" s="47">
        <v>178</v>
      </c>
      <c r="AI1869">
        <v>283.35000000000002</v>
      </c>
      <c r="AJ1869">
        <v>296.55</v>
      </c>
      <c r="AK1869">
        <v>505.39</v>
      </c>
      <c r="AL1869" s="57">
        <f t="shared" si="50"/>
        <v>1.704232001348845</v>
      </c>
      <c r="AM1869" s="47">
        <v>174</v>
      </c>
      <c r="AN1869" s="57">
        <v>388.99</v>
      </c>
      <c r="AO1869" s="57">
        <v>392.27</v>
      </c>
      <c r="AP1869" s="57">
        <v>668.5</v>
      </c>
      <c r="AQ1869" s="57">
        <f t="shared" si="52"/>
        <v>1.7041833431055142</v>
      </c>
      <c r="AR1869" s="59">
        <v>12240</v>
      </c>
      <c r="AS1869" s="59">
        <f>SUMIFS(HIX_RatingAreas[Silver Enrollments 2018],HIX_RatingAreas[Area],HIX_SLCSP[[#This Row],[Area Code]])</f>
        <v>10640</v>
      </c>
      <c r="AT1869" s="59">
        <f>SUMIFS(HIX_RatingAreas[Silver Enrollments 2019],HIX_RatingAreas[Area],HIX_SLCSP[[#This Row],[Area Code]])</f>
        <v>10596</v>
      </c>
      <c r="AU1869" s="59">
        <f>SUMIFS(HIX_RatingAreas[Silver Enrollments 2020],HIX_RatingAreas[Area],HIX_SLCSP[[#This Row],[Area Code]])</f>
        <v>10967</v>
      </c>
      <c r="AV1869" s="59">
        <f>SUMIFS(HIX_RatingAreas[Silver Enrollments 2021],HIX_RatingAreas[Area],HIX_SLCSP[[#This Row],[Area Code]])</f>
        <v>9354</v>
      </c>
      <c r="AW1869" s="59">
        <f>SUMIFS(HIX_RatingAreas[Silver Enrollments 2022],HIX_RatingAreas[Area],HIX_SLCSP[[#This Row],[Area Code]])</f>
        <v>13206</v>
      </c>
      <c r="AX1869" s="59">
        <f>SUMIFS(HIX_RatingAreas[Silver Enrollments 2023],HIX_RatingAreas[Area],HIX_SLCSP[[#This Row],[Area Code]])</f>
        <v>16154</v>
      </c>
      <c r="AY1869" s="59">
        <f>SUMIFS(HIX_RatingAreas[Silver Enrollments 2024],HIX_RatingAreas[Area],HIX_SLCSP[[#This Row],[Area Code]])</f>
        <v>23747</v>
      </c>
      <c r="AZ1869" s="59">
        <v>16180</v>
      </c>
      <c r="BA1869">
        <f t="shared" si="54"/>
        <v>2.7524824227289042E-2</v>
      </c>
      <c r="BB1869">
        <f>SUMIFS(HIX_RatingAreas[QHP Enrollments 2018],HIX_RatingAreas[Area],HIX_SLCSP[[#This Row],[Area Code]])</f>
        <v>14146</v>
      </c>
      <c r="BC1869">
        <f t="shared" si="55"/>
        <v>2.9415006103000348E-2</v>
      </c>
      <c r="BD1869">
        <f>SUMIFS(HIX_RatingAreas[QHP Enrollments 2019],HIX_RatingAreas[Area],HIX_SLCSP[[#This Row],[Area Code]])</f>
        <v>13631</v>
      </c>
      <c r="BE1869">
        <f t="shared" si="56"/>
        <v>2.9733638427962839E-2</v>
      </c>
      <c r="BF1869">
        <f>SUMIFS(HIX_RatingAreas[QHP Enrollments 2020],HIX_RatingAreas[Area],HIX_SLCSP[[#This Row],[Area Code]])</f>
        <v>14746</v>
      </c>
      <c r="BG1869">
        <f t="shared" si="57"/>
        <v>3.1786337867258735E-2</v>
      </c>
      <c r="BH1869">
        <f>SUMIFS(HIX_RatingAreas[QHP Enrollments 2021],HIX_RatingAreas[Area],HIX_SLCSP[[#This Row],[Area Code]])</f>
        <v>15741</v>
      </c>
      <c r="BI1869">
        <f t="shared" si="58"/>
        <v>3.044015524653219E-2</v>
      </c>
      <c r="BJ1869">
        <f>SUMIFS(HIX_RatingAreas[QHP Enrollments 2022],HIX_RatingAreas[Area],HIX_SLCSP[[#This Row],[Area Code]])</f>
        <v>22224</v>
      </c>
      <c r="BK1869">
        <f t="shared" si="59"/>
        <v>3.1697176720603022E-2</v>
      </c>
      <c r="BL1869">
        <f>SUMIFS(HIX_RatingAreas[QHP Enrollments 2023],HIX_RatingAreas[Area],HIX_SLCSP[[#This Row],[Area Code]])</f>
        <v>27417</v>
      </c>
      <c r="BM1869">
        <f t="shared" ref="BM1869:BM1883" si="66">BL1869/BL$1867</f>
        <v>3.1188145842718101E-2</v>
      </c>
      <c r="BN1869">
        <f>SUMIFS(HIX_RatingAreas[QHP Enrollments 2024],HIX_RatingAreas[Area],HIX_SLCSP[[#This Row],[Area Code]])</f>
        <v>40399</v>
      </c>
      <c r="BO1869">
        <f t="shared" si="60"/>
        <v>3.095438406146896E-2</v>
      </c>
      <c r="BP1869" s="53">
        <f>ROUND(HIX_SLCSP[[#This Row],[Weighting Factor 2018]]*HIX_SLCSP[[#This Row],[2018]],2)</f>
        <v>9.76</v>
      </c>
      <c r="BQ1869" s="53">
        <f>ROUND(HIX_SLCSP[[#This Row],[Weighting Factor 2019]]*HIX_SLCSP[[#This Row],[2019]],2)</f>
        <v>9.66</v>
      </c>
      <c r="BR1869" s="53">
        <f>ROUND(HIX_SLCSP[[#This Row],[Weighting Factor 2020]]*HIX_SLCSP[[#This Row],[2020]],2)</f>
        <v>10.98</v>
      </c>
      <c r="BS1869" s="53">
        <f>ROUND(HIX_SLCSP[[#This Row],[Weighting Factor 2021]]*HIX_SLCSP[[#This Row],[2021]],2)</f>
        <v>9.85</v>
      </c>
      <c r="BT1869" s="53">
        <f>ROUND(HIX_SLCSP[[#This Row],[Weighting Factor 2022]]*HIX_SLCSP[[#This Row],[2022]],2)</f>
        <v>9.07</v>
      </c>
      <c r="BU1869" s="53">
        <f>ROUND(HIX_SLCSP[[#This Row],[Weighting Factor 2023]]*HIX_SLCSP[[#This Row],[2023]],2)</f>
        <v>9.25</v>
      </c>
      <c r="BV1869" s="53">
        <f>ROUND(HIX_SLCSP[[#This Row],[Weighting Factor 2024]]*HIX_SLCSP[[#This Row],[2024]],2)</f>
        <v>12.14</v>
      </c>
    </row>
    <row r="1870" spans="4:74" x14ac:dyDescent="0.35">
      <c r="D1870" t="s">
        <v>780</v>
      </c>
      <c r="E1870" t="s">
        <v>239</v>
      </c>
      <c r="F1870" s="23">
        <v>3</v>
      </c>
      <c r="G1870" s="23" t="s">
        <v>781</v>
      </c>
      <c r="H1870" s="23" t="s">
        <v>815</v>
      </c>
      <c r="I1870" s="23">
        <v>147</v>
      </c>
      <c r="J1870" s="53">
        <v>342</v>
      </c>
      <c r="K1870" s="53">
        <v>346.16</v>
      </c>
      <c r="L1870" s="53">
        <v>589.92999999999995</v>
      </c>
      <c r="M1870" s="54">
        <f t="shared" si="61"/>
        <v>1.704211925121331</v>
      </c>
      <c r="N1870" s="24">
        <v>126</v>
      </c>
      <c r="O1870" s="55">
        <v>359.45</v>
      </c>
      <c r="P1870" s="56">
        <v>360.62</v>
      </c>
      <c r="Q1870" s="56">
        <v>614.57000000000005</v>
      </c>
      <c r="R1870" s="57">
        <f t="shared" si="62"/>
        <v>1.7042038711108647</v>
      </c>
      <c r="S1870" s="23">
        <v>147</v>
      </c>
      <c r="T1870" s="53">
        <v>343.28</v>
      </c>
      <c r="U1870" s="53">
        <v>348.46</v>
      </c>
      <c r="V1870" s="53">
        <v>593.84</v>
      </c>
      <c r="W1870" s="57">
        <f t="shared" si="63"/>
        <v>1.7041841244332205</v>
      </c>
      <c r="X1870" s="47">
        <v>193</v>
      </c>
      <c r="Y1870" s="23">
        <v>279.89</v>
      </c>
      <c r="Z1870" s="23">
        <v>285.98</v>
      </c>
      <c r="AA1870" s="23">
        <v>487.36</v>
      </c>
      <c r="AB1870" s="57">
        <f t="shared" si="64"/>
        <v>1.7041751171410588</v>
      </c>
      <c r="AC1870" s="47">
        <v>338</v>
      </c>
      <c r="AD1870" s="57">
        <v>283.41000000000003</v>
      </c>
      <c r="AE1870" s="57">
        <v>292.38</v>
      </c>
      <c r="AF1870" s="57">
        <v>498.28</v>
      </c>
      <c r="AG1870" s="57">
        <f t="shared" si="65"/>
        <v>1.7042205349203092</v>
      </c>
      <c r="AH1870" s="47">
        <v>382</v>
      </c>
      <c r="AI1870">
        <v>294.82</v>
      </c>
      <c r="AJ1870">
        <v>304.08</v>
      </c>
      <c r="AK1870">
        <v>518.22</v>
      </c>
      <c r="AL1870" s="57">
        <f t="shared" si="50"/>
        <v>1.7042225730071037</v>
      </c>
      <c r="AM1870" s="47">
        <v>292</v>
      </c>
      <c r="AN1870" s="57">
        <v>334.92</v>
      </c>
      <c r="AO1870" s="57">
        <v>345.49</v>
      </c>
      <c r="AP1870" s="57">
        <v>588.78</v>
      </c>
      <c r="AQ1870" s="57">
        <f t="shared" si="52"/>
        <v>1.7041882543633677</v>
      </c>
      <c r="AR1870" s="59">
        <v>276722</v>
      </c>
      <c r="AS1870" s="59">
        <f>SUMIFS(HIX_RatingAreas[Silver Enrollments 2018],HIX_RatingAreas[Area],HIX_SLCSP[[#This Row],[Area Code]])</f>
        <v>248071</v>
      </c>
      <c r="AT1870" s="59">
        <f>SUMIFS(HIX_RatingAreas[Silver Enrollments 2019],HIX_RatingAreas[Area],HIX_SLCSP[[#This Row],[Area Code]])</f>
        <v>217547</v>
      </c>
      <c r="AU1870" s="59">
        <f>SUMIFS(HIX_RatingAreas[Silver Enrollments 2020],HIX_RatingAreas[Area],HIX_SLCSP[[#This Row],[Area Code]])</f>
        <v>217272</v>
      </c>
      <c r="AV1870" s="59">
        <f>SUMIFS(HIX_RatingAreas[Silver Enrollments 2021],HIX_RatingAreas[Area],HIX_SLCSP[[#This Row],[Area Code]])</f>
        <v>242459</v>
      </c>
      <c r="AW1870" s="59">
        <f>SUMIFS(HIX_RatingAreas[Silver Enrollments 2022],HIX_RatingAreas[Area],HIX_SLCSP[[#This Row],[Area Code]])</f>
        <v>314404</v>
      </c>
      <c r="AX1870" s="59">
        <f>SUMIFS(HIX_RatingAreas[Silver Enrollments 2023],HIX_RatingAreas[Area],HIX_SLCSP[[#This Row],[Area Code]])</f>
        <v>357324</v>
      </c>
      <c r="AY1870" s="59">
        <f>SUMIFS(HIX_RatingAreas[Silver Enrollments 2024],HIX_RatingAreas[Area],HIX_SLCSP[[#This Row],[Area Code]])</f>
        <v>496160</v>
      </c>
      <c r="AZ1870" s="59">
        <v>369625</v>
      </c>
      <c r="BA1870">
        <f t="shared" si="54"/>
        <v>0.628792531212096</v>
      </c>
      <c r="BB1870">
        <f>SUMIFS(HIX_RatingAreas[QHP Enrollments 2018],HIX_RatingAreas[Area],HIX_SLCSP[[#This Row],[Area Code]])</f>
        <v>314506</v>
      </c>
      <c r="BC1870">
        <f t="shared" si="55"/>
        <v>0.65397963448538299</v>
      </c>
      <c r="BD1870">
        <f>SUMIFS(HIX_RatingAreas[QHP Enrollments 2019],HIX_RatingAreas[Area],HIX_SLCSP[[#This Row],[Area Code]])</f>
        <v>296123</v>
      </c>
      <c r="BE1870">
        <f t="shared" si="56"/>
        <v>0.64594044547015184</v>
      </c>
      <c r="BF1870">
        <f>SUMIFS(HIX_RatingAreas[QHP Enrollments 2020],HIX_RatingAreas[Area],HIX_SLCSP[[#This Row],[Area Code]])</f>
        <v>301053</v>
      </c>
      <c r="BG1870">
        <f t="shared" si="57"/>
        <v>0.64894699402901423</v>
      </c>
      <c r="BH1870">
        <f>SUMIFS(HIX_RatingAreas[QHP Enrollments 2021],HIX_RatingAreas[Area],HIX_SLCSP[[#This Row],[Area Code]])</f>
        <v>341667</v>
      </c>
      <c r="BI1870">
        <f t="shared" si="58"/>
        <v>0.66072019075134447</v>
      </c>
      <c r="BJ1870">
        <f>SUMIFS(HIX_RatingAreas[QHP Enrollments 2022],HIX_RatingAreas[Area],HIX_SLCSP[[#This Row],[Area Code]])</f>
        <v>455741</v>
      </c>
      <c r="BK1870">
        <f t="shared" si="59"/>
        <v>0.65000463534126807</v>
      </c>
      <c r="BL1870">
        <f>SUMIFS(HIX_RatingAreas[QHP Enrollments 2023],HIX_RatingAreas[Area],HIX_SLCSP[[#This Row],[Area Code]])</f>
        <v>532284</v>
      </c>
      <c r="BM1870">
        <f t="shared" si="66"/>
        <v>0.60549845066000518</v>
      </c>
      <c r="BN1870">
        <f>SUMIFS(HIX_RatingAreas[QHP Enrollments 2024],HIX_RatingAreas[Area],HIX_SLCSP[[#This Row],[Area Code]])</f>
        <v>746421</v>
      </c>
      <c r="BO1870">
        <f t="shared" si="60"/>
        <v>0.57192015410148078</v>
      </c>
      <c r="BP1870" s="53">
        <f>ROUND(HIX_SLCSP[[#This Row],[Weighting Factor 2018]]*HIX_SLCSP[[#This Row],[2018]],2)</f>
        <v>226.38</v>
      </c>
      <c r="BQ1870" s="53">
        <f>ROUND(HIX_SLCSP[[#This Row],[Weighting Factor 2019]]*HIX_SLCSP[[#This Row],[2019]],2)</f>
        <v>232.94</v>
      </c>
      <c r="BR1870" s="53">
        <f>ROUND(HIX_SLCSP[[#This Row],[Weighting Factor 2020]]*HIX_SLCSP[[#This Row],[2020]],2)</f>
        <v>226.13</v>
      </c>
      <c r="BS1870" s="53">
        <f>ROUND(HIX_SLCSP[[#This Row],[Weighting Factor 2021]]*HIX_SLCSP[[#This Row],[2021]],2)</f>
        <v>188.95</v>
      </c>
      <c r="BT1870" s="53">
        <f>ROUND(HIX_SLCSP[[#This Row],[Weighting Factor 2022]]*HIX_SLCSP[[#This Row],[2022]],2)</f>
        <v>190.05</v>
      </c>
      <c r="BU1870" s="53">
        <f>ROUND(HIX_SLCSP[[#This Row],[Weighting Factor 2023]]*HIX_SLCSP[[#This Row],[2023]],2)</f>
        <v>184.12</v>
      </c>
      <c r="BV1870" s="53">
        <f>ROUND(HIX_SLCSP[[#This Row],[Weighting Factor 2024]]*HIX_SLCSP[[#This Row],[2024]],2)</f>
        <v>197.59</v>
      </c>
    </row>
    <row r="1871" spans="4:74" x14ac:dyDescent="0.35">
      <c r="D1871" t="s">
        <v>780</v>
      </c>
      <c r="E1871" t="s">
        <v>255</v>
      </c>
      <c r="F1871" s="23">
        <v>4</v>
      </c>
      <c r="G1871" s="23" t="s">
        <v>781</v>
      </c>
      <c r="H1871" s="23" t="s">
        <v>849</v>
      </c>
      <c r="I1871" s="23">
        <v>8</v>
      </c>
      <c r="J1871" s="53">
        <v>546.47</v>
      </c>
      <c r="K1871" s="53">
        <v>570.79</v>
      </c>
      <c r="L1871" s="53">
        <v>972.74</v>
      </c>
      <c r="M1871" s="54">
        <f t="shared" si="61"/>
        <v>1.7041994428774156</v>
      </c>
      <c r="N1871" s="24">
        <v>8</v>
      </c>
      <c r="O1871" s="55">
        <v>596.75</v>
      </c>
      <c r="P1871" s="56">
        <v>715.35</v>
      </c>
      <c r="Q1871" s="56">
        <v>1219.1099999999999</v>
      </c>
      <c r="R1871" s="57">
        <f t="shared" si="62"/>
        <v>1.7042147200670998</v>
      </c>
      <c r="S1871" s="23">
        <v>8</v>
      </c>
      <c r="T1871" s="53">
        <v>594.20000000000005</v>
      </c>
      <c r="U1871" s="53">
        <v>680.13</v>
      </c>
      <c r="V1871" s="53">
        <v>1159.08</v>
      </c>
      <c r="W1871" s="57">
        <f t="shared" si="63"/>
        <v>1.7042036081337391</v>
      </c>
      <c r="X1871" s="47">
        <v>104</v>
      </c>
      <c r="Y1871" s="58">
        <v>345</v>
      </c>
      <c r="Z1871" s="58">
        <v>352.5</v>
      </c>
      <c r="AA1871" s="58">
        <v>600.73</v>
      </c>
      <c r="AB1871" s="57">
        <f t="shared" si="64"/>
        <v>1.7041985815602838</v>
      </c>
      <c r="AC1871" s="47">
        <v>155</v>
      </c>
      <c r="AD1871" s="57">
        <v>244.98</v>
      </c>
      <c r="AE1871" s="57">
        <v>257</v>
      </c>
      <c r="AF1871" s="57">
        <v>437.98</v>
      </c>
      <c r="AG1871" s="57">
        <f t="shared" si="65"/>
        <v>1.7042023346303503</v>
      </c>
      <c r="AH1871" s="47">
        <v>170</v>
      </c>
      <c r="AI1871">
        <v>245.79</v>
      </c>
      <c r="AJ1871">
        <v>246.41</v>
      </c>
      <c r="AK1871">
        <v>419.94</v>
      </c>
      <c r="AL1871" s="57">
        <f t="shared" si="50"/>
        <v>1.70423278276044</v>
      </c>
      <c r="AM1871" s="47">
        <v>134</v>
      </c>
      <c r="AN1871" s="57">
        <v>331.75</v>
      </c>
      <c r="AO1871" s="57">
        <v>332.12</v>
      </c>
      <c r="AP1871" s="57">
        <v>566</v>
      </c>
      <c r="AQ1871" s="57">
        <f t="shared" si="52"/>
        <v>1.7042033000120438</v>
      </c>
      <c r="AR1871" s="59">
        <v>6975</v>
      </c>
      <c r="AS1871" s="59">
        <f>SUMIFS(HIX_RatingAreas[Silver Enrollments 2018],HIX_RatingAreas[Area],HIX_SLCSP[[#This Row],[Area Code]])</f>
        <v>5160</v>
      </c>
      <c r="AT1871" s="59">
        <f>SUMIFS(HIX_RatingAreas[Silver Enrollments 2019],HIX_RatingAreas[Area],HIX_SLCSP[[#This Row],[Area Code]])</f>
        <v>5096</v>
      </c>
      <c r="AU1871" s="59">
        <f>SUMIFS(HIX_RatingAreas[Silver Enrollments 2020],HIX_RatingAreas[Area],HIX_SLCSP[[#This Row],[Area Code]])</f>
        <v>4957</v>
      </c>
      <c r="AV1871" s="59">
        <f>SUMIFS(HIX_RatingAreas[Silver Enrollments 2021],HIX_RatingAreas[Area],HIX_SLCSP[[#This Row],[Area Code]])</f>
        <v>4794</v>
      </c>
      <c r="AW1871" s="59">
        <f>SUMIFS(HIX_RatingAreas[Silver Enrollments 2022],HIX_RatingAreas[Area],HIX_SLCSP[[#This Row],[Area Code]])</f>
        <v>6180</v>
      </c>
      <c r="AX1871" s="59">
        <f>SUMIFS(HIX_RatingAreas[Silver Enrollments 2023],HIX_RatingAreas[Area],HIX_SLCSP[[#This Row],[Area Code]])</f>
        <v>19902</v>
      </c>
      <c r="AY1871" s="59">
        <f>SUMIFS(HIX_RatingAreas[Silver Enrollments 2024],HIX_RatingAreas[Area],HIX_SLCSP[[#This Row],[Area Code]])</f>
        <v>27756</v>
      </c>
      <c r="AZ1871" s="59">
        <v>9072</v>
      </c>
      <c r="BA1871">
        <f t="shared" si="54"/>
        <v>1.5432954597649332E-2</v>
      </c>
      <c r="BB1871">
        <f>SUMIFS(HIX_RatingAreas[QHP Enrollments 2018],HIX_RatingAreas[Area],HIX_SLCSP[[#This Row],[Area Code]])</f>
        <v>6252</v>
      </c>
      <c r="BC1871">
        <f t="shared" si="55"/>
        <v>1.3000326463732375E-2</v>
      </c>
      <c r="BD1871">
        <f>SUMIFS(HIX_RatingAreas[QHP Enrollments 2019],HIX_RatingAreas[Area],HIX_SLCSP[[#This Row],[Area Code]])</f>
        <v>6064</v>
      </c>
      <c r="BE1871">
        <f t="shared" si="56"/>
        <v>1.3227553622417039E-2</v>
      </c>
      <c r="BF1871">
        <f>SUMIFS(HIX_RatingAreas[QHP Enrollments 2020],HIX_RatingAreas[Area],HIX_SLCSP[[#This Row],[Area Code]])</f>
        <v>6207</v>
      </c>
      <c r="BG1871">
        <f t="shared" si="57"/>
        <v>1.3379750382617317E-2</v>
      </c>
      <c r="BH1871">
        <f>SUMIFS(HIX_RatingAreas[QHP Enrollments 2021],HIX_RatingAreas[Area],HIX_SLCSP[[#This Row],[Area Code]])</f>
        <v>6709</v>
      </c>
      <c r="BI1871">
        <f t="shared" si="58"/>
        <v>1.2973953468584236E-2</v>
      </c>
      <c r="BJ1871">
        <f>SUMIFS(HIX_RatingAreas[QHP Enrollments 2022],HIX_RatingAreas[Area],HIX_SLCSP[[#This Row],[Area Code]])</f>
        <v>8353</v>
      </c>
      <c r="BK1871">
        <f t="shared" si="59"/>
        <v>1.1913540188408794E-2</v>
      </c>
      <c r="BL1871">
        <f>SUMIFS(HIX_RatingAreas[QHP Enrollments 2023],HIX_RatingAreas[Area],HIX_SLCSP[[#This Row],[Area Code]])</f>
        <v>28225</v>
      </c>
      <c r="BM1871">
        <f t="shared" si="66"/>
        <v>3.2107284400580603E-2</v>
      </c>
      <c r="BN1871">
        <f>SUMIFS(HIX_RatingAreas[QHP Enrollments 2024],HIX_RatingAreas[Area],HIX_SLCSP[[#This Row],[Area Code]])</f>
        <v>41313</v>
      </c>
      <c r="BO1871">
        <f t="shared" si="60"/>
        <v>3.1654706025680518E-2</v>
      </c>
      <c r="BP1871" s="53">
        <f>ROUND(HIX_SLCSP[[#This Row],[Weighting Factor 2018]]*HIX_SLCSP[[#This Row],[2018]],2)</f>
        <v>7.42</v>
      </c>
      <c r="BQ1871" s="53">
        <f>ROUND(HIX_SLCSP[[#This Row],[Weighting Factor 2019]]*HIX_SLCSP[[#This Row],[2019]],2)</f>
        <v>9.4600000000000009</v>
      </c>
      <c r="BR1871" s="53">
        <f>ROUND(HIX_SLCSP[[#This Row],[Weighting Factor 2020]]*HIX_SLCSP[[#This Row],[2020]],2)</f>
        <v>9.1</v>
      </c>
      <c r="BS1871" s="53">
        <f>ROUND(HIX_SLCSP[[#This Row],[Weighting Factor 2021]]*HIX_SLCSP[[#This Row],[2021]],2)</f>
        <v>4.57</v>
      </c>
      <c r="BT1871" s="53">
        <f>ROUND(HIX_SLCSP[[#This Row],[Weighting Factor 2022]]*HIX_SLCSP[[#This Row],[2022]],2)</f>
        <v>3.06</v>
      </c>
      <c r="BU1871" s="53">
        <f>ROUND(HIX_SLCSP[[#This Row],[Weighting Factor 2023]]*HIX_SLCSP[[#This Row],[2023]],2)</f>
        <v>7.91</v>
      </c>
      <c r="BV1871" s="53">
        <f>ROUND(HIX_SLCSP[[#This Row],[Weighting Factor 2024]]*HIX_SLCSP[[#This Row],[2024]],2)</f>
        <v>10.51</v>
      </c>
    </row>
    <row r="1872" spans="4:74" x14ac:dyDescent="0.35">
      <c r="D1872" t="s">
        <v>780</v>
      </c>
      <c r="E1872" t="s">
        <v>259</v>
      </c>
      <c r="F1872" s="23">
        <v>5</v>
      </c>
      <c r="G1872" s="23" t="s">
        <v>781</v>
      </c>
      <c r="H1872" s="23" t="s">
        <v>855</v>
      </c>
      <c r="I1872" s="23">
        <v>52</v>
      </c>
      <c r="J1872" s="53">
        <v>380.83</v>
      </c>
      <c r="K1872" s="53">
        <v>396.25</v>
      </c>
      <c r="L1872" s="53">
        <v>675.29</v>
      </c>
      <c r="M1872" s="54">
        <f t="shared" si="61"/>
        <v>1.7042018927444793</v>
      </c>
      <c r="N1872" s="24">
        <v>16</v>
      </c>
      <c r="O1872" s="55">
        <v>388.3</v>
      </c>
      <c r="P1872" s="56">
        <v>401.94</v>
      </c>
      <c r="Q1872" s="56">
        <v>684.98</v>
      </c>
      <c r="R1872" s="57">
        <f t="shared" si="62"/>
        <v>1.7041847041847042</v>
      </c>
      <c r="S1872" s="23">
        <v>52</v>
      </c>
      <c r="T1872" s="53">
        <v>328.98</v>
      </c>
      <c r="U1872" s="53">
        <v>360.3</v>
      </c>
      <c r="V1872" s="53">
        <v>614.03</v>
      </c>
      <c r="W1872" s="57">
        <f t="shared" si="63"/>
        <v>1.7042187066333609</v>
      </c>
      <c r="X1872" s="47">
        <v>124</v>
      </c>
      <c r="Y1872" s="58">
        <v>282.66000000000003</v>
      </c>
      <c r="Z1872" s="58">
        <v>277.55</v>
      </c>
      <c r="AA1872" s="58">
        <v>473</v>
      </c>
      <c r="AB1872" s="57">
        <f t="shared" si="64"/>
        <v>1.7041974419023598</v>
      </c>
      <c r="AC1872" s="47">
        <v>151</v>
      </c>
      <c r="AD1872" s="57">
        <v>275.88</v>
      </c>
      <c r="AE1872" s="57">
        <v>289.42</v>
      </c>
      <c r="AF1872" s="57">
        <v>493.22</v>
      </c>
      <c r="AG1872" s="57">
        <f t="shared" si="65"/>
        <v>1.7041669545988529</v>
      </c>
      <c r="AH1872" s="47">
        <v>206</v>
      </c>
      <c r="AI1872">
        <v>298.22000000000003</v>
      </c>
      <c r="AJ1872">
        <v>312.11</v>
      </c>
      <c r="AK1872">
        <v>531.91</v>
      </c>
      <c r="AL1872" s="57">
        <f t="shared" si="50"/>
        <v>1.7042388901348882</v>
      </c>
      <c r="AM1872" s="47">
        <v>198</v>
      </c>
      <c r="AN1872" s="57">
        <v>343.37</v>
      </c>
      <c r="AO1872" s="57">
        <v>343.52</v>
      </c>
      <c r="AP1872" s="57">
        <v>585.42999999999995</v>
      </c>
      <c r="AQ1872" s="57">
        <f t="shared" si="52"/>
        <v>1.704209361900326</v>
      </c>
      <c r="AR1872" s="59">
        <v>18495</v>
      </c>
      <c r="AS1872" s="59">
        <f>SUMIFS(HIX_RatingAreas[Silver Enrollments 2018],HIX_RatingAreas[Area],HIX_SLCSP[[#This Row],[Area Code]])</f>
        <v>12890</v>
      </c>
      <c r="AT1872" s="59">
        <f>SUMIFS(HIX_RatingAreas[Silver Enrollments 2019],HIX_RatingAreas[Area],HIX_SLCSP[[#This Row],[Area Code]])</f>
        <v>11938</v>
      </c>
      <c r="AU1872" s="59">
        <f>SUMIFS(HIX_RatingAreas[Silver Enrollments 2020],HIX_RatingAreas[Area],HIX_SLCSP[[#This Row],[Area Code]])</f>
        <v>10664</v>
      </c>
      <c r="AV1872" s="59">
        <f>SUMIFS(HIX_RatingAreas[Silver Enrollments 2021],HIX_RatingAreas[Area],HIX_SLCSP[[#This Row],[Area Code]])</f>
        <v>9926</v>
      </c>
      <c r="AW1872" s="59">
        <f>SUMIFS(HIX_RatingAreas[Silver Enrollments 2022],HIX_RatingAreas[Area],HIX_SLCSP[[#This Row],[Area Code]])</f>
        <v>14291</v>
      </c>
      <c r="AX1872" s="59">
        <f>SUMIFS(HIX_RatingAreas[Silver Enrollments 2023],HIX_RatingAreas[Area],HIX_SLCSP[[#This Row],[Area Code]])</f>
        <v>19298</v>
      </c>
      <c r="AY1872" s="59">
        <f>SUMIFS(HIX_RatingAreas[Silver Enrollments 2024],HIX_RatingAreas[Area],HIX_SLCSP[[#This Row],[Area Code]])</f>
        <v>36293</v>
      </c>
      <c r="AZ1872" s="59">
        <v>23119</v>
      </c>
      <c r="BA1872">
        <f t="shared" si="54"/>
        <v>3.9329197237991061E-2</v>
      </c>
      <c r="BB1872">
        <f>SUMIFS(HIX_RatingAreas[QHP Enrollments 2018],HIX_RatingAreas[Area],HIX_SLCSP[[#This Row],[Area Code]])</f>
        <v>15677</v>
      </c>
      <c r="BC1872">
        <f t="shared" si="55"/>
        <v>3.2598547340360273E-2</v>
      </c>
      <c r="BD1872">
        <f>SUMIFS(HIX_RatingAreas[QHP Enrollments 2019],HIX_RatingAreas[Area],HIX_SLCSP[[#This Row],[Area Code]])</f>
        <v>14825</v>
      </c>
      <c r="BE1872">
        <f t="shared" si="56"/>
        <v>3.2338140246097068E-2</v>
      </c>
      <c r="BF1872">
        <f>SUMIFS(HIX_RatingAreas[QHP Enrollments 2020],HIX_RatingAreas[Area],HIX_SLCSP[[#This Row],[Area Code]])</f>
        <v>15128</v>
      </c>
      <c r="BG1872">
        <f t="shared" si="57"/>
        <v>3.2609773447435923E-2</v>
      </c>
      <c r="BH1872">
        <f>SUMIFS(HIX_RatingAreas[QHP Enrollments 2021],HIX_RatingAreas[Area],HIX_SLCSP[[#This Row],[Area Code]])</f>
        <v>14795</v>
      </c>
      <c r="BI1872">
        <f t="shared" si="58"/>
        <v>2.8610767859249334E-2</v>
      </c>
      <c r="BJ1872">
        <f>SUMIFS(HIX_RatingAreas[QHP Enrollments 2022],HIX_RatingAreas[Area],HIX_SLCSP[[#This Row],[Area Code]])</f>
        <v>20719</v>
      </c>
      <c r="BK1872">
        <f t="shared" si="59"/>
        <v>2.9550657148765931E-2</v>
      </c>
      <c r="BL1872">
        <f>SUMIFS(HIX_RatingAreas[QHP Enrollments 2023],HIX_RatingAreas[Area],HIX_SLCSP[[#This Row],[Area Code]])</f>
        <v>28964</v>
      </c>
      <c r="BM1872">
        <f t="shared" si="66"/>
        <v>3.2947932165754354E-2</v>
      </c>
      <c r="BN1872">
        <f>SUMIFS(HIX_RatingAreas[QHP Enrollments 2024],HIX_RatingAreas[Area],HIX_SLCSP[[#This Row],[Area Code]])</f>
        <v>49739</v>
      </c>
      <c r="BO1872">
        <f t="shared" si="60"/>
        <v>3.8110847021792731E-2</v>
      </c>
      <c r="BP1872" s="53">
        <f>ROUND(HIX_SLCSP[[#This Row],[Weighting Factor 2018]]*HIX_SLCSP[[#This Row],[2018]],2)</f>
        <v>12.92</v>
      </c>
      <c r="BQ1872" s="53">
        <f>ROUND(HIX_SLCSP[[#This Row],[Weighting Factor 2019]]*HIX_SLCSP[[#This Row],[2019]],2)</f>
        <v>13</v>
      </c>
      <c r="BR1872" s="53">
        <f>ROUND(HIX_SLCSP[[#This Row],[Weighting Factor 2020]]*HIX_SLCSP[[#This Row],[2020]],2)</f>
        <v>11.75</v>
      </c>
      <c r="BS1872" s="53">
        <f>ROUND(HIX_SLCSP[[#This Row],[Weighting Factor 2021]]*HIX_SLCSP[[#This Row],[2021]],2)</f>
        <v>7.94</v>
      </c>
      <c r="BT1872" s="53">
        <f>ROUND(HIX_SLCSP[[#This Row],[Weighting Factor 2022]]*HIX_SLCSP[[#This Row],[2022]],2)</f>
        <v>8.5500000000000007</v>
      </c>
      <c r="BU1872" s="53">
        <f>ROUND(HIX_SLCSP[[#This Row],[Weighting Factor 2023]]*HIX_SLCSP[[#This Row],[2023]],2)</f>
        <v>10.28</v>
      </c>
      <c r="BV1872" s="53">
        <f>ROUND(HIX_SLCSP[[#This Row],[Weighting Factor 2024]]*HIX_SLCSP[[#This Row],[2024]],2)</f>
        <v>13.09</v>
      </c>
    </row>
    <row r="1873" spans="4:74" x14ac:dyDescent="0.35">
      <c r="D1873" t="s">
        <v>780</v>
      </c>
      <c r="E1873" t="s">
        <v>265</v>
      </c>
      <c r="F1873" s="23">
        <v>6</v>
      </c>
      <c r="G1873" s="23" t="s">
        <v>781</v>
      </c>
      <c r="H1873" s="23" t="s">
        <v>877</v>
      </c>
      <c r="I1873" s="23">
        <v>32</v>
      </c>
      <c r="J1873" s="53">
        <v>524.01</v>
      </c>
      <c r="K1873" s="53">
        <v>547.33000000000004</v>
      </c>
      <c r="L1873" s="53">
        <v>932.76</v>
      </c>
      <c r="M1873" s="54">
        <f t="shared" si="61"/>
        <v>1.7042003909889827</v>
      </c>
      <c r="N1873" s="24">
        <v>52</v>
      </c>
      <c r="O1873" s="55">
        <v>288.85000000000002</v>
      </c>
      <c r="P1873" s="56">
        <v>303.73</v>
      </c>
      <c r="Q1873" s="56">
        <v>517.62</v>
      </c>
      <c r="R1873" s="57">
        <f t="shared" si="62"/>
        <v>1.7042109768544429</v>
      </c>
      <c r="S1873" s="23">
        <v>32</v>
      </c>
      <c r="T1873" s="53">
        <v>310.23</v>
      </c>
      <c r="U1873" s="53">
        <v>339.76</v>
      </c>
      <c r="V1873" s="53">
        <v>579.03</v>
      </c>
      <c r="W1873" s="57">
        <f t="shared" si="63"/>
        <v>1.7042323993407111</v>
      </c>
      <c r="X1873" s="47">
        <v>120</v>
      </c>
      <c r="Y1873" s="58">
        <v>287.14</v>
      </c>
      <c r="Z1873" s="58">
        <v>293.39</v>
      </c>
      <c r="AA1873" s="58">
        <v>499.99</v>
      </c>
      <c r="AB1873" s="57">
        <f t="shared" si="64"/>
        <v>1.7041821466307647</v>
      </c>
      <c r="AC1873" s="47">
        <v>117</v>
      </c>
      <c r="AD1873" s="57">
        <v>211.97</v>
      </c>
      <c r="AE1873" s="57">
        <v>222.37</v>
      </c>
      <c r="AF1873" s="57">
        <v>378.96</v>
      </c>
      <c r="AG1873" s="57">
        <f t="shared" si="65"/>
        <v>1.7041867158339703</v>
      </c>
      <c r="AH1873" s="47">
        <v>112</v>
      </c>
      <c r="AI1873">
        <v>265.16000000000003</v>
      </c>
      <c r="AJ1873">
        <v>265.83</v>
      </c>
      <c r="AK1873">
        <v>453.03</v>
      </c>
      <c r="AL1873" s="57">
        <f t="shared" si="50"/>
        <v>1.7042094571718767</v>
      </c>
      <c r="AM1873" s="47">
        <v>114</v>
      </c>
      <c r="AN1873" s="57">
        <v>306</v>
      </c>
      <c r="AO1873" s="57">
        <v>307.42</v>
      </c>
      <c r="AP1873" s="57">
        <v>523.91</v>
      </c>
      <c r="AQ1873" s="57">
        <f t="shared" si="52"/>
        <v>1.7042157309218657</v>
      </c>
      <c r="AR1873" s="59">
        <v>10525</v>
      </c>
      <c r="AS1873" s="59">
        <f>SUMIFS(HIX_RatingAreas[Silver Enrollments 2018],HIX_RatingAreas[Area],HIX_SLCSP[[#This Row],[Area Code]])</f>
        <v>6958</v>
      </c>
      <c r="AT1873" s="59">
        <f>SUMIFS(HIX_RatingAreas[Silver Enrollments 2019],HIX_RatingAreas[Area],HIX_SLCSP[[#This Row],[Area Code]])</f>
        <v>6795</v>
      </c>
      <c r="AU1873" s="59">
        <f>SUMIFS(HIX_RatingAreas[Silver Enrollments 2020],HIX_RatingAreas[Area],HIX_SLCSP[[#This Row],[Area Code]])</f>
        <v>6761</v>
      </c>
      <c r="AV1873" s="59">
        <f>SUMIFS(HIX_RatingAreas[Silver Enrollments 2021],HIX_RatingAreas[Area],HIX_SLCSP[[#This Row],[Area Code]])</f>
        <v>5619</v>
      </c>
      <c r="AW1873" s="59">
        <f>SUMIFS(HIX_RatingAreas[Silver Enrollments 2022],HIX_RatingAreas[Area],HIX_SLCSP[[#This Row],[Area Code]])</f>
        <v>7730</v>
      </c>
      <c r="AX1873" s="59">
        <f>SUMIFS(HIX_RatingAreas[Silver Enrollments 2023],HIX_RatingAreas[Area],HIX_SLCSP[[#This Row],[Area Code]])</f>
        <v>10726</v>
      </c>
      <c r="AY1873" s="59">
        <f>SUMIFS(HIX_RatingAreas[Silver Enrollments 2024],HIX_RatingAreas[Area],HIX_SLCSP[[#This Row],[Area Code]])</f>
        <v>15843</v>
      </c>
      <c r="AZ1873" s="59">
        <v>13442</v>
      </c>
      <c r="BA1873">
        <f t="shared" si="54"/>
        <v>2.2867038767813309E-2</v>
      </c>
      <c r="BB1873">
        <f>SUMIFS(HIX_RatingAreas[QHP Enrollments 2018],HIX_RatingAreas[Area],HIX_SLCSP[[#This Row],[Area Code]])</f>
        <v>8781</v>
      </c>
      <c r="BC1873">
        <f t="shared" si="55"/>
        <v>1.8259095757842927E-2</v>
      </c>
      <c r="BD1873">
        <f>SUMIFS(HIX_RatingAreas[QHP Enrollments 2019],HIX_RatingAreas[Area],HIX_SLCSP[[#This Row],[Area Code]])</f>
        <v>8648</v>
      </c>
      <c r="BE1873">
        <f t="shared" si="56"/>
        <v>1.8864096920623772E-2</v>
      </c>
      <c r="BF1873">
        <f>SUMIFS(HIX_RatingAreas[QHP Enrollments 2020],HIX_RatingAreas[Area],HIX_SLCSP[[#This Row],[Area Code]])</f>
        <v>8940</v>
      </c>
      <c r="BG1873">
        <f t="shared" si="57"/>
        <v>1.9270979284775065E-2</v>
      </c>
      <c r="BH1873">
        <f>SUMIFS(HIX_RatingAreas[QHP Enrollments 2021],HIX_RatingAreas[Area],HIX_SLCSP[[#This Row],[Area Code]])</f>
        <v>9608</v>
      </c>
      <c r="BI1873">
        <f t="shared" si="58"/>
        <v>1.8580078242086351E-2</v>
      </c>
      <c r="BJ1873">
        <f>SUMIFS(HIX_RatingAreas[QHP Enrollments 2022],HIX_RatingAreas[Area],HIX_SLCSP[[#This Row],[Area Code]])</f>
        <v>13243</v>
      </c>
      <c r="BK1873">
        <f t="shared" si="59"/>
        <v>1.8887945973314696E-2</v>
      </c>
      <c r="BL1873">
        <f>SUMIFS(HIX_RatingAreas[QHP Enrollments 2023],HIX_RatingAreas[Area],HIX_SLCSP[[#This Row],[Area Code]])</f>
        <v>19239</v>
      </c>
      <c r="BM1873">
        <f t="shared" si="66"/>
        <v>2.1885280587520647E-2</v>
      </c>
      <c r="BN1873">
        <f>SUMIFS(HIX_RatingAreas[QHP Enrollments 2024],HIX_RatingAreas[Area],HIX_SLCSP[[#This Row],[Area Code]])</f>
        <v>30447</v>
      </c>
      <c r="BO1873">
        <f t="shared" si="60"/>
        <v>2.3328996547428042E-2</v>
      </c>
      <c r="BP1873" s="53">
        <f>ROUND(HIX_SLCSP[[#This Row],[Weighting Factor 2018]]*HIX_SLCSP[[#This Row],[2018]],2)</f>
        <v>9.99</v>
      </c>
      <c r="BQ1873" s="53">
        <f>ROUND(HIX_SLCSP[[#This Row],[Weighting Factor 2019]]*HIX_SLCSP[[#This Row],[2019]],2)</f>
        <v>5.73</v>
      </c>
      <c r="BR1873" s="53">
        <f>ROUND(HIX_SLCSP[[#This Row],[Weighting Factor 2020]]*HIX_SLCSP[[#This Row],[2020]],2)</f>
        <v>6.55</v>
      </c>
      <c r="BS1873" s="53">
        <f>ROUND(HIX_SLCSP[[#This Row],[Weighting Factor 2021]]*HIX_SLCSP[[#This Row],[2021]],2)</f>
        <v>5.45</v>
      </c>
      <c r="BT1873" s="53">
        <f>ROUND(HIX_SLCSP[[#This Row],[Weighting Factor 2022]]*HIX_SLCSP[[#This Row],[2022]],2)</f>
        <v>4.2</v>
      </c>
      <c r="BU1873" s="53">
        <f>ROUND(HIX_SLCSP[[#This Row],[Weighting Factor 2023]]*HIX_SLCSP[[#This Row],[2023]],2)</f>
        <v>5.82</v>
      </c>
      <c r="BV1873" s="53">
        <f>ROUND(HIX_SLCSP[[#This Row],[Weighting Factor 2024]]*HIX_SLCSP[[#This Row],[2024]],2)</f>
        <v>7.17</v>
      </c>
    </row>
    <row r="1874" spans="4:74" x14ac:dyDescent="0.35">
      <c r="D1874" t="s">
        <v>780</v>
      </c>
      <c r="E1874" t="s">
        <v>273</v>
      </c>
      <c r="F1874" s="23">
        <v>7</v>
      </c>
      <c r="G1874" s="23" t="s">
        <v>781</v>
      </c>
      <c r="H1874" s="23" t="s">
        <v>896</v>
      </c>
      <c r="I1874" s="23">
        <v>12</v>
      </c>
      <c r="J1874" s="53">
        <v>414.68</v>
      </c>
      <c r="K1874" s="53">
        <v>517.14</v>
      </c>
      <c r="L1874" s="53">
        <v>881.3</v>
      </c>
      <c r="M1874" s="54">
        <f t="shared" si="61"/>
        <v>1.7041806860811386</v>
      </c>
      <c r="N1874" s="24">
        <v>44</v>
      </c>
      <c r="O1874" s="55">
        <v>341.53</v>
      </c>
      <c r="P1874" s="56">
        <v>359.13</v>
      </c>
      <c r="Q1874" s="56">
        <v>612.02</v>
      </c>
      <c r="R1874" s="57">
        <f t="shared" si="62"/>
        <v>1.7041739759975496</v>
      </c>
      <c r="S1874" s="23">
        <v>12</v>
      </c>
      <c r="T1874" s="53">
        <v>346.98</v>
      </c>
      <c r="U1874" s="53">
        <v>380.02</v>
      </c>
      <c r="V1874" s="53">
        <v>647.62</v>
      </c>
      <c r="W1874" s="57">
        <f t="shared" si="63"/>
        <v>1.7041734645544973</v>
      </c>
      <c r="X1874" s="47">
        <v>104</v>
      </c>
      <c r="Y1874" s="58">
        <v>305.42</v>
      </c>
      <c r="Z1874" s="58">
        <v>312.06</v>
      </c>
      <c r="AA1874" s="58">
        <v>531.80999999999995</v>
      </c>
      <c r="AB1874" s="57">
        <f t="shared" si="64"/>
        <v>1.704191501634301</v>
      </c>
      <c r="AC1874" s="47">
        <v>155</v>
      </c>
      <c r="AD1874" s="57">
        <v>262.01</v>
      </c>
      <c r="AE1874" s="57">
        <v>274.87</v>
      </c>
      <c r="AF1874" s="57">
        <v>468.44</v>
      </c>
      <c r="AG1874" s="57">
        <f t="shared" si="65"/>
        <v>1.7042238148943136</v>
      </c>
      <c r="AH1874" s="47">
        <v>138</v>
      </c>
      <c r="AI1874">
        <v>293.43</v>
      </c>
      <c r="AJ1874">
        <v>294.18</v>
      </c>
      <c r="AK1874">
        <v>501.33</v>
      </c>
      <c r="AL1874" s="57">
        <f t="shared" si="50"/>
        <v>1.7041607179277991</v>
      </c>
      <c r="AM1874" s="47">
        <v>114</v>
      </c>
      <c r="AN1874" s="57">
        <v>331.22</v>
      </c>
      <c r="AO1874" s="57">
        <v>331.36</v>
      </c>
      <c r="AP1874" s="57">
        <v>564.71</v>
      </c>
      <c r="AQ1874" s="57">
        <f t="shared" si="52"/>
        <v>1.7042189763399325</v>
      </c>
      <c r="AR1874" s="59">
        <v>4784</v>
      </c>
      <c r="AS1874" s="59">
        <f>SUMIFS(HIX_RatingAreas[Silver Enrollments 2018],HIX_RatingAreas[Area],HIX_SLCSP[[#This Row],[Area Code]])</f>
        <v>3129</v>
      </c>
      <c r="AT1874" s="59">
        <f>SUMIFS(HIX_RatingAreas[Silver Enrollments 2019],HIX_RatingAreas[Area],HIX_SLCSP[[#This Row],[Area Code]])</f>
        <v>3635</v>
      </c>
      <c r="AU1874" s="59">
        <f>SUMIFS(HIX_RatingAreas[Silver Enrollments 2020],HIX_RatingAreas[Area],HIX_SLCSP[[#This Row],[Area Code]])</f>
        <v>3165</v>
      </c>
      <c r="AV1874" s="59">
        <f>SUMIFS(HIX_RatingAreas[Silver Enrollments 2021],HIX_RatingAreas[Area],HIX_SLCSP[[#This Row],[Area Code]])</f>
        <v>3003</v>
      </c>
      <c r="AW1874" s="59">
        <f>SUMIFS(HIX_RatingAreas[Silver Enrollments 2022],HIX_RatingAreas[Area],HIX_SLCSP[[#This Row],[Area Code]])</f>
        <v>3730</v>
      </c>
      <c r="AX1874" s="59">
        <f>SUMIFS(HIX_RatingAreas[Silver Enrollments 2023],HIX_RatingAreas[Area],HIX_SLCSP[[#This Row],[Area Code]])</f>
        <v>5220</v>
      </c>
      <c r="AY1874" s="59">
        <f>SUMIFS(HIX_RatingAreas[Silver Enrollments 2024],HIX_RatingAreas[Area],HIX_SLCSP[[#This Row],[Area Code]])</f>
        <v>8586</v>
      </c>
      <c r="AZ1874" s="59">
        <v>5998</v>
      </c>
      <c r="BA1874">
        <f t="shared" si="54"/>
        <v>1.0203578227149547E-2</v>
      </c>
      <c r="BB1874">
        <f>SUMIFS(HIX_RatingAreas[QHP Enrollments 2018],HIX_RatingAreas[Area],HIX_SLCSP[[#This Row],[Area Code]])</f>
        <v>4956</v>
      </c>
      <c r="BC1874">
        <f t="shared" si="55"/>
        <v>1.0305441131519138E-2</v>
      </c>
      <c r="BD1874">
        <f>SUMIFS(HIX_RatingAreas[QHP Enrollments 2019],HIX_RatingAreas[Area],HIX_SLCSP[[#This Row],[Area Code]])</f>
        <v>4827</v>
      </c>
      <c r="BE1874">
        <f t="shared" si="56"/>
        <v>1.0529254837633088E-2</v>
      </c>
      <c r="BF1874">
        <f>SUMIFS(HIX_RatingAreas[QHP Enrollments 2020],HIX_RatingAreas[Area],HIX_SLCSP[[#This Row],[Area Code]])</f>
        <v>4115</v>
      </c>
      <c r="BG1874">
        <f t="shared" si="57"/>
        <v>8.870255006358992E-3</v>
      </c>
      <c r="BH1874">
        <f>SUMIFS(HIX_RatingAreas[QHP Enrollments 2021],HIX_RatingAreas[Area],HIX_SLCSP[[#This Row],[Area Code]])</f>
        <v>4678</v>
      </c>
      <c r="BI1874">
        <f t="shared" si="58"/>
        <v>9.0463786445129021E-3</v>
      </c>
      <c r="BJ1874">
        <f>SUMIFS(HIX_RatingAreas[QHP Enrollments 2022],HIX_RatingAreas[Area],HIX_SLCSP[[#This Row],[Area Code]])</f>
        <v>5942</v>
      </c>
      <c r="BK1874">
        <f t="shared" si="59"/>
        <v>8.4748300969142883E-3</v>
      </c>
      <c r="BL1874">
        <f>SUMIFS(HIX_RatingAreas[QHP Enrollments 2023],HIX_RatingAreas[Area],HIX_SLCSP[[#This Row],[Area Code]])</f>
        <v>7916</v>
      </c>
      <c r="BM1874">
        <f t="shared" si="66"/>
        <v>9.0048277525242183E-3</v>
      </c>
      <c r="BN1874">
        <f>SUMIFS(HIX_RatingAreas[QHP Enrollments 2024],HIX_RatingAreas[Area],HIX_SLCSP[[#This Row],[Area Code]])</f>
        <v>12185</v>
      </c>
      <c r="BO1874">
        <f t="shared" si="60"/>
        <v>9.3363491618356706E-3</v>
      </c>
      <c r="BP1874" s="53">
        <f>ROUND(HIX_SLCSP[[#This Row],[Weighting Factor 2018]]*HIX_SLCSP[[#This Row],[2018]],2)</f>
        <v>5.33</v>
      </c>
      <c r="BQ1874" s="53">
        <f>ROUND(HIX_SLCSP[[#This Row],[Weighting Factor 2019]]*HIX_SLCSP[[#This Row],[2019]],2)</f>
        <v>3.78</v>
      </c>
      <c r="BR1874" s="53">
        <f>ROUND(HIX_SLCSP[[#This Row],[Weighting Factor 2020]]*HIX_SLCSP[[#This Row],[2020]],2)</f>
        <v>3.37</v>
      </c>
      <c r="BS1874" s="53">
        <f>ROUND(HIX_SLCSP[[#This Row],[Weighting Factor 2021]]*HIX_SLCSP[[#This Row],[2021]],2)</f>
        <v>2.82</v>
      </c>
      <c r="BT1874" s="53">
        <f>ROUND(HIX_SLCSP[[#This Row],[Weighting Factor 2022]]*HIX_SLCSP[[#This Row],[2022]],2)</f>
        <v>2.33</v>
      </c>
      <c r="BU1874" s="53">
        <f>ROUND(HIX_SLCSP[[#This Row],[Weighting Factor 2023]]*HIX_SLCSP[[#This Row],[2023]],2)</f>
        <v>2.65</v>
      </c>
      <c r="BV1874" s="53">
        <f>ROUND(HIX_SLCSP[[#This Row],[Weighting Factor 2024]]*HIX_SLCSP[[#This Row],[2024]],2)</f>
        <v>3.09</v>
      </c>
    </row>
    <row r="1875" spans="4:74" x14ac:dyDescent="0.35">
      <c r="D1875" t="s">
        <v>780</v>
      </c>
      <c r="E1875" t="s">
        <v>279</v>
      </c>
      <c r="F1875" s="23">
        <v>8</v>
      </c>
      <c r="G1875" s="23" t="s">
        <v>781</v>
      </c>
      <c r="H1875" s="23" t="s">
        <v>902</v>
      </c>
      <c r="I1875" s="23">
        <v>37</v>
      </c>
      <c r="J1875" s="53">
        <v>334.56</v>
      </c>
      <c r="K1875" s="53">
        <v>350.26</v>
      </c>
      <c r="L1875" s="53">
        <v>596.91</v>
      </c>
      <c r="M1875" s="54">
        <f t="shared" si="61"/>
        <v>1.7041911722720264</v>
      </c>
      <c r="N1875" s="24">
        <v>52</v>
      </c>
      <c r="O1875" s="55">
        <v>318.2</v>
      </c>
      <c r="P1875" s="56">
        <v>334.59</v>
      </c>
      <c r="Q1875" s="56">
        <v>570.21</v>
      </c>
      <c r="R1875" s="57">
        <f t="shared" si="62"/>
        <v>1.7042051465973282</v>
      </c>
      <c r="S1875" s="23">
        <v>37</v>
      </c>
      <c r="T1875" s="53">
        <v>327.68</v>
      </c>
      <c r="U1875" s="53">
        <v>334.55</v>
      </c>
      <c r="V1875" s="53">
        <v>570.13</v>
      </c>
      <c r="W1875" s="57">
        <f t="shared" si="63"/>
        <v>1.704169780301898</v>
      </c>
      <c r="X1875" s="47">
        <v>163</v>
      </c>
      <c r="Y1875" s="58">
        <v>297.43</v>
      </c>
      <c r="Z1875" s="58">
        <v>303.89</v>
      </c>
      <c r="AA1875" s="58">
        <v>517.9</v>
      </c>
      <c r="AB1875" s="57">
        <f t="shared" si="64"/>
        <v>1.7042350850636743</v>
      </c>
      <c r="AC1875" s="47">
        <v>222</v>
      </c>
      <c r="AD1875" s="57">
        <v>266.64999999999998</v>
      </c>
      <c r="AE1875" s="57">
        <v>279.73</v>
      </c>
      <c r="AF1875" s="57">
        <v>476.72</v>
      </c>
      <c r="AG1875" s="57">
        <f t="shared" si="65"/>
        <v>1.7042147785364459</v>
      </c>
      <c r="AH1875" s="47">
        <v>264</v>
      </c>
      <c r="AI1875">
        <v>284.68</v>
      </c>
      <c r="AJ1875">
        <v>291.39999999999998</v>
      </c>
      <c r="AK1875">
        <v>496.6</v>
      </c>
      <c r="AL1875" s="57">
        <f t="shared" si="50"/>
        <v>1.7041866849691147</v>
      </c>
      <c r="AM1875" s="47">
        <v>166</v>
      </c>
      <c r="AN1875" s="57">
        <v>345.68</v>
      </c>
      <c r="AO1875" s="57">
        <v>345.83</v>
      </c>
      <c r="AP1875" s="57">
        <v>589.37</v>
      </c>
      <c r="AQ1875" s="57">
        <f t="shared" si="52"/>
        <v>1.704218835844201</v>
      </c>
      <c r="AR1875" s="59">
        <v>11842</v>
      </c>
      <c r="AS1875" s="59">
        <f>SUMIFS(HIX_RatingAreas[Silver Enrollments 2018],HIX_RatingAreas[Area],HIX_SLCSP[[#This Row],[Area Code]])</f>
        <v>9111</v>
      </c>
      <c r="AT1875" s="59">
        <f>SUMIFS(HIX_RatingAreas[Silver Enrollments 2019],HIX_RatingAreas[Area],HIX_SLCSP[[#This Row],[Area Code]])</f>
        <v>9200</v>
      </c>
      <c r="AU1875" s="59">
        <f>SUMIFS(HIX_RatingAreas[Silver Enrollments 2020],HIX_RatingAreas[Area],HIX_SLCSP[[#This Row],[Area Code]])</f>
        <v>9389</v>
      </c>
      <c r="AV1875" s="59">
        <f>SUMIFS(HIX_RatingAreas[Silver Enrollments 2021],HIX_RatingAreas[Area],HIX_SLCSP[[#This Row],[Area Code]])</f>
        <v>8589</v>
      </c>
      <c r="AW1875" s="59">
        <f>SUMIFS(HIX_RatingAreas[Silver Enrollments 2022],HIX_RatingAreas[Area],HIX_SLCSP[[#This Row],[Area Code]])</f>
        <v>12551</v>
      </c>
      <c r="AX1875" s="59">
        <f>SUMIFS(HIX_RatingAreas[Silver Enrollments 2023],HIX_RatingAreas[Area],HIX_SLCSP[[#This Row],[Area Code]])</f>
        <v>16925</v>
      </c>
      <c r="AY1875" s="59">
        <f>SUMIFS(HIX_RatingAreas[Silver Enrollments 2024],HIX_RatingAreas[Area],HIX_SLCSP[[#This Row],[Area Code]])</f>
        <v>34347</v>
      </c>
      <c r="AZ1875" s="59">
        <v>14914</v>
      </c>
      <c r="BA1875">
        <f t="shared" si="54"/>
        <v>2.5371151330394855E-2</v>
      </c>
      <c r="BB1875">
        <f>SUMIFS(HIX_RatingAreas[QHP Enrollments 2018],HIX_RatingAreas[Area],HIX_SLCSP[[#This Row],[Area Code]])</f>
        <v>11532</v>
      </c>
      <c r="BC1875">
        <f t="shared" si="55"/>
        <v>2.3979488928304822E-2</v>
      </c>
      <c r="BD1875">
        <f>SUMIFS(HIX_RatingAreas[QHP Enrollments 2019],HIX_RatingAreas[Area],HIX_SLCSP[[#This Row],[Area Code]])</f>
        <v>11181</v>
      </c>
      <c r="BE1875">
        <f t="shared" si="56"/>
        <v>2.4389392653734319E-2</v>
      </c>
      <c r="BF1875">
        <f>SUMIFS(HIX_RatingAreas[QHP Enrollments 2020],HIX_RatingAreas[Area],HIX_SLCSP[[#This Row],[Area Code]])</f>
        <v>11649</v>
      </c>
      <c r="BG1875">
        <f t="shared" si="57"/>
        <v>2.5110474014356232E-2</v>
      </c>
      <c r="BH1875">
        <f>SUMIFS(HIX_RatingAreas[QHP Enrollments 2021],HIX_RatingAreas[Area],HIX_SLCSP[[#This Row],[Area Code]])</f>
        <v>12864</v>
      </c>
      <c r="BI1875">
        <f t="shared" si="58"/>
        <v>2.4876574365757582E-2</v>
      </c>
      <c r="BJ1875">
        <f>SUMIFS(HIX_RatingAreas[QHP Enrollments 2022],HIX_RatingAreas[Area],HIX_SLCSP[[#This Row],[Area Code]])</f>
        <v>18015</v>
      </c>
      <c r="BK1875">
        <f t="shared" si="59"/>
        <v>2.5694053213717757E-2</v>
      </c>
      <c r="BL1875">
        <f>SUMIFS(HIX_RatingAreas[QHP Enrollments 2023],HIX_RatingAreas[Area],HIX_SLCSP[[#This Row],[Area Code]])</f>
        <v>25251</v>
      </c>
      <c r="BM1875">
        <f t="shared" si="66"/>
        <v>2.8724217480923325E-2</v>
      </c>
      <c r="BN1875">
        <f>SUMIFS(HIX_RatingAreas[QHP Enrollments 2024],HIX_RatingAreas[Area],HIX_SLCSP[[#This Row],[Area Code]])</f>
        <v>45618</v>
      </c>
      <c r="BO1875">
        <f t="shared" si="60"/>
        <v>3.4953268450112401E-2</v>
      </c>
      <c r="BP1875" s="53">
        <f>ROUND(HIX_SLCSP[[#This Row],[Weighting Factor 2018]]*HIX_SLCSP[[#This Row],[2018]],2)</f>
        <v>8.4</v>
      </c>
      <c r="BQ1875" s="53">
        <f>ROUND(HIX_SLCSP[[#This Row],[Weighting Factor 2019]]*HIX_SLCSP[[#This Row],[2019]],2)</f>
        <v>8.16</v>
      </c>
      <c r="BR1875" s="53">
        <f>ROUND(HIX_SLCSP[[#This Row],[Weighting Factor 2020]]*HIX_SLCSP[[#This Row],[2020]],2)</f>
        <v>8.4</v>
      </c>
      <c r="BS1875" s="53">
        <f>ROUND(HIX_SLCSP[[#This Row],[Weighting Factor 2021]]*HIX_SLCSP[[#This Row],[2021]],2)</f>
        <v>7.56</v>
      </c>
      <c r="BT1875" s="53">
        <f>ROUND(HIX_SLCSP[[#This Row],[Weighting Factor 2022]]*HIX_SLCSP[[#This Row],[2022]],2)</f>
        <v>7.19</v>
      </c>
      <c r="BU1875" s="53">
        <f>ROUND(HIX_SLCSP[[#This Row],[Weighting Factor 2023]]*HIX_SLCSP[[#This Row],[2023]],2)</f>
        <v>8.3699999999999992</v>
      </c>
      <c r="BV1875" s="53">
        <f>ROUND(HIX_SLCSP[[#This Row],[Weighting Factor 2024]]*HIX_SLCSP[[#This Row],[2024]],2)</f>
        <v>12.09</v>
      </c>
    </row>
    <row r="1876" spans="4:74" x14ac:dyDescent="0.35">
      <c r="D1876" t="s">
        <v>780</v>
      </c>
      <c r="E1876" t="s">
        <v>283</v>
      </c>
      <c r="F1876" s="23">
        <v>9</v>
      </c>
      <c r="G1876" s="23" t="s">
        <v>781</v>
      </c>
      <c r="H1876" s="23" t="s">
        <v>926</v>
      </c>
      <c r="I1876" s="23">
        <v>59</v>
      </c>
      <c r="J1876" s="53">
        <v>407.91</v>
      </c>
      <c r="K1876" s="53">
        <v>508.71</v>
      </c>
      <c r="L1876" s="53">
        <v>866.93</v>
      </c>
      <c r="M1876" s="54">
        <f t="shared" si="61"/>
        <v>1.7041733010949263</v>
      </c>
      <c r="N1876" s="24">
        <v>95</v>
      </c>
      <c r="O1876" s="55">
        <v>325.27</v>
      </c>
      <c r="P1876" s="56">
        <v>334.32</v>
      </c>
      <c r="Q1876" s="56">
        <v>569.75</v>
      </c>
      <c r="R1876" s="57">
        <f t="shared" si="62"/>
        <v>1.7042055515673606</v>
      </c>
      <c r="S1876" s="23">
        <v>59</v>
      </c>
      <c r="T1876" s="53">
        <v>302.93</v>
      </c>
      <c r="U1876" s="53">
        <v>336.92</v>
      </c>
      <c r="V1876" s="53">
        <v>574.17999999999995</v>
      </c>
      <c r="W1876" s="57">
        <f t="shared" si="63"/>
        <v>1.7042027781075624</v>
      </c>
      <c r="X1876" s="47">
        <v>104</v>
      </c>
      <c r="Y1876" s="58">
        <v>301.27999999999997</v>
      </c>
      <c r="Z1876" s="58">
        <v>307.83</v>
      </c>
      <c r="AA1876" s="58">
        <v>524.6</v>
      </c>
      <c r="AB1876" s="57">
        <f t="shared" si="64"/>
        <v>1.7041873761491735</v>
      </c>
      <c r="AC1876" s="47">
        <v>154</v>
      </c>
      <c r="AD1876" s="57">
        <v>254.8</v>
      </c>
      <c r="AE1876" s="57">
        <v>267.3</v>
      </c>
      <c r="AF1876" s="57">
        <v>455.54</v>
      </c>
      <c r="AG1876" s="57">
        <f t="shared" si="65"/>
        <v>1.7042274597830154</v>
      </c>
      <c r="AH1876" s="47">
        <v>138</v>
      </c>
      <c r="AI1876">
        <v>290.36</v>
      </c>
      <c r="AJ1876">
        <v>291.10000000000002</v>
      </c>
      <c r="AK1876">
        <v>496.1</v>
      </c>
      <c r="AL1876" s="57">
        <f t="shared" si="50"/>
        <v>1.704225352112676</v>
      </c>
      <c r="AM1876" s="47">
        <v>114</v>
      </c>
      <c r="AN1876" s="57">
        <v>334.26</v>
      </c>
      <c r="AO1876" s="57">
        <v>334.41</v>
      </c>
      <c r="AP1876" s="57">
        <v>569.91</v>
      </c>
      <c r="AQ1876" s="57">
        <f t="shared" si="52"/>
        <v>1.7042253521126758</v>
      </c>
      <c r="AR1876" s="59">
        <v>5332</v>
      </c>
      <c r="AS1876" s="59">
        <f>SUMIFS(HIX_RatingAreas[Silver Enrollments 2018],HIX_RatingAreas[Area],HIX_SLCSP[[#This Row],[Area Code]])</f>
        <v>4034</v>
      </c>
      <c r="AT1876" s="59">
        <f>SUMIFS(HIX_RatingAreas[Silver Enrollments 2019],HIX_RatingAreas[Area],HIX_SLCSP[[#This Row],[Area Code]])</f>
        <v>3557</v>
      </c>
      <c r="AU1876" s="59">
        <f>SUMIFS(HIX_RatingAreas[Silver Enrollments 2020],HIX_RatingAreas[Area],HIX_SLCSP[[#This Row],[Area Code]])</f>
        <v>3210</v>
      </c>
      <c r="AV1876" s="59">
        <f>SUMIFS(HIX_RatingAreas[Silver Enrollments 2021],HIX_RatingAreas[Area],HIX_SLCSP[[#This Row],[Area Code]])</f>
        <v>3819</v>
      </c>
      <c r="AW1876" s="59">
        <f>SUMIFS(HIX_RatingAreas[Silver Enrollments 2022],HIX_RatingAreas[Area],HIX_SLCSP[[#This Row],[Area Code]])</f>
        <v>5479</v>
      </c>
      <c r="AX1876" s="59">
        <f>SUMIFS(HIX_RatingAreas[Silver Enrollments 2023],HIX_RatingAreas[Area],HIX_SLCSP[[#This Row],[Area Code]])</f>
        <v>7555</v>
      </c>
      <c r="AY1876" s="59">
        <f>SUMIFS(HIX_RatingAreas[Silver Enrollments 2024],HIX_RatingAreas[Area],HIX_SLCSP[[#This Row],[Area Code]])</f>
        <v>13241</v>
      </c>
      <c r="AZ1876" s="59">
        <v>6412</v>
      </c>
      <c r="BA1876">
        <f t="shared" si="54"/>
        <v>1.0907859885375609E-2</v>
      </c>
      <c r="BB1876">
        <f>SUMIFS(HIX_RatingAreas[QHP Enrollments 2018],HIX_RatingAreas[Area],HIX_SLCSP[[#This Row],[Area Code]])</f>
        <v>6236</v>
      </c>
      <c r="BC1876">
        <f t="shared" si="55"/>
        <v>1.2967056274445792E-2</v>
      </c>
      <c r="BD1876">
        <f>SUMIFS(HIX_RatingAreas[QHP Enrollments 2019],HIX_RatingAreas[Area],HIX_SLCSP[[#This Row],[Area Code]])</f>
        <v>6021</v>
      </c>
      <c r="BE1876">
        <f t="shared" si="56"/>
        <v>1.3133756655767314E-2</v>
      </c>
      <c r="BF1876">
        <f>SUMIFS(HIX_RatingAreas[QHP Enrollments 2020],HIX_RatingAreas[Area],HIX_SLCSP[[#This Row],[Area Code]])</f>
        <v>5405</v>
      </c>
      <c r="BG1876">
        <f t="shared" si="57"/>
        <v>1.1650966782350025E-2</v>
      </c>
      <c r="BH1876">
        <f>SUMIFS(HIX_RatingAreas[QHP Enrollments 2021],HIX_RatingAreas[Area],HIX_SLCSP[[#This Row],[Area Code]])</f>
        <v>6626</v>
      </c>
      <c r="BI1876">
        <f t="shared" si="58"/>
        <v>1.2813446964203182E-2</v>
      </c>
      <c r="BJ1876">
        <f>SUMIFS(HIX_RatingAreas[QHP Enrollments 2022],HIX_RatingAreas[Area],HIX_SLCSP[[#This Row],[Area Code]])</f>
        <v>8530</v>
      </c>
      <c r="BK1876">
        <f t="shared" si="59"/>
        <v>1.2165988005163057E-2</v>
      </c>
      <c r="BL1876">
        <f>SUMIFS(HIX_RatingAreas[QHP Enrollments 2023],HIX_RatingAreas[Area],HIX_SLCSP[[#This Row],[Area Code]])</f>
        <v>10900</v>
      </c>
      <c r="BM1876">
        <f t="shared" si="66"/>
        <v>1.2399270149382767E-2</v>
      </c>
      <c r="BN1876">
        <f>SUMIFS(HIX_RatingAreas[QHP Enrollments 2024],HIX_RatingAreas[Area],HIX_SLCSP[[#This Row],[Area Code]])</f>
        <v>17871</v>
      </c>
      <c r="BO1876">
        <f t="shared" si="60"/>
        <v>1.3693056698495304E-2</v>
      </c>
      <c r="BP1876" s="53">
        <f>ROUND(HIX_SLCSP[[#This Row],[Weighting Factor 2018]]*HIX_SLCSP[[#This Row],[2018]],2)</f>
        <v>6.6</v>
      </c>
      <c r="BQ1876" s="53">
        <f>ROUND(HIX_SLCSP[[#This Row],[Weighting Factor 2019]]*HIX_SLCSP[[#This Row],[2019]],2)</f>
        <v>4.3899999999999997</v>
      </c>
      <c r="BR1876" s="53">
        <f>ROUND(HIX_SLCSP[[#This Row],[Weighting Factor 2020]]*HIX_SLCSP[[#This Row],[2020]],2)</f>
        <v>3.93</v>
      </c>
      <c r="BS1876" s="53">
        <f>ROUND(HIX_SLCSP[[#This Row],[Weighting Factor 2021]]*HIX_SLCSP[[#This Row],[2021]],2)</f>
        <v>3.94</v>
      </c>
      <c r="BT1876" s="53">
        <f>ROUND(HIX_SLCSP[[#This Row],[Weighting Factor 2022]]*HIX_SLCSP[[#This Row],[2022]],2)</f>
        <v>3.25</v>
      </c>
      <c r="BU1876" s="53">
        <f>ROUND(HIX_SLCSP[[#This Row],[Weighting Factor 2023]]*HIX_SLCSP[[#This Row],[2023]],2)</f>
        <v>3.61</v>
      </c>
      <c r="BV1876" s="53">
        <f>ROUND(HIX_SLCSP[[#This Row],[Weighting Factor 2024]]*HIX_SLCSP[[#This Row],[2024]],2)</f>
        <v>4.58</v>
      </c>
    </row>
    <row r="1877" spans="4:74" x14ac:dyDescent="0.35">
      <c r="D1877" t="s">
        <v>780</v>
      </c>
      <c r="E1877" t="s">
        <v>289</v>
      </c>
      <c r="F1877" s="23">
        <v>10</v>
      </c>
      <c r="G1877" s="23" t="s">
        <v>781</v>
      </c>
      <c r="H1877" s="23" t="s">
        <v>933</v>
      </c>
      <c r="I1877" s="23">
        <v>152</v>
      </c>
      <c r="J1877" s="53">
        <v>486.79</v>
      </c>
      <c r="K1877" s="53">
        <v>607.07000000000005</v>
      </c>
      <c r="L1877" s="53">
        <v>1034.57</v>
      </c>
      <c r="M1877" s="54">
        <f t="shared" si="61"/>
        <v>1.7042021513169814</v>
      </c>
      <c r="N1877" s="24">
        <v>132</v>
      </c>
      <c r="O1877" s="55">
        <v>421.84</v>
      </c>
      <c r="P1877" s="56">
        <v>421.84</v>
      </c>
      <c r="Q1877" s="56">
        <v>718.9</v>
      </c>
      <c r="R1877" s="57">
        <f t="shared" si="62"/>
        <v>1.7042006447942348</v>
      </c>
      <c r="S1877" s="23">
        <v>152</v>
      </c>
      <c r="T1877" s="53">
        <v>382.46</v>
      </c>
      <c r="U1877" s="53">
        <v>398.25</v>
      </c>
      <c r="V1877" s="53">
        <v>678.69</v>
      </c>
      <c r="W1877" s="57">
        <f t="shared" si="63"/>
        <v>1.7041807909604521</v>
      </c>
      <c r="X1877" s="47">
        <v>128</v>
      </c>
      <c r="Y1877" s="58">
        <v>310.26</v>
      </c>
      <c r="Z1877" s="58">
        <v>317.01</v>
      </c>
      <c r="AA1877" s="58">
        <v>540.24</v>
      </c>
      <c r="AB1877" s="57">
        <f t="shared" si="64"/>
        <v>1.704173369925239</v>
      </c>
      <c r="AC1877" s="47">
        <v>203</v>
      </c>
      <c r="AD1877" s="57">
        <v>208.91</v>
      </c>
      <c r="AE1877" s="57">
        <v>219.16</v>
      </c>
      <c r="AF1877" s="57">
        <v>373.49</v>
      </c>
      <c r="AG1877" s="57">
        <f t="shared" si="65"/>
        <v>1.704188720569447</v>
      </c>
      <c r="AH1877" s="47">
        <v>166</v>
      </c>
      <c r="AI1877">
        <v>226.65</v>
      </c>
      <c r="AJ1877">
        <v>227.23</v>
      </c>
      <c r="AK1877">
        <v>387.24</v>
      </c>
      <c r="AL1877" s="57">
        <f t="shared" si="50"/>
        <v>1.7041763851604104</v>
      </c>
      <c r="AM1877" s="47">
        <v>134</v>
      </c>
      <c r="AN1877" s="57">
        <v>262.16000000000003</v>
      </c>
      <c r="AO1877" s="57">
        <v>262.27</v>
      </c>
      <c r="AP1877" s="57">
        <v>446.97</v>
      </c>
      <c r="AQ1877" s="57">
        <f t="shared" si="52"/>
        <v>1.7042360925763529</v>
      </c>
      <c r="AR1877" s="59">
        <v>19412</v>
      </c>
      <c r="AS1877" s="59">
        <f>SUMIFS(HIX_RatingAreas[Silver Enrollments 2018],HIX_RatingAreas[Area],HIX_SLCSP[[#This Row],[Area Code]])</f>
        <v>13796</v>
      </c>
      <c r="AT1877" s="59">
        <f>SUMIFS(HIX_RatingAreas[Silver Enrollments 2019],HIX_RatingAreas[Area],HIX_SLCSP[[#This Row],[Area Code]])</f>
        <v>11888</v>
      </c>
      <c r="AU1877" s="59">
        <f>SUMIFS(HIX_RatingAreas[Silver Enrollments 2020],HIX_RatingAreas[Area],HIX_SLCSP[[#This Row],[Area Code]])</f>
        <v>10771</v>
      </c>
      <c r="AV1877" s="59">
        <f>SUMIFS(HIX_RatingAreas[Silver Enrollments 2021],HIX_RatingAreas[Area],HIX_SLCSP[[#This Row],[Area Code]])</f>
        <v>11756</v>
      </c>
      <c r="AW1877" s="59">
        <f>SUMIFS(HIX_RatingAreas[Silver Enrollments 2022],HIX_RatingAreas[Area],HIX_SLCSP[[#This Row],[Area Code]])</f>
        <v>16294</v>
      </c>
      <c r="AX1877" s="59">
        <f>SUMIFS(HIX_RatingAreas[Silver Enrollments 2023],HIX_RatingAreas[Area],HIX_SLCSP[[#This Row],[Area Code]])</f>
        <v>22926</v>
      </c>
      <c r="AY1877" s="59">
        <f>SUMIFS(HIX_RatingAreas[Silver Enrollments 2024],HIX_RatingAreas[Area],HIX_SLCSP[[#This Row],[Area Code]])</f>
        <v>30549</v>
      </c>
      <c r="AZ1877" s="59">
        <v>24598</v>
      </c>
      <c r="BA1877">
        <f t="shared" si="54"/>
        <v>4.1845217944552281E-2</v>
      </c>
      <c r="BB1877">
        <f>SUMIFS(HIX_RatingAreas[QHP Enrollments 2018],HIX_RatingAreas[Area],HIX_SLCSP[[#This Row],[Area Code]])</f>
        <v>22486</v>
      </c>
      <c r="BC1877">
        <f t="shared" si="55"/>
        <v>4.6757092268631825E-2</v>
      </c>
      <c r="BD1877">
        <f>SUMIFS(HIX_RatingAreas[QHP Enrollments 2019],HIX_RatingAreas[Area],HIX_SLCSP[[#This Row],[Area Code]])</f>
        <v>22559</v>
      </c>
      <c r="BE1877">
        <f t="shared" si="56"/>
        <v>4.920850629421273E-2</v>
      </c>
      <c r="BF1877">
        <f>SUMIFS(HIX_RatingAreas[QHP Enrollments 2020],HIX_RatingAreas[Area],HIX_SLCSP[[#This Row],[Area Code]])</f>
        <v>20387</v>
      </c>
      <c r="BG1877">
        <f t="shared" si="57"/>
        <v>4.3946024013278441E-2</v>
      </c>
      <c r="BH1877">
        <f>SUMIFS(HIX_RatingAreas[QHP Enrollments 2021],HIX_RatingAreas[Area],HIX_SLCSP[[#This Row],[Area Code]])</f>
        <v>20812</v>
      </c>
      <c r="BI1877">
        <f t="shared" si="58"/>
        <v>4.0246522520222851E-2</v>
      </c>
      <c r="BJ1877">
        <f>SUMIFS(HIX_RatingAreas[QHP Enrollments 2022],HIX_RatingAreas[Area],HIX_SLCSP[[#This Row],[Area Code]])</f>
        <v>27931</v>
      </c>
      <c r="BK1877">
        <f t="shared" si="59"/>
        <v>3.9836835987363345E-2</v>
      </c>
      <c r="BL1877">
        <f>SUMIFS(HIX_RatingAreas[QHP Enrollments 2023],HIX_RatingAreas[Area],HIX_SLCSP[[#This Row],[Area Code]])</f>
        <v>37218</v>
      </c>
      <c r="BM1877">
        <f t="shared" si="66"/>
        <v>4.2337251047681448E-2</v>
      </c>
      <c r="BN1877">
        <f>SUMIFS(HIX_RatingAreas[QHP Enrollments 2024],HIX_RatingAreas[Area],HIX_SLCSP[[#This Row],[Area Code]])</f>
        <v>52904</v>
      </c>
      <c r="BO1877">
        <f t="shared" si="60"/>
        <v>4.0535922532437776E-2</v>
      </c>
      <c r="BP1877" s="53">
        <f>ROUND(HIX_SLCSP[[#This Row],[Weighting Factor 2018]]*HIX_SLCSP[[#This Row],[2018]],2)</f>
        <v>28.38</v>
      </c>
      <c r="BQ1877" s="53">
        <f>ROUND(HIX_SLCSP[[#This Row],[Weighting Factor 2019]]*HIX_SLCSP[[#This Row],[2019]],2)</f>
        <v>20.76</v>
      </c>
      <c r="BR1877" s="53">
        <f>ROUND(HIX_SLCSP[[#This Row],[Weighting Factor 2020]]*HIX_SLCSP[[#This Row],[2020]],2)</f>
        <v>17.5</v>
      </c>
      <c r="BS1877" s="53">
        <f>ROUND(HIX_SLCSP[[#This Row],[Weighting Factor 2021]]*HIX_SLCSP[[#This Row],[2021]],2)</f>
        <v>12.76</v>
      </c>
      <c r="BT1877" s="53">
        <f>ROUND(HIX_SLCSP[[#This Row],[Weighting Factor 2022]]*HIX_SLCSP[[#This Row],[2022]],2)</f>
        <v>8.73</v>
      </c>
      <c r="BU1877" s="53">
        <f>ROUND(HIX_SLCSP[[#This Row],[Weighting Factor 2023]]*HIX_SLCSP[[#This Row],[2023]],2)</f>
        <v>9.6199999999999992</v>
      </c>
      <c r="BV1877" s="53">
        <f>ROUND(HIX_SLCSP[[#This Row],[Weighting Factor 2024]]*HIX_SLCSP[[#This Row],[2024]],2)</f>
        <v>10.63</v>
      </c>
    </row>
    <row r="1878" spans="4:74" x14ac:dyDescent="0.35">
      <c r="D1878" t="s">
        <v>780</v>
      </c>
      <c r="E1878" t="s">
        <v>293</v>
      </c>
      <c r="F1878" s="23">
        <v>11</v>
      </c>
      <c r="G1878" s="23" t="s">
        <v>781</v>
      </c>
      <c r="H1878" s="23" t="s">
        <v>955</v>
      </c>
      <c r="I1878" s="23">
        <v>32</v>
      </c>
      <c r="J1878" s="53">
        <v>515.6</v>
      </c>
      <c r="K1878" s="53">
        <v>538.54999999999995</v>
      </c>
      <c r="L1878" s="53">
        <v>917.79</v>
      </c>
      <c r="M1878" s="54">
        <f t="shared" si="61"/>
        <v>1.704187169250766</v>
      </c>
      <c r="N1878" s="24">
        <v>52</v>
      </c>
      <c r="O1878" s="55">
        <v>265.52</v>
      </c>
      <c r="P1878" s="56">
        <v>279.2</v>
      </c>
      <c r="Q1878" s="56">
        <v>475.81</v>
      </c>
      <c r="R1878" s="57">
        <f t="shared" si="62"/>
        <v>1.7041905444126075</v>
      </c>
      <c r="S1878" s="23">
        <v>32</v>
      </c>
      <c r="T1878" s="53">
        <v>300.95</v>
      </c>
      <c r="U1878" s="53">
        <v>329.61</v>
      </c>
      <c r="V1878" s="53">
        <v>561.72</v>
      </c>
      <c r="W1878" s="57">
        <f t="shared" si="63"/>
        <v>1.7041958678438154</v>
      </c>
      <c r="X1878" s="47">
        <v>104</v>
      </c>
      <c r="Y1878" s="58">
        <v>276.75</v>
      </c>
      <c r="Z1878" s="58">
        <v>282.76</v>
      </c>
      <c r="AA1878" s="58">
        <v>481.88</v>
      </c>
      <c r="AB1878" s="57">
        <f t="shared" si="64"/>
        <v>1.7042014429197907</v>
      </c>
      <c r="AC1878" s="47">
        <v>179</v>
      </c>
      <c r="AD1878" s="57">
        <v>207.45</v>
      </c>
      <c r="AE1878" s="57">
        <v>217.63</v>
      </c>
      <c r="AF1878" s="57">
        <v>370.88</v>
      </c>
      <c r="AG1878" s="57">
        <f t="shared" si="65"/>
        <v>1.7041768138583835</v>
      </c>
      <c r="AH1878" s="47">
        <v>170</v>
      </c>
      <c r="AI1878">
        <v>245.26</v>
      </c>
      <c r="AJ1878">
        <v>252.25</v>
      </c>
      <c r="AK1878">
        <v>429.88</v>
      </c>
      <c r="AL1878" s="57">
        <f t="shared" si="50"/>
        <v>1.7041823587710605</v>
      </c>
      <c r="AM1878" s="47">
        <v>154</v>
      </c>
      <c r="AN1878" s="57">
        <v>292.14</v>
      </c>
      <c r="AO1878" s="57">
        <v>294.60000000000002</v>
      </c>
      <c r="AP1878" s="57">
        <v>502.06</v>
      </c>
      <c r="AQ1878" s="57">
        <f t="shared" si="52"/>
        <v>1.7042090970807875</v>
      </c>
      <c r="AR1878" s="59">
        <v>6166</v>
      </c>
      <c r="AS1878" s="59">
        <f>SUMIFS(HIX_RatingAreas[Silver Enrollments 2018],HIX_RatingAreas[Area],HIX_SLCSP[[#This Row],[Area Code]])</f>
        <v>4251</v>
      </c>
      <c r="AT1878" s="59">
        <f>SUMIFS(HIX_RatingAreas[Silver Enrollments 2019],HIX_RatingAreas[Area],HIX_SLCSP[[#This Row],[Area Code]])</f>
        <v>4203</v>
      </c>
      <c r="AU1878" s="59">
        <f>SUMIFS(HIX_RatingAreas[Silver Enrollments 2020],HIX_RatingAreas[Area],HIX_SLCSP[[#This Row],[Area Code]])</f>
        <v>4655</v>
      </c>
      <c r="AV1878" s="59">
        <f>SUMIFS(HIX_RatingAreas[Silver Enrollments 2021],HIX_RatingAreas[Area],HIX_SLCSP[[#This Row],[Area Code]])</f>
        <v>5106</v>
      </c>
      <c r="AW1878" s="59">
        <f>SUMIFS(HIX_RatingAreas[Silver Enrollments 2022],HIX_RatingAreas[Area],HIX_SLCSP[[#This Row],[Area Code]])</f>
        <v>8105</v>
      </c>
      <c r="AX1878" s="59">
        <f>SUMIFS(HIX_RatingAreas[Silver Enrollments 2023],HIX_RatingAreas[Area],HIX_SLCSP[[#This Row],[Area Code]])</f>
        <v>9892</v>
      </c>
      <c r="AY1878" s="59">
        <f>SUMIFS(HIX_RatingAreas[Silver Enrollments 2024],HIX_RatingAreas[Area],HIX_SLCSP[[#This Row],[Area Code]])</f>
        <v>12799</v>
      </c>
      <c r="AZ1878" s="59">
        <v>7544</v>
      </c>
      <c r="BA1878">
        <f t="shared" si="54"/>
        <v>1.2833576883230441E-2</v>
      </c>
      <c r="BB1878">
        <f>SUMIFS(HIX_RatingAreas[QHP Enrollments 2018],HIX_RatingAreas[Area],HIX_SLCSP[[#This Row],[Area Code]])</f>
        <v>5057</v>
      </c>
      <c r="BC1878">
        <f t="shared" si="55"/>
        <v>1.0515459201390694E-2</v>
      </c>
      <c r="BD1878">
        <f>SUMIFS(HIX_RatingAreas[QHP Enrollments 2019],HIX_RatingAreas[Area],HIX_SLCSP[[#This Row],[Area Code]])</f>
        <v>5084</v>
      </c>
      <c r="BE1878">
        <f t="shared" si="56"/>
        <v>1.1089855312725631E-2</v>
      </c>
      <c r="BF1878">
        <f>SUMIFS(HIX_RatingAreas[QHP Enrollments 2020],HIX_RatingAreas[Area],HIX_SLCSP[[#This Row],[Area Code]])</f>
        <v>5674</v>
      </c>
      <c r="BG1878">
        <f t="shared" si="57"/>
        <v>1.2230820633312496E-2</v>
      </c>
      <c r="BH1878">
        <f>SUMIFS(HIX_RatingAreas[QHP Enrollments 2021],HIX_RatingAreas[Area],HIX_SLCSP[[#This Row],[Area Code]])</f>
        <v>6767</v>
      </c>
      <c r="BI1878">
        <f t="shared" si="58"/>
        <v>1.3086114640320395E-2</v>
      </c>
      <c r="BJ1878">
        <f>SUMIFS(HIX_RatingAreas[QHP Enrollments 2022],HIX_RatingAreas[Area],HIX_SLCSP[[#This Row],[Area Code]])</f>
        <v>10548</v>
      </c>
      <c r="BK1878">
        <f t="shared" si="59"/>
        <v>1.5044178367931996E-2</v>
      </c>
      <c r="BL1878">
        <f>SUMIFS(HIX_RatingAreas[QHP Enrollments 2023],HIX_RatingAreas[Area],HIX_SLCSP[[#This Row],[Area Code]])</f>
        <v>14109</v>
      </c>
      <c r="BM1878">
        <f t="shared" si="66"/>
        <v>1.6049660783269859E-2</v>
      </c>
      <c r="BN1878">
        <f>SUMIFS(HIX_RatingAreas[QHP Enrollments 2024],HIX_RatingAreas[Area],HIX_SLCSP[[#This Row],[Area Code]])</f>
        <v>22310</v>
      </c>
      <c r="BO1878">
        <f t="shared" si="60"/>
        <v>1.7094292146126698E-2</v>
      </c>
      <c r="BP1878" s="53">
        <f>ROUND(HIX_SLCSP[[#This Row],[Weighting Factor 2018]]*HIX_SLCSP[[#This Row],[2018]],2)</f>
        <v>5.66</v>
      </c>
      <c r="BQ1878" s="53">
        <f>ROUND(HIX_SLCSP[[#This Row],[Weighting Factor 2019]]*HIX_SLCSP[[#This Row],[2019]],2)</f>
        <v>3.1</v>
      </c>
      <c r="BR1878" s="53">
        <f>ROUND(HIX_SLCSP[[#This Row],[Weighting Factor 2020]]*HIX_SLCSP[[#This Row],[2020]],2)</f>
        <v>4.03</v>
      </c>
      <c r="BS1878" s="53">
        <f>ROUND(HIX_SLCSP[[#This Row],[Weighting Factor 2021]]*HIX_SLCSP[[#This Row],[2021]],2)</f>
        <v>3.7</v>
      </c>
      <c r="BT1878" s="53">
        <f>ROUND(HIX_SLCSP[[#This Row],[Weighting Factor 2022]]*HIX_SLCSP[[#This Row],[2022]],2)</f>
        <v>3.27</v>
      </c>
      <c r="BU1878" s="53">
        <f>ROUND(HIX_SLCSP[[#This Row],[Weighting Factor 2023]]*HIX_SLCSP[[#This Row],[2023]],2)</f>
        <v>4.05</v>
      </c>
      <c r="BV1878" s="53">
        <f>ROUND(HIX_SLCSP[[#This Row],[Weighting Factor 2024]]*HIX_SLCSP[[#This Row],[2024]],2)</f>
        <v>5.04</v>
      </c>
    </row>
    <row r="1879" spans="4:74" x14ac:dyDescent="0.35">
      <c r="D1879" t="s">
        <v>780</v>
      </c>
      <c r="E1879" t="s">
        <v>303</v>
      </c>
      <c r="F1879" s="23">
        <v>12</v>
      </c>
      <c r="G1879" s="23" t="s">
        <v>781</v>
      </c>
      <c r="H1879" s="23" t="s">
        <v>973</v>
      </c>
      <c r="I1879" s="23">
        <v>41</v>
      </c>
      <c r="J1879" s="53">
        <v>450.8</v>
      </c>
      <c r="K1879" s="53">
        <v>469</v>
      </c>
      <c r="L1879" s="53">
        <v>799.27</v>
      </c>
      <c r="M1879" s="54">
        <f t="shared" si="61"/>
        <v>1.7042004264392323</v>
      </c>
      <c r="N1879" s="24">
        <v>52</v>
      </c>
      <c r="O1879" s="55">
        <v>321.73</v>
      </c>
      <c r="P1879" s="56">
        <v>338.31</v>
      </c>
      <c r="Q1879" s="56">
        <v>576.54</v>
      </c>
      <c r="R1879" s="57">
        <f t="shared" si="62"/>
        <v>1.7041766427241287</v>
      </c>
      <c r="S1879" s="23">
        <v>41</v>
      </c>
      <c r="T1879" s="53">
        <v>305.2</v>
      </c>
      <c r="U1879" s="53">
        <v>348.29</v>
      </c>
      <c r="V1879" s="53">
        <v>593.54999999999995</v>
      </c>
      <c r="W1879" s="57">
        <f t="shared" si="63"/>
        <v>1.7041832955295872</v>
      </c>
      <c r="X1879" s="47">
        <v>104</v>
      </c>
      <c r="Y1879" s="58">
        <v>292.07</v>
      </c>
      <c r="Z1879" s="58">
        <v>298.42</v>
      </c>
      <c r="AA1879" s="58">
        <v>508.57</v>
      </c>
      <c r="AB1879" s="57">
        <f t="shared" si="64"/>
        <v>1.704208833188124</v>
      </c>
      <c r="AC1879" s="47">
        <v>187</v>
      </c>
      <c r="AD1879" s="57">
        <v>246.8</v>
      </c>
      <c r="AE1879" s="57">
        <v>258.91000000000003</v>
      </c>
      <c r="AF1879" s="57">
        <v>441.24</v>
      </c>
      <c r="AG1879" s="57">
        <f t="shared" si="65"/>
        <v>1.7042215441659263</v>
      </c>
      <c r="AH1879" s="47">
        <v>202</v>
      </c>
      <c r="AI1879">
        <v>241.22</v>
      </c>
      <c r="AJ1879">
        <v>252.46</v>
      </c>
      <c r="AK1879">
        <v>430.24</v>
      </c>
      <c r="AL1879" s="57">
        <f t="shared" si="50"/>
        <v>1.7041907628931316</v>
      </c>
      <c r="AM1879" s="47">
        <v>154</v>
      </c>
      <c r="AN1879" s="57">
        <v>302.95999999999998</v>
      </c>
      <c r="AO1879" s="57">
        <v>303.08999999999997</v>
      </c>
      <c r="AP1879" s="57">
        <v>516.53</v>
      </c>
      <c r="AQ1879" s="57">
        <f t="shared" si="52"/>
        <v>1.7042132699858128</v>
      </c>
      <c r="AR1879" s="59">
        <v>15726</v>
      </c>
      <c r="AS1879" s="59">
        <f>SUMIFS(HIX_RatingAreas[Silver Enrollments 2018],HIX_RatingAreas[Area],HIX_SLCSP[[#This Row],[Area Code]])</f>
        <v>11671</v>
      </c>
      <c r="AT1879" s="59">
        <f>SUMIFS(HIX_RatingAreas[Silver Enrollments 2019],HIX_RatingAreas[Area],HIX_SLCSP[[#This Row],[Area Code]])</f>
        <v>11843</v>
      </c>
      <c r="AU1879" s="59">
        <f>SUMIFS(HIX_RatingAreas[Silver Enrollments 2020],HIX_RatingAreas[Area],HIX_SLCSP[[#This Row],[Area Code]])</f>
        <v>10723</v>
      </c>
      <c r="AV1879" s="59">
        <f>SUMIFS(HIX_RatingAreas[Silver Enrollments 2021],HIX_RatingAreas[Area],HIX_SLCSP[[#This Row],[Area Code]])</f>
        <v>10684</v>
      </c>
      <c r="AW1879" s="59">
        <f>SUMIFS(HIX_RatingAreas[Silver Enrollments 2022],HIX_RatingAreas[Area],HIX_SLCSP[[#This Row],[Area Code]])</f>
        <v>16393</v>
      </c>
      <c r="AX1879" s="59">
        <f>SUMIFS(HIX_RatingAreas[Silver Enrollments 2023],HIX_RatingAreas[Area],HIX_SLCSP[[#This Row],[Area Code]])</f>
        <v>23260</v>
      </c>
      <c r="AY1879" s="59">
        <f>SUMIFS(HIX_RatingAreas[Silver Enrollments 2024],HIX_RatingAreas[Area],HIX_SLCSP[[#This Row],[Area Code]])</f>
        <v>45727</v>
      </c>
      <c r="AZ1879" s="59">
        <v>19821</v>
      </c>
      <c r="BA1879">
        <f t="shared" si="54"/>
        <v>3.3718760260141908E-2</v>
      </c>
      <c r="BB1879">
        <f>SUMIFS(HIX_RatingAreas[QHP Enrollments 2018],HIX_RatingAreas[Area],HIX_SLCSP[[#This Row],[Area Code]])</f>
        <v>14000</v>
      </c>
      <c r="BC1879">
        <f t="shared" si="55"/>
        <v>2.9111415625760275E-2</v>
      </c>
      <c r="BD1879">
        <f>SUMIFS(HIX_RatingAreas[QHP Enrollments 2019],HIX_RatingAreas[Area],HIX_SLCSP[[#This Row],[Area Code]])</f>
        <v>13961</v>
      </c>
      <c r="BE1879">
        <f t="shared" si="56"/>
        <v>3.0453475613879333E-2</v>
      </c>
      <c r="BF1879">
        <f>SUMIFS(HIX_RatingAreas[QHP Enrollments 2020],HIX_RatingAreas[Area],HIX_SLCSP[[#This Row],[Area Code]])</f>
        <v>13715</v>
      </c>
      <c r="BG1879">
        <f t="shared" si="57"/>
        <v>2.9563924036989934E-2</v>
      </c>
      <c r="BH1879">
        <f>SUMIFS(HIX_RatingAreas[QHP Enrollments 2021],HIX_RatingAreas[Area],HIX_SLCSP[[#This Row],[Area Code]])</f>
        <v>14591</v>
      </c>
      <c r="BI1879">
        <f t="shared" si="58"/>
        <v>2.8216269944866982E-2</v>
      </c>
      <c r="BJ1879">
        <f>SUMIFS(HIX_RatingAreas[QHP Enrollments 2022],HIX_RatingAreas[Area],HIX_SLCSP[[#This Row],[Area Code]])</f>
        <v>22522</v>
      </c>
      <c r="BK1879">
        <f t="shared" si="59"/>
        <v>3.2122201858415286E-2</v>
      </c>
      <c r="BL1879">
        <f>SUMIFS(HIX_RatingAreas[QHP Enrollments 2023],HIX_RatingAreas[Area],HIX_SLCSP[[#This Row],[Area Code]])</f>
        <v>32609</v>
      </c>
      <c r="BM1879">
        <f t="shared" si="66"/>
        <v>3.7094293605616759E-2</v>
      </c>
      <c r="BN1879">
        <f>SUMIFS(HIX_RatingAreas[QHP Enrollments 2024],HIX_RatingAreas[Area],HIX_SLCSP[[#This Row],[Area Code]])</f>
        <v>56949</v>
      </c>
      <c r="BO1879">
        <f t="shared" si="60"/>
        <v>4.3635268643198985E-2</v>
      </c>
      <c r="BP1879" s="53">
        <f>ROUND(HIX_SLCSP[[#This Row],[Weighting Factor 2018]]*HIX_SLCSP[[#This Row],[2018]],2)</f>
        <v>13.65</v>
      </c>
      <c r="BQ1879" s="53">
        <f>ROUND(HIX_SLCSP[[#This Row],[Weighting Factor 2019]]*HIX_SLCSP[[#This Row],[2019]],2)</f>
        <v>10.3</v>
      </c>
      <c r="BR1879" s="53">
        <f>ROUND(HIX_SLCSP[[#This Row],[Weighting Factor 2020]]*HIX_SLCSP[[#This Row],[2020]],2)</f>
        <v>10.3</v>
      </c>
      <c r="BS1879" s="53">
        <f>ROUND(HIX_SLCSP[[#This Row],[Weighting Factor 2021]]*HIX_SLCSP[[#This Row],[2021]],2)</f>
        <v>8.42</v>
      </c>
      <c r="BT1879" s="53">
        <f>ROUND(HIX_SLCSP[[#This Row],[Weighting Factor 2022]]*HIX_SLCSP[[#This Row],[2022]],2)</f>
        <v>8.32</v>
      </c>
      <c r="BU1879" s="53">
        <f>ROUND(HIX_SLCSP[[#This Row],[Weighting Factor 2023]]*HIX_SLCSP[[#This Row],[2023]],2)</f>
        <v>9.36</v>
      </c>
      <c r="BV1879" s="53">
        <f>ROUND(HIX_SLCSP[[#This Row],[Weighting Factor 2024]]*HIX_SLCSP[[#This Row],[2024]],2)</f>
        <v>13.23</v>
      </c>
    </row>
    <row r="1880" spans="4:74" x14ac:dyDescent="0.35">
      <c r="D1880" t="s">
        <v>780</v>
      </c>
      <c r="E1880" t="s">
        <v>311</v>
      </c>
      <c r="F1880" s="23">
        <v>13</v>
      </c>
      <c r="G1880" s="23" t="s">
        <v>781</v>
      </c>
      <c r="H1880" s="23" t="s">
        <v>993</v>
      </c>
      <c r="I1880" s="23">
        <v>86</v>
      </c>
      <c r="J1880" s="53">
        <v>447.58</v>
      </c>
      <c r="K1880" s="53">
        <v>558.16999999999996</v>
      </c>
      <c r="L1880" s="53">
        <v>951.23</v>
      </c>
      <c r="M1880" s="54">
        <f t="shared" si="61"/>
        <v>1.7041940627407421</v>
      </c>
      <c r="N1880" s="24">
        <v>113</v>
      </c>
      <c r="O1880" s="55">
        <v>288.85000000000002</v>
      </c>
      <c r="P1880" s="56">
        <v>303.73</v>
      </c>
      <c r="Q1880" s="56">
        <v>517.62</v>
      </c>
      <c r="R1880" s="57">
        <f t="shared" si="62"/>
        <v>1.7042109768544429</v>
      </c>
      <c r="S1880" s="23">
        <v>86</v>
      </c>
      <c r="T1880" s="53">
        <v>307.10000000000002</v>
      </c>
      <c r="U1880" s="53">
        <v>336.34</v>
      </c>
      <c r="V1880" s="53">
        <v>573.19000000000005</v>
      </c>
      <c r="W1880" s="57">
        <f t="shared" si="63"/>
        <v>1.7041981328417675</v>
      </c>
      <c r="X1880" s="47">
        <v>104</v>
      </c>
      <c r="Y1880" s="58">
        <v>287.08999999999997</v>
      </c>
      <c r="Z1880" s="58">
        <v>293.33</v>
      </c>
      <c r="AA1880" s="58">
        <v>499.89</v>
      </c>
      <c r="AB1880" s="57">
        <f t="shared" si="64"/>
        <v>1.7041898203388675</v>
      </c>
      <c r="AC1880" s="47">
        <v>203</v>
      </c>
      <c r="AD1880" s="57">
        <v>209.13</v>
      </c>
      <c r="AE1880" s="57">
        <v>219.4</v>
      </c>
      <c r="AF1880" s="57">
        <v>373.9</v>
      </c>
      <c r="AG1880" s="57">
        <f t="shared" si="65"/>
        <v>1.7041932543299907</v>
      </c>
      <c r="AH1880" s="47">
        <v>226</v>
      </c>
      <c r="AI1880">
        <v>208.62</v>
      </c>
      <c r="AJ1880">
        <v>218.34</v>
      </c>
      <c r="AK1880">
        <v>372.1</v>
      </c>
      <c r="AL1880" s="57">
        <f t="shared" si="50"/>
        <v>1.7042227718237613</v>
      </c>
      <c r="AM1880" s="47">
        <v>178</v>
      </c>
      <c r="AN1880" s="57">
        <v>301.02999999999997</v>
      </c>
      <c r="AO1880" s="57">
        <v>301.16000000000003</v>
      </c>
      <c r="AP1880" s="57">
        <v>513.24</v>
      </c>
      <c r="AQ1880" s="57">
        <f t="shared" si="52"/>
        <v>1.7042103865055118</v>
      </c>
      <c r="AR1880" s="59">
        <v>9919</v>
      </c>
      <c r="AS1880" s="59">
        <f>SUMIFS(HIX_RatingAreas[Silver Enrollments 2018],HIX_RatingAreas[Area],HIX_SLCSP[[#This Row],[Area Code]])</f>
        <v>6470</v>
      </c>
      <c r="AT1880" s="59">
        <f>SUMIFS(HIX_RatingAreas[Silver Enrollments 2019],HIX_RatingAreas[Area],HIX_SLCSP[[#This Row],[Area Code]])</f>
        <v>5642</v>
      </c>
      <c r="AU1880" s="59">
        <f>SUMIFS(HIX_RatingAreas[Silver Enrollments 2020],HIX_RatingAreas[Area],HIX_SLCSP[[#This Row],[Area Code]])</f>
        <v>5713</v>
      </c>
      <c r="AV1880" s="59">
        <f>SUMIFS(HIX_RatingAreas[Silver Enrollments 2021],HIX_RatingAreas[Area],HIX_SLCSP[[#This Row],[Area Code]])</f>
        <v>6429</v>
      </c>
      <c r="AW1880" s="59">
        <f>SUMIFS(HIX_RatingAreas[Silver Enrollments 2022],HIX_RatingAreas[Area],HIX_SLCSP[[#This Row],[Area Code]])</f>
        <v>9207</v>
      </c>
      <c r="AX1880" s="59">
        <f>SUMIFS(HIX_RatingAreas[Silver Enrollments 2023],HIX_RatingAreas[Area],HIX_SLCSP[[#This Row],[Area Code]])</f>
        <v>13341</v>
      </c>
      <c r="AY1880" s="59">
        <f>SUMIFS(HIX_RatingAreas[Silver Enrollments 2024],HIX_RatingAreas[Area],HIX_SLCSP[[#This Row],[Area Code]])</f>
        <v>17757</v>
      </c>
      <c r="AZ1880" s="59">
        <v>12515</v>
      </c>
      <c r="BA1880">
        <f t="shared" si="54"/>
        <v>2.1290060272220173E-2</v>
      </c>
      <c r="BB1880">
        <f>SUMIFS(HIX_RatingAreas[QHP Enrollments 2018],HIX_RatingAreas[Area],HIX_SLCSP[[#This Row],[Area Code]])</f>
        <v>10355</v>
      </c>
      <c r="BC1880">
        <f t="shared" si="55"/>
        <v>2.1532050628910546E-2</v>
      </c>
      <c r="BD1880">
        <f>SUMIFS(HIX_RatingAreas[QHP Enrollments 2019],HIX_RatingAreas[Area],HIX_SLCSP[[#This Row],[Area Code]])</f>
        <v>10087</v>
      </c>
      <c r="BE1880">
        <f t="shared" si="56"/>
        <v>2.2003023316180849E-2</v>
      </c>
      <c r="BF1880">
        <f>SUMIFS(HIX_RatingAreas[QHP Enrollments 2020],HIX_RatingAreas[Area],HIX_SLCSP[[#This Row],[Area Code]])</f>
        <v>9312</v>
      </c>
      <c r="BG1880">
        <f t="shared" si="57"/>
        <v>2.0072858959712014E-2</v>
      </c>
      <c r="BH1880">
        <f>SUMIFS(HIX_RatingAreas[QHP Enrollments 2021],HIX_RatingAreas[Area],HIX_SLCSP[[#This Row],[Area Code]])</f>
        <v>9981</v>
      </c>
      <c r="BI1880">
        <f t="shared" si="58"/>
        <v>1.9301390605148197E-2</v>
      </c>
      <c r="BJ1880">
        <f>SUMIFS(HIX_RatingAreas[QHP Enrollments 2022],HIX_RatingAreas[Area],HIX_SLCSP[[#This Row],[Area Code]])</f>
        <v>13656</v>
      </c>
      <c r="BK1880">
        <f t="shared" si="59"/>
        <v>1.9476990879074643E-2</v>
      </c>
      <c r="BL1880">
        <f>SUMIFS(HIX_RatingAreas[QHP Enrollments 2023],HIX_RatingAreas[Area],HIX_SLCSP[[#This Row],[Area Code]])</f>
        <v>19365</v>
      </c>
      <c r="BM1880">
        <f t="shared" si="66"/>
        <v>2.2028611600256629E-2</v>
      </c>
      <c r="BN1880">
        <f>SUMIFS(HIX_RatingAreas[QHP Enrollments 2024],HIX_RatingAreas[Area],HIX_SLCSP[[#This Row],[Area Code]])</f>
        <v>29618</v>
      </c>
      <c r="BO1880">
        <f t="shared" si="60"/>
        <v>2.2693802993454977E-2</v>
      </c>
      <c r="BP1880" s="53">
        <f>ROUND(HIX_SLCSP[[#This Row],[Weighting Factor 2018]]*HIX_SLCSP[[#This Row],[2018]],2)</f>
        <v>12.02</v>
      </c>
      <c r="BQ1880" s="53">
        <f>ROUND(HIX_SLCSP[[#This Row],[Weighting Factor 2019]]*HIX_SLCSP[[#This Row],[2019]],2)</f>
        <v>6.68</v>
      </c>
      <c r="BR1880" s="53">
        <f>ROUND(HIX_SLCSP[[#This Row],[Weighting Factor 2020]]*HIX_SLCSP[[#This Row],[2020]],2)</f>
        <v>6.75</v>
      </c>
      <c r="BS1880" s="53">
        <f>ROUND(HIX_SLCSP[[#This Row],[Weighting Factor 2021]]*HIX_SLCSP[[#This Row],[2021]],2)</f>
        <v>5.66</v>
      </c>
      <c r="BT1880" s="53">
        <f>ROUND(HIX_SLCSP[[#This Row],[Weighting Factor 2022]]*HIX_SLCSP[[#This Row],[2022]],2)</f>
        <v>4.2699999999999996</v>
      </c>
      <c r="BU1880" s="53">
        <f>ROUND(HIX_SLCSP[[#This Row],[Weighting Factor 2023]]*HIX_SLCSP[[#This Row],[2023]],2)</f>
        <v>4.8099999999999996</v>
      </c>
      <c r="BV1880" s="53">
        <f>ROUND(HIX_SLCSP[[#This Row],[Weighting Factor 2024]]*HIX_SLCSP[[#This Row],[2024]],2)</f>
        <v>6.83</v>
      </c>
    </row>
    <row r="1881" spans="4:74" x14ac:dyDescent="0.35">
      <c r="D1881" t="s">
        <v>780</v>
      </c>
      <c r="E1881" t="s">
        <v>577</v>
      </c>
      <c r="F1881" s="23">
        <v>14</v>
      </c>
      <c r="G1881" s="23" t="s">
        <v>781</v>
      </c>
      <c r="H1881" s="23" t="s">
        <v>1004</v>
      </c>
      <c r="I1881" s="23">
        <v>36</v>
      </c>
      <c r="J1881" s="53">
        <v>305.5</v>
      </c>
      <c r="K1881" s="53">
        <v>319.83</v>
      </c>
      <c r="L1881" s="53">
        <v>545.04999999999995</v>
      </c>
      <c r="M1881" s="54">
        <f t="shared" si="61"/>
        <v>1.7041865991307881</v>
      </c>
      <c r="N1881" s="24">
        <v>44</v>
      </c>
      <c r="O1881" s="55">
        <v>326.68</v>
      </c>
      <c r="P1881" s="56">
        <v>343.51</v>
      </c>
      <c r="Q1881" s="56">
        <v>585.41</v>
      </c>
      <c r="R1881" s="57">
        <f t="shared" si="62"/>
        <v>1.7042007510698378</v>
      </c>
      <c r="S1881" s="23">
        <v>36</v>
      </c>
      <c r="T1881" s="53">
        <v>330.08</v>
      </c>
      <c r="U1881" s="53">
        <v>354.56</v>
      </c>
      <c r="V1881" s="53">
        <v>604.24</v>
      </c>
      <c r="W1881" s="57">
        <f t="shared" si="63"/>
        <v>1.7041967509025271</v>
      </c>
      <c r="X1881" s="47">
        <v>100</v>
      </c>
      <c r="Y1881" s="58">
        <v>275.77999999999997</v>
      </c>
      <c r="Z1881" s="58">
        <v>281.77999999999997</v>
      </c>
      <c r="AA1881" s="58">
        <v>480.21</v>
      </c>
      <c r="AB1881" s="57">
        <f t="shared" si="64"/>
        <v>1.7042018596067856</v>
      </c>
      <c r="AC1881" s="47">
        <v>185</v>
      </c>
      <c r="AD1881" s="57">
        <v>295.25</v>
      </c>
      <c r="AE1881" s="57">
        <v>306.42</v>
      </c>
      <c r="AF1881" s="57">
        <v>522.20000000000005</v>
      </c>
      <c r="AG1881" s="57">
        <f t="shared" si="65"/>
        <v>1.704196853991254</v>
      </c>
      <c r="AH1881" s="47">
        <v>236</v>
      </c>
      <c r="AI1881">
        <v>286.52</v>
      </c>
      <c r="AJ1881">
        <v>299.86</v>
      </c>
      <c r="AK1881">
        <v>511.03</v>
      </c>
      <c r="AL1881" s="57">
        <f t="shared" si="50"/>
        <v>1.7042286400320148</v>
      </c>
      <c r="AM1881" s="47">
        <v>162</v>
      </c>
      <c r="AN1881" s="57">
        <v>343.82</v>
      </c>
      <c r="AO1881" s="57">
        <v>343.98</v>
      </c>
      <c r="AP1881" s="57">
        <v>586.21</v>
      </c>
      <c r="AQ1881" s="57">
        <f t="shared" si="52"/>
        <v>1.7041979184836329</v>
      </c>
      <c r="AR1881" s="59">
        <v>26670</v>
      </c>
      <c r="AS1881" s="59">
        <f>SUMIFS(HIX_RatingAreas[Silver Enrollments 2018],HIX_RatingAreas[Area],HIX_SLCSP[[#This Row],[Area Code]])</f>
        <v>18543</v>
      </c>
      <c r="AT1881" s="59">
        <f>SUMIFS(HIX_RatingAreas[Silver Enrollments 2019],HIX_RatingAreas[Area],HIX_SLCSP[[#This Row],[Area Code]])</f>
        <v>18705</v>
      </c>
      <c r="AU1881" s="59">
        <f>SUMIFS(HIX_RatingAreas[Silver Enrollments 2020],HIX_RatingAreas[Area],HIX_SLCSP[[#This Row],[Area Code]])</f>
        <v>18079</v>
      </c>
      <c r="AV1881" s="59">
        <f>SUMIFS(HIX_RatingAreas[Silver Enrollments 2021],HIX_RatingAreas[Area],HIX_SLCSP[[#This Row],[Area Code]])</f>
        <v>17878</v>
      </c>
      <c r="AW1881" s="59">
        <f>SUMIFS(HIX_RatingAreas[Silver Enrollments 2022],HIX_RatingAreas[Area],HIX_SLCSP[[#This Row],[Area Code]])</f>
        <v>23208</v>
      </c>
      <c r="AX1881" s="59">
        <f>SUMIFS(HIX_RatingAreas[Silver Enrollments 2023],HIX_RatingAreas[Area],HIX_SLCSP[[#This Row],[Area Code]])</f>
        <v>27904</v>
      </c>
      <c r="AY1881" s="59">
        <f>SUMIFS(HIX_RatingAreas[Silver Enrollments 2024],HIX_RatingAreas[Area],HIX_SLCSP[[#This Row],[Area Code]])</f>
        <v>42096</v>
      </c>
      <c r="AZ1881" s="59">
        <v>34665</v>
      </c>
      <c r="BA1881">
        <f t="shared" si="54"/>
        <v>5.8970830150740089E-2</v>
      </c>
      <c r="BB1881">
        <f>SUMIFS(HIX_RatingAreas[QHP Enrollments 2018],HIX_RatingAreas[Area],HIX_SLCSP[[#This Row],[Area Code]])</f>
        <v>23458</v>
      </c>
      <c r="BC1881">
        <f t="shared" si="55"/>
        <v>4.8778256267791753E-2</v>
      </c>
      <c r="BD1881">
        <f>SUMIFS(HIX_RatingAreas[QHP Enrollments 2019],HIX_RatingAreas[Area],HIX_SLCSP[[#This Row],[Area Code]])</f>
        <v>23022</v>
      </c>
      <c r="BE1881">
        <f t="shared" si="56"/>
        <v>5.0218459679301629E-2</v>
      </c>
      <c r="BF1881">
        <f>SUMIFS(HIX_RatingAreas[QHP Enrollments 2020],HIX_RatingAreas[Area],HIX_SLCSP[[#This Row],[Area Code]])</f>
        <v>24248</v>
      </c>
      <c r="BG1881">
        <f t="shared" si="57"/>
        <v>5.2268759026535321E-2</v>
      </c>
      <c r="BH1881">
        <f>SUMIFS(HIX_RatingAreas[QHP Enrollments 2021],HIX_RatingAreas[Area],HIX_SLCSP[[#This Row],[Area Code]])</f>
        <v>27082</v>
      </c>
      <c r="BI1881">
        <f t="shared" si="58"/>
        <v>5.2371531947562722E-2</v>
      </c>
      <c r="BJ1881">
        <f>SUMIFS(HIX_RatingAreas[QHP Enrollments 2022],HIX_RatingAreas[Area],HIX_SLCSP[[#This Row],[Area Code]])</f>
        <v>37475</v>
      </c>
      <c r="BK1881">
        <f t="shared" si="59"/>
        <v>5.3449050468169466E-2</v>
      </c>
      <c r="BL1881">
        <f>SUMIFS(HIX_RatingAreas[QHP Enrollments 2023],HIX_RatingAreas[Area],HIX_SLCSP[[#This Row],[Area Code]])</f>
        <v>45764</v>
      </c>
      <c r="BM1881">
        <f t="shared" si="66"/>
        <v>5.2058733863885591E-2</v>
      </c>
      <c r="BN1881">
        <f>SUMIFS(HIX_RatingAreas[QHP Enrollments 2024],HIX_RatingAreas[Area],HIX_SLCSP[[#This Row],[Area Code]])</f>
        <v>67786</v>
      </c>
      <c r="BO1881">
        <f t="shared" si="60"/>
        <v>5.1938757840311267E-2</v>
      </c>
      <c r="BP1881" s="53">
        <f>ROUND(HIX_SLCSP[[#This Row],[Weighting Factor 2018]]*HIX_SLCSP[[#This Row],[2018]],2)</f>
        <v>15.6</v>
      </c>
      <c r="BQ1881" s="53">
        <f>ROUND(HIX_SLCSP[[#This Row],[Weighting Factor 2019]]*HIX_SLCSP[[#This Row],[2019]],2)</f>
        <v>17.25</v>
      </c>
      <c r="BR1881" s="53">
        <f>ROUND(HIX_SLCSP[[#This Row],[Weighting Factor 2020]]*HIX_SLCSP[[#This Row],[2020]],2)</f>
        <v>18.53</v>
      </c>
      <c r="BS1881" s="53">
        <f>ROUND(HIX_SLCSP[[#This Row],[Weighting Factor 2021]]*HIX_SLCSP[[#This Row],[2021]],2)</f>
        <v>14.76</v>
      </c>
      <c r="BT1881" s="53">
        <f>ROUND(HIX_SLCSP[[#This Row],[Weighting Factor 2022]]*HIX_SLCSP[[#This Row],[2022]],2)</f>
        <v>16.38</v>
      </c>
      <c r="BU1881" s="53">
        <f>ROUND(HIX_SLCSP[[#This Row],[Weighting Factor 2023]]*HIX_SLCSP[[#This Row],[2023]],2)</f>
        <v>15.61</v>
      </c>
      <c r="BV1881" s="53">
        <f>ROUND(HIX_SLCSP[[#This Row],[Weighting Factor 2024]]*HIX_SLCSP[[#This Row],[2024]],2)</f>
        <v>17.87</v>
      </c>
    </row>
    <row r="1882" spans="4:74" x14ac:dyDescent="0.35">
      <c r="D1882" t="s">
        <v>780</v>
      </c>
      <c r="E1882" t="s">
        <v>581</v>
      </c>
      <c r="F1882" s="23">
        <v>15</v>
      </c>
      <c r="G1882" s="23" t="s">
        <v>781</v>
      </c>
      <c r="H1882" s="23" t="s">
        <v>1026</v>
      </c>
      <c r="I1882" s="23">
        <v>32</v>
      </c>
      <c r="J1882" s="53">
        <v>606.91</v>
      </c>
      <c r="K1882" s="53">
        <v>633.91</v>
      </c>
      <c r="L1882" s="53">
        <v>1080.32</v>
      </c>
      <c r="M1882" s="54">
        <f t="shared" si="61"/>
        <v>1.7042166869113913</v>
      </c>
      <c r="N1882" s="24">
        <v>52</v>
      </c>
      <c r="O1882" s="55">
        <v>267.27999999999997</v>
      </c>
      <c r="P1882" s="56">
        <v>281.06</v>
      </c>
      <c r="Q1882" s="56">
        <v>478.98</v>
      </c>
      <c r="R1882" s="57">
        <f t="shared" si="62"/>
        <v>1.7041912758841529</v>
      </c>
      <c r="S1882" s="23">
        <v>32</v>
      </c>
      <c r="T1882" s="53">
        <v>316.38</v>
      </c>
      <c r="U1882" s="53">
        <v>346.5</v>
      </c>
      <c r="V1882" s="53">
        <v>590.5</v>
      </c>
      <c r="W1882" s="57">
        <f t="shared" si="63"/>
        <v>1.7041847041847042</v>
      </c>
      <c r="X1882" s="47">
        <v>104</v>
      </c>
      <c r="Y1882" s="58">
        <v>278.81</v>
      </c>
      <c r="Z1882" s="58">
        <v>284.88</v>
      </c>
      <c r="AA1882" s="58">
        <v>485.48</v>
      </c>
      <c r="AB1882" s="57">
        <f t="shared" si="64"/>
        <v>1.7041561359168773</v>
      </c>
      <c r="AC1882" s="47">
        <v>155</v>
      </c>
      <c r="AD1882" s="57">
        <v>234.99</v>
      </c>
      <c r="AE1882" s="57">
        <v>237.3</v>
      </c>
      <c r="AF1882" s="57">
        <v>404.41</v>
      </c>
      <c r="AG1882" s="57">
        <f t="shared" si="65"/>
        <v>1.7042140750105352</v>
      </c>
      <c r="AH1882" s="47">
        <v>170</v>
      </c>
      <c r="AI1882">
        <v>250.77</v>
      </c>
      <c r="AJ1882">
        <v>253.41</v>
      </c>
      <c r="AK1882">
        <v>431.86</v>
      </c>
      <c r="AL1882" s="57">
        <f t="shared" si="50"/>
        <v>1.7041947831577287</v>
      </c>
      <c r="AM1882" s="47">
        <v>154</v>
      </c>
      <c r="AN1882" s="57">
        <v>277.57</v>
      </c>
      <c r="AO1882" s="57">
        <v>277.69</v>
      </c>
      <c r="AP1882" s="57">
        <v>473.24</v>
      </c>
      <c r="AQ1882" s="57">
        <f t="shared" si="52"/>
        <v>1.7042025279988477</v>
      </c>
      <c r="AR1882" s="59">
        <v>12438</v>
      </c>
      <c r="AS1882" s="59">
        <f>SUMIFS(HIX_RatingAreas[Silver Enrollments 2018],HIX_RatingAreas[Area],HIX_SLCSP[[#This Row],[Area Code]])</f>
        <v>10314</v>
      </c>
      <c r="AT1882" s="59">
        <f>SUMIFS(HIX_RatingAreas[Silver Enrollments 2019],HIX_RatingAreas[Area],HIX_SLCSP[[#This Row],[Area Code]])</f>
        <v>10172</v>
      </c>
      <c r="AU1882" s="59">
        <f>SUMIFS(HIX_RatingAreas[Silver Enrollments 2020],HIX_RatingAreas[Area],HIX_SLCSP[[#This Row],[Area Code]])</f>
        <v>10231</v>
      </c>
      <c r="AV1882" s="59">
        <f>SUMIFS(HIX_RatingAreas[Silver Enrollments 2021],HIX_RatingAreas[Area],HIX_SLCSP[[#This Row],[Area Code]])</f>
        <v>9892</v>
      </c>
      <c r="AW1882" s="59">
        <f>SUMIFS(HIX_RatingAreas[Silver Enrollments 2022],HIX_RatingAreas[Area],HIX_SLCSP[[#This Row],[Area Code]])</f>
        <v>13200</v>
      </c>
      <c r="AX1882" s="59">
        <f>SUMIFS(HIX_RatingAreas[Silver Enrollments 2023],HIX_RatingAreas[Area],HIX_SLCSP[[#This Row],[Area Code]])</f>
        <v>13640</v>
      </c>
      <c r="AY1882" s="59">
        <f>SUMIFS(HIX_RatingAreas[Silver Enrollments 2024],HIX_RatingAreas[Area],HIX_SLCSP[[#This Row],[Area Code]])</f>
        <v>37793</v>
      </c>
      <c r="AZ1882" s="59">
        <v>16425</v>
      </c>
      <c r="BA1882">
        <f t="shared" si="54"/>
        <v>2.7941609266577412E-2</v>
      </c>
      <c r="BB1882">
        <f>SUMIFS(HIX_RatingAreas[QHP Enrollments 2018],HIX_RatingAreas[Area],HIX_SLCSP[[#This Row],[Area Code]])</f>
        <v>12661</v>
      </c>
      <c r="BC1882">
        <f t="shared" si="55"/>
        <v>2.6327116659839347E-2</v>
      </c>
      <c r="BD1882">
        <f>SUMIFS(HIX_RatingAreas[QHP Enrollments 2019],HIX_RatingAreas[Area],HIX_SLCSP[[#This Row],[Area Code]])</f>
        <v>12224</v>
      </c>
      <c r="BE1882">
        <f t="shared" si="56"/>
        <v>2.6664514426191603E-2</v>
      </c>
      <c r="BF1882">
        <f>SUMIFS(HIX_RatingAreas[QHP Enrollments 2020],HIX_RatingAreas[Area],HIX_SLCSP[[#This Row],[Area Code]])</f>
        <v>12728</v>
      </c>
      <c r="BG1882">
        <f t="shared" si="57"/>
        <v>2.7436356189778188E-2</v>
      </c>
      <c r="BH1882">
        <f>SUMIFS(HIX_RatingAreas[QHP Enrollments 2021],HIX_RatingAreas[Area],HIX_SLCSP[[#This Row],[Area Code]])</f>
        <v>13598</v>
      </c>
      <c r="BI1882">
        <f t="shared" si="58"/>
        <v>2.629599333221172E-2</v>
      </c>
      <c r="BJ1882">
        <f>SUMIFS(HIX_RatingAreas[QHP Enrollments 2022],HIX_RatingAreas[Area],HIX_SLCSP[[#This Row],[Area Code]])</f>
        <v>19513</v>
      </c>
      <c r="BK1882">
        <f t="shared" si="59"/>
        <v>2.7830588973592817E-2</v>
      </c>
      <c r="BL1882">
        <f>SUMIFS(HIX_RatingAreas[QHP Enrollments 2023],HIX_RatingAreas[Area],HIX_SLCSP[[#This Row],[Area Code]])</f>
        <v>27066</v>
      </c>
      <c r="BM1882">
        <f t="shared" si="66"/>
        <v>3.0788866592953573E-2</v>
      </c>
      <c r="BN1882">
        <f>SUMIFS(HIX_RatingAreas[QHP Enrollments 2024],HIX_RatingAreas[Area],HIX_SLCSP[[#This Row],[Area Code]])</f>
        <v>50727</v>
      </c>
      <c r="BO1882">
        <f t="shared" si="60"/>
        <v>3.8867869013741327E-2</v>
      </c>
      <c r="BP1882" s="53">
        <f>ROUND(HIX_SLCSP[[#This Row],[Weighting Factor 2018]]*HIX_SLCSP[[#This Row],[2018]],2)</f>
        <v>16.690000000000001</v>
      </c>
      <c r="BQ1882" s="53">
        <f>ROUND(HIX_SLCSP[[#This Row],[Weighting Factor 2019]]*HIX_SLCSP[[#This Row],[2019]],2)</f>
        <v>7.49</v>
      </c>
      <c r="BR1882" s="53">
        <f>ROUND(HIX_SLCSP[[#This Row],[Weighting Factor 2020]]*HIX_SLCSP[[#This Row],[2020]],2)</f>
        <v>9.51</v>
      </c>
      <c r="BS1882" s="53">
        <f>ROUND(HIX_SLCSP[[#This Row],[Weighting Factor 2021]]*HIX_SLCSP[[#This Row],[2021]],2)</f>
        <v>7.49</v>
      </c>
      <c r="BT1882" s="53">
        <f>ROUND(HIX_SLCSP[[#This Row],[Weighting Factor 2022]]*HIX_SLCSP[[#This Row],[2022]],2)</f>
        <v>6.6</v>
      </c>
      <c r="BU1882" s="53">
        <f>ROUND(HIX_SLCSP[[#This Row],[Weighting Factor 2023]]*HIX_SLCSP[[#This Row],[2023]],2)</f>
        <v>7.8</v>
      </c>
      <c r="BV1882" s="53">
        <f>ROUND(HIX_SLCSP[[#This Row],[Weighting Factor 2024]]*HIX_SLCSP[[#This Row],[2024]],2)</f>
        <v>10.79</v>
      </c>
    </row>
    <row r="1883" spans="4:74" x14ac:dyDescent="0.35">
      <c r="D1883" t="s">
        <v>780</v>
      </c>
      <c r="E1883" t="s">
        <v>585</v>
      </c>
      <c r="F1883" s="23">
        <v>16</v>
      </c>
      <c r="G1883" s="23" t="s">
        <v>781</v>
      </c>
      <c r="H1883" s="23" t="s">
        <v>1060</v>
      </c>
      <c r="I1883" s="23">
        <v>41</v>
      </c>
      <c r="J1883" s="53">
        <v>449.62</v>
      </c>
      <c r="K1883" s="53">
        <v>469.63</v>
      </c>
      <c r="L1883" s="53">
        <v>800.34</v>
      </c>
      <c r="M1883" s="54">
        <f t="shared" si="61"/>
        <v>1.7041926623086261</v>
      </c>
      <c r="N1883" s="24">
        <v>8</v>
      </c>
      <c r="O1883" s="55">
        <v>458</v>
      </c>
      <c r="P1883" s="56">
        <v>549.03</v>
      </c>
      <c r="Q1883" s="56">
        <v>935.65</v>
      </c>
      <c r="R1883" s="57">
        <f t="shared" si="62"/>
        <v>1.7041873850244977</v>
      </c>
      <c r="S1883" s="23">
        <v>41</v>
      </c>
      <c r="T1883" s="53">
        <v>303.26</v>
      </c>
      <c r="U1883" s="53">
        <v>305.2</v>
      </c>
      <c r="V1883" s="53">
        <v>520.12</v>
      </c>
      <c r="W1883" s="57">
        <f t="shared" si="63"/>
        <v>1.7041939711664482</v>
      </c>
      <c r="X1883" s="47">
        <v>104</v>
      </c>
      <c r="Y1883" s="58">
        <v>269.81</v>
      </c>
      <c r="Z1883" s="58">
        <v>275.67</v>
      </c>
      <c r="AA1883" s="58">
        <v>469.8</v>
      </c>
      <c r="AB1883" s="57">
        <f t="shared" si="64"/>
        <v>1.7042115572967678</v>
      </c>
      <c r="AC1883" s="47">
        <v>93</v>
      </c>
      <c r="AD1883" s="57">
        <v>236.92</v>
      </c>
      <c r="AE1883" s="57">
        <v>248.55</v>
      </c>
      <c r="AF1883" s="57">
        <v>423.57</v>
      </c>
      <c r="AG1883" s="57">
        <f t="shared" si="65"/>
        <v>1.7041641520820758</v>
      </c>
      <c r="AH1883" s="47">
        <v>170</v>
      </c>
      <c r="AI1883">
        <v>253.15</v>
      </c>
      <c r="AJ1883">
        <v>253.79</v>
      </c>
      <c r="AK1883">
        <v>432.51</v>
      </c>
      <c r="AL1883" s="57">
        <f t="shared" si="50"/>
        <v>1.7042042633673509</v>
      </c>
      <c r="AM1883" s="47">
        <v>114</v>
      </c>
      <c r="AN1883" s="57">
        <v>308.49</v>
      </c>
      <c r="AO1883" s="57">
        <v>308.63</v>
      </c>
      <c r="AP1883" s="57">
        <v>525.96</v>
      </c>
      <c r="AQ1883" s="57">
        <f t="shared" si="52"/>
        <v>1.7041765220490557</v>
      </c>
      <c r="AR1883" s="59">
        <v>2461</v>
      </c>
      <c r="AS1883" s="59">
        <f>SUMIFS(HIX_RatingAreas[Silver Enrollments 2018],HIX_RatingAreas[Area],HIX_SLCSP[[#This Row],[Area Code]])</f>
        <v>1798</v>
      </c>
      <c r="AT1883" s="59">
        <f>SUMIFS(HIX_RatingAreas[Silver Enrollments 2019],HIX_RatingAreas[Area],HIX_SLCSP[[#This Row],[Area Code]])</f>
        <v>1665</v>
      </c>
      <c r="AU1883" s="59">
        <f>SUMIFS(HIX_RatingAreas[Silver Enrollments 2020],HIX_RatingAreas[Area],HIX_SLCSP[[#This Row],[Area Code]])</f>
        <v>1570</v>
      </c>
      <c r="AV1883" s="59">
        <f>SUMIFS(HIX_RatingAreas[Silver Enrollments 2021],HIX_RatingAreas[Area],HIX_SLCSP[[#This Row],[Area Code]])</f>
        <v>1403</v>
      </c>
      <c r="AW1883" s="59">
        <f>SUMIFS(HIX_RatingAreas[Silver Enrollments 2022],HIX_RatingAreas[Area],HIX_SLCSP[[#This Row],[Area Code]])</f>
        <v>2207</v>
      </c>
      <c r="AX1883" s="59">
        <f>SUMIFS(HIX_RatingAreas[Silver Enrollments 2023],HIX_RatingAreas[Area],HIX_SLCSP[[#This Row],[Area Code]])</f>
        <v>3291</v>
      </c>
      <c r="AY1883" s="59">
        <f>SUMIFS(HIX_RatingAreas[Silver Enrollments 2024],HIX_RatingAreas[Area],HIX_SLCSP[[#This Row],[Area Code]])</f>
        <v>6999</v>
      </c>
      <c r="AZ1883" s="59">
        <v>3094</v>
      </c>
      <c r="BA1883">
        <f t="shared" si="54"/>
        <v>5.2633996390131213E-3</v>
      </c>
      <c r="BB1883">
        <f>SUMIFS(HIX_RatingAreas[QHP Enrollments 2018],HIX_RatingAreas[Area],HIX_SLCSP[[#This Row],[Area Code]])</f>
        <v>2204</v>
      </c>
      <c r="BC1883">
        <f t="shared" si="55"/>
        <v>4.5829685742268316E-3</v>
      </c>
      <c r="BD1883">
        <f>SUMIFS(HIX_RatingAreas[QHP Enrollments 2019],HIX_RatingAreas[Area],HIX_SLCSP[[#This Row],[Area Code]])</f>
        <v>2034</v>
      </c>
      <c r="BE1883">
        <f t="shared" si="56"/>
        <v>4.4368146550125753E-3</v>
      </c>
      <c r="BF1883">
        <f>SUMIFS(HIX_RatingAreas[QHP Enrollments 2020],HIX_RatingAreas[Area],HIX_SLCSP[[#This Row],[Area Code]])</f>
        <v>2066</v>
      </c>
      <c r="BG1883">
        <f t="shared" si="57"/>
        <v>4.4534500226337008E-3</v>
      </c>
      <c r="BH1883">
        <f>SUMIFS(HIX_RatingAreas[QHP Enrollments 2021],HIX_RatingAreas[Area],HIX_SLCSP[[#This Row],[Area Code]])</f>
        <v>2056</v>
      </c>
      <c r="BI1883">
        <f t="shared" si="58"/>
        <v>3.9759201567162302E-3</v>
      </c>
      <c r="BJ1883">
        <f>SUMIFS(HIX_RatingAreas[QHP Enrollments 2022],HIX_RatingAreas[Area],HIX_SLCSP[[#This Row],[Area Code]])</f>
        <v>3075</v>
      </c>
      <c r="BK1883">
        <f t="shared" si="59"/>
        <v>4.38574596903592E-3</v>
      </c>
      <c r="BL1883">
        <f>SUMIFS(HIX_RatingAreas[QHP Enrollments 2023],HIX_RatingAreas[Area],HIX_SLCSP[[#This Row],[Area Code]])</f>
        <v>4487</v>
      </c>
      <c r="BM1883">
        <f t="shared" si="66"/>
        <v>5.1041766202092175E-3</v>
      </c>
      <c r="BN1883">
        <f>SUMIFS(HIX_RatingAreas[QHP Enrollments 2024],HIX_RatingAreas[Area],HIX_SLCSP[[#This Row],[Area Code]])</f>
        <v>8794</v>
      </c>
      <c r="BO1883">
        <f t="shared" si="60"/>
        <v>6.7381087016153375E-3</v>
      </c>
      <c r="BP1883" s="53">
        <f>ROUND(HIX_SLCSP[[#This Row],[Weighting Factor 2018]]*HIX_SLCSP[[#This Row],[2018]],2)</f>
        <v>2.15</v>
      </c>
      <c r="BQ1883" s="53">
        <f>ROUND(HIX_SLCSP[[#This Row],[Weighting Factor 2019]]*HIX_SLCSP[[#This Row],[2019]],2)</f>
        <v>2.44</v>
      </c>
      <c r="BR1883" s="53">
        <f>ROUND(HIX_SLCSP[[#This Row],[Weighting Factor 2020]]*HIX_SLCSP[[#This Row],[2020]],2)</f>
        <v>1.36</v>
      </c>
      <c r="BS1883" s="53">
        <f>ROUND(HIX_SLCSP[[#This Row],[Weighting Factor 2021]]*HIX_SLCSP[[#This Row],[2021]],2)</f>
        <v>1.1000000000000001</v>
      </c>
      <c r="BT1883" s="53">
        <f>ROUND(HIX_SLCSP[[#This Row],[Weighting Factor 2022]]*HIX_SLCSP[[#This Row],[2022]],2)</f>
        <v>1.0900000000000001</v>
      </c>
      <c r="BU1883" s="53">
        <f>ROUND(HIX_SLCSP[[#This Row],[Weighting Factor 2023]]*HIX_SLCSP[[#This Row],[2023]],2)</f>
        <v>1.3</v>
      </c>
      <c r="BV1883" s="53">
        <f>ROUND(HIX_SLCSP[[#This Row],[Weighting Factor 2024]]*HIX_SLCSP[[#This Row],[2024]],2)</f>
        <v>2.08</v>
      </c>
    </row>
    <row r="1884" spans="4:74" x14ac:dyDescent="0.35">
      <c r="D1884" t="s">
        <v>1067</v>
      </c>
      <c r="E1884" t="s">
        <v>2597</v>
      </c>
      <c r="F1884" s="23"/>
      <c r="G1884" s="23"/>
      <c r="H1884" s="23"/>
      <c r="I1884" s="23"/>
      <c r="J1884" s="53"/>
      <c r="K1884" s="53">
        <f>SUM(BP1885:BP1892)</f>
        <v>383.03000000000003</v>
      </c>
      <c r="L1884" s="53"/>
      <c r="M1884" s="54"/>
      <c r="O1884" s="55"/>
      <c r="P1884" s="56">
        <f>SUM(BQ1885:BQ1892)</f>
        <v>374.69</v>
      </c>
      <c r="Q1884" s="56"/>
      <c r="R1884" s="57"/>
      <c r="S1884" s="23"/>
      <c r="T1884" s="53"/>
      <c r="U1884" s="53">
        <f>SUM(BR1885:BR1892)</f>
        <v>383.24</v>
      </c>
      <c r="V1884" s="53"/>
      <c r="W1884" s="57"/>
      <c r="X1884" s="47"/>
      <c r="Y1884" s="58"/>
      <c r="Z1884" s="53">
        <f>SUM(BS1885:BS1892)</f>
        <v>443.15999999999997</v>
      </c>
      <c r="AA1884" s="58"/>
      <c r="AB1884" s="57"/>
      <c r="AC1884" s="47"/>
      <c r="AD1884" s="57"/>
      <c r="AE1884" s="53">
        <f>SUM(BT1885:BT1892)</f>
        <v>412.74</v>
      </c>
      <c r="AF1884" s="57"/>
      <c r="AG1884" s="57"/>
      <c r="AH1884" s="47"/>
      <c r="AI1884" s="57"/>
      <c r="AJ1884" s="53">
        <f>SUM(BU1885:BU1892)</f>
        <v>430.03999999999996</v>
      </c>
      <c r="AK1884" s="57"/>
      <c r="AL1884" s="57"/>
      <c r="AM1884" s="47"/>
      <c r="AN1884" s="57"/>
      <c r="AO1884" s="53">
        <f>SUM(BV1885:BV1892)</f>
        <v>435.68000000000006</v>
      </c>
      <c r="AP1884" s="57"/>
      <c r="AQ1884" s="57"/>
      <c r="AR1884" s="59">
        <f t="shared" ref="AR1884:AZ1884" si="67">SUM(AR1885:AR1892)</f>
        <v>151153</v>
      </c>
      <c r="AS1884" s="59">
        <f t="shared" si="67"/>
        <v>69759</v>
      </c>
      <c r="AT1884" s="59">
        <f t="shared" si="67"/>
        <v>58081</v>
      </c>
      <c r="AU1884" s="59">
        <f t="shared" si="67"/>
        <v>52937</v>
      </c>
      <c r="AV1884" s="59">
        <f t="shared" si="67"/>
        <v>48896</v>
      </c>
      <c r="AW1884" s="59">
        <f t="shared" si="67"/>
        <v>55587</v>
      </c>
      <c r="AX1884" s="59">
        <f t="shared" si="67"/>
        <v>64705</v>
      </c>
      <c r="AY1884" s="59">
        <f t="shared" si="67"/>
        <v>106044</v>
      </c>
      <c r="AZ1884" s="59">
        <f t="shared" si="67"/>
        <v>214143</v>
      </c>
      <c r="BA1884">
        <f t="shared" ref="BA1884:BA1892" si="68">AZ1884/AZ$1884</f>
        <v>1</v>
      </c>
      <c r="BB1884" s="59">
        <f>SUM(BB1885:BB1892)</f>
        <v>109855</v>
      </c>
      <c r="BC1884">
        <f>BB1884/BB$1884</f>
        <v>1</v>
      </c>
      <c r="BD1884" s="59">
        <f>SUM(BD1885:BD1892)</f>
        <v>92948</v>
      </c>
      <c r="BE1884">
        <f t="shared" ref="BE1884:BE1892" si="69">BD1884/BD$1884</f>
        <v>1</v>
      </c>
      <c r="BF1884" s="59">
        <f>SUM(BF1885:BF1892)</f>
        <v>87748</v>
      </c>
      <c r="BG1884">
        <f t="shared" ref="BG1884:BG1892" si="70">BF1884/BF$1884</f>
        <v>1</v>
      </c>
      <c r="BH1884" s="59">
        <f>SUM(BH1885:BH1892)</f>
        <v>83159</v>
      </c>
      <c r="BI1884">
        <f t="shared" ref="BI1884:BI1892" si="71">BH1884/BH$1884</f>
        <v>1</v>
      </c>
      <c r="BJ1884" s="59">
        <f>SUM(BJ1885:BJ1892)</f>
        <v>99626</v>
      </c>
      <c r="BK1884">
        <f t="shared" ref="BK1884:BK1892" si="72">BJ1884/BJ$1884</f>
        <v>1</v>
      </c>
      <c r="BL1884" s="59">
        <f>SUM(BL1885:BL1892)</f>
        <v>120804</v>
      </c>
      <c r="BM1884">
        <f>BL1884/BL$1884</f>
        <v>1</v>
      </c>
      <c r="BN1884" s="59">
        <f>SUM(BN1885:BN1892)</f>
        <v>212493</v>
      </c>
      <c r="BO1884">
        <f t="shared" ref="BO1884:BO1892" si="73">BN1884/BN$1884</f>
        <v>1</v>
      </c>
      <c r="BP1884" s="53"/>
      <c r="BQ1884" s="53"/>
      <c r="BR1884" s="53"/>
      <c r="BS1884" s="53"/>
      <c r="BT1884" s="53"/>
      <c r="BU1884" s="53"/>
      <c r="BV1884" s="53"/>
    </row>
    <row r="1885" spans="4:74" x14ac:dyDescent="0.35">
      <c r="D1885" t="s">
        <v>1067</v>
      </c>
      <c r="E1885" t="s">
        <v>231</v>
      </c>
      <c r="F1885" s="23">
        <v>1</v>
      </c>
      <c r="G1885" s="23" t="s">
        <v>1068</v>
      </c>
      <c r="H1885" s="23" t="s">
        <v>1069</v>
      </c>
      <c r="I1885" s="23">
        <v>48</v>
      </c>
      <c r="J1885" s="53">
        <v>335.1</v>
      </c>
      <c r="K1885" s="53">
        <v>337.56</v>
      </c>
      <c r="L1885" s="53">
        <v>575.27</v>
      </c>
      <c r="M1885" s="54">
        <f t="shared" ref="M1885:M1892" si="74">L1885/K1885</f>
        <v>1.7042007346842043</v>
      </c>
      <c r="N1885" s="24">
        <v>60</v>
      </c>
      <c r="O1885" s="55">
        <v>314.76</v>
      </c>
      <c r="P1885" s="56">
        <v>349.73</v>
      </c>
      <c r="Q1885" s="56">
        <v>596.01</v>
      </c>
      <c r="R1885" s="57">
        <f t="shared" ref="R1885:R1899" si="75">Q1885/P1885</f>
        <v>1.7042003831527177</v>
      </c>
      <c r="S1885" s="23">
        <v>48</v>
      </c>
      <c r="T1885" s="53">
        <v>353.28</v>
      </c>
      <c r="U1885" s="53">
        <v>355.84</v>
      </c>
      <c r="V1885" s="53">
        <v>606.41999999999996</v>
      </c>
      <c r="W1885" s="57">
        <f t="shared" ref="W1885:W1892" si="76">V1885/U1885</f>
        <v>1.7041928956834533</v>
      </c>
      <c r="X1885" s="47">
        <v>40</v>
      </c>
      <c r="Y1885" s="58">
        <v>389.58</v>
      </c>
      <c r="Z1885" s="58">
        <v>432.87</v>
      </c>
      <c r="AA1885" s="58">
        <v>737.69</v>
      </c>
      <c r="AB1885" s="57">
        <f t="shared" ref="AB1885:AB1899" si="77">AA1885/Z1885</f>
        <v>1.7041837041143995</v>
      </c>
      <c r="AC1885" s="47">
        <v>77</v>
      </c>
      <c r="AD1885" s="57">
        <v>375.48</v>
      </c>
      <c r="AE1885" s="57">
        <v>375.48</v>
      </c>
      <c r="AF1885" s="57">
        <v>639.89</v>
      </c>
      <c r="AG1885" s="57">
        <f t="shared" ref="AG1885:AG1892" si="78">AF1885/AE1885</f>
        <v>1.7041919676147863</v>
      </c>
      <c r="AH1885" s="47">
        <v>113</v>
      </c>
      <c r="AI1885">
        <v>381.26</v>
      </c>
      <c r="AJ1885">
        <v>393.96</v>
      </c>
      <c r="AK1885">
        <v>671.39</v>
      </c>
      <c r="AL1885" s="57">
        <f t="shared" si="50"/>
        <v>1.7042085490912784</v>
      </c>
      <c r="AM1885" s="47">
        <v>89</v>
      </c>
      <c r="AN1885" s="57">
        <v>385.3</v>
      </c>
      <c r="AO1885" s="57">
        <v>404.76</v>
      </c>
      <c r="AP1885" s="57">
        <v>689.79</v>
      </c>
      <c r="AQ1885" s="57">
        <f t="shared" si="52"/>
        <v>1.7041950785650755</v>
      </c>
      <c r="AR1885" s="59">
        <v>53921</v>
      </c>
      <c r="AS1885" s="59">
        <f>SUMIFS(HIX_RatingAreas[Silver Enrollments 2018],HIX_RatingAreas[Area],HIX_SLCSP[[#This Row],[Area Code]])</f>
        <v>26279</v>
      </c>
      <c r="AT1885" s="59">
        <f>SUMIFS(HIX_RatingAreas[Silver Enrollments 2019],HIX_RatingAreas[Area],HIX_SLCSP[[#This Row],[Area Code]])</f>
        <v>20468</v>
      </c>
      <c r="AU1885" s="59">
        <f>SUMIFS(HIX_RatingAreas[Silver Enrollments 2020],HIX_RatingAreas[Area],HIX_SLCSP[[#This Row],[Area Code]])</f>
        <v>18300</v>
      </c>
      <c r="AV1885" s="59">
        <f>SUMIFS(HIX_RatingAreas[Silver Enrollments 2021],HIX_RatingAreas[Area],HIX_SLCSP[[#This Row],[Area Code]])</f>
        <v>16415</v>
      </c>
      <c r="AW1885" s="59">
        <f>SUMIFS(HIX_RatingAreas[Silver Enrollments 2022],HIX_RatingAreas[Area],HIX_SLCSP[[#This Row],[Area Code]])</f>
        <v>17491</v>
      </c>
      <c r="AX1885" s="59">
        <f>SUMIFS(HIX_RatingAreas[Silver Enrollments 2023],HIX_RatingAreas[Area],HIX_SLCSP[[#This Row],[Area Code]])</f>
        <v>20421</v>
      </c>
      <c r="AY1885" s="59">
        <f>SUMIFS(HIX_RatingAreas[Silver Enrollments 2024],HIX_RatingAreas[Area],HIX_SLCSP[[#This Row],[Area Code]])</f>
        <v>36256</v>
      </c>
      <c r="AZ1885" s="59">
        <v>74438</v>
      </c>
      <c r="BA1885">
        <f t="shared" si="68"/>
        <v>0.34760884082132032</v>
      </c>
      <c r="BB1885">
        <f>SUMIFS(HIX_RatingAreas[QHP Enrollments 2018],HIX_RatingAreas[Area],HIX_SLCSP[[#This Row],[Area Code]])</f>
        <v>38886</v>
      </c>
      <c r="BC1885">
        <f t="shared" ref="BC1885:BC1892" si="79">BB1885/BB$1884</f>
        <v>0.35397569523462746</v>
      </c>
      <c r="BD1885">
        <f>SUMIFS(HIX_RatingAreas[QHP Enrollments 2019],HIX_RatingAreas[Area],HIX_SLCSP[[#This Row],[Area Code]])</f>
        <v>30749</v>
      </c>
      <c r="BE1885">
        <f t="shared" si="69"/>
        <v>0.33081938288075052</v>
      </c>
      <c r="BF1885">
        <f>SUMIFS(HIX_RatingAreas[QHP Enrollments 2020],HIX_RatingAreas[Area],HIX_SLCSP[[#This Row],[Area Code]])</f>
        <v>28342</v>
      </c>
      <c r="BG1885">
        <f t="shared" si="70"/>
        <v>0.3229931166522314</v>
      </c>
      <c r="BH1885">
        <f>SUMIFS(HIX_RatingAreas[QHP Enrollments 2021],HIX_RatingAreas[Area],HIX_SLCSP[[#This Row],[Area Code]])</f>
        <v>26268</v>
      </c>
      <c r="BI1885">
        <f t="shared" si="71"/>
        <v>0.31587681429550618</v>
      </c>
      <c r="BJ1885">
        <f>SUMIFS(HIX_RatingAreas[QHP Enrollments 2022],HIX_RatingAreas[Area],HIX_SLCSP[[#This Row],[Area Code]])</f>
        <v>30431</v>
      </c>
      <c r="BK1885">
        <f t="shared" si="72"/>
        <v>0.30545239194587759</v>
      </c>
      <c r="BL1885">
        <f>SUMIFS(HIX_RatingAreas[QHP Enrollments 2023],HIX_RatingAreas[Area],HIX_SLCSP[[#This Row],[Area Code]])</f>
        <v>35710</v>
      </c>
      <c r="BM1885">
        <f>BL1885/BL$1884</f>
        <v>0.29560279460944999</v>
      </c>
      <c r="BN1885">
        <f>SUMIFS(HIX_RatingAreas[QHP Enrollments 2024],HIX_RatingAreas[Area],HIX_SLCSP[[#This Row],[Area Code]])</f>
        <v>67340</v>
      </c>
      <c r="BO1885">
        <f t="shared" si="73"/>
        <v>0.31690455685599056</v>
      </c>
      <c r="BP1885" s="53">
        <f>ROUND(HIX_SLCSP[[#This Row],[Weighting Factor 2018]]*HIX_SLCSP[[#This Row],[2018]],2)</f>
        <v>119.49</v>
      </c>
      <c r="BQ1885" s="53">
        <f>ROUND(HIX_SLCSP[[#This Row],[Weighting Factor 2019]]*HIX_SLCSP[[#This Row],[2019]],2)</f>
        <v>115.7</v>
      </c>
      <c r="BR1885" s="53">
        <f>ROUND(HIX_SLCSP[[#This Row],[Weighting Factor 2020]]*HIX_SLCSP[[#This Row],[2020]],2)</f>
        <v>114.93</v>
      </c>
      <c r="BS1885" s="53">
        <f>ROUND(HIX_SLCSP[[#This Row],[Weighting Factor 2021]]*HIX_SLCSP[[#This Row],[2021]],2)</f>
        <v>136.72999999999999</v>
      </c>
      <c r="BT1885" s="53">
        <f>ROUND(HIX_SLCSP[[#This Row],[Weighting Factor 2022]]*HIX_SLCSP[[#This Row],[2022]],2)</f>
        <v>114.69</v>
      </c>
      <c r="BU1885" s="53">
        <f>ROUND(HIX_SLCSP[[#This Row],[Weighting Factor 2023]]*HIX_SLCSP[[#This Row],[2023]],2)</f>
        <v>116.46</v>
      </c>
      <c r="BV1885" s="53">
        <f>ROUND(HIX_SLCSP[[#This Row],[Weighting Factor 2024]]*HIX_SLCSP[[#This Row],[2024]],2)</f>
        <v>128.27000000000001</v>
      </c>
    </row>
    <row r="1886" spans="4:74" x14ac:dyDescent="0.35">
      <c r="D1886" t="s">
        <v>1067</v>
      </c>
      <c r="E1886" t="s">
        <v>235</v>
      </c>
      <c r="F1886" s="23">
        <v>2</v>
      </c>
      <c r="G1886" s="23" t="s">
        <v>1068</v>
      </c>
      <c r="H1886" s="23" t="s">
        <v>1086</v>
      </c>
      <c r="I1886" s="23">
        <v>30</v>
      </c>
      <c r="J1886" s="53">
        <v>370.48</v>
      </c>
      <c r="K1886" s="53">
        <v>409.67</v>
      </c>
      <c r="L1886" s="53">
        <v>698.17</v>
      </c>
      <c r="M1886" s="54">
        <f t="shared" si="74"/>
        <v>1.7042253521126758</v>
      </c>
      <c r="N1886" s="24">
        <v>32</v>
      </c>
      <c r="O1886" s="55">
        <v>349.73</v>
      </c>
      <c r="P1886" s="56">
        <v>395</v>
      </c>
      <c r="Q1886" s="56">
        <v>673.16</v>
      </c>
      <c r="R1886" s="57">
        <f t="shared" si="75"/>
        <v>1.7042025316455696</v>
      </c>
      <c r="S1886" s="23">
        <v>30</v>
      </c>
      <c r="T1886" s="53">
        <v>392.54</v>
      </c>
      <c r="U1886" s="53">
        <v>452.29</v>
      </c>
      <c r="V1886" s="53">
        <v>770.78</v>
      </c>
      <c r="W1886" s="57">
        <f t="shared" si="76"/>
        <v>1.7041721019699749</v>
      </c>
      <c r="X1886" s="47">
        <v>24</v>
      </c>
      <c r="Y1886" s="58">
        <v>432.87</v>
      </c>
      <c r="Z1886" s="58">
        <v>501.13</v>
      </c>
      <c r="AA1886" s="58">
        <v>854.03</v>
      </c>
      <c r="AB1886" s="57">
        <f t="shared" si="77"/>
        <v>1.7042084888152775</v>
      </c>
      <c r="AC1886" s="47">
        <v>14</v>
      </c>
      <c r="AD1886" s="57">
        <v>627.79999999999995</v>
      </c>
      <c r="AE1886" s="57">
        <v>630.03</v>
      </c>
      <c r="AF1886" s="57">
        <v>1073.69</v>
      </c>
      <c r="AG1886" s="57">
        <f t="shared" si="78"/>
        <v>1.7041886894274878</v>
      </c>
      <c r="AH1886" s="47">
        <v>38</v>
      </c>
      <c r="AI1886">
        <v>440.39</v>
      </c>
      <c r="AJ1886">
        <v>479.72</v>
      </c>
      <c r="AK1886">
        <v>817.54</v>
      </c>
      <c r="AL1886" s="57">
        <f t="shared" si="50"/>
        <v>1.7042024514300007</v>
      </c>
      <c r="AM1886" s="47">
        <v>27</v>
      </c>
      <c r="AN1886" s="57">
        <v>445.16</v>
      </c>
      <c r="AO1886" s="57">
        <v>489.09</v>
      </c>
      <c r="AP1886" s="57">
        <v>833.51</v>
      </c>
      <c r="AQ1886" s="57">
        <f t="shared" si="52"/>
        <v>1.7042057698992006</v>
      </c>
      <c r="AR1886" s="59">
        <v>5654</v>
      </c>
      <c r="AS1886" s="59">
        <f>SUMIFS(HIX_RatingAreas[Silver Enrollments 2018],HIX_RatingAreas[Area],HIX_SLCSP[[#This Row],[Area Code]])</f>
        <v>2780</v>
      </c>
      <c r="AT1886" s="59">
        <f>SUMIFS(HIX_RatingAreas[Silver Enrollments 2019],HIX_RatingAreas[Area],HIX_SLCSP[[#This Row],[Area Code]])</f>
        <v>2486</v>
      </c>
      <c r="AU1886" s="59">
        <f>SUMIFS(HIX_RatingAreas[Silver Enrollments 2020],HIX_RatingAreas[Area],HIX_SLCSP[[#This Row],[Area Code]])</f>
        <v>2344</v>
      </c>
      <c r="AV1886" s="59">
        <f>SUMIFS(HIX_RatingAreas[Silver Enrollments 2021],HIX_RatingAreas[Area],HIX_SLCSP[[#This Row],[Area Code]])</f>
        <v>2202</v>
      </c>
      <c r="AW1886" s="59">
        <f>SUMIFS(HIX_RatingAreas[Silver Enrollments 2022],HIX_RatingAreas[Area],HIX_SLCSP[[#This Row],[Area Code]])</f>
        <v>2704</v>
      </c>
      <c r="AX1886" s="59">
        <f>SUMIFS(HIX_RatingAreas[Silver Enrollments 2023],HIX_RatingAreas[Area],HIX_SLCSP[[#This Row],[Area Code]])</f>
        <v>5047</v>
      </c>
      <c r="AY1886" s="59">
        <f>SUMIFS(HIX_RatingAreas[Silver Enrollments 2024],HIX_RatingAreas[Area],HIX_SLCSP[[#This Row],[Area Code]])</f>
        <v>6242</v>
      </c>
      <c r="AZ1886" s="59">
        <v>7816</v>
      </c>
      <c r="BA1886">
        <f t="shared" si="68"/>
        <v>3.6498974984006012E-2</v>
      </c>
      <c r="BB1886">
        <f>SUMIFS(HIX_RatingAreas[QHP Enrollments 2018],HIX_RatingAreas[Area],HIX_SLCSP[[#This Row],[Area Code]])</f>
        <v>4179</v>
      </c>
      <c r="BC1886">
        <f t="shared" si="79"/>
        <v>3.8041054116790311E-2</v>
      </c>
      <c r="BD1886">
        <f>SUMIFS(HIX_RatingAreas[QHP Enrollments 2019],HIX_RatingAreas[Area],HIX_SLCSP[[#This Row],[Area Code]])</f>
        <v>3876</v>
      </c>
      <c r="BE1886">
        <f t="shared" si="69"/>
        <v>4.1700735895339326E-2</v>
      </c>
      <c r="BF1886">
        <f>SUMIFS(HIX_RatingAreas[QHP Enrollments 2020],HIX_RatingAreas[Area],HIX_SLCSP[[#This Row],[Area Code]])</f>
        <v>3768</v>
      </c>
      <c r="BG1886">
        <f t="shared" si="70"/>
        <v>4.2941149655832608E-2</v>
      </c>
      <c r="BH1886">
        <f>SUMIFS(HIX_RatingAreas[QHP Enrollments 2021],HIX_RatingAreas[Area],HIX_SLCSP[[#This Row],[Area Code]])</f>
        <v>3634</v>
      </c>
      <c r="BI1886">
        <f t="shared" si="71"/>
        <v>4.3699419184934883E-2</v>
      </c>
      <c r="BJ1886">
        <f>SUMIFS(HIX_RatingAreas[QHP Enrollments 2022],HIX_RatingAreas[Area],HIX_SLCSP[[#This Row],[Area Code]])</f>
        <v>4471</v>
      </c>
      <c r="BK1886">
        <f t="shared" si="72"/>
        <v>4.4877843133318614E-2</v>
      </c>
      <c r="BL1886">
        <f>SUMIFS(HIX_RatingAreas[QHP Enrollments 2023],HIX_RatingAreas[Area],HIX_SLCSP[[#This Row],[Area Code]])</f>
        <v>10566</v>
      </c>
      <c r="BM1886">
        <f t="shared" ref="BM1886:BM1892" si="80">BL1886/BL$1884</f>
        <v>8.7463991258567603E-2</v>
      </c>
      <c r="BN1886">
        <f>SUMIFS(HIX_RatingAreas[QHP Enrollments 2024],HIX_RatingAreas[Area],HIX_SLCSP[[#This Row],[Area Code]])</f>
        <v>15900</v>
      </c>
      <c r="BO1886">
        <f t="shared" si="73"/>
        <v>7.4825994268046481E-2</v>
      </c>
      <c r="BP1886" s="53">
        <f>ROUND(HIX_SLCSP[[#This Row],[Weighting Factor 2018]]*HIX_SLCSP[[#This Row],[2018]],2)</f>
        <v>15.58</v>
      </c>
      <c r="BQ1886" s="53">
        <f>ROUND(HIX_SLCSP[[#This Row],[Weighting Factor 2019]]*HIX_SLCSP[[#This Row],[2019]],2)</f>
        <v>16.47</v>
      </c>
      <c r="BR1886" s="53">
        <f>ROUND(HIX_SLCSP[[#This Row],[Weighting Factor 2020]]*HIX_SLCSP[[#This Row],[2020]],2)</f>
        <v>19.420000000000002</v>
      </c>
      <c r="BS1886" s="53">
        <f>ROUND(HIX_SLCSP[[#This Row],[Weighting Factor 2021]]*HIX_SLCSP[[#This Row],[2021]],2)</f>
        <v>21.9</v>
      </c>
      <c r="BT1886" s="53">
        <f>ROUND(HIX_SLCSP[[#This Row],[Weighting Factor 2022]]*HIX_SLCSP[[#This Row],[2022]],2)</f>
        <v>28.27</v>
      </c>
      <c r="BU1886" s="53">
        <f>ROUND(HIX_SLCSP[[#This Row],[Weighting Factor 2023]]*HIX_SLCSP[[#This Row],[2023]],2)</f>
        <v>41.96</v>
      </c>
      <c r="BV1886" s="53">
        <f>ROUND(HIX_SLCSP[[#This Row],[Weighting Factor 2024]]*HIX_SLCSP[[#This Row],[2024]],2)</f>
        <v>36.6</v>
      </c>
    </row>
    <row r="1887" spans="4:74" x14ac:dyDescent="0.35">
      <c r="D1887" t="s">
        <v>1067</v>
      </c>
      <c r="E1887" t="s">
        <v>239</v>
      </c>
      <c r="F1887" s="23">
        <v>3</v>
      </c>
      <c r="G1887" s="23" t="s">
        <v>1068</v>
      </c>
      <c r="H1887" s="23" t="s">
        <v>1093</v>
      </c>
      <c r="I1887" s="23">
        <v>39</v>
      </c>
      <c r="J1887" s="53">
        <v>373.52</v>
      </c>
      <c r="K1887" s="53">
        <v>393.18</v>
      </c>
      <c r="L1887" s="53">
        <v>670.05</v>
      </c>
      <c r="M1887" s="54">
        <f t="shared" si="74"/>
        <v>1.7041812910117502</v>
      </c>
      <c r="N1887" s="24">
        <v>40</v>
      </c>
      <c r="O1887" s="55">
        <v>350.85</v>
      </c>
      <c r="P1887" s="56">
        <v>369.32</v>
      </c>
      <c r="Q1887" s="56">
        <v>629.39</v>
      </c>
      <c r="R1887" s="57">
        <f t="shared" si="75"/>
        <v>1.7041860716993393</v>
      </c>
      <c r="S1887" s="23">
        <v>39</v>
      </c>
      <c r="T1887" s="53">
        <v>393.8</v>
      </c>
      <c r="U1887" s="53">
        <v>396.64</v>
      </c>
      <c r="V1887" s="53">
        <v>675.95</v>
      </c>
      <c r="W1887" s="57">
        <f t="shared" si="76"/>
        <v>1.7041901976603471</v>
      </c>
      <c r="X1887" s="47">
        <v>32</v>
      </c>
      <c r="Y1887" s="58">
        <v>434.25</v>
      </c>
      <c r="Z1887" s="58">
        <v>457.11</v>
      </c>
      <c r="AA1887" s="58">
        <v>779</v>
      </c>
      <c r="AB1887" s="57">
        <f t="shared" si="77"/>
        <v>1.7041849882960338</v>
      </c>
      <c r="AC1887" s="47">
        <v>48</v>
      </c>
      <c r="AD1887" s="57">
        <v>448.9</v>
      </c>
      <c r="AE1887" s="57">
        <v>458.03</v>
      </c>
      <c r="AF1887" s="57">
        <v>780.57</v>
      </c>
      <c r="AG1887" s="57">
        <f t="shared" si="78"/>
        <v>1.7041896818985658</v>
      </c>
      <c r="AH1887" s="47">
        <v>68</v>
      </c>
      <c r="AI1887">
        <v>439.13</v>
      </c>
      <c r="AJ1887">
        <v>465.06</v>
      </c>
      <c r="AK1887">
        <v>792.56</v>
      </c>
      <c r="AL1887" s="57">
        <f t="shared" si="50"/>
        <v>1.7042102094353415</v>
      </c>
      <c r="AM1887" s="47">
        <v>56</v>
      </c>
      <c r="AN1887" s="57">
        <v>443.78</v>
      </c>
      <c r="AO1887" s="57">
        <v>470.08</v>
      </c>
      <c r="AP1887" s="57">
        <v>801.11</v>
      </c>
      <c r="AQ1887" s="57">
        <f t="shared" si="52"/>
        <v>1.7041992852280463</v>
      </c>
      <c r="AR1887" s="59">
        <v>19551</v>
      </c>
      <c r="AS1887" s="59">
        <f>SUMIFS(HIX_RatingAreas[Silver Enrollments 2018],HIX_RatingAreas[Area],HIX_SLCSP[[#This Row],[Area Code]])</f>
        <v>8329</v>
      </c>
      <c r="AT1887" s="59">
        <f>SUMIFS(HIX_RatingAreas[Silver Enrollments 2019],HIX_RatingAreas[Area],HIX_SLCSP[[#This Row],[Area Code]])</f>
        <v>7181</v>
      </c>
      <c r="AU1887" s="59">
        <f>SUMIFS(HIX_RatingAreas[Silver Enrollments 2020],HIX_RatingAreas[Area],HIX_SLCSP[[#This Row],[Area Code]])</f>
        <v>6528</v>
      </c>
      <c r="AV1887" s="59">
        <f>SUMIFS(HIX_RatingAreas[Silver Enrollments 2021],HIX_RatingAreas[Area],HIX_SLCSP[[#This Row],[Area Code]])</f>
        <v>6464</v>
      </c>
      <c r="AW1887" s="59">
        <f>SUMIFS(HIX_RatingAreas[Silver Enrollments 2022],HIX_RatingAreas[Area],HIX_SLCSP[[#This Row],[Area Code]])</f>
        <v>7800</v>
      </c>
      <c r="AX1887" s="59">
        <f>SUMIFS(HIX_RatingAreas[Silver Enrollments 2023],HIX_RatingAreas[Area],HIX_SLCSP[[#This Row],[Area Code]])</f>
        <v>4803</v>
      </c>
      <c r="AY1887" s="59">
        <f>SUMIFS(HIX_RatingAreas[Silver Enrollments 2024],HIX_RatingAreas[Area],HIX_SLCSP[[#This Row],[Area Code]])</f>
        <v>6471</v>
      </c>
      <c r="AZ1887" s="59">
        <v>27165</v>
      </c>
      <c r="BA1887">
        <f t="shared" si="68"/>
        <v>0.12685448508706798</v>
      </c>
      <c r="BB1887">
        <f>SUMIFS(HIX_RatingAreas[QHP Enrollments 2018],HIX_RatingAreas[Area],HIX_SLCSP[[#This Row],[Area Code]])</f>
        <v>14450</v>
      </c>
      <c r="BC1887">
        <f t="shared" si="79"/>
        <v>0.1315370260798325</v>
      </c>
      <c r="BD1887">
        <f>SUMIFS(HIX_RatingAreas[QHP Enrollments 2019],HIX_RatingAreas[Area],HIX_SLCSP[[#This Row],[Area Code]])</f>
        <v>12324</v>
      </c>
      <c r="BE1887">
        <f t="shared" si="69"/>
        <v>0.13259026552480957</v>
      </c>
      <c r="BF1887">
        <f>SUMIFS(HIX_RatingAreas[QHP Enrollments 2020],HIX_RatingAreas[Area],HIX_SLCSP[[#This Row],[Area Code]])</f>
        <v>11539</v>
      </c>
      <c r="BG1887">
        <f t="shared" si="70"/>
        <v>0.13150157268541735</v>
      </c>
      <c r="BH1887">
        <f>SUMIFS(HIX_RatingAreas[QHP Enrollments 2021],HIX_RatingAreas[Area],HIX_SLCSP[[#This Row],[Area Code]])</f>
        <v>11411</v>
      </c>
      <c r="BI1887">
        <f t="shared" si="71"/>
        <v>0.13721906227828617</v>
      </c>
      <c r="BJ1887">
        <f>SUMIFS(HIX_RatingAreas[QHP Enrollments 2022],HIX_RatingAreas[Area],HIX_SLCSP[[#This Row],[Area Code]])</f>
        <v>14135</v>
      </c>
      <c r="BK1887">
        <f t="shared" si="72"/>
        <v>0.14188063356955011</v>
      </c>
      <c r="BL1887">
        <f>SUMIFS(HIX_RatingAreas[QHP Enrollments 2023],HIX_RatingAreas[Area],HIX_SLCSP[[#This Row],[Area Code]])</f>
        <v>10271</v>
      </c>
      <c r="BM1887">
        <f t="shared" si="80"/>
        <v>8.5022019138439126E-2</v>
      </c>
      <c r="BN1887">
        <f>SUMIFS(HIX_RatingAreas[QHP Enrollments 2024],HIX_RatingAreas[Area],HIX_SLCSP[[#This Row],[Area Code]])</f>
        <v>19790</v>
      </c>
      <c r="BO1887">
        <f t="shared" si="73"/>
        <v>9.3132479658153439E-2</v>
      </c>
      <c r="BP1887" s="53">
        <f>ROUND(HIX_SLCSP[[#This Row],[Weighting Factor 2018]]*HIX_SLCSP[[#This Row],[2018]],2)</f>
        <v>51.72</v>
      </c>
      <c r="BQ1887" s="53">
        <f>ROUND(HIX_SLCSP[[#This Row],[Weighting Factor 2019]]*HIX_SLCSP[[#This Row],[2019]],2)</f>
        <v>48.97</v>
      </c>
      <c r="BR1887" s="53">
        <f>ROUND(HIX_SLCSP[[#This Row],[Weighting Factor 2020]]*HIX_SLCSP[[#This Row],[2020]],2)</f>
        <v>52.16</v>
      </c>
      <c r="BS1887" s="53">
        <f>ROUND(HIX_SLCSP[[#This Row],[Weighting Factor 2021]]*HIX_SLCSP[[#This Row],[2021]],2)</f>
        <v>62.72</v>
      </c>
      <c r="BT1887" s="53">
        <f>ROUND(HIX_SLCSP[[#This Row],[Weighting Factor 2022]]*HIX_SLCSP[[#This Row],[2022]],2)</f>
        <v>64.989999999999995</v>
      </c>
      <c r="BU1887" s="53">
        <f>ROUND(HIX_SLCSP[[#This Row],[Weighting Factor 2023]]*HIX_SLCSP[[#This Row],[2023]],2)</f>
        <v>39.54</v>
      </c>
      <c r="BV1887" s="53">
        <f>ROUND(HIX_SLCSP[[#This Row],[Weighting Factor 2024]]*HIX_SLCSP[[#This Row],[2024]],2)</f>
        <v>43.78</v>
      </c>
    </row>
    <row r="1888" spans="4:74" x14ac:dyDescent="0.35">
      <c r="D1888" t="s">
        <v>1067</v>
      </c>
      <c r="E1888" t="s">
        <v>255</v>
      </c>
      <c r="F1888" s="23">
        <v>4</v>
      </c>
      <c r="G1888" s="23" t="s">
        <v>1068</v>
      </c>
      <c r="H1888" s="23" t="s">
        <v>1110</v>
      </c>
      <c r="I1888" s="23">
        <v>38</v>
      </c>
      <c r="J1888" s="53">
        <v>395.3</v>
      </c>
      <c r="K1888" s="53">
        <v>437.12</v>
      </c>
      <c r="L1888" s="53">
        <v>744.94</v>
      </c>
      <c r="M1888" s="54">
        <f t="shared" si="74"/>
        <v>1.7042002196193267</v>
      </c>
      <c r="N1888" s="24">
        <v>32</v>
      </c>
      <c r="O1888" s="55">
        <v>373.16</v>
      </c>
      <c r="P1888" s="56">
        <v>421.47</v>
      </c>
      <c r="Q1888" s="56">
        <v>718.28</v>
      </c>
      <c r="R1888" s="57">
        <f t="shared" si="75"/>
        <v>1.7042256862884664</v>
      </c>
      <c r="S1888" s="23">
        <v>38</v>
      </c>
      <c r="T1888" s="53">
        <v>353.42</v>
      </c>
      <c r="U1888" s="53">
        <v>381.7</v>
      </c>
      <c r="V1888" s="53">
        <v>650.48</v>
      </c>
      <c r="W1888" s="57">
        <f t="shared" si="76"/>
        <v>1.7041655750589468</v>
      </c>
      <c r="X1888" s="47">
        <v>36</v>
      </c>
      <c r="Y1888" s="58">
        <v>390.79</v>
      </c>
      <c r="Z1888" s="58">
        <v>407.94</v>
      </c>
      <c r="AA1888" s="58">
        <v>695.2</v>
      </c>
      <c r="AB1888" s="57">
        <f t="shared" si="77"/>
        <v>1.7041721821836546</v>
      </c>
      <c r="AC1888" s="47">
        <v>39</v>
      </c>
      <c r="AD1888" s="57">
        <v>407.93</v>
      </c>
      <c r="AE1888" s="57">
        <v>407.93</v>
      </c>
      <c r="AF1888" s="57">
        <v>695.19</v>
      </c>
      <c r="AG1888" s="57">
        <f t="shared" si="78"/>
        <v>1.7041894442673988</v>
      </c>
      <c r="AH1888" s="47">
        <v>95</v>
      </c>
      <c r="AI1888">
        <v>446.17</v>
      </c>
      <c r="AJ1888">
        <v>458.51</v>
      </c>
      <c r="AK1888">
        <v>781.39</v>
      </c>
      <c r="AL1888" s="57">
        <f t="shared" si="50"/>
        <v>1.7041940197596563</v>
      </c>
      <c r="AM1888" s="47">
        <v>71</v>
      </c>
      <c r="AN1888" s="57">
        <v>445.06</v>
      </c>
      <c r="AO1888" s="57">
        <v>450.05</v>
      </c>
      <c r="AP1888" s="57">
        <v>766.98</v>
      </c>
      <c r="AQ1888" s="57">
        <f t="shared" si="52"/>
        <v>1.7042106432618598</v>
      </c>
      <c r="AR1888" s="59">
        <v>6998</v>
      </c>
      <c r="AS1888" s="59">
        <f>SUMIFS(HIX_RatingAreas[Silver Enrollments 2018],HIX_RatingAreas[Area],HIX_SLCSP[[#This Row],[Area Code]])</f>
        <v>3310</v>
      </c>
      <c r="AT1888" s="59">
        <f>SUMIFS(HIX_RatingAreas[Silver Enrollments 2019],HIX_RatingAreas[Area],HIX_SLCSP[[#This Row],[Area Code]])</f>
        <v>3145</v>
      </c>
      <c r="AU1888" s="59">
        <f>SUMIFS(HIX_RatingAreas[Silver Enrollments 2020],HIX_RatingAreas[Area],HIX_SLCSP[[#This Row],[Area Code]])</f>
        <v>2726</v>
      </c>
      <c r="AV1888" s="59">
        <f>SUMIFS(HIX_RatingAreas[Silver Enrollments 2021],HIX_RatingAreas[Area],HIX_SLCSP[[#This Row],[Area Code]])</f>
        <v>2485</v>
      </c>
      <c r="AW1888" s="59">
        <f>SUMIFS(HIX_RatingAreas[Silver Enrollments 2022],HIX_RatingAreas[Area],HIX_SLCSP[[#This Row],[Area Code]])</f>
        <v>3103</v>
      </c>
      <c r="AX1888" s="59">
        <f>SUMIFS(HIX_RatingAreas[Silver Enrollments 2023],HIX_RatingAreas[Area],HIX_SLCSP[[#This Row],[Area Code]])</f>
        <v>4203</v>
      </c>
      <c r="AY1888" s="59">
        <f>SUMIFS(HIX_RatingAreas[Silver Enrollments 2024],HIX_RatingAreas[Area],HIX_SLCSP[[#This Row],[Area Code]])</f>
        <v>6316</v>
      </c>
      <c r="AZ1888" s="59">
        <v>10070</v>
      </c>
      <c r="BA1888">
        <f t="shared" si="68"/>
        <v>4.7024651751399763E-2</v>
      </c>
      <c r="BB1888">
        <f>SUMIFS(HIX_RatingAreas[QHP Enrollments 2018],HIX_RatingAreas[Area],HIX_SLCSP[[#This Row],[Area Code]])</f>
        <v>5173</v>
      </c>
      <c r="BC1888">
        <f t="shared" si="79"/>
        <v>4.7089345045742116E-2</v>
      </c>
      <c r="BD1888">
        <f>SUMIFS(HIX_RatingAreas[QHP Enrollments 2019],HIX_RatingAreas[Area],HIX_SLCSP[[#This Row],[Area Code]])</f>
        <v>4826</v>
      </c>
      <c r="BE1888">
        <f t="shared" si="69"/>
        <v>5.1921504497138185E-2</v>
      </c>
      <c r="BF1888">
        <f>SUMIFS(HIX_RatingAreas[QHP Enrollments 2020],HIX_RatingAreas[Area],HIX_SLCSP[[#This Row],[Area Code]])</f>
        <v>4794</v>
      </c>
      <c r="BG1888">
        <f t="shared" si="70"/>
        <v>5.463372384555773E-2</v>
      </c>
      <c r="BH1888">
        <f>SUMIFS(HIX_RatingAreas[QHP Enrollments 2021],HIX_RatingAreas[Area],HIX_SLCSP[[#This Row],[Area Code]])</f>
        <v>4471</v>
      </c>
      <c r="BI1888">
        <f t="shared" si="71"/>
        <v>5.3764475282290551E-2</v>
      </c>
      <c r="BJ1888">
        <f>SUMIFS(HIX_RatingAreas[QHP Enrollments 2022],HIX_RatingAreas[Area],HIX_SLCSP[[#This Row],[Area Code]])</f>
        <v>5455</v>
      </c>
      <c r="BK1888">
        <f t="shared" si="72"/>
        <v>5.4754782888001126E-2</v>
      </c>
      <c r="BL1888">
        <f>SUMIFS(HIX_RatingAreas[QHP Enrollments 2023],HIX_RatingAreas[Area],HIX_SLCSP[[#This Row],[Area Code]])</f>
        <v>7134</v>
      </c>
      <c r="BM1888">
        <f t="shared" si="80"/>
        <v>5.9054335949140759E-2</v>
      </c>
      <c r="BN1888">
        <f>SUMIFS(HIX_RatingAreas[QHP Enrollments 2024],HIX_RatingAreas[Area],HIX_SLCSP[[#This Row],[Area Code]])</f>
        <v>11770</v>
      </c>
      <c r="BO1888">
        <f t="shared" si="73"/>
        <v>5.5390059907855789E-2</v>
      </c>
      <c r="BP1888" s="53">
        <f>ROUND(HIX_SLCSP[[#This Row],[Weighting Factor 2018]]*HIX_SLCSP[[#This Row],[2018]],2)</f>
        <v>20.58</v>
      </c>
      <c r="BQ1888" s="53">
        <f>ROUND(HIX_SLCSP[[#This Row],[Weighting Factor 2019]]*HIX_SLCSP[[#This Row],[2019]],2)</f>
        <v>21.88</v>
      </c>
      <c r="BR1888" s="53">
        <f>ROUND(HIX_SLCSP[[#This Row],[Weighting Factor 2020]]*HIX_SLCSP[[#This Row],[2020]],2)</f>
        <v>20.85</v>
      </c>
      <c r="BS1888" s="53">
        <f>ROUND(HIX_SLCSP[[#This Row],[Weighting Factor 2021]]*HIX_SLCSP[[#This Row],[2021]],2)</f>
        <v>21.93</v>
      </c>
      <c r="BT1888" s="53">
        <f>ROUND(HIX_SLCSP[[#This Row],[Weighting Factor 2022]]*HIX_SLCSP[[#This Row],[2022]],2)</f>
        <v>22.34</v>
      </c>
      <c r="BU1888" s="53">
        <f>ROUND(HIX_SLCSP[[#This Row],[Weighting Factor 2023]]*HIX_SLCSP[[#This Row],[2023]],2)</f>
        <v>27.08</v>
      </c>
      <c r="BV1888" s="53">
        <f>ROUND(HIX_SLCSP[[#This Row],[Weighting Factor 2024]]*HIX_SLCSP[[#This Row],[2024]],2)</f>
        <v>24.93</v>
      </c>
    </row>
    <row r="1889" spans="4:74" x14ac:dyDescent="0.35">
      <c r="D1889" t="s">
        <v>1067</v>
      </c>
      <c r="E1889" t="s">
        <v>259</v>
      </c>
      <c r="F1889" s="23">
        <v>5</v>
      </c>
      <c r="G1889" s="23" t="s">
        <v>1068</v>
      </c>
      <c r="H1889" s="23" t="s">
        <v>1121</v>
      </c>
      <c r="I1889" s="23">
        <v>40</v>
      </c>
      <c r="J1889" s="53">
        <v>337.28</v>
      </c>
      <c r="K1889" s="53">
        <v>405.84</v>
      </c>
      <c r="L1889" s="53">
        <v>691.63</v>
      </c>
      <c r="M1889" s="54">
        <f t="shared" si="74"/>
        <v>1.7041937709442145</v>
      </c>
      <c r="N1889" s="24">
        <v>48</v>
      </c>
      <c r="O1889" s="55">
        <v>362.89</v>
      </c>
      <c r="P1889" s="56">
        <v>381.2</v>
      </c>
      <c r="Q1889" s="56">
        <v>649.64</v>
      </c>
      <c r="R1889" s="57">
        <f t="shared" si="75"/>
        <v>1.7041972717733473</v>
      </c>
      <c r="S1889" s="23">
        <v>40</v>
      </c>
      <c r="T1889" s="53">
        <v>355.53</v>
      </c>
      <c r="U1889" s="53">
        <v>383.09</v>
      </c>
      <c r="V1889" s="53">
        <v>652.85</v>
      </c>
      <c r="W1889" s="57">
        <f t="shared" si="76"/>
        <v>1.7041687331958548</v>
      </c>
      <c r="X1889" s="47">
        <v>36</v>
      </c>
      <c r="Y1889" s="58">
        <v>411.92</v>
      </c>
      <c r="Z1889" s="58">
        <v>456.26</v>
      </c>
      <c r="AA1889" s="58">
        <v>777.55</v>
      </c>
      <c r="AB1889" s="57">
        <f t="shared" si="77"/>
        <v>1.7041818261517556</v>
      </c>
      <c r="AC1889" s="47">
        <v>85</v>
      </c>
      <c r="AD1889" s="57">
        <v>399.96</v>
      </c>
      <c r="AE1889" s="57">
        <v>399.96</v>
      </c>
      <c r="AF1889" s="57">
        <v>681.61</v>
      </c>
      <c r="AG1889" s="57">
        <f t="shared" si="78"/>
        <v>1.7041954195419544</v>
      </c>
      <c r="AH1889" s="47">
        <v>113</v>
      </c>
      <c r="AI1889">
        <v>399.25</v>
      </c>
      <c r="AJ1889">
        <v>424.31</v>
      </c>
      <c r="AK1889">
        <v>723.12</v>
      </c>
      <c r="AL1889" s="57">
        <f t="shared" si="50"/>
        <v>1.7042256840517547</v>
      </c>
      <c r="AM1889" s="47">
        <v>89</v>
      </c>
      <c r="AN1889" s="57">
        <v>403.46</v>
      </c>
      <c r="AO1889" s="57">
        <v>421.78</v>
      </c>
      <c r="AP1889" s="57">
        <v>718.79</v>
      </c>
      <c r="AQ1889" s="57">
        <f t="shared" si="52"/>
        <v>1.7041822751197306</v>
      </c>
      <c r="AR1889" s="59">
        <v>31102</v>
      </c>
      <c r="AS1889" s="59">
        <f>SUMIFS(HIX_RatingAreas[Silver Enrollments 2018],HIX_RatingAreas[Area],HIX_SLCSP[[#This Row],[Area Code]])</f>
        <v>15382</v>
      </c>
      <c r="AT1889" s="59">
        <f>SUMIFS(HIX_RatingAreas[Silver Enrollments 2019],HIX_RatingAreas[Area],HIX_SLCSP[[#This Row],[Area Code]])</f>
        <v>13404</v>
      </c>
      <c r="AU1889" s="59">
        <f>SUMIFS(HIX_RatingAreas[Silver Enrollments 2020],HIX_RatingAreas[Area],HIX_SLCSP[[#This Row],[Area Code]])</f>
        <v>12679</v>
      </c>
      <c r="AV1889" s="59">
        <f>SUMIFS(HIX_RatingAreas[Silver Enrollments 2021],HIX_RatingAreas[Area],HIX_SLCSP[[#This Row],[Area Code]])</f>
        <v>12127</v>
      </c>
      <c r="AW1889" s="59">
        <f>SUMIFS(HIX_RatingAreas[Silver Enrollments 2022],HIX_RatingAreas[Area],HIX_SLCSP[[#This Row],[Area Code]])</f>
        <v>12839</v>
      </c>
      <c r="AX1889" s="59">
        <f>SUMIFS(HIX_RatingAreas[Silver Enrollments 2023],HIX_RatingAreas[Area],HIX_SLCSP[[#This Row],[Area Code]])</f>
        <v>14702</v>
      </c>
      <c r="AY1889" s="59">
        <f>SUMIFS(HIX_RatingAreas[Silver Enrollments 2024],HIX_RatingAreas[Area],HIX_SLCSP[[#This Row],[Area Code]])</f>
        <v>24856</v>
      </c>
      <c r="AZ1889" s="59">
        <v>43832</v>
      </c>
      <c r="BA1889">
        <f t="shared" si="68"/>
        <v>0.20468565397888328</v>
      </c>
      <c r="BB1889">
        <f>SUMIFS(HIX_RatingAreas[QHP Enrollments 2018],HIX_RatingAreas[Area],HIX_SLCSP[[#This Row],[Area Code]])</f>
        <v>24467</v>
      </c>
      <c r="BC1889">
        <f t="shared" si="79"/>
        <v>0.22272085931455099</v>
      </c>
      <c r="BD1889">
        <f>SUMIFS(HIX_RatingAreas[QHP Enrollments 2019],HIX_RatingAreas[Area],HIX_SLCSP[[#This Row],[Area Code]])</f>
        <v>21672</v>
      </c>
      <c r="BE1889">
        <f t="shared" si="69"/>
        <v>0.23316262856651029</v>
      </c>
      <c r="BF1889">
        <f>SUMIFS(HIX_RatingAreas[QHP Enrollments 2020],HIX_RatingAreas[Area],HIX_SLCSP[[#This Row],[Area Code]])</f>
        <v>20840</v>
      </c>
      <c r="BG1889">
        <f t="shared" si="70"/>
        <v>0.237498290559329</v>
      </c>
      <c r="BH1889">
        <f>SUMIFS(HIX_RatingAreas[QHP Enrollments 2021],HIX_RatingAreas[Area],HIX_SLCSP[[#This Row],[Area Code]])</f>
        <v>20160</v>
      </c>
      <c r="BI1889">
        <f t="shared" si="71"/>
        <v>0.24242715761372791</v>
      </c>
      <c r="BJ1889">
        <f>SUMIFS(HIX_RatingAreas[QHP Enrollments 2022],HIX_RatingAreas[Area],HIX_SLCSP[[#This Row],[Area Code]])</f>
        <v>23700</v>
      </c>
      <c r="BK1889">
        <f t="shared" si="72"/>
        <v>0.23788970750607272</v>
      </c>
      <c r="BL1889">
        <f>SUMIFS(HIX_RatingAreas[QHP Enrollments 2023],HIX_RatingAreas[Area],HIX_SLCSP[[#This Row],[Area Code]])</f>
        <v>27704</v>
      </c>
      <c r="BM1889">
        <f t="shared" si="80"/>
        <v>0.22933015463064138</v>
      </c>
      <c r="BN1889">
        <f>SUMIFS(HIX_RatingAreas[QHP Enrollments 2024],HIX_RatingAreas[Area],HIX_SLCSP[[#This Row],[Area Code]])</f>
        <v>48473</v>
      </c>
      <c r="BO1889">
        <f t="shared" si="73"/>
        <v>0.22811574969528409</v>
      </c>
      <c r="BP1889" s="53">
        <f>ROUND(HIX_SLCSP[[#This Row],[Weighting Factor 2018]]*HIX_SLCSP[[#This Row],[2018]],2)</f>
        <v>90.39</v>
      </c>
      <c r="BQ1889" s="53">
        <f>ROUND(HIX_SLCSP[[#This Row],[Weighting Factor 2019]]*HIX_SLCSP[[#This Row],[2019]],2)</f>
        <v>88.88</v>
      </c>
      <c r="BR1889" s="53">
        <f>ROUND(HIX_SLCSP[[#This Row],[Weighting Factor 2020]]*HIX_SLCSP[[#This Row],[2020]],2)</f>
        <v>90.98</v>
      </c>
      <c r="BS1889" s="53">
        <f>ROUND(HIX_SLCSP[[#This Row],[Weighting Factor 2021]]*HIX_SLCSP[[#This Row],[2021]],2)</f>
        <v>110.61</v>
      </c>
      <c r="BT1889" s="53">
        <f>ROUND(HIX_SLCSP[[#This Row],[Weighting Factor 2022]]*HIX_SLCSP[[#This Row],[2022]],2)</f>
        <v>95.15</v>
      </c>
      <c r="BU1889" s="53">
        <f>ROUND(HIX_SLCSP[[#This Row],[Weighting Factor 2023]]*HIX_SLCSP[[#This Row],[2023]],2)</f>
        <v>97.31</v>
      </c>
      <c r="BV1889" s="53">
        <f>ROUND(HIX_SLCSP[[#This Row],[Weighting Factor 2024]]*HIX_SLCSP[[#This Row],[2024]],2)</f>
        <v>96.21</v>
      </c>
    </row>
    <row r="1890" spans="4:74" x14ac:dyDescent="0.35">
      <c r="D1890" t="s">
        <v>1067</v>
      </c>
      <c r="E1890" t="s">
        <v>265</v>
      </c>
      <c r="F1890" s="23">
        <v>6</v>
      </c>
      <c r="G1890" s="23" t="s">
        <v>1068</v>
      </c>
      <c r="H1890" s="23" t="s">
        <v>1144</v>
      </c>
      <c r="I1890" s="23">
        <v>38</v>
      </c>
      <c r="J1890" s="53">
        <v>403.82</v>
      </c>
      <c r="K1890" s="53">
        <v>446.54</v>
      </c>
      <c r="L1890" s="53">
        <v>761</v>
      </c>
      <c r="M1890" s="54">
        <f t="shared" si="74"/>
        <v>1.7042146280288439</v>
      </c>
      <c r="N1890" s="24">
        <v>32</v>
      </c>
      <c r="O1890" s="55">
        <v>381.2</v>
      </c>
      <c r="P1890" s="56">
        <v>430.56</v>
      </c>
      <c r="Q1890" s="56">
        <v>733.76</v>
      </c>
      <c r="R1890" s="57">
        <f t="shared" si="75"/>
        <v>1.704199182460052</v>
      </c>
      <c r="S1890" s="23">
        <v>38</v>
      </c>
      <c r="T1890" s="53">
        <v>359.54</v>
      </c>
      <c r="U1890" s="53">
        <v>388.3</v>
      </c>
      <c r="V1890" s="53">
        <v>661.74</v>
      </c>
      <c r="W1890" s="57">
        <f t="shared" si="76"/>
        <v>1.7041977852176151</v>
      </c>
      <c r="X1890" s="47">
        <v>36</v>
      </c>
      <c r="Y1890" s="58">
        <v>397.55</v>
      </c>
      <c r="Z1890" s="58">
        <v>414.99</v>
      </c>
      <c r="AA1890" s="58">
        <v>707.23</v>
      </c>
      <c r="AB1890" s="57">
        <f t="shared" si="77"/>
        <v>1.7042097399937348</v>
      </c>
      <c r="AC1890" s="47">
        <v>39</v>
      </c>
      <c r="AD1890" s="57">
        <v>414.98</v>
      </c>
      <c r="AE1890" s="57">
        <v>414.98</v>
      </c>
      <c r="AF1890" s="57">
        <v>707.21</v>
      </c>
      <c r="AG1890" s="57">
        <f t="shared" si="78"/>
        <v>1.7042026121740808</v>
      </c>
      <c r="AH1890" s="47">
        <v>59</v>
      </c>
      <c r="AI1890">
        <v>453.89</v>
      </c>
      <c r="AJ1890">
        <v>466.44</v>
      </c>
      <c r="AK1890">
        <v>794.9</v>
      </c>
      <c r="AL1890" s="57">
        <f t="shared" si="50"/>
        <v>1.7041848898036189</v>
      </c>
      <c r="AM1890" s="47">
        <v>59</v>
      </c>
      <c r="AN1890" s="57">
        <v>473.22</v>
      </c>
      <c r="AO1890" s="57">
        <v>485.22</v>
      </c>
      <c r="AP1890" s="57">
        <v>826.92</v>
      </c>
      <c r="AQ1890" s="57">
        <f t="shared" si="52"/>
        <v>1.7042166439965374</v>
      </c>
      <c r="AR1890" s="59">
        <v>7611</v>
      </c>
      <c r="AS1890" s="59">
        <f>SUMIFS(HIX_RatingAreas[Silver Enrollments 2018],HIX_RatingAreas[Area],HIX_SLCSP[[#This Row],[Area Code]])</f>
        <v>2900</v>
      </c>
      <c r="AT1890" s="59">
        <f>SUMIFS(HIX_RatingAreas[Silver Enrollments 2019],HIX_RatingAreas[Area],HIX_SLCSP[[#This Row],[Area Code]])</f>
        <v>2444</v>
      </c>
      <c r="AU1890" s="59">
        <f>SUMIFS(HIX_RatingAreas[Silver Enrollments 2020],HIX_RatingAreas[Area],HIX_SLCSP[[#This Row],[Area Code]])</f>
        <v>2151</v>
      </c>
      <c r="AV1890" s="59">
        <f>SUMIFS(HIX_RatingAreas[Silver Enrollments 2021],HIX_RatingAreas[Area],HIX_SLCSP[[#This Row],[Area Code]])</f>
        <v>1826</v>
      </c>
      <c r="AW1890" s="59">
        <f>SUMIFS(HIX_RatingAreas[Silver Enrollments 2022],HIX_RatingAreas[Area],HIX_SLCSP[[#This Row],[Area Code]])</f>
        <v>2156</v>
      </c>
      <c r="AX1890" s="59">
        <f>SUMIFS(HIX_RatingAreas[Silver Enrollments 2023],HIX_RatingAreas[Area],HIX_SLCSP[[#This Row],[Area Code]])</f>
        <v>4174</v>
      </c>
      <c r="AY1890" s="59">
        <f>SUMIFS(HIX_RatingAreas[Silver Enrollments 2024],HIX_RatingAreas[Area],HIX_SLCSP[[#This Row],[Area Code]])</f>
        <v>7119</v>
      </c>
      <c r="AZ1890" s="59">
        <v>11606</v>
      </c>
      <c r="BA1890">
        <f t="shared" si="68"/>
        <v>5.4197428820928074E-2</v>
      </c>
      <c r="BB1890">
        <f>SUMIFS(HIX_RatingAreas[QHP Enrollments 2018],HIX_RatingAreas[Area],HIX_SLCSP[[#This Row],[Area Code]])</f>
        <v>5052</v>
      </c>
      <c r="BC1890">
        <f t="shared" si="79"/>
        <v>4.5987893131855626E-2</v>
      </c>
      <c r="BD1890">
        <f>SUMIFS(HIX_RatingAreas[QHP Enrollments 2019],HIX_RatingAreas[Area],HIX_SLCSP[[#This Row],[Area Code]])</f>
        <v>4293</v>
      </c>
      <c r="BE1890">
        <f t="shared" si="69"/>
        <v>4.618711537633946E-2</v>
      </c>
      <c r="BF1890">
        <f>SUMIFS(HIX_RatingAreas[QHP Enrollments 2020],HIX_RatingAreas[Area],HIX_SLCSP[[#This Row],[Area Code]])</f>
        <v>4089</v>
      </c>
      <c r="BG1890">
        <f t="shared" si="70"/>
        <v>4.6599352691799246E-2</v>
      </c>
      <c r="BH1890">
        <f>SUMIFS(HIX_RatingAreas[QHP Enrollments 2021],HIX_RatingAreas[Area],HIX_SLCSP[[#This Row],[Area Code]])</f>
        <v>3756</v>
      </c>
      <c r="BI1890">
        <f t="shared" si="71"/>
        <v>4.516648829351002E-2</v>
      </c>
      <c r="BJ1890">
        <f>SUMIFS(HIX_RatingAreas[QHP Enrollments 2022],HIX_RatingAreas[Area],HIX_SLCSP[[#This Row],[Area Code]])</f>
        <v>4509</v>
      </c>
      <c r="BK1890">
        <f t="shared" si="72"/>
        <v>4.5259269668560413E-2</v>
      </c>
      <c r="BL1890">
        <f>SUMIFS(HIX_RatingAreas[QHP Enrollments 2023],HIX_RatingAreas[Area],HIX_SLCSP[[#This Row],[Area Code]])</f>
        <v>7835</v>
      </c>
      <c r="BM1890">
        <f t="shared" si="80"/>
        <v>6.4857123936293504E-2</v>
      </c>
      <c r="BN1890">
        <f>SUMIFS(HIX_RatingAreas[QHP Enrollments 2024],HIX_RatingAreas[Area],HIX_SLCSP[[#This Row],[Area Code]])</f>
        <v>12451</v>
      </c>
      <c r="BO1890">
        <f t="shared" si="73"/>
        <v>5.8594871360468342E-2</v>
      </c>
      <c r="BP1890" s="53">
        <f>ROUND(HIX_SLCSP[[#This Row],[Weighting Factor 2018]]*HIX_SLCSP[[#This Row],[2018]],2)</f>
        <v>20.54</v>
      </c>
      <c r="BQ1890" s="53">
        <f>ROUND(HIX_SLCSP[[#This Row],[Weighting Factor 2019]]*HIX_SLCSP[[#This Row],[2019]],2)</f>
        <v>19.89</v>
      </c>
      <c r="BR1890" s="53">
        <f>ROUND(HIX_SLCSP[[#This Row],[Weighting Factor 2020]]*HIX_SLCSP[[#This Row],[2020]],2)</f>
        <v>18.09</v>
      </c>
      <c r="BS1890" s="53">
        <f>ROUND(HIX_SLCSP[[#This Row],[Weighting Factor 2021]]*HIX_SLCSP[[#This Row],[2021]],2)</f>
        <v>18.739999999999998</v>
      </c>
      <c r="BT1890" s="53">
        <f>ROUND(HIX_SLCSP[[#This Row],[Weighting Factor 2022]]*HIX_SLCSP[[#This Row],[2022]],2)</f>
        <v>18.78</v>
      </c>
      <c r="BU1890" s="53">
        <f>ROUND(HIX_SLCSP[[#This Row],[Weighting Factor 2023]]*HIX_SLCSP[[#This Row],[2023]],2)</f>
        <v>30.25</v>
      </c>
      <c r="BV1890" s="53">
        <f>ROUND(HIX_SLCSP[[#This Row],[Weighting Factor 2024]]*HIX_SLCSP[[#This Row],[2024]],2)</f>
        <v>28.43</v>
      </c>
    </row>
    <row r="1891" spans="4:74" x14ac:dyDescent="0.35">
      <c r="D1891" t="s">
        <v>1067</v>
      </c>
      <c r="E1891" t="s">
        <v>273</v>
      </c>
      <c r="F1891" s="23">
        <v>7</v>
      </c>
      <c r="G1891" s="23" t="s">
        <v>1068</v>
      </c>
      <c r="H1891" s="23" t="s">
        <v>1162</v>
      </c>
      <c r="I1891" s="23">
        <v>30</v>
      </c>
      <c r="J1891" s="53">
        <v>403.82</v>
      </c>
      <c r="K1891" s="53">
        <v>446.54</v>
      </c>
      <c r="L1891" s="53">
        <v>761</v>
      </c>
      <c r="M1891" s="54">
        <f t="shared" si="74"/>
        <v>1.7042146280288439</v>
      </c>
      <c r="N1891" s="24">
        <v>32</v>
      </c>
      <c r="O1891" s="55">
        <v>381.2</v>
      </c>
      <c r="P1891" s="56">
        <v>430.56</v>
      </c>
      <c r="Q1891" s="56">
        <v>733.76</v>
      </c>
      <c r="R1891" s="57">
        <f t="shared" si="75"/>
        <v>1.704199182460052</v>
      </c>
      <c r="S1891" s="23">
        <v>30</v>
      </c>
      <c r="T1891" s="53">
        <v>427.87</v>
      </c>
      <c r="U1891" s="53">
        <v>492.99</v>
      </c>
      <c r="V1891" s="53">
        <v>840.15</v>
      </c>
      <c r="W1891" s="57">
        <f t="shared" si="76"/>
        <v>1.7041927828150671</v>
      </c>
      <c r="X1891" s="47">
        <v>24</v>
      </c>
      <c r="Y1891" s="58">
        <v>471.83</v>
      </c>
      <c r="Z1891" s="58">
        <v>546.24</v>
      </c>
      <c r="AA1891" s="58">
        <v>930.9</v>
      </c>
      <c r="AB1891" s="57">
        <f t="shared" si="77"/>
        <v>1.704195957820738</v>
      </c>
      <c r="AC1891" s="47">
        <v>25</v>
      </c>
      <c r="AD1891" s="57">
        <v>448.3</v>
      </c>
      <c r="AE1891" s="57">
        <v>457.85</v>
      </c>
      <c r="AF1891" s="57">
        <v>780.27</v>
      </c>
      <c r="AG1891" s="57">
        <f t="shared" si="78"/>
        <v>1.7042044337665172</v>
      </c>
      <c r="AH1891" s="47">
        <v>68</v>
      </c>
      <c r="AI1891">
        <v>438.29</v>
      </c>
      <c r="AJ1891">
        <v>480.03</v>
      </c>
      <c r="AK1891">
        <v>818.06</v>
      </c>
      <c r="AL1891" s="57">
        <f t="shared" si="50"/>
        <v>1.7041851550944733</v>
      </c>
      <c r="AM1891" s="47">
        <v>56</v>
      </c>
      <c r="AN1891" s="57">
        <v>442.49</v>
      </c>
      <c r="AO1891" s="57">
        <v>485.22</v>
      </c>
      <c r="AP1891" s="57">
        <v>826.92</v>
      </c>
      <c r="AQ1891" s="57">
        <f t="shared" si="52"/>
        <v>1.7042166439965374</v>
      </c>
      <c r="AR1891" s="59">
        <v>10838</v>
      </c>
      <c r="AS1891" s="59">
        <f>SUMIFS(HIX_RatingAreas[Silver Enrollments 2018],HIX_RatingAreas[Area],HIX_SLCSP[[#This Row],[Area Code]])</f>
        <v>3740</v>
      </c>
      <c r="AT1891" s="59">
        <f>SUMIFS(HIX_RatingAreas[Silver Enrollments 2019],HIX_RatingAreas[Area],HIX_SLCSP[[#This Row],[Area Code]])</f>
        <v>3162</v>
      </c>
      <c r="AU1891" s="59">
        <f>SUMIFS(HIX_RatingAreas[Silver Enrollments 2020],HIX_RatingAreas[Area],HIX_SLCSP[[#This Row],[Area Code]])</f>
        <v>3250</v>
      </c>
      <c r="AV1891" s="59">
        <f>SUMIFS(HIX_RatingAreas[Silver Enrollments 2021],HIX_RatingAreas[Area],HIX_SLCSP[[#This Row],[Area Code]])</f>
        <v>3241</v>
      </c>
      <c r="AW1891" s="59">
        <f>SUMIFS(HIX_RatingAreas[Silver Enrollments 2022],HIX_RatingAreas[Area],HIX_SLCSP[[#This Row],[Area Code]])</f>
        <v>3815</v>
      </c>
      <c r="AX1891" s="59">
        <f>SUMIFS(HIX_RatingAreas[Silver Enrollments 2023],HIX_RatingAreas[Area],HIX_SLCSP[[#This Row],[Area Code]])</f>
        <v>4317</v>
      </c>
      <c r="AY1891" s="59">
        <f>SUMIFS(HIX_RatingAreas[Silver Enrollments 2024],HIX_RatingAreas[Area],HIX_SLCSP[[#This Row],[Area Code]])</f>
        <v>6508</v>
      </c>
      <c r="AZ1891" s="59">
        <v>16769</v>
      </c>
      <c r="BA1891">
        <f t="shared" si="68"/>
        <v>7.8307486119088651E-2</v>
      </c>
      <c r="BB1891">
        <f>SUMIFS(HIX_RatingAreas[QHP Enrollments 2018],HIX_RatingAreas[Area],HIX_SLCSP[[#This Row],[Area Code]])</f>
        <v>7161</v>
      </c>
      <c r="BC1891">
        <f t="shared" si="79"/>
        <v>6.5185926903645719E-2</v>
      </c>
      <c r="BD1891">
        <f>SUMIFS(HIX_RatingAreas[QHP Enrollments 2019],HIX_RatingAreas[Area],HIX_SLCSP[[#This Row],[Area Code]])</f>
        <v>6326</v>
      </c>
      <c r="BE1891">
        <f t="shared" si="69"/>
        <v>6.8059560184189002E-2</v>
      </c>
      <c r="BF1891">
        <f>SUMIFS(HIX_RatingAreas[QHP Enrollments 2020],HIX_RatingAreas[Area],HIX_SLCSP[[#This Row],[Area Code]])</f>
        <v>6128</v>
      </c>
      <c r="BG1891">
        <f t="shared" si="70"/>
        <v>6.9836349546428408E-2</v>
      </c>
      <c r="BH1891">
        <f>SUMIFS(HIX_RatingAreas[QHP Enrollments 2021],HIX_RatingAreas[Area],HIX_SLCSP[[#This Row],[Area Code]])</f>
        <v>6014</v>
      </c>
      <c r="BI1891">
        <f t="shared" si="71"/>
        <v>7.2319291958777759E-2</v>
      </c>
      <c r="BJ1891">
        <f>SUMIFS(HIX_RatingAreas[QHP Enrollments 2022],HIX_RatingAreas[Area],HIX_SLCSP[[#This Row],[Area Code]])</f>
        <v>7316</v>
      </c>
      <c r="BK1891">
        <f t="shared" si="72"/>
        <v>7.343464557444844E-2</v>
      </c>
      <c r="BL1891">
        <f>SUMIFS(HIX_RatingAreas[QHP Enrollments 2023],HIX_RatingAreas[Area],HIX_SLCSP[[#This Row],[Area Code]])</f>
        <v>9635</v>
      </c>
      <c r="BM1891">
        <f t="shared" si="80"/>
        <v>7.9757292804874008E-2</v>
      </c>
      <c r="BN1891">
        <f>SUMIFS(HIX_RatingAreas[QHP Enrollments 2024],HIX_RatingAreas[Area],HIX_SLCSP[[#This Row],[Area Code]])</f>
        <v>17728</v>
      </c>
      <c r="BO1891">
        <f t="shared" si="73"/>
        <v>8.3428630590184141E-2</v>
      </c>
      <c r="BP1891" s="53">
        <f>ROUND(HIX_SLCSP[[#This Row],[Weighting Factor 2018]]*HIX_SLCSP[[#This Row],[2018]],2)</f>
        <v>29.11</v>
      </c>
      <c r="BQ1891" s="53">
        <f>ROUND(HIX_SLCSP[[#This Row],[Weighting Factor 2019]]*HIX_SLCSP[[#This Row],[2019]],2)</f>
        <v>29.3</v>
      </c>
      <c r="BR1891" s="53">
        <f>ROUND(HIX_SLCSP[[#This Row],[Weighting Factor 2020]]*HIX_SLCSP[[#This Row],[2020]],2)</f>
        <v>34.43</v>
      </c>
      <c r="BS1891" s="53">
        <f>ROUND(HIX_SLCSP[[#This Row],[Weighting Factor 2021]]*HIX_SLCSP[[#This Row],[2021]],2)</f>
        <v>39.5</v>
      </c>
      <c r="BT1891" s="53">
        <f>ROUND(HIX_SLCSP[[#This Row],[Weighting Factor 2022]]*HIX_SLCSP[[#This Row],[2022]],2)</f>
        <v>33.619999999999997</v>
      </c>
      <c r="BU1891" s="53">
        <f>ROUND(HIX_SLCSP[[#This Row],[Weighting Factor 2023]]*HIX_SLCSP[[#This Row],[2023]],2)</f>
        <v>38.29</v>
      </c>
      <c r="BV1891" s="53">
        <f>ROUND(HIX_SLCSP[[#This Row],[Weighting Factor 2024]]*HIX_SLCSP[[#This Row],[2024]],2)</f>
        <v>40.479999999999997</v>
      </c>
    </row>
    <row r="1892" spans="4:74" x14ac:dyDescent="0.35">
      <c r="D1892" t="s">
        <v>1067</v>
      </c>
      <c r="E1892" t="s">
        <v>279</v>
      </c>
      <c r="F1892" s="23">
        <v>8</v>
      </c>
      <c r="G1892" s="23" t="s">
        <v>1068</v>
      </c>
      <c r="H1892" s="23" t="s">
        <v>1187</v>
      </c>
      <c r="I1892" s="23">
        <v>47</v>
      </c>
      <c r="J1892" s="53">
        <v>324.37</v>
      </c>
      <c r="K1892" s="53">
        <v>373.1</v>
      </c>
      <c r="L1892" s="53">
        <v>635.83000000000004</v>
      </c>
      <c r="M1892" s="54">
        <f t="shared" si="74"/>
        <v>1.7041811846689896</v>
      </c>
      <c r="N1892" s="24">
        <v>40</v>
      </c>
      <c r="O1892" s="55">
        <v>304.69</v>
      </c>
      <c r="P1892" s="56">
        <v>351.57</v>
      </c>
      <c r="Q1892" s="56">
        <v>599.15</v>
      </c>
      <c r="R1892" s="57">
        <f t="shared" si="75"/>
        <v>1.7042125323548654</v>
      </c>
      <c r="S1892" s="23">
        <v>47</v>
      </c>
      <c r="T1892" s="53">
        <v>341.97</v>
      </c>
      <c r="U1892" s="53">
        <v>344.45</v>
      </c>
      <c r="V1892" s="53">
        <v>587</v>
      </c>
      <c r="W1892" s="57">
        <f t="shared" si="76"/>
        <v>1.7041660618377124</v>
      </c>
      <c r="X1892" s="47">
        <v>48</v>
      </c>
      <c r="Y1892" s="58">
        <v>333.64</v>
      </c>
      <c r="Z1892" s="58">
        <v>346.65</v>
      </c>
      <c r="AA1892" s="58">
        <v>590.77</v>
      </c>
      <c r="AB1892" s="57">
        <f t="shared" si="77"/>
        <v>1.7042261647194576</v>
      </c>
      <c r="AC1892" s="47">
        <v>48</v>
      </c>
      <c r="AD1892" s="57">
        <v>361.86</v>
      </c>
      <c r="AE1892" s="57">
        <v>361.86</v>
      </c>
      <c r="AF1892" s="57">
        <v>616.67999999999995</v>
      </c>
      <c r="AG1892" s="57">
        <f t="shared" si="78"/>
        <v>1.7041949925385507</v>
      </c>
      <c r="AH1892" s="47">
        <v>68</v>
      </c>
      <c r="AI1892">
        <v>373.77</v>
      </c>
      <c r="AJ1892">
        <v>395.79</v>
      </c>
      <c r="AK1892">
        <v>674.5</v>
      </c>
      <c r="AL1892" s="57">
        <f t="shared" si="50"/>
        <v>1.7041865635816973</v>
      </c>
      <c r="AM1892" s="47">
        <v>48</v>
      </c>
      <c r="AN1892" s="57">
        <v>374.07</v>
      </c>
      <c r="AO1892" s="57">
        <v>412.64</v>
      </c>
      <c r="AP1892" s="57">
        <v>703.22</v>
      </c>
      <c r="AQ1892" s="57">
        <f t="shared" si="52"/>
        <v>1.7041973633191161</v>
      </c>
      <c r="AR1892" s="59">
        <v>15478</v>
      </c>
      <c r="AS1892" s="59">
        <f>SUMIFS(HIX_RatingAreas[Silver Enrollments 2018],HIX_RatingAreas[Area],HIX_SLCSP[[#This Row],[Area Code]])</f>
        <v>7039</v>
      </c>
      <c r="AT1892" s="59">
        <f>SUMIFS(HIX_RatingAreas[Silver Enrollments 2019],HIX_RatingAreas[Area],HIX_SLCSP[[#This Row],[Area Code]])</f>
        <v>5791</v>
      </c>
      <c r="AU1892" s="59">
        <f>SUMIFS(HIX_RatingAreas[Silver Enrollments 2020],HIX_RatingAreas[Area],HIX_SLCSP[[#This Row],[Area Code]])</f>
        <v>4959</v>
      </c>
      <c r="AV1892" s="59">
        <f>SUMIFS(HIX_RatingAreas[Silver Enrollments 2021],HIX_RatingAreas[Area],HIX_SLCSP[[#This Row],[Area Code]])</f>
        <v>4136</v>
      </c>
      <c r="AW1892" s="59">
        <f>SUMIFS(HIX_RatingAreas[Silver Enrollments 2022],HIX_RatingAreas[Area],HIX_SLCSP[[#This Row],[Area Code]])</f>
        <v>5679</v>
      </c>
      <c r="AX1892" s="59">
        <f>SUMIFS(HIX_RatingAreas[Silver Enrollments 2023],HIX_RatingAreas[Area],HIX_SLCSP[[#This Row],[Area Code]])</f>
        <v>7038</v>
      </c>
      <c r="AY1892" s="59">
        <f>SUMIFS(HIX_RatingAreas[Silver Enrollments 2024],HIX_RatingAreas[Area],HIX_SLCSP[[#This Row],[Area Code]])</f>
        <v>12276</v>
      </c>
      <c r="AZ1892" s="59">
        <v>22447</v>
      </c>
      <c r="BA1892">
        <f t="shared" si="68"/>
        <v>0.10482247843730591</v>
      </c>
      <c r="BB1892">
        <f>SUMIFS(HIX_RatingAreas[QHP Enrollments 2018],HIX_RatingAreas[Area],HIX_SLCSP[[#This Row],[Area Code]])</f>
        <v>10487</v>
      </c>
      <c r="BC1892">
        <f t="shared" si="79"/>
        <v>9.5462200172955258E-2</v>
      </c>
      <c r="BD1892">
        <f>SUMIFS(HIX_RatingAreas[QHP Enrollments 2019],HIX_RatingAreas[Area],HIX_SLCSP[[#This Row],[Area Code]])</f>
        <v>8882</v>
      </c>
      <c r="BE1892">
        <f t="shared" si="69"/>
        <v>9.5558807074923618E-2</v>
      </c>
      <c r="BF1892">
        <f>SUMIFS(HIX_RatingAreas[QHP Enrollments 2020],HIX_RatingAreas[Area],HIX_SLCSP[[#This Row],[Area Code]])</f>
        <v>8248</v>
      </c>
      <c r="BG1892">
        <f t="shared" si="70"/>
        <v>9.3996444363404291E-2</v>
      </c>
      <c r="BH1892">
        <f>SUMIFS(HIX_RatingAreas[QHP Enrollments 2021],HIX_RatingAreas[Area],HIX_SLCSP[[#This Row],[Area Code]])</f>
        <v>7445</v>
      </c>
      <c r="BI1892">
        <f t="shared" si="71"/>
        <v>8.9527291092966491E-2</v>
      </c>
      <c r="BJ1892">
        <f>SUMIFS(HIX_RatingAreas[QHP Enrollments 2022],HIX_RatingAreas[Area],HIX_SLCSP[[#This Row],[Area Code]])</f>
        <v>9609</v>
      </c>
      <c r="BK1892">
        <f t="shared" si="72"/>
        <v>9.6450725714171001E-2</v>
      </c>
      <c r="BL1892">
        <f>SUMIFS(HIX_RatingAreas[QHP Enrollments 2023],HIX_RatingAreas[Area],HIX_SLCSP[[#This Row],[Area Code]])</f>
        <v>11949</v>
      </c>
      <c r="BM1892">
        <f t="shared" si="80"/>
        <v>9.8912287672593621E-2</v>
      </c>
      <c r="BN1892">
        <f>SUMIFS(HIX_RatingAreas[QHP Enrollments 2024],HIX_RatingAreas[Area],HIX_SLCSP[[#This Row],[Area Code]])</f>
        <v>19041</v>
      </c>
      <c r="BO1892">
        <f t="shared" si="73"/>
        <v>8.9607657664017168E-2</v>
      </c>
      <c r="BP1892" s="53">
        <f>ROUND(HIX_SLCSP[[#This Row],[Weighting Factor 2018]]*HIX_SLCSP[[#This Row],[2018]],2)</f>
        <v>35.619999999999997</v>
      </c>
      <c r="BQ1892" s="53">
        <f>ROUND(HIX_SLCSP[[#This Row],[Weighting Factor 2019]]*HIX_SLCSP[[#This Row],[2019]],2)</f>
        <v>33.6</v>
      </c>
      <c r="BR1892" s="53">
        <f>ROUND(HIX_SLCSP[[#This Row],[Weighting Factor 2020]]*HIX_SLCSP[[#This Row],[2020]],2)</f>
        <v>32.380000000000003</v>
      </c>
      <c r="BS1892" s="53">
        <f>ROUND(HIX_SLCSP[[#This Row],[Weighting Factor 2021]]*HIX_SLCSP[[#This Row],[2021]],2)</f>
        <v>31.03</v>
      </c>
      <c r="BT1892" s="53">
        <f>ROUND(HIX_SLCSP[[#This Row],[Weighting Factor 2022]]*HIX_SLCSP[[#This Row],[2022]],2)</f>
        <v>34.9</v>
      </c>
      <c r="BU1892" s="53">
        <f>ROUND(HIX_SLCSP[[#This Row],[Weighting Factor 2023]]*HIX_SLCSP[[#This Row],[2023]],2)</f>
        <v>39.15</v>
      </c>
      <c r="BV1892" s="53">
        <f>ROUND(HIX_SLCSP[[#This Row],[Weighting Factor 2024]]*HIX_SLCSP[[#This Row],[2024]],2)</f>
        <v>36.979999999999997</v>
      </c>
    </row>
    <row r="1893" spans="4:74" x14ac:dyDescent="0.35">
      <c r="D1893" t="s">
        <v>1206</v>
      </c>
      <c r="E1893" t="s">
        <v>2597</v>
      </c>
      <c r="F1893" s="23"/>
      <c r="G1893" s="23"/>
      <c r="H1893" s="23"/>
      <c r="I1893" s="23"/>
      <c r="J1893" s="53"/>
      <c r="K1893" s="53">
        <f>SUM(BP1894:BP1899)</f>
        <v>395.65</v>
      </c>
      <c r="L1893" s="53"/>
      <c r="M1893" s="54"/>
      <c r="O1893" s="55"/>
      <c r="P1893" s="56">
        <f>SUM(BQ1894:BQ1899)</f>
        <v>426.15</v>
      </c>
      <c r="Q1893" s="56"/>
      <c r="R1893" s="57">
        <f t="shared" si="75"/>
        <v>0</v>
      </c>
      <c r="S1893" s="23"/>
      <c r="T1893" s="53"/>
      <c r="U1893" s="53">
        <f>SUM(BR1894:BR1899)</f>
        <v>370.36</v>
      </c>
      <c r="V1893" s="53"/>
      <c r="W1893" s="57"/>
      <c r="X1893" s="47"/>
      <c r="Y1893" s="58"/>
      <c r="Z1893" s="53">
        <f>SUM(BS1894:BS1899)</f>
        <v>376.96000000000004</v>
      </c>
      <c r="AA1893" s="58"/>
      <c r="AB1893" s="57">
        <f t="shared" si="77"/>
        <v>0</v>
      </c>
      <c r="AC1893" s="47"/>
      <c r="AD1893" s="57"/>
      <c r="AE1893" s="53">
        <f>SUM(BT1894:BT1899)</f>
        <v>367.59000000000003</v>
      </c>
      <c r="AF1893" s="57"/>
      <c r="AG1893" s="57"/>
      <c r="AH1893" s="47"/>
      <c r="AI1893" s="57"/>
      <c r="AJ1893" s="53">
        <f>SUM(BU1894:BU1899)</f>
        <v>345.61</v>
      </c>
      <c r="AK1893" s="57"/>
      <c r="AL1893" s="57"/>
      <c r="AM1893" s="47"/>
      <c r="AN1893" s="57"/>
      <c r="AO1893" s="53">
        <f>SUM(BV1894:BV1899)</f>
        <v>360.89</v>
      </c>
      <c r="AP1893" s="57"/>
      <c r="AQ1893" s="57"/>
      <c r="AR1893" s="59">
        <f t="shared" ref="AR1893:AZ1893" si="81">SUM(AR1894:AR1899)</f>
        <v>88517</v>
      </c>
      <c r="AS1893" s="59">
        <f t="shared" si="81"/>
        <v>77931</v>
      </c>
      <c r="AT1893" s="59">
        <f t="shared" si="81"/>
        <v>85057</v>
      </c>
      <c r="AU1893" s="59">
        <f t="shared" si="81"/>
        <v>89906</v>
      </c>
      <c r="AV1893" s="59">
        <f t="shared" si="81"/>
        <v>91217</v>
      </c>
      <c r="AW1893" s="59">
        <f t="shared" si="81"/>
        <v>122604</v>
      </c>
      <c r="AX1893" s="59">
        <f t="shared" si="81"/>
        <v>139397</v>
      </c>
      <c r="AY1893" s="59">
        <f t="shared" si="81"/>
        <v>211147</v>
      </c>
      <c r="AZ1893" s="59">
        <f t="shared" si="81"/>
        <v>108668</v>
      </c>
      <c r="BA1893">
        <f t="shared" ref="BA1893:BA1899" si="82">AZ1893/AZ$1893</f>
        <v>1</v>
      </c>
      <c r="BB1893" s="59">
        <f>SUM(BB1894:BB1899)</f>
        <v>83649</v>
      </c>
      <c r="BC1893">
        <f t="shared" ref="BC1893:BC1899" si="83">BB1893/BB$1893</f>
        <v>1</v>
      </c>
      <c r="BD1893" s="59">
        <f>SUM(BD1894:BD1899)</f>
        <v>88542</v>
      </c>
      <c r="BE1893">
        <f t="shared" ref="BE1893:BE1899" si="84">BD1893/BD$1893</f>
        <v>1</v>
      </c>
      <c r="BF1893" s="59">
        <f>SUM(BF1894:BF1899)</f>
        <v>98892</v>
      </c>
      <c r="BG1893">
        <f t="shared" ref="BG1893:BG1899" si="85">BF1893/BF$1893</f>
        <v>1</v>
      </c>
      <c r="BH1893" s="59">
        <f>SUM(BH1894:BH1899)</f>
        <v>110966</v>
      </c>
      <c r="BI1893">
        <f t="shared" ref="BI1893:BI1899" si="86">BH1893/BH$1893</f>
        <v>1</v>
      </c>
      <c r="BJ1893" s="59">
        <f>SUM(BJ1894:BJ1899)</f>
        <v>143014</v>
      </c>
      <c r="BK1893">
        <f t="shared" ref="BK1893:BK1899" si="87">BJ1893/BJ$1893</f>
        <v>1</v>
      </c>
      <c r="BL1893" s="59">
        <f>SUM(BL1894:BL1899)</f>
        <v>183478</v>
      </c>
      <c r="BM1893">
        <f t="shared" ref="BM1893:BM1899" si="88">BL1893/BL$1893</f>
        <v>1</v>
      </c>
      <c r="BN1893" s="59">
        <f>SUM(BN1894:BN1899)</f>
        <v>286410</v>
      </c>
      <c r="BO1893">
        <f>BN1893/BN$1893</f>
        <v>1</v>
      </c>
      <c r="BP1893" s="53"/>
      <c r="BQ1893" s="53"/>
      <c r="BR1893" s="53"/>
      <c r="BS1893" s="53"/>
      <c r="BT1893" s="53"/>
      <c r="BU1893" s="53"/>
      <c r="BV1893" s="53"/>
    </row>
    <row r="1894" spans="4:74" x14ac:dyDescent="0.35">
      <c r="D1894" t="s">
        <v>1206</v>
      </c>
      <c r="E1894" t="s">
        <v>231</v>
      </c>
      <c r="F1894" s="23">
        <v>1</v>
      </c>
      <c r="G1894" s="23" t="s">
        <v>1207</v>
      </c>
      <c r="H1894" s="23" t="s">
        <v>1208</v>
      </c>
      <c r="I1894" s="23">
        <v>25</v>
      </c>
      <c r="J1894" s="53">
        <v>361.65</v>
      </c>
      <c r="K1894" s="53">
        <v>382.54</v>
      </c>
      <c r="L1894" s="53">
        <v>651.92999999999995</v>
      </c>
      <c r="M1894" s="54">
        <f t="shared" ref="M1894:M1899" si="89">L1894/K1894</f>
        <v>1.7042139384116692</v>
      </c>
      <c r="N1894" s="24">
        <v>12</v>
      </c>
      <c r="O1894" s="55">
        <v>343.36</v>
      </c>
      <c r="P1894" s="56">
        <v>391.78</v>
      </c>
      <c r="Q1894" s="56">
        <v>667.68</v>
      </c>
      <c r="R1894" s="57">
        <f t="shared" si="75"/>
        <v>1.7042217571085814</v>
      </c>
      <c r="S1894" s="23">
        <v>25</v>
      </c>
      <c r="T1894" s="53">
        <v>327.17</v>
      </c>
      <c r="U1894" s="53">
        <v>328.15</v>
      </c>
      <c r="V1894" s="53">
        <v>559.23</v>
      </c>
      <c r="W1894" s="57">
        <f t="shared" ref="W1894:W1899" si="90">V1894/U1894</f>
        <v>1.7041901569404239</v>
      </c>
      <c r="X1894" s="47">
        <v>56</v>
      </c>
      <c r="Y1894" s="58">
        <v>343.59</v>
      </c>
      <c r="Z1894" s="58">
        <v>350.21</v>
      </c>
      <c r="AA1894" s="58">
        <v>596.82000000000005</v>
      </c>
      <c r="AB1894" s="57">
        <f t="shared" si="77"/>
        <v>1.7041774935038978</v>
      </c>
      <c r="AC1894" s="47">
        <v>72</v>
      </c>
      <c r="AD1894" s="57">
        <v>358.96</v>
      </c>
      <c r="AE1894" s="57">
        <v>358.96</v>
      </c>
      <c r="AF1894" s="57">
        <v>611.74</v>
      </c>
      <c r="AG1894" s="57">
        <f t="shared" ref="AG1894:AG1899" si="91">AF1894/AE1894</f>
        <v>1.7042010251838646</v>
      </c>
      <c r="AH1894" s="47">
        <v>124</v>
      </c>
      <c r="AI1894">
        <v>345.22</v>
      </c>
      <c r="AJ1894">
        <v>346.19</v>
      </c>
      <c r="AK1894">
        <v>589.97</v>
      </c>
      <c r="AL1894" s="57">
        <f t="shared" si="50"/>
        <v>1.7041797856668304</v>
      </c>
      <c r="AM1894" s="47">
        <v>102</v>
      </c>
      <c r="AN1894" s="57">
        <v>355.45</v>
      </c>
      <c r="AO1894" s="57">
        <v>356</v>
      </c>
      <c r="AP1894" s="57">
        <v>606.70000000000005</v>
      </c>
      <c r="AQ1894" s="57">
        <f t="shared" si="52"/>
        <v>1.7042134831460676</v>
      </c>
      <c r="AR1894" s="59">
        <v>7941</v>
      </c>
      <c r="AS1894" s="59">
        <f>SUMIFS(HIX_RatingAreas[Silver Enrollments 2018],HIX_RatingAreas[Area],HIX_SLCSP[[#This Row],[Area Code]])</f>
        <v>6448</v>
      </c>
      <c r="AT1894" s="59">
        <f>SUMIFS(HIX_RatingAreas[Silver Enrollments 2019],HIX_RatingAreas[Area],HIX_SLCSP[[#This Row],[Area Code]])</f>
        <v>6300</v>
      </c>
      <c r="AU1894" s="59">
        <f>SUMIFS(HIX_RatingAreas[Silver Enrollments 2020],HIX_RatingAreas[Area],HIX_SLCSP[[#This Row],[Area Code]])</f>
        <v>6314</v>
      </c>
      <c r="AV1894" s="59">
        <f>SUMIFS(HIX_RatingAreas[Silver Enrollments 2021],HIX_RatingAreas[Area],HIX_SLCSP[[#This Row],[Area Code]])</f>
        <v>6694</v>
      </c>
      <c r="AW1894" s="59">
        <f>SUMIFS(HIX_RatingAreas[Silver Enrollments 2022],HIX_RatingAreas[Area],HIX_SLCSP[[#This Row],[Area Code]])</f>
        <v>9042</v>
      </c>
      <c r="AX1894" s="59">
        <f>SUMIFS(HIX_RatingAreas[Silver Enrollments 2023],HIX_RatingAreas[Area],HIX_SLCSP[[#This Row],[Area Code]])</f>
        <v>9906</v>
      </c>
      <c r="AY1894" s="59">
        <f>SUMIFS(HIX_RatingAreas[Silver Enrollments 2024],HIX_RatingAreas[Area],HIX_SLCSP[[#This Row],[Area Code]])</f>
        <v>14376</v>
      </c>
      <c r="AZ1894" s="59">
        <v>10004</v>
      </c>
      <c r="BA1894">
        <f t="shared" si="82"/>
        <v>9.2060220119998523E-2</v>
      </c>
      <c r="BB1894">
        <f>SUMIFS(HIX_RatingAreas[QHP Enrollments 2018],HIX_RatingAreas[Area],HIX_SLCSP[[#This Row],[Area Code]])</f>
        <v>7102</v>
      </c>
      <c r="BC1894">
        <f t="shared" si="83"/>
        <v>8.4902389747635962E-2</v>
      </c>
      <c r="BD1894">
        <f>SUMIFS(HIX_RatingAreas[QHP Enrollments 2019],HIX_RatingAreas[Area],HIX_SLCSP[[#This Row],[Area Code]])</f>
        <v>6654</v>
      </c>
      <c r="BE1894">
        <f t="shared" si="84"/>
        <v>7.5150775902961306E-2</v>
      </c>
      <c r="BF1894">
        <f>SUMIFS(HIX_RatingAreas[QHP Enrollments 2020],HIX_RatingAreas[Area],HIX_SLCSP[[#This Row],[Area Code]])</f>
        <v>7017</v>
      </c>
      <c r="BG1894">
        <f t="shared" si="85"/>
        <v>7.0956194636573225E-2</v>
      </c>
      <c r="BH1894">
        <f>SUMIFS(HIX_RatingAreas[QHP Enrollments 2021],HIX_RatingAreas[Area],HIX_SLCSP[[#This Row],[Area Code]])</f>
        <v>8011</v>
      </c>
      <c r="BI1894">
        <f t="shared" si="86"/>
        <v>7.2193284429464877E-2</v>
      </c>
      <c r="BJ1894">
        <f>SUMIFS(HIX_RatingAreas[QHP Enrollments 2022],HIX_RatingAreas[Area],HIX_SLCSP[[#This Row],[Area Code]])</f>
        <v>10637</v>
      </c>
      <c r="BK1894">
        <f t="shared" si="87"/>
        <v>7.4377333687611E-2</v>
      </c>
      <c r="BL1894">
        <f>SUMIFS(HIX_RatingAreas[QHP Enrollments 2023],HIX_RatingAreas[Area],HIX_SLCSP[[#This Row],[Area Code]])</f>
        <v>12960</v>
      </c>
      <c r="BM1894">
        <f t="shared" si="88"/>
        <v>7.0635171519201206E-2</v>
      </c>
      <c r="BN1894">
        <f>SUMIFS(HIX_RatingAreas[QHP Enrollments 2024],HIX_RatingAreas[Area],HIX_SLCSP[[#This Row],[Area Code]])</f>
        <v>20290</v>
      </c>
      <c r="BO1894">
        <f t="shared" ref="BO1894:BO1899" si="92">BN1894/BN$1893</f>
        <v>7.0842498516113267E-2</v>
      </c>
      <c r="BP1894" s="53">
        <f>ROUND(HIX_SLCSP[[#This Row],[Weighting Factor 2018]]*HIX_SLCSP[[#This Row],[2018]],2)</f>
        <v>32.479999999999997</v>
      </c>
      <c r="BQ1894" s="53">
        <f>ROUND(HIX_SLCSP[[#This Row],[Weighting Factor 2019]]*HIX_SLCSP[[#This Row],[2019]],2)</f>
        <v>29.44</v>
      </c>
      <c r="BR1894" s="53">
        <f>ROUND(HIX_SLCSP[[#This Row],[Weighting Factor 2020]]*HIX_SLCSP[[#This Row],[2020]],2)</f>
        <v>23.28</v>
      </c>
      <c r="BS1894" s="53">
        <f>ROUND(HIX_SLCSP[[#This Row],[Weighting Factor 2021]]*HIX_SLCSP[[#This Row],[2021]],2)</f>
        <v>25.28</v>
      </c>
      <c r="BT1894" s="53">
        <f>ROUND(HIX_SLCSP[[#This Row],[Weighting Factor 2022]]*HIX_SLCSP[[#This Row],[2022]],2)</f>
        <v>26.7</v>
      </c>
      <c r="BU1894" s="53">
        <f>ROUND(HIX_SLCSP[[#This Row],[Weighting Factor 2023]]*HIX_SLCSP[[#This Row],[2023]],2)</f>
        <v>24.45</v>
      </c>
      <c r="BV1894" s="53">
        <f>ROUND(HIX_SLCSP[[#This Row],[Weighting Factor 2024]]*HIX_SLCSP[[#This Row],[2024]],2)</f>
        <v>25.22</v>
      </c>
    </row>
    <row r="1895" spans="4:74" x14ac:dyDescent="0.35">
      <c r="D1895" t="s">
        <v>1206</v>
      </c>
      <c r="E1895" t="s">
        <v>235</v>
      </c>
      <c r="F1895" s="23">
        <v>2</v>
      </c>
      <c r="G1895" s="23" t="s">
        <v>1207</v>
      </c>
      <c r="H1895" s="23" t="s">
        <v>1216</v>
      </c>
      <c r="I1895" s="23">
        <v>25</v>
      </c>
      <c r="J1895" s="53">
        <v>362.83</v>
      </c>
      <c r="K1895" s="53">
        <v>375.6</v>
      </c>
      <c r="L1895" s="53">
        <v>640.09</v>
      </c>
      <c r="M1895" s="54">
        <f t="shared" si="89"/>
        <v>1.7041799787007454</v>
      </c>
      <c r="N1895" s="24">
        <v>12</v>
      </c>
      <c r="O1895" s="55">
        <v>382.26</v>
      </c>
      <c r="P1895" s="56">
        <v>436.17</v>
      </c>
      <c r="Q1895" s="56">
        <v>743.32</v>
      </c>
      <c r="R1895" s="57">
        <f t="shared" si="75"/>
        <v>1.7041979044867828</v>
      </c>
      <c r="S1895" s="23">
        <v>25</v>
      </c>
      <c r="T1895" s="53">
        <v>386.39</v>
      </c>
      <c r="U1895" s="53">
        <v>387.55</v>
      </c>
      <c r="V1895" s="53">
        <v>660.46</v>
      </c>
      <c r="W1895" s="57">
        <f t="shared" si="90"/>
        <v>1.7041930073538898</v>
      </c>
      <c r="X1895" s="47">
        <v>56</v>
      </c>
      <c r="Y1895" s="58">
        <v>380.4</v>
      </c>
      <c r="Z1895" s="58">
        <v>381.09</v>
      </c>
      <c r="AA1895" s="58">
        <v>649.45000000000005</v>
      </c>
      <c r="AB1895" s="57">
        <f t="shared" si="77"/>
        <v>1.7041906111417253</v>
      </c>
      <c r="AC1895" s="47">
        <v>96</v>
      </c>
      <c r="AD1895" s="57">
        <v>372.71</v>
      </c>
      <c r="AE1895" s="57">
        <v>372.71</v>
      </c>
      <c r="AF1895" s="57">
        <v>635.16999999999996</v>
      </c>
      <c r="AG1895" s="57">
        <f t="shared" si="91"/>
        <v>1.704193608972123</v>
      </c>
      <c r="AH1895" s="47">
        <v>124</v>
      </c>
      <c r="AI1895">
        <v>349.74</v>
      </c>
      <c r="AJ1895">
        <v>350.71</v>
      </c>
      <c r="AK1895">
        <v>597.69000000000005</v>
      </c>
      <c r="AL1895" s="57">
        <f t="shared" si="50"/>
        <v>1.7042285649111804</v>
      </c>
      <c r="AM1895" s="47">
        <v>102</v>
      </c>
      <c r="AN1895" s="57">
        <v>353.97</v>
      </c>
      <c r="AO1895" s="57">
        <v>354.53</v>
      </c>
      <c r="AP1895" s="57">
        <v>604.19000000000005</v>
      </c>
      <c r="AQ1895" s="57">
        <f t="shared" si="52"/>
        <v>1.7041999266634702</v>
      </c>
      <c r="AR1895" s="59">
        <v>4288</v>
      </c>
      <c r="AS1895" s="59">
        <f>SUMIFS(HIX_RatingAreas[Silver Enrollments 2018],HIX_RatingAreas[Area],HIX_SLCSP[[#This Row],[Area Code]])</f>
        <v>4529</v>
      </c>
      <c r="AT1895" s="59">
        <f>SUMIFS(HIX_RatingAreas[Silver Enrollments 2019],HIX_RatingAreas[Area],HIX_SLCSP[[#This Row],[Area Code]])</f>
        <v>5366</v>
      </c>
      <c r="AU1895" s="59">
        <f>SUMIFS(HIX_RatingAreas[Silver Enrollments 2020],HIX_RatingAreas[Area],HIX_SLCSP[[#This Row],[Area Code]])</f>
        <v>6147</v>
      </c>
      <c r="AV1895" s="59">
        <f>SUMIFS(HIX_RatingAreas[Silver Enrollments 2021],HIX_RatingAreas[Area],HIX_SLCSP[[#This Row],[Area Code]])</f>
        <v>6159</v>
      </c>
      <c r="AW1895" s="59">
        <f>SUMIFS(HIX_RatingAreas[Silver Enrollments 2022],HIX_RatingAreas[Area],HIX_SLCSP[[#This Row],[Area Code]])</f>
        <v>7825</v>
      </c>
      <c r="AX1895" s="59">
        <f>SUMIFS(HIX_RatingAreas[Silver Enrollments 2023],HIX_RatingAreas[Area],HIX_SLCSP[[#This Row],[Area Code]])</f>
        <v>8208</v>
      </c>
      <c r="AY1895" s="59">
        <f>SUMIFS(HIX_RatingAreas[Silver Enrollments 2024],HIX_RatingAreas[Area],HIX_SLCSP[[#This Row],[Area Code]])</f>
        <v>14946</v>
      </c>
      <c r="AZ1895" s="59">
        <v>5186</v>
      </c>
      <c r="BA1895">
        <f t="shared" si="82"/>
        <v>4.7723340817904074E-2</v>
      </c>
      <c r="BB1895">
        <f>SUMIFS(HIX_RatingAreas[QHP Enrollments 2018],HIX_RatingAreas[Area],HIX_SLCSP[[#This Row],[Area Code]])</f>
        <v>4829</v>
      </c>
      <c r="BC1895">
        <f t="shared" si="83"/>
        <v>5.7729321330798937E-2</v>
      </c>
      <c r="BD1895">
        <f>SUMIFS(HIX_RatingAreas[QHP Enrollments 2019],HIX_RatingAreas[Area],HIX_SLCSP[[#This Row],[Area Code]])</f>
        <v>5547</v>
      </c>
      <c r="BE1895">
        <f t="shared" si="84"/>
        <v>6.2648234736057462E-2</v>
      </c>
      <c r="BF1895">
        <f>SUMIFS(HIX_RatingAreas[QHP Enrollments 2020],HIX_RatingAreas[Area],HIX_SLCSP[[#This Row],[Area Code]])</f>
        <v>6668</v>
      </c>
      <c r="BG1895">
        <f t="shared" si="85"/>
        <v>6.742709218136958E-2</v>
      </c>
      <c r="BH1895">
        <f>SUMIFS(HIX_RatingAreas[QHP Enrollments 2021],HIX_RatingAreas[Area],HIX_SLCSP[[#This Row],[Area Code]])</f>
        <v>7201</v>
      </c>
      <c r="BI1895">
        <f t="shared" si="86"/>
        <v>6.4893751239118294E-2</v>
      </c>
      <c r="BJ1895">
        <f>SUMIFS(HIX_RatingAreas[QHP Enrollments 2022],HIX_RatingAreas[Area],HIX_SLCSP[[#This Row],[Area Code]])</f>
        <v>8972</v>
      </c>
      <c r="BK1895">
        <f t="shared" si="87"/>
        <v>6.2735116841707808E-2</v>
      </c>
      <c r="BL1895">
        <f>SUMIFS(HIX_RatingAreas[QHP Enrollments 2023],HIX_RatingAreas[Area],HIX_SLCSP[[#This Row],[Area Code]])</f>
        <v>11590</v>
      </c>
      <c r="BM1895">
        <f t="shared" si="88"/>
        <v>6.3168336258298E-2</v>
      </c>
      <c r="BN1895">
        <f>SUMIFS(HIX_RatingAreas[QHP Enrollments 2024],HIX_RatingAreas[Area],HIX_SLCSP[[#This Row],[Area Code]])</f>
        <v>18595</v>
      </c>
      <c r="BO1895">
        <f t="shared" si="92"/>
        <v>6.4924409063929336E-2</v>
      </c>
      <c r="BP1895" s="53">
        <f>ROUND(HIX_SLCSP[[#This Row],[Weighting Factor 2018]]*HIX_SLCSP[[#This Row],[2018]],2)</f>
        <v>21.68</v>
      </c>
      <c r="BQ1895" s="53">
        <f>ROUND(HIX_SLCSP[[#This Row],[Weighting Factor 2019]]*HIX_SLCSP[[#This Row],[2019]],2)</f>
        <v>27.33</v>
      </c>
      <c r="BR1895" s="53">
        <f>ROUND(HIX_SLCSP[[#This Row],[Weighting Factor 2020]]*HIX_SLCSP[[#This Row],[2020]],2)</f>
        <v>26.13</v>
      </c>
      <c r="BS1895" s="53">
        <f>ROUND(HIX_SLCSP[[#This Row],[Weighting Factor 2021]]*HIX_SLCSP[[#This Row],[2021]],2)</f>
        <v>24.73</v>
      </c>
      <c r="BT1895" s="53">
        <f>ROUND(HIX_SLCSP[[#This Row],[Weighting Factor 2022]]*HIX_SLCSP[[#This Row],[2022]],2)</f>
        <v>23.38</v>
      </c>
      <c r="BU1895" s="53">
        <f>ROUND(HIX_SLCSP[[#This Row],[Weighting Factor 2023]]*HIX_SLCSP[[#This Row],[2023]],2)</f>
        <v>22.15</v>
      </c>
      <c r="BV1895" s="53">
        <f>ROUND(HIX_SLCSP[[#This Row],[Weighting Factor 2024]]*HIX_SLCSP[[#This Row],[2024]],2)</f>
        <v>23.02</v>
      </c>
    </row>
    <row r="1896" spans="4:74" x14ac:dyDescent="0.35">
      <c r="D1896" t="s">
        <v>1206</v>
      </c>
      <c r="E1896" t="s">
        <v>239</v>
      </c>
      <c r="F1896" s="23">
        <v>3</v>
      </c>
      <c r="G1896" s="23" t="s">
        <v>1207</v>
      </c>
      <c r="H1896" s="23" t="s">
        <v>1226</v>
      </c>
      <c r="I1896" s="23">
        <v>25</v>
      </c>
      <c r="J1896" s="53">
        <v>393.71</v>
      </c>
      <c r="K1896" s="53">
        <v>407.56</v>
      </c>
      <c r="L1896" s="53">
        <v>694.57</v>
      </c>
      <c r="M1896" s="54">
        <f t="shared" si="89"/>
        <v>1.7042153302581216</v>
      </c>
      <c r="N1896" s="24">
        <v>12</v>
      </c>
      <c r="O1896" s="55">
        <v>389.74</v>
      </c>
      <c r="P1896" s="56">
        <v>444.71</v>
      </c>
      <c r="Q1896" s="56">
        <v>757.87</v>
      </c>
      <c r="R1896" s="57">
        <f t="shared" si="75"/>
        <v>1.7041892469249624</v>
      </c>
      <c r="S1896" s="23">
        <v>25</v>
      </c>
      <c r="T1896" s="53">
        <v>364.92</v>
      </c>
      <c r="U1896" s="53">
        <v>366.02</v>
      </c>
      <c r="V1896" s="53">
        <v>623.77</v>
      </c>
      <c r="W1896" s="57">
        <f t="shared" si="90"/>
        <v>1.704196491994973</v>
      </c>
      <c r="X1896" s="47">
        <v>56</v>
      </c>
      <c r="Y1896" s="58">
        <v>376.48</v>
      </c>
      <c r="Z1896" s="58">
        <v>377.16</v>
      </c>
      <c r="AA1896" s="58">
        <v>642.76</v>
      </c>
      <c r="AB1896" s="57">
        <f t="shared" si="77"/>
        <v>1.7042104146781205</v>
      </c>
      <c r="AC1896" s="47">
        <v>76</v>
      </c>
      <c r="AD1896" s="57">
        <v>363.9</v>
      </c>
      <c r="AE1896" s="57">
        <v>363.9</v>
      </c>
      <c r="AF1896" s="57">
        <v>620.15</v>
      </c>
      <c r="AG1896" s="57">
        <f t="shared" si="91"/>
        <v>1.7041769716955208</v>
      </c>
      <c r="AH1896" s="47">
        <v>96</v>
      </c>
      <c r="AI1896">
        <v>354.56</v>
      </c>
      <c r="AJ1896">
        <v>355.55</v>
      </c>
      <c r="AK1896">
        <v>605.92999999999995</v>
      </c>
      <c r="AL1896" s="57">
        <f t="shared" si="50"/>
        <v>1.7042047531992686</v>
      </c>
      <c r="AM1896" s="47">
        <v>82</v>
      </c>
      <c r="AN1896" s="57">
        <v>369.46</v>
      </c>
      <c r="AO1896" s="57">
        <v>370.04</v>
      </c>
      <c r="AP1896" s="57">
        <v>630.62</v>
      </c>
      <c r="AQ1896" s="57">
        <f t="shared" si="52"/>
        <v>1.704194141173927</v>
      </c>
      <c r="AR1896" s="59">
        <v>25001</v>
      </c>
      <c r="AS1896" s="59">
        <f>SUMIFS(HIX_RatingAreas[Silver Enrollments 2018],HIX_RatingAreas[Area],HIX_SLCSP[[#This Row],[Area Code]])</f>
        <v>16571</v>
      </c>
      <c r="AT1896" s="59">
        <f>SUMIFS(HIX_RatingAreas[Silver Enrollments 2019],HIX_RatingAreas[Area],HIX_SLCSP[[#This Row],[Area Code]])</f>
        <v>17294</v>
      </c>
      <c r="AU1896" s="59">
        <f>SUMIFS(HIX_RatingAreas[Silver Enrollments 2020],HIX_RatingAreas[Area],HIX_SLCSP[[#This Row],[Area Code]])</f>
        <v>16605</v>
      </c>
      <c r="AV1896" s="59">
        <f>SUMIFS(HIX_RatingAreas[Silver Enrollments 2021],HIX_RatingAreas[Area],HIX_SLCSP[[#This Row],[Area Code]])</f>
        <v>15838</v>
      </c>
      <c r="AW1896" s="59">
        <f>SUMIFS(HIX_RatingAreas[Silver Enrollments 2022],HIX_RatingAreas[Area],HIX_SLCSP[[#This Row],[Area Code]])</f>
        <v>21081</v>
      </c>
      <c r="AX1896" s="59">
        <f>SUMIFS(HIX_RatingAreas[Silver Enrollments 2023],HIX_RatingAreas[Area],HIX_SLCSP[[#This Row],[Area Code]])</f>
        <v>20246</v>
      </c>
      <c r="AY1896" s="59">
        <f>SUMIFS(HIX_RatingAreas[Silver Enrollments 2024],HIX_RatingAreas[Area],HIX_SLCSP[[#This Row],[Area Code]])</f>
        <v>23092</v>
      </c>
      <c r="AZ1896" s="59">
        <v>32141</v>
      </c>
      <c r="BA1896">
        <f t="shared" si="82"/>
        <v>0.29577244450988333</v>
      </c>
      <c r="BB1896">
        <f>SUMIFS(HIX_RatingAreas[QHP Enrollments 2018],HIX_RatingAreas[Area],HIX_SLCSP[[#This Row],[Area Code]])</f>
        <v>18057</v>
      </c>
      <c r="BC1896">
        <f t="shared" si="83"/>
        <v>0.2158662984614281</v>
      </c>
      <c r="BD1896">
        <f>SUMIFS(HIX_RatingAreas[QHP Enrollments 2019],HIX_RatingAreas[Area],HIX_SLCSP[[#This Row],[Area Code]])</f>
        <v>18142</v>
      </c>
      <c r="BE1896">
        <f t="shared" si="84"/>
        <v>0.20489711097558222</v>
      </c>
      <c r="BF1896">
        <f>SUMIFS(HIX_RatingAreas[QHP Enrollments 2020],HIX_RatingAreas[Area],HIX_SLCSP[[#This Row],[Area Code]])</f>
        <v>18890</v>
      </c>
      <c r="BG1896">
        <f t="shared" si="85"/>
        <v>0.19101646240343001</v>
      </c>
      <c r="BH1896">
        <f>SUMIFS(HIX_RatingAreas[QHP Enrollments 2021],HIX_RatingAreas[Area],HIX_SLCSP[[#This Row],[Area Code]])</f>
        <v>20450</v>
      </c>
      <c r="BI1896">
        <f t="shared" si="86"/>
        <v>0.18429068363282447</v>
      </c>
      <c r="BJ1896">
        <f>SUMIFS(HIX_RatingAreas[QHP Enrollments 2022],HIX_RatingAreas[Area],HIX_SLCSP[[#This Row],[Area Code]])</f>
        <v>25493</v>
      </c>
      <c r="BK1896">
        <f t="shared" si="87"/>
        <v>0.17825527570727343</v>
      </c>
      <c r="BL1896">
        <f>SUMIFS(HIX_RatingAreas[QHP Enrollments 2023],HIX_RatingAreas[Area],HIX_SLCSP[[#This Row],[Area Code]])</f>
        <v>31828</v>
      </c>
      <c r="BM1896">
        <f t="shared" si="88"/>
        <v>0.17347038882045804</v>
      </c>
      <c r="BN1896">
        <f>SUMIFS(HIX_RatingAreas[QHP Enrollments 2024],HIX_RatingAreas[Area],HIX_SLCSP[[#This Row],[Area Code]])</f>
        <v>48790</v>
      </c>
      <c r="BO1896">
        <f t="shared" si="92"/>
        <v>0.1703501972696484</v>
      </c>
      <c r="BP1896" s="53">
        <f>ROUND(HIX_SLCSP[[#This Row],[Weighting Factor 2018]]*HIX_SLCSP[[#This Row],[2018]],2)</f>
        <v>87.98</v>
      </c>
      <c r="BQ1896" s="53">
        <f>ROUND(HIX_SLCSP[[#This Row],[Weighting Factor 2019]]*HIX_SLCSP[[#This Row],[2019]],2)</f>
        <v>91.12</v>
      </c>
      <c r="BR1896" s="53">
        <f>ROUND(HIX_SLCSP[[#This Row],[Weighting Factor 2020]]*HIX_SLCSP[[#This Row],[2020]],2)</f>
        <v>69.92</v>
      </c>
      <c r="BS1896" s="53">
        <f>ROUND(HIX_SLCSP[[#This Row],[Weighting Factor 2021]]*HIX_SLCSP[[#This Row],[2021]],2)</f>
        <v>69.510000000000005</v>
      </c>
      <c r="BT1896" s="53">
        <f>ROUND(HIX_SLCSP[[#This Row],[Weighting Factor 2022]]*HIX_SLCSP[[#This Row],[2022]],2)</f>
        <v>64.87</v>
      </c>
      <c r="BU1896" s="53">
        <f>ROUND(HIX_SLCSP[[#This Row],[Weighting Factor 2023]]*HIX_SLCSP[[#This Row],[2023]],2)</f>
        <v>61.68</v>
      </c>
      <c r="BV1896" s="53">
        <f>ROUND(HIX_SLCSP[[#This Row],[Weighting Factor 2024]]*HIX_SLCSP[[#This Row],[2024]],2)</f>
        <v>63.04</v>
      </c>
    </row>
    <row r="1897" spans="4:74" x14ac:dyDescent="0.35">
      <c r="D1897" t="s">
        <v>1206</v>
      </c>
      <c r="E1897" t="s">
        <v>255</v>
      </c>
      <c r="F1897" s="23">
        <v>4</v>
      </c>
      <c r="G1897" s="23" t="s">
        <v>1207</v>
      </c>
      <c r="H1897" s="23" t="s">
        <v>1237</v>
      </c>
      <c r="I1897" s="23">
        <v>25</v>
      </c>
      <c r="J1897" s="53">
        <v>370.55</v>
      </c>
      <c r="K1897" s="53">
        <v>383.59</v>
      </c>
      <c r="L1897" s="53">
        <v>653.71</v>
      </c>
      <c r="M1897" s="54">
        <f t="shared" si="89"/>
        <v>1.7041893688573739</v>
      </c>
      <c r="N1897" s="24">
        <v>12</v>
      </c>
      <c r="O1897" s="55">
        <v>398.71</v>
      </c>
      <c r="P1897" s="56">
        <v>454.95</v>
      </c>
      <c r="Q1897" s="56">
        <v>775.32</v>
      </c>
      <c r="R1897" s="57">
        <f t="shared" si="75"/>
        <v>1.7041872733267394</v>
      </c>
      <c r="S1897" s="23">
        <v>25</v>
      </c>
      <c r="T1897" s="53">
        <v>380.7</v>
      </c>
      <c r="U1897" s="53">
        <v>390.23</v>
      </c>
      <c r="V1897" s="53">
        <v>665.03</v>
      </c>
      <c r="W1897" s="57">
        <f t="shared" si="90"/>
        <v>1.7042000871281038</v>
      </c>
      <c r="X1897" s="47">
        <v>56</v>
      </c>
      <c r="Y1897" s="58">
        <v>382.51</v>
      </c>
      <c r="Z1897" s="58">
        <v>383.21</v>
      </c>
      <c r="AA1897" s="58">
        <v>653.05999999999995</v>
      </c>
      <c r="AB1897" s="57">
        <f t="shared" si="77"/>
        <v>1.7041830849925628</v>
      </c>
      <c r="AC1897" s="47">
        <v>76</v>
      </c>
      <c r="AD1897" s="57">
        <v>373.89</v>
      </c>
      <c r="AE1897" s="57">
        <v>373.89</v>
      </c>
      <c r="AF1897" s="57">
        <v>637.17999999999995</v>
      </c>
      <c r="AG1897" s="57">
        <f t="shared" si="91"/>
        <v>1.7041910722404985</v>
      </c>
      <c r="AH1897" s="47">
        <v>124</v>
      </c>
      <c r="AI1897">
        <v>362.49</v>
      </c>
      <c r="AJ1897">
        <v>363.5</v>
      </c>
      <c r="AK1897">
        <v>619.48</v>
      </c>
      <c r="AL1897" s="57">
        <f t="shared" si="50"/>
        <v>1.7042090784044017</v>
      </c>
      <c r="AM1897" s="47">
        <v>102</v>
      </c>
      <c r="AN1897" s="57">
        <v>378.27</v>
      </c>
      <c r="AO1897" s="57">
        <v>378.86</v>
      </c>
      <c r="AP1897" s="57">
        <v>645.65</v>
      </c>
      <c r="AQ1897" s="57">
        <f t="shared" si="52"/>
        <v>1.7041915219342236</v>
      </c>
      <c r="AR1897" s="59">
        <v>7926</v>
      </c>
      <c r="AS1897" s="59">
        <f>SUMIFS(HIX_RatingAreas[Silver Enrollments 2018],HIX_RatingAreas[Area],HIX_SLCSP[[#This Row],[Area Code]])</f>
        <v>8085</v>
      </c>
      <c r="AT1897" s="59">
        <f>SUMIFS(HIX_RatingAreas[Silver Enrollments 2019],HIX_RatingAreas[Area],HIX_SLCSP[[#This Row],[Area Code]])</f>
        <v>9057</v>
      </c>
      <c r="AU1897" s="59">
        <f>SUMIFS(HIX_RatingAreas[Silver Enrollments 2020],HIX_RatingAreas[Area],HIX_SLCSP[[#This Row],[Area Code]])</f>
        <v>8841</v>
      </c>
      <c r="AV1897" s="59">
        <f>SUMIFS(HIX_RatingAreas[Silver Enrollments 2021],HIX_RatingAreas[Area],HIX_SLCSP[[#This Row],[Area Code]])</f>
        <v>8814</v>
      </c>
      <c r="AW1897" s="59">
        <f>SUMIFS(HIX_RatingAreas[Silver Enrollments 2022],HIX_RatingAreas[Area],HIX_SLCSP[[#This Row],[Area Code]])</f>
        <v>11930</v>
      </c>
      <c r="AX1897" s="59">
        <f>SUMIFS(HIX_RatingAreas[Silver Enrollments 2023],HIX_RatingAreas[Area],HIX_SLCSP[[#This Row],[Area Code]])</f>
        <v>11506</v>
      </c>
      <c r="AY1897" s="59">
        <f>SUMIFS(HIX_RatingAreas[Silver Enrollments 2024],HIX_RatingAreas[Area],HIX_SLCSP[[#This Row],[Area Code]])</f>
        <v>16570</v>
      </c>
      <c r="AZ1897" s="59">
        <v>9489</v>
      </c>
      <c r="BA1897">
        <f t="shared" si="82"/>
        <v>8.7321014466080177E-2</v>
      </c>
      <c r="BB1897">
        <f>SUMIFS(HIX_RatingAreas[QHP Enrollments 2018],HIX_RatingAreas[Area],HIX_SLCSP[[#This Row],[Area Code]])</f>
        <v>8568</v>
      </c>
      <c r="BC1897">
        <f t="shared" si="83"/>
        <v>0.10242800272567515</v>
      </c>
      <c r="BD1897">
        <f>SUMIFS(HIX_RatingAreas[QHP Enrollments 2019],HIX_RatingAreas[Area],HIX_SLCSP[[#This Row],[Area Code]])</f>
        <v>9413</v>
      </c>
      <c r="BE1897">
        <f t="shared" si="84"/>
        <v>0.10631112918163131</v>
      </c>
      <c r="BF1897">
        <f>SUMIFS(HIX_RatingAreas[QHP Enrollments 2020],HIX_RatingAreas[Area],HIX_SLCSP[[#This Row],[Area Code]])</f>
        <v>10076</v>
      </c>
      <c r="BG1897">
        <f t="shared" si="85"/>
        <v>0.10188892933705457</v>
      </c>
      <c r="BH1897">
        <f>SUMIFS(HIX_RatingAreas[QHP Enrollments 2021],HIX_RatingAreas[Area],HIX_SLCSP[[#This Row],[Area Code]])</f>
        <v>10584</v>
      </c>
      <c r="BI1897">
        <f t="shared" si="86"/>
        <v>9.5380567020528814E-2</v>
      </c>
      <c r="BJ1897">
        <f>SUMIFS(HIX_RatingAreas[QHP Enrollments 2022],HIX_RatingAreas[Area],HIX_SLCSP[[#This Row],[Area Code]])</f>
        <v>14003</v>
      </c>
      <c r="BK1897">
        <f t="shared" si="87"/>
        <v>9.791349098689639E-2</v>
      </c>
      <c r="BL1897">
        <f>SUMIFS(HIX_RatingAreas[QHP Enrollments 2023],HIX_RatingAreas[Area],HIX_SLCSP[[#This Row],[Area Code]])</f>
        <v>16784</v>
      </c>
      <c r="BM1897">
        <f t="shared" si="88"/>
        <v>9.1476907313138359E-2</v>
      </c>
      <c r="BN1897">
        <f>SUMIFS(HIX_RatingAreas[QHP Enrollments 2024],HIX_RatingAreas[Area],HIX_SLCSP[[#This Row],[Area Code]])</f>
        <v>24743</v>
      </c>
      <c r="BO1897">
        <f t="shared" si="92"/>
        <v>8.6390140009077895E-2</v>
      </c>
      <c r="BP1897" s="53">
        <f>ROUND(HIX_SLCSP[[#This Row],[Weighting Factor 2018]]*HIX_SLCSP[[#This Row],[2018]],2)</f>
        <v>39.29</v>
      </c>
      <c r="BQ1897" s="53">
        <f>ROUND(HIX_SLCSP[[#This Row],[Weighting Factor 2019]]*HIX_SLCSP[[#This Row],[2019]],2)</f>
        <v>48.37</v>
      </c>
      <c r="BR1897" s="53">
        <f>ROUND(HIX_SLCSP[[#This Row],[Weighting Factor 2020]]*HIX_SLCSP[[#This Row],[2020]],2)</f>
        <v>39.76</v>
      </c>
      <c r="BS1897" s="53">
        <f>ROUND(HIX_SLCSP[[#This Row],[Weighting Factor 2021]]*HIX_SLCSP[[#This Row],[2021]],2)</f>
        <v>36.549999999999997</v>
      </c>
      <c r="BT1897" s="53">
        <f>ROUND(HIX_SLCSP[[#This Row],[Weighting Factor 2022]]*HIX_SLCSP[[#This Row],[2022]],2)</f>
        <v>36.61</v>
      </c>
      <c r="BU1897" s="53">
        <f>ROUND(HIX_SLCSP[[#This Row],[Weighting Factor 2023]]*HIX_SLCSP[[#This Row],[2023]],2)</f>
        <v>33.25</v>
      </c>
      <c r="BV1897" s="53">
        <f>ROUND(HIX_SLCSP[[#This Row],[Weighting Factor 2024]]*HIX_SLCSP[[#This Row],[2024]],2)</f>
        <v>32.729999999999997</v>
      </c>
    </row>
    <row r="1898" spans="4:74" x14ac:dyDescent="0.35">
      <c r="D1898" t="s">
        <v>1206</v>
      </c>
      <c r="E1898" t="s">
        <v>259</v>
      </c>
      <c r="F1898" s="23">
        <v>5</v>
      </c>
      <c r="G1898" s="23" t="s">
        <v>1207</v>
      </c>
      <c r="H1898" s="23" t="s">
        <v>1246</v>
      </c>
      <c r="I1898" s="23">
        <v>25</v>
      </c>
      <c r="J1898" s="53">
        <v>405.29</v>
      </c>
      <c r="K1898" s="53">
        <v>419.55</v>
      </c>
      <c r="L1898" s="53">
        <v>715</v>
      </c>
      <c r="M1898" s="54">
        <f t="shared" si="89"/>
        <v>1.7042068883327375</v>
      </c>
      <c r="N1898" s="24">
        <v>12</v>
      </c>
      <c r="O1898" s="55">
        <v>437.99</v>
      </c>
      <c r="P1898" s="56">
        <v>499.76</v>
      </c>
      <c r="Q1898" s="56">
        <v>851.69</v>
      </c>
      <c r="R1898" s="57">
        <f t="shared" si="75"/>
        <v>1.7041980150472229</v>
      </c>
      <c r="S1898" s="23">
        <v>25</v>
      </c>
      <c r="T1898" s="53">
        <v>399.58</v>
      </c>
      <c r="U1898" s="53">
        <v>400.77</v>
      </c>
      <c r="V1898" s="53">
        <v>683</v>
      </c>
      <c r="W1898" s="57">
        <f t="shared" si="90"/>
        <v>1.7042193776979315</v>
      </c>
      <c r="X1898" s="47">
        <v>56</v>
      </c>
      <c r="Y1898" s="58">
        <v>368.33</v>
      </c>
      <c r="Z1898" s="58">
        <v>369</v>
      </c>
      <c r="AA1898" s="58">
        <v>628.85</v>
      </c>
      <c r="AB1898" s="57">
        <f t="shared" si="77"/>
        <v>1.70420054200542</v>
      </c>
      <c r="AC1898" s="47">
        <v>96</v>
      </c>
      <c r="AD1898" s="57">
        <v>363.4</v>
      </c>
      <c r="AE1898" s="57">
        <v>363.4</v>
      </c>
      <c r="AF1898" s="57">
        <v>619.30999999999995</v>
      </c>
      <c r="AG1898" s="57">
        <f t="shared" si="91"/>
        <v>1.704210236653825</v>
      </c>
      <c r="AH1898" s="47">
        <v>124</v>
      </c>
      <c r="AI1898">
        <v>341.98</v>
      </c>
      <c r="AJ1898">
        <v>342.94</v>
      </c>
      <c r="AK1898">
        <v>584.42999999999995</v>
      </c>
      <c r="AL1898" s="57">
        <f t="shared" si="50"/>
        <v>1.7041756575494253</v>
      </c>
      <c r="AM1898" s="47">
        <v>102</v>
      </c>
      <c r="AN1898" s="57">
        <v>368.82</v>
      </c>
      <c r="AO1898" s="57">
        <v>369.39</v>
      </c>
      <c r="AP1898" s="57">
        <v>629.52</v>
      </c>
      <c r="AQ1898" s="57">
        <f t="shared" si="52"/>
        <v>1.7042150572565582</v>
      </c>
      <c r="AR1898" s="59">
        <v>9818</v>
      </c>
      <c r="AS1898" s="59">
        <f>SUMIFS(HIX_RatingAreas[Silver Enrollments 2018],HIX_RatingAreas[Area],HIX_SLCSP[[#This Row],[Area Code]])</f>
        <v>10102</v>
      </c>
      <c r="AT1898" s="59">
        <f>SUMIFS(HIX_RatingAreas[Silver Enrollments 2019],HIX_RatingAreas[Area],HIX_SLCSP[[#This Row],[Area Code]])</f>
        <v>10730</v>
      </c>
      <c r="AU1898" s="59">
        <f>SUMIFS(HIX_RatingAreas[Silver Enrollments 2020],HIX_RatingAreas[Area],HIX_SLCSP[[#This Row],[Area Code]])</f>
        <v>10261</v>
      </c>
      <c r="AV1898" s="59">
        <f>SUMIFS(HIX_RatingAreas[Silver Enrollments 2021],HIX_RatingAreas[Area],HIX_SLCSP[[#This Row],[Area Code]])</f>
        <v>10501</v>
      </c>
      <c r="AW1898" s="59">
        <f>SUMIFS(HIX_RatingAreas[Silver Enrollments 2022],HIX_RatingAreas[Area],HIX_SLCSP[[#This Row],[Area Code]])</f>
        <v>16073</v>
      </c>
      <c r="AX1898" s="59">
        <f>SUMIFS(HIX_RatingAreas[Silver Enrollments 2023],HIX_RatingAreas[Area],HIX_SLCSP[[#This Row],[Area Code]])</f>
        <v>17703</v>
      </c>
      <c r="AY1898" s="59">
        <f>SUMIFS(HIX_RatingAreas[Silver Enrollments 2024],HIX_RatingAreas[Area],HIX_SLCSP[[#This Row],[Area Code]])</f>
        <v>27101</v>
      </c>
      <c r="AZ1898" s="59">
        <v>11679</v>
      </c>
      <c r="BA1898">
        <f t="shared" si="82"/>
        <v>0.10747414142157764</v>
      </c>
      <c r="BB1898">
        <f>SUMIFS(HIX_RatingAreas[QHP Enrollments 2018],HIX_RatingAreas[Area],HIX_SLCSP[[#This Row],[Area Code]])</f>
        <v>10860</v>
      </c>
      <c r="BC1898">
        <f t="shared" si="83"/>
        <v>0.12982821073772549</v>
      </c>
      <c r="BD1898">
        <f>SUMIFS(HIX_RatingAreas[QHP Enrollments 2019],HIX_RatingAreas[Area],HIX_SLCSP[[#This Row],[Area Code]])</f>
        <v>11197</v>
      </c>
      <c r="BE1898">
        <f t="shared" si="84"/>
        <v>0.12645975921031827</v>
      </c>
      <c r="BF1898">
        <f>SUMIFS(HIX_RatingAreas[QHP Enrollments 2020],HIX_RatingAreas[Area],HIX_SLCSP[[#This Row],[Area Code]])</f>
        <v>12175</v>
      </c>
      <c r="BG1898">
        <f t="shared" si="85"/>
        <v>0.12311410427537112</v>
      </c>
      <c r="BH1898">
        <f>SUMIFS(HIX_RatingAreas[QHP Enrollments 2021],HIX_RatingAreas[Area],HIX_SLCSP[[#This Row],[Area Code]])</f>
        <v>13247</v>
      </c>
      <c r="BI1898">
        <f t="shared" si="86"/>
        <v>0.11937890885496458</v>
      </c>
      <c r="BJ1898">
        <f>SUMIFS(HIX_RatingAreas[QHP Enrollments 2022],HIX_RatingAreas[Area],HIX_SLCSP[[#This Row],[Area Code]])</f>
        <v>18662</v>
      </c>
      <c r="BK1898">
        <f t="shared" si="87"/>
        <v>0.13049072118813543</v>
      </c>
      <c r="BL1898">
        <f>SUMIFS(HIX_RatingAreas[QHP Enrollments 2023],HIX_RatingAreas[Area],HIX_SLCSP[[#This Row],[Area Code]])</f>
        <v>26573</v>
      </c>
      <c r="BM1898">
        <f t="shared" si="88"/>
        <v>0.14482935283794243</v>
      </c>
      <c r="BN1898">
        <f>SUMIFS(HIX_RatingAreas[QHP Enrollments 2024],HIX_RatingAreas[Area],HIX_SLCSP[[#This Row],[Area Code]])</f>
        <v>40476</v>
      </c>
      <c r="BO1898">
        <f t="shared" si="92"/>
        <v>0.14132188121923117</v>
      </c>
      <c r="BP1898" s="53">
        <f>ROUND(HIX_SLCSP[[#This Row],[Weighting Factor 2018]]*HIX_SLCSP[[#This Row],[2018]],2)</f>
        <v>54.47</v>
      </c>
      <c r="BQ1898" s="53">
        <f>ROUND(HIX_SLCSP[[#This Row],[Weighting Factor 2019]]*HIX_SLCSP[[#This Row],[2019]],2)</f>
        <v>63.2</v>
      </c>
      <c r="BR1898" s="53">
        <f>ROUND(HIX_SLCSP[[#This Row],[Weighting Factor 2020]]*HIX_SLCSP[[#This Row],[2020]],2)</f>
        <v>49.34</v>
      </c>
      <c r="BS1898" s="53">
        <f>ROUND(HIX_SLCSP[[#This Row],[Weighting Factor 2021]]*HIX_SLCSP[[#This Row],[2021]],2)</f>
        <v>44.05</v>
      </c>
      <c r="BT1898" s="53">
        <f>ROUND(HIX_SLCSP[[#This Row],[Weighting Factor 2022]]*HIX_SLCSP[[#This Row],[2022]],2)</f>
        <v>47.42</v>
      </c>
      <c r="BU1898" s="53">
        <f>ROUND(HIX_SLCSP[[#This Row],[Weighting Factor 2023]]*HIX_SLCSP[[#This Row],[2023]],2)</f>
        <v>49.67</v>
      </c>
      <c r="BV1898" s="53">
        <f>ROUND(HIX_SLCSP[[#This Row],[Weighting Factor 2024]]*HIX_SLCSP[[#This Row],[2024]],2)</f>
        <v>52.2</v>
      </c>
    </row>
    <row r="1899" spans="4:74" x14ac:dyDescent="0.35">
      <c r="D1899" t="s">
        <v>1206</v>
      </c>
      <c r="E1899" t="s">
        <v>265</v>
      </c>
      <c r="F1899" s="23">
        <v>6</v>
      </c>
      <c r="G1899" s="23" t="s">
        <v>1207</v>
      </c>
      <c r="H1899" s="23" t="s">
        <v>1254</v>
      </c>
      <c r="I1899" s="23">
        <v>25</v>
      </c>
      <c r="J1899" s="53">
        <v>365.58</v>
      </c>
      <c r="K1899" s="53">
        <v>390.35</v>
      </c>
      <c r="L1899" s="53">
        <v>665.23</v>
      </c>
      <c r="M1899" s="54">
        <f t="shared" si="89"/>
        <v>1.7041885487383117</v>
      </c>
      <c r="N1899" s="24">
        <v>12</v>
      </c>
      <c r="O1899" s="55">
        <v>344.11</v>
      </c>
      <c r="P1899" s="56">
        <v>392.64</v>
      </c>
      <c r="Q1899" s="56">
        <v>669.13</v>
      </c>
      <c r="R1899" s="57">
        <f t="shared" si="75"/>
        <v>1.7041819478402609</v>
      </c>
      <c r="S1899" s="23">
        <v>25</v>
      </c>
      <c r="T1899" s="53">
        <v>362.3</v>
      </c>
      <c r="U1899" s="53">
        <v>363.39</v>
      </c>
      <c r="V1899" s="53">
        <v>619.28</v>
      </c>
      <c r="W1899" s="57">
        <f t="shared" si="90"/>
        <v>1.7041745782767825</v>
      </c>
      <c r="X1899" s="47">
        <v>56</v>
      </c>
      <c r="Y1899" s="58">
        <v>380.49</v>
      </c>
      <c r="Z1899" s="58">
        <v>381.23</v>
      </c>
      <c r="AA1899" s="58">
        <v>649.69000000000005</v>
      </c>
      <c r="AB1899" s="57">
        <f t="shared" si="77"/>
        <v>1.7041943183904731</v>
      </c>
      <c r="AC1899" s="47">
        <v>96</v>
      </c>
      <c r="AD1899" s="57">
        <v>369.57</v>
      </c>
      <c r="AE1899" s="57">
        <v>369.57</v>
      </c>
      <c r="AF1899" s="57">
        <v>629.83000000000004</v>
      </c>
      <c r="AG1899" s="57">
        <f t="shared" si="91"/>
        <v>1.7042238276916417</v>
      </c>
      <c r="AH1899" s="47">
        <v>96</v>
      </c>
      <c r="AI1899">
        <v>337.36</v>
      </c>
      <c r="AJ1899">
        <v>338.31</v>
      </c>
      <c r="AK1899">
        <v>576.54</v>
      </c>
      <c r="AL1899" s="57">
        <f t="shared" si="50"/>
        <v>1.7041766427241287</v>
      </c>
      <c r="AM1899" s="47">
        <v>102</v>
      </c>
      <c r="AN1899" s="57">
        <v>352.72</v>
      </c>
      <c r="AO1899" s="57">
        <v>353.27</v>
      </c>
      <c r="AP1899" s="57">
        <v>602.04</v>
      </c>
      <c r="AQ1899" s="57">
        <f t="shared" si="52"/>
        <v>1.7041922608769495</v>
      </c>
      <c r="AR1899" s="59">
        <v>33543</v>
      </c>
      <c r="AS1899" s="59">
        <f>SUMIFS(HIX_RatingAreas[Silver Enrollments 2018],HIX_RatingAreas[Area],HIX_SLCSP[[#This Row],[Area Code]])</f>
        <v>32196</v>
      </c>
      <c r="AT1899" s="59">
        <f>SUMIFS(HIX_RatingAreas[Silver Enrollments 2019],HIX_RatingAreas[Area],HIX_SLCSP[[#This Row],[Area Code]])</f>
        <v>36310</v>
      </c>
      <c r="AU1899" s="59">
        <f>SUMIFS(HIX_RatingAreas[Silver Enrollments 2020],HIX_RatingAreas[Area],HIX_SLCSP[[#This Row],[Area Code]])</f>
        <v>41738</v>
      </c>
      <c r="AV1899" s="59">
        <f>SUMIFS(HIX_RatingAreas[Silver Enrollments 2021],HIX_RatingAreas[Area],HIX_SLCSP[[#This Row],[Area Code]])</f>
        <v>43211</v>
      </c>
      <c r="AW1899" s="59">
        <f>SUMIFS(HIX_RatingAreas[Silver Enrollments 2022],HIX_RatingAreas[Area],HIX_SLCSP[[#This Row],[Area Code]])</f>
        <v>56653</v>
      </c>
      <c r="AX1899" s="59">
        <f>SUMIFS(HIX_RatingAreas[Silver Enrollments 2023],HIX_RatingAreas[Area],HIX_SLCSP[[#This Row],[Area Code]])</f>
        <v>71828</v>
      </c>
      <c r="AY1899" s="59">
        <f>SUMIFS(HIX_RatingAreas[Silver Enrollments 2024],HIX_RatingAreas[Area],HIX_SLCSP[[#This Row],[Area Code]])</f>
        <v>115062</v>
      </c>
      <c r="AZ1899" s="59">
        <v>40169</v>
      </c>
      <c r="BA1899">
        <f t="shared" si="82"/>
        <v>0.36964883866455628</v>
      </c>
      <c r="BB1899">
        <f>SUMIFS(HIX_RatingAreas[QHP Enrollments 2018],HIX_RatingAreas[Area],HIX_SLCSP[[#This Row],[Area Code]])</f>
        <v>34233</v>
      </c>
      <c r="BC1899">
        <f t="shared" si="83"/>
        <v>0.40924577699673637</v>
      </c>
      <c r="BD1899">
        <f>SUMIFS(HIX_RatingAreas[QHP Enrollments 2019],HIX_RatingAreas[Area],HIX_SLCSP[[#This Row],[Area Code]])</f>
        <v>37589</v>
      </c>
      <c r="BE1899">
        <f t="shared" si="84"/>
        <v>0.42453298999344946</v>
      </c>
      <c r="BF1899">
        <f>SUMIFS(HIX_RatingAreas[QHP Enrollments 2020],HIX_RatingAreas[Area],HIX_SLCSP[[#This Row],[Area Code]])</f>
        <v>44066</v>
      </c>
      <c r="BG1899">
        <f t="shared" si="85"/>
        <v>0.44559721716620149</v>
      </c>
      <c r="BH1899">
        <f>SUMIFS(HIX_RatingAreas[QHP Enrollments 2021],HIX_RatingAreas[Area],HIX_SLCSP[[#This Row],[Area Code]])</f>
        <v>51473</v>
      </c>
      <c r="BI1899">
        <f t="shared" si="86"/>
        <v>0.46386280482309894</v>
      </c>
      <c r="BJ1899">
        <f>SUMIFS(HIX_RatingAreas[QHP Enrollments 2022],HIX_RatingAreas[Area],HIX_SLCSP[[#This Row],[Area Code]])</f>
        <v>65247</v>
      </c>
      <c r="BK1899">
        <f t="shared" si="87"/>
        <v>0.45622806158837598</v>
      </c>
      <c r="BL1899">
        <f>SUMIFS(HIX_RatingAreas[QHP Enrollments 2023],HIX_RatingAreas[Area],HIX_SLCSP[[#This Row],[Area Code]])</f>
        <v>83743</v>
      </c>
      <c r="BM1899">
        <f t="shared" si="88"/>
        <v>0.45641984325096197</v>
      </c>
      <c r="BN1899">
        <f>SUMIFS(HIX_RatingAreas[QHP Enrollments 2024],HIX_RatingAreas[Area],HIX_SLCSP[[#This Row],[Area Code]])</f>
        <v>133516</v>
      </c>
      <c r="BO1899">
        <f t="shared" si="92"/>
        <v>0.46617087392199991</v>
      </c>
      <c r="BP1899" s="53">
        <f>ROUND(HIX_SLCSP[[#This Row],[Weighting Factor 2018]]*HIX_SLCSP[[#This Row],[2018]],2)</f>
        <v>159.75</v>
      </c>
      <c r="BQ1899" s="53">
        <f>ROUND(HIX_SLCSP[[#This Row],[Weighting Factor 2019]]*HIX_SLCSP[[#This Row],[2019]],2)</f>
        <v>166.69</v>
      </c>
      <c r="BR1899" s="53">
        <f>ROUND(HIX_SLCSP[[#This Row],[Weighting Factor 2020]]*HIX_SLCSP[[#This Row],[2020]],2)</f>
        <v>161.93</v>
      </c>
      <c r="BS1899" s="53">
        <f>ROUND(HIX_SLCSP[[#This Row],[Weighting Factor 2021]]*HIX_SLCSP[[#This Row],[2021]],2)</f>
        <v>176.84</v>
      </c>
      <c r="BT1899" s="53">
        <f>ROUND(HIX_SLCSP[[#This Row],[Weighting Factor 2022]]*HIX_SLCSP[[#This Row],[2022]],2)</f>
        <v>168.61</v>
      </c>
      <c r="BU1899" s="53">
        <f>ROUND(HIX_SLCSP[[#This Row],[Weighting Factor 2023]]*HIX_SLCSP[[#This Row],[2023]],2)</f>
        <v>154.41</v>
      </c>
      <c r="BV1899" s="53">
        <f>ROUND(HIX_SLCSP[[#This Row],[Weighting Factor 2024]]*HIX_SLCSP[[#This Row],[2024]],2)</f>
        <v>164.68</v>
      </c>
    </row>
    <row r="1900" spans="4:74" x14ac:dyDescent="0.35">
      <c r="D1900" t="s">
        <v>1338</v>
      </c>
      <c r="E1900" t="s">
        <v>2597</v>
      </c>
      <c r="F1900" s="23"/>
      <c r="G1900" s="23"/>
      <c r="H1900" s="23"/>
      <c r="I1900" s="23"/>
      <c r="J1900" s="53"/>
      <c r="K1900" s="53">
        <f>SUM(BP1901:BP1910)</f>
        <v>443.28000000000009</v>
      </c>
      <c r="L1900" s="53"/>
      <c r="M1900" s="54"/>
      <c r="O1900" s="55"/>
      <c r="P1900" s="56">
        <f>SUM(BQ1901:BQ1910)</f>
        <v>453.52</v>
      </c>
      <c r="Q1900" s="56"/>
      <c r="R1900" s="57"/>
      <c r="S1900" s="23"/>
      <c r="T1900" s="53"/>
      <c r="U1900" s="53">
        <f>SUM(BR1901:BR1910)</f>
        <v>444.92999999999995</v>
      </c>
      <c r="V1900" s="53"/>
      <c r="W1900" s="57"/>
      <c r="X1900" s="47"/>
      <c r="Y1900" s="58"/>
      <c r="Z1900" s="53">
        <f>SUM(BS1901:BS1910)</f>
        <v>384.78000000000003</v>
      </c>
      <c r="AA1900" s="58"/>
      <c r="AB1900" s="57"/>
      <c r="AC1900" s="47"/>
      <c r="AD1900" s="57"/>
      <c r="AE1900" s="53">
        <f>SUM(BT1901:BT1910)</f>
        <v>650.78</v>
      </c>
      <c r="AF1900" s="57"/>
      <c r="AG1900" s="57"/>
      <c r="AH1900" s="47"/>
      <c r="AI1900" s="57"/>
      <c r="AJ1900" s="53">
        <f>SUM(BU1901:BU1910)</f>
        <v>389.71</v>
      </c>
      <c r="AK1900" s="57"/>
      <c r="AL1900" s="57"/>
      <c r="AM1900" s="47"/>
      <c r="AN1900" s="57"/>
      <c r="AO1900" s="53">
        <f>SUM(BV1901:BV1910)</f>
        <v>433.82000000000005</v>
      </c>
      <c r="AP1900" s="57"/>
      <c r="AQ1900" s="57"/>
      <c r="AR1900" s="59"/>
      <c r="AS1900" s="59">
        <f t="shared" ref="AS1900:AZ1900" si="93">SUM(AS1901:AS1910)</f>
        <v>157213</v>
      </c>
      <c r="AT1900" s="59">
        <f t="shared" si="93"/>
        <v>157213</v>
      </c>
      <c r="AU1900" s="59">
        <f t="shared" si="93"/>
        <v>140993</v>
      </c>
      <c r="AV1900" s="59">
        <f t="shared" si="93"/>
        <v>138862</v>
      </c>
      <c r="AW1900" s="59">
        <f t="shared" si="93"/>
        <v>161335</v>
      </c>
      <c r="AX1900" s="59">
        <f t="shared" si="93"/>
        <v>165459</v>
      </c>
      <c r="AY1900" s="59">
        <f t="shared" si="93"/>
        <v>196476</v>
      </c>
      <c r="AZ1900" s="59">
        <f t="shared" si="93"/>
        <v>269354</v>
      </c>
      <c r="BA1900">
        <f>AZ1900/AZ$1900</f>
        <v>1</v>
      </c>
      <c r="BB1900" s="59">
        <f>SUM(BB1901:BB1910)</f>
        <v>220461</v>
      </c>
      <c r="BC1900">
        <f>BB1900/BB$1900</f>
        <v>1</v>
      </c>
      <c r="BD1900" s="59">
        <f>SUM(BD1901:BD1910)</f>
        <v>220461</v>
      </c>
      <c r="BE1900">
        <f>BD1900/BD$1900</f>
        <v>1</v>
      </c>
      <c r="BF1900" s="59">
        <f>SUM(BF1901:BF1910)</f>
        <v>202750</v>
      </c>
      <c r="BG1900">
        <f>BF1900/BF$1900</f>
        <v>1</v>
      </c>
      <c r="BH1900" s="59">
        <f>SUM(BH1901:BH1910)</f>
        <v>215311</v>
      </c>
      <c r="BI1900">
        <f>BH1900/BH$1900</f>
        <v>1</v>
      </c>
      <c r="BJ1900" s="59">
        <f>SUM(BJ1901:BJ1910)</f>
        <v>250341</v>
      </c>
      <c r="BK1900">
        <f>BJ1900/BJ$1900</f>
        <v>1</v>
      </c>
      <c r="BL1900" s="59">
        <f>SUM(BL1901:BL1910)</f>
        <v>257629</v>
      </c>
      <c r="BM1900">
        <f>BL1900/BL$1900</f>
        <v>1</v>
      </c>
      <c r="BN1900" s="59">
        <f>SUM(BN1901:BN1910)</f>
        <v>359369</v>
      </c>
      <c r="BO1900">
        <f>BN1900/BN$1900</f>
        <v>1</v>
      </c>
      <c r="BP1900" s="53"/>
      <c r="BQ1900" s="53"/>
      <c r="BR1900" s="53"/>
      <c r="BS1900" s="53"/>
      <c r="BT1900" s="53"/>
      <c r="BU1900" s="53"/>
      <c r="BV1900" s="53"/>
    </row>
    <row r="1901" spans="4:74" x14ac:dyDescent="0.35">
      <c r="D1901" t="s">
        <v>1338</v>
      </c>
      <c r="E1901" t="s">
        <v>231</v>
      </c>
      <c r="F1901" s="23">
        <v>1</v>
      </c>
      <c r="G1901" s="23" t="s">
        <v>1339</v>
      </c>
      <c r="H1901" s="23" t="s">
        <v>1342</v>
      </c>
      <c r="I1901" s="23">
        <v>20</v>
      </c>
      <c r="J1901" s="53">
        <v>396.48</v>
      </c>
      <c r="K1901" s="53">
        <v>437.7</v>
      </c>
      <c r="L1901" s="53">
        <v>745.93</v>
      </c>
      <c r="M1901" s="54">
        <f t="shared" ref="M1901:M1910" si="94">L1901/K1901</f>
        <v>1.7042037925519762</v>
      </c>
      <c r="N1901" s="24">
        <v>48</v>
      </c>
      <c r="O1901" s="55">
        <v>392.82</v>
      </c>
      <c r="P1901" s="56">
        <v>443.43</v>
      </c>
      <c r="Q1901" s="56">
        <v>755.7</v>
      </c>
      <c r="R1901" s="57">
        <f t="shared" ref="R1901:R1910" si="95">Q1901/P1901</f>
        <v>1.7042148704417834</v>
      </c>
      <c r="S1901" s="23">
        <v>25</v>
      </c>
      <c r="T1901" s="53">
        <v>369.69</v>
      </c>
      <c r="U1901" s="53">
        <v>416.55</v>
      </c>
      <c r="V1901" s="53">
        <v>709.88</v>
      </c>
      <c r="W1901" s="57">
        <f t="shared" ref="W1901:W1910" si="96">V1901/U1901</f>
        <v>1.7041891729684311</v>
      </c>
      <c r="X1901" s="47">
        <v>103</v>
      </c>
      <c r="Y1901" s="58">
        <v>363.22</v>
      </c>
      <c r="Z1901" s="58">
        <v>420.61</v>
      </c>
      <c r="AA1901" s="58">
        <v>716.8</v>
      </c>
      <c r="AB1901" s="57">
        <f t="shared" ref="AB1901:AB1927" si="97">AA1901/Z1901</f>
        <v>1.7041915313473288</v>
      </c>
      <c r="AC1901" s="47">
        <v>118</v>
      </c>
      <c r="AD1901" s="57">
        <v>417.07</v>
      </c>
      <c r="AE1901" s="57">
        <v>417.58</v>
      </c>
      <c r="AF1901" s="57">
        <v>711.64</v>
      </c>
      <c r="AG1901" s="57">
        <f t="shared" ref="AG1901:AG1910" si="98">AF1901/AE1901</f>
        <v>1.7042003927391158</v>
      </c>
      <c r="AH1901" s="47">
        <v>98</v>
      </c>
      <c r="AI1901">
        <v>452.39</v>
      </c>
      <c r="AJ1901">
        <v>453.24</v>
      </c>
      <c r="AK1901">
        <v>772.41</v>
      </c>
      <c r="AL1901" s="57">
        <f t="shared" si="50"/>
        <v>1.7041964522107491</v>
      </c>
      <c r="AM1901" s="47">
        <v>118</v>
      </c>
      <c r="AN1901" s="57">
        <v>451.83</v>
      </c>
      <c r="AO1901" s="57">
        <v>452.55</v>
      </c>
      <c r="AP1901" s="57">
        <v>771.24</v>
      </c>
      <c r="AQ1901" s="57">
        <f t="shared" si="52"/>
        <v>1.7042094796155121</v>
      </c>
      <c r="AR1901" s="59"/>
      <c r="AS1901" s="59">
        <f>SUMIFS(HIX_RatingAreas[Silver Enrollments 2018],HIX_RatingAreas[Area],HIX_SLCSP[[#This Row],[Area Code]])</f>
        <v>6985</v>
      </c>
      <c r="AT1901" s="59">
        <f>SUMIFS(HIX_RatingAreas[Silver Enrollments 2019],HIX_RatingAreas[Area],HIX_SLCSP[[#This Row],[Area Code]])</f>
        <v>6985</v>
      </c>
      <c r="AU1901" s="59">
        <f>SUMIFS(HIX_RatingAreas[Silver Enrollments 2020],HIX_RatingAreas[Area],HIX_SLCSP[[#This Row],[Area Code]])</f>
        <v>6324</v>
      </c>
      <c r="AV1901" s="59">
        <f>SUMIFS(HIX_RatingAreas[Silver Enrollments 2021],HIX_RatingAreas[Area],HIX_SLCSP[[#This Row],[Area Code]])</f>
        <v>5973</v>
      </c>
      <c r="AW1901" s="59">
        <f>SUMIFS(HIX_RatingAreas[Silver Enrollments 2022],HIX_RatingAreas[Area],HIX_SLCSP[[#This Row],[Area Code]])</f>
        <v>6652</v>
      </c>
      <c r="AX1901" s="59">
        <f>SUMIFS(HIX_RatingAreas[Silver Enrollments 2023],HIX_RatingAreas[Area],HIX_SLCSP[[#This Row],[Area Code]])</f>
        <v>6693</v>
      </c>
      <c r="AY1901" s="59">
        <f>SUMIFS(HIX_RatingAreas[Silver Enrollments 2024],HIX_RatingAreas[Area],HIX_SLCSP[[#This Row],[Area Code]])</f>
        <v>7971</v>
      </c>
      <c r="AZ1901" s="59">
        <v>10004</v>
      </c>
      <c r="BA1901">
        <f t="shared" ref="BA1901:BA1910" si="99">AZ1901/AZ$1900</f>
        <v>3.7140714450128828E-2</v>
      </c>
      <c r="BB1901">
        <f>SUMIFS(HIX_RatingAreas[QHP Enrollments 2018],HIX_RatingAreas[Area],HIX_SLCSP[[#This Row],[Area Code]])</f>
        <v>8279</v>
      </c>
      <c r="BC1901">
        <f t="shared" ref="BC1901:BC1910" si="100">BB1901/BB$1900</f>
        <v>3.7553127310499361E-2</v>
      </c>
      <c r="BD1901">
        <f>SUMIFS(HIX_RatingAreas[QHP Enrollments 2019],HIX_RatingAreas[Area],HIX_SLCSP[[#This Row],[Area Code]])</f>
        <v>8279</v>
      </c>
      <c r="BE1901">
        <f t="shared" ref="BE1901:BE1910" si="101">BD1901/BD$1900</f>
        <v>3.7553127310499361E-2</v>
      </c>
      <c r="BF1901">
        <f>SUMIFS(HIX_RatingAreas[QHP Enrollments 2020],HIX_RatingAreas[Area],HIX_SLCSP[[#This Row],[Area Code]])</f>
        <v>7894</v>
      </c>
      <c r="BG1901">
        <f t="shared" ref="BG1901:BG1910" si="102">BF1901/BF$1900</f>
        <v>3.8934648581997536E-2</v>
      </c>
      <c r="BH1901">
        <f>SUMIFS(HIX_RatingAreas[QHP Enrollments 2021],HIX_RatingAreas[Area],HIX_SLCSP[[#This Row],[Area Code]])</f>
        <v>8265</v>
      </c>
      <c r="BI1901">
        <f t="shared" ref="BI1901:BI1910" si="103">BH1901/BH$1900</f>
        <v>3.8386334186362982E-2</v>
      </c>
      <c r="BJ1901">
        <f>SUMIFS(HIX_RatingAreas[QHP Enrollments 2022],HIX_RatingAreas[Area],HIX_SLCSP[[#This Row],[Area Code]])</f>
        <v>9492</v>
      </c>
      <c r="BK1901">
        <f t="shared" ref="BK1901:BK1906" si="104">BJ1901/BJ$1893</f>
        <v>6.6371124505293186E-2</v>
      </c>
      <c r="BL1901">
        <f>SUMIFS(HIX_RatingAreas[QHP Enrollments 2023],HIX_RatingAreas[Area],HIX_SLCSP[[#This Row],[Area Code]])</f>
        <v>9957</v>
      </c>
      <c r="BM1901">
        <f>BL1901/BL$1900</f>
        <v>3.8648599342465326E-2</v>
      </c>
      <c r="BN1901">
        <f>SUMIFS(HIX_RatingAreas[QHP Enrollments 2024],HIX_RatingAreas[Area],HIX_SLCSP[[#This Row],[Area Code]])</f>
        <v>14462</v>
      </c>
      <c r="BO1901">
        <f t="shared" ref="BO1901:BO1910" si="105">BN1901/BN$1900</f>
        <v>4.024275883562578E-2</v>
      </c>
      <c r="BP1901" s="53">
        <f>ROUND(HIX_SLCSP[[#This Row],[Weighting Factor 2018]]*HIX_SLCSP[[#This Row],[2018]],2)</f>
        <v>16.440000000000001</v>
      </c>
      <c r="BQ1901" s="53">
        <f>ROUND(HIX_SLCSP[[#This Row],[Weighting Factor 2019]]*HIX_SLCSP[[#This Row],[2019]],2)</f>
        <v>16.649999999999999</v>
      </c>
      <c r="BR1901" s="53">
        <f>ROUND(HIX_SLCSP[[#This Row],[Weighting Factor 2020]]*HIX_SLCSP[[#This Row],[2020]],2)</f>
        <v>16.22</v>
      </c>
      <c r="BS1901" s="53">
        <f>ROUND(HIX_SLCSP[[#This Row],[Weighting Factor 2021]]*HIX_SLCSP[[#This Row],[2021]],2)</f>
        <v>16.149999999999999</v>
      </c>
      <c r="BT1901" s="53">
        <f>ROUND(HIX_SLCSP[[#This Row],[Weighting Factor 2022]]*HIX_SLCSP[[#This Row],[2022]],2)</f>
        <v>27.72</v>
      </c>
      <c r="BU1901" s="53">
        <f>ROUND(HIX_SLCSP[[#This Row],[Weighting Factor 2023]]*HIX_SLCSP[[#This Row],[2023]],2)</f>
        <v>17.52</v>
      </c>
      <c r="BV1901" s="53">
        <f>ROUND(HIX_SLCSP[[#This Row],[Weighting Factor 2024]]*HIX_SLCSP[[#This Row],[2024]],2)</f>
        <v>18.21</v>
      </c>
    </row>
    <row r="1902" spans="4:74" x14ac:dyDescent="0.35">
      <c r="D1902" t="s">
        <v>1338</v>
      </c>
      <c r="E1902" t="s">
        <v>235</v>
      </c>
      <c r="F1902" s="23">
        <v>2</v>
      </c>
      <c r="G1902" s="23" t="s">
        <v>1339</v>
      </c>
      <c r="H1902" s="23" t="s">
        <v>1340</v>
      </c>
      <c r="I1902" s="23">
        <v>36</v>
      </c>
      <c r="J1902" s="53">
        <v>543.41999999999996</v>
      </c>
      <c r="K1902" s="53">
        <v>565.92999999999995</v>
      </c>
      <c r="L1902" s="53">
        <v>964.46</v>
      </c>
      <c r="M1902" s="54">
        <f t="shared" si="94"/>
        <v>1.7042037001042534</v>
      </c>
      <c r="N1902" s="24">
        <v>40</v>
      </c>
      <c r="O1902" s="55">
        <v>568.55999999999995</v>
      </c>
      <c r="P1902" s="56">
        <v>595.26</v>
      </c>
      <c r="Q1902" s="56">
        <v>1014.45</v>
      </c>
      <c r="R1902" s="57">
        <f t="shared" si="95"/>
        <v>1.7042132849511138</v>
      </c>
      <c r="S1902" s="23">
        <v>36</v>
      </c>
      <c r="T1902" s="53">
        <v>599.26</v>
      </c>
      <c r="U1902" s="53">
        <v>632.59</v>
      </c>
      <c r="V1902" s="53">
        <v>1078.07</v>
      </c>
      <c r="W1902" s="57">
        <f t="shared" si="96"/>
        <v>1.7042160008852494</v>
      </c>
      <c r="X1902" s="47">
        <v>101</v>
      </c>
      <c r="Y1902" s="58">
        <v>363.22</v>
      </c>
      <c r="Z1902" s="58">
        <v>433.97</v>
      </c>
      <c r="AA1902" s="58">
        <v>739.57</v>
      </c>
      <c r="AB1902" s="57">
        <f t="shared" si="97"/>
        <v>1.7041961425905017</v>
      </c>
      <c r="AC1902" s="47">
        <v>68</v>
      </c>
      <c r="AD1902" s="57">
        <v>389.41</v>
      </c>
      <c r="AE1902" s="57">
        <v>389.89</v>
      </c>
      <c r="AF1902" s="57">
        <v>664.44</v>
      </c>
      <c r="AG1902" s="57">
        <f t="shared" si="98"/>
        <v>1.7041729718638592</v>
      </c>
      <c r="AH1902" s="47">
        <v>68</v>
      </c>
      <c r="AI1902">
        <v>463.88</v>
      </c>
      <c r="AJ1902">
        <v>464.8</v>
      </c>
      <c r="AK1902">
        <v>792.11</v>
      </c>
      <c r="AL1902" s="57">
        <f t="shared" si="50"/>
        <v>1.7041953528399312</v>
      </c>
      <c r="AM1902" s="47">
        <v>64</v>
      </c>
      <c r="AN1902" s="57">
        <v>503.79</v>
      </c>
      <c r="AO1902" s="57">
        <v>507.57</v>
      </c>
      <c r="AP1902" s="57">
        <v>865</v>
      </c>
      <c r="AQ1902" s="57">
        <f t="shared" si="52"/>
        <v>1.7041984356837481</v>
      </c>
      <c r="AR1902" s="59"/>
      <c r="AS1902" s="59">
        <f>SUMIFS(HIX_RatingAreas[Silver Enrollments 2018],HIX_RatingAreas[Area],HIX_SLCSP[[#This Row],[Area Code]])</f>
        <v>6734</v>
      </c>
      <c r="AT1902" s="59">
        <f>SUMIFS(HIX_RatingAreas[Silver Enrollments 2019],HIX_RatingAreas[Area],HIX_SLCSP[[#This Row],[Area Code]])</f>
        <v>6734</v>
      </c>
      <c r="AU1902" s="59">
        <f>SUMIFS(HIX_RatingAreas[Silver Enrollments 2020],HIX_RatingAreas[Area],HIX_SLCSP[[#This Row],[Area Code]])</f>
        <v>6386</v>
      </c>
      <c r="AV1902" s="59">
        <f>SUMIFS(HIX_RatingAreas[Silver Enrollments 2021],HIX_RatingAreas[Area],HIX_SLCSP[[#This Row],[Area Code]])</f>
        <v>5885</v>
      </c>
      <c r="AW1902" s="59">
        <f>SUMIFS(HIX_RatingAreas[Silver Enrollments 2022],HIX_RatingAreas[Area],HIX_SLCSP[[#This Row],[Area Code]])</f>
        <v>6575</v>
      </c>
      <c r="AX1902" s="59">
        <f>SUMIFS(HIX_RatingAreas[Silver Enrollments 2023],HIX_RatingAreas[Area],HIX_SLCSP[[#This Row],[Area Code]])</f>
        <v>6542</v>
      </c>
      <c r="AY1902" s="59">
        <f>SUMIFS(HIX_RatingAreas[Silver Enrollments 2024],HIX_RatingAreas[Area],HIX_SLCSP[[#This Row],[Area Code]])</f>
        <v>7605</v>
      </c>
      <c r="AZ1902" s="59">
        <v>5186</v>
      </c>
      <c r="BA1902">
        <f t="shared" si="99"/>
        <v>1.9253473124586976E-2</v>
      </c>
      <c r="BB1902">
        <f>SUMIFS(HIX_RatingAreas[QHP Enrollments 2018],HIX_RatingAreas[Area],HIX_SLCSP[[#This Row],[Area Code]])</f>
        <v>8672</v>
      </c>
      <c r="BC1902">
        <f t="shared" si="100"/>
        <v>3.9335755530456637E-2</v>
      </c>
      <c r="BD1902">
        <f>SUMIFS(HIX_RatingAreas[QHP Enrollments 2019],HIX_RatingAreas[Area],HIX_SLCSP[[#This Row],[Area Code]])</f>
        <v>8672</v>
      </c>
      <c r="BE1902">
        <f t="shared" si="101"/>
        <v>3.9335755530456637E-2</v>
      </c>
      <c r="BF1902">
        <f>SUMIFS(HIX_RatingAreas[QHP Enrollments 2020],HIX_RatingAreas[Area],HIX_SLCSP[[#This Row],[Area Code]])</f>
        <v>8135</v>
      </c>
      <c r="BG1902">
        <f t="shared" si="102"/>
        <v>4.0123304562268806E-2</v>
      </c>
      <c r="BH1902">
        <f>SUMIFS(HIX_RatingAreas[QHP Enrollments 2021],HIX_RatingAreas[Area],HIX_SLCSP[[#This Row],[Area Code]])</f>
        <v>8500</v>
      </c>
      <c r="BI1902">
        <f t="shared" si="103"/>
        <v>3.9477778655061746E-2</v>
      </c>
      <c r="BJ1902">
        <f>SUMIFS(HIX_RatingAreas[QHP Enrollments 2022],HIX_RatingAreas[Area],HIX_SLCSP[[#This Row],[Area Code]])</f>
        <v>9587</v>
      </c>
      <c r="BK1902">
        <f t="shared" si="104"/>
        <v>6.7035395136140513E-2</v>
      </c>
      <c r="BL1902">
        <f>SUMIFS(HIX_RatingAreas[QHP Enrollments 2023],HIX_RatingAreas[Area],HIX_SLCSP[[#This Row],[Area Code]])</f>
        <v>9760</v>
      </c>
      <c r="BM1902">
        <f t="shared" ref="BM1902:BM1910" si="106">BL1902/BL$1900</f>
        <v>3.7883933873903944E-2</v>
      </c>
      <c r="BN1902">
        <f>SUMIFS(HIX_RatingAreas[QHP Enrollments 2024],HIX_RatingAreas[Area],HIX_SLCSP[[#This Row],[Area Code]])</f>
        <v>13298</v>
      </c>
      <c r="BO1902">
        <f t="shared" si="105"/>
        <v>3.7003748236492294E-2</v>
      </c>
      <c r="BP1902" s="53">
        <f>ROUND(HIX_SLCSP[[#This Row],[Weighting Factor 2018]]*HIX_SLCSP[[#This Row],[2018]],2)</f>
        <v>22.26</v>
      </c>
      <c r="BQ1902" s="53">
        <f>ROUND(HIX_SLCSP[[#This Row],[Weighting Factor 2019]]*HIX_SLCSP[[#This Row],[2019]],2)</f>
        <v>23.42</v>
      </c>
      <c r="BR1902" s="53">
        <f>ROUND(HIX_SLCSP[[#This Row],[Weighting Factor 2020]]*HIX_SLCSP[[#This Row],[2020]],2)</f>
        <v>25.38</v>
      </c>
      <c r="BS1902" s="53">
        <f>ROUND(HIX_SLCSP[[#This Row],[Weighting Factor 2021]]*HIX_SLCSP[[#This Row],[2021]],2)</f>
        <v>17.13</v>
      </c>
      <c r="BT1902" s="53">
        <f>ROUND(HIX_SLCSP[[#This Row],[Weighting Factor 2022]]*HIX_SLCSP[[#This Row],[2022]],2)</f>
        <v>26.14</v>
      </c>
      <c r="BU1902" s="53">
        <f>ROUND(HIX_SLCSP[[#This Row],[Weighting Factor 2023]]*HIX_SLCSP[[#This Row],[2023]],2)</f>
        <v>17.61</v>
      </c>
      <c r="BV1902" s="53">
        <f>ROUND(HIX_SLCSP[[#This Row],[Weighting Factor 2024]]*HIX_SLCSP[[#This Row],[2024]],2)</f>
        <v>18.78</v>
      </c>
    </row>
    <row r="1903" spans="4:74" x14ac:dyDescent="0.35">
      <c r="D1903" t="s">
        <v>1338</v>
      </c>
      <c r="E1903" t="s">
        <v>239</v>
      </c>
      <c r="F1903" s="23">
        <v>3</v>
      </c>
      <c r="G1903" s="23" t="s">
        <v>1339</v>
      </c>
      <c r="H1903" s="23" t="s">
        <v>1369</v>
      </c>
      <c r="I1903" s="23">
        <v>20</v>
      </c>
      <c r="J1903" s="53">
        <v>396.97</v>
      </c>
      <c r="K1903" s="53">
        <v>424.59</v>
      </c>
      <c r="L1903" s="53">
        <v>723.59</v>
      </c>
      <c r="M1903" s="54">
        <f t="shared" si="94"/>
        <v>1.7042087661037708</v>
      </c>
      <c r="N1903" s="24">
        <v>40</v>
      </c>
      <c r="O1903" s="55">
        <v>382.87</v>
      </c>
      <c r="P1903" s="56">
        <v>384.83</v>
      </c>
      <c r="Q1903" s="56">
        <v>655.83</v>
      </c>
      <c r="R1903" s="57">
        <f t="shared" si="95"/>
        <v>1.7042070524647248</v>
      </c>
      <c r="S1903" s="23">
        <v>82</v>
      </c>
      <c r="T1903" s="53">
        <v>315.51</v>
      </c>
      <c r="U1903" s="53">
        <v>363.28</v>
      </c>
      <c r="V1903" s="53">
        <v>619.1</v>
      </c>
      <c r="W1903" s="57">
        <f t="shared" si="96"/>
        <v>1.704195111208985</v>
      </c>
      <c r="X1903" s="47">
        <v>134</v>
      </c>
      <c r="Y1903" s="58">
        <v>347.59</v>
      </c>
      <c r="Z1903" s="58">
        <v>354.5</v>
      </c>
      <c r="AA1903" s="58">
        <v>604.13</v>
      </c>
      <c r="AB1903" s="57">
        <f t="shared" si="97"/>
        <v>1.7041748942172072</v>
      </c>
      <c r="AC1903" s="47">
        <v>169</v>
      </c>
      <c r="AD1903" s="57">
        <v>333.06</v>
      </c>
      <c r="AE1903" s="57">
        <v>334.74</v>
      </c>
      <c r="AF1903" s="57">
        <v>570.47</v>
      </c>
      <c r="AG1903" s="57">
        <f t="shared" si="98"/>
        <v>1.7042181991993786</v>
      </c>
      <c r="AH1903" s="47">
        <v>166</v>
      </c>
      <c r="AI1903">
        <v>338.07</v>
      </c>
      <c r="AJ1903">
        <v>344.78</v>
      </c>
      <c r="AK1903">
        <v>587.58000000000004</v>
      </c>
      <c r="AL1903" s="57">
        <f t="shared" si="50"/>
        <v>1.7042171819711123</v>
      </c>
      <c r="AM1903" s="47">
        <v>138</v>
      </c>
      <c r="AN1903" s="57">
        <v>374.45</v>
      </c>
      <c r="AO1903" s="57">
        <v>383.4</v>
      </c>
      <c r="AP1903" s="57">
        <v>653.39</v>
      </c>
      <c r="AQ1903" s="57">
        <f t="shared" si="52"/>
        <v>1.7041992696922275</v>
      </c>
      <c r="AR1903" s="59"/>
      <c r="AS1903" s="59">
        <f>SUMIFS(HIX_RatingAreas[Silver Enrollments 2018],HIX_RatingAreas[Area],HIX_SLCSP[[#This Row],[Area Code]])</f>
        <v>21341</v>
      </c>
      <c r="AT1903" s="59">
        <f>SUMIFS(HIX_RatingAreas[Silver Enrollments 2019],HIX_RatingAreas[Area],HIX_SLCSP[[#This Row],[Area Code]])</f>
        <v>21341</v>
      </c>
      <c r="AU1903" s="59">
        <f>SUMIFS(HIX_RatingAreas[Silver Enrollments 2020],HIX_RatingAreas[Area],HIX_SLCSP[[#This Row],[Area Code]])</f>
        <v>17718</v>
      </c>
      <c r="AV1903" s="59">
        <f>SUMIFS(HIX_RatingAreas[Silver Enrollments 2021],HIX_RatingAreas[Area],HIX_SLCSP[[#This Row],[Area Code]])</f>
        <v>18978</v>
      </c>
      <c r="AW1903" s="59">
        <f>SUMIFS(HIX_RatingAreas[Silver Enrollments 2022],HIX_RatingAreas[Area],HIX_SLCSP[[#This Row],[Area Code]])</f>
        <v>23181</v>
      </c>
      <c r="AX1903" s="59">
        <f>SUMIFS(HIX_RatingAreas[Silver Enrollments 2023],HIX_RatingAreas[Area],HIX_SLCSP[[#This Row],[Area Code]])</f>
        <v>26133</v>
      </c>
      <c r="AY1903" s="59">
        <f>SUMIFS(HIX_RatingAreas[Silver Enrollments 2024],HIX_RatingAreas[Area],HIX_SLCSP[[#This Row],[Area Code]])</f>
        <v>33066</v>
      </c>
      <c r="AZ1903" s="59">
        <v>32141</v>
      </c>
      <c r="BA1903">
        <f t="shared" si="99"/>
        <v>0.11932623981823177</v>
      </c>
      <c r="BB1903">
        <f>SUMIFS(HIX_RatingAreas[QHP Enrollments 2018],HIX_RatingAreas[Area],HIX_SLCSP[[#This Row],[Area Code]])</f>
        <v>36721</v>
      </c>
      <c r="BC1903">
        <f t="shared" si="100"/>
        <v>0.16656460779911186</v>
      </c>
      <c r="BD1903">
        <f>SUMIFS(HIX_RatingAreas[QHP Enrollments 2019],HIX_RatingAreas[Area],HIX_SLCSP[[#This Row],[Area Code]])</f>
        <v>36721</v>
      </c>
      <c r="BE1903">
        <f t="shared" si="101"/>
        <v>0.16656460779911186</v>
      </c>
      <c r="BF1903">
        <f>SUMIFS(HIX_RatingAreas[QHP Enrollments 2020],HIX_RatingAreas[Area],HIX_SLCSP[[#This Row],[Area Code]])</f>
        <v>32055</v>
      </c>
      <c r="BG1903">
        <f t="shared" si="102"/>
        <v>0.15810110974106042</v>
      </c>
      <c r="BH1903">
        <f>SUMIFS(HIX_RatingAreas[QHP Enrollments 2021],HIX_RatingAreas[Area],HIX_SLCSP[[#This Row],[Area Code]])</f>
        <v>34204</v>
      </c>
      <c r="BI1903">
        <f t="shared" si="103"/>
        <v>0.15885858130796848</v>
      </c>
      <c r="BJ1903">
        <f>SUMIFS(HIX_RatingAreas[QHP Enrollments 2022],HIX_RatingAreas[Area],HIX_SLCSP[[#This Row],[Area Code]])</f>
        <v>41114</v>
      </c>
      <c r="BK1903">
        <f t="shared" si="104"/>
        <v>0.28748234438586434</v>
      </c>
      <c r="BL1903">
        <f>SUMIFS(HIX_RatingAreas[QHP Enrollments 2023],HIX_RatingAreas[Area],HIX_SLCSP[[#This Row],[Area Code]])</f>
        <v>43700</v>
      </c>
      <c r="BM1903">
        <f t="shared" si="106"/>
        <v>0.16962376130016418</v>
      </c>
      <c r="BN1903">
        <f>SUMIFS(HIX_RatingAreas[QHP Enrollments 2024],HIX_RatingAreas[Area],HIX_SLCSP[[#This Row],[Area Code]])</f>
        <v>67296</v>
      </c>
      <c r="BO1903">
        <f t="shared" si="105"/>
        <v>0.18726156123650065</v>
      </c>
      <c r="BP1903" s="53">
        <f>ROUND(HIX_SLCSP[[#This Row],[Weighting Factor 2018]]*HIX_SLCSP[[#This Row],[2018]],2)</f>
        <v>70.72</v>
      </c>
      <c r="BQ1903" s="53">
        <f>ROUND(HIX_SLCSP[[#This Row],[Weighting Factor 2019]]*HIX_SLCSP[[#This Row],[2019]],2)</f>
        <v>64.099999999999994</v>
      </c>
      <c r="BR1903" s="53">
        <f>ROUND(HIX_SLCSP[[#This Row],[Weighting Factor 2020]]*HIX_SLCSP[[#This Row],[2020]],2)</f>
        <v>57.43</v>
      </c>
      <c r="BS1903" s="53">
        <f>ROUND(HIX_SLCSP[[#This Row],[Weighting Factor 2021]]*HIX_SLCSP[[#This Row],[2021]],2)</f>
        <v>56.32</v>
      </c>
      <c r="BT1903" s="53">
        <f>ROUND(HIX_SLCSP[[#This Row],[Weighting Factor 2022]]*HIX_SLCSP[[#This Row],[2022]],2)</f>
        <v>96.23</v>
      </c>
      <c r="BU1903" s="53">
        <f>ROUND(HIX_SLCSP[[#This Row],[Weighting Factor 2023]]*HIX_SLCSP[[#This Row],[2023]],2)</f>
        <v>58.48</v>
      </c>
      <c r="BV1903" s="53">
        <f>ROUND(HIX_SLCSP[[#This Row],[Weighting Factor 2024]]*HIX_SLCSP[[#This Row],[2024]],2)</f>
        <v>71.8</v>
      </c>
    </row>
    <row r="1904" spans="4:74" x14ac:dyDescent="0.35">
      <c r="D1904" t="s">
        <v>1338</v>
      </c>
      <c r="E1904" t="s">
        <v>255</v>
      </c>
      <c r="F1904" s="23">
        <v>4</v>
      </c>
      <c r="G1904" s="23" t="s">
        <v>1339</v>
      </c>
      <c r="H1904" s="23" t="s">
        <v>1352</v>
      </c>
      <c r="I1904" s="23">
        <v>12</v>
      </c>
      <c r="J1904" s="53">
        <v>493.13</v>
      </c>
      <c r="K1904" s="53">
        <v>512.86</v>
      </c>
      <c r="L1904" s="53">
        <v>874.01</v>
      </c>
      <c r="M1904" s="54">
        <f t="shared" si="94"/>
        <v>1.7041882775026322</v>
      </c>
      <c r="N1904" s="24">
        <v>12</v>
      </c>
      <c r="O1904" s="55">
        <v>401.72</v>
      </c>
      <c r="P1904" s="56">
        <v>458.23</v>
      </c>
      <c r="Q1904" s="56">
        <v>780.91</v>
      </c>
      <c r="R1904" s="57">
        <f t="shared" si="95"/>
        <v>1.7041878532614625</v>
      </c>
      <c r="S1904" s="23">
        <v>17</v>
      </c>
      <c r="T1904" s="53">
        <v>367.33</v>
      </c>
      <c r="U1904" s="53">
        <v>384.48</v>
      </c>
      <c r="V1904" s="53">
        <v>655.23</v>
      </c>
      <c r="W1904" s="57">
        <f t="shared" si="96"/>
        <v>1.7041978776529338</v>
      </c>
      <c r="X1904" s="47">
        <v>89</v>
      </c>
      <c r="Y1904" s="58">
        <v>377.75</v>
      </c>
      <c r="Z1904" s="58">
        <v>410.01</v>
      </c>
      <c r="AA1904" s="58">
        <v>698.73</v>
      </c>
      <c r="AB1904" s="57">
        <f t="shared" si="97"/>
        <v>1.7041779468793445</v>
      </c>
      <c r="AC1904" s="47">
        <v>96</v>
      </c>
      <c r="AD1904" s="57">
        <v>424.51</v>
      </c>
      <c r="AE1904" s="57">
        <v>432.79</v>
      </c>
      <c r="AF1904" s="57">
        <v>737.56</v>
      </c>
      <c r="AG1904" s="57">
        <f t="shared" si="98"/>
        <v>1.704198340996788</v>
      </c>
      <c r="AH1904" s="47">
        <v>106</v>
      </c>
      <c r="AI1904">
        <v>392.16</v>
      </c>
      <c r="AJ1904">
        <v>399.94</v>
      </c>
      <c r="AK1904">
        <v>681.58</v>
      </c>
      <c r="AL1904" s="57">
        <f t="shared" si="50"/>
        <v>1.7042056308446267</v>
      </c>
      <c r="AM1904" s="47">
        <v>130</v>
      </c>
      <c r="AN1904" s="57">
        <v>419.17</v>
      </c>
      <c r="AO1904" s="57">
        <v>429.18</v>
      </c>
      <c r="AP1904" s="57">
        <v>731.41</v>
      </c>
      <c r="AQ1904" s="57">
        <f t="shared" si="52"/>
        <v>1.7042033645556642</v>
      </c>
      <c r="AR1904" s="59"/>
      <c r="AS1904" s="59">
        <f>SUMIFS(HIX_RatingAreas[Silver Enrollments 2018],HIX_RatingAreas[Area],HIX_SLCSP[[#This Row],[Area Code]])</f>
        <v>15523</v>
      </c>
      <c r="AT1904" s="59">
        <f>SUMIFS(HIX_RatingAreas[Silver Enrollments 2019],HIX_RatingAreas[Area],HIX_SLCSP[[#This Row],[Area Code]])</f>
        <v>15523</v>
      </c>
      <c r="AU1904" s="59">
        <f>SUMIFS(HIX_RatingAreas[Silver Enrollments 2020],HIX_RatingAreas[Area],HIX_SLCSP[[#This Row],[Area Code]])</f>
        <v>14004</v>
      </c>
      <c r="AV1904" s="59">
        <f>SUMIFS(HIX_RatingAreas[Silver Enrollments 2021],HIX_RatingAreas[Area],HIX_SLCSP[[#This Row],[Area Code]])</f>
        <v>13817</v>
      </c>
      <c r="AW1904" s="59">
        <f>SUMIFS(HIX_RatingAreas[Silver Enrollments 2022],HIX_RatingAreas[Area],HIX_SLCSP[[#This Row],[Area Code]])</f>
        <v>15390</v>
      </c>
      <c r="AX1904" s="59">
        <f>SUMIFS(HIX_RatingAreas[Silver Enrollments 2023],HIX_RatingAreas[Area],HIX_SLCSP[[#This Row],[Area Code]])</f>
        <v>14866</v>
      </c>
      <c r="AY1904" s="59">
        <f>SUMIFS(HIX_RatingAreas[Silver Enrollments 2024],HIX_RatingAreas[Area],HIX_SLCSP[[#This Row],[Area Code]])</f>
        <v>16310</v>
      </c>
      <c r="AZ1904" s="59">
        <v>9489</v>
      </c>
      <c r="BA1904">
        <f t="shared" si="99"/>
        <v>3.5228732448747746E-2</v>
      </c>
      <c r="BB1904">
        <f>SUMIFS(HIX_RatingAreas[QHP Enrollments 2018],HIX_RatingAreas[Area],HIX_SLCSP[[#This Row],[Area Code]])</f>
        <v>20554</v>
      </c>
      <c r="BC1904">
        <f t="shared" si="100"/>
        <v>9.3231909498732196E-2</v>
      </c>
      <c r="BD1904">
        <f>SUMIFS(HIX_RatingAreas[QHP Enrollments 2019],HIX_RatingAreas[Area],HIX_SLCSP[[#This Row],[Area Code]])</f>
        <v>20554</v>
      </c>
      <c r="BE1904">
        <f t="shared" si="101"/>
        <v>9.3231909498732196E-2</v>
      </c>
      <c r="BF1904">
        <f>SUMIFS(HIX_RatingAreas[QHP Enrollments 2020],HIX_RatingAreas[Area],HIX_SLCSP[[#This Row],[Area Code]])</f>
        <v>19499</v>
      </c>
      <c r="BG1904">
        <f t="shared" si="102"/>
        <v>9.617262638717633E-2</v>
      </c>
      <c r="BH1904">
        <f>SUMIFS(HIX_RatingAreas[QHP Enrollments 2021],HIX_RatingAreas[Area],HIX_SLCSP[[#This Row],[Area Code]])</f>
        <v>20688</v>
      </c>
      <c r="BI1904">
        <f t="shared" si="103"/>
        <v>9.6084268801872638E-2</v>
      </c>
      <c r="BJ1904">
        <f>SUMIFS(HIX_RatingAreas[QHP Enrollments 2022],HIX_RatingAreas[Area],HIX_SLCSP[[#This Row],[Area Code]])</f>
        <v>23664</v>
      </c>
      <c r="BK1904">
        <f t="shared" si="104"/>
        <v>0.16546631798285483</v>
      </c>
      <c r="BL1904">
        <f>SUMIFS(HIX_RatingAreas[QHP Enrollments 2023],HIX_RatingAreas[Area],HIX_SLCSP[[#This Row],[Area Code]])</f>
        <v>23592</v>
      </c>
      <c r="BM1904">
        <f t="shared" si="106"/>
        <v>9.1573541798477653E-2</v>
      </c>
      <c r="BN1904">
        <f>SUMIFS(HIX_RatingAreas[QHP Enrollments 2024],HIX_RatingAreas[Area],HIX_SLCSP[[#This Row],[Area Code]])</f>
        <v>29315</v>
      </c>
      <c r="BO1904">
        <f t="shared" si="105"/>
        <v>8.1573535836424405E-2</v>
      </c>
      <c r="BP1904" s="53">
        <f>ROUND(HIX_SLCSP[[#This Row],[Weighting Factor 2018]]*HIX_SLCSP[[#This Row],[2018]],2)</f>
        <v>47.81</v>
      </c>
      <c r="BQ1904" s="53">
        <f>ROUND(HIX_SLCSP[[#This Row],[Weighting Factor 2019]]*HIX_SLCSP[[#This Row],[2019]],2)</f>
        <v>42.72</v>
      </c>
      <c r="BR1904" s="53">
        <f>ROUND(HIX_SLCSP[[#This Row],[Weighting Factor 2020]]*HIX_SLCSP[[#This Row],[2020]],2)</f>
        <v>36.979999999999997</v>
      </c>
      <c r="BS1904" s="53">
        <f>ROUND(HIX_SLCSP[[#This Row],[Weighting Factor 2021]]*HIX_SLCSP[[#This Row],[2021]],2)</f>
        <v>39.4</v>
      </c>
      <c r="BT1904" s="53">
        <f>ROUND(HIX_SLCSP[[#This Row],[Weighting Factor 2022]]*HIX_SLCSP[[#This Row],[2022]],2)</f>
        <v>71.61</v>
      </c>
      <c r="BU1904" s="53">
        <f>ROUND(HIX_SLCSP[[#This Row],[Weighting Factor 2023]]*HIX_SLCSP[[#This Row],[2023]],2)</f>
        <v>36.619999999999997</v>
      </c>
      <c r="BV1904" s="53">
        <f>ROUND(HIX_SLCSP[[#This Row],[Weighting Factor 2024]]*HIX_SLCSP[[#This Row],[2024]],2)</f>
        <v>35.01</v>
      </c>
    </row>
    <row r="1905" spans="4:74" x14ac:dyDescent="0.35">
      <c r="D1905" t="s">
        <v>1338</v>
      </c>
      <c r="E1905" t="s">
        <v>259</v>
      </c>
      <c r="F1905" s="23">
        <v>5</v>
      </c>
      <c r="G1905" s="23" t="s">
        <v>1339</v>
      </c>
      <c r="H1905" s="23" t="s">
        <v>1345</v>
      </c>
      <c r="I1905" s="23">
        <v>44</v>
      </c>
      <c r="J1905" s="53">
        <v>374.77</v>
      </c>
      <c r="K1905" s="53">
        <v>413.79</v>
      </c>
      <c r="L1905" s="53">
        <v>705.18</v>
      </c>
      <c r="M1905" s="54">
        <f t="shared" si="94"/>
        <v>1.7041977814833609</v>
      </c>
      <c r="N1905" s="24">
        <v>48</v>
      </c>
      <c r="O1905" s="55">
        <v>372.96</v>
      </c>
      <c r="P1905" s="56">
        <v>425.83</v>
      </c>
      <c r="Q1905" s="56">
        <v>725.71</v>
      </c>
      <c r="R1905" s="57">
        <f t="shared" si="95"/>
        <v>1.704224690604232</v>
      </c>
      <c r="S1905" s="23">
        <v>44</v>
      </c>
      <c r="T1905" s="53">
        <v>397.18</v>
      </c>
      <c r="U1905" s="53">
        <v>401.34</v>
      </c>
      <c r="V1905" s="53">
        <v>683.96</v>
      </c>
      <c r="W1905" s="57">
        <f t="shared" si="96"/>
        <v>1.7041909602830521</v>
      </c>
      <c r="X1905" s="47">
        <v>46</v>
      </c>
      <c r="Y1905" s="58">
        <v>382.46</v>
      </c>
      <c r="Z1905" s="58">
        <v>397.44</v>
      </c>
      <c r="AA1905" s="58">
        <v>677.31</v>
      </c>
      <c r="AB1905" s="57">
        <f t="shared" si="97"/>
        <v>1.704181763285024</v>
      </c>
      <c r="AC1905" s="47">
        <v>78</v>
      </c>
      <c r="AD1905" s="57">
        <v>423.72</v>
      </c>
      <c r="AE1905" s="57">
        <v>424.24</v>
      </c>
      <c r="AF1905" s="57">
        <v>722.99</v>
      </c>
      <c r="AG1905" s="57">
        <f t="shared" si="98"/>
        <v>1.7042004525740146</v>
      </c>
      <c r="AH1905" s="47">
        <v>84</v>
      </c>
      <c r="AI1905">
        <v>482.33</v>
      </c>
      <c r="AJ1905">
        <v>483.28</v>
      </c>
      <c r="AK1905">
        <v>823.61</v>
      </c>
      <c r="AL1905" s="57">
        <f t="shared" ref="AL1905:AL1968" si="107">AK1905/AJ1905</f>
        <v>1.704208740274789</v>
      </c>
      <c r="AM1905" s="47">
        <v>92</v>
      </c>
      <c r="AN1905" s="57">
        <v>512.28</v>
      </c>
      <c r="AO1905" s="57">
        <v>515.87</v>
      </c>
      <c r="AP1905" s="57">
        <v>879.15</v>
      </c>
      <c r="AQ1905" s="57">
        <f t="shared" si="52"/>
        <v>1.7042084246030975</v>
      </c>
      <c r="AR1905" s="59"/>
      <c r="AS1905" s="59">
        <f>SUMIFS(HIX_RatingAreas[Silver Enrollments 2018],HIX_RatingAreas[Area],HIX_SLCSP[[#This Row],[Area Code]])</f>
        <v>11651</v>
      </c>
      <c r="AT1905" s="59">
        <f>SUMIFS(HIX_RatingAreas[Silver Enrollments 2019],HIX_RatingAreas[Area],HIX_SLCSP[[#This Row],[Area Code]])</f>
        <v>11651</v>
      </c>
      <c r="AU1905" s="59">
        <f>SUMIFS(HIX_RatingAreas[Silver Enrollments 2020],HIX_RatingAreas[Area],HIX_SLCSP[[#This Row],[Area Code]])</f>
        <v>10598</v>
      </c>
      <c r="AV1905" s="59">
        <f>SUMIFS(HIX_RatingAreas[Silver Enrollments 2021],HIX_RatingAreas[Area],HIX_SLCSP[[#This Row],[Area Code]])</f>
        <v>9986</v>
      </c>
      <c r="AW1905" s="59">
        <f>SUMIFS(HIX_RatingAreas[Silver Enrollments 2022],HIX_RatingAreas[Area],HIX_SLCSP[[#This Row],[Area Code]])</f>
        <v>12173</v>
      </c>
      <c r="AX1905" s="59">
        <f>SUMIFS(HIX_RatingAreas[Silver Enrollments 2023],HIX_RatingAreas[Area],HIX_SLCSP[[#This Row],[Area Code]])</f>
        <v>12548</v>
      </c>
      <c r="AY1905" s="59">
        <f>SUMIFS(HIX_RatingAreas[Silver Enrollments 2024],HIX_RatingAreas[Area],HIX_SLCSP[[#This Row],[Area Code]])</f>
        <v>15523</v>
      </c>
      <c r="AZ1905" s="59">
        <v>11679</v>
      </c>
      <c r="BA1905">
        <f t="shared" si="99"/>
        <v>4.3359296687630403E-2</v>
      </c>
      <c r="BB1905">
        <f>SUMIFS(HIX_RatingAreas[QHP Enrollments 2018],HIX_RatingAreas[Area],HIX_SLCSP[[#This Row],[Area Code]])</f>
        <v>16603</v>
      </c>
      <c r="BC1905">
        <f t="shared" si="100"/>
        <v>7.5310372356108338E-2</v>
      </c>
      <c r="BD1905">
        <f>SUMIFS(HIX_RatingAreas[QHP Enrollments 2019],HIX_RatingAreas[Area],HIX_SLCSP[[#This Row],[Area Code]])</f>
        <v>16603</v>
      </c>
      <c r="BE1905">
        <f t="shared" si="101"/>
        <v>7.5310372356108338E-2</v>
      </c>
      <c r="BF1905">
        <f>SUMIFS(HIX_RatingAreas[QHP Enrollments 2020],HIX_RatingAreas[Area],HIX_SLCSP[[#This Row],[Area Code]])</f>
        <v>15646</v>
      </c>
      <c r="BG1905">
        <f t="shared" si="102"/>
        <v>7.7168927250308259E-2</v>
      </c>
      <c r="BH1905">
        <f>SUMIFS(HIX_RatingAreas[QHP Enrollments 2021],HIX_RatingAreas[Area],HIX_SLCSP[[#This Row],[Area Code]])</f>
        <v>16239</v>
      </c>
      <c r="BI1905">
        <f t="shared" si="103"/>
        <v>7.5421135009358556E-2</v>
      </c>
      <c r="BJ1905">
        <f>SUMIFS(HIX_RatingAreas[QHP Enrollments 2022],HIX_RatingAreas[Area],HIX_SLCSP[[#This Row],[Area Code]])</f>
        <v>19865</v>
      </c>
      <c r="BK1905">
        <f t="shared" si="104"/>
        <v>0.13890248507139161</v>
      </c>
      <c r="BL1905">
        <f>SUMIFS(HIX_RatingAreas[QHP Enrollments 2023],HIX_RatingAreas[Area],HIX_SLCSP[[#This Row],[Area Code]])</f>
        <v>20736</v>
      </c>
      <c r="BM1905">
        <f t="shared" si="106"/>
        <v>8.0487833279638543E-2</v>
      </c>
      <c r="BN1905">
        <f>SUMIFS(HIX_RatingAreas[QHP Enrollments 2024],HIX_RatingAreas[Area],HIX_SLCSP[[#This Row],[Area Code]])</f>
        <v>27622</v>
      </c>
      <c r="BO1905">
        <f t="shared" si="105"/>
        <v>7.6862500660880601E-2</v>
      </c>
      <c r="BP1905" s="53">
        <f>ROUND(HIX_SLCSP[[#This Row],[Weighting Factor 2018]]*HIX_SLCSP[[#This Row],[2018]],2)</f>
        <v>31.16</v>
      </c>
      <c r="BQ1905" s="53">
        <f>ROUND(HIX_SLCSP[[#This Row],[Weighting Factor 2019]]*HIX_SLCSP[[#This Row],[2019]],2)</f>
        <v>32.07</v>
      </c>
      <c r="BR1905" s="53">
        <f>ROUND(HIX_SLCSP[[#This Row],[Weighting Factor 2020]]*HIX_SLCSP[[#This Row],[2020]],2)</f>
        <v>30.97</v>
      </c>
      <c r="BS1905" s="53">
        <f>ROUND(HIX_SLCSP[[#This Row],[Weighting Factor 2021]]*HIX_SLCSP[[#This Row],[2021]],2)</f>
        <v>29.98</v>
      </c>
      <c r="BT1905" s="53">
        <f>ROUND(HIX_SLCSP[[#This Row],[Weighting Factor 2022]]*HIX_SLCSP[[#This Row],[2022]],2)</f>
        <v>58.93</v>
      </c>
      <c r="BU1905" s="53">
        <f>ROUND(HIX_SLCSP[[#This Row],[Weighting Factor 2023]]*HIX_SLCSP[[#This Row],[2023]],2)</f>
        <v>38.9</v>
      </c>
      <c r="BV1905" s="53">
        <f>ROUND(HIX_SLCSP[[#This Row],[Weighting Factor 2024]]*HIX_SLCSP[[#This Row],[2024]],2)</f>
        <v>39.65</v>
      </c>
    </row>
    <row r="1906" spans="4:74" x14ac:dyDescent="0.35">
      <c r="D1906" t="s">
        <v>1338</v>
      </c>
      <c r="E1906" t="s">
        <v>265</v>
      </c>
      <c r="F1906" s="23">
        <v>6</v>
      </c>
      <c r="G1906" s="23" t="s">
        <v>1339</v>
      </c>
      <c r="H1906" s="23" t="s">
        <v>1387</v>
      </c>
      <c r="I1906" s="23">
        <v>20</v>
      </c>
      <c r="J1906" s="53">
        <v>345.23</v>
      </c>
      <c r="K1906" s="53">
        <v>380.98</v>
      </c>
      <c r="L1906" s="53">
        <v>649.26</v>
      </c>
      <c r="M1906" s="54">
        <f t="shared" si="94"/>
        <v>1.7041839466638669</v>
      </c>
      <c r="N1906" s="24">
        <v>36</v>
      </c>
      <c r="O1906" s="55">
        <v>343.24</v>
      </c>
      <c r="P1906" s="56">
        <v>345</v>
      </c>
      <c r="Q1906" s="56">
        <v>587.94000000000005</v>
      </c>
      <c r="R1906" s="57">
        <f t="shared" si="95"/>
        <v>1.7041739130434783</v>
      </c>
      <c r="S1906" s="23">
        <v>79</v>
      </c>
      <c r="T1906" s="53">
        <v>269.77</v>
      </c>
      <c r="U1906" s="53">
        <v>285.44</v>
      </c>
      <c r="V1906" s="53">
        <v>486.45</v>
      </c>
      <c r="W1906" s="57">
        <f t="shared" si="96"/>
        <v>1.7042110426008967</v>
      </c>
      <c r="X1906" s="47">
        <v>137</v>
      </c>
      <c r="Y1906" s="58">
        <v>268.3</v>
      </c>
      <c r="Z1906" s="58">
        <v>290.51</v>
      </c>
      <c r="AA1906" s="58">
        <v>495.09</v>
      </c>
      <c r="AB1906" s="57">
        <f t="shared" si="97"/>
        <v>1.7042098378713297</v>
      </c>
      <c r="AC1906" s="47">
        <v>196</v>
      </c>
      <c r="AD1906" s="57">
        <v>283.94</v>
      </c>
      <c r="AE1906" s="57">
        <v>304</v>
      </c>
      <c r="AF1906" s="57">
        <v>518.08000000000004</v>
      </c>
      <c r="AG1906" s="57">
        <f t="shared" si="98"/>
        <v>1.7042105263157896</v>
      </c>
      <c r="AH1906" s="47">
        <v>167</v>
      </c>
      <c r="AI1906">
        <v>306.39</v>
      </c>
      <c r="AJ1906">
        <v>312.47000000000003</v>
      </c>
      <c r="AK1906">
        <v>532.51</v>
      </c>
      <c r="AL1906" s="57">
        <f t="shared" si="107"/>
        <v>1.7041956027778664</v>
      </c>
      <c r="AM1906" s="47">
        <v>140</v>
      </c>
      <c r="AN1906" s="57">
        <v>352.95</v>
      </c>
      <c r="AO1906" s="57">
        <v>356.06</v>
      </c>
      <c r="AP1906" s="57">
        <v>606.79</v>
      </c>
      <c r="AQ1906" s="57">
        <f t="shared" si="52"/>
        <v>1.7041790709430993</v>
      </c>
      <c r="AR1906" s="59"/>
      <c r="AS1906" s="59">
        <f>SUMIFS(HIX_RatingAreas[Silver Enrollments 2018],HIX_RatingAreas[Area],HIX_SLCSP[[#This Row],[Area Code]])</f>
        <v>12891</v>
      </c>
      <c r="AT1906" s="59">
        <f>SUMIFS(HIX_RatingAreas[Silver Enrollments 2019],HIX_RatingAreas[Area],HIX_SLCSP[[#This Row],[Area Code]])</f>
        <v>12891</v>
      </c>
      <c r="AU1906" s="59">
        <f>SUMIFS(HIX_RatingAreas[Silver Enrollments 2020],HIX_RatingAreas[Area],HIX_SLCSP[[#This Row],[Area Code]])</f>
        <v>11616</v>
      </c>
      <c r="AV1906" s="59">
        <f>SUMIFS(HIX_RatingAreas[Silver Enrollments 2021],HIX_RatingAreas[Area],HIX_SLCSP[[#This Row],[Area Code]])</f>
        <v>11652</v>
      </c>
      <c r="AW1906" s="59">
        <f>SUMIFS(HIX_RatingAreas[Silver Enrollments 2022],HIX_RatingAreas[Area],HIX_SLCSP[[#This Row],[Area Code]])</f>
        <v>13432</v>
      </c>
      <c r="AX1906" s="59">
        <f>SUMIFS(HIX_RatingAreas[Silver Enrollments 2023],HIX_RatingAreas[Area],HIX_SLCSP[[#This Row],[Area Code]])</f>
        <v>13409</v>
      </c>
      <c r="AY1906" s="59">
        <f>SUMIFS(HIX_RatingAreas[Silver Enrollments 2024],HIX_RatingAreas[Area],HIX_SLCSP[[#This Row],[Area Code]])</f>
        <v>15807</v>
      </c>
      <c r="AZ1906" s="59">
        <v>40169</v>
      </c>
      <c r="BA1906">
        <f t="shared" si="99"/>
        <v>0.14913088352131396</v>
      </c>
      <c r="BB1906">
        <f>SUMIFS(HIX_RatingAreas[QHP Enrollments 2018],HIX_RatingAreas[Area],HIX_SLCSP[[#This Row],[Area Code]])</f>
        <v>17389</v>
      </c>
      <c r="BC1906">
        <f t="shared" si="100"/>
        <v>7.8875628796022876E-2</v>
      </c>
      <c r="BD1906">
        <f>SUMIFS(HIX_RatingAreas[QHP Enrollments 2019],HIX_RatingAreas[Area],HIX_SLCSP[[#This Row],[Area Code]])</f>
        <v>17389</v>
      </c>
      <c r="BE1906">
        <f t="shared" si="101"/>
        <v>7.8875628796022876E-2</v>
      </c>
      <c r="BF1906">
        <f>SUMIFS(HIX_RatingAreas[QHP Enrollments 2020],HIX_RatingAreas[Area],HIX_SLCSP[[#This Row],[Area Code]])</f>
        <v>15818</v>
      </c>
      <c r="BG1906">
        <f t="shared" si="102"/>
        <v>7.8017262638717638E-2</v>
      </c>
      <c r="BH1906">
        <f>SUMIFS(HIX_RatingAreas[QHP Enrollments 2021],HIX_RatingAreas[Area],HIX_SLCSP[[#This Row],[Area Code]])</f>
        <v>16571</v>
      </c>
      <c r="BI1906">
        <f t="shared" si="103"/>
        <v>7.6963090599179787E-2</v>
      </c>
      <c r="BJ1906">
        <f>SUMIFS(HIX_RatingAreas[QHP Enrollments 2022],HIX_RatingAreas[Area],HIX_SLCSP[[#This Row],[Area Code]])</f>
        <v>19469</v>
      </c>
      <c r="BK1906">
        <f t="shared" si="104"/>
        <v>0.13613352538912274</v>
      </c>
      <c r="BL1906">
        <f>SUMIFS(HIX_RatingAreas[QHP Enrollments 2023],HIX_RatingAreas[Area],HIX_SLCSP[[#This Row],[Area Code]])</f>
        <v>20231</v>
      </c>
      <c r="BM1906">
        <f t="shared" si="106"/>
        <v>7.8527650225712162E-2</v>
      </c>
      <c r="BN1906">
        <f>SUMIFS(HIX_RatingAreas[QHP Enrollments 2024],HIX_RatingAreas[Area],HIX_SLCSP[[#This Row],[Area Code]])</f>
        <v>27485</v>
      </c>
      <c r="BO1906">
        <f t="shared" si="105"/>
        <v>7.6481276904797016E-2</v>
      </c>
      <c r="BP1906" s="53">
        <f>ROUND(HIX_SLCSP[[#This Row],[Weighting Factor 2018]]*HIX_SLCSP[[#This Row],[2018]],2)</f>
        <v>30.05</v>
      </c>
      <c r="BQ1906" s="53">
        <f>ROUND(HIX_SLCSP[[#This Row],[Weighting Factor 2019]]*HIX_SLCSP[[#This Row],[2019]],2)</f>
        <v>27.21</v>
      </c>
      <c r="BR1906" s="53">
        <f>ROUND(HIX_SLCSP[[#This Row],[Weighting Factor 2020]]*HIX_SLCSP[[#This Row],[2020]],2)</f>
        <v>22.27</v>
      </c>
      <c r="BS1906" s="53">
        <f>ROUND(HIX_SLCSP[[#This Row],[Weighting Factor 2021]]*HIX_SLCSP[[#This Row],[2021]],2)</f>
        <v>22.36</v>
      </c>
      <c r="BT1906" s="53">
        <f>ROUND(HIX_SLCSP[[#This Row],[Weighting Factor 2022]]*HIX_SLCSP[[#This Row],[2022]],2)</f>
        <v>41.38</v>
      </c>
      <c r="BU1906" s="53">
        <f>ROUND(HIX_SLCSP[[#This Row],[Weighting Factor 2023]]*HIX_SLCSP[[#This Row],[2023]],2)</f>
        <v>24.54</v>
      </c>
      <c r="BV1906" s="53">
        <f>ROUND(HIX_SLCSP[[#This Row],[Weighting Factor 2024]]*HIX_SLCSP[[#This Row],[2024]],2)</f>
        <v>27.23</v>
      </c>
    </row>
    <row r="1907" spans="4:74" x14ac:dyDescent="0.35">
      <c r="D1907" t="s">
        <v>1338</v>
      </c>
      <c r="E1907" t="s">
        <v>273</v>
      </c>
      <c r="F1907" s="23">
        <v>7</v>
      </c>
      <c r="G1907" s="23" t="s">
        <v>1339</v>
      </c>
      <c r="H1907" s="23" t="s">
        <v>1350</v>
      </c>
      <c r="I1907" s="23">
        <v>51</v>
      </c>
      <c r="J1907" s="53">
        <v>369.34</v>
      </c>
      <c r="K1907" s="53">
        <v>411.19</v>
      </c>
      <c r="L1907" s="53">
        <v>700.75</v>
      </c>
      <c r="M1907" s="54">
        <f t="shared" si="94"/>
        <v>1.7042000048639314</v>
      </c>
      <c r="N1907" s="24">
        <v>40</v>
      </c>
      <c r="O1907" s="55">
        <v>375.94</v>
      </c>
      <c r="P1907" s="56">
        <v>377.87</v>
      </c>
      <c r="Q1907" s="56">
        <v>643.97</v>
      </c>
      <c r="R1907" s="57">
        <f t="shared" si="95"/>
        <v>1.7042104427448594</v>
      </c>
      <c r="S1907" s="23">
        <v>12</v>
      </c>
      <c r="T1907" s="53">
        <v>350.92</v>
      </c>
      <c r="U1907" s="53">
        <v>387.68</v>
      </c>
      <c r="V1907" s="53">
        <v>660.69</v>
      </c>
      <c r="W1907" s="57">
        <f t="shared" si="96"/>
        <v>1.7042148163433761</v>
      </c>
      <c r="X1907" s="47">
        <v>72</v>
      </c>
      <c r="Y1907" s="58">
        <v>384.4</v>
      </c>
      <c r="Z1907" s="58">
        <v>390.78</v>
      </c>
      <c r="AA1907" s="58">
        <v>665.96</v>
      </c>
      <c r="AB1907" s="57">
        <f t="shared" si="97"/>
        <v>1.7041813808280877</v>
      </c>
      <c r="AC1907" s="47">
        <v>80</v>
      </c>
      <c r="AD1907" s="57">
        <v>356.91</v>
      </c>
      <c r="AE1907" s="57">
        <v>357.35</v>
      </c>
      <c r="AF1907" s="57">
        <v>608.99</v>
      </c>
      <c r="AG1907" s="57">
        <f t="shared" si="98"/>
        <v>1.7041835735273541</v>
      </c>
      <c r="AH1907" s="47">
        <v>88</v>
      </c>
      <c r="AI1907">
        <v>375.57</v>
      </c>
      <c r="AJ1907">
        <v>383.02</v>
      </c>
      <c r="AK1907">
        <v>652.75</v>
      </c>
      <c r="AL1907" s="57">
        <f t="shared" si="107"/>
        <v>1.7042191008302439</v>
      </c>
      <c r="AM1907" s="47">
        <v>84</v>
      </c>
      <c r="AN1907" s="57">
        <v>429.54</v>
      </c>
      <c r="AO1907" s="57">
        <v>432.76</v>
      </c>
      <c r="AP1907" s="57">
        <v>737.51</v>
      </c>
      <c r="AQ1907" s="57">
        <f t="shared" si="52"/>
        <v>1.7042009427858398</v>
      </c>
      <c r="AR1907" s="59"/>
      <c r="AS1907" s="59">
        <f>SUMIFS(HIX_RatingAreas[Silver Enrollments 2018],HIX_RatingAreas[Area],HIX_SLCSP[[#This Row],[Area Code]])</f>
        <v>5814</v>
      </c>
      <c r="AT1907" s="59">
        <f>SUMIFS(HIX_RatingAreas[Silver Enrollments 2019],HIX_RatingAreas[Area],HIX_SLCSP[[#This Row],[Area Code]])</f>
        <v>5814</v>
      </c>
      <c r="AU1907" s="59">
        <f>SUMIFS(HIX_RatingAreas[Silver Enrollments 2020],HIX_RatingAreas[Area],HIX_SLCSP[[#This Row],[Area Code]])</f>
        <v>5679</v>
      </c>
      <c r="AV1907" s="59">
        <f>SUMIFS(HIX_RatingAreas[Silver Enrollments 2021],HIX_RatingAreas[Area],HIX_SLCSP[[#This Row],[Area Code]])</f>
        <v>4935</v>
      </c>
      <c r="AW1907" s="59">
        <f>SUMIFS(HIX_RatingAreas[Silver Enrollments 2022],HIX_RatingAreas[Area],HIX_SLCSP[[#This Row],[Area Code]])</f>
        <v>5485</v>
      </c>
      <c r="AX1907" s="59">
        <f>SUMIFS(HIX_RatingAreas[Silver Enrollments 2023],HIX_RatingAreas[Area],HIX_SLCSP[[#This Row],[Area Code]])</f>
        <v>5870</v>
      </c>
      <c r="AY1907" s="59">
        <f>SUMIFS(HIX_RatingAreas[Silver Enrollments 2024],HIX_RatingAreas[Area],HIX_SLCSP[[#This Row],[Area Code]])</f>
        <v>8461</v>
      </c>
      <c r="AZ1907" s="59">
        <v>40170</v>
      </c>
      <c r="BA1907">
        <f t="shared" si="99"/>
        <v>0.14913459610772442</v>
      </c>
      <c r="BB1907">
        <f>SUMIFS(HIX_RatingAreas[QHP Enrollments 2018],HIX_RatingAreas[Area],HIX_SLCSP[[#This Row],[Area Code]])</f>
        <v>6721</v>
      </c>
      <c r="BC1907">
        <f t="shared" si="100"/>
        <v>3.0486117726037713E-2</v>
      </c>
      <c r="BD1907">
        <f>SUMIFS(HIX_RatingAreas[QHP Enrollments 2019],HIX_RatingAreas[Area],HIX_SLCSP[[#This Row],[Area Code]])</f>
        <v>6721</v>
      </c>
      <c r="BE1907">
        <f t="shared" si="101"/>
        <v>3.0486117726037713E-2</v>
      </c>
      <c r="BF1907">
        <f>SUMIFS(HIX_RatingAreas[QHP Enrollments 2020],HIX_RatingAreas[Area],HIX_SLCSP[[#This Row],[Area Code]])</f>
        <v>6626</v>
      </c>
      <c r="BG1907">
        <f t="shared" si="102"/>
        <v>3.2680641183723796E-2</v>
      </c>
      <c r="BH1907">
        <f>SUMIFS(HIX_RatingAreas[QHP Enrollments 2021],HIX_RatingAreas[Area],HIX_SLCSP[[#This Row],[Area Code]])</f>
        <v>7206</v>
      </c>
      <c r="BI1907">
        <f t="shared" si="103"/>
        <v>3.3467867410397055E-2</v>
      </c>
      <c r="BJ1907">
        <f>SUMIFS(HIX_RatingAreas[QHP Enrollments 2022],HIX_RatingAreas[Area],HIX_SLCSP[[#This Row],[Area Code]])</f>
        <v>8170</v>
      </c>
      <c r="BK1907">
        <f>BJ1907/BJ$1893</f>
        <v>5.7127274252870348E-2</v>
      </c>
      <c r="BL1907">
        <f>SUMIFS(HIX_RatingAreas[QHP Enrollments 2023],HIX_RatingAreas[Area],HIX_SLCSP[[#This Row],[Area Code]])</f>
        <v>8767</v>
      </c>
      <c r="BM1907">
        <f t="shared" si="106"/>
        <v>3.402955412628237E-2</v>
      </c>
      <c r="BN1907">
        <f>SUMIFS(HIX_RatingAreas[QHP Enrollments 2024],HIX_RatingAreas[Area],HIX_SLCSP[[#This Row],[Area Code]])</f>
        <v>13310</v>
      </c>
      <c r="BO1907">
        <f t="shared" si="105"/>
        <v>3.7037140098339034E-2</v>
      </c>
      <c r="BP1907" s="53">
        <f>ROUND(HIX_SLCSP[[#This Row],[Weighting Factor 2018]]*HIX_SLCSP[[#This Row],[2018]],2)</f>
        <v>12.54</v>
      </c>
      <c r="BQ1907" s="53">
        <f>ROUND(HIX_SLCSP[[#This Row],[Weighting Factor 2019]]*HIX_SLCSP[[#This Row],[2019]],2)</f>
        <v>11.52</v>
      </c>
      <c r="BR1907" s="53">
        <f>ROUND(HIX_SLCSP[[#This Row],[Weighting Factor 2020]]*HIX_SLCSP[[#This Row],[2020]],2)</f>
        <v>12.67</v>
      </c>
      <c r="BS1907" s="53">
        <f>ROUND(HIX_SLCSP[[#This Row],[Weighting Factor 2021]]*HIX_SLCSP[[#This Row],[2021]],2)</f>
        <v>13.08</v>
      </c>
      <c r="BT1907" s="53">
        <f>ROUND(HIX_SLCSP[[#This Row],[Weighting Factor 2022]]*HIX_SLCSP[[#This Row],[2022]],2)</f>
        <v>20.41</v>
      </c>
      <c r="BU1907" s="53">
        <f>ROUND(HIX_SLCSP[[#This Row],[Weighting Factor 2023]]*HIX_SLCSP[[#This Row],[2023]],2)</f>
        <v>13.03</v>
      </c>
      <c r="BV1907" s="53">
        <f>ROUND(HIX_SLCSP[[#This Row],[Weighting Factor 2024]]*HIX_SLCSP[[#This Row],[2024]],2)</f>
        <v>16.03</v>
      </c>
    </row>
    <row r="1908" spans="4:74" x14ac:dyDescent="0.35">
      <c r="D1908" t="s">
        <v>1338</v>
      </c>
      <c r="E1908" t="s">
        <v>279</v>
      </c>
      <c r="F1908" s="23">
        <v>8</v>
      </c>
      <c r="G1908" s="23" t="s">
        <v>1339</v>
      </c>
      <c r="H1908" s="23" t="s">
        <v>1348</v>
      </c>
      <c r="I1908" s="23">
        <v>51</v>
      </c>
      <c r="J1908" s="53">
        <v>369.34</v>
      </c>
      <c r="K1908" s="53">
        <v>411.19</v>
      </c>
      <c r="L1908" s="53">
        <v>700.75</v>
      </c>
      <c r="M1908" s="54">
        <f t="shared" si="94"/>
        <v>1.7042000048639314</v>
      </c>
      <c r="N1908" s="24">
        <v>40</v>
      </c>
      <c r="O1908" s="55">
        <v>404.42</v>
      </c>
      <c r="P1908" s="56">
        <v>406.49</v>
      </c>
      <c r="Q1908" s="56">
        <v>692.75</v>
      </c>
      <c r="R1908" s="57">
        <f t="shared" si="95"/>
        <v>1.7042239661492287</v>
      </c>
      <c r="S1908" s="23">
        <v>60</v>
      </c>
      <c r="T1908" s="53">
        <v>369.81</v>
      </c>
      <c r="U1908" s="53">
        <v>396</v>
      </c>
      <c r="V1908" s="53">
        <v>674</v>
      </c>
      <c r="W1908" s="57">
        <f t="shared" si="96"/>
        <v>1.702020202020202</v>
      </c>
      <c r="X1908" s="47">
        <v>184</v>
      </c>
      <c r="Y1908" s="58">
        <v>384.4</v>
      </c>
      <c r="Z1908" s="58">
        <v>384.87</v>
      </c>
      <c r="AA1908" s="58">
        <v>655.89</v>
      </c>
      <c r="AB1908" s="57">
        <f t="shared" si="97"/>
        <v>1.7041858289812144</v>
      </c>
      <c r="AC1908" s="47">
        <v>120</v>
      </c>
      <c r="AD1908" s="57">
        <v>355.13</v>
      </c>
      <c r="AE1908" s="57">
        <v>355.57</v>
      </c>
      <c r="AF1908" s="57">
        <v>605.96</v>
      </c>
      <c r="AG1908" s="57">
        <f t="shared" si="98"/>
        <v>1.7041932671485223</v>
      </c>
      <c r="AH1908" s="47">
        <v>128</v>
      </c>
      <c r="AI1908">
        <v>355.72</v>
      </c>
      <c r="AJ1908">
        <v>362.78</v>
      </c>
      <c r="AK1908">
        <v>618.25</v>
      </c>
      <c r="AL1908" s="57">
        <f t="shared" si="107"/>
        <v>1.7042008931032584</v>
      </c>
      <c r="AM1908" s="47">
        <v>120</v>
      </c>
      <c r="AN1908" s="57">
        <v>412</v>
      </c>
      <c r="AO1908" s="57">
        <v>420</v>
      </c>
      <c r="AP1908" s="57">
        <v>715</v>
      </c>
      <c r="AQ1908" s="57">
        <f t="shared" si="52"/>
        <v>1.7023809523809523</v>
      </c>
      <c r="AR1908" s="59"/>
      <c r="AS1908" s="59">
        <f>SUMIFS(HIX_RatingAreas[Silver Enrollments 2018],HIX_RatingAreas[Area],HIX_SLCSP[[#This Row],[Area Code]])</f>
        <v>32983</v>
      </c>
      <c r="AT1908" s="59">
        <f>SUMIFS(HIX_RatingAreas[Silver Enrollments 2019],HIX_RatingAreas[Area],HIX_SLCSP[[#This Row],[Area Code]])</f>
        <v>32983</v>
      </c>
      <c r="AU1908" s="59">
        <f>SUMIFS(HIX_RatingAreas[Silver Enrollments 2020],HIX_RatingAreas[Area],HIX_SLCSP[[#This Row],[Area Code]])</f>
        <v>30506</v>
      </c>
      <c r="AV1908" s="59">
        <f>SUMIFS(HIX_RatingAreas[Silver Enrollments 2021],HIX_RatingAreas[Area],HIX_SLCSP[[#This Row],[Area Code]])</f>
        <v>29257</v>
      </c>
      <c r="AW1908" s="59">
        <f>SUMIFS(HIX_RatingAreas[Silver Enrollments 2022],HIX_RatingAreas[Area],HIX_SLCSP[[#This Row],[Area Code]])</f>
        <v>33377</v>
      </c>
      <c r="AX1908" s="59">
        <f>SUMIFS(HIX_RatingAreas[Silver Enrollments 2023],HIX_RatingAreas[Area],HIX_SLCSP[[#This Row],[Area Code]])</f>
        <v>33639</v>
      </c>
      <c r="AY1908" s="59">
        <f>SUMIFS(HIX_RatingAreas[Silver Enrollments 2024],HIX_RatingAreas[Area],HIX_SLCSP[[#This Row],[Area Code]])</f>
        <v>37008</v>
      </c>
      <c r="AZ1908" s="59">
        <v>40171</v>
      </c>
      <c r="BA1908">
        <f t="shared" si="99"/>
        <v>0.14913830869413486</v>
      </c>
      <c r="BB1908">
        <f>SUMIFS(HIX_RatingAreas[QHP Enrollments 2018],HIX_RatingAreas[Area],HIX_SLCSP[[#This Row],[Area Code]])</f>
        <v>41872</v>
      </c>
      <c r="BC1908">
        <f t="shared" si="100"/>
        <v>0.18992928454465868</v>
      </c>
      <c r="BD1908">
        <f>SUMIFS(HIX_RatingAreas[QHP Enrollments 2019],HIX_RatingAreas[Area],HIX_SLCSP[[#This Row],[Area Code]])</f>
        <v>41872</v>
      </c>
      <c r="BE1908">
        <f t="shared" si="101"/>
        <v>0.18992928454465868</v>
      </c>
      <c r="BF1908">
        <f>SUMIFS(HIX_RatingAreas[QHP Enrollments 2020],HIX_RatingAreas[Area],HIX_SLCSP[[#This Row],[Area Code]])</f>
        <v>39450</v>
      </c>
      <c r="BG1908">
        <f t="shared" si="102"/>
        <v>0.19457459926017262</v>
      </c>
      <c r="BH1908">
        <f>SUMIFS(HIX_RatingAreas[QHP Enrollments 2021],HIX_RatingAreas[Area],HIX_SLCSP[[#This Row],[Area Code]])</f>
        <v>42243</v>
      </c>
      <c r="BI1908">
        <f t="shared" si="103"/>
        <v>0.19619527102656159</v>
      </c>
      <c r="BJ1908">
        <f>SUMIFS(HIX_RatingAreas[QHP Enrollments 2022],HIX_RatingAreas[Area],HIX_SLCSP[[#This Row],[Area Code]])</f>
        <v>48576</v>
      </c>
      <c r="BK1908">
        <f>BJ1908/BJ$1893</f>
        <v>0.33965905435831456</v>
      </c>
      <c r="BL1908">
        <f>SUMIFS(HIX_RatingAreas[QHP Enrollments 2023],HIX_RatingAreas[Area],HIX_SLCSP[[#This Row],[Area Code]])</f>
        <v>49536</v>
      </c>
      <c r="BM1908">
        <f t="shared" si="106"/>
        <v>0.19227649061246987</v>
      </c>
      <c r="BN1908">
        <f>SUMIFS(HIX_RatingAreas[QHP Enrollments 2024],HIX_RatingAreas[Area],HIX_SLCSP[[#This Row],[Area Code]])</f>
        <v>69120</v>
      </c>
      <c r="BO1908">
        <f t="shared" si="105"/>
        <v>0.19233712423720464</v>
      </c>
      <c r="BP1908" s="53">
        <f>ROUND(HIX_SLCSP[[#This Row],[Weighting Factor 2018]]*HIX_SLCSP[[#This Row],[2018]],2)</f>
        <v>78.099999999999994</v>
      </c>
      <c r="BQ1908" s="53">
        <f>ROUND(HIX_SLCSP[[#This Row],[Weighting Factor 2019]]*HIX_SLCSP[[#This Row],[2019]],2)</f>
        <v>77.2</v>
      </c>
      <c r="BR1908" s="53">
        <f>ROUND(HIX_SLCSP[[#This Row],[Weighting Factor 2020]]*HIX_SLCSP[[#This Row],[2020]],2)</f>
        <v>77.05</v>
      </c>
      <c r="BS1908" s="53">
        <f>ROUND(HIX_SLCSP[[#This Row],[Weighting Factor 2021]]*HIX_SLCSP[[#This Row],[2021]],2)</f>
        <v>75.510000000000005</v>
      </c>
      <c r="BT1908" s="53">
        <f>ROUND(HIX_SLCSP[[#This Row],[Weighting Factor 2022]]*HIX_SLCSP[[#This Row],[2022]],2)</f>
        <v>120.77</v>
      </c>
      <c r="BU1908" s="53">
        <f>ROUND(HIX_SLCSP[[#This Row],[Weighting Factor 2023]]*HIX_SLCSP[[#This Row],[2023]],2)</f>
        <v>69.75</v>
      </c>
      <c r="BV1908" s="53">
        <f>ROUND(HIX_SLCSP[[#This Row],[Weighting Factor 2024]]*HIX_SLCSP[[#This Row],[2024]],2)</f>
        <v>80.78</v>
      </c>
    </row>
    <row r="1909" spans="4:74" x14ac:dyDescent="0.35">
      <c r="D1909" t="s">
        <v>1338</v>
      </c>
      <c r="E1909" t="s">
        <v>283</v>
      </c>
      <c r="F1909" s="23">
        <v>9</v>
      </c>
      <c r="G1909" s="23" t="s">
        <v>1339</v>
      </c>
      <c r="H1909" s="23" t="s">
        <v>1367</v>
      </c>
      <c r="I1909" s="23">
        <v>39</v>
      </c>
      <c r="J1909" s="53">
        <v>406.27</v>
      </c>
      <c r="K1909" s="53">
        <v>452.31</v>
      </c>
      <c r="L1909" s="53">
        <v>770.82</v>
      </c>
      <c r="M1909" s="54">
        <f t="shared" si="94"/>
        <v>1.7041851827286596</v>
      </c>
      <c r="N1909" s="24">
        <v>40</v>
      </c>
      <c r="O1909" s="55">
        <v>524.75</v>
      </c>
      <c r="P1909" s="56">
        <v>549.41</v>
      </c>
      <c r="Q1909" s="56">
        <v>936.31</v>
      </c>
      <c r="R1909" s="57">
        <f t="shared" si="95"/>
        <v>1.7042099706958374</v>
      </c>
      <c r="S1909" s="23">
        <v>36</v>
      </c>
      <c r="T1909" s="53">
        <v>553.09</v>
      </c>
      <c r="U1909" s="53">
        <v>583.86</v>
      </c>
      <c r="V1909" s="53">
        <v>995.02</v>
      </c>
      <c r="W1909" s="57">
        <f t="shared" si="96"/>
        <v>1.7042099133353885</v>
      </c>
      <c r="X1909" s="47">
        <v>104</v>
      </c>
      <c r="Y1909" s="58">
        <v>384.4</v>
      </c>
      <c r="Z1909" s="58">
        <v>390.78</v>
      </c>
      <c r="AA1909" s="58">
        <v>665.96</v>
      </c>
      <c r="AB1909" s="57">
        <f t="shared" si="97"/>
        <v>1.7041813808280877</v>
      </c>
      <c r="AC1909" s="47">
        <v>96</v>
      </c>
      <c r="AD1909" s="57">
        <v>372.52</v>
      </c>
      <c r="AE1909" s="57">
        <v>372.98</v>
      </c>
      <c r="AF1909" s="57">
        <v>635.63</v>
      </c>
      <c r="AG1909" s="57">
        <f t="shared" si="98"/>
        <v>1.7041932543299907</v>
      </c>
      <c r="AH1909" s="47">
        <v>76</v>
      </c>
      <c r="AI1909">
        <v>387.92</v>
      </c>
      <c r="AJ1909">
        <v>388.69</v>
      </c>
      <c r="AK1909">
        <v>662.4</v>
      </c>
      <c r="AL1909" s="57">
        <f t="shared" si="107"/>
        <v>1.7041858550515834</v>
      </c>
      <c r="AM1909" s="47">
        <v>72</v>
      </c>
      <c r="AN1909" s="57">
        <v>451.14</v>
      </c>
      <c r="AO1909" s="57">
        <v>454.53</v>
      </c>
      <c r="AP1909" s="57">
        <v>774.6</v>
      </c>
      <c r="AQ1909" s="57">
        <f t="shared" si="52"/>
        <v>1.7041779420500298</v>
      </c>
      <c r="AR1909" s="59"/>
      <c r="AS1909" s="59">
        <f>SUMIFS(HIX_RatingAreas[Silver Enrollments 2018],HIX_RatingAreas[Area],HIX_SLCSP[[#This Row],[Area Code]])</f>
        <v>34725</v>
      </c>
      <c r="AT1909" s="59">
        <f>SUMIFS(HIX_RatingAreas[Silver Enrollments 2019],HIX_RatingAreas[Area],HIX_SLCSP[[#This Row],[Area Code]])</f>
        <v>34725</v>
      </c>
      <c r="AU1909" s="59">
        <f>SUMIFS(HIX_RatingAreas[Silver Enrollments 2020],HIX_RatingAreas[Area],HIX_SLCSP[[#This Row],[Area Code]])</f>
        <v>30113</v>
      </c>
      <c r="AV1909" s="59">
        <f>SUMIFS(HIX_RatingAreas[Silver Enrollments 2021],HIX_RatingAreas[Area],HIX_SLCSP[[#This Row],[Area Code]])</f>
        <v>30575</v>
      </c>
      <c r="AW1909" s="59">
        <f>SUMIFS(HIX_RatingAreas[Silver Enrollments 2022],HIX_RatingAreas[Area],HIX_SLCSP[[#This Row],[Area Code]])</f>
        <v>35174</v>
      </c>
      <c r="AX1909" s="59">
        <f>SUMIFS(HIX_RatingAreas[Silver Enrollments 2023],HIX_RatingAreas[Area],HIX_SLCSP[[#This Row],[Area Code]])</f>
        <v>35090</v>
      </c>
      <c r="AY1909" s="59">
        <f>SUMIFS(HIX_RatingAreas[Silver Enrollments 2024],HIX_RatingAreas[Area],HIX_SLCSP[[#This Row],[Area Code]])</f>
        <v>40941</v>
      </c>
      <c r="AZ1909" s="59">
        <v>40172</v>
      </c>
      <c r="BA1909">
        <f t="shared" si="99"/>
        <v>0.14914202128054529</v>
      </c>
      <c r="BB1909">
        <f>SUMIFS(HIX_RatingAreas[QHP Enrollments 2018],HIX_RatingAreas[Area],HIX_SLCSP[[#This Row],[Area Code]])</f>
        <v>52322</v>
      </c>
      <c r="BC1909">
        <f t="shared" si="100"/>
        <v>0.23732995858677952</v>
      </c>
      <c r="BD1909">
        <f>SUMIFS(HIX_RatingAreas[QHP Enrollments 2019],HIX_RatingAreas[Area],HIX_SLCSP[[#This Row],[Area Code]])</f>
        <v>52322</v>
      </c>
      <c r="BE1909">
        <f t="shared" si="101"/>
        <v>0.23732995858677952</v>
      </c>
      <c r="BF1909">
        <f>SUMIFS(HIX_RatingAreas[QHP Enrollments 2020],HIX_RatingAreas[Area],HIX_SLCSP[[#This Row],[Area Code]])</f>
        <v>46862</v>
      </c>
      <c r="BG1909">
        <f t="shared" si="102"/>
        <v>0.23113193588162761</v>
      </c>
      <c r="BH1909">
        <f>SUMIFS(HIX_RatingAreas[QHP Enrollments 2021],HIX_RatingAreas[Area],HIX_SLCSP[[#This Row],[Area Code]])</f>
        <v>49852</v>
      </c>
      <c r="BI1909">
        <f t="shared" si="103"/>
        <v>0.23153484958966333</v>
      </c>
      <c r="BJ1909">
        <f>SUMIFS(HIX_RatingAreas[QHP Enrollments 2022],HIX_RatingAreas[Area],HIX_SLCSP[[#This Row],[Area Code]])</f>
        <v>56204</v>
      </c>
      <c r="BK1909">
        <f>BJ1909/BJ$1893</f>
        <v>0.39299648985414015</v>
      </c>
      <c r="BL1909">
        <f>SUMIFS(HIX_RatingAreas[QHP Enrollments 2023],HIX_RatingAreas[Area],HIX_SLCSP[[#This Row],[Area Code]])</f>
        <v>55674</v>
      </c>
      <c r="BM1909">
        <f t="shared" si="106"/>
        <v>0.21610144820652955</v>
      </c>
      <c r="BN1909">
        <f>SUMIFS(HIX_RatingAreas[QHP Enrollments 2024],HIX_RatingAreas[Area],HIX_SLCSP[[#This Row],[Area Code]])</f>
        <v>74096</v>
      </c>
      <c r="BO1909">
        <f t="shared" si="105"/>
        <v>0.2061836162829849</v>
      </c>
      <c r="BP1909" s="53">
        <f>ROUND(HIX_SLCSP[[#This Row],[Weighting Factor 2018]]*HIX_SLCSP[[#This Row],[2018]],2)</f>
        <v>107.35</v>
      </c>
      <c r="BQ1909" s="53">
        <f>ROUND(HIX_SLCSP[[#This Row],[Weighting Factor 2019]]*HIX_SLCSP[[#This Row],[2019]],2)</f>
        <v>130.38999999999999</v>
      </c>
      <c r="BR1909" s="53">
        <f>ROUND(HIX_SLCSP[[#This Row],[Weighting Factor 2020]]*HIX_SLCSP[[#This Row],[2020]],2)</f>
        <v>134.94999999999999</v>
      </c>
      <c r="BS1909" s="53">
        <f>ROUND(HIX_SLCSP[[#This Row],[Weighting Factor 2021]]*HIX_SLCSP[[#This Row],[2021]],2)</f>
        <v>90.48</v>
      </c>
      <c r="BT1909" s="53">
        <f>ROUND(HIX_SLCSP[[#This Row],[Weighting Factor 2022]]*HIX_SLCSP[[#This Row],[2022]],2)</f>
        <v>146.58000000000001</v>
      </c>
      <c r="BU1909" s="53">
        <f>ROUND(HIX_SLCSP[[#This Row],[Weighting Factor 2023]]*HIX_SLCSP[[#This Row],[2023]],2)</f>
        <v>84</v>
      </c>
      <c r="BV1909" s="53">
        <f>ROUND(HIX_SLCSP[[#This Row],[Weighting Factor 2024]]*HIX_SLCSP[[#This Row],[2024]],2)</f>
        <v>93.72</v>
      </c>
    </row>
    <row r="1910" spans="4:74" x14ac:dyDescent="0.35">
      <c r="D1910" t="s">
        <v>1338</v>
      </c>
      <c r="E1910" t="s">
        <v>289</v>
      </c>
      <c r="F1910" s="23">
        <v>10</v>
      </c>
      <c r="G1910" s="23" t="s">
        <v>1339</v>
      </c>
      <c r="H1910" s="23" t="s">
        <v>1356</v>
      </c>
      <c r="I1910" s="23">
        <v>36</v>
      </c>
      <c r="J1910" s="53">
        <v>501.72</v>
      </c>
      <c r="K1910" s="53">
        <v>522.5</v>
      </c>
      <c r="L1910" s="53">
        <v>890.45</v>
      </c>
      <c r="M1910" s="54">
        <f t="shared" si="94"/>
        <v>1.7042105263157896</v>
      </c>
      <c r="N1910" s="24">
        <v>40</v>
      </c>
      <c r="O1910" s="55">
        <v>524.92999999999995</v>
      </c>
      <c r="P1910" s="56">
        <v>549.59</v>
      </c>
      <c r="Q1910" s="56">
        <v>936.61</v>
      </c>
      <c r="R1910" s="57">
        <f t="shared" si="95"/>
        <v>1.7041976746301788</v>
      </c>
      <c r="S1910" s="23">
        <v>36</v>
      </c>
      <c r="T1910" s="53">
        <v>553.28</v>
      </c>
      <c r="U1910" s="53">
        <v>584.04999999999995</v>
      </c>
      <c r="V1910" s="53">
        <v>995.34</v>
      </c>
      <c r="W1910" s="57">
        <f t="shared" si="96"/>
        <v>1.7042034072425307</v>
      </c>
      <c r="X1910" s="47">
        <v>96</v>
      </c>
      <c r="Y1910" s="58">
        <v>448.11</v>
      </c>
      <c r="Z1910" s="58">
        <v>454.62</v>
      </c>
      <c r="AA1910" s="58">
        <v>774.76</v>
      </c>
      <c r="AB1910" s="57">
        <f t="shared" si="97"/>
        <v>1.7041925124279618</v>
      </c>
      <c r="AC1910" s="47">
        <v>64</v>
      </c>
      <c r="AD1910" s="57">
        <v>412.49</v>
      </c>
      <c r="AE1910" s="57">
        <v>412.99</v>
      </c>
      <c r="AF1910" s="57">
        <v>703.82</v>
      </c>
      <c r="AG1910" s="57">
        <f t="shared" si="98"/>
        <v>1.7042059129761011</v>
      </c>
      <c r="AH1910" s="47">
        <v>68</v>
      </c>
      <c r="AI1910">
        <v>480</v>
      </c>
      <c r="AJ1910">
        <v>480.94</v>
      </c>
      <c r="AK1910">
        <v>819.63</v>
      </c>
      <c r="AL1910" s="57">
        <f t="shared" si="107"/>
        <v>1.7042250592589512</v>
      </c>
      <c r="AM1910" s="47">
        <v>84</v>
      </c>
      <c r="AN1910" s="57">
        <v>497.8</v>
      </c>
      <c r="AO1910" s="57">
        <v>501.53</v>
      </c>
      <c r="AP1910" s="57">
        <v>854.71</v>
      </c>
      <c r="AQ1910" s="57">
        <f t="shared" si="52"/>
        <v>1.704205132295177</v>
      </c>
      <c r="AR1910" s="59"/>
      <c r="AS1910" s="59">
        <f>SUMIFS(HIX_RatingAreas[Silver Enrollments 2018],HIX_RatingAreas[Area],HIX_SLCSP[[#This Row],[Area Code]])</f>
        <v>8566</v>
      </c>
      <c r="AT1910" s="59">
        <f>SUMIFS(HIX_RatingAreas[Silver Enrollments 2019],HIX_RatingAreas[Area],HIX_SLCSP[[#This Row],[Area Code]])</f>
        <v>8566</v>
      </c>
      <c r="AU1910" s="59">
        <f>SUMIFS(HIX_RatingAreas[Silver Enrollments 2020],HIX_RatingAreas[Area],HIX_SLCSP[[#This Row],[Area Code]])</f>
        <v>8049</v>
      </c>
      <c r="AV1910" s="59">
        <f>SUMIFS(HIX_RatingAreas[Silver Enrollments 2021],HIX_RatingAreas[Area],HIX_SLCSP[[#This Row],[Area Code]])</f>
        <v>7804</v>
      </c>
      <c r="AW1910" s="59">
        <f>SUMIFS(HIX_RatingAreas[Silver Enrollments 2022],HIX_RatingAreas[Area],HIX_SLCSP[[#This Row],[Area Code]])</f>
        <v>9896</v>
      </c>
      <c r="AX1910" s="59">
        <f>SUMIFS(HIX_RatingAreas[Silver Enrollments 2023],HIX_RatingAreas[Area],HIX_SLCSP[[#This Row],[Area Code]])</f>
        <v>10669</v>
      </c>
      <c r="AY1910" s="59">
        <f>SUMIFS(HIX_RatingAreas[Silver Enrollments 2024],HIX_RatingAreas[Area],HIX_SLCSP[[#This Row],[Area Code]])</f>
        <v>13784</v>
      </c>
      <c r="AZ1910" s="59">
        <v>40173</v>
      </c>
      <c r="BA1910">
        <f t="shared" si="99"/>
        <v>0.14914573386695576</v>
      </c>
      <c r="BB1910">
        <f>SUMIFS(HIX_RatingAreas[QHP Enrollments 2018],HIX_RatingAreas[Area],HIX_SLCSP[[#This Row],[Area Code]])</f>
        <v>11328</v>
      </c>
      <c r="BC1910">
        <f t="shared" si="100"/>
        <v>5.1383237851592801E-2</v>
      </c>
      <c r="BD1910">
        <f>SUMIFS(HIX_RatingAreas[QHP Enrollments 2019],HIX_RatingAreas[Area],HIX_SLCSP[[#This Row],[Area Code]])</f>
        <v>11328</v>
      </c>
      <c r="BE1910">
        <f t="shared" si="101"/>
        <v>5.1383237851592801E-2</v>
      </c>
      <c r="BF1910">
        <f>SUMIFS(HIX_RatingAreas[QHP Enrollments 2020],HIX_RatingAreas[Area],HIX_SLCSP[[#This Row],[Area Code]])</f>
        <v>10765</v>
      </c>
      <c r="BG1910">
        <f t="shared" si="102"/>
        <v>5.3094944512946982E-2</v>
      </c>
      <c r="BH1910">
        <f>SUMIFS(HIX_RatingAreas[QHP Enrollments 2021],HIX_RatingAreas[Area],HIX_SLCSP[[#This Row],[Area Code]])</f>
        <v>11543</v>
      </c>
      <c r="BI1910">
        <f t="shared" si="103"/>
        <v>5.3610823413573851E-2</v>
      </c>
      <c r="BJ1910">
        <f>SUMIFS(HIX_RatingAreas[QHP Enrollments 2022],HIX_RatingAreas[Area],HIX_SLCSP[[#This Row],[Area Code]])</f>
        <v>14200</v>
      </c>
      <c r="BK1910">
        <f>BJ1910/BJ$1893</f>
        <v>9.9290978505600855E-2</v>
      </c>
      <c r="BL1910">
        <f>SUMIFS(HIX_RatingAreas[QHP Enrollments 2023],HIX_RatingAreas[Area],HIX_SLCSP[[#This Row],[Area Code]])</f>
        <v>15676</v>
      </c>
      <c r="BM1910">
        <f t="shared" si="106"/>
        <v>6.0847187234356379E-2</v>
      </c>
      <c r="BN1910">
        <f>SUMIFS(HIX_RatingAreas[QHP Enrollments 2024],HIX_RatingAreas[Area],HIX_SLCSP[[#This Row],[Area Code]])</f>
        <v>23365</v>
      </c>
      <c r="BO1910">
        <f t="shared" si="105"/>
        <v>6.5016737670750682E-2</v>
      </c>
      <c r="BP1910" s="53">
        <f>ROUND(HIX_SLCSP[[#This Row],[Weighting Factor 2018]]*HIX_SLCSP[[#This Row],[2018]],2)</f>
        <v>26.85</v>
      </c>
      <c r="BQ1910" s="53">
        <f>ROUND(HIX_SLCSP[[#This Row],[Weighting Factor 2019]]*HIX_SLCSP[[#This Row],[2019]],2)</f>
        <v>28.24</v>
      </c>
      <c r="BR1910" s="53">
        <f>ROUND(HIX_SLCSP[[#This Row],[Weighting Factor 2020]]*HIX_SLCSP[[#This Row],[2020]],2)</f>
        <v>31.01</v>
      </c>
      <c r="BS1910" s="53">
        <f>ROUND(HIX_SLCSP[[#This Row],[Weighting Factor 2021]]*HIX_SLCSP[[#This Row],[2021]],2)</f>
        <v>24.37</v>
      </c>
      <c r="BT1910" s="53">
        <f>ROUND(HIX_SLCSP[[#This Row],[Weighting Factor 2022]]*HIX_SLCSP[[#This Row],[2022]],2)</f>
        <v>41.01</v>
      </c>
      <c r="BU1910" s="53">
        <f>ROUND(HIX_SLCSP[[#This Row],[Weighting Factor 2023]]*HIX_SLCSP[[#This Row],[2023]],2)</f>
        <v>29.26</v>
      </c>
      <c r="BV1910" s="53">
        <f>ROUND(HIX_SLCSP[[#This Row],[Weighting Factor 2024]]*HIX_SLCSP[[#This Row],[2024]],2)</f>
        <v>32.61</v>
      </c>
    </row>
    <row r="1911" spans="4:74" x14ac:dyDescent="0.35">
      <c r="D1911" t="s">
        <v>1471</v>
      </c>
      <c r="E1911" t="s">
        <v>2597</v>
      </c>
      <c r="F1911" s="23"/>
      <c r="G1911" s="23"/>
      <c r="H1911" s="23"/>
      <c r="I1911" s="23"/>
      <c r="J1911" s="53"/>
      <c r="K1911" s="53">
        <f>SUM(BP1912:BP1927)</f>
        <v>531.84999999999991</v>
      </c>
      <c r="L1911" s="53"/>
      <c r="M1911" s="54"/>
      <c r="O1911" s="55"/>
      <c r="P1911" s="56">
        <f>SUM(BQ1912:BQ1927)</f>
        <v>502.81</v>
      </c>
      <c r="Q1911" s="56"/>
      <c r="R1911" s="57"/>
      <c r="S1911" s="23"/>
      <c r="T1911" s="53"/>
      <c r="U1911" s="53">
        <f>SUM(BR1912:BR1927)</f>
        <v>449.08</v>
      </c>
      <c r="V1911" s="53"/>
      <c r="W1911" s="57"/>
      <c r="X1911" s="47"/>
      <c r="Y1911" s="58"/>
      <c r="Z1911" s="53">
        <f>SUM(BS1912:BS1927)</f>
        <v>391.83000000000004</v>
      </c>
      <c r="AA1911" s="58"/>
      <c r="AB1911" s="57">
        <f t="shared" si="97"/>
        <v>0</v>
      </c>
      <c r="AC1911" s="47"/>
      <c r="AD1911" s="57"/>
      <c r="AE1911" s="53">
        <f>SUM(BT1912:BT1927)</f>
        <v>375.53</v>
      </c>
      <c r="AF1911" s="57"/>
      <c r="AG1911" s="57"/>
      <c r="AH1911" s="47"/>
      <c r="AI1911" s="57"/>
      <c r="AJ1911" s="53">
        <f>SUM(BU1912:BU1927)</f>
        <v>393.20000000000005</v>
      </c>
      <c r="AK1911" s="57"/>
      <c r="AL1911" s="57"/>
      <c r="AM1911" s="47"/>
      <c r="AN1911" s="57"/>
      <c r="AO1911" s="53">
        <f>SUM(BV1912:BV1927)</f>
        <v>404.63000000000011</v>
      </c>
      <c r="AP1911" s="57"/>
      <c r="AQ1911" s="57"/>
      <c r="AR1911" s="59">
        <f t="shared" ref="AR1911:AZ1911" si="108">SUM(AR1912:AR1927)</f>
        <v>470335</v>
      </c>
      <c r="AS1911" s="59">
        <f t="shared" si="108"/>
        <v>368734</v>
      </c>
      <c r="AT1911" s="59">
        <f t="shared" si="108"/>
        <v>319178</v>
      </c>
      <c r="AU1911" s="59">
        <f t="shared" si="108"/>
        <v>295585</v>
      </c>
      <c r="AV1911" s="59">
        <f t="shared" si="108"/>
        <v>276595</v>
      </c>
      <c r="AW1911" s="59">
        <f t="shared" si="108"/>
        <v>354972</v>
      </c>
      <c r="AX1911" s="59">
        <f t="shared" si="108"/>
        <v>420981</v>
      </c>
      <c r="AY1911" s="59">
        <f t="shared" si="108"/>
        <v>527815</v>
      </c>
      <c r="AZ1911" s="59">
        <f t="shared" si="108"/>
        <v>613477</v>
      </c>
      <c r="BA1911">
        <f t="shared" ref="BA1911:BA1927" si="109">AZ1911/AZ$1911</f>
        <v>1</v>
      </c>
      <c r="BB1911" s="59">
        <f>SUM(BB1912:BB1927)</f>
        <v>519803</v>
      </c>
      <c r="BC1911">
        <f t="shared" ref="BC1911:BC1927" si="110">BB1911/BB$1911</f>
        <v>1</v>
      </c>
      <c r="BD1911" s="59">
        <f>SUM(BD1912:BD1927)</f>
        <v>501271</v>
      </c>
      <c r="BE1911">
        <f t="shared" ref="BE1911:BE1927" si="111">BD1911/BD$1911</f>
        <v>1</v>
      </c>
      <c r="BF1911" s="59">
        <f>SUM(BF1912:BF1927)</f>
        <v>505275</v>
      </c>
      <c r="BG1911">
        <f t="shared" ref="BG1911:BG1927" si="112">BF1911/BF$1911</f>
        <v>1</v>
      </c>
      <c r="BH1911" s="59">
        <f>SUM(BH1912:BH1927)</f>
        <v>535803</v>
      </c>
      <c r="BI1911">
        <f t="shared" ref="BI1911:BI1927" si="113">BH1911/BH$1911</f>
        <v>1</v>
      </c>
      <c r="BJ1911" s="59">
        <f>SUM(BJ1912:BJ1927)</f>
        <v>670223</v>
      </c>
      <c r="BK1911">
        <f t="shared" ref="BK1911:BK1927" si="114">BJ1911/BJ$1911</f>
        <v>1</v>
      </c>
      <c r="BL1911" s="59">
        <f>SUM(BL1912:BL1927)</f>
        <v>800850</v>
      </c>
      <c r="BM1911">
        <f>BL1911/BL$1911</f>
        <v>1</v>
      </c>
      <c r="BN1911" s="59">
        <f>SUM(BN1912:BN1927)</f>
        <v>1027930</v>
      </c>
      <c r="BO1911">
        <f t="shared" ref="BO1911:BO1927" si="115">BN1911/BN$1911</f>
        <v>1</v>
      </c>
      <c r="BP1911" s="53"/>
      <c r="BQ1911" s="53"/>
      <c r="BR1911" s="53"/>
      <c r="BS1911" s="53"/>
      <c r="BT1911" s="53"/>
      <c r="BU1911" s="53"/>
      <c r="BV1911" s="53"/>
    </row>
    <row r="1912" spans="4:74" x14ac:dyDescent="0.35">
      <c r="D1912" t="s">
        <v>1471</v>
      </c>
      <c r="E1912" t="s">
        <v>231</v>
      </c>
      <c r="F1912" s="23">
        <v>1</v>
      </c>
      <c r="G1912" s="23" t="s">
        <v>1472</v>
      </c>
      <c r="H1912" s="23" t="s">
        <v>1473</v>
      </c>
      <c r="I1912" s="23">
        <v>8</v>
      </c>
      <c r="J1912" s="53">
        <v>499.9</v>
      </c>
      <c r="K1912" s="53">
        <v>538.24</v>
      </c>
      <c r="L1912" s="53">
        <v>917.27</v>
      </c>
      <c r="M1912" s="54">
        <f t="shared" ref="M1912:M1974" si="116">L1912/K1912</f>
        <v>1.7042025862068966</v>
      </c>
      <c r="N1912" s="24">
        <v>12</v>
      </c>
      <c r="O1912" s="55">
        <v>544.89</v>
      </c>
      <c r="P1912" s="56">
        <v>561.41999999999996</v>
      </c>
      <c r="Q1912" s="56">
        <v>956.78</v>
      </c>
      <c r="R1912" s="57">
        <f t="shared" ref="R1912:R1927" si="117">Q1912/P1912</f>
        <v>1.7042143137045349</v>
      </c>
      <c r="S1912" s="23">
        <v>8</v>
      </c>
      <c r="T1912" s="53">
        <v>542.25</v>
      </c>
      <c r="U1912" s="53">
        <v>577.16999999999996</v>
      </c>
      <c r="V1912" s="53">
        <v>983.6</v>
      </c>
      <c r="W1912" s="57">
        <f t="shared" ref="W1912:W1927" si="118">V1912/U1912</f>
        <v>1.7041772787913441</v>
      </c>
      <c r="X1912" s="47">
        <v>75</v>
      </c>
      <c r="Y1912" s="58">
        <v>423.85</v>
      </c>
      <c r="Z1912" s="58">
        <v>424.3</v>
      </c>
      <c r="AA1912" s="58">
        <v>723.1</v>
      </c>
      <c r="AB1912" s="57">
        <f t="shared" si="97"/>
        <v>1.7042187131746407</v>
      </c>
      <c r="AC1912" s="47">
        <v>211</v>
      </c>
      <c r="AD1912" s="57">
        <v>368.08</v>
      </c>
      <c r="AE1912" s="57">
        <v>423.31</v>
      </c>
      <c r="AF1912" s="57">
        <v>721.4</v>
      </c>
      <c r="AG1912" s="57">
        <f t="shared" ref="AG1912:AG1927" si="119">AF1912/AE1912</f>
        <v>1.7041884198341639</v>
      </c>
      <c r="AH1912" s="47">
        <v>238</v>
      </c>
      <c r="AI1912">
        <v>423.03</v>
      </c>
      <c r="AJ1912">
        <v>443.24</v>
      </c>
      <c r="AK1912">
        <v>755.37</v>
      </c>
      <c r="AL1912" s="57">
        <f t="shared" si="107"/>
        <v>1.7042008843967151</v>
      </c>
      <c r="AM1912" s="47">
        <v>177</v>
      </c>
      <c r="AN1912" s="57">
        <v>454.54</v>
      </c>
      <c r="AO1912" s="57">
        <v>459.49</v>
      </c>
      <c r="AP1912" s="57">
        <v>783.06</v>
      </c>
      <c r="AQ1912" s="57">
        <f t="shared" si="52"/>
        <v>1.7041937800605018</v>
      </c>
      <c r="AR1912" s="59">
        <v>44061</v>
      </c>
      <c r="AS1912" s="59">
        <f>SUMIFS(HIX_RatingAreas[Silver Enrollments 2018],HIX_RatingAreas[Area],HIX_SLCSP[[#This Row],[Area Code]])</f>
        <v>36168</v>
      </c>
      <c r="AT1912" s="59">
        <f>SUMIFS(HIX_RatingAreas[Silver Enrollments 2019],HIX_RatingAreas[Area],HIX_SLCSP[[#This Row],[Area Code]])</f>
        <v>30721</v>
      </c>
      <c r="AU1912" s="59">
        <f>SUMIFS(HIX_RatingAreas[Silver Enrollments 2020],HIX_RatingAreas[Area],HIX_SLCSP[[#This Row],[Area Code]])</f>
        <v>29265</v>
      </c>
      <c r="AV1912" s="59">
        <f>SUMIFS(HIX_RatingAreas[Silver Enrollments 2021],HIX_RatingAreas[Area],HIX_SLCSP[[#This Row],[Area Code]])</f>
        <v>28331</v>
      </c>
      <c r="AW1912" s="59">
        <f>SUMIFS(HIX_RatingAreas[Silver Enrollments 2022],HIX_RatingAreas[Area],HIX_SLCSP[[#This Row],[Area Code]])</f>
        <v>34781</v>
      </c>
      <c r="AX1912" s="59">
        <f>SUMIFS(HIX_RatingAreas[Silver Enrollments 2023],HIX_RatingAreas[Area],HIX_SLCSP[[#This Row],[Area Code]])</f>
        <v>35638</v>
      </c>
      <c r="AY1912" s="59">
        <f>SUMIFS(HIX_RatingAreas[Silver Enrollments 2024],HIX_RatingAreas[Area],HIX_SLCSP[[#This Row],[Area Code]])</f>
        <v>35705</v>
      </c>
      <c r="AZ1912" s="59">
        <v>58634</v>
      </c>
      <c r="BA1912">
        <f t="shared" si="109"/>
        <v>9.557652528130639E-2</v>
      </c>
      <c r="BB1912">
        <f>SUMIFS(HIX_RatingAreas[QHP Enrollments 2018],HIX_RatingAreas[Area],HIX_SLCSP[[#This Row],[Area Code]])</f>
        <v>52909</v>
      </c>
      <c r="BC1912">
        <f t="shared" si="110"/>
        <v>0.10178663839954752</v>
      </c>
      <c r="BD1912">
        <f>SUMIFS(HIX_RatingAreas[QHP Enrollments 2019],HIX_RatingAreas[Area],HIX_SLCSP[[#This Row],[Area Code]])</f>
        <v>51458</v>
      </c>
      <c r="BE1912">
        <f t="shared" si="111"/>
        <v>0.10265505086071207</v>
      </c>
      <c r="BF1912">
        <f>SUMIFS(HIX_RatingAreas[QHP Enrollments 2020],HIX_RatingAreas[Area],HIX_SLCSP[[#This Row],[Area Code]])</f>
        <v>52400</v>
      </c>
      <c r="BG1912">
        <f t="shared" si="112"/>
        <v>0.10370590272623818</v>
      </c>
      <c r="BH1912">
        <f>SUMIFS(HIX_RatingAreas[QHP Enrollments 2021],HIX_RatingAreas[Area],HIX_SLCSP[[#This Row],[Area Code]])</f>
        <v>57241</v>
      </c>
      <c r="BI1912">
        <f t="shared" si="113"/>
        <v>0.10683217525844386</v>
      </c>
      <c r="BJ1912">
        <f>SUMIFS(HIX_RatingAreas[QHP Enrollments 2022],HIX_RatingAreas[Area],HIX_SLCSP[[#This Row],[Area Code]])</f>
        <v>70470</v>
      </c>
      <c r="BK1912">
        <f t="shared" si="114"/>
        <v>0.10514410875186318</v>
      </c>
      <c r="BL1912">
        <f>SUMIFS(HIX_RatingAreas[QHP Enrollments 2023],HIX_RatingAreas[Area],HIX_SLCSP[[#This Row],[Area Code]])</f>
        <v>78275</v>
      </c>
      <c r="BM1912">
        <f>BL1912/BL$1911</f>
        <v>9.7739901354810518E-2</v>
      </c>
      <c r="BN1912">
        <f>SUMIFS(HIX_RatingAreas[QHP Enrollments 2024],HIX_RatingAreas[Area],HIX_SLCSP[[#This Row],[Area Code]])</f>
        <v>90513</v>
      </c>
      <c r="BO1912">
        <f t="shared" si="115"/>
        <v>8.8053661241524223E-2</v>
      </c>
      <c r="BP1912" s="53">
        <f>ROUND(HIX_SLCSP[[#This Row],[Weighting Factor 2018]]*HIX_SLCSP[[#This Row],[2018]],2)</f>
        <v>54.79</v>
      </c>
      <c r="BQ1912" s="53">
        <f>ROUND(HIX_SLCSP[[#This Row],[Weighting Factor 2019]]*HIX_SLCSP[[#This Row],[2019]],2)</f>
        <v>57.63</v>
      </c>
      <c r="BR1912" s="53">
        <f>ROUND(HIX_SLCSP[[#This Row],[Weighting Factor 2020]]*HIX_SLCSP[[#This Row],[2020]],2)</f>
        <v>59.86</v>
      </c>
      <c r="BS1912" s="53">
        <f>ROUND(HIX_SLCSP[[#This Row],[Weighting Factor 2021]]*HIX_SLCSP[[#This Row],[2021]],2)</f>
        <v>45.33</v>
      </c>
      <c r="BT1912" s="53">
        <f>ROUND(HIX_SLCSP[[#This Row],[Weighting Factor 2022]]*HIX_SLCSP[[#This Row],[2022]],2)</f>
        <v>44.51</v>
      </c>
      <c r="BU1912" s="53">
        <f>ROUND(HIX_SLCSP[[#This Row],[Weighting Factor 2023]]*HIX_SLCSP[[#This Row],[2023]],2)</f>
        <v>43.32</v>
      </c>
      <c r="BV1912" s="53">
        <f>ROUND(HIX_SLCSP[[#This Row],[Weighting Factor 2024]]*HIX_SLCSP[[#This Row],[2024]],2)</f>
        <v>40.46</v>
      </c>
    </row>
    <row r="1913" spans="4:74" x14ac:dyDescent="0.35">
      <c r="D1913" t="s">
        <v>1471</v>
      </c>
      <c r="E1913" t="s">
        <v>235</v>
      </c>
      <c r="F1913" s="23">
        <v>2</v>
      </c>
      <c r="G1913" s="23" t="s">
        <v>1472</v>
      </c>
      <c r="H1913" s="23" t="s">
        <v>1501</v>
      </c>
      <c r="I1913" s="23">
        <v>8</v>
      </c>
      <c r="J1913" s="53">
        <v>473.59</v>
      </c>
      <c r="K1913" s="53">
        <v>526.77</v>
      </c>
      <c r="L1913" s="53">
        <v>897.72</v>
      </c>
      <c r="M1913" s="54">
        <f t="shared" si="116"/>
        <v>1.7041972777493024</v>
      </c>
      <c r="N1913" s="24">
        <v>8</v>
      </c>
      <c r="O1913" s="55">
        <v>460.01</v>
      </c>
      <c r="P1913" s="56">
        <v>622.74</v>
      </c>
      <c r="Q1913" s="56">
        <v>1061.28</v>
      </c>
      <c r="R1913" s="57">
        <f t="shared" si="117"/>
        <v>1.7042104248964254</v>
      </c>
      <c r="S1913" s="23">
        <v>8</v>
      </c>
      <c r="T1913" s="53">
        <v>474.7</v>
      </c>
      <c r="U1913" s="53">
        <v>588.82000000000005</v>
      </c>
      <c r="V1913" s="53">
        <v>1003.46</v>
      </c>
      <c r="W1913" s="57">
        <f t="shared" si="118"/>
        <v>1.7041880370911313</v>
      </c>
      <c r="X1913" s="47">
        <v>86</v>
      </c>
      <c r="Y1913" s="58">
        <v>453.7</v>
      </c>
      <c r="Z1913" s="58">
        <v>458.95</v>
      </c>
      <c r="AA1913" s="58">
        <v>782.15</v>
      </c>
      <c r="AB1913" s="57">
        <f t="shared" si="97"/>
        <v>1.7042161455496241</v>
      </c>
      <c r="AC1913" s="47">
        <v>158</v>
      </c>
      <c r="AD1913" s="57">
        <v>400.13</v>
      </c>
      <c r="AE1913" s="57">
        <v>437.56</v>
      </c>
      <c r="AF1913" s="57">
        <v>745.69</v>
      </c>
      <c r="AG1913" s="57">
        <f t="shared" si="119"/>
        <v>1.7042005667794131</v>
      </c>
      <c r="AH1913" s="47">
        <v>176</v>
      </c>
      <c r="AI1913">
        <v>381.25</v>
      </c>
      <c r="AJ1913">
        <v>399.47</v>
      </c>
      <c r="AK1913">
        <v>680.77</v>
      </c>
      <c r="AL1913" s="57">
        <f t="shared" si="107"/>
        <v>1.7041830425313538</v>
      </c>
      <c r="AM1913" s="47">
        <v>128</v>
      </c>
      <c r="AN1913" s="57">
        <v>397.53</v>
      </c>
      <c r="AO1913" s="57">
        <v>400.23</v>
      </c>
      <c r="AP1913" s="57">
        <v>682.07</v>
      </c>
      <c r="AQ1913" s="57">
        <f t="shared" si="52"/>
        <v>1.7041950878245009</v>
      </c>
      <c r="AR1913" s="59">
        <v>25189</v>
      </c>
      <c r="AS1913" s="59">
        <f>SUMIFS(HIX_RatingAreas[Silver Enrollments 2018],HIX_RatingAreas[Area],HIX_SLCSP[[#This Row],[Area Code]])</f>
        <v>20780</v>
      </c>
      <c r="AT1913" s="59">
        <f>SUMIFS(HIX_RatingAreas[Silver Enrollments 2019],HIX_RatingAreas[Area],HIX_SLCSP[[#This Row],[Area Code]])</f>
        <v>17613</v>
      </c>
      <c r="AU1913" s="59">
        <f>SUMIFS(HIX_RatingAreas[Silver Enrollments 2020],HIX_RatingAreas[Area],HIX_SLCSP[[#This Row],[Area Code]])</f>
        <v>18326</v>
      </c>
      <c r="AV1913" s="59">
        <f>SUMIFS(HIX_RatingAreas[Silver Enrollments 2021],HIX_RatingAreas[Area],HIX_SLCSP[[#This Row],[Area Code]])</f>
        <v>18402</v>
      </c>
      <c r="AW1913" s="59">
        <f>SUMIFS(HIX_RatingAreas[Silver Enrollments 2022],HIX_RatingAreas[Area],HIX_SLCSP[[#This Row],[Area Code]])</f>
        <v>21514</v>
      </c>
      <c r="AX1913" s="59">
        <f>SUMIFS(HIX_RatingAreas[Silver Enrollments 2023],HIX_RatingAreas[Area],HIX_SLCSP[[#This Row],[Area Code]])</f>
        <v>22265</v>
      </c>
      <c r="AY1913" s="59">
        <f>SUMIFS(HIX_RatingAreas[Silver Enrollments 2024],HIX_RatingAreas[Area],HIX_SLCSP[[#This Row],[Area Code]])</f>
        <v>30037</v>
      </c>
      <c r="AZ1913" s="59">
        <v>32735</v>
      </c>
      <c r="BA1913">
        <f t="shared" si="109"/>
        <v>5.3359783659371093E-2</v>
      </c>
      <c r="BB1913">
        <f>SUMIFS(HIX_RatingAreas[QHP Enrollments 2018],HIX_RatingAreas[Area],HIX_SLCSP[[#This Row],[Area Code]])</f>
        <v>28058</v>
      </c>
      <c r="BC1913">
        <f t="shared" si="110"/>
        <v>5.3978141719074342E-2</v>
      </c>
      <c r="BD1913">
        <f>SUMIFS(HIX_RatingAreas[QHP Enrollments 2019],HIX_RatingAreas[Area],HIX_SLCSP[[#This Row],[Area Code]])</f>
        <v>27898</v>
      </c>
      <c r="BE1913">
        <f t="shared" si="111"/>
        <v>5.56545261944138E-2</v>
      </c>
      <c r="BF1913">
        <f>SUMIFS(HIX_RatingAreas[QHP Enrollments 2020],HIX_RatingAreas[Area],HIX_SLCSP[[#This Row],[Area Code]])</f>
        <v>30215</v>
      </c>
      <c r="BG1913">
        <f t="shared" si="112"/>
        <v>5.9799119291474939E-2</v>
      </c>
      <c r="BH1913">
        <f>SUMIFS(HIX_RatingAreas[QHP Enrollments 2021],HIX_RatingAreas[Area],HIX_SLCSP[[#This Row],[Area Code]])</f>
        <v>33332</v>
      </c>
      <c r="BI1913">
        <f t="shared" si="113"/>
        <v>6.220943145148497E-2</v>
      </c>
      <c r="BJ1913">
        <f>SUMIFS(HIX_RatingAreas[QHP Enrollments 2022],HIX_RatingAreas[Area],HIX_SLCSP[[#This Row],[Area Code]])</f>
        <v>40341</v>
      </c>
      <c r="BK1913">
        <f t="shared" si="114"/>
        <v>6.0190414235261995E-2</v>
      </c>
      <c r="BL1913">
        <f>SUMIFS(HIX_RatingAreas[QHP Enrollments 2023],HIX_RatingAreas[Area],HIX_SLCSP[[#This Row],[Area Code]])</f>
        <v>45078</v>
      </c>
      <c r="BM1913">
        <f t="shared" ref="BM1913:BM1927" si="120">BL1913/BL$1911</f>
        <v>5.6287694324779924E-2</v>
      </c>
      <c r="BN1913">
        <f>SUMIFS(HIX_RatingAreas[QHP Enrollments 2024],HIX_RatingAreas[Area],HIX_SLCSP[[#This Row],[Area Code]])</f>
        <v>55739</v>
      </c>
      <c r="BO1913">
        <f t="shared" si="115"/>
        <v>5.422450945103266E-2</v>
      </c>
      <c r="BP1913" s="53">
        <f>ROUND(HIX_SLCSP[[#This Row],[Weighting Factor 2018]]*HIX_SLCSP[[#This Row],[2018]],2)</f>
        <v>28.43</v>
      </c>
      <c r="BQ1913" s="53">
        <f>ROUND(HIX_SLCSP[[#This Row],[Weighting Factor 2019]]*HIX_SLCSP[[#This Row],[2019]],2)</f>
        <v>34.659999999999997</v>
      </c>
      <c r="BR1913" s="53">
        <f>ROUND(HIX_SLCSP[[#This Row],[Weighting Factor 2020]]*HIX_SLCSP[[#This Row],[2020]],2)</f>
        <v>35.21</v>
      </c>
      <c r="BS1913" s="53">
        <f>ROUND(HIX_SLCSP[[#This Row],[Weighting Factor 2021]]*HIX_SLCSP[[#This Row],[2021]],2)</f>
        <v>28.55</v>
      </c>
      <c r="BT1913" s="53">
        <f>ROUND(HIX_SLCSP[[#This Row],[Weighting Factor 2022]]*HIX_SLCSP[[#This Row],[2022]],2)</f>
        <v>26.34</v>
      </c>
      <c r="BU1913" s="53">
        <f>ROUND(HIX_SLCSP[[#This Row],[Weighting Factor 2023]]*HIX_SLCSP[[#This Row],[2023]],2)</f>
        <v>22.49</v>
      </c>
      <c r="BV1913" s="53">
        <f>ROUND(HIX_SLCSP[[#This Row],[Weighting Factor 2024]]*HIX_SLCSP[[#This Row],[2024]],2)</f>
        <v>21.7</v>
      </c>
    </row>
    <row r="1914" spans="4:74" x14ac:dyDescent="0.35">
      <c r="D1914" t="s">
        <v>1471</v>
      </c>
      <c r="E1914" t="s">
        <v>239</v>
      </c>
      <c r="F1914" s="23">
        <v>3</v>
      </c>
      <c r="G1914" s="23" t="s">
        <v>1472</v>
      </c>
      <c r="H1914" s="23" t="s">
        <v>1511</v>
      </c>
      <c r="I1914" s="23">
        <v>16</v>
      </c>
      <c r="J1914" s="53">
        <v>526.77</v>
      </c>
      <c r="K1914" s="53">
        <v>567.19000000000005</v>
      </c>
      <c r="L1914" s="53">
        <v>966.6</v>
      </c>
      <c r="M1914" s="54">
        <f t="shared" si="116"/>
        <v>1.704190835522488</v>
      </c>
      <c r="N1914" s="24">
        <v>12</v>
      </c>
      <c r="O1914" s="55">
        <v>550.62</v>
      </c>
      <c r="P1914" s="56">
        <v>567.33000000000004</v>
      </c>
      <c r="Q1914" s="56">
        <v>966.85</v>
      </c>
      <c r="R1914" s="57">
        <f t="shared" si="117"/>
        <v>1.7042109530608287</v>
      </c>
      <c r="S1914" s="23">
        <v>16</v>
      </c>
      <c r="T1914" s="53">
        <v>383.6</v>
      </c>
      <c r="U1914" s="53">
        <v>408.86</v>
      </c>
      <c r="V1914" s="53">
        <v>696.77</v>
      </c>
      <c r="W1914" s="57">
        <f t="shared" si="118"/>
        <v>1.704177469060314</v>
      </c>
      <c r="X1914" s="47">
        <v>64</v>
      </c>
      <c r="Y1914" s="58">
        <v>353.79</v>
      </c>
      <c r="Z1914" s="58">
        <v>369.54</v>
      </c>
      <c r="AA1914" s="58">
        <v>629.76</v>
      </c>
      <c r="AB1914" s="57">
        <f t="shared" si="97"/>
        <v>1.7041727553174215</v>
      </c>
      <c r="AC1914" s="47">
        <v>142</v>
      </c>
      <c r="AD1914" s="57">
        <v>372.9</v>
      </c>
      <c r="AE1914" s="57">
        <v>372.9</v>
      </c>
      <c r="AF1914" s="57">
        <v>635.49</v>
      </c>
      <c r="AG1914" s="57">
        <f t="shared" si="119"/>
        <v>1.7041834271922769</v>
      </c>
      <c r="AH1914" s="47">
        <v>148</v>
      </c>
      <c r="AI1914">
        <v>380.72</v>
      </c>
      <c r="AJ1914">
        <v>387.82</v>
      </c>
      <c r="AK1914">
        <v>660.92</v>
      </c>
      <c r="AL1914" s="57">
        <f t="shared" si="107"/>
        <v>1.7041926667010467</v>
      </c>
      <c r="AM1914" s="47">
        <v>104</v>
      </c>
      <c r="AN1914" s="57">
        <v>388.28</v>
      </c>
      <c r="AO1914" s="57">
        <v>394.12</v>
      </c>
      <c r="AP1914" s="57">
        <v>671.66</v>
      </c>
      <c r="AQ1914" s="57">
        <f t="shared" si="52"/>
        <v>1.704201765959606</v>
      </c>
      <c r="AR1914" s="59">
        <v>8854</v>
      </c>
      <c r="AS1914" s="59">
        <f>SUMIFS(HIX_RatingAreas[Silver Enrollments 2018],HIX_RatingAreas[Area],HIX_SLCSP[[#This Row],[Area Code]])</f>
        <v>7237</v>
      </c>
      <c r="AT1914" s="59">
        <f>SUMIFS(HIX_RatingAreas[Silver Enrollments 2019],HIX_RatingAreas[Area],HIX_SLCSP[[#This Row],[Area Code]])</f>
        <v>6165</v>
      </c>
      <c r="AU1914" s="59">
        <f>SUMIFS(HIX_RatingAreas[Silver Enrollments 2020],HIX_RatingAreas[Area],HIX_SLCSP[[#This Row],[Area Code]])</f>
        <v>5308</v>
      </c>
      <c r="AV1914" s="59">
        <f>SUMIFS(HIX_RatingAreas[Silver Enrollments 2021],HIX_RatingAreas[Area],HIX_SLCSP[[#This Row],[Area Code]])</f>
        <v>4890</v>
      </c>
      <c r="AW1914" s="59">
        <f>SUMIFS(HIX_RatingAreas[Silver Enrollments 2022],HIX_RatingAreas[Area],HIX_SLCSP[[#This Row],[Area Code]])</f>
        <v>5699</v>
      </c>
      <c r="AX1914" s="59">
        <f>SUMIFS(HIX_RatingAreas[Silver Enrollments 2023],HIX_RatingAreas[Area],HIX_SLCSP[[#This Row],[Area Code]])</f>
        <v>6043</v>
      </c>
      <c r="AY1914" s="59">
        <f>SUMIFS(HIX_RatingAreas[Silver Enrollments 2024],HIX_RatingAreas[Area],HIX_SLCSP[[#This Row],[Area Code]])</f>
        <v>5823</v>
      </c>
      <c r="AZ1914" s="59">
        <v>10603</v>
      </c>
      <c r="BA1914">
        <f t="shared" si="109"/>
        <v>1.7283451539340512E-2</v>
      </c>
      <c r="BB1914">
        <f>SUMIFS(HIX_RatingAreas[QHP Enrollments 2018],HIX_RatingAreas[Area],HIX_SLCSP[[#This Row],[Area Code]])</f>
        <v>9701</v>
      </c>
      <c r="BC1914">
        <f t="shared" si="110"/>
        <v>1.8662839575762355E-2</v>
      </c>
      <c r="BD1914">
        <f>SUMIFS(HIX_RatingAreas[QHP Enrollments 2019],HIX_RatingAreas[Area],HIX_SLCSP[[#This Row],[Area Code]])</f>
        <v>9310</v>
      </c>
      <c r="BE1914">
        <f t="shared" si="111"/>
        <v>1.8572787972972703E-2</v>
      </c>
      <c r="BF1914">
        <f>SUMIFS(HIX_RatingAreas[QHP Enrollments 2020],HIX_RatingAreas[Area],HIX_SLCSP[[#This Row],[Area Code]])</f>
        <v>9005</v>
      </c>
      <c r="BG1914">
        <f t="shared" si="112"/>
        <v>1.7821978130720895E-2</v>
      </c>
      <c r="BH1914">
        <f>SUMIFS(HIX_RatingAreas[QHP Enrollments 2021],HIX_RatingAreas[Area],HIX_SLCSP[[#This Row],[Area Code]])</f>
        <v>9193</v>
      </c>
      <c r="BI1914">
        <f t="shared" si="113"/>
        <v>1.715742539702092E-2</v>
      </c>
      <c r="BJ1914">
        <f>SUMIFS(HIX_RatingAreas[QHP Enrollments 2022],HIX_RatingAreas[Area],HIX_SLCSP[[#This Row],[Area Code]])</f>
        <v>10873</v>
      </c>
      <c r="BK1914">
        <f t="shared" si="114"/>
        <v>1.6222958627203184E-2</v>
      </c>
      <c r="BL1914">
        <f>SUMIFS(HIX_RatingAreas[QHP Enrollments 2023],HIX_RatingAreas[Area],HIX_SLCSP[[#This Row],[Area Code]])</f>
        <v>12006</v>
      </c>
      <c r="BM1914">
        <f t="shared" si="120"/>
        <v>1.4991571455328713E-2</v>
      </c>
      <c r="BN1914">
        <f>SUMIFS(HIX_RatingAreas[QHP Enrollments 2024],HIX_RatingAreas[Area],HIX_SLCSP[[#This Row],[Area Code]])</f>
        <v>13085</v>
      </c>
      <c r="BO1914">
        <f t="shared" si="115"/>
        <v>1.2729466014222758E-2</v>
      </c>
      <c r="BP1914" s="53">
        <f>ROUND(HIX_SLCSP[[#This Row],[Weighting Factor 2018]]*HIX_SLCSP[[#This Row],[2018]],2)</f>
        <v>10.59</v>
      </c>
      <c r="BQ1914" s="53">
        <f>ROUND(HIX_SLCSP[[#This Row],[Weighting Factor 2019]]*HIX_SLCSP[[#This Row],[2019]],2)</f>
        <v>10.54</v>
      </c>
      <c r="BR1914" s="53">
        <f>ROUND(HIX_SLCSP[[#This Row],[Weighting Factor 2020]]*HIX_SLCSP[[#This Row],[2020]],2)</f>
        <v>7.29</v>
      </c>
      <c r="BS1914" s="53">
        <f>ROUND(HIX_SLCSP[[#This Row],[Weighting Factor 2021]]*HIX_SLCSP[[#This Row],[2021]],2)</f>
        <v>6.34</v>
      </c>
      <c r="BT1914" s="53">
        <f>ROUND(HIX_SLCSP[[#This Row],[Weighting Factor 2022]]*HIX_SLCSP[[#This Row],[2022]],2)</f>
        <v>6.05</v>
      </c>
      <c r="BU1914" s="53">
        <f>ROUND(HIX_SLCSP[[#This Row],[Weighting Factor 2023]]*HIX_SLCSP[[#This Row],[2023]],2)</f>
        <v>5.81</v>
      </c>
      <c r="BV1914" s="53">
        <f>ROUND(HIX_SLCSP[[#This Row],[Weighting Factor 2024]]*HIX_SLCSP[[#This Row],[2024]],2)</f>
        <v>5.0199999999999996</v>
      </c>
    </row>
    <row r="1915" spans="4:74" x14ac:dyDescent="0.35">
      <c r="D1915" t="s">
        <v>1471</v>
      </c>
      <c r="E1915" t="s">
        <v>255</v>
      </c>
      <c r="F1915" s="23">
        <v>4</v>
      </c>
      <c r="G1915" s="23" t="s">
        <v>1472</v>
      </c>
      <c r="H1915" s="23" t="s">
        <v>1519</v>
      </c>
      <c r="I1915" s="23">
        <v>40</v>
      </c>
      <c r="J1915" s="53">
        <v>540.55999999999995</v>
      </c>
      <c r="K1915" s="53">
        <v>560.26</v>
      </c>
      <c r="L1915" s="53">
        <v>954.8</v>
      </c>
      <c r="M1915" s="54">
        <f t="shared" si="116"/>
        <v>1.7042087602184699</v>
      </c>
      <c r="N1915" s="24">
        <v>16</v>
      </c>
      <c r="O1915" s="55">
        <v>412.57</v>
      </c>
      <c r="P1915" s="56">
        <v>439.75</v>
      </c>
      <c r="Q1915" s="56">
        <v>749.42</v>
      </c>
      <c r="R1915" s="57">
        <f t="shared" si="117"/>
        <v>1.704195565662308</v>
      </c>
      <c r="S1915" s="23">
        <v>40</v>
      </c>
      <c r="T1915" s="53">
        <v>332.45</v>
      </c>
      <c r="U1915" s="53">
        <v>335.81</v>
      </c>
      <c r="V1915" s="53">
        <v>572.28</v>
      </c>
      <c r="W1915" s="57">
        <f t="shared" si="118"/>
        <v>1.704177957773741</v>
      </c>
      <c r="X1915" s="47">
        <v>42</v>
      </c>
      <c r="Y1915" s="58">
        <v>311.08</v>
      </c>
      <c r="Z1915" s="58">
        <v>327.97</v>
      </c>
      <c r="AA1915" s="58">
        <v>558.91999999999996</v>
      </c>
      <c r="AB1915" s="57">
        <f t="shared" si="97"/>
        <v>1.7041802603896694</v>
      </c>
      <c r="AC1915" s="47">
        <v>138</v>
      </c>
      <c r="AD1915" s="57">
        <v>313.45999999999998</v>
      </c>
      <c r="AE1915" s="57">
        <v>344.11</v>
      </c>
      <c r="AF1915" s="57">
        <v>586.41999999999996</v>
      </c>
      <c r="AG1915" s="57">
        <f t="shared" si="119"/>
        <v>1.7041643660457411</v>
      </c>
      <c r="AH1915" s="47">
        <v>136</v>
      </c>
      <c r="AI1915">
        <v>389.67</v>
      </c>
      <c r="AJ1915">
        <v>390.38</v>
      </c>
      <c r="AK1915">
        <v>665.28</v>
      </c>
      <c r="AL1915" s="57">
        <f t="shared" si="107"/>
        <v>1.7041856652492442</v>
      </c>
      <c r="AM1915" s="47">
        <v>137</v>
      </c>
      <c r="AN1915" s="57">
        <v>384.45</v>
      </c>
      <c r="AO1915" s="57">
        <v>386.11</v>
      </c>
      <c r="AP1915" s="57">
        <v>658</v>
      </c>
      <c r="AQ1915" s="57">
        <f t="shared" si="52"/>
        <v>1.7041775659786071</v>
      </c>
      <c r="AR1915" s="59">
        <v>89858</v>
      </c>
      <c r="AS1915" s="59">
        <f>SUMIFS(HIX_RatingAreas[Silver Enrollments 2018],HIX_RatingAreas[Area],HIX_SLCSP[[#This Row],[Area Code]])</f>
        <v>66096</v>
      </c>
      <c r="AT1915" s="59">
        <f>SUMIFS(HIX_RatingAreas[Silver Enrollments 2019],HIX_RatingAreas[Area],HIX_SLCSP[[#This Row],[Area Code]])</f>
        <v>57684</v>
      </c>
      <c r="AU1915" s="59">
        <f>SUMIFS(HIX_RatingAreas[Silver Enrollments 2020],HIX_RatingAreas[Area],HIX_SLCSP[[#This Row],[Area Code]])</f>
        <v>50121</v>
      </c>
      <c r="AV1915" s="59">
        <f>SUMIFS(HIX_RatingAreas[Silver Enrollments 2021],HIX_RatingAreas[Area],HIX_SLCSP[[#This Row],[Area Code]])</f>
        <v>46973</v>
      </c>
      <c r="AW1915" s="59">
        <f>SUMIFS(HIX_RatingAreas[Silver Enrollments 2022],HIX_RatingAreas[Area],HIX_SLCSP[[#This Row],[Area Code]])</f>
        <v>69562</v>
      </c>
      <c r="AX1915" s="59">
        <f>SUMIFS(HIX_RatingAreas[Silver Enrollments 2023],HIX_RatingAreas[Area],HIX_SLCSP[[#This Row],[Area Code]])</f>
        <v>93377</v>
      </c>
      <c r="AY1915" s="59">
        <f>SUMIFS(HIX_RatingAreas[Silver Enrollments 2024],HIX_RatingAreas[Area],HIX_SLCSP[[#This Row],[Area Code]])</f>
        <v>124555</v>
      </c>
      <c r="AZ1915" s="59">
        <v>121767</v>
      </c>
      <c r="BA1915">
        <f t="shared" si="109"/>
        <v>0.19848665883154543</v>
      </c>
      <c r="BB1915">
        <f>SUMIFS(HIX_RatingAreas[QHP Enrollments 2018],HIX_RatingAreas[Area],HIX_SLCSP[[#This Row],[Area Code]])</f>
        <v>97024</v>
      </c>
      <c r="BC1915">
        <f t="shared" si="110"/>
        <v>0.18665532903811635</v>
      </c>
      <c r="BD1915">
        <f>SUMIFS(HIX_RatingAreas[QHP Enrollments 2019],HIX_RatingAreas[Area],HIX_SLCSP[[#This Row],[Area Code]])</f>
        <v>93333</v>
      </c>
      <c r="BE1915">
        <f t="shared" si="111"/>
        <v>0.18619269816127404</v>
      </c>
      <c r="BF1915">
        <f>SUMIFS(HIX_RatingAreas[QHP Enrollments 2020],HIX_RatingAreas[Area],HIX_SLCSP[[#This Row],[Area Code]])</f>
        <v>93439</v>
      </c>
      <c r="BG1915">
        <f t="shared" si="112"/>
        <v>0.18492701993963684</v>
      </c>
      <c r="BH1915">
        <f>SUMIFS(HIX_RatingAreas[QHP Enrollments 2021],HIX_RatingAreas[Area],HIX_SLCSP[[#This Row],[Area Code]])</f>
        <v>97538</v>
      </c>
      <c r="BI1915">
        <f t="shared" si="113"/>
        <v>0.18204078737894339</v>
      </c>
      <c r="BJ1915">
        <f>SUMIFS(HIX_RatingAreas[QHP Enrollments 2022],HIX_RatingAreas[Area],HIX_SLCSP[[#This Row],[Area Code]])</f>
        <v>129724</v>
      </c>
      <c r="BK1915">
        <f t="shared" si="114"/>
        <v>0.19355348891339152</v>
      </c>
      <c r="BL1915">
        <f>SUMIFS(HIX_RatingAreas[QHP Enrollments 2023],HIX_RatingAreas[Area],HIX_SLCSP[[#This Row],[Area Code]])</f>
        <v>162135</v>
      </c>
      <c r="BM1915">
        <f t="shared" si="120"/>
        <v>0.20245364300430793</v>
      </c>
      <c r="BN1915">
        <f>SUMIFS(HIX_RatingAreas[QHP Enrollments 2024],HIX_RatingAreas[Area],HIX_SLCSP[[#This Row],[Area Code]])</f>
        <v>213270</v>
      </c>
      <c r="BO1915">
        <f t="shared" si="115"/>
        <v>0.20747521718404949</v>
      </c>
      <c r="BP1915" s="53">
        <f>ROUND(HIX_SLCSP[[#This Row],[Weighting Factor 2018]]*HIX_SLCSP[[#This Row],[2018]],2)</f>
        <v>104.58</v>
      </c>
      <c r="BQ1915" s="53">
        <f>ROUND(HIX_SLCSP[[#This Row],[Weighting Factor 2019]]*HIX_SLCSP[[#This Row],[2019]],2)</f>
        <v>81.88</v>
      </c>
      <c r="BR1915" s="53">
        <f>ROUND(HIX_SLCSP[[#This Row],[Weighting Factor 2020]]*HIX_SLCSP[[#This Row],[2020]],2)</f>
        <v>62.1</v>
      </c>
      <c r="BS1915" s="53">
        <f>ROUND(HIX_SLCSP[[#This Row],[Weighting Factor 2021]]*HIX_SLCSP[[#This Row],[2021]],2)</f>
        <v>59.7</v>
      </c>
      <c r="BT1915" s="53">
        <f>ROUND(HIX_SLCSP[[#This Row],[Weighting Factor 2022]]*HIX_SLCSP[[#This Row],[2022]],2)</f>
        <v>66.599999999999994</v>
      </c>
      <c r="BU1915" s="53">
        <f>ROUND(HIX_SLCSP[[#This Row],[Weighting Factor 2023]]*HIX_SLCSP[[#This Row],[2023]],2)</f>
        <v>79.03</v>
      </c>
      <c r="BV1915" s="53">
        <f>ROUND(HIX_SLCSP[[#This Row],[Weighting Factor 2024]]*HIX_SLCSP[[#This Row],[2024]],2)</f>
        <v>80.11</v>
      </c>
    </row>
    <row r="1916" spans="4:74" x14ac:dyDescent="0.35">
      <c r="D1916" t="s">
        <v>1471</v>
      </c>
      <c r="E1916" t="s">
        <v>259</v>
      </c>
      <c r="F1916" s="23">
        <v>5</v>
      </c>
      <c r="G1916" s="23" t="s">
        <v>1472</v>
      </c>
      <c r="H1916" s="23" t="s">
        <v>1531</v>
      </c>
      <c r="I1916" s="23">
        <v>40</v>
      </c>
      <c r="J1916" s="53">
        <v>511.85</v>
      </c>
      <c r="K1916" s="53">
        <v>530.52</v>
      </c>
      <c r="L1916" s="53">
        <v>904.11</v>
      </c>
      <c r="M1916" s="54">
        <f t="shared" si="116"/>
        <v>1.7041958832843249</v>
      </c>
      <c r="N1916" s="24">
        <v>16</v>
      </c>
      <c r="O1916" s="55">
        <v>412.57</v>
      </c>
      <c r="P1916" s="56">
        <v>439.75</v>
      </c>
      <c r="Q1916" s="56">
        <v>749.42</v>
      </c>
      <c r="R1916" s="57">
        <f t="shared" si="117"/>
        <v>1.704195565662308</v>
      </c>
      <c r="S1916" s="23">
        <v>40</v>
      </c>
      <c r="T1916" s="53">
        <v>332.45</v>
      </c>
      <c r="U1916" s="53">
        <v>335.81</v>
      </c>
      <c r="V1916" s="53">
        <v>572.28</v>
      </c>
      <c r="W1916" s="57">
        <f t="shared" si="118"/>
        <v>1.704177957773741</v>
      </c>
      <c r="X1916" s="47">
        <v>34</v>
      </c>
      <c r="Y1916" s="58">
        <v>336.18</v>
      </c>
      <c r="Z1916" s="58">
        <v>354.43</v>
      </c>
      <c r="AA1916" s="58">
        <v>604.02</v>
      </c>
      <c r="AB1916" s="57">
        <f t="shared" si="97"/>
        <v>1.7042011116440481</v>
      </c>
      <c r="AC1916" s="47">
        <v>110</v>
      </c>
      <c r="AD1916" s="57">
        <v>361.96</v>
      </c>
      <c r="AE1916" s="57">
        <v>371.98</v>
      </c>
      <c r="AF1916" s="57">
        <v>633.91999999999996</v>
      </c>
      <c r="AG1916" s="57">
        <f t="shared" si="119"/>
        <v>1.7041776439593526</v>
      </c>
      <c r="AH1916" s="47">
        <v>140</v>
      </c>
      <c r="AI1916">
        <v>355.36</v>
      </c>
      <c r="AJ1916">
        <v>372.33</v>
      </c>
      <c r="AK1916">
        <v>634.53</v>
      </c>
      <c r="AL1916" s="57">
        <f t="shared" si="107"/>
        <v>1.7042140037063895</v>
      </c>
      <c r="AM1916" s="47">
        <v>100</v>
      </c>
      <c r="AN1916" s="57">
        <v>416.08</v>
      </c>
      <c r="AO1916" s="57">
        <v>416.25</v>
      </c>
      <c r="AP1916" s="57">
        <v>709.36</v>
      </c>
      <c r="AQ1916" s="57">
        <f t="shared" si="52"/>
        <v>1.7041681681681682</v>
      </c>
      <c r="AR1916" s="59">
        <v>15129</v>
      </c>
      <c r="AS1916" s="59">
        <f>SUMIFS(HIX_RatingAreas[Silver Enrollments 2018],HIX_RatingAreas[Area],HIX_SLCSP[[#This Row],[Area Code]])</f>
        <v>11221</v>
      </c>
      <c r="AT1916" s="59">
        <f>SUMIFS(HIX_RatingAreas[Silver Enrollments 2019],HIX_RatingAreas[Area],HIX_SLCSP[[#This Row],[Area Code]])</f>
        <v>9553</v>
      </c>
      <c r="AU1916" s="59">
        <f>SUMIFS(HIX_RatingAreas[Silver Enrollments 2020],HIX_RatingAreas[Area],HIX_SLCSP[[#This Row],[Area Code]])</f>
        <v>8299</v>
      </c>
      <c r="AV1916" s="59">
        <f>SUMIFS(HIX_RatingAreas[Silver Enrollments 2021],HIX_RatingAreas[Area],HIX_SLCSP[[#This Row],[Area Code]])</f>
        <v>7776</v>
      </c>
      <c r="AW1916" s="59">
        <f>SUMIFS(HIX_RatingAreas[Silver Enrollments 2022],HIX_RatingAreas[Area],HIX_SLCSP[[#This Row],[Area Code]])</f>
        <v>11328</v>
      </c>
      <c r="AX1916" s="59">
        <f>SUMIFS(HIX_RatingAreas[Silver Enrollments 2023],HIX_RatingAreas[Area],HIX_SLCSP[[#This Row],[Area Code]])</f>
        <v>15114</v>
      </c>
      <c r="AY1916" s="59">
        <f>SUMIFS(HIX_RatingAreas[Silver Enrollments 2024],HIX_RatingAreas[Area],HIX_SLCSP[[#This Row],[Area Code]])</f>
        <v>22588</v>
      </c>
      <c r="AZ1916" s="59">
        <v>20998</v>
      </c>
      <c r="BA1916">
        <f t="shared" si="109"/>
        <v>3.4227852062913525E-2</v>
      </c>
      <c r="BB1916">
        <f>SUMIFS(HIX_RatingAreas[QHP Enrollments 2018],HIX_RatingAreas[Area],HIX_SLCSP[[#This Row],[Area Code]])</f>
        <v>16124</v>
      </c>
      <c r="BC1916">
        <f t="shared" si="110"/>
        <v>3.1019443904710054E-2</v>
      </c>
      <c r="BD1916">
        <f>SUMIFS(HIX_RatingAreas[QHP Enrollments 2019],HIX_RatingAreas[Area],HIX_SLCSP[[#This Row],[Area Code]])</f>
        <v>15461</v>
      </c>
      <c r="BE1916">
        <f t="shared" si="111"/>
        <v>3.0843595580035549E-2</v>
      </c>
      <c r="BF1916">
        <f>SUMIFS(HIX_RatingAreas[QHP Enrollments 2020],HIX_RatingAreas[Area],HIX_SLCSP[[#This Row],[Area Code]])</f>
        <v>15169</v>
      </c>
      <c r="BG1916">
        <f t="shared" si="112"/>
        <v>3.0021275543021128E-2</v>
      </c>
      <c r="BH1916">
        <f>SUMIFS(HIX_RatingAreas[QHP Enrollments 2021],HIX_RatingAreas[Area],HIX_SLCSP[[#This Row],[Area Code]])</f>
        <v>15454</v>
      </c>
      <c r="BI1916">
        <f t="shared" si="113"/>
        <v>2.8842690317150147E-2</v>
      </c>
      <c r="BJ1916">
        <f>SUMIFS(HIX_RatingAreas[QHP Enrollments 2022],HIX_RatingAreas[Area],HIX_SLCSP[[#This Row],[Area Code]])</f>
        <v>21464</v>
      </c>
      <c r="BK1916">
        <f t="shared" si="114"/>
        <v>3.2025161774513859E-2</v>
      </c>
      <c r="BL1916">
        <f>SUMIFS(HIX_RatingAreas[QHP Enrollments 2023],HIX_RatingAreas[Area],HIX_SLCSP[[#This Row],[Area Code]])</f>
        <v>27802</v>
      </c>
      <c r="BM1916">
        <f t="shared" si="120"/>
        <v>3.4715614659424361E-2</v>
      </c>
      <c r="BN1916">
        <f>SUMIFS(HIX_RatingAreas[QHP Enrollments 2024],HIX_RatingAreas[Area],HIX_SLCSP[[#This Row],[Area Code]])</f>
        <v>40505</v>
      </c>
      <c r="BO1916">
        <f t="shared" si="115"/>
        <v>3.9404434154076642E-2</v>
      </c>
      <c r="BP1916" s="53">
        <f>ROUND(HIX_SLCSP[[#This Row],[Weighting Factor 2018]]*HIX_SLCSP[[#This Row],[2018]],2)</f>
        <v>16.46</v>
      </c>
      <c r="BQ1916" s="53">
        <f>ROUND(HIX_SLCSP[[#This Row],[Weighting Factor 2019]]*HIX_SLCSP[[#This Row],[2019]],2)</f>
        <v>13.56</v>
      </c>
      <c r="BR1916" s="53">
        <f>ROUND(HIX_SLCSP[[#This Row],[Weighting Factor 2020]]*HIX_SLCSP[[#This Row],[2020]],2)</f>
        <v>10.08</v>
      </c>
      <c r="BS1916" s="53">
        <f>ROUND(HIX_SLCSP[[#This Row],[Weighting Factor 2021]]*HIX_SLCSP[[#This Row],[2021]],2)</f>
        <v>10.220000000000001</v>
      </c>
      <c r="BT1916" s="53">
        <f>ROUND(HIX_SLCSP[[#This Row],[Weighting Factor 2022]]*HIX_SLCSP[[#This Row],[2022]],2)</f>
        <v>11.91</v>
      </c>
      <c r="BU1916" s="53">
        <f>ROUND(HIX_SLCSP[[#This Row],[Weighting Factor 2023]]*HIX_SLCSP[[#This Row],[2023]],2)</f>
        <v>12.93</v>
      </c>
      <c r="BV1916" s="53">
        <f>ROUND(HIX_SLCSP[[#This Row],[Weighting Factor 2024]]*HIX_SLCSP[[#This Row],[2024]],2)</f>
        <v>16.399999999999999</v>
      </c>
    </row>
    <row r="1917" spans="4:74" x14ac:dyDescent="0.35">
      <c r="D1917" t="s">
        <v>1471</v>
      </c>
      <c r="E1917" t="s">
        <v>265</v>
      </c>
      <c r="F1917" s="23">
        <v>6</v>
      </c>
      <c r="G1917" s="23" t="s">
        <v>1472</v>
      </c>
      <c r="H1917" s="23" t="s">
        <v>1536</v>
      </c>
      <c r="I1917" s="23">
        <v>36</v>
      </c>
      <c r="J1917" s="53">
        <v>487.94</v>
      </c>
      <c r="K1917" s="53">
        <v>542.73</v>
      </c>
      <c r="L1917" s="53">
        <v>924.92</v>
      </c>
      <c r="M1917" s="54">
        <f t="shared" si="116"/>
        <v>1.7041991413778488</v>
      </c>
      <c r="N1917" s="24">
        <v>20</v>
      </c>
      <c r="O1917" s="55">
        <v>460.01</v>
      </c>
      <c r="P1917" s="56">
        <v>490.35</v>
      </c>
      <c r="Q1917" s="56">
        <v>835.65</v>
      </c>
      <c r="R1917" s="57">
        <f t="shared" si="117"/>
        <v>1.7041908840624043</v>
      </c>
      <c r="S1917" s="23">
        <v>36</v>
      </c>
      <c r="T1917" s="53">
        <v>379.76</v>
      </c>
      <c r="U1917" s="53">
        <v>404.77</v>
      </c>
      <c r="V1917" s="53">
        <v>689.81</v>
      </c>
      <c r="W1917" s="57">
        <f t="shared" si="118"/>
        <v>1.7042023865405045</v>
      </c>
      <c r="X1917" s="47">
        <v>98</v>
      </c>
      <c r="Y1917" s="58">
        <v>350.16</v>
      </c>
      <c r="Z1917" s="58">
        <v>356.34</v>
      </c>
      <c r="AA1917" s="58">
        <v>607.27</v>
      </c>
      <c r="AB1917" s="57">
        <f t="shared" si="97"/>
        <v>1.704187012403884</v>
      </c>
      <c r="AC1917" s="47">
        <v>166</v>
      </c>
      <c r="AD1917" s="57">
        <v>313.60000000000002</v>
      </c>
      <c r="AE1917" s="57">
        <v>350.91</v>
      </c>
      <c r="AF1917" s="57">
        <v>598.02</v>
      </c>
      <c r="AG1917" s="57">
        <f t="shared" si="119"/>
        <v>1.7041976575190219</v>
      </c>
      <c r="AH1917" s="47">
        <v>164</v>
      </c>
      <c r="AI1917">
        <v>361.06</v>
      </c>
      <c r="AJ1917">
        <v>366.22</v>
      </c>
      <c r="AK1917">
        <v>624.1</v>
      </c>
      <c r="AL1917" s="57">
        <f t="shared" si="107"/>
        <v>1.7041668942165911</v>
      </c>
      <c r="AM1917" s="47">
        <v>161</v>
      </c>
      <c r="AN1917" s="57">
        <v>351.2</v>
      </c>
      <c r="AO1917" s="57">
        <v>351.23</v>
      </c>
      <c r="AP1917" s="57">
        <v>598.55999999999995</v>
      </c>
      <c r="AQ1917" s="57">
        <f t="shared" si="52"/>
        <v>1.7041824445520026</v>
      </c>
      <c r="AR1917" s="59">
        <v>34493</v>
      </c>
      <c r="AS1917" s="59">
        <f>SUMIFS(HIX_RatingAreas[Silver Enrollments 2018],HIX_RatingAreas[Area],HIX_SLCSP[[#This Row],[Area Code]])</f>
        <v>27197</v>
      </c>
      <c r="AT1917" s="59">
        <f>SUMIFS(HIX_RatingAreas[Silver Enrollments 2019],HIX_RatingAreas[Area],HIX_SLCSP[[#This Row],[Area Code]])</f>
        <v>24377</v>
      </c>
      <c r="AU1917" s="59">
        <f>SUMIFS(HIX_RatingAreas[Silver Enrollments 2020],HIX_RatingAreas[Area],HIX_SLCSP[[#This Row],[Area Code]])</f>
        <v>21419</v>
      </c>
      <c r="AV1917" s="59">
        <f>SUMIFS(HIX_RatingAreas[Silver Enrollments 2021],HIX_RatingAreas[Area],HIX_SLCSP[[#This Row],[Area Code]])</f>
        <v>19474</v>
      </c>
      <c r="AW1917" s="59">
        <f>SUMIFS(HIX_RatingAreas[Silver Enrollments 2022],HIX_RatingAreas[Area],HIX_SLCSP[[#This Row],[Area Code]])</f>
        <v>23957</v>
      </c>
      <c r="AX1917" s="59">
        <f>SUMIFS(HIX_RatingAreas[Silver Enrollments 2023],HIX_RatingAreas[Area],HIX_SLCSP[[#This Row],[Area Code]])</f>
        <v>26071</v>
      </c>
      <c r="AY1917" s="59">
        <f>SUMIFS(HIX_RatingAreas[Silver Enrollments 2024],HIX_RatingAreas[Area],HIX_SLCSP[[#This Row],[Area Code]])</f>
        <v>29816</v>
      </c>
      <c r="AZ1917" s="59">
        <v>42428</v>
      </c>
      <c r="BA1917">
        <f t="shared" si="109"/>
        <v>6.915988700472879E-2</v>
      </c>
      <c r="BB1917">
        <f>SUMIFS(HIX_RatingAreas[QHP Enrollments 2018],HIX_RatingAreas[Area],HIX_SLCSP[[#This Row],[Area Code]])</f>
        <v>36489</v>
      </c>
      <c r="BC1917">
        <f t="shared" si="110"/>
        <v>7.0197747992989654E-2</v>
      </c>
      <c r="BD1917">
        <f>SUMIFS(HIX_RatingAreas[QHP Enrollments 2019],HIX_RatingAreas[Area],HIX_SLCSP[[#This Row],[Area Code]])</f>
        <v>35316</v>
      </c>
      <c r="BE1917">
        <f t="shared" si="111"/>
        <v>7.045290870606917E-2</v>
      </c>
      <c r="BF1917">
        <f>SUMIFS(HIX_RatingAreas[QHP Enrollments 2020],HIX_RatingAreas[Area],HIX_SLCSP[[#This Row],[Area Code]])</f>
        <v>35540</v>
      </c>
      <c r="BG1917">
        <f t="shared" si="112"/>
        <v>7.0337934787986736E-2</v>
      </c>
      <c r="BH1917">
        <f>SUMIFS(HIX_RatingAreas[QHP Enrollments 2021],HIX_RatingAreas[Area],HIX_SLCSP[[#This Row],[Area Code]])</f>
        <v>36874</v>
      </c>
      <c r="BI1917">
        <f t="shared" si="113"/>
        <v>6.8820070063064218E-2</v>
      </c>
      <c r="BJ1917">
        <f>SUMIFS(HIX_RatingAreas[QHP Enrollments 2022],HIX_RatingAreas[Area],HIX_SLCSP[[#This Row],[Area Code]])</f>
        <v>45578</v>
      </c>
      <c r="BK1917">
        <f t="shared" si="114"/>
        <v>6.8004231427450268E-2</v>
      </c>
      <c r="BL1917">
        <f>SUMIFS(HIX_RatingAreas[QHP Enrollments 2023],HIX_RatingAreas[Area],HIX_SLCSP[[#This Row],[Area Code]])</f>
        <v>53084</v>
      </c>
      <c r="BM1917">
        <f t="shared" si="120"/>
        <v>6.628457264156834E-2</v>
      </c>
      <c r="BN1917">
        <f>SUMIFS(HIX_RatingAreas[QHP Enrollments 2024],HIX_RatingAreas[Area],HIX_SLCSP[[#This Row],[Area Code]])</f>
        <v>66363</v>
      </c>
      <c r="BO1917">
        <f t="shared" si="115"/>
        <v>6.4559843569114622E-2</v>
      </c>
      <c r="BP1917" s="53">
        <f>ROUND(HIX_SLCSP[[#This Row],[Weighting Factor 2018]]*HIX_SLCSP[[#This Row],[2018]],2)</f>
        <v>38.1</v>
      </c>
      <c r="BQ1917" s="53">
        <f>ROUND(HIX_SLCSP[[#This Row],[Weighting Factor 2019]]*HIX_SLCSP[[#This Row],[2019]],2)</f>
        <v>34.549999999999997</v>
      </c>
      <c r="BR1917" s="53">
        <f>ROUND(HIX_SLCSP[[#This Row],[Weighting Factor 2020]]*HIX_SLCSP[[#This Row],[2020]],2)</f>
        <v>28.47</v>
      </c>
      <c r="BS1917" s="53">
        <f>ROUND(HIX_SLCSP[[#This Row],[Weighting Factor 2021]]*HIX_SLCSP[[#This Row],[2021]],2)</f>
        <v>24.52</v>
      </c>
      <c r="BT1917" s="53">
        <f>ROUND(HIX_SLCSP[[#This Row],[Weighting Factor 2022]]*HIX_SLCSP[[#This Row],[2022]],2)</f>
        <v>23.86</v>
      </c>
      <c r="BU1917" s="53">
        <f>ROUND(HIX_SLCSP[[#This Row],[Weighting Factor 2023]]*HIX_SLCSP[[#This Row],[2023]],2)</f>
        <v>24.27</v>
      </c>
      <c r="BV1917" s="53">
        <f>ROUND(HIX_SLCSP[[#This Row],[Weighting Factor 2024]]*HIX_SLCSP[[#This Row],[2024]],2)</f>
        <v>22.68</v>
      </c>
    </row>
    <row r="1918" spans="4:74" x14ac:dyDescent="0.35">
      <c r="D1918" t="s">
        <v>1471</v>
      </c>
      <c r="E1918" t="s">
        <v>273</v>
      </c>
      <c r="F1918" s="23">
        <v>7</v>
      </c>
      <c r="G1918" s="23" t="s">
        <v>1472</v>
      </c>
      <c r="H1918" s="23" t="s">
        <v>1548</v>
      </c>
      <c r="I1918" s="23">
        <v>36</v>
      </c>
      <c r="J1918" s="53">
        <v>499.9</v>
      </c>
      <c r="K1918" s="53">
        <v>538.24</v>
      </c>
      <c r="L1918" s="53">
        <v>917.27</v>
      </c>
      <c r="M1918" s="54">
        <f t="shared" si="116"/>
        <v>1.7042025862068966</v>
      </c>
      <c r="N1918" s="24">
        <v>12</v>
      </c>
      <c r="O1918" s="55">
        <v>544.89</v>
      </c>
      <c r="P1918" s="56">
        <v>561.41999999999996</v>
      </c>
      <c r="Q1918" s="56">
        <v>956.78</v>
      </c>
      <c r="R1918" s="57">
        <f t="shared" si="117"/>
        <v>1.7042143137045349</v>
      </c>
      <c r="S1918" s="23">
        <v>36</v>
      </c>
      <c r="T1918" s="53">
        <v>360.59</v>
      </c>
      <c r="U1918" s="53">
        <v>384.32</v>
      </c>
      <c r="V1918" s="53">
        <v>654.96</v>
      </c>
      <c r="W1918" s="57">
        <f t="shared" si="118"/>
        <v>1.7042048293089094</v>
      </c>
      <c r="X1918" s="47">
        <v>94</v>
      </c>
      <c r="Y1918" s="58">
        <v>309.17</v>
      </c>
      <c r="Z1918" s="58">
        <v>325.95</v>
      </c>
      <c r="AA1918" s="58">
        <v>555.49</v>
      </c>
      <c r="AB1918" s="57">
        <f t="shared" si="97"/>
        <v>1.7042184384107992</v>
      </c>
      <c r="AC1918" s="47">
        <v>158</v>
      </c>
      <c r="AD1918" s="57">
        <v>312.89999999999998</v>
      </c>
      <c r="AE1918" s="57">
        <v>313.57</v>
      </c>
      <c r="AF1918" s="57">
        <v>534.39</v>
      </c>
      <c r="AG1918" s="57">
        <f t="shared" si="119"/>
        <v>1.7042127754568357</v>
      </c>
      <c r="AH1918" s="47">
        <v>198</v>
      </c>
      <c r="AI1918">
        <v>292.19</v>
      </c>
      <c r="AJ1918">
        <v>306.14999999999998</v>
      </c>
      <c r="AK1918">
        <v>521.74</v>
      </c>
      <c r="AL1918" s="57">
        <f t="shared" si="107"/>
        <v>1.7041972889106649</v>
      </c>
      <c r="AM1918" s="47">
        <v>173</v>
      </c>
      <c r="AN1918" s="57">
        <v>359.85</v>
      </c>
      <c r="AO1918" s="57">
        <v>365.26</v>
      </c>
      <c r="AP1918" s="57">
        <v>622.47</v>
      </c>
      <c r="AQ1918" s="57">
        <f t="shared" si="52"/>
        <v>1.7041833214696382</v>
      </c>
      <c r="AR1918" s="59">
        <v>37680</v>
      </c>
      <c r="AS1918" s="59">
        <f>SUMIFS(HIX_RatingAreas[Silver Enrollments 2018],HIX_RatingAreas[Area],HIX_SLCSP[[#This Row],[Area Code]])</f>
        <v>31397</v>
      </c>
      <c r="AT1918" s="59">
        <f>SUMIFS(HIX_RatingAreas[Silver Enrollments 2019],HIX_RatingAreas[Area],HIX_SLCSP[[#This Row],[Area Code]])</f>
        <v>27823</v>
      </c>
      <c r="AU1918" s="59">
        <f>SUMIFS(HIX_RatingAreas[Silver Enrollments 2020],HIX_RatingAreas[Area],HIX_SLCSP[[#This Row],[Area Code]])</f>
        <v>24159</v>
      </c>
      <c r="AV1918" s="59">
        <f>SUMIFS(HIX_RatingAreas[Silver Enrollments 2021],HIX_RatingAreas[Area],HIX_SLCSP[[#This Row],[Area Code]])</f>
        <v>21664</v>
      </c>
      <c r="AW1918" s="59">
        <f>SUMIFS(HIX_RatingAreas[Silver Enrollments 2022],HIX_RatingAreas[Area],HIX_SLCSP[[#This Row],[Area Code]])</f>
        <v>26348</v>
      </c>
      <c r="AX1918" s="59">
        <f>SUMIFS(HIX_RatingAreas[Silver Enrollments 2023],HIX_RatingAreas[Area],HIX_SLCSP[[#This Row],[Area Code]])</f>
        <v>31731</v>
      </c>
      <c r="AY1918" s="59">
        <f>SUMIFS(HIX_RatingAreas[Silver Enrollments 2024],HIX_RatingAreas[Area],HIX_SLCSP[[#This Row],[Area Code]])</f>
        <v>31195</v>
      </c>
      <c r="AZ1918" s="59">
        <v>48713</v>
      </c>
      <c r="BA1918">
        <f t="shared" si="109"/>
        <v>7.9404769860972779E-2</v>
      </c>
      <c r="BB1918">
        <f>SUMIFS(HIX_RatingAreas[QHP Enrollments 2018],HIX_RatingAreas[Area],HIX_SLCSP[[#This Row],[Area Code]])</f>
        <v>40998</v>
      </c>
      <c r="BC1918">
        <f t="shared" si="110"/>
        <v>7.8872188117421402E-2</v>
      </c>
      <c r="BD1918">
        <f>SUMIFS(HIX_RatingAreas[QHP Enrollments 2019],HIX_RatingAreas[Area],HIX_SLCSP[[#This Row],[Area Code]])</f>
        <v>39555</v>
      </c>
      <c r="BE1918">
        <f t="shared" si="111"/>
        <v>7.8909412273999488E-2</v>
      </c>
      <c r="BF1918">
        <f>SUMIFS(HIX_RatingAreas[QHP Enrollments 2020],HIX_RatingAreas[Area],HIX_SLCSP[[#This Row],[Area Code]])</f>
        <v>38951</v>
      </c>
      <c r="BG1918">
        <f t="shared" si="112"/>
        <v>7.7088714066597397E-2</v>
      </c>
      <c r="BH1918">
        <f>SUMIFS(HIX_RatingAreas[QHP Enrollments 2021],HIX_RatingAreas[Area],HIX_SLCSP[[#This Row],[Area Code]])</f>
        <v>39458</v>
      </c>
      <c r="BI1918">
        <f t="shared" si="113"/>
        <v>7.3642738095904645E-2</v>
      </c>
      <c r="BJ1918">
        <f>SUMIFS(HIX_RatingAreas[QHP Enrollments 2022],HIX_RatingAreas[Area],HIX_SLCSP[[#This Row],[Area Code]])</f>
        <v>48269</v>
      </c>
      <c r="BK1918">
        <f t="shared" si="114"/>
        <v>7.2019312974935204E-2</v>
      </c>
      <c r="BL1918">
        <f>SUMIFS(HIX_RatingAreas[QHP Enrollments 2023],HIX_RatingAreas[Area],HIX_SLCSP[[#This Row],[Area Code]])</f>
        <v>56172</v>
      </c>
      <c r="BM1918">
        <f t="shared" si="120"/>
        <v>7.0140475744521452E-2</v>
      </c>
      <c r="BN1918">
        <f>SUMIFS(HIX_RatingAreas[QHP Enrollments 2024],HIX_RatingAreas[Area],HIX_SLCSP[[#This Row],[Area Code]])</f>
        <v>69983</v>
      </c>
      <c r="BO1918">
        <f t="shared" si="115"/>
        <v>6.8081484147753252E-2</v>
      </c>
      <c r="BP1918" s="53">
        <f>ROUND(HIX_SLCSP[[#This Row],[Weighting Factor 2018]]*HIX_SLCSP[[#This Row],[2018]],2)</f>
        <v>42.45</v>
      </c>
      <c r="BQ1918" s="53">
        <f>ROUND(HIX_SLCSP[[#This Row],[Weighting Factor 2019]]*HIX_SLCSP[[#This Row],[2019]],2)</f>
        <v>44.3</v>
      </c>
      <c r="BR1918" s="53">
        <f>ROUND(HIX_SLCSP[[#This Row],[Weighting Factor 2020]]*HIX_SLCSP[[#This Row],[2020]],2)</f>
        <v>29.63</v>
      </c>
      <c r="BS1918" s="53">
        <f>ROUND(HIX_SLCSP[[#This Row],[Weighting Factor 2021]]*HIX_SLCSP[[#This Row],[2021]],2)</f>
        <v>24</v>
      </c>
      <c r="BT1918" s="53">
        <f>ROUND(HIX_SLCSP[[#This Row],[Weighting Factor 2022]]*HIX_SLCSP[[#This Row],[2022]],2)</f>
        <v>22.58</v>
      </c>
      <c r="BU1918" s="53">
        <f>ROUND(HIX_SLCSP[[#This Row],[Weighting Factor 2023]]*HIX_SLCSP[[#This Row],[2023]],2)</f>
        <v>21.47</v>
      </c>
      <c r="BV1918" s="53">
        <f>ROUND(HIX_SLCSP[[#This Row],[Weighting Factor 2024]]*HIX_SLCSP[[#This Row],[2024]],2)</f>
        <v>24.87</v>
      </c>
    </row>
    <row r="1919" spans="4:74" x14ac:dyDescent="0.35">
      <c r="D1919" t="s">
        <v>1471</v>
      </c>
      <c r="E1919" t="s">
        <v>279</v>
      </c>
      <c r="F1919" s="23">
        <v>8</v>
      </c>
      <c r="G1919" s="23" t="s">
        <v>1472</v>
      </c>
      <c r="H1919" s="23" t="s">
        <v>1554</v>
      </c>
      <c r="I1919" s="23">
        <v>8</v>
      </c>
      <c r="J1919" s="53">
        <v>532.14</v>
      </c>
      <c r="K1919" s="53">
        <v>572.97</v>
      </c>
      <c r="L1919" s="53">
        <v>976.46</v>
      </c>
      <c r="M1919" s="54">
        <f t="shared" si="116"/>
        <v>1.7042078991919298</v>
      </c>
      <c r="N1919" s="24">
        <v>12</v>
      </c>
      <c r="O1919" s="55">
        <v>579.29</v>
      </c>
      <c r="P1919" s="56">
        <v>596.89</v>
      </c>
      <c r="Q1919" s="56">
        <v>1017.22</v>
      </c>
      <c r="R1919" s="57">
        <f t="shared" si="117"/>
        <v>1.7042001038717352</v>
      </c>
      <c r="S1919" s="23">
        <v>8</v>
      </c>
      <c r="T1919" s="53">
        <v>575.11</v>
      </c>
      <c r="U1919" s="53">
        <v>612.14</v>
      </c>
      <c r="V1919" s="53">
        <v>1043.2</v>
      </c>
      <c r="W1919" s="57">
        <f t="shared" si="118"/>
        <v>1.7041853170843273</v>
      </c>
      <c r="X1919" s="47">
        <v>74</v>
      </c>
      <c r="Y1919" s="58">
        <v>435.2</v>
      </c>
      <c r="Z1919" s="58">
        <v>438.86</v>
      </c>
      <c r="AA1919" s="58">
        <v>747.91</v>
      </c>
      <c r="AB1919" s="57">
        <f t="shared" si="97"/>
        <v>1.7042109100852207</v>
      </c>
      <c r="AC1919" s="47">
        <v>86</v>
      </c>
      <c r="AD1919" s="57">
        <v>417.88</v>
      </c>
      <c r="AE1919" s="57">
        <v>417.88</v>
      </c>
      <c r="AF1919" s="57">
        <v>712.14</v>
      </c>
      <c r="AG1919" s="57">
        <f t="shared" si="119"/>
        <v>1.7041734469225616</v>
      </c>
      <c r="AH1919" s="47">
        <v>98</v>
      </c>
      <c r="AI1919">
        <v>451.59</v>
      </c>
      <c r="AJ1919">
        <v>456.96</v>
      </c>
      <c r="AK1919">
        <v>778.75</v>
      </c>
      <c r="AL1919" s="57">
        <f t="shared" si="107"/>
        <v>1.7041973039215688</v>
      </c>
      <c r="AM1919" s="47">
        <v>81</v>
      </c>
      <c r="AN1919" s="57">
        <v>439.03</v>
      </c>
      <c r="AO1919" s="57">
        <v>442.01</v>
      </c>
      <c r="AP1919" s="57">
        <v>753.27</v>
      </c>
      <c r="AQ1919" s="57">
        <f t="shared" si="52"/>
        <v>1.7041922128458633</v>
      </c>
      <c r="AR1919" s="59">
        <v>5570</v>
      </c>
      <c r="AS1919" s="59">
        <f>SUMIFS(HIX_RatingAreas[Silver Enrollments 2018],HIX_RatingAreas[Area],HIX_SLCSP[[#This Row],[Area Code]])</f>
        <v>4392</v>
      </c>
      <c r="AT1919" s="59">
        <f>SUMIFS(HIX_RatingAreas[Silver Enrollments 2019],HIX_RatingAreas[Area],HIX_SLCSP[[#This Row],[Area Code]])</f>
        <v>3644</v>
      </c>
      <c r="AU1919" s="59">
        <f>SUMIFS(HIX_RatingAreas[Silver Enrollments 2020],HIX_RatingAreas[Area],HIX_SLCSP[[#This Row],[Area Code]])</f>
        <v>3569</v>
      </c>
      <c r="AV1919" s="59">
        <f>SUMIFS(HIX_RatingAreas[Silver Enrollments 2021],HIX_RatingAreas[Area],HIX_SLCSP[[#This Row],[Area Code]])</f>
        <v>2634</v>
      </c>
      <c r="AW1919" s="59">
        <f>SUMIFS(HIX_RatingAreas[Silver Enrollments 2022],HIX_RatingAreas[Area],HIX_SLCSP[[#This Row],[Area Code]])</f>
        <v>2908</v>
      </c>
      <c r="AX1919" s="59">
        <f>SUMIFS(HIX_RatingAreas[Silver Enrollments 2023],HIX_RatingAreas[Area],HIX_SLCSP[[#This Row],[Area Code]])</f>
        <v>3737</v>
      </c>
      <c r="AY1919" s="59">
        <f>SUMIFS(HIX_RatingAreas[Silver Enrollments 2024],HIX_RatingAreas[Area],HIX_SLCSP[[#This Row],[Area Code]])</f>
        <v>5698</v>
      </c>
      <c r="AZ1919" s="59">
        <v>6771</v>
      </c>
      <c r="BA1919">
        <f t="shared" si="109"/>
        <v>1.1037088595008453E-2</v>
      </c>
      <c r="BB1919">
        <f>SUMIFS(HIX_RatingAreas[QHP Enrollments 2018],HIX_RatingAreas[Area],HIX_SLCSP[[#This Row],[Area Code]])</f>
        <v>5958</v>
      </c>
      <c r="BC1919">
        <f t="shared" si="110"/>
        <v>1.1462034655436772E-2</v>
      </c>
      <c r="BD1919">
        <f>SUMIFS(HIX_RatingAreas[QHP Enrollments 2019],HIX_RatingAreas[Area],HIX_SLCSP[[#This Row],[Area Code]])</f>
        <v>5728</v>
      </c>
      <c r="BE1919">
        <f t="shared" si="111"/>
        <v>1.1426952686271499E-2</v>
      </c>
      <c r="BF1919">
        <f>SUMIFS(HIX_RatingAreas[QHP Enrollments 2020],HIX_RatingAreas[Area],HIX_SLCSP[[#This Row],[Area Code]])</f>
        <v>5820</v>
      </c>
      <c r="BG1919">
        <f t="shared" si="112"/>
        <v>1.1518480035624164E-2</v>
      </c>
      <c r="BH1919">
        <f>SUMIFS(HIX_RatingAreas[QHP Enrollments 2021],HIX_RatingAreas[Area],HIX_SLCSP[[#This Row],[Area Code]])</f>
        <v>5975</v>
      </c>
      <c r="BI1919">
        <f t="shared" si="113"/>
        <v>1.1151486647144566E-2</v>
      </c>
      <c r="BJ1919">
        <f>SUMIFS(HIX_RatingAreas[QHP Enrollments 2022],HIX_RatingAreas[Area],HIX_SLCSP[[#This Row],[Area Code]])</f>
        <v>6612</v>
      </c>
      <c r="BK1919">
        <f t="shared" si="114"/>
        <v>9.8653731668414835E-3</v>
      </c>
      <c r="BL1919">
        <f>SUMIFS(HIX_RatingAreas[QHP Enrollments 2023],HIX_RatingAreas[Area],HIX_SLCSP[[#This Row],[Area Code]])</f>
        <v>7810</v>
      </c>
      <c r="BM1919">
        <f t="shared" si="120"/>
        <v>9.752138352999937E-3</v>
      </c>
      <c r="BN1919">
        <f>SUMIFS(HIX_RatingAreas[QHP Enrollments 2024],HIX_RatingAreas[Area],HIX_SLCSP[[#This Row],[Area Code]])</f>
        <v>10385</v>
      </c>
      <c r="BO1919">
        <f t="shared" si="115"/>
        <v>1.0102828013580692E-2</v>
      </c>
      <c r="BP1919" s="53">
        <f>ROUND(HIX_SLCSP[[#This Row],[Weighting Factor 2018]]*HIX_SLCSP[[#This Row],[2018]],2)</f>
        <v>6.57</v>
      </c>
      <c r="BQ1919" s="53">
        <f>ROUND(HIX_SLCSP[[#This Row],[Weighting Factor 2019]]*HIX_SLCSP[[#This Row],[2019]],2)</f>
        <v>6.82</v>
      </c>
      <c r="BR1919" s="53">
        <f>ROUND(HIX_SLCSP[[#This Row],[Weighting Factor 2020]]*HIX_SLCSP[[#This Row],[2020]],2)</f>
        <v>7.05</v>
      </c>
      <c r="BS1919" s="53">
        <f>ROUND(HIX_SLCSP[[#This Row],[Weighting Factor 2021]]*HIX_SLCSP[[#This Row],[2021]],2)</f>
        <v>4.8899999999999997</v>
      </c>
      <c r="BT1919" s="53">
        <f>ROUND(HIX_SLCSP[[#This Row],[Weighting Factor 2022]]*HIX_SLCSP[[#This Row],[2022]],2)</f>
        <v>4.12</v>
      </c>
      <c r="BU1919" s="53">
        <f>ROUND(HIX_SLCSP[[#This Row],[Weighting Factor 2023]]*HIX_SLCSP[[#This Row],[2023]],2)</f>
        <v>4.46</v>
      </c>
      <c r="BV1919" s="53">
        <f>ROUND(HIX_SLCSP[[#This Row],[Weighting Factor 2024]]*HIX_SLCSP[[#This Row],[2024]],2)</f>
        <v>4.47</v>
      </c>
    </row>
    <row r="1920" spans="4:74" x14ac:dyDescent="0.35">
      <c r="D1920" t="s">
        <v>1471</v>
      </c>
      <c r="E1920" t="s">
        <v>283</v>
      </c>
      <c r="F1920" s="23">
        <v>9</v>
      </c>
      <c r="G1920" s="23" t="s">
        <v>1472</v>
      </c>
      <c r="H1920" s="23" t="s">
        <v>1558</v>
      </c>
      <c r="I1920" s="23">
        <v>8</v>
      </c>
      <c r="J1920" s="53">
        <v>542.9</v>
      </c>
      <c r="K1920" s="53">
        <v>584.54</v>
      </c>
      <c r="L1920" s="53">
        <v>996.18</v>
      </c>
      <c r="M1920" s="54">
        <f t="shared" si="116"/>
        <v>1.7042118588975947</v>
      </c>
      <c r="N1920" s="24">
        <v>12</v>
      </c>
      <c r="O1920" s="55">
        <v>573.55999999999995</v>
      </c>
      <c r="P1920" s="56">
        <v>590.98</v>
      </c>
      <c r="Q1920" s="56">
        <v>1007.14</v>
      </c>
      <c r="R1920" s="57">
        <f t="shared" si="117"/>
        <v>1.7041862668787437</v>
      </c>
      <c r="S1920" s="23">
        <v>8</v>
      </c>
      <c r="T1920" s="53">
        <v>553.21</v>
      </c>
      <c r="U1920" s="53">
        <v>588.82000000000005</v>
      </c>
      <c r="V1920" s="53">
        <v>1003.46</v>
      </c>
      <c r="W1920" s="57">
        <f t="shared" si="118"/>
        <v>1.7041880370911313</v>
      </c>
      <c r="X1920" s="47">
        <v>86</v>
      </c>
      <c r="Y1920" s="58">
        <v>458.6</v>
      </c>
      <c r="Z1920" s="58">
        <v>462.46</v>
      </c>
      <c r="AA1920" s="58">
        <v>788.12</v>
      </c>
      <c r="AB1920" s="57">
        <f t="shared" si="97"/>
        <v>1.7041906327033691</v>
      </c>
      <c r="AC1920" s="47">
        <v>112</v>
      </c>
      <c r="AD1920" s="57">
        <v>337.24</v>
      </c>
      <c r="AE1920" s="57">
        <v>387.84</v>
      </c>
      <c r="AF1920" s="57">
        <v>660.96</v>
      </c>
      <c r="AG1920" s="57">
        <f t="shared" si="119"/>
        <v>1.7042079207920795</v>
      </c>
      <c r="AH1920" s="47">
        <v>142</v>
      </c>
      <c r="AI1920">
        <v>435.34</v>
      </c>
      <c r="AJ1920">
        <v>445.76</v>
      </c>
      <c r="AK1920">
        <v>759.67</v>
      </c>
      <c r="AL1920" s="57">
        <f t="shared" si="107"/>
        <v>1.7042130294328786</v>
      </c>
      <c r="AM1920" s="47">
        <v>125</v>
      </c>
      <c r="AN1920" s="57">
        <v>384.12</v>
      </c>
      <c r="AO1920" s="57">
        <v>386.73</v>
      </c>
      <c r="AP1920" s="57">
        <v>659.07</v>
      </c>
      <c r="AQ1920" s="57">
        <f t="shared" si="52"/>
        <v>1.7042122410984408</v>
      </c>
      <c r="AR1920" s="59">
        <v>29949</v>
      </c>
      <c r="AS1920" s="59">
        <f>SUMIFS(HIX_RatingAreas[Silver Enrollments 2018],HIX_RatingAreas[Area],HIX_SLCSP[[#This Row],[Area Code]])</f>
        <v>23012</v>
      </c>
      <c r="AT1920" s="59">
        <f>SUMIFS(HIX_RatingAreas[Silver Enrollments 2019],HIX_RatingAreas[Area],HIX_SLCSP[[#This Row],[Area Code]])</f>
        <v>20911</v>
      </c>
      <c r="AU1920" s="59">
        <f>SUMIFS(HIX_RatingAreas[Silver Enrollments 2020],HIX_RatingAreas[Area],HIX_SLCSP[[#This Row],[Area Code]])</f>
        <v>20744</v>
      </c>
      <c r="AV1920" s="59">
        <f>SUMIFS(HIX_RatingAreas[Silver Enrollments 2021],HIX_RatingAreas[Area],HIX_SLCSP[[#This Row],[Area Code]])</f>
        <v>17288</v>
      </c>
      <c r="AW1920" s="59">
        <f>SUMIFS(HIX_RatingAreas[Silver Enrollments 2022],HIX_RatingAreas[Area],HIX_SLCSP[[#This Row],[Area Code]])</f>
        <v>21894</v>
      </c>
      <c r="AX1920" s="59">
        <f>SUMIFS(HIX_RatingAreas[Silver Enrollments 2023],HIX_RatingAreas[Area],HIX_SLCSP[[#This Row],[Area Code]])</f>
        <v>30972</v>
      </c>
      <c r="AY1920" s="59">
        <f>SUMIFS(HIX_RatingAreas[Silver Enrollments 2024],HIX_RatingAreas[Area],HIX_SLCSP[[#This Row],[Area Code]])</f>
        <v>48406</v>
      </c>
      <c r="AZ1920" s="59">
        <v>35846</v>
      </c>
      <c r="BA1920">
        <f t="shared" si="109"/>
        <v>5.8430878419239843E-2</v>
      </c>
      <c r="BB1920">
        <f>SUMIFS(HIX_RatingAreas[QHP Enrollments 2018],HIX_RatingAreas[Area],HIX_SLCSP[[#This Row],[Area Code]])</f>
        <v>28410</v>
      </c>
      <c r="BC1920">
        <f t="shared" si="110"/>
        <v>5.4655321342893366E-2</v>
      </c>
      <c r="BD1920">
        <f>SUMIFS(HIX_RatingAreas[QHP Enrollments 2019],HIX_RatingAreas[Area],HIX_SLCSP[[#This Row],[Area Code]])</f>
        <v>27851</v>
      </c>
      <c r="BE1920">
        <f t="shared" si="111"/>
        <v>5.5560764536548096E-2</v>
      </c>
      <c r="BF1920">
        <f>SUMIFS(HIX_RatingAreas[QHP Enrollments 2020],HIX_RatingAreas[Area],HIX_SLCSP[[#This Row],[Area Code]])</f>
        <v>28666</v>
      </c>
      <c r="BG1920">
        <f t="shared" si="112"/>
        <v>5.6733461976151603E-2</v>
      </c>
      <c r="BH1920">
        <f>SUMIFS(HIX_RatingAreas[QHP Enrollments 2021],HIX_RatingAreas[Area],HIX_SLCSP[[#This Row],[Area Code]])</f>
        <v>30445</v>
      </c>
      <c r="BI1920">
        <f t="shared" si="113"/>
        <v>5.6821257066496454E-2</v>
      </c>
      <c r="BJ1920">
        <f>SUMIFS(HIX_RatingAreas[QHP Enrollments 2022],HIX_RatingAreas[Area],HIX_SLCSP[[#This Row],[Area Code]])</f>
        <v>37756</v>
      </c>
      <c r="BK1920">
        <f t="shared" si="114"/>
        <v>5.6333489002913954E-2</v>
      </c>
      <c r="BL1920">
        <f>SUMIFS(HIX_RatingAreas[QHP Enrollments 2023],HIX_RatingAreas[Area],HIX_SLCSP[[#This Row],[Area Code]])</f>
        <v>52071</v>
      </c>
      <c r="BM1920">
        <f t="shared" si="120"/>
        <v>6.5019666604233001E-2</v>
      </c>
      <c r="BN1920">
        <f>SUMIFS(HIX_RatingAreas[QHP Enrollments 2024],HIX_RatingAreas[Area],HIX_SLCSP[[#This Row],[Area Code]])</f>
        <v>76781</v>
      </c>
      <c r="BO1920">
        <f t="shared" si="115"/>
        <v>7.4694774936036504E-2</v>
      </c>
      <c r="BP1920" s="53">
        <f>ROUND(HIX_SLCSP[[#This Row],[Weighting Factor 2018]]*HIX_SLCSP[[#This Row],[2018]],2)</f>
        <v>31.95</v>
      </c>
      <c r="BQ1920" s="53">
        <f>ROUND(HIX_SLCSP[[#This Row],[Weighting Factor 2019]]*HIX_SLCSP[[#This Row],[2019]],2)</f>
        <v>32.840000000000003</v>
      </c>
      <c r="BR1920" s="53">
        <f>ROUND(HIX_SLCSP[[#This Row],[Weighting Factor 2020]]*HIX_SLCSP[[#This Row],[2020]],2)</f>
        <v>33.409999999999997</v>
      </c>
      <c r="BS1920" s="53">
        <f>ROUND(HIX_SLCSP[[#This Row],[Weighting Factor 2021]]*HIX_SLCSP[[#This Row],[2021]],2)</f>
        <v>26.28</v>
      </c>
      <c r="BT1920" s="53">
        <f>ROUND(HIX_SLCSP[[#This Row],[Weighting Factor 2022]]*HIX_SLCSP[[#This Row],[2022]],2)</f>
        <v>21.85</v>
      </c>
      <c r="BU1920" s="53">
        <f>ROUND(HIX_SLCSP[[#This Row],[Weighting Factor 2023]]*HIX_SLCSP[[#This Row],[2023]],2)</f>
        <v>28.98</v>
      </c>
      <c r="BV1920" s="53">
        <f>ROUND(HIX_SLCSP[[#This Row],[Weighting Factor 2024]]*HIX_SLCSP[[#This Row],[2024]],2)</f>
        <v>28.89</v>
      </c>
    </row>
    <row r="1921" spans="4:74" x14ac:dyDescent="0.35">
      <c r="D1921" t="s">
        <v>1471</v>
      </c>
      <c r="E1921" t="s">
        <v>289</v>
      </c>
      <c r="F1921" s="23">
        <v>10</v>
      </c>
      <c r="G1921" s="23" t="s">
        <v>1472</v>
      </c>
      <c r="H1921" s="23" t="s">
        <v>1574</v>
      </c>
      <c r="I1921" s="23">
        <v>28</v>
      </c>
      <c r="J1921" s="53">
        <v>482.29</v>
      </c>
      <c r="K1921" s="53">
        <v>548.27</v>
      </c>
      <c r="L1921" s="53">
        <v>934.36</v>
      </c>
      <c r="M1921" s="54">
        <f t="shared" si="116"/>
        <v>1.7041968373246759</v>
      </c>
      <c r="N1921" s="24">
        <v>12</v>
      </c>
      <c r="O1921" s="55">
        <v>550.62</v>
      </c>
      <c r="P1921" s="56">
        <v>567.33000000000004</v>
      </c>
      <c r="Q1921" s="56">
        <v>966.85</v>
      </c>
      <c r="R1921" s="57">
        <f t="shared" si="117"/>
        <v>1.7042109530608287</v>
      </c>
      <c r="S1921" s="23">
        <v>28</v>
      </c>
      <c r="T1921" s="53">
        <v>395.51</v>
      </c>
      <c r="U1921" s="53">
        <v>402.25</v>
      </c>
      <c r="V1921" s="53">
        <v>685.51</v>
      </c>
      <c r="W1921" s="57">
        <f t="shared" si="118"/>
        <v>1.7041889372280921</v>
      </c>
      <c r="X1921" s="47">
        <v>74</v>
      </c>
      <c r="Y1921" s="58">
        <v>397.48</v>
      </c>
      <c r="Z1921" s="58">
        <v>400.83</v>
      </c>
      <c r="AA1921" s="58">
        <v>683.09</v>
      </c>
      <c r="AB1921" s="57">
        <f t="shared" si="97"/>
        <v>1.7041888082229375</v>
      </c>
      <c r="AC1921" s="47">
        <v>124</v>
      </c>
      <c r="AD1921" s="57">
        <v>334.93</v>
      </c>
      <c r="AE1921" s="57">
        <v>385.19</v>
      </c>
      <c r="AF1921" s="57">
        <v>656.43</v>
      </c>
      <c r="AG1921" s="57">
        <f t="shared" si="119"/>
        <v>1.7041719670811806</v>
      </c>
      <c r="AH1921" s="47">
        <v>114</v>
      </c>
      <c r="AI1921">
        <v>417.05</v>
      </c>
      <c r="AJ1921">
        <v>427.04</v>
      </c>
      <c r="AK1921">
        <v>727.76</v>
      </c>
      <c r="AL1921" s="57">
        <f t="shared" si="107"/>
        <v>1.7041963282128136</v>
      </c>
      <c r="AM1921" s="47">
        <v>101</v>
      </c>
      <c r="AN1921" s="57">
        <v>428.82</v>
      </c>
      <c r="AO1921" s="57">
        <v>431.73</v>
      </c>
      <c r="AP1921" s="57">
        <v>735.76</v>
      </c>
      <c r="AQ1921" s="57">
        <f t="shared" si="52"/>
        <v>1.7042132814490538</v>
      </c>
      <c r="AR1921" s="59">
        <v>4206</v>
      </c>
      <c r="AS1921" s="59">
        <f>SUMIFS(HIX_RatingAreas[Silver Enrollments 2018],HIX_RatingAreas[Area],HIX_SLCSP[[#This Row],[Area Code]])</f>
        <v>3429</v>
      </c>
      <c r="AT1921" s="59">
        <f>SUMIFS(HIX_RatingAreas[Silver Enrollments 2019],HIX_RatingAreas[Area],HIX_SLCSP[[#This Row],[Area Code]])</f>
        <v>2953</v>
      </c>
      <c r="AU1921" s="59">
        <f>SUMIFS(HIX_RatingAreas[Silver Enrollments 2020],HIX_RatingAreas[Area],HIX_SLCSP[[#This Row],[Area Code]])</f>
        <v>2267</v>
      </c>
      <c r="AV1921" s="59">
        <f>SUMIFS(HIX_RatingAreas[Silver Enrollments 2021],HIX_RatingAreas[Area],HIX_SLCSP[[#This Row],[Area Code]])</f>
        <v>2115</v>
      </c>
      <c r="AW1921" s="59">
        <f>SUMIFS(HIX_RatingAreas[Silver Enrollments 2022],HIX_RatingAreas[Area],HIX_SLCSP[[#This Row],[Area Code]])</f>
        <v>2795</v>
      </c>
      <c r="AX1921" s="59">
        <f>SUMIFS(HIX_RatingAreas[Silver Enrollments 2023],HIX_RatingAreas[Area],HIX_SLCSP[[#This Row],[Area Code]])</f>
        <v>3784</v>
      </c>
      <c r="AY1921" s="59">
        <f>SUMIFS(HIX_RatingAreas[Silver Enrollments 2024],HIX_RatingAreas[Area],HIX_SLCSP[[#This Row],[Area Code]])</f>
        <v>5981</v>
      </c>
      <c r="AZ1921" s="59">
        <v>5816</v>
      </c>
      <c r="BA1921">
        <f t="shared" si="109"/>
        <v>9.4803880178066981E-3</v>
      </c>
      <c r="BB1921">
        <f>SUMIFS(HIX_RatingAreas[QHP Enrollments 2018],HIX_RatingAreas[Area],HIX_SLCSP[[#This Row],[Area Code]])</f>
        <v>4701</v>
      </c>
      <c r="BC1921">
        <f t="shared" si="110"/>
        <v>9.0438108283330421E-3</v>
      </c>
      <c r="BD1921">
        <f>SUMIFS(HIX_RatingAreas[QHP Enrollments 2019],HIX_RatingAreas[Area],HIX_SLCSP[[#This Row],[Area Code]])</f>
        <v>4473</v>
      </c>
      <c r="BE1921">
        <f t="shared" si="111"/>
        <v>8.9233169283680878E-3</v>
      </c>
      <c r="BF1921">
        <f>SUMIFS(HIX_RatingAreas[QHP Enrollments 2020],HIX_RatingAreas[Area],HIX_SLCSP[[#This Row],[Area Code]])</f>
        <v>4004</v>
      </c>
      <c r="BG1921">
        <f t="shared" si="112"/>
        <v>7.9243976052644598E-3</v>
      </c>
      <c r="BH1921">
        <f>SUMIFS(HIX_RatingAreas[QHP Enrollments 2021],HIX_RatingAreas[Area],HIX_SLCSP[[#This Row],[Area Code]])</f>
        <v>3841</v>
      </c>
      <c r="BI1921">
        <f t="shared" si="113"/>
        <v>7.1686795333359464E-3</v>
      </c>
      <c r="BJ1921">
        <f>SUMIFS(HIX_RatingAreas[QHP Enrollments 2022],HIX_RatingAreas[Area],HIX_SLCSP[[#This Row],[Area Code]])</f>
        <v>5199</v>
      </c>
      <c r="BK1921">
        <f t="shared" si="114"/>
        <v>7.7571196452524008E-3</v>
      </c>
      <c r="BL1921">
        <f>SUMIFS(HIX_RatingAreas[QHP Enrollments 2023],HIX_RatingAreas[Area],HIX_SLCSP[[#This Row],[Area Code]])</f>
        <v>6996</v>
      </c>
      <c r="BM1921">
        <f t="shared" si="120"/>
        <v>8.7357182993069871E-3</v>
      </c>
      <c r="BN1921">
        <f>SUMIFS(HIX_RatingAreas[QHP Enrollments 2024],HIX_RatingAreas[Area],HIX_SLCSP[[#This Row],[Area Code]])</f>
        <v>10158</v>
      </c>
      <c r="BO1921">
        <f t="shared" si="115"/>
        <v>9.8819958557489328E-3</v>
      </c>
      <c r="BP1921" s="53">
        <f>ROUND(HIX_SLCSP[[#This Row],[Weighting Factor 2018]]*HIX_SLCSP[[#This Row],[2018]],2)</f>
        <v>4.96</v>
      </c>
      <c r="BQ1921" s="53">
        <f>ROUND(HIX_SLCSP[[#This Row],[Weighting Factor 2019]]*HIX_SLCSP[[#This Row],[2019]],2)</f>
        <v>5.0599999999999996</v>
      </c>
      <c r="BR1921" s="53">
        <f>ROUND(HIX_SLCSP[[#This Row],[Weighting Factor 2020]]*HIX_SLCSP[[#This Row],[2020]],2)</f>
        <v>3.19</v>
      </c>
      <c r="BS1921" s="53">
        <f>ROUND(HIX_SLCSP[[#This Row],[Weighting Factor 2021]]*HIX_SLCSP[[#This Row],[2021]],2)</f>
        <v>2.87</v>
      </c>
      <c r="BT1921" s="53">
        <f>ROUND(HIX_SLCSP[[#This Row],[Weighting Factor 2022]]*HIX_SLCSP[[#This Row],[2022]],2)</f>
        <v>2.99</v>
      </c>
      <c r="BU1921" s="53">
        <f>ROUND(HIX_SLCSP[[#This Row],[Weighting Factor 2023]]*HIX_SLCSP[[#This Row],[2023]],2)</f>
        <v>3.73</v>
      </c>
      <c r="BV1921" s="53">
        <f>ROUND(HIX_SLCSP[[#This Row],[Weighting Factor 2024]]*HIX_SLCSP[[#This Row],[2024]],2)</f>
        <v>4.2699999999999996</v>
      </c>
    </row>
    <row r="1922" spans="4:74" x14ac:dyDescent="0.35">
      <c r="D1922" t="s">
        <v>1471</v>
      </c>
      <c r="E1922" t="s">
        <v>293</v>
      </c>
      <c r="F1922" s="23">
        <v>11</v>
      </c>
      <c r="G1922" s="23" t="s">
        <v>1472</v>
      </c>
      <c r="H1922" s="23" t="s">
        <v>1580</v>
      </c>
      <c r="I1922" s="23">
        <v>36</v>
      </c>
      <c r="J1922" s="53">
        <v>436.95</v>
      </c>
      <c r="K1922" s="53">
        <v>477.56</v>
      </c>
      <c r="L1922" s="53">
        <v>813.86</v>
      </c>
      <c r="M1922" s="54">
        <f t="shared" si="116"/>
        <v>1.7042047072619149</v>
      </c>
      <c r="N1922" s="24">
        <v>28</v>
      </c>
      <c r="O1922" s="55">
        <v>370.28</v>
      </c>
      <c r="P1922" s="56">
        <v>394.68</v>
      </c>
      <c r="Q1922" s="56">
        <v>672.61</v>
      </c>
      <c r="R1922" s="57">
        <f t="shared" si="117"/>
        <v>1.7041907367994324</v>
      </c>
      <c r="S1922" s="23">
        <v>36</v>
      </c>
      <c r="T1922" s="53">
        <v>358.38</v>
      </c>
      <c r="U1922" s="53">
        <v>381.98</v>
      </c>
      <c r="V1922" s="53">
        <v>650.96</v>
      </c>
      <c r="W1922" s="57">
        <f t="shared" si="118"/>
        <v>1.7041729933504373</v>
      </c>
      <c r="X1922" s="47">
        <v>122</v>
      </c>
      <c r="Y1922" s="58">
        <v>338.24</v>
      </c>
      <c r="Z1922" s="58">
        <v>356.6</v>
      </c>
      <c r="AA1922" s="58">
        <v>607.72</v>
      </c>
      <c r="AB1922" s="57">
        <f t="shared" si="97"/>
        <v>1.704206393718452</v>
      </c>
      <c r="AC1922" s="47">
        <v>173</v>
      </c>
      <c r="AD1922" s="57">
        <v>342.32</v>
      </c>
      <c r="AE1922" s="57">
        <v>344.96</v>
      </c>
      <c r="AF1922" s="57">
        <v>587.88</v>
      </c>
      <c r="AG1922" s="57">
        <f t="shared" si="119"/>
        <v>1.7041975881261597</v>
      </c>
      <c r="AH1922" s="47">
        <v>174</v>
      </c>
      <c r="AI1922">
        <v>317.13</v>
      </c>
      <c r="AJ1922">
        <v>332.28</v>
      </c>
      <c r="AK1922">
        <v>566.28</v>
      </c>
      <c r="AL1922" s="57">
        <f t="shared" si="107"/>
        <v>1.704225352112676</v>
      </c>
      <c r="AM1922" s="47">
        <v>145</v>
      </c>
      <c r="AN1922" s="57">
        <v>390.21</v>
      </c>
      <c r="AO1922" s="57">
        <v>396.07</v>
      </c>
      <c r="AP1922" s="57">
        <v>674.98</v>
      </c>
      <c r="AQ1922" s="57">
        <f t="shared" si="52"/>
        <v>1.7041937031332846</v>
      </c>
      <c r="AR1922" s="59">
        <v>30451</v>
      </c>
      <c r="AS1922" s="59">
        <f>SUMIFS(HIX_RatingAreas[Silver Enrollments 2018],HIX_RatingAreas[Area],HIX_SLCSP[[#This Row],[Area Code]])</f>
        <v>23677</v>
      </c>
      <c r="AT1922" s="59">
        <f>SUMIFS(HIX_RatingAreas[Silver Enrollments 2019],HIX_RatingAreas[Area],HIX_SLCSP[[#This Row],[Area Code]])</f>
        <v>19898</v>
      </c>
      <c r="AU1922" s="59">
        <f>SUMIFS(HIX_RatingAreas[Silver Enrollments 2020],HIX_RatingAreas[Area],HIX_SLCSP[[#This Row],[Area Code]])</f>
        <v>18714</v>
      </c>
      <c r="AV1922" s="59">
        <f>SUMIFS(HIX_RatingAreas[Silver Enrollments 2021],HIX_RatingAreas[Area],HIX_SLCSP[[#This Row],[Area Code]])</f>
        <v>17395</v>
      </c>
      <c r="AW1922" s="59">
        <f>SUMIFS(HIX_RatingAreas[Silver Enrollments 2022],HIX_RatingAreas[Area],HIX_SLCSP[[#This Row],[Area Code]])</f>
        <v>22174</v>
      </c>
      <c r="AX1922" s="59">
        <f>SUMIFS(HIX_RatingAreas[Silver Enrollments 2023],HIX_RatingAreas[Area],HIX_SLCSP[[#This Row],[Area Code]])</f>
        <v>27468</v>
      </c>
      <c r="AY1922" s="59">
        <f>SUMIFS(HIX_RatingAreas[Silver Enrollments 2024],HIX_RatingAreas[Area],HIX_SLCSP[[#This Row],[Area Code]])</f>
        <v>28039</v>
      </c>
      <c r="AZ1922" s="59">
        <v>43613</v>
      </c>
      <c r="BA1922">
        <f t="shared" si="109"/>
        <v>7.109149976282729E-2</v>
      </c>
      <c r="BB1922">
        <f>SUMIFS(HIX_RatingAreas[QHP Enrollments 2018],HIX_RatingAreas[Area],HIX_SLCSP[[#This Row],[Area Code]])</f>
        <v>36692</v>
      </c>
      <c r="BC1922">
        <f t="shared" si="110"/>
        <v>7.0588280560135289E-2</v>
      </c>
      <c r="BD1922">
        <f>SUMIFS(HIX_RatingAreas[QHP Enrollments 2019],HIX_RatingAreas[Area],HIX_SLCSP[[#This Row],[Area Code]])</f>
        <v>33932</v>
      </c>
      <c r="BE1922">
        <f t="shared" si="111"/>
        <v>6.7691927121257767E-2</v>
      </c>
      <c r="BF1922">
        <f>SUMIFS(HIX_RatingAreas[QHP Enrollments 2020],HIX_RatingAreas[Area],HIX_SLCSP[[#This Row],[Area Code]])</f>
        <v>33171</v>
      </c>
      <c r="BG1922">
        <f t="shared" si="112"/>
        <v>6.5649398842214629E-2</v>
      </c>
      <c r="BH1922">
        <f>SUMIFS(HIX_RatingAreas[QHP Enrollments 2021],HIX_RatingAreas[Area],HIX_SLCSP[[#This Row],[Area Code]])</f>
        <v>35218</v>
      </c>
      <c r="BI1922">
        <f t="shared" si="113"/>
        <v>6.5729381881027171E-2</v>
      </c>
      <c r="BJ1922">
        <f>SUMIFS(HIX_RatingAreas[QHP Enrollments 2022],HIX_RatingAreas[Area],HIX_SLCSP[[#This Row],[Area Code]])</f>
        <v>43214</v>
      </c>
      <c r="BK1922">
        <f t="shared" si="114"/>
        <v>6.4477047191755579E-2</v>
      </c>
      <c r="BL1922">
        <f>SUMIFS(HIX_RatingAreas[QHP Enrollments 2023],HIX_RatingAreas[Area],HIX_SLCSP[[#This Row],[Area Code]])</f>
        <v>53245</v>
      </c>
      <c r="BM1922">
        <f t="shared" si="120"/>
        <v>6.6485609040394578E-2</v>
      </c>
      <c r="BN1922">
        <f>SUMIFS(HIX_RatingAreas[QHP Enrollments 2024],HIX_RatingAreas[Area],HIX_SLCSP[[#This Row],[Area Code]])</f>
        <v>69345</v>
      </c>
      <c r="BO1922">
        <f t="shared" si="115"/>
        <v>6.7460819316490422E-2</v>
      </c>
      <c r="BP1922" s="53">
        <f>ROUND(HIX_SLCSP[[#This Row],[Weighting Factor 2018]]*HIX_SLCSP[[#This Row],[2018]],2)</f>
        <v>33.71</v>
      </c>
      <c r="BQ1922" s="53">
        <f>ROUND(HIX_SLCSP[[#This Row],[Weighting Factor 2019]]*HIX_SLCSP[[#This Row],[2019]],2)</f>
        <v>26.72</v>
      </c>
      <c r="BR1922" s="53">
        <f>ROUND(HIX_SLCSP[[#This Row],[Weighting Factor 2020]]*HIX_SLCSP[[#This Row],[2020]],2)</f>
        <v>25.08</v>
      </c>
      <c r="BS1922" s="53">
        <f>ROUND(HIX_SLCSP[[#This Row],[Weighting Factor 2021]]*HIX_SLCSP[[#This Row],[2021]],2)</f>
        <v>23.44</v>
      </c>
      <c r="BT1922" s="53">
        <f>ROUND(HIX_SLCSP[[#This Row],[Weighting Factor 2022]]*HIX_SLCSP[[#This Row],[2022]],2)</f>
        <v>22.24</v>
      </c>
      <c r="BU1922" s="53">
        <f>ROUND(HIX_SLCSP[[#This Row],[Weighting Factor 2023]]*HIX_SLCSP[[#This Row],[2023]],2)</f>
        <v>22.09</v>
      </c>
      <c r="BV1922" s="53">
        <f>ROUND(HIX_SLCSP[[#This Row],[Weighting Factor 2024]]*HIX_SLCSP[[#This Row],[2024]],2)</f>
        <v>26.72</v>
      </c>
    </row>
    <row r="1923" spans="4:74" x14ac:dyDescent="0.35">
      <c r="D1923" t="s">
        <v>1471</v>
      </c>
      <c r="E1923" t="s">
        <v>303</v>
      </c>
      <c r="F1923" s="23">
        <v>12</v>
      </c>
      <c r="G1923" s="23" t="s">
        <v>1472</v>
      </c>
      <c r="H1923" s="23" t="s">
        <v>1592</v>
      </c>
      <c r="I1923" s="23">
        <v>8</v>
      </c>
      <c r="J1923" s="53">
        <v>521.39</v>
      </c>
      <c r="K1923" s="53">
        <v>561.39</v>
      </c>
      <c r="L1923" s="53">
        <v>956.72</v>
      </c>
      <c r="M1923" s="54">
        <f t="shared" si="116"/>
        <v>1.7041985072765815</v>
      </c>
      <c r="N1923" s="24">
        <v>12</v>
      </c>
      <c r="O1923" s="55">
        <v>550.62</v>
      </c>
      <c r="P1923" s="56">
        <v>567.33000000000004</v>
      </c>
      <c r="Q1923" s="56">
        <v>966.85</v>
      </c>
      <c r="R1923" s="57">
        <f t="shared" si="117"/>
        <v>1.7042109530608287</v>
      </c>
      <c r="S1923" s="23">
        <v>8</v>
      </c>
      <c r="T1923" s="53">
        <v>547.73</v>
      </c>
      <c r="U1923" s="53">
        <v>582.99</v>
      </c>
      <c r="V1923" s="53">
        <v>993.53</v>
      </c>
      <c r="W1923" s="57">
        <f t="shared" si="118"/>
        <v>1.7041973275699411</v>
      </c>
      <c r="X1923" s="47">
        <v>26</v>
      </c>
      <c r="Y1923" s="58">
        <v>531.51</v>
      </c>
      <c r="Z1923" s="58">
        <v>534.25</v>
      </c>
      <c r="AA1923" s="58">
        <v>910.47</v>
      </c>
      <c r="AB1923" s="57">
        <f t="shared" si="97"/>
        <v>1.7042021525503042</v>
      </c>
      <c r="AC1923" s="47">
        <v>84</v>
      </c>
      <c r="AD1923" s="57">
        <v>431.2</v>
      </c>
      <c r="AE1923" s="57">
        <v>495.9</v>
      </c>
      <c r="AF1923" s="57">
        <v>845.11</v>
      </c>
      <c r="AG1923" s="57">
        <f t="shared" si="119"/>
        <v>1.7041943940310547</v>
      </c>
      <c r="AH1923" s="47">
        <v>74</v>
      </c>
      <c r="AI1923">
        <v>519.38</v>
      </c>
      <c r="AJ1923">
        <v>531.80999999999995</v>
      </c>
      <c r="AK1923">
        <v>906.32</v>
      </c>
      <c r="AL1923" s="57">
        <f t="shared" si="107"/>
        <v>1.7042176717248645</v>
      </c>
      <c r="AM1923" s="47">
        <v>65</v>
      </c>
      <c r="AN1923" s="57">
        <v>509.69</v>
      </c>
      <c r="AO1923" s="57">
        <v>517.26</v>
      </c>
      <c r="AP1923" s="57">
        <v>881.52</v>
      </c>
      <c r="AQ1923" s="57">
        <f t="shared" si="52"/>
        <v>1.704210648416657</v>
      </c>
      <c r="AR1923" s="59">
        <v>10801</v>
      </c>
      <c r="AS1923" s="59">
        <f>SUMIFS(HIX_RatingAreas[Silver Enrollments 2018],HIX_RatingAreas[Area],HIX_SLCSP[[#This Row],[Area Code]])</f>
        <v>8914</v>
      </c>
      <c r="AT1923" s="59">
        <f>SUMIFS(HIX_RatingAreas[Silver Enrollments 2019],HIX_RatingAreas[Area],HIX_SLCSP[[#This Row],[Area Code]])</f>
        <v>7593</v>
      </c>
      <c r="AU1923" s="59">
        <f>SUMIFS(HIX_RatingAreas[Silver Enrollments 2020],HIX_RatingAreas[Area],HIX_SLCSP[[#This Row],[Area Code]])</f>
        <v>7109</v>
      </c>
      <c r="AV1923" s="59">
        <f>SUMIFS(HIX_RatingAreas[Silver Enrollments 2021],HIX_RatingAreas[Area],HIX_SLCSP[[#This Row],[Area Code]])</f>
        <v>6360</v>
      </c>
      <c r="AW1923" s="59">
        <f>SUMIFS(HIX_RatingAreas[Silver Enrollments 2022],HIX_RatingAreas[Area],HIX_SLCSP[[#This Row],[Area Code]])</f>
        <v>8798</v>
      </c>
      <c r="AX1923" s="59">
        <f>SUMIFS(HIX_RatingAreas[Silver Enrollments 2023],HIX_RatingAreas[Area],HIX_SLCSP[[#This Row],[Area Code]])</f>
        <v>9735</v>
      </c>
      <c r="AY1923" s="59">
        <f>SUMIFS(HIX_RatingAreas[Silver Enrollments 2024],HIX_RatingAreas[Area],HIX_SLCSP[[#This Row],[Area Code]])</f>
        <v>10560</v>
      </c>
      <c r="AZ1923" s="59">
        <v>12751</v>
      </c>
      <c r="BA1923">
        <f t="shared" si="109"/>
        <v>2.0784805298324143E-2</v>
      </c>
      <c r="BB1923">
        <f>SUMIFS(HIX_RatingAreas[QHP Enrollments 2018],HIX_RatingAreas[Area],HIX_SLCSP[[#This Row],[Area Code]])</f>
        <v>11361</v>
      </c>
      <c r="BC1923">
        <f t="shared" si="110"/>
        <v>2.1856357119908888E-2</v>
      </c>
      <c r="BD1923">
        <f>SUMIFS(HIX_RatingAreas[QHP Enrollments 2019],HIX_RatingAreas[Area],HIX_SLCSP[[#This Row],[Area Code]])</f>
        <v>10913</v>
      </c>
      <c r="BE1923">
        <f t="shared" si="111"/>
        <v>2.1770658984860483E-2</v>
      </c>
      <c r="BF1923">
        <f>SUMIFS(HIX_RatingAreas[QHP Enrollments 2020],HIX_RatingAreas[Area],HIX_SLCSP[[#This Row],[Area Code]])</f>
        <v>10840</v>
      </c>
      <c r="BG1923">
        <f t="shared" si="112"/>
        <v>2.1453663846420265E-2</v>
      </c>
      <c r="BH1923">
        <f>SUMIFS(HIX_RatingAreas[QHP Enrollments 2021],HIX_RatingAreas[Area],HIX_SLCSP[[#This Row],[Area Code]])</f>
        <v>11615</v>
      </c>
      <c r="BI1923">
        <f t="shared" si="113"/>
        <v>2.1677743499009899E-2</v>
      </c>
      <c r="BJ1923">
        <f>SUMIFS(HIX_RatingAreas[QHP Enrollments 2022],HIX_RatingAreas[Area],HIX_SLCSP[[#This Row],[Area Code]])</f>
        <v>14477</v>
      </c>
      <c r="BK1923">
        <f t="shared" si="114"/>
        <v>2.1600273341857858E-2</v>
      </c>
      <c r="BL1923">
        <f>SUMIFS(HIX_RatingAreas[QHP Enrollments 2023],HIX_RatingAreas[Area],HIX_SLCSP[[#This Row],[Area Code]])</f>
        <v>17186</v>
      </c>
      <c r="BM1923">
        <f t="shared" si="120"/>
        <v>2.1459699069738401E-2</v>
      </c>
      <c r="BN1923">
        <f>SUMIFS(HIX_RatingAreas[QHP Enrollments 2024],HIX_RatingAreas[Area],HIX_SLCSP[[#This Row],[Area Code]])</f>
        <v>22463</v>
      </c>
      <c r="BO1923">
        <f t="shared" si="115"/>
        <v>2.1852655336452871E-2</v>
      </c>
      <c r="BP1923" s="53">
        <f>ROUND(HIX_SLCSP[[#This Row],[Weighting Factor 2018]]*HIX_SLCSP[[#This Row],[2018]],2)</f>
        <v>12.27</v>
      </c>
      <c r="BQ1923" s="53">
        <f>ROUND(HIX_SLCSP[[#This Row],[Weighting Factor 2019]]*HIX_SLCSP[[#This Row],[2019]],2)</f>
        <v>12.35</v>
      </c>
      <c r="BR1923" s="53">
        <f>ROUND(HIX_SLCSP[[#This Row],[Weighting Factor 2020]]*HIX_SLCSP[[#This Row],[2020]],2)</f>
        <v>12.51</v>
      </c>
      <c r="BS1923" s="53">
        <f>ROUND(HIX_SLCSP[[#This Row],[Weighting Factor 2021]]*HIX_SLCSP[[#This Row],[2021]],2)</f>
        <v>11.58</v>
      </c>
      <c r="BT1923" s="53">
        <f>ROUND(HIX_SLCSP[[#This Row],[Weighting Factor 2022]]*HIX_SLCSP[[#This Row],[2022]],2)</f>
        <v>10.71</v>
      </c>
      <c r="BU1923" s="53">
        <f>ROUND(HIX_SLCSP[[#This Row],[Weighting Factor 2023]]*HIX_SLCSP[[#This Row],[2023]],2)</f>
        <v>11.41</v>
      </c>
      <c r="BV1923" s="53">
        <f>ROUND(HIX_SLCSP[[#This Row],[Weighting Factor 2024]]*HIX_SLCSP[[#This Row],[2024]],2)</f>
        <v>11.3</v>
      </c>
    </row>
    <row r="1924" spans="4:74" x14ac:dyDescent="0.35">
      <c r="D1924" t="s">
        <v>1471</v>
      </c>
      <c r="E1924" t="s">
        <v>311</v>
      </c>
      <c r="F1924" s="23">
        <v>13</v>
      </c>
      <c r="G1924" s="23" t="s">
        <v>1472</v>
      </c>
      <c r="H1924" s="23" t="s">
        <v>1613</v>
      </c>
      <c r="I1924" s="23">
        <v>36</v>
      </c>
      <c r="J1924" s="53">
        <v>443.28</v>
      </c>
      <c r="K1924" s="53">
        <v>468.11</v>
      </c>
      <c r="L1924" s="53">
        <v>797.75</v>
      </c>
      <c r="M1924" s="54">
        <f t="shared" si="116"/>
        <v>1.7041934588024181</v>
      </c>
      <c r="N1924" s="24">
        <v>28</v>
      </c>
      <c r="O1924" s="55">
        <v>370.28</v>
      </c>
      <c r="P1924" s="56">
        <v>385</v>
      </c>
      <c r="Q1924" s="56">
        <v>656.12</v>
      </c>
      <c r="R1924" s="57">
        <f t="shared" si="117"/>
        <v>1.7042077922077923</v>
      </c>
      <c r="S1924" s="23">
        <v>36</v>
      </c>
      <c r="T1924" s="53">
        <v>336.41</v>
      </c>
      <c r="U1924" s="53">
        <v>342.14</v>
      </c>
      <c r="V1924" s="53">
        <v>583.08000000000004</v>
      </c>
      <c r="W1924" s="57">
        <f t="shared" si="118"/>
        <v>1.7042146489741044</v>
      </c>
      <c r="X1924" s="47">
        <v>104</v>
      </c>
      <c r="Y1924" s="58">
        <v>313.81</v>
      </c>
      <c r="Z1924" s="58">
        <v>330.85</v>
      </c>
      <c r="AA1924" s="58">
        <v>563.84</v>
      </c>
      <c r="AB1924" s="57">
        <f t="shared" si="97"/>
        <v>1.7042164122714221</v>
      </c>
      <c r="AC1924" s="47">
        <v>140</v>
      </c>
      <c r="AD1924" s="57">
        <v>301.32</v>
      </c>
      <c r="AE1924" s="57">
        <v>317.60000000000002</v>
      </c>
      <c r="AF1924" s="57">
        <v>541.26</v>
      </c>
      <c r="AG1924" s="57">
        <f t="shared" si="119"/>
        <v>1.7042191435768261</v>
      </c>
      <c r="AH1924" s="47">
        <v>142</v>
      </c>
      <c r="AI1924">
        <v>355.3</v>
      </c>
      <c r="AJ1924">
        <v>363.81</v>
      </c>
      <c r="AK1924">
        <v>620.01</v>
      </c>
      <c r="AL1924" s="57">
        <f t="shared" si="107"/>
        <v>1.7042137379401336</v>
      </c>
      <c r="AM1924" s="47">
        <v>125</v>
      </c>
      <c r="AN1924" s="57">
        <v>370.76</v>
      </c>
      <c r="AO1924" s="57">
        <v>370.9</v>
      </c>
      <c r="AP1924" s="57">
        <v>632.09</v>
      </c>
      <c r="AQ1924" s="57">
        <f t="shared" si="52"/>
        <v>1.7042059854408198</v>
      </c>
      <c r="AR1924" s="59">
        <v>56561</v>
      </c>
      <c r="AS1924" s="59">
        <f>SUMIFS(HIX_RatingAreas[Silver Enrollments 2018],HIX_RatingAreas[Area],HIX_SLCSP[[#This Row],[Area Code]])</f>
        <v>43811</v>
      </c>
      <c r="AT1924" s="59">
        <f>SUMIFS(HIX_RatingAreas[Silver Enrollments 2019],HIX_RatingAreas[Area],HIX_SLCSP[[#This Row],[Area Code]])</f>
        <v>37477</v>
      </c>
      <c r="AU1924" s="59">
        <f>SUMIFS(HIX_RatingAreas[Silver Enrollments 2020],HIX_RatingAreas[Area],HIX_SLCSP[[#This Row],[Area Code]])</f>
        <v>34258</v>
      </c>
      <c r="AV1924" s="59">
        <f>SUMIFS(HIX_RatingAreas[Silver Enrollments 2021],HIX_RatingAreas[Area],HIX_SLCSP[[#This Row],[Area Code]])</f>
        <v>32752</v>
      </c>
      <c r="AW1924" s="59">
        <f>SUMIFS(HIX_RatingAreas[Silver Enrollments 2022],HIX_RatingAreas[Area],HIX_SLCSP[[#This Row],[Area Code]])</f>
        <v>43653</v>
      </c>
      <c r="AX1924" s="59">
        <f>SUMIFS(HIX_RatingAreas[Silver Enrollments 2023],HIX_RatingAreas[Area],HIX_SLCSP[[#This Row],[Area Code]])</f>
        <v>50529</v>
      </c>
      <c r="AY1924" s="59">
        <f>SUMIFS(HIX_RatingAreas[Silver Enrollments 2024],HIX_RatingAreas[Area],HIX_SLCSP[[#This Row],[Area Code]])</f>
        <v>67260</v>
      </c>
      <c r="AZ1924" s="59">
        <v>79616</v>
      </c>
      <c r="BA1924">
        <f t="shared" si="109"/>
        <v>0.12977829649685318</v>
      </c>
      <c r="BB1924">
        <f>SUMIFS(HIX_RatingAreas[QHP Enrollments 2018],HIX_RatingAreas[Area],HIX_SLCSP[[#This Row],[Area Code]])</f>
        <v>69220</v>
      </c>
      <c r="BC1924">
        <f t="shared" si="110"/>
        <v>0.13316583397941142</v>
      </c>
      <c r="BD1924">
        <f>SUMIFS(HIX_RatingAreas[QHP Enrollments 2019],HIX_RatingAreas[Area],HIX_SLCSP[[#This Row],[Area Code]])</f>
        <v>64551</v>
      </c>
      <c r="BE1924">
        <f t="shared" si="111"/>
        <v>0.12877465482742867</v>
      </c>
      <c r="BF1924">
        <f>SUMIFS(HIX_RatingAreas[QHP Enrollments 2020],HIX_RatingAreas[Area],HIX_SLCSP[[#This Row],[Area Code]])</f>
        <v>63700</v>
      </c>
      <c r="BG1924">
        <f t="shared" si="112"/>
        <v>0.12606996190193459</v>
      </c>
      <c r="BH1924">
        <f>SUMIFS(HIX_RatingAreas[QHP Enrollments 2021],HIX_RatingAreas[Area],HIX_SLCSP[[#This Row],[Area Code]])</f>
        <v>68410</v>
      </c>
      <c r="BI1924">
        <f t="shared" si="113"/>
        <v>0.12767752326881335</v>
      </c>
      <c r="BJ1924">
        <f>SUMIFS(HIX_RatingAreas[QHP Enrollments 2022],HIX_RatingAreas[Area],HIX_SLCSP[[#This Row],[Area Code]])</f>
        <v>85726</v>
      </c>
      <c r="BK1924">
        <f t="shared" si="114"/>
        <v>0.12790668180590639</v>
      </c>
      <c r="BL1924">
        <f>SUMIFS(HIX_RatingAreas[QHP Enrollments 2023],HIX_RatingAreas[Area],HIX_SLCSP[[#This Row],[Area Code]])</f>
        <v>101889</v>
      </c>
      <c r="BM1924">
        <f t="shared" si="120"/>
        <v>0.12722607229818317</v>
      </c>
      <c r="BN1924">
        <f>SUMIFS(HIX_RatingAreas[QHP Enrollments 2024],HIX_RatingAreas[Area],HIX_SLCSP[[#This Row],[Area Code]])</f>
        <v>127620</v>
      </c>
      <c r="BO1924">
        <f t="shared" si="115"/>
        <v>0.12415242283034837</v>
      </c>
      <c r="BP1924" s="53">
        <f>ROUND(HIX_SLCSP[[#This Row],[Weighting Factor 2018]]*HIX_SLCSP[[#This Row],[2018]],2)</f>
        <v>62.34</v>
      </c>
      <c r="BQ1924" s="53">
        <f>ROUND(HIX_SLCSP[[#This Row],[Weighting Factor 2019]]*HIX_SLCSP[[#This Row],[2019]],2)</f>
        <v>49.58</v>
      </c>
      <c r="BR1924" s="53">
        <f>ROUND(HIX_SLCSP[[#This Row],[Weighting Factor 2020]]*HIX_SLCSP[[#This Row],[2020]],2)</f>
        <v>43.13</v>
      </c>
      <c r="BS1924" s="53">
        <f>ROUND(HIX_SLCSP[[#This Row],[Weighting Factor 2021]]*HIX_SLCSP[[#This Row],[2021]],2)</f>
        <v>42.24</v>
      </c>
      <c r="BT1924" s="53">
        <f>ROUND(HIX_SLCSP[[#This Row],[Weighting Factor 2022]]*HIX_SLCSP[[#This Row],[2022]],2)</f>
        <v>40.619999999999997</v>
      </c>
      <c r="BU1924" s="53">
        <f>ROUND(HIX_SLCSP[[#This Row],[Weighting Factor 2023]]*HIX_SLCSP[[#This Row],[2023]],2)</f>
        <v>46.29</v>
      </c>
      <c r="BV1924" s="53">
        <f>ROUND(HIX_SLCSP[[#This Row],[Weighting Factor 2024]]*HIX_SLCSP[[#This Row],[2024]],2)</f>
        <v>46.05</v>
      </c>
    </row>
    <row r="1925" spans="4:74" x14ac:dyDescent="0.35">
      <c r="D1925" t="s">
        <v>1471</v>
      </c>
      <c r="E1925" t="s">
        <v>577</v>
      </c>
      <c r="F1925" s="23">
        <v>14</v>
      </c>
      <c r="G1925" s="23" t="s">
        <v>1472</v>
      </c>
      <c r="H1925" s="23" t="s">
        <v>1619</v>
      </c>
      <c r="I1925" s="23">
        <v>16</v>
      </c>
      <c r="J1925" s="53">
        <v>433.73</v>
      </c>
      <c r="K1925" s="53">
        <v>526.77</v>
      </c>
      <c r="L1925" s="53">
        <v>897.72</v>
      </c>
      <c r="M1925" s="54">
        <f t="shared" si="116"/>
        <v>1.7041972777493024</v>
      </c>
      <c r="N1925" s="24">
        <v>20</v>
      </c>
      <c r="O1925" s="55">
        <v>433.56</v>
      </c>
      <c r="P1925" s="56">
        <v>460.81</v>
      </c>
      <c r="Q1925" s="56">
        <v>785.31</v>
      </c>
      <c r="R1925" s="57">
        <f t="shared" si="117"/>
        <v>1.7041947874395085</v>
      </c>
      <c r="S1925" s="23">
        <v>16</v>
      </c>
      <c r="T1925" s="53">
        <v>427.9</v>
      </c>
      <c r="U1925" s="53">
        <v>432.68</v>
      </c>
      <c r="V1925" s="53">
        <v>737.37</v>
      </c>
      <c r="W1925" s="57">
        <f t="shared" si="118"/>
        <v>1.7041924748081723</v>
      </c>
      <c r="X1925" s="47">
        <v>34</v>
      </c>
      <c r="Y1925" s="58">
        <v>383.42</v>
      </c>
      <c r="Z1925" s="58">
        <v>400.4</v>
      </c>
      <c r="AA1925" s="58">
        <v>682.36</v>
      </c>
      <c r="AB1925" s="57">
        <f t="shared" si="97"/>
        <v>1.7041958041958043</v>
      </c>
      <c r="AC1925" s="47">
        <v>112</v>
      </c>
      <c r="AD1925" s="57">
        <v>348.04</v>
      </c>
      <c r="AE1925" s="57">
        <v>378.12</v>
      </c>
      <c r="AF1925" s="57">
        <v>644.4</v>
      </c>
      <c r="AG1925" s="57">
        <f t="shared" si="119"/>
        <v>1.7042208822596001</v>
      </c>
      <c r="AH1925" s="47">
        <v>130</v>
      </c>
      <c r="AI1925">
        <v>326.14</v>
      </c>
      <c r="AJ1925">
        <v>341.72</v>
      </c>
      <c r="AK1925">
        <v>582.36</v>
      </c>
      <c r="AL1925" s="57">
        <f t="shared" si="107"/>
        <v>1.7042022708650355</v>
      </c>
      <c r="AM1925" s="47">
        <v>81</v>
      </c>
      <c r="AN1925" s="57">
        <v>412.66</v>
      </c>
      <c r="AO1925" s="57">
        <v>418.85</v>
      </c>
      <c r="AP1925" s="57">
        <v>713.81</v>
      </c>
      <c r="AQ1925" s="57">
        <f t="shared" si="52"/>
        <v>1.7042139190641039</v>
      </c>
      <c r="AR1925" s="59">
        <v>22919</v>
      </c>
      <c r="AS1925" s="59">
        <f>SUMIFS(HIX_RatingAreas[Silver Enrollments 2018],HIX_RatingAreas[Area],HIX_SLCSP[[#This Row],[Area Code]])</f>
        <v>18032</v>
      </c>
      <c r="AT1925" s="59">
        <f>SUMIFS(HIX_RatingAreas[Silver Enrollments 2019],HIX_RatingAreas[Area],HIX_SLCSP[[#This Row],[Area Code]])</f>
        <v>15264</v>
      </c>
      <c r="AU1925" s="59">
        <f>SUMIFS(HIX_RatingAreas[Silver Enrollments 2020],HIX_RatingAreas[Area],HIX_SLCSP[[#This Row],[Area Code]])</f>
        <v>14175</v>
      </c>
      <c r="AV1925" s="59">
        <f>SUMIFS(HIX_RatingAreas[Silver Enrollments 2021],HIX_RatingAreas[Area],HIX_SLCSP[[#This Row],[Area Code]])</f>
        <v>14202</v>
      </c>
      <c r="AW1925" s="59">
        <f>SUMIFS(HIX_RatingAreas[Silver Enrollments 2022],HIX_RatingAreas[Area],HIX_SLCSP[[#This Row],[Area Code]])</f>
        <v>13604</v>
      </c>
      <c r="AX1925" s="59">
        <f>SUMIFS(HIX_RatingAreas[Silver Enrollments 2023],HIX_RatingAreas[Area],HIX_SLCSP[[#This Row],[Area Code]])</f>
        <v>16529</v>
      </c>
      <c r="AY1925" s="59">
        <f>SUMIFS(HIX_RatingAreas[Silver Enrollments 2024],HIX_RatingAreas[Area],HIX_SLCSP[[#This Row],[Area Code]])</f>
        <v>27306</v>
      </c>
      <c r="AZ1925" s="59">
        <v>26879</v>
      </c>
      <c r="BA1925">
        <f t="shared" si="109"/>
        <v>4.3814193523147568E-2</v>
      </c>
      <c r="BB1925">
        <f>SUMIFS(HIX_RatingAreas[QHP Enrollments 2018],HIX_RatingAreas[Area],HIX_SLCSP[[#This Row],[Area Code]])</f>
        <v>23097</v>
      </c>
      <c r="BC1925">
        <f t="shared" si="110"/>
        <v>4.4434141395874975E-2</v>
      </c>
      <c r="BD1925">
        <f>SUMIFS(HIX_RatingAreas[QHP Enrollments 2019],HIX_RatingAreas[Area],HIX_SLCSP[[#This Row],[Area Code]])</f>
        <v>22083</v>
      </c>
      <c r="BE1925">
        <f t="shared" si="111"/>
        <v>4.4054014694646211E-2</v>
      </c>
      <c r="BF1925">
        <f>SUMIFS(HIX_RatingAreas[QHP Enrollments 2020],HIX_RatingAreas[Area],HIX_SLCSP[[#This Row],[Area Code]])</f>
        <v>21684</v>
      </c>
      <c r="BG1925">
        <f t="shared" si="112"/>
        <v>4.2915244173964674E-2</v>
      </c>
      <c r="BH1925">
        <f>SUMIFS(HIX_RatingAreas[QHP Enrollments 2021],HIX_RatingAreas[Area],HIX_SLCSP[[#This Row],[Area Code]])</f>
        <v>23673</v>
      </c>
      <c r="BI1925">
        <f t="shared" si="113"/>
        <v>4.4182283413866666E-2</v>
      </c>
      <c r="BJ1925">
        <f>SUMIFS(HIX_RatingAreas[QHP Enrollments 2022],HIX_RatingAreas[Area],HIX_SLCSP[[#This Row],[Area Code]])</f>
        <v>27728</v>
      </c>
      <c r="BK1925">
        <f t="shared" si="114"/>
        <v>4.1371304774679471E-2</v>
      </c>
      <c r="BL1925">
        <f>SUMIFS(HIX_RatingAreas[QHP Enrollments 2023],HIX_RatingAreas[Area],HIX_SLCSP[[#This Row],[Area Code]])</f>
        <v>32556</v>
      </c>
      <c r="BM1925">
        <f t="shared" si="120"/>
        <v>4.0651807454579511E-2</v>
      </c>
      <c r="BN1925">
        <f>SUMIFS(HIX_RatingAreas[QHP Enrollments 2024],HIX_RatingAreas[Area],HIX_SLCSP[[#This Row],[Area Code]])</f>
        <v>45948</v>
      </c>
      <c r="BO1925">
        <f t="shared" si="115"/>
        <v>4.4699541797593223E-2</v>
      </c>
      <c r="BP1925" s="53">
        <f>ROUND(HIX_SLCSP[[#This Row],[Weighting Factor 2018]]*HIX_SLCSP[[#This Row],[2018]],2)</f>
        <v>23.41</v>
      </c>
      <c r="BQ1925" s="53">
        <f>ROUND(HIX_SLCSP[[#This Row],[Weighting Factor 2019]]*HIX_SLCSP[[#This Row],[2019]],2)</f>
        <v>20.3</v>
      </c>
      <c r="BR1925" s="53">
        <f>ROUND(HIX_SLCSP[[#This Row],[Weighting Factor 2020]]*HIX_SLCSP[[#This Row],[2020]],2)</f>
        <v>18.57</v>
      </c>
      <c r="BS1925" s="53">
        <f>ROUND(HIX_SLCSP[[#This Row],[Weighting Factor 2021]]*HIX_SLCSP[[#This Row],[2021]],2)</f>
        <v>17.690000000000001</v>
      </c>
      <c r="BT1925" s="53">
        <f>ROUND(HIX_SLCSP[[#This Row],[Weighting Factor 2022]]*HIX_SLCSP[[#This Row],[2022]],2)</f>
        <v>15.64</v>
      </c>
      <c r="BU1925" s="53">
        <f>ROUND(HIX_SLCSP[[#This Row],[Weighting Factor 2023]]*HIX_SLCSP[[#This Row],[2023]],2)</f>
        <v>13.89</v>
      </c>
      <c r="BV1925" s="53">
        <f>ROUND(HIX_SLCSP[[#This Row],[Weighting Factor 2024]]*HIX_SLCSP[[#This Row],[2024]],2)</f>
        <v>18.72</v>
      </c>
    </row>
    <row r="1926" spans="4:74" x14ac:dyDescent="0.35">
      <c r="D1926" t="s">
        <v>1471</v>
      </c>
      <c r="E1926" t="s">
        <v>581</v>
      </c>
      <c r="F1926" s="23">
        <v>15</v>
      </c>
      <c r="G1926" s="23" t="s">
        <v>1472</v>
      </c>
      <c r="H1926" s="23" t="s">
        <v>1630</v>
      </c>
      <c r="I1926" s="23">
        <v>8</v>
      </c>
      <c r="J1926" s="53">
        <v>479.06</v>
      </c>
      <c r="K1926" s="53">
        <v>532.14</v>
      </c>
      <c r="L1926" s="53">
        <v>906.88</v>
      </c>
      <c r="M1926" s="54">
        <f t="shared" si="116"/>
        <v>1.7042131769835007</v>
      </c>
      <c r="N1926" s="24">
        <v>8</v>
      </c>
      <c r="O1926" s="55">
        <v>464.65</v>
      </c>
      <c r="P1926" s="56">
        <v>629.03</v>
      </c>
      <c r="Q1926" s="56">
        <v>1071.99</v>
      </c>
      <c r="R1926" s="57">
        <f t="shared" si="117"/>
        <v>1.7041953483935584</v>
      </c>
      <c r="S1926" s="23">
        <v>8</v>
      </c>
      <c r="T1926" s="53">
        <v>479.41</v>
      </c>
      <c r="U1926" s="53">
        <v>594.66</v>
      </c>
      <c r="V1926" s="53">
        <v>1013.41</v>
      </c>
      <c r="W1926" s="57">
        <f t="shared" si="118"/>
        <v>1.704183903406989</v>
      </c>
      <c r="X1926" s="47">
        <v>38</v>
      </c>
      <c r="Y1926" s="58">
        <v>459.46</v>
      </c>
      <c r="Z1926" s="58">
        <v>487.22</v>
      </c>
      <c r="AA1926" s="58">
        <v>830.31</v>
      </c>
      <c r="AB1926" s="57">
        <f t="shared" si="97"/>
        <v>1.7041788103936617</v>
      </c>
      <c r="AC1926" s="47">
        <v>158</v>
      </c>
      <c r="AD1926" s="57">
        <v>439.68</v>
      </c>
      <c r="AE1926" s="57">
        <v>439.68</v>
      </c>
      <c r="AF1926" s="57">
        <v>749.3</v>
      </c>
      <c r="AG1926" s="57">
        <f t="shared" si="119"/>
        <v>1.7041939592430857</v>
      </c>
      <c r="AH1926" s="47">
        <v>182</v>
      </c>
      <c r="AI1926">
        <v>409.57</v>
      </c>
      <c r="AJ1926">
        <v>429.13</v>
      </c>
      <c r="AK1926">
        <v>731.33</v>
      </c>
      <c r="AL1926" s="57">
        <f t="shared" si="107"/>
        <v>1.7042155057907862</v>
      </c>
      <c r="AM1926" s="47">
        <v>121</v>
      </c>
      <c r="AN1926" s="57">
        <v>438.57</v>
      </c>
      <c r="AO1926" s="57">
        <v>441.55</v>
      </c>
      <c r="AP1926" s="57">
        <v>752.49</v>
      </c>
      <c r="AQ1926" s="57">
        <f t="shared" si="52"/>
        <v>1.7042011097270977</v>
      </c>
      <c r="AR1926" s="59">
        <v>33808</v>
      </c>
      <c r="AS1926" s="59">
        <f>SUMIFS(HIX_RatingAreas[Silver Enrollments 2018],HIX_RatingAreas[Area],HIX_SLCSP[[#This Row],[Area Code]])</f>
        <v>25593</v>
      </c>
      <c r="AT1926" s="59">
        <f>SUMIFS(HIX_RatingAreas[Silver Enrollments 2019],HIX_RatingAreas[Area],HIX_SLCSP[[#This Row],[Area Code]])</f>
        <v>22007</v>
      </c>
      <c r="AU1926" s="59">
        <f>SUMIFS(HIX_RatingAreas[Silver Enrollments 2020],HIX_RatingAreas[Area],HIX_SLCSP[[#This Row],[Area Code]])</f>
        <v>23290</v>
      </c>
      <c r="AV1926" s="59">
        <f>SUMIFS(HIX_RatingAreas[Silver Enrollments 2021],HIX_RatingAreas[Area],HIX_SLCSP[[#This Row],[Area Code]])</f>
        <v>22348</v>
      </c>
      <c r="AW1926" s="59">
        <f>SUMIFS(HIX_RatingAreas[Silver Enrollments 2022],HIX_RatingAreas[Area],HIX_SLCSP[[#This Row],[Area Code]])</f>
        <v>27928</v>
      </c>
      <c r="AX1926" s="59">
        <f>SUMIFS(HIX_RatingAreas[Silver Enrollments 2023],HIX_RatingAreas[Area],HIX_SLCSP[[#This Row],[Area Code]])</f>
        <v>29822</v>
      </c>
      <c r="AY1926" s="59">
        <f>SUMIFS(HIX_RatingAreas[Silver Enrollments 2024],HIX_RatingAreas[Area],HIX_SLCSP[[#This Row],[Area Code]])</f>
        <v>34910</v>
      </c>
      <c r="AZ1926" s="59">
        <v>42024</v>
      </c>
      <c r="BA1926">
        <f t="shared" si="109"/>
        <v>6.850134560871883E-2</v>
      </c>
      <c r="BB1926">
        <f>SUMIFS(HIX_RatingAreas[QHP Enrollments 2018],HIX_RatingAreas[Area],HIX_SLCSP[[#This Row],[Area Code]])</f>
        <v>35979</v>
      </c>
      <c r="BC1926">
        <f t="shared" si="110"/>
        <v>6.9216607060751861E-2</v>
      </c>
      <c r="BD1926">
        <f>SUMIFS(HIX_RatingAreas[QHP Enrollments 2019],HIX_RatingAreas[Area],HIX_SLCSP[[#This Row],[Area Code]])</f>
        <v>36692</v>
      </c>
      <c r="BE1926">
        <f t="shared" si="111"/>
        <v>7.3197930859754498E-2</v>
      </c>
      <c r="BF1926">
        <f>SUMIFS(HIX_RatingAreas[QHP Enrollments 2020],HIX_RatingAreas[Area],HIX_SLCSP[[#This Row],[Area Code]])</f>
        <v>39857</v>
      </c>
      <c r="BG1926">
        <f t="shared" si="112"/>
        <v>7.8881797041215174E-2</v>
      </c>
      <c r="BH1926">
        <f>SUMIFS(HIX_RatingAreas[QHP Enrollments 2021],HIX_RatingAreas[Area],HIX_SLCSP[[#This Row],[Area Code]])</f>
        <v>43051</v>
      </c>
      <c r="BI1926">
        <f t="shared" si="113"/>
        <v>8.0348560944974182E-2</v>
      </c>
      <c r="BJ1926">
        <f>SUMIFS(HIX_RatingAreas[QHP Enrollments 2022],HIX_RatingAreas[Area],HIX_SLCSP[[#This Row],[Area Code]])</f>
        <v>52576</v>
      </c>
      <c r="BK1926">
        <f t="shared" si="114"/>
        <v>7.8445532307903493E-2</v>
      </c>
      <c r="BL1926">
        <f>SUMIFS(HIX_RatingAreas[QHP Enrollments 2023],HIX_RatingAreas[Area],HIX_SLCSP[[#This Row],[Area Code]])</f>
        <v>60480</v>
      </c>
      <c r="BM1926">
        <f t="shared" si="120"/>
        <v>7.5519760254729354E-2</v>
      </c>
      <c r="BN1926">
        <f>SUMIFS(HIX_RatingAreas[QHP Enrollments 2024],HIX_RatingAreas[Area],HIX_SLCSP[[#This Row],[Area Code]])</f>
        <v>74588</v>
      </c>
      <c r="BO1926">
        <f t="shared" si="115"/>
        <v>7.2561361182181663E-2</v>
      </c>
      <c r="BP1926" s="53">
        <f>ROUND(HIX_SLCSP[[#This Row],[Weighting Factor 2018]]*HIX_SLCSP[[#This Row],[2018]],2)</f>
        <v>36.83</v>
      </c>
      <c r="BQ1926" s="53">
        <f>ROUND(HIX_SLCSP[[#This Row],[Weighting Factor 2019]]*HIX_SLCSP[[#This Row],[2019]],2)</f>
        <v>46.04</v>
      </c>
      <c r="BR1926" s="53">
        <f>ROUND(HIX_SLCSP[[#This Row],[Weighting Factor 2020]]*HIX_SLCSP[[#This Row],[2020]],2)</f>
        <v>46.91</v>
      </c>
      <c r="BS1926" s="53">
        <f>ROUND(HIX_SLCSP[[#This Row],[Weighting Factor 2021]]*HIX_SLCSP[[#This Row],[2021]],2)</f>
        <v>39.15</v>
      </c>
      <c r="BT1926" s="53">
        <f>ROUND(HIX_SLCSP[[#This Row],[Weighting Factor 2022]]*HIX_SLCSP[[#This Row],[2022]],2)</f>
        <v>34.49</v>
      </c>
      <c r="BU1926" s="53">
        <f>ROUND(HIX_SLCSP[[#This Row],[Weighting Factor 2023]]*HIX_SLCSP[[#This Row],[2023]],2)</f>
        <v>32.409999999999997</v>
      </c>
      <c r="BV1926" s="53">
        <f>ROUND(HIX_SLCSP[[#This Row],[Weighting Factor 2024]]*HIX_SLCSP[[#This Row],[2024]],2)</f>
        <v>32.04</v>
      </c>
    </row>
    <row r="1927" spans="4:74" x14ac:dyDescent="0.35">
      <c r="D1927" t="s">
        <v>1471</v>
      </c>
      <c r="E1927" t="s">
        <v>585</v>
      </c>
      <c r="F1927" s="23">
        <v>16</v>
      </c>
      <c r="G1927" s="23" t="s">
        <v>1472</v>
      </c>
      <c r="H1927" s="23" t="s">
        <v>1643</v>
      </c>
      <c r="I1927" s="23">
        <v>8</v>
      </c>
      <c r="J1927" s="53">
        <v>510.65</v>
      </c>
      <c r="K1927" s="53">
        <v>549.82000000000005</v>
      </c>
      <c r="L1927" s="53">
        <v>937.01</v>
      </c>
      <c r="M1927" s="54">
        <f t="shared" si="116"/>
        <v>1.7042122876577788</v>
      </c>
      <c r="N1927" s="24">
        <v>12</v>
      </c>
      <c r="O1927" s="55">
        <v>556.35</v>
      </c>
      <c r="P1927" s="56">
        <v>573.25</v>
      </c>
      <c r="Q1927" s="56">
        <v>976.92</v>
      </c>
      <c r="R1927" s="57">
        <f t="shared" si="117"/>
        <v>1.7041779328390754</v>
      </c>
      <c r="S1927" s="23">
        <v>8</v>
      </c>
      <c r="T1927" s="53">
        <v>553.21</v>
      </c>
      <c r="U1927" s="53">
        <v>588.82000000000005</v>
      </c>
      <c r="V1927" s="53">
        <v>1003.46</v>
      </c>
      <c r="W1927" s="57">
        <f t="shared" si="118"/>
        <v>1.7041880370911313</v>
      </c>
      <c r="X1927" s="47">
        <v>26</v>
      </c>
      <c r="Y1927" s="58">
        <v>540.41</v>
      </c>
      <c r="Z1927" s="58">
        <v>547.67999999999995</v>
      </c>
      <c r="AA1927" s="58">
        <v>933.36</v>
      </c>
      <c r="AB1927" s="57">
        <f t="shared" si="97"/>
        <v>1.7042068361086768</v>
      </c>
      <c r="AC1927" s="47">
        <v>92</v>
      </c>
      <c r="AD1927" s="57">
        <v>415.75</v>
      </c>
      <c r="AE1927" s="57">
        <v>466.33</v>
      </c>
      <c r="AF1927" s="57">
        <v>794.72</v>
      </c>
      <c r="AG1927" s="57">
        <f t="shared" si="119"/>
        <v>1.7042008877833295</v>
      </c>
      <c r="AH1927" s="47">
        <v>106</v>
      </c>
      <c r="AI1927">
        <v>462.73</v>
      </c>
      <c r="AJ1927">
        <v>484.84</v>
      </c>
      <c r="AK1927">
        <v>826.27</v>
      </c>
      <c r="AL1927" s="57">
        <f t="shared" si="107"/>
        <v>1.7042116987047273</v>
      </c>
      <c r="AM1927" s="47">
        <v>65</v>
      </c>
      <c r="AN1927" s="57">
        <v>514.84</v>
      </c>
      <c r="AO1927" s="57">
        <v>522.49</v>
      </c>
      <c r="AP1927" s="57">
        <v>890.43</v>
      </c>
      <c r="AQ1927" s="57">
        <f t="shared" si="52"/>
        <v>1.7042048651648833</v>
      </c>
      <c r="AR1927" s="59">
        <v>20806</v>
      </c>
      <c r="AS1927" s="59">
        <f>SUMIFS(HIX_RatingAreas[Silver Enrollments 2018],HIX_RatingAreas[Area],HIX_SLCSP[[#This Row],[Area Code]])</f>
        <v>17778</v>
      </c>
      <c r="AT1927" s="59">
        <f>SUMIFS(HIX_RatingAreas[Silver Enrollments 2019],HIX_RatingAreas[Area],HIX_SLCSP[[#This Row],[Area Code]])</f>
        <v>15495</v>
      </c>
      <c r="AU1927" s="59">
        <f>SUMIFS(HIX_RatingAreas[Silver Enrollments 2020],HIX_RatingAreas[Area],HIX_SLCSP[[#This Row],[Area Code]])</f>
        <v>14562</v>
      </c>
      <c r="AV1927" s="59">
        <f>SUMIFS(HIX_RatingAreas[Silver Enrollments 2021],HIX_RatingAreas[Area],HIX_SLCSP[[#This Row],[Area Code]])</f>
        <v>13991</v>
      </c>
      <c r="AW1927" s="59">
        <f>SUMIFS(HIX_RatingAreas[Silver Enrollments 2022],HIX_RatingAreas[Area],HIX_SLCSP[[#This Row],[Area Code]])</f>
        <v>18029</v>
      </c>
      <c r="AX1927" s="59">
        <f>SUMIFS(HIX_RatingAreas[Silver Enrollments 2023],HIX_RatingAreas[Area],HIX_SLCSP[[#This Row],[Area Code]])</f>
        <v>18166</v>
      </c>
      <c r="AY1927" s="59">
        <f>SUMIFS(HIX_RatingAreas[Silver Enrollments 2024],HIX_RatingAreas[Area],HIX_SLCSP[[#This Row],[Area Code]])</f>
        <v>19936</v>
      </c>
      <c r="AZ1927" s="59">
        <v>24283</v>
      </c>
      <c r="BA1927">
        <f t="shared" si="109"/>
        <v>3.9582576037895473E-2</v>
      </c>
      <c r="BB1927">
        <f>SUMIFS(HIX_RatingAreas[QHP Enrollments 2018],HIX_RatingAreas[Area],HIX_SLCSP[[#This Row],[Area Code]])</f>
        <v>23082</v>
      </c>
      <c r="BC1927">
        <f t="shared" si="110"/>
        <v>4.4405284309632691E-2</v>
      </c>
      <c r="BD1927">
        <f>SUMIFS(HIX_RatingAreas[QHP Enrollments 2019],HIX_RatingAreas[Area],HIX_SLCSP[[#This Row],[Area Code]])</f>
        <v>22717</v>
      </c>
      <c r="BE1927">
        <f t="shared" si="111"/>
        <v>4.531879961138785E-2</v>
      </c>
      <c r="BF1927">
        <f>SUMIFS(HIX_RatingAreas[QHP Enrollments 2020],HIX_RatingAreas[Area],HIX_SLCSP[[#This Row],[Area Code]])</f>
        <v>22814</v>
      </c>
      <c r="BG1927">
        <f t="shared" si="112"/>
        <v>4.5151650091534316E-2</v>
      </c>
      <c r="BH1927">
        <f>SUMIFS(HIX_RatingAreas[QHP Enrollments 2021],HIX_RatingAreas[Area],HIX_SLCSP[[#This Row],[Area Code]])</f>
        <v>24485</v>
      </c>
      <c r="BI1927">
        <f t="shared" si="113"/>
        <v>4.5697765783319619E-2</v>
      </c>
      <c r="BJ1927">
        <f>SUMIFS(HIX_RatingAreas[QHP Enrollments 2022],HIX_RatingAreas[Area],HIX_SLCSP[[#This Row],[Area Code]])</f>
        <v>30216</v>
      </c>
      <c r="BK1927">
        <f t="shared" si="114"/>
        <v>4.5083502058270157E-2</v>
      </c>
      <c r="BL1927">
        <f>SUMIFS(HIX_RatingAreas[QHP Enrollments 2023],HIX_RatingAreas[Area],HIX_SLCSP[[#This Row],[Area Code]])</f>
        <v>34065</v>
      </c>
      <c r="BM1927">
        <f t="shared" si="120"/>
        <v>4.2536055441093838E-2</v>
      </c>
      <c r="BN1927">
        <f>SUMIFS(HIX_RatingAreas[QHP Enrollments 2024],HIX_RatingAreas[Area],HIX_SLCSP[[#This Row],[Area Code]])</f>
        <v>41184</v>
      </c>
      <c r="BO1927">
        <f t="shared" si="115"/>
        <v>4.006498496979366E-2</v>
      </c>
      <c r="BP1927" s="53">
        <f>ROUND(HIX_SLCSP[[#This Row],[Weighting Factor 2018]]*HIX_SLCSP[[#This Row],[2018]],2)</f>
        <v>24.41</v>
      </c>
      <c r="BQ1927" s="53">
        <f>ROUND(HIX_SLCSP[[#This Row],[Weighting Factor 2019]]*HIX_SLCSP[[#This Row],[2019]],2)</f>
        <v>25.98</v>
      </c>
      <c r="BR1927" s="53">
        <f>ROUND(HIX_SLCSP[[#This Row],[Weighting Factor 2020]]*HIX_SLCSP[[#This Row],[2020]],2)</f>
        <v>26.59</v>
      </c>
      <c r="BS1927" s="53">
        <f>ROUND(HIX_SLCSP[[#This Row],[Weighting Factor 2021]]*HIX_SLCSP[[#This Row],[2021]],2)</f>
        <v>25.03</v>
      </c>
      <c r="BT1927" s="53">
        <f>ROUND(HIX_SLCSP[[#This Row],[Weighting Factor 2022]]*HIX_SLCSP[[#This Row],[2022]],2)</f>
        <v>21.02</v>
      </c>
      <c r="BU1927" s="53">
        <f>ROUND(HIX_SLCSP[[#This Row],[Weighting Factor 2023]]*HIX_SLCSP[[#This Row],[2023]],2)</f>
        <v>20.62</v>
      </c>
      <c r="BV1927" s="53">
        <f>ROUND(HIX_SLCSP[[#This Row],[Weighting Factor 2024]]*HIX_SLCSP[[#This Row],[2024]],2)</f>
        <v>20.93</v>
      </c>
    </row>
    <row r="1928" spans="4:74" x14ac:dyDescent="0.35">
      <c r="D1928" t="s">
        <v>1662</v>
      </c>
      <c r="E1928" t="s">
        <v>2597</v>
      </c>
      <c r="F1928" s="23"/>
      <c r="G1928" s="23"/>
      <c r="H1928" s="23"/>
      <c r="I1928" s="23"/>
      <c r="J1928" s="53"/>
      <c r="K1928" s="53">
        <f>SUM(BP1929:BP1974)</f>
        <v>344.74999999999989</v>
      </c>
      <c r="L1928" s="53"/>
      <c r="M1928" s="54">
        <f t="shared" si="116"/>
        <v>0</v>
      </c>
      <c r="O1928" s="55"/>
      <c r="P1928" s="56">
        <f>SUM(BQ1929:BQ1974)</f>
        <v>453.34</v>
      </c>
      <c r="Q1928" s="56"/>
      <c r="R1928" s="57"/>
      <c r="S1928" s="23"/>
      <c r="T1928" s="53"/>
      <c r="U1928" s="53">
        <f>SUM(BR1929:BR1974)</f>
        <v>414.21</v>
      </c>
      <c r="V1928" s="53"/>
      <c r="W1928" s="57"/>
      <c r="X1928" s="57"/>
      <c r="Y1928" s="58"/>
      <c r="Z1928" s="53">
        <f>SUM(BS1929:BS1974)</f>
        <v>322.2</v>
      </c>
      <c r="AA1928" s="58"/>
      <c r="AB1928" s="57"/>
      <c r="AC1928" s="47"/>
      <c r="AD1928" s="57"/>
      <c r="AE1928" s="53">
        <f>SUM(BT1929:BT1974)</f>
        <v>326.90999999999997</v>
      </c>
      <c r="AF1928" s="57"/>
      <c r="AG1928" s="57"/>
      <c r="AH1928" s="47"/>
      <c r="AI1928" s="57"/>
      <c r="AJ1928" s="53">
        <f>SUM(BU1929:BU1974)</f>
        <v>378.02</v>
      </c>
      <c r="AK1928" s="57"/>
      <c r="AL1928" s="57"/>
      <c r="AM1928" s="47"/>
      <c r="AN1928" s="57"/>
      <c r="AO1928" s="53">
        <f>SUM(BV1929:BV1974)</f>
        <v>383.11</v>
      </c>
      <c r="AP1928" s="57"/>
      <c r="AQ1928" s="57"/>
      <c r="AR1928" s="59">
        <f t="shared" ref="AR1928:AZ1928" si="121">SUM(AR1929:AR1974)</f>
        <v>199167</v>
      </c>
      <c r="AS1928" s="59">
        <f t="shared" si="121"/>
        <v>152028</v>
      </c>
      <c r="AT1928" s="59">
        <f t="shared" si="121"/>
        <v>121373</v>
      </c>
      <c r="AU1928" s="59">
        <f t="shared" si="121"/>
        <v>100292</v>
      </c>
      <c r="AV1928" s="59">
        <f t="shared" si="121"/>
        <v>94746</v>
      </c>
      <c r="AW1928" s="59">
        <f>SUM(AW1929:AW1974)</f>
        <v>118410</v>
      </c>
      <c r="AX1928" s="59">
        <f t="shared" si="121"/>
        <v>161463</v>
      </c>
      <c r="AY1928" s="59">
        <f t="shared" si="121"/>
        <v>250303</v>
      </c>
      <c r="AZ1928" s="59">
        <f t="shared" si="121"/>
        <v>231845</v>
      </c>
      <c r="BA1928">
        <f t="shared" ref="BA1928:BA1974" si="122">AZ1928/AZ$1928</f>
        <v>1</v>
      </c>
      <c r="BB1928" s="59">
        <f>SUM(BB1929:BB1974)</f>
        <v>215983</v>
      </c>
      <c r="BC1928">
        <f t="shared" ref="BC1928:BC1974" si="123">BB1928/BB$1928</f>
        <v>1</v>
      </c>
      <c r="BD1928" s="59">
        <f>SUM(BD1929:BD1974)</f>
        <v>214956</v>
      </c>
      <c r="BE1928">
        <f t="shared" ref="BE1928:BE1974" si="124">BD1928/BD$1928</f>
        <v>1</v>
      </c>
      <c r="BF1928" s="59">
        <f>SUM(BF1929:BF1974)</f>
        <v>214030</v>
      </c>
      <c r="BG1928">
        <f t="shared" ref="BG1928:BG1974" si="125">BF1928/BF$1928</f>
        <v>1</v>
      </c>
      <c r="BH1928" s="59">
        <f>SUM(BH1929:BH1974)</f>
        <v>230050</v>
      </c>
      <c r="BI1928">
        <f t="shared" ref="BI1928:BI1974" si="126">BH1928/BH$1928</f>
        <v>1</v>
      </c>
      <c r="BJ1928" s="59">
        <f>SUM(BJ1929:BJ1974)</f>
        <v>300392</v>
      </c>
      <c r="BK1928">
        <f t="shared" ref="BK1928:BK1974" si="127">BJ1928/BJ$1928</f>
        <v>1</v>
      </c>
      <c r="BL1928" s="59">
        <f>SUM(BL1929:BL1974)</f>
        <v>382968</v>
      </c>
      <c r="BM1928">
        <f>BL1928/BL$1928</f>
        <v>1</v>
      </c>
      <c r="BN1928" s="59">
        <f>SUM(BN1929:BN1974)</f>
        <v>571175</v>
      </c>
      <c r="BO1928">
        <f t="shared" ref="BO1928:BO1974" si="128">BN1928/BN$1928</f>
        <v>1</v>
      </c>
      <c r="BP1928" s="53"/>
      <c r="BQ1928" s="53"/>
      <c r="BR1928" s="53"/>
      <c r="BS1928" s="53"/>
      <c r="BT1928" s="53"/>
      <c r="BU1928" s="53"/>
      <c r="BV1928" s="53"/>
    </row>
    <row r="1929" spans="4:74" x14ac:dyDescent="0.35">
      <c r="D1929" t="s">
        <v>1662</v>
      </c>
      <c r="E1929" t="s">
        <v>231</v>
      </c>
      <c r="F1929" s="23">
        <v>1</v>
      </c>
      <c r="G1929" s="23" t="s">
        <v>1663</v>
      </c>
      <c r="H1929" s="23" t="s">
        <v>1664</v>
      </c>
      <c r="I1929" s="23">
        <v>70</v>
      </c>
      <c r="J1929" s="53">
        <v>327.94</v>
      </c>
      <c r="K1929" s="53">
        <v>328.73</v>
      </c>
      <c r="L1929" s="53">
        <v>560.21</v>
      </c>
      <c r="M1929" s="54">
        <f t="shared" si="116"/>
        <v>1.7041645119094697</v>
      </c>
      <c r="N1929" s="24">
        <v>56</v>
      </c>
      <c r="O1929" s="55">
        <v>438.82</v>
      </c>
      <c r="P1929" s="56">
        <v>440.98</v>
      </c>
      <c r="Q1929" s="56">
        <v>751.52</v>
      </c>
      <c r="R1929" s="57">
        <f t="shared" ref="R1929:R1974" si="129">Q1929/P1929</f>
        <v>1.7042042723025987</v>
      </c>
      <c r="S1929" s="23">
        <v>104</v>
      </c>
      <c r="T1929" s="23">
        <v>406.45</v>
      </c>
      <c r="U1929" s="23">
        <v>411.62</v>
      </c>
      <c r="V1929" s="23">
        <v>701.48</v>
      </c>
      <c r="W1929" s="57">
        <f t="shared" ref="W1929:W1974" si="130">V1929/U1929</f>
        <v>1.7041931878917449</v>
      </c>
      <c r="X1929" s="23">
        <v>104</v>
      </c>
      <c r="Y1929" s="23">
        <v>277.02999999999997</v>
      </c>
      <c r="Z1929" s="23">
        <v>283.04000000000002</v>
      </c>
      <c r="AA1929" s="23">
        <v>482.36</v>
      </c>
      <c r="AB1929" s="57">
        <f t="shared" ref="AB1929:AB1983" si="131">AA1929/Z1929</f>
        <v>1.7042114188807236</v>
      </c>
      <c r="AC1929" s="47">
        <v>137</v>
      </c>
      <c r="AD1929" s="57">
        <v>260.02</v>
      </c>
      <c r="AE1929" s="57">
        <v>260.02</v>
      </c>
      <c r="AF1929" s="57">
        <v>443.12</v>
      </c>
      <c r="AG1929" s="57">
        <f t="shared" ref="AG1929:AG1974" si="132">AF1929/AE1929</f>
        <v>1.7041766017998616</v>
      </c>
      <c r="AH1929" s="47">
        <v>94</v>
      </c>
      <c r="AI1929">
        <v>315.7</v>
      </c>
      <c r="AJ1929">
        <v>319.36</v>
      </c>
      <c r="AK1929">
        <v>544.25</v>
      </c>
      <c r="AL1929" s="57">
        <f t="shared" si="107"/>
        <v>1.704189629258517</v>
      </c>
      <c r="AM1929" s="47">
        <v>91</v>
      </c>
      <c r="AN1929" s="57">
        <v>344.56</v>
      </c>
      <c r="AO1929" s="57">
        <v>347.72</v>
      </c>
      <c r="AP1929" s="57">
        <v>592.59</v>
      </c>
      <c r="AQ1929" s="57">
        <f t="shared" ref="AQ1929:AQ1992" si="133">AP1929/AO1929</f>
        <v>1.7042160358909466</v>
      </c>
      <c r="AR1929" s="59">
        <v>863</v>
      </c>
      <c r="AS1929" s="59">
        <f>SUMIFS(HIX_RatingAreas[Silver Enrollments 2018],HIX_RatingAreas[Area],HIX_SLCSP[[#This Row],[Area Code]])</f>
        <v>638</v>
      </c>
      <c r="AT1929" s="59">
        <f>SUMIFS(HIX_RatingAreas[Silver Enrollments 2019],HIX_RatingAreas[Area],HIX_SLCSP[[#This Row],[Area Code]])</f>
        <v>512</v>
      </c>
      <c r="AU1929" s="59">
        <f>SUMIFS(HIX_RatingAreas[Silver Enrollments 2020],HIX_RatingAreas[Area],HIX_SLCSP[[#This Row],[Area Code]])</f>
        <v>424</v>
      </c>
      <c r="AV1929" s="59">
        <f>SUMIFS(HIX_RatingAreas[Silver Enrollments 2021],HIX_RatingAreas[Area],HIX_SLCSP[[#This Row],[Area Code]])</f>
        <v>386</v>
      </c>
      <c r="AW1929" s="59">
        <f>SUMIFS(HIX_RatingAreas[Silver Enrollments 2022],HIX_RatingAreas[Area],HIX_SLCSP[[#This Row],[Area Code]])</f>
        <v>492</v>
      </c>
      <c r="AX1929" s="59">
        <f>SUMIFS(HIX_RatingAreas[Silver Enrollments 2023],HIX_RatingAreas[Area],HIX_SLCSP[[#This Row],[Area Code]])</f>
        <v>1047</v>
      </c>
      <c r="AY1929" s="59">
        <f>SUMIFS(HIX_RatingAreas[Silver Enrollments 2024],HIX_RatingAreas[Area],HIX_SLCSP[[#This Row],[Area Code]])</f>
        <v>1890</v>
      </c>
      <c r="AZ1929" s="59">
        <v>956</v>
      </c>
      <c r="BA1929">
        <f t="shared" si="122"/>
        <v>4.1234445426901597E-3</v>
      </c>
      <c r="BB1929">
        <f>SUMIFS(HIX_RatingAreas[QHP Enrollments 2018],HIX_RatingAreas[Area],HIX_SLCSP[[#This Row],[Area Code]])</f>
        <v>807</v>
      </c>
      <c r="BC1929">
        <f t="shared" si="123"/>
        <v>3.7364051800373179E-3</v>
      </c>
      <c r="BD1929">
        <f>SUMIFS(HIX_RatingAreas[QHP Enrollments 2019],HIX_RatingAreas[Area],HIX_SLCSP[[#This Row],[Area Code]])</f>
        <v>760</v>
      </c>
      <c r="BE1929">
        <f t="shared" si="124"/>
        <v>3.5356072870727034E-3</v>
      </c>
      <c r="BF1929">
        <f>SUMIFS(HIX_RatingAreas[QHP Enrollments 2020],HIX_RatingAreas[Area],HIX_SLCSP[[#This Row],[Area Code]])</f>
        <v>758</v>
      </c>
      <c r="BG1929">
        <f t="shared" si="125"/>
        <v>3.5415595944493761E-3</v>
      </c>
      <c r="BH1929">
        <f>SUMIFS(HIX_RatingAreas[QHP Enrollments 2021],HIX_RatingAreas[Area],HIX_SLCSP[[#This Row],[Area Code]])</f>
        <v>795</v>
      </c>
      <c r="BI1929">
        <f t="shared" si="126"/>
        <v>3.455770484677244E-3</v>
      </c>
      <c r="BJ1929">
        <f>SUMIFS(HIX_RatingAreas[QHP Enrollments 2022],HIX_RatingAreas[Area],HIX_SLCSP[[#This Row],[Area Code]])</f>
        <v>1167</v>
      </c>
      <c r="BK1929">
        <f t="shared" si="127"/>
        <v>3.8849236996990597E-3</v>
      </c>
      <c r="BL1929">
        <f>SUMIFS(HIX_RatingAreas[QHP Enrollments 2023],HIX_RatingAreas[Area],HIX_SLCSP[[#This Row],[Area Code]])</f>
        <v>1984</v>
      </c>
      <c r="BM1929">
        <f>BL1929/BL$1928</f>
        <v>5.1805895009504714E-3</v>
      </c>
      <c r="BN1929">
        <f>SUMIFS(HIX_RatingAreas[QHP Enrollments 2024],HIX_RatingAreas[Area],HIX_SLCSP[[#This Row],[Area Code]])</f>
        <v>3506</v>
      </c>
      <c r="BO1929">
        <f t="shared" si="128"/>
        <v>6.1382238368275924E-3</v>
      </c>
      <c r="BP1929" s="53">
        <f>ROUND(HIX_SLCSP[[#This Row],[Weighting Factor 2018]]*HIX_SLCSP[[#This Row],[2018]],2)</f>
        <v>1.23</v>
      </c>
      <c r="BQ1929" s="53">
        <f>ROUND(HIX_SLCSP[[#This Row],[Weighting Factor 2019]]*HIX_SLCSP[[#This Row],[2019]],2)</f>
        <v>1.56</v>
      </c>
      <c r="BR1929" s="53">
        <f>ROUND(HIX_SLCSP[[#This Row],[Weighting Factor 2020]]*HIX_SLCSP[[#This Row],[2020]],2)</f>
        <v>1.46</v>
      </c>
      <c r="BS1929" s="53">
        <f>ROUND(HIX_SLCSP[[#This Row],[Weighting Factor 2021]]*HIX_SLCSP[[#This Row],[2021]],2)</f>
        <v>0.98</v>
      </c>
      <c r="BT1929" s="53">
        <f>ROUND(HIX_SLCSP[[#This Row],[Weighting Factor 2022]]*HIX_SLCSP[[#This Row],[2022]],2)</f>
        <v>1.01</v>
      </c>
      <c r="BU1929" s="53">
        <f>ROUND(HIX_SLCSP[[#This Row],[Weighting Factor 2023]]*HIX_SLCSP[[#This Row],[2023]],2)</f>
        <v>1.65</v>
      </c>
      <c r="BV1929" s="53">
        <f>ROUND(HIX_SLCSP[[#This Row],[Weighting Factor 2024]]*HIX_SLCSP[[#This Row],[2024]],2)</f>
        <v>2.13</v>
      </c>
    </row>
    <row r="1930" spans="4:74" x14ac:dyDescent="0.35">
      <c r="D1930" t="s">
        <v>1662</v>
      </c>
      <c r="E1930" t="s">
        <v>235</v>
      </c>
      <c r="F1930" s="23">
        <v>2</v>
      </c>
      <c r="G1930" s="23" t="s">
        <v>1663</v>
      </c>
      <c r="H1930" s="23" t="s">
        <v>1667</v>
      </c>
      <c r="I1930" s="23">
        <v>70</v>
      </c>
      <c r="J1930" s="53">
        <v>367.46</v>
      </c>
      <c r="K1930" s="53">
        <v>368.34</v>
      </c>
      <c r="L1930" s="53">
        <v>627.73</v>
      </c>
      <c r="M1930" s="54">
        <f t="shared" si="116"/>
        <v>1.7042134983982191</v>
      </c>
      <c r="N1930" s="24">
        <v>56</v>
      </c>
      <c r="O1930" s="55">
        <v>491.55</v>
      </c>
      <c r="P1930" s="56">
        <v>493.97</v>
      </c>
      <c r="Q1930" s="56">
        <v>841.82</v>
      </c>
      <c r="R1930" s="57">
        <f t="shared" si="129"/>
        <v>1.7041925623013543</v>
      </c>
      <c r="S1930" s="23">
        <v>120</v>
      </c>
      <c r="T1930" s="53">
        <v>391.87</v>
      </c>
      <c r="U1930" s="53">
        <v>404.6</v>
      </c>
      <c r="V1930" s="53">
        <v>689.51</v>
      </c>
      <c r="W1930" s="57">
        <f t="shared" si="130"/>
        <v>1.7041769649036085</v>
      </c>
      <c r="X1930" s="23">
        <v>120</v>
      </c>
      <c r="Y1930" s="53">
        <v>307.10000000000002</v>
      </c>
      <c r="Z1930" s="53">
        <v>313.76</v>
      </c>
      <c r="AA1930" s="53">
        <v>534.71</v>
      </c>
      <c r="AB1930" s="57">
        <f t="shared" si="131"/>
        <v>1.7042006629270783</v>
      </c>
      <c r="AC1930" s="47">
        <v>109</v>
      </c>
      <c r="AD1930" s="57">
        <v>298.20999999999998</v>
      </c>
      <c r="AE1930" s="57">
        <v>302.05</v>
      </c>
      <c r="AF1930" s="57">
        <v>514.76</v>
      </c>
      <c r="AG1930" s="57">
        <f t="shared" si="132"/>
        <v>1.7042211554378413</v>
      </c>
      <c r="AH1930" s="47">
        <v>98</v>
      </c>
      <c r="AI1930">
        <v>343.31</v>
      </c>
      <c r="AJ1930">
        <v>345.91</v>
      </c>
      <c r="AK1930">
        <v>589.5</v>
      </c>
      <c r="AL1930" s="57">
        <f t="shared" si="107"/>
        <v>1.7042005145847186</v>
      </c>
      <c r="AM1930" s="47">
        <v>91</v>
      </c>
      <c r="AN1930" s="57">
        <v>358.92</v>
      </c>
      <c r="AO1930" s="57">
        <v>360.58</v>
      </c>
      <c r="AP1930" s="57">
        <v>614.49</v>
      </c>
      <c r="AQ1930" s="57">
        <f t="shared" si="133"/>
        <v>1.7041710577403073</v>
      </c>
      <c r="AR1930" s="59">
        <v>5177</v>
      </c>
      <c r="AS1930" s="59">
        <f>SUMIFS(HIX_RatingAreas[Silver Enrollments 2018],HIX_RatingAreas[Area],HIX_SLCSP[[#This Row],[Area Code]])</f>
        <v>3801</v>
      </c>
      <c r="AT1930" s="59">
        <f>SUMIFS(HIX_RatingAreas[Silver Enrollments 2019],HIX_RatingAreas[Area],HIX_SLCSP[[#This Row],[Area Code]])</f>
        <v>3294</v>
      </c>
      <c r="AU1930" s="59">
        <f>SUMIFS(HIX_RatingAreas[Silver Enrollments 2020],HIX_RatingAreas[Area],HIX_SLCSP[[#This Row],[Area Code]])</f>
        <v>2530</v>
      </c>
      <c r="AV1930" s="59">
        <f>SUMIFS(HIX_RatingAreas[Silver Enrollments 2021],HIX_RatingAreas[Area],HIX_SLCSP[[#This Row],[Area Code]])</f>
        <v>2092</v>
      </c>
      <c r="AW1930" s="59">
        <f>SUMIFS(HIX_RatingAreas[Silver Enrollments 2022],HIX_RatingAreas[Area],HIX_SLCSP[[#This Row],[Area Code]])</f>
        <v>3084</v>
      </c>
      <c r="AX1930" s="59">
        <f>SUMIFS(HIX_RatingAreas[Silver Enrollments 2023],HIX_RatingAreas[Area],HIX_SLCSP[[#This Row],[Area Code]])</f>
        <v>4840</v>
      </c>
      <c r="AY1930" s="59">
        <f>SUMIFS(HIX_RatingAreas[Silver Enrollments 2024],HIX_RatingAreas[Area],HIX_SLCSP[[#This Row],[Area Code]])</f>
        <v>7827</v>
      </c>
      <c r="AZ1930" s="59">
        <v>5861</v>
      </c>
      <c r="BA1930">
        <f t="shared" si="122"/>
        <v>2.5279820569777223E-2</v>
      </c>
      <c r="BB1930">
        <f>SUMIFS(HIX_RatingAreas[QHP Enrollments 2018],HIX_RatingAreas[Area],HIX_SLCSP[[#This Row],[Area Code]])</f>
        <v>5136</v>
      </c>
      <c r="BC1930">
        <f t="shared" si="123"/>
        <v>2.3779649324252371E-2</v>
      </c>
      <c r="BD1930">
        <f>SUMIFS(HIX_RatingAreas[QHP Enrollments 2019],HIX_RatingAreas[Area],HIX_SLCSP[[#This Row],[Area Code]])</f>
        <v>5287</v>
      </c>
      <c r="BE1930">
        <f t="shared" si="124"/>
        <v>2.4595731219412345E-2</v>
      </c>
      <c r="BF1930">
        <f>SUMIFS(HIX_RatingAreas[QHP Enrollments 2020],HIX_RatingAreas[Area],HIX_SLCSP[[#This Row],[Area Code]])</f>
        <v>5277</v>
      </c>
      <c r="BG1930">
        <f t="shared" si="125"/>
        <v>2.4655422137083587E-2</v>
      </c>
      <c r="BH1930">
        <f>SUMIFS(HIX_RatingAreas[QHP Enrollments 2021],HIX_RatingAreas[Area],HIX_SLCSP[[#This Row],[Area Code]])</f>
        <v>5675</v>
      </c>
      <c r="BI1930">
        <f t="shared" si="126"/>
        <v>2.466855031514888E-2</v>
      </c>
      <c r="BJ1930">
        <f>SUMIFS(HIX_RatingAreas[QHP Enrollments 2022],HIX_RatingAreas[Area],HIX_SLCSP[[#This Row],[Area Code]])</f>
        <v>7670</v>
      </c>
      <c r="BK1930">
        <f t="shared" si="127"/>
        <v>2.5533303150549948E-2</v>
      </c>
      <c r="BL1930">
        <f>SUMIFS(HIX_RatingAreas[QHP Enrollments 2023],HIX_RatingAreas[Area],HIX_SLCSP[[#This Row],[Area Code]])</f>
        <v>10610</v>
      </c>
      <c r="BM1930">
        <f t="shared" ref="BM1930:BM1974" si="134">BL1930/BL$1928</f>
        <v>2.7704664619498234E-2</v>
      </c>
      <c r="BN1930">
        <f>SUMIFS(HIX_RatingAreas[QHP Enrollments 2024],HIX_RatingAreas[Area],HIX_SLCSP[[#This Row],[Area Code]])</f>
        <v>16960</v>
      </c>
      <c r="BO1930">
        <f t="shared" si="128"/>
        <v>2.9693176347003983E-2</v>
      </c>
      <c r="BP1930" s="53">
        <f>ROUND(HIX_SLCSP[[#This Row],[Weighting Factor 2018]]*HIX_SLCSP[[#This Row],[2018]],2)</f>
        <v>8.76</v>
      </c>
      <c r="BQ1930" s="53">
        <f>ROUND(HIX_SLCSP[[#This Row],[Weighting Factor 2019]]*HIX_SLCSP[[#This Row],[2019]],2)</f>
        <v>12.15</v>
      </c>
      <c r="BR1930" s="53">
        <f>ROUND(HIX_SLCSP[[#This Row],[Weighting Factor 2020]]*HIX_SLCSP[[#This Row],[2020]],2)</f>
        <v>9.98</v>
      </c>
      <c r="BS1930" s="53">
        <f>ROUND(HIX_SLCSP[[#This Row],[Weighting Factor 2021]]*HIX_SLCSP[[#This Row],[2021]],2)</f>
        <v>7.74</v>
      </c>
      <c r="BT1930" s="53">
        <f>ROUND(HIX_SLCSP[[#This Row],[Weighting Factor 2022]]*HIX_SLCSP[[#This Row],[2022]],2)</f>
        <v>7.71</v>
      </c>
      <c r="BU1930" s="53">
        <f>ROUND(HIX_SLCSP[[#This Row],[Weighting Factor 2023]]*HIX_SLCSP[[#This Row],[2023]],2)</f>
        <v>9.58</v>
      </c>
      <c r="BV1930" s="53">
        <f>ROUND(HIX_SLCSP[[#This Row],[Weighting Factor 2024]]*HIX_SLCSP[[#This Row],[2024]],2)</f>
        <v>10.71</v>
      </c>
    </row>
    <row r="1931" spans="4:74" x14ac:dyDescent="0.35">
      <c r="D1931" t="s">
        <v>1662</v>
      </c>
      <c r="E1931" t="s">
        <v>239</v>
      </c>
      <c r="F1931" s="23">
        <v>3</v>
      </c>
      <c r="G1931" s="23" t="s">
        <v>1663</v>
      </c>
      <c r="H1931" s="23" t="s">
        <v>1670</v>
      </c>
      <c r="I1931" s="23">
        <v>70</v>
      </c>
      <c r="J1931" s="53">
        <v>337.48</v>
      </c>
      <c r="K1931" s="53">
        <v>338.29</v>
      </c>
      <c r="L1931" s="53">
        <v>576.51</v>
      </c>
      <c r="M1931" s="54">
        <f t="shared" si="116"/>
        <v>1.7041887138254159</v>
      </c>
      <c r="N1931" s="24">
        <v>56</v>
      </c>
      <c r="O1931" s="55">
        <v>451.49</v>
      </c>
      <c r="P1931" s="56">
        <v>453.72</v>
      </c>
      <c r="Q1931" s="56">
        <v>773.22</v>
      </c>
      <c r="R1931" s="57">
        <f t="shared" si="129"/>
        <v>1.7041787886802433</v>
      </c>
      <c r="S1931" s="23">
        <v>120</v>
      </c>
      <c r="T1931" s="53">
        <v>358.35</v>
      </c>
      <c r="U1931" s="53">
        <v>369.99</v>
      </c>
      <c r="V1931" s="53">
        <v>630.54</v>
      </c>
      <c r="W1931" s="57">
        <f t="shared" si="130"/>
        <v>1.7042082218438335</v>
      </c>
      <c r="X1931" s="23">
        <v>120</v>
      </c>
      <c r="Y1931" s="53">
        <v>306.94</v>
      </c>
      <c r="Z1931" s="53">
        <v>313.60000000000002</v>
      </c>
      <c r="AA1931" s="53">
        <v>534.44000000000005</v>
      </c>
      <c r="AB1931" s="57">
        <f t="shared" si="131"/>
        <v>1.7042091836734694</v>
      </c>
      <c r="AC1931" s="47">
        <v>105</v>
      </c>
      <c r="AD1931" s="57">
        <v>298.52</v>
      </c>
      <c r="AE1931" s="57">
        <v>302.36</v>
      </c>
      <c r="AF1931" s="57">
        <v>515.29</v>
      </c>
      <c r="AG1931" s="57">
        <f t="shared" si="132"/>
        <v>1.7042267495700487</v>
      </c>
      <c r="AH1931" s="47">
        <v>94</v>
      </c>
      <c r="AI1931">
        <v>356.16</v>
      </c>
      <c r="AJ1931">
        <v>356.55</v>
      </c>
      <c r="AK1931">
        <v>607.63</v>
      </c>
      <c r="AL1931" s="57">
        <f t="shared" si="107"/>
        <v>1.7041929603141215</v>
      </c>
      <c r="AM1931" s="47">
        <v>107</v>
      </c>
      <c r="AN1931" s="57">
        <v>364.12</v>
      </c>
      <c r="AO1931" s="57">
        <v>365.8</v>
      </c>
      <c r="AP1931" s="57">
        <v>623.4</v>
      </c>
      <c r="AQ1931" s="57">
        <f t="shared" si="133"/>
        <v>1.7042099507927828</v>
      </c>
      <c r="AR1931" s="59">
        <v>263</v>
      </c>
      <c r="AS1931" s="59">
        <f>SUMIFS(HIX_RatingAreas[Silver Enrollments 2018],HIX_RatingAreas[Area],HIX_SLCSP[[#This Row],[Area Code]])</f>
        <v>166</v>
      </c>
      <c r="AT1931" s="59">
        <f>SUMIFS(HIX_RatingAreas[Silver Enrollments 2019],HIX_RatingAreas[Area],HIX_SLCSP[[#This Row],[Area Code]])</f>
        <v>165</v>
      </c>
      <c r="AU1931" s="59">
        <f>SUMIFS(HIX_RatingAreas[Silver Enrollments 2020],HIX_RatingAreas[Area],HIX_SLCSP[[#This Row],[Area Code]])</f>
        <v>104</v>
      </c>
      <c r="AV1931" s="59">
        <f>SUMIFS(HIX_RatingAreas[Silver Enrollments 2021],HIX_RatingAreas[Area],HIX_SLCSP[[#This Row],[Area Code]])</f>
        <v>87</v>
      </c>
      <c r="AW1931" s="59">
        <f>SUMIFS(HIX_RatingAreas[Silver Enrollments 2022],HIX_RatingAreas[Area],HIX_SLCSP[[#This Row],[Area Code]])</f>
        <v>194</v>
      </c>
      <c r="AX1931" s="59">
        <f>SUMIFS(HIX_RatingAreas[Silver Enrollments 2023],HIX_RatingAreas[Area],HIX_SLCSP[[#This Row],[Area Code]])</f>
        <v>320</v>
      </c>
      <c r="AY1931" s="59">
        <f>SUMIFS(HIX_RatingAreas[Silver Enrollments 2024],HIX_RatingAreas[Area],HIX_SLCSP[[#This Row],[Area Code]])</f>
        <v>553</v>
      </c>
      <c r="AZ1931" s="59">
        <v>299</v>
      </c>
      <c r="BA1931">
        <f t="shared" si="122"/>
        <v>1.2896547262179474E-3</v>
      </c>
      <c r="BB1931">
        <f>SUMIFS(HIX_RatingAreas[QHP Enrollments 2018],HIX_RatingAreas[Area],HIX_SLCSP[[#This Row],[Area Code]])</f>
        <v>206</v>
      </c>
      <c r="BC1931">
        <f t="shared" si="123"/>
        <v>9.5377876962538714E-4</v>
      </c>
      <c r="BD1931">
        <f>SUMIFS(HIX_RatingAreas[QHP Enrollments 2019],HIX_RatingAreas[Area],HIX_SLCSP[[#This Row],[Area Code]])</f>
        <v>259</v>
      </c>
      <c r="BE1931">
        <f t="shared" si="124"/>
        <v>1.2048977465155661E-3</v>
      </c>
      <c r="BF1931">
        <f>SUMIFS(HIX_RatingAreas[QHP Enrollments 2020],HIX_RatingAreas[Area],HIX_SLCSP[[#This Row],[Area Code]])</f>
        <v>221</v>
      </c>
      <c r="BG1931">
        <f t="shared" si="125"/>
        <v>1.0325655281969816E-3</v>
      </c>
      <c r="BH1931">
        <f>SUMIFS(HIX_RatingAreas[QHP Enrollments 2021],HIX_RatingAreas[Area],HIX_SLCSP[[#This Row],[Area Code]])</f>
        <v>232</v>
      </c>
      <c r="BI1931">
        <f t="shared" si="126"/>
        <v>1.008476418169963E-3</v>
      </c>
      <c r="BJ1931">
        <f>SUMIFS(HIX_RatingAreas[QHP Enrollments 2022],HIX_RatingAreas[Area],HIX_SLCSP[[#This Row],[Area Code]])</f>
        <v>384</v>
      </c>
      <c r="BK1931">
        <f t="shared" si="127"/>
        <v>1.2783296492583024E-3</v>
      </c>
      <c r="BL1931">
        <f>SUMIFS(HIX_RatingAreas[QHP Enrollments 2023],HIX_RatingAreas[Area],HIX_SLCSP[[#This Row],[Area Code]])</f>
        <v>624</v>
      </c>
      <c r="BM1931">
        <f t="shared" si="134"/>
        <v>1.6293789559440998E-3</v>
      </c>
      <c r="BN1931">
        <f>SUMIFS(HIX_RatingAreas[QHP Enrollments 2024],HIX_RatingAreas[Area],HIX_SLCSP[[#This Row],[Area Code]])</f>
        <v>1204</v>
      </c>
      <c r="BO1931">
        <f t="shared" si="128"/>
        <v>2.1079353963321225E-3</v>
      </c>
      <c r="BP1931" s="53">
        <f>ROUND(HIX_SLCSP[[#This Row],[Weighting Factor 2018]]*HIX_SLCSP[[#This Row],[2018]],2)</f>
        <v>0.32</v>
      </c>
      <c r="BQ1931" s="53">
        <f>ROUND(HIX_SLCSP[[#This Row],[Weighting Factor 2019]]*HIX_SLCSP[[#This Row],[2019]],2)</f>
        <v>0.55000000000000004</v>
      </c>
      <c r="BR1931" s="53">
        <f>ROUND(HIX_SLCSP[[#This Row],[Weighting Factor 2020]]*HIX_SLCSP[[#This Row],[2020]],2)</f>
        <v>0.38</v>
      </c>
      <c r="BS1931" s="53">
        <f>ROUND(HIX_SLCSP[[#This Row],[Weighting Factor 2021]]*HIX_SLCSP[[#This Row],[2021]],2)</f>
        <v>0.32</v>
      </c>
      <c r="BT1931" s="53">
        <f>ROUND(HIX_SLCSP[[#This Row],[Weighting Factor 2022]]*HIX_SLCSP[[#This Row],[2022]],2)</f>
        <v>0.39</v>
      </c>
      <c r="BU1931" s="53">
        <f>ROUND(HIX_SLCSP[[#This Row],[Weighting Factor 2023]]*HIX_SLCSP[[#This Row],[2023]],2)</f>
        <v>0.57999999999999996</v>
      </c>
      <c r="BV1931" s="53">
        <f>ROUND(HIX_SLCSP[[#This Row],[Weighting Factor 2024]]*HIX_SLCSP[[#This Row],[2024]],2)</f>
        <v>0.77</v>
      </c>
    </row>
    <row r="1932" spans="4:74" x14ac:dyDescent="0.35">
      <c r="D1932" t="s">
        <v>1662</v>
      </c>
      <c r="E1932" t="s">
        <v>255</v>
      </c>
      <c r="F1932" s="23">
        <v>4</v>
      </c>
      <c r="G1932" s="23" t="s">
        <v>1663</v>
      </c>
      <c r="H1932" s="23" t="s">
        <v>1673</v>
      </c>
      <c r="I1932" s="23">
        <v>70</v>
      </c>
      <c r="J1932" s="53">
        <v>371.72</v>
      </c>
      <c r="K1932" s="53">
        <v>372.61</v>
      </c>
      <c r="L1932" s="53">
        <v>635.01</v>
      </c>
      <c r="M1932" s="54">
        <f t="shared" si="116"/>
        <v>1.7042215721531895</v>
      </c>
      <c r="N1932" s="24">
        <v>56</v>
      </c>
      <c r="O1932" s="24">
        <v>497.43</v>
      </c>
      <c r="P1932" s="56">
        <v>499.88</v>
      </c>
      <c r="Q1932" s="56">
        <v>851.9</v>
      </c>
      <c r="R1932" s="57">
        <f t="shared" si="129"/>
        <v>1.704209010162439</v>
      </c>
      <c r="S1932" s="23">
        <v>78</v>
      </c>
      <c r="T1932" s="53">
        <v>426.17</v>
      </c>
      <c r="U1932" s="53">
        <v>462.19</v>
      </c>
      <c r="V1932" s="53">
        <v>787.66</v>
      </c>
      <c r="W1932" s="57">
        <f t="shared" si="130"/>
        <v>1.7041909171552825</v>
      </c>
      <c r="X1932" s="23">
        <v>78</v>
      </c>
      <c r="Y1932" s="53">
        <v>338.89</v>
      </c>
      <c r="Z1932" s="53">
        <v>346.25</v>
      </c>
      <c r="AA1932" s="53">
        <v>590.07000000000005</v>
      </c>
      <c r="AB1932" s="57">
        <f t="shared" si="131"/>
        <v>1.704173285198556</v>
      </c>
      <c r="AC1932" s="47">
        <v>65</v>
      </c>
      <c r="AD1932" s="57">
        <v>339.97</v>
      </c>
      <c r="AE1932" s="57">
        <v>344.35</v>
      </c>
      <c r="AF1932" s="57">
        <v>586.84</v>
      </c>
      <c r="AG1932" s="57">
        <f t="shared" si="132"/>
        <v>1.7041963118919703</v>
      </c>
      <c r="AH1932" s="47">
        <v>90</v>
      </c>
      <c r="AI1932">
        <v>428.34</v>
      </c>
      <c r="AJ1932">
        <v>431.58</v>
      </c>
      <c r="AK1932">
        <v>735.5</v>
      </c>
      <c r="AL1932" s="57">
        <f t="shared" si="107"/>
        <v>1.7042031604800965</v>
      </c>
      <c r="AM1932" s="47">
        <v>99</v>
      </c>
      <c r="AN1932" s="57">
        <v>423.02</v>
      </c>
      <c r="AO1932" s="57">
        <v>426.91</v>
      </c>
      <c r="AP1932" s="57">
        <v>727.54</v>
      </c>
      <c r="AQ1932" s="57">
        <f t="shared" si="133"/>
        <v>1.7041999484668897</v>
      </c>
      <c r="AR1932" s="59">
        <v>7816</v>
      </c>
      <c r="AS1932" s="59">
        <f>SUMIFS(HIX_RatingAreas[Silver Enrollments 2018],HIX_RatingAreas[Area],HIX_SLCSP[[#This Row],[Area Code]])</f>
        <v>5861</v>
      </c>
      <c r="AT1932" s="59">
        <f>SUMIFS(HIX_RatingAreas[Silver Enrollments 2019],HIX_RatingAreas[Area],HIX_SLCSP[[#This Row],[Area Code]])</f>
        <v>4543</v>
      </c>
      <c r="AU1932" s="59">
        <f>SUMIFS(HIX_RatingAreas[Silver Enrollments 2020],HIX_RatingAreas[Area],HIX_SLCSP[[#This Row],[Area Code]])</f>
        <v>3944</v>
      </c>
      <c r="AV1932" s="59">
        <f>SUMIFS(HIX_RatingAreas[Silver Enrollments 2021],HIX_RatingAreas[Area],HIX_SLCSP[[#This Row],[Area Code]])</f>
        <v>3986</v>
      </c>
      <c r="AW1932" s="59">
        <f>SUMIFS(HIX_RatingAreas[Silver Enrollments 2022],HIX_RatingAreas[Area],HIX_SLCSP[[#This Row],[Area Code]])</f>
        <v>4623</v>
      </c>
      <c r="AX1932" s="59">
        <f>SUMIFS(HIX_RatingAreas[Silver Enrollments 2023],HIX_RatingAreas[Area],HIX_SLCSP[[#This Row],[Area Code]])</f>
        <v>5979</v>
      </c>
      <c r="AY1932" s="59">
        <f>SUMIFS(HIX_RatingAreas[Silver Enrollments 2024],HIX_RatingAreas[Area],HIX_SLCSP[[#This Row],[Area Code]])</f>
        <v>9571</v>
      </c>
      <c r="AZ1932" s="59">
        <v>8767</v>
      </c>
      <c r="BA1932">
        <f t="shared" si="122"/>
        <v>3.7814056805193126E-2</v>
      </c>
      <c r="BB1932">
        <f>SUMIFS(HIX_RatingAreas[QHP Enrollments 2018],HIX_RatingAreas[Area],HIX_SLCSP[[#This Row],[Area Code]])</f>
        <v>8195</v>
      </c>
      <c r="BC1932">
        <f t="shared" si="123"/>
        <v>3.794280105378664E-2</v>
      </c>
      <c r="BD1932">
        <f>SUMIFS(HIX_RatingAreas[QHP Enrollments 2019],HIX_RatingAreas[Area],HIX_SLCSP[[#This Row],[Area Code]])</f>
        <v>8109</v>
      </c>
      <c r="BE1932">
        <f t="shared" si="124"/>
        <v>3.7723999330095459E-2</v>
      </c>
      <c r="BF1932">
        <f>SUMIFS(HIX_RatingAreas[QHP Enrollments 2020],HIX_RatingAreas[Area],HIX_SLCSP[[#This Row],[Area Code]])</f>
        <v>8242</v>
      </c>
      <c r="BG1932">
        <f t="shared" si="125"/>
        <v>3.8508620286875669E-2</v>
      </c>
      <c r="BH1932">
        <f>SUMIFS(HIX_RatingAreas[QHP Enrollments 2021],HIX_RatingAreas[Area],HIX_SLCSP[[#This Row],[Area Code]])</f>
        <v>8892</v>
      </c>
      <c r="BI1932">
        <f t="shared" si="126"/>
        <v>3.8652466855031514E-2</v>
      </c>
      <c r="BJ1932">
        <f>SUMIFS(HIX_RatingAreas[QHP Enrollments 2022],HIX_RatingAreas[Area],HIX_SLCSP[[#This Row],[Area Code]])</f>
        <v>11595</v>
      </c>
      <c r="BK1932">
        <f t="shared" si="127"/>
        <v>3.8599563237369836E-2</v>
      </c>
      <c r="BL1932">
        <f>SUMIFS(HIX_RatingAreas[QHP Enrollments 2023],HIX_RatingAreas[Area],HIX_SLCSP[[#This Row],[Area Code]])</f>
        <v>14612</v>
      </c>
      <c r="BM1932">
        <f t="shared" si="134"/>
        <v>3.8154623885024337E-2</v>
      </c>
      <c r="BN1932">
        <f>SUMIFS(HIX_RatingAreas[QHP Enrollments 2024],HIX_RatingAreas[Area],HIX_SLCSP[[#This Row],[Area Code]])</f>
        <v>22006</v>
      </c>
      <c r="BO1932">
        <f t="shared" si="128"/>
        <v>3.8527596621000568E-2</v>
      </c>
      <c r="BP1932" s="53">
        <f>ROUND(HIX_SLCSP[[#This Row],[Weighting Factor 2018]]*HIX_SLCSP[[#This Row],[2018]],2)</f>
        <v>14.14</v>
      </c>
      <c r="BQ1932" s="53">
        <f>ROUND(HIX_SLCSP[[#This Row],[Weighting Factor 2019]]*HIX_SLCSP[[#This Row],[2019]],2)</f>
        <v>18.86</v>
      </c>
      <c r="BR1932" s="53">
        <f>ROUND(HIX_SLCSP[[#This Row],[Weighting Factor 2020]]*HIX_SLCSP[[#This Row],[2020]],2)</f>
        <v>17.8</v>
      </c>
      <c r="BS1932" s="53">
        <f>ROUND(HIX_SLCSP[[#This Row],[Weighting Factor 2021]]*HIX_SLCSP[[#This Row],[2021]],2)</f>
        <v>13.38</v>
      </c>
      <c r="BT1932" s="53">
        <f>ROUND(HIX_SLCSP[[#This Row],[Weighting Factor 2022]]*HIX_SLCSP[[#This Row],[2022]],2)</f>
        <v>13.29</v>
      </c>
      <c r="BU1932" s="53">
        <f>ROUND(HIX_SLCSP[[#This Row],[Weighting Factor 2023]]*HIX_SLCSP[[#This Row],[2023]],2)</f>
        <v>16.47</v>
      </c>
      <c r="BV1932" s="53">
        <f>ROUND(HIX_SLCSP[[#This Row],[Weighting Factor 2024]]*HIX_SLCSP[[#This Row],[2024]],2)</f>
        <v>16.45</v>
      </c>
    </row>
    <row r="1933" spans="4:74" x14ac:dyDescent="0.35">
      <c r="D1933" t="s">
        <v>1662</v>
      </c>
      <c r="E1933" t="s">
        <v>259</v>
      </c>
      <c r="F1933" s="23">
        <v>5</v>
      </c>
      <c r="G1933" s="23" t="s">
        <v>1663</v>
      </c>
      <c r="H1933" s="23" t="s">
        <v>1676</v>
      </c>
      <c r="I1933" s="23">
        <v>70</v>
      </c>
      <c r="J1933" s="53">
        <v>334.75</v>
      </c>
      <c r="K1933" s="53">
        <v>335.56</v>
      </c>
      <c r="L1933" s="53">
        <v>571.85</v>
      </c>
      <c r="M1933" s="54">
        <f t="shared" si="116"/>
        <v>1.7041661699845037</v>
      </c>
      <c r="N1933" s="24">
        <v>56</v>
      </c>
      <c r="O1933" s="55">
        <v>447.87</v>
      </c>
      <c r="P1933" s="56">
        <v>450.08</v>
      </c>
      <c r="Q1933" s="56">
        <v>767.02</v>
      </c>
      <c r="R1933" s="57">
        <f t="shared" si="129"/>
        <v>1.7041859225026663</v>
      </c>
      <c r="S1933" s="23">
        <v>120</v>
      </c>
      <c r="T1933" s="23">
        <v>365.39</v>
      </c>
      <c r="U1933" s="23">
        <v>377.25</v>
      </c>
      <c r="V1933" s="23">
        <v>642.91999999999996</v>
      </c>
      <c r="W1933" s="57">
        <f t="shared" si="130"/>
        <v>1.7042279655400927</v>
      </c>
      <c r="X1933" s="23">
        <v>120</v>
      </c>
      <c r="Y1933" s="23">
        <v>314.64999999999998</v>
      </c>
      <c r="Z1933" s="23">
        <v>321.48</v>
      </c>
      <c r="AA1933" s="23">
        <v>547.87</v>
      </c>
      <c r="AB1933" s="57">
        <f t="shared" si="131"/>
        <v>1.7042117705611546</v>
      </c>
      <c r="AC1933" s="47">
        <v>105</v>
      </c>
      <c r="AD1933" s="57">
        <v>299.76</v>
      </c>
      <c r="AE1933" s="57">
        <v>303.62</v>
      </c>
      <c r="AF1933" s="57">
        <v>517.41999999999996</v>
      </c>
      <c r="AG1933" s="57">
        <f t="shared" si="132"/>
        <v>1.7041696857914497</v>
      </c>
      <c r="AH1933" s="47">
        <v>94</v>
      </c>
      <c r="AI1933">
        <v>351.7</v>
      </c>
      <c r="AJ1933">
        <v>355.86</v>
      </c>
      <c r="AK1933">
        <v>606.45000000000005</v>
      </c>
      <c r="AL1933" s="57">
        <f t="shared" si="107"/>
        <v>1.7041814196594167</v>
      </c>
      <c r="AM1933" s="47">
        <v>107</v>
      </c>
      <c r="AN1933" s="57">
        <v>362.92</v>
      </c>
      <c r="AO1933" s="57">
        <v>366.25</v>
      </c>
      <c r="AP1933" s="57">
        <v>624.16999999999996</v>
      </c>
      <c r="AQ1933" s="57">
        <f t="shared" si="133"/>
        <v>1.7042184300341296</v>
      </c>
      <c r="AR1933" s="59">
        <v>469</v>
      </c>
      <c r="AS1933" s="59">
        <f>SUMIFS(HIX_RatingAreas[Silver Enrollments 2018],HIX_RatingAreas[Area],HIX_SLCSP[[#This Row],[Area Code]])</f>
        <v>381</v>
      </c>
      <c r="AT1933" s="59">
        <f>SUMIFS(HIX_RatingAreas[Silver Enrollments 2019],HIX_RatingAreas[Area],HIX_SLCSP[[#This Row],[Area Code]])</f>
        <v>348</v>
      </c>
      <c r="AU1933" s="59">
        <f>SUMIFS(HIX_RatingAreas[Silver Enrollments 2020],HIX_RatingAreas[Area],HIX_SLCSP[[#This Row],[Area Code]])</f>
        <v>219</v>
      </c>
      <c r="AV1933" s="59">
        <f>SUMIFS(HIX_RatingAreas[Silver Enrollments 2021],HIX_RatingAreas[Area],HIX_SLCSP[[#This Row],[Area Code]])</f>
        <v>205</v>
      </c>
      <c r="AW1933" s="59">
        <f>SUMIFS(HIX_RatingAreas[Silver Enrollments 2022],HIX_RatingAreas[Area],HIX_SLCSP[[#This Row],[Area Code]])</f>
        <v>250</v>
      </c>
      <c r="AX1933" s="59">
        <f>SUMIFS(HIX_RatingAreas[Silver Enrollments 2023],HIX_RatingAreas[Area],HIX_SLCSP[[#This Row],[Area Code]])</f>
        <v>467</v>
      </c>
      <c r="AY1933" s="59">
        <f>SUMIFS(HIX_RatingAreas[Silver Enrollments 2024],HIX_RatingAreas[Area],HIX_SLCSP[[#This Row],[Area Code]])</f>
        <v>855</v>
      </c>
      <c r="AZ1933" s="59">
        <v>518</v>
      </c>
      <c r="BA1933">
        <f t="shared" si="122"/>
        <v>2.2342513317086849E-3</v>
      </c>
      <c r="BB1933">
        <f>SUMIFS(HIX_RatingAreas[QHP Enrollments 2018],HIX_RatingAreas[Area],HIX_SLCSP[[#This Row],[Area Code]])</f>
        <v>497</v>
      </c>
      <c r="BC1933">
        <f t="shared" si="123"/>
        <v>2.3011070315719293E-3</v>
      </c>
      <c r="BD1933">
        <f>SUMIFS(HIX_RatingAreas[QHP Enrollments 2019],HIX_RatingAreas[Area],HIX_SLCSP[[#This Row],[Area Code]])</f>
        <v>556</v>
      </c>
      <c r="BE1933">
        <f t="shared" si="124"/>
        <v>2.5865758573847672E-3</v>
      </c>
      <c r="BF1933">
        <f>SUMIFS(HIX_RatingAreas[QHP Enrollments 2020],HIX_RatingAreas[Area],HIX_SLCSP[[#This Row],[Area Code]])</f>
        <v>484</v>
      </c>
      <c r="BG1933">
        <f t="shared" si="125"/>
        <v>2.2613652291734805E-3</v>
      </c>
      <c r="BH1933">
        <f>SUMIFS(HIX_RatingAreas[QHP Enrollments 2021],HIX_RatingAreas[Area],HIX_SLCSP[[#This Row],[Area Code]])</f>
        <v>512</v>
      </c>
      <c r="BI1933">
        <f t="shared" si="126"/>
        <v>2.2256031297544013E-3</v>
      </c>
      <c r="BJ1933">
        <f>SUMIFS(HIX_RatingAreas[QHP Enrollments 2022],HIX_RatingAreas[Area],HIX_SLCSP[[#This Row],[Area Code]])</f>
        <v>629</v>
      </c>
      <c r="BK1933">
        <f t="shared" si="127"/>
        <v>2.0939305973527922E-3</v>
      </c>
      <c r="BL1933">
        <f>SUMIFS(HIX_RatingAreas[QHP Enrollments 2023],HIX_RatingAreas[Area],HIX_SLCSP[[#This Row],[Area Code]])</f>
        <v>934</v>
      </c>
      <c r="BM1933">
        <f t="shared" si="134"/>
        <v>2.4388460654676107E-3</v>
      </c>
      <c r="BN1933">
        <f>SUMIFS(HIX_RatingAreas[QHP Enrollments 2024],HIX_RatingAreas[Area],HIX_SLCSP[[#This Row],[Area Code]])</f>
        <v>1728</v>
      </c>
      <c r="BO1933">
        <f t="shared" si="128"/>
        <v>3.0253424957324814E-3</v>
      </c>
      <c r="BP1933" s="53">
        <f>ROUND(HIX_SLCSP[[#This Row],[Weighting Factor 2018]]*HIX_SLCSP[[#This Row],[2018]],2)</f>
        <v>0.77</v>
      </c>
      <c r="BQ1933" s="53">
        <f>ROUND(HIX_SLCSP[[#This Row],[Weighting Factor 2019]]*HIX_SLCSP[[#This Row],[2019]],2)</f>
        <v>1.1599999999999999</v>
      </c>
      <c r="BR1933" s="53">
        <f>ROUND(HIX_SLCSP[[#This Row],[Weighting Factor 2020]]*HIX_SLCSP[[#This Row],[2020]],2)</f>
        <v>0.85</v>
      </c>
      <c r="BS1933" s="53">
        <f>ROUND(HIX_SLCSP[[#This Row],[Weighting Factor 2021]]*HIX_SLCSP[[#This Row],[2021]],2)</f>
        <v>0.72</v>
      </c>
      <c r="BT1933" s="53">
        <f>ROUND(HIX_SLCSP[[#This Row],[Weighting Factor 2022]]*HIX_SLCSP[[#This Row],[2022]],2)</f>
        <v>0.64</v>
      </c>
      <c r="BU1933" s="53">
        <f>ROUND(HIX_SLCSP[[#This Row],[Weighting Factor 2023]]*HIX_SLCSP[[#This Row],[2023]],2)</f>
        <v>0.87</v>
      </c>
      <c r="BV1933" s="53">
        <f>ROUND(HIX_SLCSP[[#This Row],[Weighting Factor 2024]]*HIX_SLCSP[[#This Row],[2024]],2)</f>
        <v>1.1100000000000001</v>
      </c>
    </row>
    <row r="1934" spans="4:74" x14ac:dyDescent="0.35">
      <c r="D1934" t="s">
        <v>1662</v>
      </c>
      <c r="E1934" t="s">
        <v>265</v>
      </c>
      <c r="F1934" s="23">
        <v>6</v>
      </c>
      <c r="G1934" s="23" t="s">
        <v>1663</v>
      </c>
      <c r="H1934" s="23" t="s">
        <v>1679</v>
      </c>
      <c r="I1934" s="23">
        <v>70</v>
      </c>
      <c r="J1934" s="53">
        <v>372.06</v>
      </c>
      <c r="K1934" s="53">
        <v>372.95</v>
      </c>
      <c r="L1934" s="53">
        <v>635.59</v>
      </c>
      <c r="M1934" s="54">
        <f t="shared" si="116"/>
        <v>1.7042230862045853</v>
      </c>
      <c r="N1934" s="24">
        <v>56</v>
      </c>
      <c r="O1934" s="55">
        <v>497.88</v>
      </c>
      <c r="P1934" s="56">
        <v>500.34</v>
      </c>
      <c r="Q1934" s="56">
        <v>852.68</v>
      </c>
      <c r="R1934" s="57">
        <f t="shared" si="129"/>
        <v>1.7042011432226085</v>
      </c>
      <c r="S1934" s="23">
        <v>120</v>
      </c>
      <c r="T1934" s="53">
        <v>386.35</v>
      </c>
      <c r="U1934" s="53">
        <v>398.89</v>
      </c>
      <c r="V1934" s="53">
        <v>679.79</v>
      </c>
      <c r="W1934" s="57">
        <f t="shared" si="130"/>
        <v>1.7042041665622101</v>
      </c>
      <c r="X1934" s="23">
        <v>120</v>
      </c>
      <c r="Y1934" s="53">
        <v>307.10000000000002</v>
      </c>
      <c r="Z1934" s="53">
        <v>313.76</v>
      </c>
      <c r="AA1934" s="53">
        <v>534.71</v>
      </c>
      <c r="AB1934" s="57">
        <f t="shared" si="131"/>
        <v>1.7042006629270783</v>
      </c>
      <c r="AC1934" s="47">
        <v>57</v>
      </c>
      <c r="AD1934" s="57">
        <v>293.11</v>
      </c>
      <c r="AE1934" s="57">
        <v>296.88</v>
      </c>
      <c r="AF1934" s="57">
        <v>505.94</v>
      </c>
      <c r="AG1934" s="57">
        <f t="shared" si="132"/>
        <v>1.7041902452169226</v>
      </c>
      <c r="AH1934" s="47">
        <v>94</v>
      </c>
      <c r="AI1934">
        <v>362.05</v>
      </c>
      <c r="AJ1934">
        <v>362.39</v>
      </c>
      <c r="AK1934">
        <v>617.59</v>
      </c>
      <c r="AL1934" s="57">
        <f t="shared" si="107"/>
        <v>1.7042136924308067</v>
      </c>
      <c r="AM1934" s="47">
        <v>107</v>
      </c>
      <c r="AN1934" s="57">
        <v>371.45</v>
      </c>
      <c r="AO1934" s="57">
        <v>373.12</v>
      </c>
      <c r="AP1934" s="57">
        <v>635.88</v>
      </c>
      <c r="AQ1934" s="57">
        <f t="shared" si="133"/>
        <v>1.7042238421955402</v>
      </c>
      <c r="AR1934" s="59">
        <v>531</v>
      </c>
      <c r="AS1934" s="59">
        <f>SUMIFS(HIX_RatingAreas[Silver Enrollments 2018],HIX_RatingAreas[Area],HIX_SLCSP[[#This Row],[Area Code]])</f>
        <v>421</v>
      </c>
      <c r="AT1934" s="59">
        <f>SUMIFS(HIX_RatingAreas[Silver Enrollments 2019],HIX_RatingAreas[Area],HIX_SLCSP[[#This Row],[Area Code]])</f>
        <v>329</v>
      </c>
      <c r="AU1934" s="59">
        <f>SUMIFS(HIX_RatingAreas[Silver Enrollments 2020],HIX_RatingAreas[Area],HIX_SLCSP[[#This Row],[Area Code]])</f>
        <v>243</v>
      </c>
      <c r="AV1934" s="59">
        <f>SUMIFS(HIX_RatingAreas[Silver Enrollments 2021],HIX_RatingAreas[Area],HIX_SLCSP[[#This Row],[Area Code]])</f>
        <v>203</v>
      </c>
      <c r="AW1934" s="59">
        <f>SUMIFS(HIX_RatingAreas[Silver Enrollments 2022],HIX_RatingAreas[Area],HIX_SLCSP[[#This Row],[Area Code]])</f>
        <v>346</v>
      </c>
      <c r="AX1934" s="59">
        <f>SUMIFS(HIX_RatingAreas[Silver Enrollments 2023],HIX_RatingAreas[Area],HIX_SLCSP[[#This Row],[Area Code]])</f>
        <v>489</v>
      </c>
      <c r="AY1934" s="59">
        <f>SUMIFS(HIX_RatingAreas[Silver Enrollments 2024],HIX_RatingAreas[Area],HIX_SLCSP[[#This Row],[Area Code]])</f>
        <v>950</v>
      </c>
      <c r="AZ1934" s="59">
        <v>600</v>
      </c>
      <c r="BA1934">
        <f t="shared" si="122"/>
        <v>2.587935905454075E-3</v>
      </c>
      <c r="BB1934">
        <f>SUMIFS(HIX_RatingAreas[QHP Enrollments 2018],HIX_RatingAreas[Area],HIX_SLCSP[[#This Row],[Area Code]])</f>
        <v>535</v>
      </c>
      <c r="BC1934">
        <f t="shared" si="123"/>
        <v>2.4770468046096221E-3</v>
      </c>
      <c r="BD1934">
        <f>SUMIFS(HIX_RatingAreas[QHP Enrollments 2019],HIX_RatingAreas[Area],HIX_SLCSP[[#This Row],[Area Code]])</f>
        <v>520</v>
      </c>
      <c r="BE1934">
        <f t="shared" si="124"/>
        <v>2.4190997227339548E-3</v>
      </c>
      <c r="BF1934">
        <f>SUMIFS(HIX_RatingAreas[QHP Enrollments 2020],HIX_RatingAreas[Area],HIX_SLCSP[[#This Row],[Area Code]])</f>
        <v>545</v>
      </c>
      <c r="BG1934">
        <f t="shared" si="125"/>
        <v>2.5463720039246834E-3</v>
      </c>
      <c r="BH1934">
        <f>SUMIFS(HIX_RatingAreas[QHP Enrollments 2021],HIX_RatingAreas[Area],HIX_SLCSP[[#This Row],[Area Code]])</f>
        <v>534</v>
      </c>
      <c r="BI1934">
        <f t="shared" si="126"/>
        <v>2.3212345142360358E-3</v>
      </c>
      <c r="BJ1934">
        <f>SUMIFS(HIX_RatingAreas[QHP Enrollments 2022],HIX_RatingAreas[Area],HIX_SLCSP[[#This Row],[Area Code]])</f>
        <v>745</v>
      </c>
      <c r="BK1934">
        <f t="shared" si="127"/>
        <v>2.4800926788995713E-3</v>
      </c>
      <c r="BL1934">
        <f>SUMIFS(HIX_RatingAreas[QHP Enrollments 2023],HIX_RatingAreas[Area],HIX_SLCSP[[#This Row],[Area Code]])</f>
        <v>1013</v>
      </c>
      <c r="BM1934">
        <f t="shared" si="134"/>
        <v>2.6451296191848926E-3</v>
      </c>
      <c r="BN1934">
        <f>SUMIFS(HIX_RatingAreas[QHP Enrollments 2024],HIX_RatingAreas[Area],HIX_SLCSP[[#This Row],[Area Code]])</f>
        <v>1985</v>
      </c>
      <c r="BO1934">
        <f t="shared" si="128"/>
        <v>3.4752921608963978E-3</v>
      </c>
      <c r="BP1934" s="53">
        <f>ROUND(HIX_SLCSP[[#This Row],[Weighting Factor 2018]]*HIX_SLCSP[[#This Row],[2018]],2)</f>
        <v>0.92</v>
      </c>
      <c r="BQ1934" s="53">
        <f>ROUND(HIX_SLCSP[[#This Row],[Weighting Factor 2019]]*HIX_SLCSP[[#This Row],[2019]],2)</f>
        <v>1.21</v>
      </c>
      <c r="BR1934" s="53">
        <f>ROUND(HIX_SLCSP[[#This Row],[Weighting Factor 2020]]*HIX_SLCSP[[#This Row],[2020]],2)</f>
        <v>1.02</v>
      </c>
      <c r="BS1934" s="53">
        <f>ROUND(HIX_SLCSP[[#This Row],[Weighting Factor 2021]]*HIX_SLCSP[[#This Row],[2021]],2)</f>
        <v>0.73</v>
      </c>
      <c r="BT1934" s="53">
        <f>ROUND(HIX_SLCSP[[#This Row],[Weighting Factor 2022]]*HIX_SLCSP[[#This Row],[2022]],2)</f>
        <v>0.74</v>
      </c>
      <c r="BU1934" s="53">
        <f>ROUND(HIX_SLCSP[[#This Row],[Weighting Factor 2023]]*HIX_SLCSP[[#This Row],[2023]],2)</f>
        <v>0.96</v>
      </c>
      <c r="BV1934" s="53">
        <f>ROUND(HIX_SLCSP[[#This Row],[Weighting Factor 2024]]*HIX_SLCSP[[#This Row],[2024]],2)</f>
        <v>1.3</v>
      </c>
    </row>
    <row r="1935" spans="4:74" x14ac:dyDescent="0.35">
      <c r="D1935" t="s">
        <v>1662</v>
      </c>
      <c r="E1935" t="s">
        <v>273</v>
      </c>
      <c r="F1935" s="23">
        <v>7</v>
      </c>
      <c r="G1935" s="23" t="s">
        <v>1663</v>
      </c>
      <c r="H1935" s="23" t="s">
        <v>1682</v>
      </c>
      <c r="I1935" s="23">
        <v>70</v>
      </c>
      <c r="J1935" s="53">
        <v>327.60000000000002</v>
      </c>
      <c r="K1935" s="53">
        <v>328.38</v>
      </c>
      <c r="L1935" s="53">
        <v>559.63</v>
      </c>
      <c r="M1935" s="54">
        <f t="shared" si="116"/>
        <v>1.7042146293927767</v>
      </c>
      <c r="N1935" s="24">
        <v>56</v>
      </c>
      <c r="O1935" s="55">
        <v>438.36</v>
      </c>
      <c r="P1935" s="56">
        <v>440.53</v>
      </c>
      <c r="Q1935" s="56">
        <v>750.74</v>
      </c>
      <c r="R1935" s="57">
        <f t="shared" si="129"/>
        <v>1.7041745170589973</v>
      </c>
      <c r="S1935" s="23">
        <v>104</v>
      </c>
      <c r="T1935" s="53">
        <v>409.96</v>
      </c>
      <c r="U1935" s="53">
        <v>416.77</v>
      </c>
      <c r="V1935" s="53">
        <v>710.27</v>
      </c>
      <c r="W1935" s="57">
        <f t="shared" si="130"/>
        <v>1.704225352112676</v>
      </c>
      <c r="X1935" s="23">
        <v>104</v>
      </c>
      <c r="Y1935" s="53">
        <v>311.19</v>
      </c>
      <c r="Z1935" s="53">
        <v>317.94</v>
      </c>
      <c r="AA1935" s="53">
        <v>541.84</v>
      </c>
      <c r="AB1935" s="57">
        <f t="shared" si="131"/>
        <v>1.7042209221865763</v>
      </c>
      <c r="AC1935" s="47">
        <v>57</v>
      </c>
      <c r="AD1935" s="57">
        <v>316.45999999999998</v>
      </c>
      <c r="AE1935" s="57">
        <v>320.54000000000002</v>
      </c>
      <c r="AF1935" s="57">
        <v>546.26</v>
      </c>
      <c r="AG1935" s="57">
        <f t="shared" si="132"/>
        <v>1.7041866849691145</v>
      </c>
      <c r="AH1935" s="47">
        <v>94</v>
      </c>
      <c r="AI1935">
        <v>389.98</v>
      </c>
      <c r="AJ1935">
        <v>392.93</v>
      </c>
      <c r="AK1935">
        <v>669.64</v>
      </c>
      <c r="AL1935" s="57">
        <f t="shared" si="107"/>
        <v>1.7042221260784363</v>
      </c>
      <c r="AM1935" s="47">
        <v>107</v>
      </c>
      <c r="AN1935" s="57">
        <v>389.18</v>
      </c>
      <c r="AO1935" s="57">
        <v>390.98</v>
      </c>
      <c r="AP1935" s="57">
        <v>666.3</v>
      </c>
      <c r="AQ1935" s="57">
        <f t="shared" si="133"/>
        <v>1.7041792419049566</v>
      </c>
      <c r="AR1935" s="59">
        <v>7647</v>
      </c>
      <c r="AS1935" s="59">
        <f>SUMIFS(HIX_RatingAreas[Silver Enrollments 2018],HIX_RatingAreas[Area],HIX_SLCSP[[#This Row],[Area Code]])</f>
        <v>5897</v>
      </c>
      <c r="AT1935" s="59">
        <f>SUMIFS(HIX_RatingAreas[Silver Enrollments 2019],HIX_RatingAreas[Area],HIX_SLCSP[[#This Row],[Area Code]])</f>
        <v>4531</v>
      </c>
      <c r="AU1935" s="59">
        <f>SUMIFS(HIX_RatingAreas[Silver Enrollments 2020],HIX_RatingAreas[Area],HIX_SLCSP[[#This Row],[Area Code]])</f>
        <v>3743</v>
      </c>
      <c r="AV1935" s="59">
        <f>SUMIFS(HIX_RatingAreas[Silver Enrollments 2021],HIX_RatingAreas[Area],HIX_SLCSP[[#This Row],[Area Code]])</f>
        <v>3854</v>
      </c>
      <c r="AW1935" s="59">
        <f>SUMIFS(HIX_RatingAreas[Silver Enrollments 2022],HIX_RatingAreas[Area],HIX_SLCSP[[#This Row],[Area Code]])</f>
        <v>3960</v>
      </c>
      <c r="AX1935" s="59">
        <f>SUMIFS(HIX_RatingAreas[Silver Enrollments 2023],HIX_RatingAreas[Area],HIX_SLCSP[[#This Row],[Area Code]])</f>
        <v>5949</v>
      </c>
      <c r="AY1935" s="59">
        <f>SUMIFS(HIX_RatingAreas[Silver Enrollments 2024],HIX_RatingAreas[Area],HIX_SLCSP[[#This Row],[Area Code]])</f>
        <v>9743</v>
      </c>
      <c r="AZ1935" s="59">
        <v>8932</v>
      </c>
      <c r="BA1935">
        <f t="shared" si="122"/>
        <v>3.8525739179192997E-2</v>
      </c>
      <c r="BB1935">
        <f>SUMIFS(HIX_RatingAreas[QHP Enrollments 2018],HIX_RatingAreas[Area],HIX_SLCSP[[#This Row],[Area Code]])</f>
        <v>8953</v>
      </c>
      <c r="BC1935">
        <f t="shared" si="123"/>
        <v>4.1452336526485882E-2</v>
      </c>
      <c r="BD1935">
        <f>SUMIFS(HIX_RatingAreas[QHP Enrollments 2019],HIX_RatingAreas[Area],HIX_SLCSP[[#This Row],[Area Code]])</f>
        <v>8482</v>
      </c>
      <c r="BE1935">
        <f t="shared" si="124"/>
        <v>3.945923816967193E-2</v>
      </c>
      <c r="BF1935">
        <f>SUMIFS(HIX_RatingAreas[QHP Enrollments 2020],HIX_RatingAreas[Area],HIX_SLCSP[[#This Row],[Area Code]])</f>
        <v>8363</v>
      </c>
      <c r="BG1935">
        <f t="shared" si="125"/>
        <v>3.9073961594169045E-2</v>
      </c>
      <c r="BH1935">
        <f>SUMIFS(HIX_RatingAreas[QHP Enrollments 2021],HIX_RatingAreas[Area],HIX_SLCSP[[#This Row],[Area Code]])</f>
        <v>8962</v>
      </c>
      <c r="BI1935">
        <f t="shared" si="126"/>
        <v>3.8956748532927625E-2</v>
      </c>
      <c r="BJ1935">
        <f>SUMIFS(HIX_RatingAreas[QHP Enrollments 2022],HIX_RatingAreas[Area],HIX_SLCSP[[#This Row],[Area Code]])</f>
        <v>12116</v>
      </c>
      <c r="BK1935">
        <f t="shared" si="127"/>
        <v>4.0333963620868732E-2</v>
      </c>
      <c r="BL1935">
        <f>SUMIFS(HIX_RatingAreas[QHP Enrollments 2023],HIX_RatingAreas[Area],HIX_SLCSP[[#This Row],[Area Code]])</f>
        <v>15689</v>
      </c>
      <c r="BM1935">
        <f t="shared" si="134"/>
        <v>4.0966869294562468E-2</v>
      </c>
      <c r="BN1935">
        <f>SUMIFS(HIX_RatingAreas[QHP Enrollments 2024],HIX_RatingAreas[Area],HIX_SLCSP[[#This Row],[Area Code]])</f>
        <v>21438</v>
      </c>
      <c r="BO1935">
        <f t="shared" si="128"/>
        <v>3.7533155337681097E-2</v>
      </c>
      <c r="BP1935" s="53">
        <f>ROUND(HIX_SLCSP[[#This Row],[Weighting Factor 2018]]*HIX_SLCSP[[#This Row],[2018]],2)</f>
        <v>13.61</v>
      </c>
      <c r="BQ1935" s="53">
        <f>ROUND(HIX_SLCSP[[#This Row],[Weighting Factor 2019]]*HIX_SLCSP[[#This Row],[2019]],2)</f>
        <v>17.38</v>
      </c>
      <c r="BR1935" s="53">
        <f>ROUND(HIX_SLCSP[[#This Row],[Weighting Factor 2020]]*HIX_SLCSP[[#This Row],[2020]],2)</f>
        <v>16.28</v>
      </c>
      <c r="BS1935" s="53">
        <f>ROUND(HIX_SLCSP[[#This Row],[Weighting Factor 2021]]*HIX_SLCSP[[#This Row],[2021]],2)</f>
        <v>12.39</v>
      </c>
      <c r="BT1935" s="53">
        <f>ROUND(HIX_SLCSP[[#This Row],[Weighting Factor 2022]]*HIX_SLCSP[[#This Row],[2022]],2)</f>
        <v>12.93</v>
      </c>
      <c r="BU1935" s="53">
        <f>ROUND(HIX_SLCSP[[#This Row],[Weighting Factor 2023]]*HIX_SLCSP[[#This Row],[2023]],2)</f>
        <v>16.100000000000001</v>
      </c>
      <c r="BV1935" s="53">
        <f>ROUND(HIX_SLCSP[[#This Row],[Weighting Factor 2024]]*HIX_SLCSP[[#This Row],[2024]],2)</f>
        <v>14.67</v>
      </c>
    </row>
    <row r="1936" spans="4:74" x14ac:dyDescent="0.35">
      <c r="D1936" t="s">
        <v>1662</v>
      </c>
      <c r="E1936" t="s">
        <v>279</v>
      </c>
      <c r="F1936" s="23">
        <v>8</v>
      </c>
      <c r="G1936" s="23" t="s">
        <v>1663</v>
      </c>
      <c r="H1936" s="23" t="s">
        <v>1684</v>
      </c>
      <c r="I1936" s="23">
        <v>70</v>
      </c>
      <c r="J1936" s="53">
        <v>335.6</v>
      </c>
      <c r="K1936" s="53">
        <v>336.41</v>
      </c>
      <c r="L1936" s="53">
        <v>573.30999999999995</v>
      </c>
      <c r="M1936" s="54">
        <f t="shared" si="116"/>
        <v>1.7042002318599325</v>
      </c>
      <c r="N1936" s="24">
        <v>64</v>
      </c>
      <c r="O1936" s="55">
        <v>420.09</v>
      </c>
      <c r="P1936" s="56">
        <v>422.43</v>
      </c>
      <c r="Q1936" s="56">
        <v>719.9</v>
      </c>
      <c r="R1936" s="57">
        <f t="shared" si="129"/>
        <v>1.7041876760646733</v>
      </c>
      <c r="S1936" s="23">
        <v>128</v>
      </c>
      <c r="T1936" s="53">
        <v>398.68</v>
      </c>
      <c r="U1936" s="53">
        <v>405.31</v>
      </c>
      <c r="V1936" s="53">
        <v>690.73</v>
      </c>
      <c r="W1936" s="57">
        <f t="shared" si="130"/>
        <v>1.7042017221386101</v>
      </c>
      <c r="X1936" s="23">
        <v>128</v>
      </c>
      <c r="Y1936" s="53">
        <v>322.83999999999997</v>
      </c>
      <c r="Z1936" s="53">
        <v>329.84</v>
      </c>
      <c r="AA1936" s="53">
        <v>562.12</v>
      </c>
      <c r="AB1936" s="57">
        <f t="shared" si="131"/>
        <v>1.7042202279893284</v>
      </c>
      <c r="AC1936" s="47">
        <v>141</v>
      </c>
      <c r="AD1936" s="57">
        <v>324.2</v>
      </c>
      <c r="AE1936" s="57">
        <v>328.37</v>
      </c>
      <c r="AF1936" s="57">
        <v>559.61</v>
      </c>
      <c r="AG1936" s="57">
        <f t="shared" si="132"/>
        <v>1.7042056217072206</v>
      </c>
      <c r="AH1936" s="47">
        <v>136</v>
      </c>
      <c r="AI1936">
        <v>376.2</v>
      </c>
      <c r="AJ1936">
        <v>380.56</v>
      </c>
      <c r="AK1936">
        <v>648.54999999999995</v>
      </c>
      <c r="AL1936" s="57">
        <f t="shared" si="107"/>
        <v>1.7041990750472986</v>
      </c>
      <c r="AM1936" s="47">
        <v>151</v>
      </c>
      <c r="AN1936" s="57">
        <v>391.32</v>
      </c>
      <c r="AO1936" s="57">
        <v>394.92</v>
      </c>
      <c r="AP1936" s="57">
        <v>673.02</v>
      </c>
      <c r="AQ1936" s="57">
        <f t="shared" si="133"/>
        <v>1.7041932543299907</v>
      </c>
      <c r="AR1936" s="59">
        <v>7215</v>
      </c>
      <c r="AS1936" s="59">
        <f>SUMIFS(HIX_RatingAreas[Silver Enrollments 2018],HIX_RatingAreas[Area],HIX_SLCSP[[#This Row],[Area Code]])</f>
        <v>5571</v>
      </c>
      <c r="AT1936" s="59">
        <f>SUMIFS(HIX_RatingAreas[Silver Enrollments 2019],HIX_RatingAreas[Area],HIX_SLCSP[[#This Row],[Area Code]])</f>
        <v>4425</v>
      </c>
      <c r="AU1936" s="59">
        <f>SUMIFS(HIX_RatingAreas[Silver Enrollments 2020],HIX_RatingAreas[Area],HIX_SLCSP[[#This Row],[Area Code]])</f>
        <v>3770</v>
      </c>
      <c r="AV1936" s="59">
        <f>SUMIFS(HIX_RatingAreas[Silver Enrollments 2021],HIX_RatingAreas[Area],HIX_SLCSP[[#This Row],[Area Code]])</f>
        <v>3360</v>
      </c>
      <c r="AW1936" s="59">
        <f>SUMIFS(HIX_RatingAreas[Silver Enrollments 2022],HIX_RatingAreas[Area],HIX_SLCSP[[#This Row],[Area Code]])</f>
        <v>5264</v>
      </c>
      <c r="AX1936" s="59">
        <f>SUMIFS(HIX_RatingAreas[Silver Enrollments 2023],HIX_RatingAreas[Area],HIX_SLCSP[[#This Row],[Area Code]])</f>
        <v>8082</v>
      </c>
      <c r="AY1936" s="59">
        <f>SUMIFS(HIX_RatingAreas[Silver Enrollments 2024],HIX_RatingAreas[Area],HIX_SLCSP[[#This Row],[Area Code]])</f>
        <v>12465</v>
      </c>
      <c r="AZ1936" s="59">
        <v>8398</v>
      </c>
      <c r="BA1936">
        <f t="shared" si="122"/>
        <v>3.6222476223338872E-2</v>
      </c>
      <c r="BB1936">
        <f>SUMIFS(HIX_RatingAreas[QHP Enrollments 2018],HIX_RatingAreas[Area],HIX_SLCSP[[#This Row],[Area Code]])</f>
        <v>8086</v>
      </c>
      <c r="BC1936">
        <f t="shared" si="123"/>
        <v>3.7438131704810099E-2</v>
      </c>
      <c r="BD1936">
        <f>SUMIFS(HIX_RatingAreas[QHP Enrollments 2019],HIX_RatingAreas[Area],HIX_SLCSP[[#This Row],[Area Code]])</f>
        <v>8180</v>
      </c>
      <c r="BE1936">
        <f t="shared" si="124"/>
        <v>3.8054299484545674E-2</v>
      </c>
      <c r="BF1936">
        <f>SUMIFS(HIX_RatingAreas[QHP Enrollments 2020],HIX_RatingAreas[Area],HIX_SLCSP[[#This Row],[Area Code]])</f>
        <v>8317</v>
      </c>
      <c r="BG1936">
        <f t="shared" si="125"/>
        <v>3.8859038452553382E-2</v>
      </c>
      <c r="BH1936">
        <f>SUMIFS(HIX_RatingAreas[QHP Enrollments 2021],HIX_RatingAreas[Area],HIX_SLCSP[[#This Row],[Area Code]])</f>
        <v>8914</v>
      </c>
      <c r="BI1936">
        <f t="shared" si="126"/>
        <v>3.8748098239513147E-2</v>
      </c>
      <c r="BJ1936">
        <f>SUMIFS(HIX_RatingAreas[QHP Enrollments 2022],HIX_RatingAreas[Area],HIX_SLCSP[[#This Row],[Area Code]])</f>
        <v>12748</v>
      </c>
      <c r="BK1936">
        <f t="shared" si="127"/>
        <v>4.2437881168606355E-2</v>
      </c>
      <c r="BL1936">
        <f>SUMIFS(HIX_RatingAreas[QHP Enrollments 2023],HIX_RatingAreas[Area],HIX_SLCSP[[#This Row],[Area Code]])</f>
        <v>16715</v>
      </c>
      <c r="BM1936">
        <f t="shared" si="134"/>
        <v>4.3645944308662865E-2</v>
      </c>
      <c r="BN1936">
        <f>SUMIFS(HIX_RatingAreas[QHP Enrollments 2024],HIX_RatingAreas[Area],HIX_SLCSP[[#This Row],[Area Code]])</f>
        <v>25309</v>
      </c>
      <c r="BO1936">
        <f t="shared" si="128"/>
        <v>4.4310412745655885E-2</v>
      </c>
      <c r="BP1936" s="53">
        <f>ROUND(HIX_SLCSP[[#This Row],[Weighting Factor 2018]]*HIX_SLCSP[[#This Row],[2018]],2)</f>
        <v>12.59</v>
      </c>
      <c r="BQ1936" s="53">
        <f>ROUND(HIX_SLCSP[[#This Row],[Weighting Factor 2019]]*HIX_SLCSP[[#This Row],[2019]],2)</f>
        <v>16.079999999999998</v>
      </c>
      <c r="BR1936" s="53">
        <f>ROUND(HIX_SLCSP[[#This Row],[Weighting Factor 2020]]*HIX_SLCSP[[#This Row],[2020]],2)</f>
        <v>15.75</v>
      </c>
      <c r="BS1936" s="53">
        <f>ROUND(HIX_SLCSP[[#This Row],[Weighting Factor 2021]]*HIX_SLCSP[[#This Row],[2021]],2)</f>
        <v>12.78</v>
      </c>
      <c r="BT1936" s="53">
        <f>ROUND(HIX_SLCSP[[#This Row],[Weighting Factor 2022]]*HIX_SLCSP[[#This Row],[2022]],2)</f>
        <v>13.94</v>
      </c>
      <c r="BU1936" s="53">
        <f>ROUND(HIX_SLCSP[[#This Row],[Weighting Factor 2023]]*HIX_SLCSP[[#This Row],[2023]],2)</f>
        <v>16.61</v>
      </c>
      <c r="BV1936" s="53">
        <f>ROUND(HIX_SLCSP[[#This Row],[Weighting Factor 2024]]*HIX_SLCSP[[#This Row],[2024]],2)</f>
        <v>17.5</v>
      </c>
    </row>
    <row r="1937" spans="4:74" x14ac:dyDescent="0.35">
      <c r="D1937" t="s">
        <v>1662</v>
      </c>
      <c r="E1937" t="s">
        <v>283</v>
      </c>
      <c r="F1937" s="23">
        <v>9</v>
      </c>
      <c r="G1937" s="23" t="s">
        <v>1663</v>
      </c>
      <c r="H1937" s="23" t="s">
        <v>1687</v>
      </c>
      <c r="I1937" s="23">
        <v>70</v>
      </c>
      <c r="J1937" s="53">
        <v>326.58</v>
      </c>
      <c r="K1937" s="53">
        <v>327.36</v>
      </c>
      <c r="L1937" s="53">
        <v>557.88</v>
      </c>
      <c r="M1937" s="54">
        <f t="shared" si="116"/>
        <v>1.7041788856304985</v>
      </c>
      <c r="N1937" s="24">
        <v>56</v>
      </c>
      <c r="O1937" s="55">
        <v>437.01</v>
      </c>
      <c r="P1937" s="56">
        <v>439.16</v>
      </c>
      <c r="Q1937" s="56">
        <v>748.42</v>
      </c>
      <c r="R1937" s="57">
        <f t="shared" si="129"/>
        <v>1.7042080335185352</v>
      </c>
      <c r="S1937" s="23">
        <v>120</v>
      </c>
      <c r="T1937" s="53">
        <v>359.97</v>
      </c>
      <c r="U1937" s="53">
        <v>371.66</v>
      </c>
      <c r="V1937" s="53">
        <v>633.39</v>
      </c>
      <c r="W1937" s="57">
        <f t="shared" si="130"/>
        <v>1.7042189097562286</v>
      </c>
      <c r="X1937" s="23">
        <v>120</v>
      </c>
      <c r="Y1937" s="53">
        <v>281.44</v>
      </c>
      <c r="Z1937" s="53">
        <v>287.55</v>
      </c>
      <c r="AA1937" s="53">
        <v>490.04</v>
      </c>
      <c r="AB1937" s="57">
        <f t="shared" si="131"/>
        <v>1.7041905755520779</v>
      </c>
      <c r="AC1937" s="47">
        <v>57</v>
      </c>
      <c r="AD1937" s="57">
        <v>272.85000000000002</v>
      </c>
      <c r="AE1937" s="57">
        <v>276.36</v>
      </c>
      <c r="AF1937" s="57">
        <v>470.97</v>
      </c>
      <c r="AG1937" s="57">
        <f t="shared" si="132"/>
        <v>1.7041901867129832</v>
      </c>
      <c r="AH1937" s="47">
        <v>98</v>
      </c>
      <c r="AI1937">
        <v>346.71</v>
      </c>
      <c r="AJ1937">
        <v>349.34</v>
      </c>
      <c r="AK1937">
        <v>595.34</v>
      </c>
      <c r="AL1937" s="57">
        <f t="shared" si="107"/>
        <v>1.7041850346367438</v>
      </c>
      <c r="AM1937" s="47">
        <v>151</v>
      </c>
      <c r="AN1937" s="57">
        <v>362.92</v>
      </c>
      <c r="AO1937" s="57">
        <v>366.25</v>
      </c>
      <c r="AP1937" s="57">
        <v>624.16999999999996</v>
      </c>
      <c r="AQ1937" s="57">
        <f t="shared" si="133"/>
        <v>1.7042184300341296</v>
      </c>
      <c r="AR1937" s="59">
        <v>579</v>
      </c>
      <c r="AS1937" s="59">
        <f>SUMIFS(HIX_RatingAreas[Silver Enrollments 2018],HIX_RatingAreas[Area],HIX_SLCSP[[#This Row],[Area Code]])</f>
        <v>439</v>
      </c>
      <c r="AT1937" s="59">
        <f>SUMIFS(HIX_RatingAreas[Silver Enrollments 2019],HIX_RatingAreas[Area],HIX_SLCSP[[#This Row],[Area Code]])</f>
        <v>359</v>
      </c>
      <c r="AU1937" s="59">
        <f>SUMIFS(HIX_RatingAreas[Silver Enrollments 2020],HIX_RatingAreas[Area],HIX_SLCSP[[#This Row],[Area Code]])</f>
        <v>265</v>
      </c>
      <c r="AV1937" s="59">
        <f>SUMIFS(HIX_RatingAreas[Silver Enrollments 2021],HIX_RatingAreas[Area],HIX_SLCSP[[#This Row],[Area Code]])</f>
        <v>212</v>
      </c>
      <c r="AW1937" s="59">
        <f>SUMIFS(HIX_RatingAreas[Silver Enrollments 2022],HIX_RatingAreas[Area],HIX_SLCSP[[#This Row],[Area Code]])</f>
        <v>296</v>
      </c>
      <c r="AX1937" s="59">
        <f>SUMIFS(HIX_RatingAreas[Silver Enrollments 2023],HIX_RatingAreas[Area],HIX_SLCSP[[#This Row],[Area Code]])</f>
        <v>710</v>
      </c>
      <c r="AY1937" s="59">
        <f>SUMIFS(HIX_RatingAreas[Silver Enrollments 2024],HIX_RatingAreas[Area],HIX_SLCSP[[#This Row],[Area Code]])</f>
        <v>1106</v>
      </c>
      <c r="AZ1937" s="59">
        <v>660</v>
      </c>
      <c r="BA1937">
        <f t="shared" si="122"/>
        <v>2.8467294959994825E-3</v>
      </c>
      <c r="BB1937">
        <f>SUMIFS(HIX_RatingAreas[QHP Enrollments 2018],HIX_RatingAreas[Area],HIX_SLCSP[[#This Row],[Area Code]])</f>
        <v>606</v>
      </c>
      <c r="BC1937">
        <f t="shared" si="123"/>
        <v>2.8057763805484689E-3</v>
      </c>
      <c r="BD1937">
        <f>SUMIFS(HIX_RatingAreas[QHP Enrollments 2019],HIX_RatingAreas[Area],HIX_SLCSP[[#This Row],[Area Code]])</f>
        <v>629</v>
      </c>
      <c r="BE1937">
        <f t="shared" si="124"/>
        <v>2.9261802415378032E-3</v>
      </c>
      <c r="BF1937">
        <f>SUMIFS(HIX_RatingAreas[QHP Enrollments 2020],HIX_RatingAreas[Area],HIX_SLCSP[[#This Row],[Area Code]])</f>
        <v>587</v>
      </c>
      <c r="BG1937">
        <f t="shared" si="125"/>
        <v>2.7426061767042002E-3</v>
      </c>
      <c r="BH1937">
        <f>SUMIFS(HIX_RatingAreas[QHP Enrollments 2021],HIX_RatingAreas[Area],HIX_SLCSP[[#This Row],[Area Code]])</f>
        <v>630</v>
      </c>
      <c r="BI1937">
        <f t="shared" si="126"/>
        <v>2.7385351010649861E-3</v>
      </c>
      <c r="BJ1937">
        <f>SUMIFS(HIX_RatingAreas[QHP Enrollments 2022],HIX_RatingAreas[Area],HIX_SLCSP[[#This Row],[Area Code]])</f>
        <v>924</v>
      </c>
      <c r="BK1937">
        <f t="shared" si="127"/>
        <v>3.0759807185277905E-3</v>
      </c>
      <c r="BL1937">
        <f>SUMIFS(HIX_RatingAreas[QHP Enrollments 2023],HIX_RatingAreas[Area],HIX_SLCSP[[#This Row],[Area Code]])</f>
        <v>1490</v>
      </c>
      <c r="BM1937">
        <f t="shared" si="134"/>
        <v>3.8906644941613922E-3</v>
      </c>
      <c r="BN1937">
        <f>SUMIFS(HIX_RatingAreas[QHP Enrollments 2024],HIX_RatingAreas[Area],HIX_SLCSP[[#This Row],[Area Code]])</f>
        <v>2273</v>
      </c>
      <c r="BO1937">
        <f t="shared" si="128"/>
        <v>3.9795159101851446E-3</v>
      </c>
      <c r="BP1937" s="53">
        <f>ROUND(HIX_SLCSP[[#This Row],[Weighting Factor 2018]]*HIX_SLCSP[[#This Row],[2018]],2)</f>
        <v>0.92</v>
      </c>
      <c r="BQ1937" s="53">
        <f>ROUND(HIX_SLCSP[[#This Row],[Weighting Factor 2019]]*HIX_SLCSP[[#This Row],[2019]],2)</f>
        <v>1.29</v>
      </c>
      <c r="BR1937" s="53">
        <f>ROUND(HIX_SLCSP[[#This Row],[Weighting Factor 2020]]*HIX_SLCSP[[#This Row],[2020]],2)</f>
        <v>1.02</v>
      </c>
      <c r="BS1937" s="53">
        <f>ROUND(HIX_SLCSP[[#This Row],[Weighting Factor 2021]]*HIX_SLCSP[[#This Row],[2021]],2)</f>
        <v>0.79</v>
      </c>
      <c r="BT1937" s="53">
        <f>ROUND(HIX_SLCSP[[#This Row],[Weighting Factor 2022]]*HIX_SLCSP[[#This Row],[2022]],2)</f>
        <v>0.85</v>
      </c>
      <c r="BU1937" s="53">
        <f>ROUND(HIX_SLCSP[[#This Row],[Weighting Factor 2023]]*HIX_SLCSP[[#This Row],[2023]],2)</f>
        <v>1.36</v>
      </c>
      <c r="BV1937" s="53">
        <f>ROUND(HIX_SLCSP[[#This Row],[Weighting Factor 2024]]*HIX_SLCSP[[#This Row],[2024]],2)</f>
        <v>1.46</v>
      </c>
    </row>
    <row r="1938" spans="4:74" x14ac:dyDescent="0.35">
      <c r="D1938" t="s">
        <v>1662</v>
      </c>
      <c r="E1938" t="s">
        <v>289</v>
      </c>
      <c r="F1938" s="23">
        <v>10</v>
      </c>
      <c r="G1938" s="23" t="s">
        <v>1663</v>
      </c>
      <c r="H1938" s="23" t="s">
        <v>1689</v>
      </c>
      <c r="I1938" s="23">
        <v>70</v>
      </c>
      <c r="J1938" s="53">
        <v>325.89</v>
      </c>
      <c r="K1938" s="53">
        <v>326.68</v>
      </c>
      <c r="L1938" s="53">
        <v>556.72</v>
      </c>
      <c r="M1938" s="54">
        <f t="shared" si="116"/>
        <v>1.7041753397820498</v>
      </c>
      <c r="N1938" s="24">
        <v>76</v>
      </c>
      <c r="O1938" s="55">
        <v>408</v>
      </c>
      <c r="P1938" s="56">
        <v>410.27</v>
      </c>
      <c r="Q1938" s="56">
        <v>699.18</v>
      </c>
      <c r="R1938" s="57">
        <f t="shared" si="129"/>
        <v>1.7041947985472981</v>
      </c>
      <c r="S1938" s="23">
        <v>128</v>
      </c>
      <c r="T1938" s="53">
        <v>344.5</v>
      </c>
      <c r="U1938" s="53">
        <v>355.69</v>
      </c>
      <c r="V1938" s="53">
        <v>606.16999999999996</v>
      </c>
      <c r="W1938" s="57">
        <f t="shared" si="130"/>
        <v>1.7042087210773424</v>
      </c>
      <c r="X1938" s="23">
        <v>128</v>
      </c>
      <c r="Y1938" s="53">
        <v>303.95</v>
      </c>
      <c r="Z1938" s="53">
        <v>310.55</v>
      </c>
      <c r="AA1938" s="53">
        <v>529.23</v>
      </c>
      <c r="AB1938" s="57">
        <f t="shared" si="131"/>
        <v>1.704170020930607</v>
      </c>
      <c r="AC1938" s="47">
        <v>117</v>
      </c>
      <c r="AD1938" s="57">
        <v>302.08</v>
      </c>
      <c r="AE1938" s="57">
        <v>305.97000000000003</v>
      </c>
      <c r="AF1938" s="57">
        <v>521.42999999999995</v>
      </c>
      <c r="AG1938" s="57">
        <f t="shared" si="132"/>
        <v>1.7041866849691143</v>
      </c>
      <c r="AH1938" s="47">
        <v>136</v>
      </c>
      <c r="AI1938">
        <v>358.65</v>
      </c>
      <c r="AJ1938">
        <v>362.81</v>
      </c>
      <c r="AK1938">
        <v>618.30999999999995</v>
      </c>
      <c r="AL1938" s="57">
        <f t="shared" si="107"/>
        <v>1.704225352112676</v>
      </c>
      <c r="AM1938" s="47">
        <v>151</v>
      </c>
      <c r="AN1938" s="57">
        <v>338.57</v>
      </c>
      <c r="AO1938" s="57">
        <v>341.68</v>
      </c>
      <c r="AP1938" s="57">
        <v>582.29</v>
      </c>
      <c r="AQ1938" s="57">
        <f t="shared" si="133"/>
        <v>1.7041969093889018</v>
      </c>
      <c r="AR1938" s="59">
        <v>18733</v>
      </c>
      <c r="AS1938" s="59">
        <f>SUMIFS(HIX_RatingAreas[Silver Enrollments 2018],HIX_RatingAreas[Area],HIX_SLCSP[[#This Row],[Area Code]])</f>
        <v>13713</v>
      </c>
      <c r="AT1938" s="59">
        <f>SUMIFS(HIX_RatingAreas[Silver Enrollments 2019],HIX_RatingAreas[Area],HIX_SLCSP[[#This Row],[Area Code]])</f>
        <v>10297</v>
      </c>
      <c r="AU1938" s="59">
        <f>SUMIFS(HIX_RatingAreas[Silver Enrollments 2020],HIX_RatingAreas[Area],HIX_SLCSP[[#This Row],[Area Code]])</f>
        <v>7293</v>
      </c>
      <c r="AV1938" s="59">
        <f>SUMIFS(HIX_RatingAreas[Silver Enrollments 2021],HIX_RatingAreas[Area],HIX_SLCSP[[#This Row],[Area Code]])</f>
        <v>7294</v>
      </c>
      <c r="AW1938" s="59">
        <f>SUMIFS(HIX_RatingAreas[Silver Enrollments 2022],HIX_RatingAreas[Area],HIX_SLCSP[[#This Row],[Area Code]])</f>
        <v>8837</v>
      </c>
      <c r="AX1938" s="59">
        <f>SUMIFS(HIX_RatingAreas[Silver Enrollments 2023],HIX_RatingAreas[Area],HIX_SLCSP[[#This Row],[Area Code]])</f>
        <v>12242</v>
      </c>
      <c r="AY1938" s="59">
        <f>SUMIFS(HIX_RatingAreas[Silver Enrollments 2024],HIX_RatingAreas[Area],HIX_SLCSP[[#This Row],[Area Code]])</f>
        <v>19310</v>
      </c>
      <c r="AZ1938" s="59">
        <v>23015</v>
      </c>
      <c r="BA1938">
        <f t="shared" si="122"/>
        <v>9.9268908106709228E-2</v>
      </c>
      <c r="BB1938">
        <f>SUMIFS(HIX_RatingAreas[QHP Enrollments 2018],HIX_RatingAreas[Area],HIX_SLCSP[[#This Row],[Area Code]])</f>
        <v>21879</v>
      </c>
      <c r="BC1938">
        <f t="shared" si="123"/>
        <v>0.10129963932346528</v>
      </c>
      <c r="BD1938">
        <f>SUMIFS(HIX_RatingAreas[QHP Enrollments 2019],HIX_RatingAreas[Area],HIX_SLCSP[[#This Row],[Area Code]])</f>
        <v>21636</v>
      </c>
      <c r="BE1938">
        <f t="shared" si="124"/>
        <v>0.10065315692513817</v>
      </c>
      <c r="BF1938">
        <f>SUMIFS(HIX_RatingAreas[QHP Enrollments 2020],HIX_RatingAreas[Area],HIX_SLCSP[[#This Row],[Area Code]])</f>
        <v>20850</v>
      </c>
      <c r="BG1938">
        <f t="shared" si="125"/>
        <v>9.7416250058403028E-2</v>
      </c>
      <c r="BH1938">
        <f>SUMIFS(HIX_RatingAreas[QHP Enrollments 2021],HIX_RatingAreas[Area],HIX_SLCSP[[#This Row],[Area Code]])</f>
        <v>22181</v>
      </c>
      <c r="BI1938">
        <f t="shared" si="126"/>
        <v>9.6418169963051512E-2</v>
      </c>
      <c r="BJ1938">
        <f>SUMIFS(HIX_RatingAreas[QHP Enrollments 2022],HIX_RatingAreas[Area],HIX_SLCSP[[#This Row],[Area Code]])</f>
        <v>27577</v>
      </c>
      <c r="BK1938">
        <f t="shared" si="127"/>
        <v>9.1803376920823451E-2</v>
      </c>
      <c r="BL1938">
        <f>SUMIFS(HIX_RatingAreas[QHP Enrollments 2023],HIX_RatingAreas[Area],HIX_SLCSP[[#This Row],[Area Code]])</f>
        <v>32824</v>
      </c>
      <c r="BM1938">
        <f t="shared" si="134"/>
        <v>8.5709510977418482E-2</v>
      </c>
      <c r="BN1938">
        <f>SUMIFS(HIX_RatingAreas[QHP Enrollments 2024],HIX_RatingAreas[Area],HIX_SLCSP[[#This Row],[Area Code]])</f>
        <v>47039</v>
      </c>
      <c r="BO1938">
        <f t="shared" si="128"/>
        <v>8.2354794940254744E-2</v>
      </c>
      <c r="BP1938" s="53">
        <f>ROUND(HIX_SLCSP[[#This Row],[Weighting Factor 2018]]*HIX_SLCSP[[#This Row],[2018]],2)</f>
        <v>33.090000000000003</v>
      </c>
      <c r="BQ1938" s="53">
        <f>ROUND(HIX_SLCSP[[#This Row],[Weighting Factor 2019]]*HIX_SLCSP[[#This Row],[2019]],2)</f>
        <v>41.29</v>
      </c>
      <c r="BR1938" s="53">
        <f>ROUND(HIX_SLCSP[[#This Row],[Weighting Factor 2020]]*HIX_SLCSP[[#This Row],[2020]],2)</f>
        <v>34.65</v>
      </c>
      <c r="BS1938" s="53">
        <f>ROUND(HIX_SLCSP[[#This Row],[Weighting Factor 2021]]*HIX_SLCSP[[#This Row],[2021]],2)</f>
        <v>29.94</v>
      </c>
      <c r="BT1938" s="53">
        <f>ROUND(HIX_SLCSP[[#This Row],[Weighting Factor 2022]]*HIX_SLCSP[[#This Row],[2022]],2)</f>
        <v>28.09</v>
      </c>
      <c r="BU1938" s="53">
        <f>ROUND(HIX_SLCSP[[#This Row],[Weighting Factor 2023]]*HIX_SLCSP[[#This Row],[2023]],2)</f>
        <v>31.1</v>
      </c>
      <c r="BV1938" s="53">
        <f>ROUND(HIX_SLCSP[[#This Row],[Weighting Factor 2024]]*HIX_SLCSP[[#This Row],[2024]],2)</f>
        <v>28.14</v>
      </c>
    </row>
    <row r="1939" spans="4:74" x14ac:dyDescent="0.35">
      <c r="D1939" t="s">
        <v>1662</v>
      </c>
      <c r="E1939" t="s">
        <v>293</v>
      </c>
      <c r="F1939" s="23">
        <v>11</v>
      </c>
      <c r="G1939" s="23" t="s">
        <v>1663</v>
      </c>
      <c r="H1939" s="23" t="s">
        <v>1692</v>
      </c>
      <c r="I1939" s="23">
        <v>70</v>
      </c>
      <c r="J1939" s="53">
        <v>330.32</v>
      </c>
      <c r="K1939" s="53">
        <v>331.12</v>
      </c>
      <c r="L1939" s="53">
        <v>564.29</v>
      </c>
      <c r="M1939" s="54">
        <f t="shared" si="116"/>
        <v>1.7041857936699685</v>
      </c>
      <c r="N1939" s="24">
        <v>56</v>
      </c>
      <c r="O1939" s="55">
        <v>441.98</v>
      </c>
      <c r="P1939" s="56">
        <v>444.16</v>
      </c>
      <c r="Q1939" s="56">
        <v>756.94</v>
      </c>
      <c r="R1939" s="57">
        <f t="shared" si="129"/>
        <v>1.7042056916426513</v>
      </c>
      <c r="S1939" s="23">
        <v>78</v>
      </c>
      <c r="T1939" s="53">
        <v>445.26</v>
      </c>
      <c r="U1939" s="53">
        <v>450.92</v>
      </c>
      <c r="V1939" s="53">
        <v>768.46</v>
      </c>
      <c r="W1939" s="57">
        <f t="shared" si="130"/>
        <v>1.7042047369821698</v>
      </c>
      <c r="X1939" s="23">
        <v>78</v>
      </c>
      <c r="Y1939" s="53">
        <v>324.25</v>
      </c>
      <c r="Z1939" s="53">
        <v>331.29</v>
      </c>
      <c r="AA1939" s="53">
        <v>564.59</v>
      </c>
      <c r="AB1939" s="57">
        <f t="shared" si="131"/>
        <v>1.7042168492861238</v>
      </c>
      <c r="AC1939" s="47">
        <v>85</v>
      </c>
      <c r="AD1939" s="57">
        <v>332.86</v>
      </c>
      <c r="AE1939" s="57">
        <v>337.14</v>
      </c>
      <c r="AF1939" s="57">
        <v>574.55999999999995</v>
      </c>
      <c r="AG1939" s="57">
        <f t="shared" si="132"/>
        <v>1.7042178323545114</v>
      </c>
      <c r="AH1939" s="47">
        <v>94</v>
      </c>
      <c r="AI1939">
        <v>402.07</v>
      </c>
      <c r="AJ1939">
        <v>405.12</v>
      </c>
      <c r="AK1939">
        <v>690.4</v>
      </c>
      <c r="AL1939" s="57">
        <f t="shared" si="107"/>
        <v>1.7041864139020537</v>
      </c>
      <c r="AM1939" s="47">
        <v>91</v>
      </c>
      <c r="AN1939" s="57">
        <v>422.33</v>
      </c>
      <c r="AO1939" s="57">
        <v>424.29</v>
      </c>
      <c r="AP1939" s="57">
        <v>723.07</v>
      </c>
      <c r="AQ1939" s="57">
        <f t="shared" si="133"/>
        <v>1.7041881731834359</v>
      </c>
      <c r="AR1939" s="59">
        <v>1652</v>
      </c>
      <c r="AS1939" s="59">
        <f>SUMIFS(HIX_RatingAreas[Silver Enrollments 2018],HIX_RatingAreas[Area],HIX_SLCSP[[#This Row],[Area Code]])</f>
        <v>1332</v>
      </c>
      <c r="AT1939" s="59">
        <f>SUMIFS(HIX_RatingAreas[Silver Enrollments 2019],HIX_RatingAreas[Area],HIX_SLCSP[[#This Row],[Area Code]])</f>
        <v>1073</v>
      </c>
      <c r="AU1939" s="59">
        <f>SUMIFS(HIX_RatingAreas[Silver Enrollments 2020],HIX_RatingAreas[Area],HIX_SLCSP[[#This Row],[Area Code]])</f>
        <v>957</v>
      </c>
      <c r="AV1939" s="59">
        <f>SUMIFS(HIX_RatingAreas[Silver Enrollments 2021],HIX_RatingAreas[Area],HIX_SLCSP[[#This Row],[Area Code]])</f>
        <v>1041</v>
      </c>
      <c r="AW1939" s="59">
        <f>SUMIFS(HIX_RatingAreas[Silver Enrollments 2022],HIX_RatingAreas[Area],HIX_SLCSP[[#This Row],[Area Code]])</f>
        <v>1425</v>
      </c>
      <c r="AX1939" s="59">
        <f>SUMIFS(HIX_RatingAreas[Silver Enrollments 2023],HIX_RatingAreas[Area],HIX_SLCSP[[#This Row],[Area Code]])</f>
        <v>1797</v>
      </c>
      <c r="AY1939" s="59">
        <f>SUMIFS(HIX_RatingAreas[Silver Enrollments 2024],HIX_RatingAreas[Area],HIX_SLCSP[[#This Row],[Area Code]])</f>
        <v>2985</v>
      </c>
      <c r="AZ1939" s="59">
        <v>1823</v>
      </c>
      <c r="BA1939">
        <f t="shared" si="122"/>
        <v>7.8630119260712974E-3</v>
      </c>
      <c r="BB1939">
        <f>SUMIFS(HIX_RatingAreas[QHP Enrollments 2018],HIX_RatingAreas[Area],HIX_SLCSP[[#This Row],[Area Code]])</f>
        <v>1753</v>
      </c>
      <c r="BC1939">
        <f t="shared" si="123"/>
        <v>8.1163795298704062E-3</v>
      </c>
      <c r="BD1939">
        <f>SUMIFS(HIX_RatingAreas[QHP Enrollments 2019],HIX_RatingAreas[Area],HIX_SLCSP[[#This Row],[Area Code]])</f>
        <v>1787</v>
      </c>
      <c r="BE1939">
        <f t="shared" si="124"/>
        <v>8.3133292394722644E-3</v>
      </c>
      <c r="BF1939">
        <f>SUMIFS(HIX_RatingAreas[QHP Enrollments 2020],HIX_RatingAreas[Area],HIX_SLCSP[[#This Row],[Area Code]])</f>
        <v>1847</v>
      </c>
      <c r="BG1939">
        <f t="shared" si="125"/>
        <v>8.6296313600897068E-3</v>
      </c>
      <c r="BH1939">
        <f>SUMIFS(HIX_RatingAreas[QHP Enrollments 2021],HIX_RatingAreas[Area],HIX_SLCSP[[#This Row],[Area Code]])</f>
        <v>2159</v>
      </c>
      <c r="BI1939">
        <f t="shared" si="126"/>
        <v>9.3849163225385793E-3</v>
      </c>
      <c r="BJ1939">
        <f>SUMIFS(HIX_RatingAreas[QHP Enrollments 2022],HIX_RatingAreas[Area],HIX_SLCSP[[#This Row],[Area Code]])</f>
        <v>2940</v>
      </c>
      <c r="BK1939">
        <f t="shared" si="127"/>
        <v>9.7872113771338785E-3</v>
      </c>
      <c r="BL1939">
        <f>SUMIFS(HIX_RatingAreas[QHP Enrollments 2023],HIX_RatingAreas[Area],HIX_SLCSP[[#This Row],[Area Code]])</f>
        <v>4186</v>
      </c>
      <c r="BM1939">
        <f t="shared" si="134"/>
        <v>1.0930417162791669E-2</v>
      </c>
      <c r="BN1939">
        <f>SUMIFS(HIX_RatingAreas[QHP Enrollments 2024],HIX_RatingAreas[Area],HIX_SLCSP[[#This Row],[Area Code]])</f>
        <v>6850</v>
      </c>
      <c r="BO1939">
        <f t="shared" si="128"/>
        <v>1.1992821814680265E-2</v>
      </c>
      <c r="BP1939" s="53">
        <f>ROUND(HIX_SLCSP[[#This Row],[Weighting Factor 2018]]*HIX_SLCSP[[#This Row],[2018]],2)</f>
        <v>2.69</v>
      </c>
      <c r="BQ1939" s="53">
        <f>ROUND(HIX_SLCSP[[#This Row],[Weighting Factor 2019]]*HIX_SLCSP[[#This Row],[2019]],2)</f>
        <v>3.69</v>
      </c>
      <c r="BR1939" s="53">
        <f>ROUND(HIX_SLCSP[[#This Row],[Weighting Factor 2020]]*HIX_SLCSP[[#This Row],[2020]],2)</f>
        <v>3.89</v>
      </c>
      <c r="BS1939" s="53">
        <f>ROUND(HIX_SLCSP[[#This Row],[Weighting Factor 2021]]*HIX_SLCSP[[#This Row],[2021]],2)</f>
        <v>3.11</v>
      </c>
      <c r="BT1939" s="53">
        <f>ROUND(HIX_SLCSP[[#This Row],[Weighting Factor 2022]]*HIX_SLCSP[[#This Row],[2022]],2)</f>
        <v>3.3</v>
      </c>
      <c r="BU1939" s="53">
        <f>ROUND(HIX_SLCSP[[#This Row],[Weighting Factor 2023]]*HIX_SLCSP[[#This Row],[2023]],2)</f>
        <v>4.43</v>
      </c>
      <c r="BV1939" s="53">
        <f>ROUND(HIX_SLCSP[[#This Row],[Weighting Factor 2024]]*HIX_SLCSP[[#This Row],[2024]],2)</f>
        <v>5.09</v>
      </c>
    </row>
    <row r="1940" spans="4:74" x14ac:dyDescent="0.35">
      <c r="D1940" t="s">
        <v>1662</v>
      </c>
      <c r="E1940" t="s">
        <v>303</v>
      </c>
      <c r="F1940" s="23">
        <v>12</v>
      </c>
      <c r="G1940" s="23" t="s">
        <v>1663</v>
      </c>
      <c r="H1940" s="23" t="s">
        <v>1694</v>
      </c>
      <c r="I1940" s="23">
        <v>70</v>
      </c>
      <c r="J1940" s="53">
        <v>343.44</v>
      </c>
      <c r="K1940" s="53">
        <v>344.26</v>
      </c>
      <c r="L1940" s="53">
        <v>586.70000000000005</v>
      </c>
      <c r="M1940" s="54">
        <f t="shared" si="116"/>
        <v>1.704235171091617</v>
      </c>
      <c r="N1940" s="24">
        <v>56</v>
      </c>
      <c r="O1940" s="55">
        <v>459.41</v>
      </c>
      <c r="P1940" s="56">
        <v>461.68</v>
      </c>
      <c r="Q1940" s="56">
        <v>786.79</v>
      </c>
      <c r="R1940" s="57">
        <f t="shared" si="129"/>
        <v>1.7041890486917344</v>
      </c>
      <c r="S1940" s="23">
        <v>104</v>
      </c>
      <c r="T1940" s="53">
        <v>416.97</v>
      </c>
      <c r="U1940" s="53">
        <v>423.9</v>
      </c>
      <c r="V1940" s="53">
        <v>722.41</v>
      </c>
      <c r="W1940" s="57">
        <f t="shared" si="130"/>
        <v>1.7041991035621609</v>
      </c>
      <c r="X1940" s="23">
        <v>104</v>
      </c>
      <c r="Y1940" s="53">
        <v>323.94</v>
      </c>
      <c r="Z1940" s="53">
        <v>330.97</v>
      </c>
      <c r="AA1940" s="53">
        <v>564.04</v>
      </c>
      <c r="AB1940" s="57">
        <f t="shared" si="131"/>
        <v>1.7042027978366616</v>
      </c>
      <c r="AC1940" s="47">
        <v>109</v>
      </c>
      <c r="AD1940" s="57">
        <v>329.3</v>
      </c>
      <c r="AE1940" s="57">
        <v>333.54</v>
      </c>
      <c r="AF1940" s="57">
        <v>568.41999999999996</v>
      </c>
      <c r="AG1940" s="57">
        <f t="shared" si="132"/>
        <v>1.7042033938957843</v>
      </c>
      <c r="AH1940" s="47">
        <v>98</v>
      </c>
      <c r="AI1940">
        <v>413.12</v>
      </c>
      <c r="AJ1940">
        <v>413.22</v>
      </c>
      <c r="AK1940">
        <v>704.21</v>
      </c>
      <c r="AL1940" s="57">
        <f t="shared" si="107"/>
        <v>1.7042011519287545</v>
      </c>
      <c r="AM1940" s="47">
        <v>115</v>
      </c>
      <c r="AN1940" s="57">
        <v>427.92</v>
      </c>
      <c r="AO1940" s="57">
        <v>429.9</v>
      </c>
      <c r="AP1940" s="57">
        <v>732.64</v>
      </c>
      <c r="AQ1940" s="57">
        <f t="shared" si="133"/>
        <v>1.7042102814608049</v>
      </c>
      <c r="AR1940" s="59">
        <v>1147</v>
      </c>
      <c r="AS1940" s="59">
        <f>SUMIFS(HIX_RatingAreas[Silver Enrollments 2018],HIX_RatingAreas[Area],HIX_SLCSP[[#This Row],[Area Code]])</f>
        <v>908</v>
      </c>
      <c r="AT1940" s="59">
        <f>SUMIFS(HIX_RatingAreas[Silver Enrollments 2019],HIX_RatingAreas[Area],HIX_SLCSP[[#This Row],[Area Code]])</f>
        <v>690</v>
      </c>
      <c r="AU1940" s="59">
        <f>SUMIFS(HIX_RatingAreas[Silver Enrollments 2020],HIX_RatingAreas[Area],HIX_SLCSP[[#This Row],[Area Code]])</f>
        <v>557</v>
      </c>
      <c r="AV1940" s="59">
        <f>SUMIFS(HIX_RatingAreas[Silver Enrollments 2021],HIX_RatingAreas[Area],HIX_SLCSP[[#This Row],[Area Code]])</f>
        <v>552</v>
      </c>
      <c r="AW1940" s="59">
        <f>SUMIFS(HIX_RatingAreas[Silver Enrollments 2022],HIX_RatingAreas[Area],HIX_SLCSP[[#This Row],[Area Code]])</f>
        <v>650</v>
      </c>
      <c r="AX1940" s="59">
        <f>SUMIFS(HIX_RatingAreas[Silver Enrollments 2023],HIX_RatingAreas[Area],HIX_SLCSP[[#This Row],[Area Code]])</f>
        <v>1264</v>
      </c>
      <c r="AY1940" s="59">
        <f>SUMIFS(HIX_RatingAreas[Silver Enrollments 2024],HIX_RatingAreas[Area],HIX_SLCSP[[#This Row],[Area Code]])</f>
        <v>1348</v>
      </c>
      <c r="AZ1940" s="59">
        <v>1282</v>
      </c>
      <c r="BA1940">
        <f t="shared" si="122"/>
        <v>5.5295563846535405E-3</v>
      </c>
      <c r="BB1940">
        <f>SUMIFS(HIX_RatingAreas[QHP Enrollments 2018],HIX_RatingAreas[Area],HIX_SLCSP[[#This Row],[Area Code]])</f>
        <v>1184</v>
      </c>
      <c r="BC1940">
        <f t="shared" si="123"/>
        <v>5.4819129283323227E-3</v>
      </c>
      <c r="BD1940">
        <f>SUMIFS(HIX_RatingAreas[QHP Enrollments 2019],HIX_RatingAreas[Area],HIX_SLCSP[[#This Row],[Area Code]])</f>
        <v>1121</v>
      </c>
      <c r="BE1940">
        <f t="shared" si="124"/>
        <v>5.2150207484322371E-3</v>
      </c>
      <c r="BF1940">
        <f>SUMIFS(HIX_RatingAreas[QHP Enrollments 2020],HIX_RatingAreas[Area],HIX_SLCSP[[#This Row],[Area Code]])</f>
        <v>1061</v>
      </c>
      <c r="BG1940">
        <f t="shared" si="125"/>
        <v>4.9572489837873199E-3</v>
      </c>
      <c r="BH1940">
        <f>SUMIFS(HIX_RatingAreas[QHP Enrollments 2021],HIX_RatingAreas[Area],HIX_SLCSP[[#This Row],[Area Code]])</f>
        <v>1218</v>
      </c>
      <c r="BI1940">
        <f t="shared" si="126"/>
        <v>5.2945011953923057E-3</v>
      </c>
      <c r="BJ1940">
        <f>SUMIFS(HIX_RatingAreas[QHP Enrollments 2022],HIX_RatingAreas[Area],HIX_SLCSP[[#This Row],[Area Code]])</f>
        <v>1692</v>
      </c>
      <c r="BK1940">
        <f t="shared" si="127"/>
        <v>5.6326400170443949E-3</v>
      </c>
      <c r="BL1940">
        <f>SUMIFS(HIX_RatingAreas[QHP Enrollments 2023],HIX_RatingAreas[Area],HIX_SLCSP[[#This Row],[Area Code]])</f>
        <v>2492</v>
      </c>
      <c r="BM1940">
        <f t="shared" si="134"/>
        <v>6.5070710868793211E-3</v>
      </c>
      <c r="BN1940">
        <f>SUMIFS(HIX_RatingAreas[QHP Enrollments 2024],HIX_RatingAreas[Area],HIX_SLCSP[[#This Row],[Area Code]])</f>
        <v>4469</v>
      </c>
      <c r="BO1940">
        <f t="shared" si="128"/>
        <v>7.8242219985118402E-3</v>
      </c>
      <c r="BP1940" s="53">
        <f>ROUND(HIX_SLCSP[[#This Row],[Weighting Factor 2018]]*HIX_SLCSP[[#This Row],[2018]],2)</f>
        <v>1.89</v>
      </c>
      <c r="BQ1940" s="53">
        <f>ROUND(HIX_SLCSP[[#This Row],[Weighting Factor 2019]]*HIX_SLCSP[[#This Row],[2019]],2)</f>
        <v>2.41</v>
      </c>
      <c r="BR1940" s="53">
        <f>ROUND(HIX_SLCSP[[#This Row],[Weighting Factor 2020]]*HIX_SLCSP[[#This Row],[2020]],2)</f>
        <v>2.1</v>
      </c>
      <c r="BS1940" s="53">
        <f>ROUND(HIX_SLCSP[[#This Row],[Weighting Factor 2021]]*HIX_SLCSP[[#This Row],[2021]],2)</f>
        <v>1.75</v>
      </c>
      <c r="BT1940" s="53">
        <f>ROUND(HIX_SLCSP[[#This Row],[Weighting Factor 2022]]*HIX_SLCSP[[#This Row],[2022]],2)</f>
        <v>1.88</v>
      </c>
      <c r="BU1940" s="53">
        <f>ROUND(HIX_SLCSP[[#This Row],[Weighting Factor 2023]]*HIX_SLCSP[[#This Row],[2023]],2)</f>
        <v>2.69</v>
      </c>
      <c r="BV1940" s="53">
        <f>ROUND(HIX_SLCSP[[#This Row],[Weighting Factor 2024]]*HIX_SLCSP[[#This Row],[2024]],2)</f>
        <v>3.36</v>
      </c>
    </row>
    <row r="1941" spans="4:74" x14ac:dyDescent="0.35">
      <c r="D1941" t="s">
        <v>1662</v>
      </c>
      <c r="E1941" t="s">
        <v>311</v>
      </c>
      <c r="F1941" s="23">
        <v>13</v>
      </c>
      <c r="G1941" s="23" t="s">
        <v>1663</v>
      </c>
      <c r="H1941" s="23" t="s">
        <v>1697</v>
      </c>
      <c r="I1941" s="23">
        <v>70</v>
      </c>
      <c r="J1941" s="53">
        <v>335.6</v>
      </c>
      <c r="K1941" s="53">
        <v>336.41</v>
      </c>
      <c r="L1941" s="53">
        <v>573.30999999999995</v>
      </c>
      <c r="M1941" s="54">
        <f t="shared" si="116"/>
        <v>1.7042002318599325</v>
      </c>
      <c r="N1941" s="24">
        <v>56</v>
      </c>
      <c r="O1941" s="55">
        <v>449</v>
      </c>
      <c r="P1941" s="56">
        <v>451.21</v>
      </c>
      <c r="Q1941" s="56">
        <v>768.96</v>
      </c>
      <c r="R1941" s="57">
        <f t="shared" si="129"/>
        <v>1.7042175483699387</v>
      </c>
      <c r="S1941" s="23">
        <v>104</v>
      </c>
      <c r="T1941" s="53">
        <v>426.51</v>
      </c>
      <c r="U1941" s="53">
        <v>431.93</v>
      </c>
      <c r="V1941" s="53">
        <v>736.1</v>
      </c>
      <c r="W1941" s="57">
        <f t="shared" si="130"/>
        <v>1.7042113305396709</v>
      </c>
      <c r="X1941" s="23">
        <v>104</v>
      </c>
      <c r="Y1941" s="53">
        <v>317.33</v>
      </c>
      <c r="Z1941" s="53">
        <v>324.20999999999998</v>
      </c>
      <c r="AA1941" s="53">
        <v>552.53</v>
      </c>
      <c r="AB1941" s="57">
        <f t="shared" si="131"/>
        <v>1.7042349094722558</v>
      </c>
      <c r="AC1941" s="47">
        <v>57</v>
      </c>
      <c r="AD1941" s="57">
        <v>327.29000000000002</v>
      </c>
      <c r="AE1941" s="57">
        <v>331.5</v>
      </c>
      <c r="AF1941" s="57">
        <v>564.95000000000005</v>
      </c>
      <c r="AG1941" s="57">
        <f t="shared" si="132"/>
        <v>1.7042232277526397</v>
      </c>
      <c r="AH1941" s="47">
        <v>94</v>
      </c>
      <c r="AI1941">
        <v>377.16</v>
      </c>
      <c r="AJ1941">
        <v>381.53</v>
      </c>
      <c r="AK1941">
        <v>650.20000000000005</v>
      </c>
      <c r="AL1941" s="57">
        <f t="shared" si="107"/>
        <v>1.7041910203653712</v>
      </c>
      <c r="AM1941" s="47">
        <v>107</v>
      </c>
      <c r="AN1941" s="57">
        <v>403.34</v>
      </c>
      <c r="AO1941" s="57">
        <v>407.04</v>
      </c>
      <c r="AP1941" s="57">
        <v>693.68</v>
      </c>
      <c r="AQ1941" s="57">
        <f t="shared" si="133"/>
        <v>1.7042059748427671</v>
      </c>
      <c r="AR1941" s="59">
        <v>1430</v>
      </c>
      <c r="AS1941" s="59">
        <f>SUMIFS(HIX_RatingAreas[Silver Enrollments 2018],HIX_RatingAreas[Area],HIX_SLCSP[[#This Row],[Area Code]])</f>
        <v>1047</v>
      </c>
      <c r="AT1941" s="59">
        <f>SUMIFS(HIX_RatingAreas[Silver Enrollments 2019],HIX_RatingAreas[Area],HIX_SLCSP[[#This Row],[Area Code]])</f>
        <v>860</v>
      </c>
      <c r="AU1941" s="59">
        <f>SUMIFS(HIX_RatingAreas[Silver Enrollments 2020],HIX_RatingAreas[Area],HIX_SLCSP[[#This Row],[Area Code]])</f>
        <v>699</v>
      </c>
      <c r="AV1941" s="59">
        <f>SUMIFS(HIX_RatingAreas[Silver Enrollments 2021],HIX_RatingAreas[Area],HIX_SLCSP[[#This Row],[Area Code]])</f>
        <v>554</v>
      </c>
      <c r="AW1941" s="59">
        <f>SUMIFS(HIX_RatingAreas[Silver Enrollments 2022],HIX_RatingAreas[Area],HIX_SLCSP[[#This Row],[Area Code]])</f>
        <v>688</v>
      </c>
      <c r="AX1941" s="59">
        <f>SUMIFS(HIX_RatingAreas[Silver Enrollments 2023],HIX_RatingAreas[Area],HIX_SLCSP[[#This Row],[Area Code]])</f>
        <v>1333</v>
      </c>
      <c r="AY1941" s="59">
        <f>SUMIFS(HIX_RatingAreas[Silver Enrollments 2024],HIX_RatingAreas[Area],HIX_SLCSP[[#This Row],[Area Code]])</f>
        <v>2486</v>
      </c>
      <c r="AZ1941" s="59">
        <v>1607</v>
      </c>
      <c r="BA1941">
        <f t="shared" si="122"/>
        <v>6.9313550001078306E-3</v>
      </c>
      <c r="BB1941">
        <f>SUMIFS(HIX_RatingAreas[QHP Enrollments 2018],HIX_RatingAreas[Area],HIX_SLCSP[[#This Row],[Area Code]])</f>
        <v>1374</v>
      </c>
      <c r="BC1941">
        <f t="shared" si="123"/>
        <v>6.3616117935207861E-3</v>
      </c>
      <c r="BD1941">
        <f>SUMIFS(HIX_RatingAreas[QHP Enrollments 2019],HIX_RatingAreas[Area],HIX_SLCSP[[#This Row],[Area Code]])</f>
        <v>1330</v>
      </c>
      <c r="BE1941">
        <f t="shared" si="124"/>
        <v>6.1873127523772303E-3</v>
      </c>
      <c r="BF1941">
        <f>SUMIFS(HIX_RatingAreas[QHP Enrollments 2020],HIX_RatingAreas[Area],HIX_SLCSP[[#This Row],[Area Code]])</f>
        <v>1231</v>
      </c>
      <c r="BG1941">
        <f t="shared" si="125"/>
        <v>5.7515301593234593E-3</v>
      </c>
      <c r="BH1941">
        <f>SUMIFS(HIX_RatingAreas[QHP Enrollments 2021],HIX_RatingAreas[Area],HIX_SLCSP[[#This Row],[Area Code]])</f>
        <v>1301</v>
      </c>
      <c r="BI1941">
        <f t="shared" si="126"/>
        <v>5.6552923277548356E-3</v>
      </c>
      <c r="BJ1941">
        <f>SUMIFS(HIX_RatingAreas[QHP Enrollments 2022],HIX_RatingAreas[Area],HIX_SLCSP[[#This Row],[Area Code]])</f>
        <v>1710</v>
      </c>
      <c r="BK1941">
        <f t="shared" si="127"/>
        <v>5.6925617193533786E-3</v>
      </c>
      <c r="BL1941">
        <f>SUMIFS(HIX_RatingAreas[QHP Enrollments 2023],HIX_RatingAreas[Area],HIX_SLCSP[[#This Row],[Area Code]])</f>
        <v>2601</v>
      </c>
      <c r="BM1941">
        <f t="shared" si="134"/>
        <v>6.7916901673246849E-3</v>
      </c>
      <c r="BN1941">
        <f>SUMIFS(HIX_RatingAreas[QHP Enrollments 2024],HIX_RatingAreas[Area],HIX_SLCSP[[#This Row],[Area Code]])</f>
        <v>4833</v>
      </c>
      <c r="BO1941">
        <f t="shared" si="128"/>
        <v>8.4615047927517843E-3</v>
      </c>
      <c r="BP1941" s="53">
        <f>ROUND(HIX_SLCSP[[#This Row],[Weighting Factor 2018]]*HIX_SLCSP[[#This Row],[2018]],2)</f>
        <v>2.14</v>
      </c>
      <c r="BQ1941" s="53">
        <f>ROUND(HIX_SLCSP[[#This Row],[Weighting Factor 2019]]*HIX_SLCSP[[#This Row],[2019]],2)</f>
        <v>2.79</v>
      </c>
      <c r="BR1941" s="53">
        <f>ROUND(HIX_SLCSP[[#This Row],[Weighting Factor 2020]]*HIX_SLCSP[[#This Row],[2020]],2)</f>
        <v>2.48</v>
      </c>
      <c r="BS1941" s="53">
        <f>ROUND(HIX_SLCSP[[#This Row],[Weighting Factor 2021]]*HIX_SLCSP[[#This Row],[2021]],2)</f>
        <v>1.83</v>
      </c>
      <c r="BT1941" s="53">
        <f>ROUND(HIX_SLCSP[[#This Row],[Weighting Factor 2022]]*HIX_SLCSP[[#This Row],[2022]],2)</f>
        <v>1.89</v>
      </c>
      <c r="BU1941" s="53">
        <f>ROUND(HIX_SLCSP[[#This Row],[Weighting Factor 2023]]*HIX_SLCSP[[#This Row],[2023]],2)</f>
        <v>2.59</v>
      </c>
      <c r="BV1941" s="53">
        <f>ROUND(HIX_SLCSP[[#This Row],[Weighting Factor 2024]]*HIX_SLCSP[[#This Row],[2024]],2)</f>
        <v>3.44</v>
      </c>
    </row>
    <row r="1942" spans="4:74" x14ac:dyDescent="0.35">
      <c r="D1942" t="s">
        <v>1662</v>
      </c>
      <c r="E1942" t="s">
        <v>577</v>
      </c>
      <c r="F1942" s="23">
        <v>14</v>
      </c>
      <c r="G1942" s="23" t="s">
        <v>1663</v>
      </c>
      <c r="H1942" s="23" t="s">
        <v>1700</v>
      </c>
      <c r="I1942" s="23">
        <v>70</v>
      </c>
      <c r="J1942" s="53">
        <v>325.38</v>
      </c>
      <c r="K1942" s="53">
        <v>326.16000000000003</v>
      </c>
      <c r="L1942" s="53">
        <v>555.85</v>
      </c>
      <c r="M1942" s="54">
        <f t="shared" si="116"/>
        <v>1.7042249202845228</v>
      </c>
      <c r="N1942" s="24">
        <v>56</v>
      </c>
      <c r="O1942" s="55">
        <v>435.42</v>
      </c>
      <c r="P1942" s="56">
        <v>437.57</v>
      </c>
      <c r="Q1942" s="56">
        <v>745.7</v>
      </c>
      <c r="R1942" s="57">
        <f t="shared" si="129"/>
        <v>1.7041844733414084</v>
      </c>
      <c r="S1942" s="23">
        <v>120</v>
      </c>
      <c r="T1942" s="53">
        <v>412.77</v>
      </c>
      <c r="U1942" s="53">
        <v>418.02</v>
      </c>
      <c r="V1942" s="53">
        <v>712.39</v>
      </c>
      <c r="W1942" s="57">
        <f t="shared" si="130"/>
        <v>1.7042007559446917</v>
      </c>
      <c r="X1942" s="23">
        <v>120</v>
      </c>
      <c r="Y1942" s="53">
        <v>288.20999999999998</v>
      </c>
      <c r="Z1942" s="53">
        <v>294.45999999999998</v>
      </c>
      <c r="AA1942" s="53">
        <v>501.82</v>
      </c>
      <c r="AB1942" s="57">
        <f t="shared" si="131"/>
        <v>1.7042043061875978</v>
      </c>
      <c r="AC1942" s="47">
        <v>57</v>
      </c>
      <c r="AD1942" s="57">
        <v>275.32</v>
      </c>
      <c r="AE1942" s="57">
        <v>278.86</v>
      </c>
      <c r="AF1942" s="57">
        <v>475.24</v>
      </c>
      <c r="AG1942" s="57">
        <f t="shared" si="132"/>
        <v>1.7042243419637093</v>
      </c>
      <c r="AH1942" s="47">
        <v>94</v>
      </c>
      <c r="AI1942">
        <v>377.16</v>
      </c>
      <c r="AJ1942">
        <v>381.53</v>
      </c>
      <c r="AK1942">
        <v>650.20000000000005</v>
      </c>
      <c r="AL1942" s="57">
        <f t="shared" si="107"/>
        <v>1.7041910203653712</v>
      </c>
      <c r="AM1942" s="47">
        <v>91</v>
      </c>
      <c r="AN1942" s="57">
        <v>395.73</v>
      </c>
      <c r="AO1942" s="57">
        <v>397.56</v>
      </c>
      <c r="AP1942" s="57">
        <v>677.53</v>
      </c>
      <c r="AQ1942" s="57">
        <f t="shared" si="133"/>
        <v>1.7042207465539791</v>
      </c>
      <c r="AR1942" s="59">
        <v>1264</v>
      </c>
      <c r="AS1942" s="59">
        <f>SUMIFS(HIX_RatingAreas[Silver Enrollments 2018],HIX_RatingAreas[Area],HIX_SLCSP[[#This Row],[Area Code]])</f>
        <v>1054</v>
      </c>
      <c r="AT1942" s="59">
        <f>SUMIFS(HIX_RatingAreas[Silver Enrollments 2019],HIX_RatingAreas[Area],HIX_SLCSP[[#This Row],[Area Code]])</f>
        <v>887</v>
      </c>
      <c r="AU1942" s="59">
        <f>SUMIFS(HIX_RatingAreas[Silver Enrollments 2020],HIX_RatingAreas[Area],HIX_SLCSP[[#This Row],[Area Code]])</f>
        <v>809</v>
      </c>
      <c r="AV1942" s="59">
        <f>SUMIFS(HIX_RatingAreas[Silver Enrollments 2021],HIX_RatingAreas[Area],HIX_SLCSP[[#This Row],[Area Code]])</f>
        <v>758</v>
      </c>
      <c r="AW1942" s="59">
        <f>SUMIFS(HIX_RatingAreas[Silver Enrollments 2022],HIX_RatingAreas[Area],HIX_SLCSP[[#This Row],[Area Code]])</f>
        <v>770</v>
      </c>
      <c r="AX1942" s="59">
        <f>SUMIFS(HIX_RatingAreas[Silver Enrollments 2023],HIX_RatingAreas[Area],HIX_SLCSP[[#This Row],[Area Code]])</f>
        <v>1141</v>
      </c>
      <c r="AY1942" s="59">
        <f>SUMIFS(HIX_RatingAreas[Silver Enrollments 2024],HIX_RatingAreas[Area],HIX_SLCSP[[#This Row],[Area Code]])</f>
        <v>1923</v>
      </c>
      <c r="AZ1942" s="59">
        <v>1372</v>
      </c>
      <c r="BA1942">
        <f t="shared" si="122"/>
        <v>5.9177467704716515E-3</v>
      </c>
      <c r="BB1942">
        <f>SUMIFS(HIX_RatingAreas[QHP Enrollments 2018],HIX_RatingAreas[Area],HIX_SLCSP[[#This Row],[Area Code]])</f>
        <v>1379</v>
      </c>
      <c r="BC1942">
        <f t="shared" si="123"/>
        <v>6.384761763657325E-3</v>
      </c>
      <c r="BD1942">
        <f>SUMIFS(HIX_RatingAreas[QHP Enrollments 2019],HIX_RatingAreas[Area],HIX_SLCSP[[#This Row],[Area Code]])</f>
        <v>1435</v>
      </c>
      <c r="BE1942">
        <f t="shared" si="124"/>
        <v>6.675784811775433E-3</v>
      </c>
      <c r="BF1942">
        <f>SUMIFS(HIX_RatingAreas[QHP Enrollments 2020],HIX_RatingAreas[Area],HIX_SLCSP[[#This Row],[Area Code]])</f>
        <v>1434</v>
      </c>
      <c r="BG1942">
        <f t="shared" si="125"/>
        <v>6.6999953277577908E-3</v>
      </c>
      <c r="BH1942">
        <f>SUMIFS(HIX_RatingAreas[QHP Enrollments 2021],HIX_RatingAreas[Area],HIX_SLCSP[[#This Row],[Area Code]])</f>
        <v>1474</v>
      </c>
      <c r="BI1942">
        <f t="shared" si="126"/>
        <v>6.4073027602695063E-3</v>
      </c>
      <c r="BJ1942">
        <f>SUMIFS(HIX_RatingAreas[QHP Enrollments 2022],HIX_RatingAreas[Area],HIX_SLCSP[[#This Row],[Area Code]])</f>
        <v>1911</v>
      </c>
      <c r="BK1942">
        <f t="shared" si="127"/>
        <v>6.3616873951370207E-3</v>
      </c>
      <c r="BL1942">
        <f>SUMIFS(HIX_RatingAreas[QHP Enrollments 2023],HIX_RatingAreas[Area],HIX_SLCSP[[#This Row],[Area Code]])</f>
        <v>2554</v>
      </c>
      <c r="BM1942">
        <f t="shared" si="134"/>
        <v>6.6689645087840239E-3</v>
      </c>
      <c r="BN1942">
        <f>SUMIFS(HIX_RatingAreas[QHP Enrollments 2024],HIX_RatingAreas[Area],HIX_SLCSP[[#This Row],[Area Code]])</f>
        <v>3991</v>
      </c>
      <c r="BO1942">
        <f t="shared" si="128"/>
        <v>6.9873506368450999E-3</v>
      </c>
      <c r="BP1942" s="53">
        <f>ROUND(HIX_SLCSP[[#This Row],[Weighting Factor 2018]]*HIX_SLCSP[[#This Row],[2018]],2)</f>
        <v>2.08</v>
      </c>
      <c r="BQ1942" s="53">
        <f>ROUND(HIX_SLCSP[[#This Row],[Weighting Factor 2019]]*HIX_SLCSP[[#This Row],[2019]],2)</f>
        <v>2.92</v>
      </c>
      <c r="BR1942" s="53">
        <f>ROUND(HIX_SLCSP[[#This Row],[Weighting Factor 2020]]*HIX_SLCSP[[#This Row],[2020]],2)</f>
        <v>2.8</v>
      </c>
      <c r="BS1942" s="53">
        <f>ROUND(HIX_SLCSP[[#This Row],[Weighting Factor 2021]]*HIX_SLCSP[[#This Row],[2021]],2)</f>
        <v>1.89</v>
      </c>
      <c r="BT1942" s="53">
        <f>ROUND(HIX_SLCSP[[#This Row],[Weighting Factor 2022]]*HIX_SLCSP[[#This Row],[2022]],2)</f>
        <v>1.77</v>
      </c>
      <c r="BU1942" s="53">
        <f>ROUND(HIX_SLCSP[[#This Row],[Weighting Factor 2023]]*HIX_SLCSP[[#This Row],[2023]],2)</f>
        <v>2.54</v>
      </c>
      <c r="BV1942" s="53">
        <f>ROUND(HIX_SLCSP[[#This Row],[Weighting Factor 2024]]*HIX_SLCSP[[#This Row],[2024]],2)</f>
        <v>2.78</v>
      </c>
    </row>
    <row r="1943" spans="4:74" x14ac:dyDescent="0.35">
      <c r="D1943" t="s">
        <v>1662</v>
      </c>
      <c r="E1943" t="s">
        <v>581</v>
      </c>
      <c r="F1943" s="23">
        <v>15</v>
      </c>
      <c r="G1943" s="23" t="s">
        <v>1663</v>
      </c>
      <c r="H1943" s="23" t="s">
        <v>1703</v>
      </c>
      <c r="I1943" s="23">
        <v>70</v>
      </c>
      <c r="J1943" s="53">
        <v>438.13</v>
      </c>
      <c r="K1943" s="53">
        <v>444.99</v>
      </c>
      <c r="L1943" s="53">
        <v>758.36</v>
      </c>
      <c r="M1943" s="54">
        <f t="shared" si="116"/>
        <v>1.7042180723162319</v>
      </c>
      <c r="N1943" s="24">
        <v>64</v>
      </c>
      <c r="O1943" s="55">
        <v>436.58</v>
      </c>
      <c r="P1943" s="56">
        <v>439</v>
      </c>
      <c r="Q1943" s="56">
        <v>748.15</v>
      </c>
      <c r="R1943" s="57">
        <f t="shared" si="129"/>
        <v>1.7042141230068337</v>
      </c>
      <c r="S1943" s="23">
        <v>120</v>
      </c>
      <c r="T1943" s="53">
        <v>345.13</v>
      </c>
      <c r="U1943" s="53">
        <v>356.34</v>
      </c>
      <c r="V1943" s="53">
        <v>607.27</v>
      </c>
      <c r="W1943" s="57">
        <f t="shared" si="130"/>
        <v>1.704187012403884</v>
      </c>
      <c r="X1943" s="23">
        <v>120</v>
      </c>
      <c r="Y1943" s="53">
        <v>329.13</v>
      </c>
      <c r="Z1943" s="53">
        <v>336.28</v>
      </c>
      <c r="AA1943" s="53">
        <v>573.08000000000004</v>
      </c>
      <c r="AB1943" s="57">
        <f t="shared" si="131"/>
        <v>1.7041750921850842</v>
      </c>
      <c r="AC1943" s="47">
        <v>57</v>
      </c>
      <c r="AD1943" s="57">
        <v>320.95</v>
      </c>
      <c r="AE1943" s="57">
        <v>325.08</v>
      </c>
      <c r="AF1943" s="57">
        <v>554</v>
      </c>
      <c r="AG1943" s="57">
        <f t="shared" si="132"/>
        <v>1.7041958902424019</v>
      </c>
      <c r="AH1943" s="47">
        <v>94</v>
      </c>
      <c r="AI1943">
        <v>376.2</v>
      </c>
      <c r="AJ1943">
        <v>380.56</v>
      </c>
      <c r="AK1943">
        <v>648.54999999999995</v>
      </c>
      <c r="AL1943" s="57">
        <f t="shared" si="107"/>
        <v>1.7041990750472986</v>
      </c>
      <c r="AM1943" s="47">
        <v>107</v>
      </c>
      <c r="AN1943" s="57">
        <v>391.32</v>
      </c>
      <c r="AO1943" s="57">
        <v>394.92</v>
      </c>
      <c r="AP1943" s="57">
        <v>673.02</v>
      </c>
      <c r="AQ1943" s="57">
        <f t="shared" si="133"/>
        <v>1.7041932543299907</v>
      </c>
      <c r="AR1943" s="59">
        <v>2214</v>
      </c>
      <c r="AS1943" s="59">
        <f>SUMIFS(HIX_RatingAreas[Silver Enrollments 2018],HIX_RatingAreas[Area],HIX_SLCSP[[#This Row],[Area Code]])</f>
        <v>1859</v>
      </c>
      <c r="AT1943" s="59">
        <f>SUMIFS(HIX_RatingAreas[Silver Enrollments 2019],HIX_RatingAreas[Area],HIX_SLCSP[[#This Row],[Area Code]])</f>
        <v>1671</v>
      </c>
      <c r="AU1943" s="59">
        <f>SUMIFS(HIX_RatingAreas[Silver Enrollments 2020],HIX_RatingAreas[Area],HIX_SLCSP[[#This Row],[Area Code]])</f>
        <v>732</v>
      </c>
      <c r="AV1943" s="59">
        <f>SUMIFS(HIX_RatingAreas[Silver Enrollments 2021],HIX_RatingAreas[Area],HIX_SLCSP[[#This Row],[Area Code]])</f>
        <v>723</v>
      </c>
      <c r="AW1943" s="59">
        <f>SUMIFS(HIX_RatingAreas[Silver Enrollments 2022],HIX_RatingAreas[Area],HIX_SLCSP[[#This Row],[Area Code]])</f>
        <v>1086</v>
      </c>
      <c r="AX1943" s="59">
        <f>SUMIFS(HIX_RatingAreas[Silver Enrollments 2023],HIX_RatingAreas[Area],HIX_SLCSP[[#This Row],[Area Code]])</f>
        <v>1438</v>
      </c>
      <c r="AY1943" s="59">
        <f>SUMIFS(HIX_RatingAreas[Silver Enrollments 2024],HIX_RatingAreas[Area],HIX_SLCSP[[#This Row],[Area Code]])</f>
        <v>2194</v>
      </c>
      <c r="AZ1943" s="59">
        <v>2405</v>
      </c>
      <c r="BA1943">
        <f t="shared" si="122"/>
        <v>1.0373309754361751E-2</v>
      </c>
      <c r="BB1943">
        <f>SUMIFS(HIX_RatingAreas[QHP Enrollments 2018],HIX_RatingAreas[Area],HIX_SLCSP[[#This Row],[Area Code]])</f>
        <v>2341</v>
      </c>
      <c r="BC1943">
        <f t="shared" si="123"/>
        <v>1.0838816017927336E-2</v>
      </c>
      <c r="BD1943">
        <f>SUMIFS(HIX_RatingAreas[QHP Enrollments 2019],HIX_RatingAreas[Area],HIX_SLCSP[[#This Row],[Area Code]])</f>
        <v>2521</v>
      </c>
      <c r="BE1943">
        <f t="shared" si="124"/>
        <v>1.172798154040827E-2</v>
      </c>
      <c r="BF1943">
        <f>SUMIFS(HIX_RatingAreas[QHP Enrollments 2020],HIX_RatingAreas[Area],HIX_SLCSP[[#This Row],[Area Code]])</f>
        <v>2182</v>
      </c>
      <c r="BG1943">
        <f t="shared" si="125"/>
        <v>1.0194832500116807E-2</v>
      </c>
      <c r="BH1943">
        <f>SUMIFS(HIX_RatingAreas[QHP Enrollments 2021],HIX_RatingAreas[Area],HIX_SLCSP[[#This Row],[Area Code]])</f>
        <v>2154</v>
      </c>
      <c r="BI1943">
        <f t="shared" si="126"/>
        <v>9.3631819169745709E-3</v>
      </c>
      <c r="BJ1943">
        <f>SUMIFS(HIX_RatingAreas[QHP Enrollments 2022],HIX_RatingAreas[Area],HIX_SLCSP[[#This Row],[Area Code]])</f>
        <v>2706</v>
      </c>
      <c r="BK1943">
        <f t="shared" si="127"/>
        <v>9.0082292471171006E-3</v>
      </c>
      <c r="BL1943">
        <f>SUMIFS(HIX_RatingAreas[QHP Enrollments 2023],HIX_RatingAreas[Area],HIX_SLCSP[[#This Row],[Area Code]])</f>
        <v>3288</v>
      </c>
      <c r="BM1943">
        <f t="shared" si="134"/>
        <v>8.5855737293977566E-3</v>
      </c>
      <c r="BN1943">
        <f>SUMIFS(HIX_RatingAreas[QHP Enrollments 2024],HIX_RatingAreas[Area],HIX_SLCSP[[#This Row],[Area Code]])</f>
        <v>4879</v>
      </c>
      <c r="BO1943">
        <f t="shared" si="128"/>
        <v>8.5420405304854029E-3</v>
      </c>
      <c r="BP1943" s="53">
        <f>ROUND(HIX_SLCSP[[#This Row],[Weighting Factor 2018]]*HIX_SLCSP[[#This Row],[2018]],2)</f>
        <v>4.82</v>
      </c>
      <c r="BQ1943" s="53">
        <f>ROUND(HIX_SLCSP[[#This Row],[Weighting Factor 2019]]*HIX_SLCSP[[#This Row],[2019]],2)</f>
        <v>5.15</v>
      </c>
      <c r="BR1943" s="53">
        <f>ROUND(HIX_SLCSP[[#This Row],[Weighting Factor 2020]]*HIX_SLCSP[[#This Row],[2020]],2)</f>
        <v>3.63</v>
      </c>
      <c r="BS1943" s="53">
        <f>ROUND(HIX_SLCSP[[#This Row],[Weighting Factor 2021]]*HIX_SLCSP[[#This Row],[2021]],2)</f>
        <v>3.15</v>
      </c>
      <c r="BT1943" s="53">
        <f>ROUND(HIX_SLCSP[[#This Row],[Weighting Factor 2022]]*HIX_SLCSP[[#This Row],[2022]],2)</f>
        <v>2.93</v>
      </c>
      <c r="BU1943" s="53">
        <f>ROUND(HIX_SLCSP[[#This Row],[Weighting Factor 2023]]*HIX_SLCSP[[#This Row],[2023]],2)</f>
        <v>3.27</v>
      </c>
      <c r="BV1943" s="53">
        <f>ROUND(HIX_SLCSP[[#This Row],[Weighting Factor 2024]]*HIX_SLCSP[[#This Row],[2024]],2)</f>
        <v>3.37</v>
      </c>
    </row>
    <row r="1944" spans="4:74" x14ac:dyDescent="0.35">
      <c r="D1944" t="s">
        <v>1662</v>
      </c>
      <c r="E1944" t="s">
        <v>585</v>
      </c>
      <c r="F1944" s="23">
        <v>16</v>
      </c>
      <c r="G1944" s="23" t="s">
        <v>1663</v>
      </c>
      <c r="H1944" s="23" t="s">
        <v>1706</v>
      </c>
      <c r="I1944" s="23">
        <v>70</v>
      </c>
      <c r="J1944" s="53">
        <v>336.12</v>
      </c>
      <c r="K1944" s="53">
        <v>336.92</v>
      </c>
      <c r="L1944" s="53">
        <v>574.17999999999995</v>
      </c>
      <c r="M1944" s="54">
        <f t="shared" si="116"/>
        <v>1.7042027781075624</v>
      </c>
      <c r="N1944" s="24">
        <v>56</v>
      </c>
      <c r="O1944" s="55">
        <v>449.68</v>
      </c>
      <c r="P1944" s="56">
        <v>451.9</v>
      </c>
      <c r="Q1944" s="56">
        <v>770.12</v>
      </c>
      <c r="R1944" s="57">
        <f t="shared" si="129"/>
        <v>1.7041823412259349</v>
      </c>
      <c r="S1944" s="23">
        <v>120</v>
      </c>
      <c r="T1944" s="53">
        <v>443.08</v>
      </c>
      <c r="U1944" s="53">
        <v>448.71</v>
      </c>
      <c r="V1944" s="53">
        <v>764.7</v>
      </c>
      <c r="W1944" s="57">
        <f t="shared" si="130"/>
        <v>1.7042187604466139</v>
      </c>
      <c r="X1944" s="23">
        <v>120</v>
      </c>
      <c r="Y1944" s="53">
        <v>317.33</v>
      </c>
      <c r="Z1944" s="53">
        <v>324.20999999999998</v>
      </c>
      <c r="AA1944" s="53">
        <v>552.53</v>
      </c>
      <c r="AB1944" s="57">
        <f t="shared" si="131"/>
        <v>1.7042349094722558</v>
      </c>
      <c r="AC1944" s="47">
        <v>57</v>
      </c>
      <c r="AD1944" s="57">
        <v>304.70999999999998</v>
      </c>
      <c r="AE1944" s="57">
        <v>308.63</v>
      </c>
      <c r="AF1944" s="57">
        <v>525.97</v>
      </c>
      <c r="AG1944" s="57">
        <f t="shared" si="132"/>
        <v>1.7042089233062243</v>
      </c>
      <c r="AH1944" s="47">
        <v>94</v>
      </c>
      <c r="AI1944">
        <v>377.16</v>
      </c>
      <c r="AJ1944">
        <v>379.4</v>
      </c>
      <c r="AK1944">
        <v>646.57000000000005</v>
      </c>
      <c r="AL1944" s="57">
        <f t="shared" si="107"/>
        <v>1.7041908276225621</v>
      </c>
      <c r="AM1944" s="47">
        <v>91</v>
      </c>
      <c r="AN1944" s="57">
        <v>403.34</v>
      </c>
      <c r="AO1944" s="57">
        <v>407.04</v>
      </c>
      <c r="AP1944" s="57">
        <v>693.68</v>
      </c>
      <c r="AQ1944" s="57">
        <f t="shared" si="133"/>
        <v>1.7042059748427671</v>
      </c>
      <c r="AR1944" s="59">
        <v>2746</v>
      </c>
      <c r="AS1944" s="59">
        <f>SUMIFS(HIX_RatingAreas[Silver Enrollments 2018],HIX_RatingAreas[Area],HIX_SLCSP[[#This Row],[Area Code]])</f>
        <v>2043</v>
      </c>
      <c r="AT1944" s="59">
        <f>SUMIFS(HIX_RatingAreas[Silver Enrollments 2019],HIX_RatingAreas[Area],HIX_SLCSP[[#This Row],[Area Code]])</f>
        <v>1652</v>
      </c>
      <c r="AU1944" s="59">
        <f>SUMIFS(HIX_RatingAreas[Silver Enrollments 2020],HIX_RatingAreas[Area],HIX_SLCSP[[#This Row],[Area Code]])</f>
        <v>1482</v>
      </c>
      <c r="AV1944" s="59">
        <f>SUMIFS(HIX_RatingAreas[Silver Enrollments 2021],HIX_RatingAreas[Area],HIX_SLCSP[[#This Row],[Area Code]])</f>
        <v>1105</v>
      </c>
      <c r="AW1944" s="59">
        <f>SUMIFS(HIX_RatingAreas[Silver Enrollments 2022],HIX_RatingAreas[Area],HIX_SLCSP[[#This Row],[Area Code]])</f>
        <v>1271</v>
      </c>
      <c r="AX1944" s="59">
        <f>SUMIFS(HIX_RatingAreas[Silver Enrollments 2023],HIX_RatingAreas[Area],HIX_SLCSP[[#This Row],[Area Code]])</f>
        <v>2208</v>
      </c>
      <c r="AY1944" s="59">
        <f>SUMIFS(HIX_RatingAreas[Silver Enrollments 2024],HIX_RatingAreas[Area],HIX_SLCSP[[#This Row],[Area Code]])</f>
        <v>4171</v>
      </c>
      <c r="AZ1944" s="59">
        <v>3067</v>
      </c>
      <c r="BA1944">
        <f t="shared" si="122"/>
        <v>1.3228665703379413E-2</v>
      </c>
      <c r="BB1944">
        <f>SUMIFS(HIX_RatingAreas[QHP Enrollments 2018],HIX_RatingAreas[Area],HIX_SLCSP[[#This Row],[Area Code]])</f>
        <v>2697</v>
      </c>
      <c r="BC1944">
        <f t="shared" si="123"/>
        <v>1.2487093891648879E-2</v>
      </c>
      <c r="BD1944">
        <f>SUMIFS(HIX_RatingAreas[QHP Enrollments 2019],HIX_RatingAreas[Area],HIX_SLCSP[[#This Row],[Area Code]])</f>
        <v>2688</v>
      </c>
      <c r="BE1944">
        <f t="shared" si="124"/>
        <v>1.2504884720593983E-2</v>
      </c>
      <c r="BF1944">
        <f>SUMIFS(HIX_RatingAreas[QHP Enrollments 2020],HIX_RatingAreas[Area],HIX_SLCSP[[#This Row],[Area Code]])</f>
        <v>2772</v>
      </c>
      <c r="BG1944">
        <f t="shared" si="125"/>
        <v>1.2951455403448114E-2</v>
      </c>
      <c r="BH1944">
        <f>SUMIFS(HIX_RatingAreas[QHP Enrollments 2021],HIX_RatingAreas[Area],HIX_SLCSP[[#This Row],[Area Code]])</f>
        <v>2790</v>
      </c>
      <c r="BI1944">
        <f t="shared" si="126"/>
        <v>1.2127798304716365E-2</v>
      </c>
      <c r="BJ1944">
        <f>SUMIFS(HIX_RatingAreas[QHP Enrollments 2022],HIX_RatingAreas[Area],HIX_SLCSP[[#This Row],[Area Code]])</f>
        <v>3303</v>
      </c>
      <c r="BK1944">
        <f t="shared" si="127"/>
        <v>1.0995632373698367E-2</v>
      </c>
      <c r="BL1944">
        <f>SUMIFS(HIX_RatingAreas[QHP Enrollments 2023],HIX_RatingAreas[Area],HIX_SLCSP[[#This Row],[Area Code]])</f>
        <v>4832</v>
      </c>
      <c r="BM1944">
        <f t="shared" si="134"/>
        <v>1.2617242171669695E-2</v>
      </c>
      <c r="BN1944">
        <f>SUMIFS(HIX_RatingAreas[QHP Enrollments 2024],HIX_RatingAreas[Area],HIX_SLCSP[[#This Row],[Area Code]])</f>
        <v>8260</v>
      </c>
      <c r="BO1944">
        <f t="shared" si="128"/>
        <v>1.4461417253906421E-2</v>
      </c>
      <c r="BP1944" s="53">
        <f>ROUND(HIX_SLCSP[[#This Row],[Weighting Factor 2018]]*HIX_SLCSP[[#This Row],[2018]],2)</f>
        <v>4.21</v>
      </c>
      <c r="BQ1944" s="53">
        <f>ROUND(HIX_SLCSP[[#This Row],[Weighting Factor 2019]]*HIX_SLCSP[[#This Row],[2019]],2)</f>
        <v>5.65</v>
      </c>
      <c r="BR1944" s="53">
        <f>ROUND(HIX_SLCSP[[#This Row],[Weighting Factor 2020]]*HIX_SLCSP[[#This Row],[2020]],2)</f>
        <v>5.81</v>
      </c>
      <c r="BS1944" s="53">
        <f>ROUND(HIX_SLCSP[[#This Row],[Weighting Factor 2021]]*HIX_SLCSP[[#This Row],[2021]],2)</f>
        <v>3.93</v>
      </c>
      <c r="BT1944" s="53">
        <f>ROUND(HIX_SLCSP[[#This Row],[Weighting Factor 2022]]*HIX_SLCSP[[#This Row],[2022]],2)</f>
        <v>3.39</v>
      </c>
      <c r="BU1944" s="53">
        <f>ROUND(HIX_SLCSP[[#This Row],[Weighting Factor 2023]]*HIX_SLCSP[[#This Row],[2023]],2)</f>
        <v>4.79</v>
      </c>
      <c r="BV1944" s="53">
        <f>ROUND(HIX_SLCSP[[#This Row],[Weighting Factor 2024]]*HIX_SLCSP[[#This Row],[2024]],2)</f>
        <v>5.89</v>
      </c>
    </row>
    <row r="1945" spans="4:74" x14ac:dyDescent="0.35">
      <c r="D1945" t="s">
        <v>1662</v>
      </c>
      <c r="E1945" t="s">
        <v>588</v>
      </c>
      <c r="F1945" s="23">
        <v>17</v>
      </c>
      <c r="G1945" s="23" t="s">
        <v>1663</v>
      </c>
      <c r="H1945" s="23" t="s">
        <v>1709</v>
      </c>
      <c r="I1945" s="23">
        <v>70</v>
      </c>
      <c r="J1945" s="53">
        <v>348.21</v>
      </c>
      <c r="K1945" s="53">
        <v>349.05</v>
      </c>
      <c r="L1945" s="53">
        <v>594.84</v>
      </c>
      <c r="M1945" s="54">
        <f t="shared" si="116"/>
        <v>1.7041684572410829</v>
      </c>
      <c r="N1945" s="24">
        <v>56</v>
      </c>
      <c r="O1945" s="55">
        <v>465.97</v>
      </c>
      <c r="P1945" s="56">
        <v>468.27</v>
      </c>
      <c r="Q1945" s="56">
        <v>798.03</v>
      </c>
      <c r="R1945" s="57">
        <f t="shared" si="129"/>
        <v>1.704209110128772</v>
      </c>
      <c r="S1945" s="23">
        <v>120</v>
      </c>
      <c r="T1945" s="53">
        <v>464.89</v>
      </c>
      <c r="U1945" s="53">
        <v>470.8</v>
      </c>
      <c r="V1945" s="53">
        <v>802.33</v>
      </c>
      <c r="W1945" s="57">
        <f t="shared" si="130"/>
        <v>1.7041843670348344</v>
      </c>
      <c r="X1945" s="23">
        <v>120</v>
      </c>
      <c r="Y1945" s="53">
        <v>338.1</v>
      </c>
      <c r="Z1945" s="53">
        <v>345.44</v>
      </c>
      <c r="AA1945" s="53">
        <v>588.70000000000005</v>
      </c>
      <c r="AB1945" s="57">
        <f t="shared" si="131"/>
        <v>1.7042033348772581</v>
      </c>
      <c r="AC1945" s="47">
        <v>57</v>
      </c>
      <c r="AD1945" s="57">
        <v>331</v>
      </c>
      <c r="AE1945" s="57">
        <v>335.26</v>
      </c>
      <c r="AF1945" s="57">
        <v>571.36</v>
      </c>
      <c r="AG1945" s="57">
        <f t="shared" si="132"/>
        <v>1.7042295531826046</v>
      </c>
      <c r="AH1945" s="47">
        <v>98</v>
      </c>
      <c r="AI1945">
        <v>377.16</v>
      </c>
      <c r="AJ1945">
        <v>381.53</v>
      </c>
      <c r="AK1945">
        <v>650.20000000000005</v>
      </c>
      <c r="AL1945" s="57">
        <f t="shared" si="107"/>
        <v>1.7041910203653712</v>
      </c>
      <c r="AM1945" s="47">
        <v>115</v>
      </c>
      <c r="AN1945" s="57">
        <v>403.34</v>
      </c>
      <c r="AO1945" s="57">
        <v>407.04</v>
      </c>
      <c r="AP1945" s="57">
        <v>693.68</v>
      </c>
      <c r="AQ1945" s="57">
        <f t="shared" si="133"/>
        <v>1.7042059748427671</v>
      </c>
      <c r="AR1945" s="59">
        <v>1147</v>
      </c>
      <c r="AS1945" s="59">
        <f>SUMIFS(HIX_RatingAreas[Silver Enrollments 2018],HIX_RatingAreas[Area],HIX_SLCSP[[#This Row],[Area Code]])</f>
        <v>787</v>
      </c>
      <c r="AT1945" s="59">
        <f>SUMIFS(HIX_RatingAreas[Silver Enrollments 2019],HIX_RatingAreas[Area],HIX_SLCSP[[#This Row],[Area Code]])</f>
        <v>604</v>
      </c>
      <c r="AU1945" s="59">
        <f>SUMIFS(HIX_RatingAreas[Silver Enrollments 2020],HIX_RatingAreas[Area],HIX_SLCSP[[#This Row],[Area Code]])</f>
        <v>554</v>
      </c>
      <c r="AV1945" s="59">
        <f>SUMIFS(HIX_RatingAreas[Silver Enrollments 2021],HIX_RatingAreas[Area],HIX_SLCSP[[#This Row],[Area Code]])</f>
        <v>355</v>
      </c>
      <c r="AW1945" s="59">
        <f>SUMIFS(HIX_RatingAreas[Silver Enrollments 2022],HIX_RatingAreas[Area],HIX_SLCSP[[#This Row],[Area Code]])</f>
        <v>462</v>
      </c>
      <c r="AX1945" s="59">
        <f>SUMIFS(HIX_RatingAreas[Silver Enrollments 2023],HIX_RatingAreas[Area],HIX_SLCSP[[#This Row],[Area Code]])</f>
        <v>1122</v>
      </c>
      <c r="AY1945" s="59">
        <f>SUMIFS(HIX_RatingAreas[Silver Enrollments 2024],HIX_RatingAreas[Area],HIX_SLCSP[[#This Row],[Area Code]])</f>
        <v>2265</v>
      </c>
      <c r="AZ1945" s="59">
        <v>1237</v>
      </c>
      <c r="BA1945">
        <f t="shared" si="122"/>
        <v>5.3354611917444845E-3</v>
      </c>
      <c r="BB1945">
        <f>SUMIFS(HIX_RatingAreas[QHP Enrollments 2018],HIX_RatingAreas[Area],HIX_SLCSP[[#This Row],[Area Code]])</f>
        <v>984</v>
      </c>
      <c r="BC1945">
        <f t="shared" si="123"/>
        <v>4.5559141228707816E-3</v>
      </c>
      <c r="BD1945">
        <f>SUMIFS(HIX_RatingAreas[QHP Enrollments 2019],HIX_RatingAreas[Area],HIX_SLCSP[[#This Row],[Area Code]])</f>
        <v>952</v>
      </c>
      <c r="BE1945">
        <f t="shared" si="124"/>
        <v>4.4288133385437019E-3</v>
      </c>
      <c r="BF1945">
        <f>SUMIFS(HIX_RatingAreas[QHP Enrollments 2020],HIX_RatingAreas[Area],HIX_SLCSP[[#This Row],[Area Code]])</f>
        <v>950</v>
      </c>
      <c r="BG1945">
        <f t="shared" si="125"/>
        <v>4.4386300985843107E-3</v>
      </c>
      <c r="BH1945">
        <f>SUMIFS(HIX_RatingAreas[QHP Enrollments 2021],HIX_RatingAreas[Area],HIX_SLCSP[[#This Row],[Area Code]])</f>
        <v>975</v>
      </c>
      <c r="BI1945">
        <f t="shared" si="126"/>
        <v>4.2382090849815259E-3</v>
      </c>
      <c r="BJ1945">
        <f>SUMIFS(HIX_RatingAreas[QHP Enrollments 2022],HIX_RatingAreas[Area],HIX_SLCSP[[#This Row],[Area Code]])</f>
        <v>1243</v>
      </c>
      <c r="BK1945">
        <f t="shared" si="127"/>
        <v>4.1379264427814323E-3</v>
      </c>
      <c r="BL1945">
        <f>SUMIFS(HIX_RatingAreas[QHP Enrollments 2023],HIX_RatingAreas[Area],HIX_SLCSP[[#This Row],[Area Code]])</f>
        <v>2162</v>
      </c>
      <c r="BM1945">
        <f t="shared" si="134"/>
        <v>5.6453802928704225E-3</v>
      </c>
      <c r="BN1945">
        <f>SUMIFS(HIX_RatingAreas[QHP Enrollments 2024],HIX_RatingAreas[Area],HIX_SLCSP[[#This Row],[Area Code]])</f>
        <v>4285</v>
      </c>
      <c r="BO1945">
        <f t="shared" si="128"/>
        <v>7.5020790475773622E-3</v>
      </c>
      <c r="BP1945" s="53">
        <f>ROUND(HIX_SLCSP[[#This Row],[Weighting Factor 2018]]*HIX_SLCSP[[#This Row],[2018]],2)</f>
        <v>1.59</v>
      </c>
      <c r="BQ1945" s="53">
        <f>ROUND(HIX_SLCSP[[#This Row],[Weighting Factor 2019]]*HIX_SLCSP[[#This Row],[2019]],2)</f>
        <v>2.0699999999999998</v>
      </c>
      <c r="BR1945" s="53">
        <f>ROUND(HIX_SLCSP[[#This Row],[Weighting Factor 2020]]*HIX_SLCSP[[#This Row],[2020]],2)</f>
        <v>2.09</v>
      </c>
      <c r="BS1945" s="53">
        <f>ROUND(HIX_SLCSP[[#This Row],[Weighting Factor 2021]]*HIX_SLCSP[[#This Row],[2021]],2)</f>
        <v>1.46</v>
      </c>
      <c r="BT1945" s="53">
        <f>ROUND(HIX_SLCSP[[#This Row],[Weighting Factor 2022]]*HIX_SLCSP[[#This Row],[2022]],2)</f>
        <v>1.39</v>
      </c>
      <c r="BU1945" s="53">
        <f>ROUND(HIX_SLCSP[[#This Row],[Weighting Factor 2023]]*HIX_SLCSP[[#This Row],[2023]],2)</f>
        <v>2.15</v>
      </c>
      <c r="BV1945" s="53">
        <f>ROUND(HIX_SLCSP[[#This Row],[Weighting Factor 2024]]*HIX_SLCSP[[#This Row],[2024]],2)</f>
        <v>3.05</v>
      </c>
    </row>
    <row r="1946" spans="4:74" x14ac:dyDescent="0.35">
      <c r="D1946" t="s">
        <v>1662</v>
      </c>
      <c r="E1946" t="s">
        <v>592</v>
      </c>
      <c r="F1946" s="23">
        <v>18</v>
      </c>
      <c r="G1946" s="23" t="s">
        <v>1663</v>
      </c>
      <c r="H1946" s="23" t="s">
        <v>1712</v>
      </c>
      <c r="I1946" s="23">
        <v>70</v>
      </c>
      <c r="J1946" s="53">
        <v>335.6</v>
      </c>
      <c r="K1946" s="53">
        <v>336.41</v>
      </c>
      <c r="L1946" s="53">
        <v>573.30999999999995</v>
      </c>
      <c r="M1946" s="54">
        <f t="shared" si="116"/>
        <v>1.7042002318599325</v>
      </c>
      <c r="N1946" s="24">
        <v>64</v>
      </c>
      <c r="O1946" s="55">
        <v>420.09</v>
      </c>
      <c r="P1946" s="56">
        <v>422.43</v>
      </c>
      <c r="Q1946" s="56">
        <v>719.9</v>
      </c>
      <c r="R1946" s="57">
        <f t="shared" si="129"/>
        <v>1.7041876760646733</v>
      </c>
      <c r="S1946" s="23">
        <v>128</v>
      </c>
      <c r="T1946" s="53">
        <v>398.68</v>
      </c>
      <c r="U1946" s="53">
        <v>405.31</v>
      </c>
      <c r="V1946" s="53">
        <v>690.73</v>
      </c>
      <c r="W1946" s="57">
        <f t="shared" si="130"/>
        <v>1.7042017221386101</v>
      </c>
      <c r="X1946" s="23">
        <v>128</v>
      </c>
      <c r="Y1946" s="53">
        <v>313.55</v>
      </c>
      <c r="Z1946" s="53">
        <v>320.36</v>
      </c>
      <c r="AA1946" s="53">
        <v>545.95000000000005</v>
      </c>
      <c r="AB1946" s="57">
        <f t="shared" si="131"/>
        <v>1.7041765513796978</v>
      </c>
      <c r="AC1946" s="47">
        <v>93</v>
      </c>
      <c r="AD1946" s="57">
        <v>302.23</v>
      </c>
      <c r="AE1946" s="57">
        <v>306.12</v>
      </c>
      <c r="AF1946" s="57">
        <v>521.70000000000005</v>
      </c>
      <c r="AG1946" s="57">
        <f t="shared" si="132"/>
        <v>1.7042336338690711</v>
      </c>
      <c r="AH1946" s="47">
        <v>136</v>
      </c>
      <c r="AI1946">
        <v>362.77</v>
      </c>
      <c r="AJ1946">
        <v>365.52</v>
      </c>
      <c r="AK1946">
        <v>622.91999999999996</v>
      </c>
      <c r="AL1946" s="57">
        <f t="shared" si="107"/>
        <v>1.7042022324359816</v>
      </c>
      <c r="AM1946" s="47">
        <v>151</v>
      </c>
      <c r="AN1946" s="57">
        <v>375.49</v>
      </c>
      <c r="AO1946" s="57">
        <v>377.23</v>
      </c>
      <c r="AP1946" s="57">
        <v>642.87</v>
      </c>
      <c r="AQ1946" s="57">
        <f t="shared" si="133"/>
        <v>1.7041857752564749</v>
      </c>
      <c r="AR1946" s="59">
        <v>5681</v>
      </c>
      <c r="AS1946" s="59">
        <f>SUMIFS(HIX_RatingAreas[Silver Enrollments 2018],HIX_RatingAreas[Area],HIX_SLCSP[[#This Row],[Area Code]])</f>
        <v>4420</v>
      </c>
      <c r="AT1946" s="59">
        <f>SUMIFS(HIX_RatingAreas[Silver Enrollments 2019],HIX_RatingAreas[Area],HIX_SLCSP[[#This Row],[Area Code]])</f>
        <v>3506</v>
      </c>
      <c r="AU1946" s="59">
        <f>SUMIFS(HIX_RatingAreas[Silver Enrollments 2020],HIX_RatingAreas[Area],HIX_SLCSP[[#This Row],[Area Code]])</f>
        <v>2994</v>
      </c>
      <c r="AV1946" s="59">
        <f>SUMIFS(HIX_RatingAreas[Silver Enrollments 2021],HIX_RatingAreas[Area],HIX_SLCSP[[#This Row],[Area Code]])</f>
        <v>2608</v>
      </c>
      <c r="AW1946" s="59">
        <f>SUMIFS(HIX_RatingAreas[Silver Enrollments 2022],HIX_RatingAreas[Area],HIX_SLCSP[[#This Row],[Area Code]])</f>
        <v>3670</v>
      </c>
      <c r="AX1946" s="59">
        <f>SUMIFS(HIX_RatingAreas[Silver Enrollments 2023],HIX_RatingAreas[Area],HIX_SLCSP[[#This Row],[Area Code]])</f>
        <v>4683</v>
      </c>
      <c r="AY1946" s="59">
        <f>SUMIFS(HIX_RatingAreas[Silver Enrollments 2024],HIX_RatingAreas[Area],HIX_SLCSP[[#This Row],[Area Code]])</f>
        <v>7352</v>
      </c>
      <c r="AZ1946" s="59">
        <v>6595</v>
      </c>
      <c r="BA1946">
        <f t="shared" si="122"/>
        <v>2.8445728827449373E-2</v>
      </c>
      <c r="BB1946">
        <f>SUMIFS(HIX_RatingAreas[QHP Enrollments 2018],HIX_RatingAreas[Area],HIX_SLCSP[[#This Row],[Area Code]])</f>
        <v>6394</v>
      </c>
      <c r="BC1946">
        <f t="shared" si="123"/>
        <v>2.9604181810605465E-2</v>
      </c>
      <c r="BD1946">
        <f>SUMIFS(HIX_RatingAreas[QHP Enrollments 2019],HIX_RatingAreas[Area],HIX_SLCSP[[#This Row],[Area Code]])</f>
        <v>6515</v>
      </c>
      <c r="BE1946">
        <f t="shared" si="124"/>
        <v>3.0308528256945608E-2</v>
      </c>
      <c r="BF1946">
        <f>SUMIFS(HIX_RatingAreas[QHP Enrollments 2020],HIX_RatingAreas[Area],HIX_SLCSP[[#This Row],[Area Code]])</f>
        <v>6474</v>
      </c>
      <c r="BG1946">
        <f t="shared" si="125"/>
        <v>3.0248096061299818E-2</v>
      </c>
      <c r="BH1946">
        <f>SUMIFS(HIX_RatingAreas[QHP Enrollments 2021],HIX_RatingAreas[Area],HIX_SLCSP[[#This Row],[Area Code]])</f>
        <v>6597</v>
      </c>
      <c r="BI1946">
        <f t="shared" si="126"/>
        <v>2.8676374701151922E-2</v>
      </c>
      <c r="BJ1946">
        <f>SUMIFS(HIX_RatingAreas[QHP Enrollments 2022],HIX_RatingAreas[Area],HIX_SLCSP[[#This Row],[Area Code]])</f>
        <v>8629</v>
      </c>
      <c r="BK1946">
        <f t="shared" si="127"/>
        <v>2.8725798290234094E-2</v>
      </c>
      <c r="BL1946">
        <f>SUMIFS(HIX_RatingAreas[QHP Enrollments 2023],HIX_RatingAreas[Area],HIX_SLCSP[[#This Row],[Area Code]])</f>
        <v>10521</v>
      </c>
      <c r="BM1946">
        <f t="shared" si="134"/>
        <v>2.7472269223538258E-2</v>
      </c>
      <c r="BN1946">
        <f>SUMIFS(HIX_RatingAreas[QHP Enrollments 2024],HIX_RatingAreas[Area],HIX_SLCSP[[#This Row],[Area Code]])</f>
        <v>15449</v>
      </c>
      <c r="BO1946">
        <f t="shared" si="128"/>
        <v>2.7047752440145314E-2</v>
      </c>
      <c r="BP1946" s="53">
        <f>ROUND(HIX_SLCSP[[#This Row],[Weighting Factor 2018]]*HIX_SLCSP[[#This Row],[2018]],2)</f>
        <v>9.9600000000000009</v>
      </c>
      <c r="BQ1946" s="53">
        <f>ROUND(HIX_SLCSP[[#This Row],[Weighting Factor 2019]]*HIX_SLCSP[[#This Row],[2019]],2)</f>
        <v>12.8</v>
      </c>
      <c r="BR1946" s="53">
        <f>ROUND(HIX_SLCSP[[#This Row],[Weighting Factor 2020]]*HIX_SLCSP[[#This Row],[2020]],2)</f>
        <v>12.26</v>
      </c>
      <c r="BS1946" s="53">
        <f>ROUND(HIX_SLCSP[[#This Row],[Weighting Factor 2021]]*HIX_SLCSP[[#This Row],[2021]],2)</f>
        <v>9.19</v>
      </c>
      <c r="BT1946" s="53">
        <f>ROUND(HIX_SLCSP[[#This Row],[Weighting Factor 2022]]*HIX_SLCSP[[#This Row],[2022]],2)</f>
        <v>8.7899999999999991</v>
      </c>
      <c r="BU1946" s="53">
        <f>ROUND(HIX_SLCSP[[#This Row],[Weighting Factor 2023]]*HIX_SLCSP[[#This Row],[2023]],2)</f>
        <v>10.039999999999999</v>
      </c>
      <c r="BV1946" s="53">
        <f>ROUND(HIX_SLCSP[[#This Row],[Weighting Factor 2024]]*HIX_SLCSP[[#This Row],[2024]],2)</f>
        <v>10.199999999999999</v>
      </c>
    </row>
    <row r="1947" spans="4:74" x14ac:dyDescent="0.35">
      <c r="D1947" t="s">
        <v>1662</v>
      </c>
      <c r="E1947" t="s">
        <v>595</v>
      </c>
      <c r="F1947" s="23">
        <v>19</v>
      </c>
      <c r="G1947" s="23" t="s">
        <v>1663</v>
      </c>
      <c r="H1947" s="23" t="s">
        <v>1715</v>
      </c>
      <c r="I1947" s="23">
        <v>70</v>
      </c>
      <c r="J1947" s="53">
        <v>359.28</v>
      </c>
      <c r="K1947" s="53">
        <v>360.15</v>
      </c>
      <c r="L1947" s="53">
        <v>613.76</v>
      </c>
      <c r="M1947" s="54">
        <f t="shared" si="116"/>
        <v>1.7041788143828962</v>
      </c>
      <c r="N1947" s="24">
        <v>56</v>
      </c>
      <c r="O1947" s="55">
        <v>480.68</v>
      </c>
      <c r="P1947" s="56">
        <v>483.05</v>
      </c>
      <c r="Q1947" s="56">
        <v>823.22</v>
      </c>
      <c r="R1947" s="57">
        <f t="shared" si="129"/>
        <v>1.7042128144084463</v>
      </c>
      <c r="S1947" s="23">
        <v>120</v>
      </c>
      <c r="T1947" s="53">
        <v>382.81</v>
      </c>
      <c r="U1947" s="53">
        <v>395.24</v>
      </c>
      <c r="V1947" s="53">
        <v>673.57</v>
      </c>
      <c r="W1947" s="57">
        <f t="shared" si="130"/>
        <v>1.7042050399757112</v>
      </c>
      <c r="X1947" s="23">
        <v>120</v>
      </c>
      <c r="Y1947" s="53">
        <v>302.22000000000003</v>
      </c>
      <c r="Z1947" s="53">
        <v>308.77999999999997</v>
      </c>
      <c r="AA1947" s="53">
        <v>526.22</v>
      </c>
      <c r="AB1947" s="57">
        <f t="shared" si="131"/>
        <v>1.7041906859252545</v>
      </c>
      <c r="AC1947" s="47">
        <v>57</v>
      </c>
      <c r="AD1947" s="57">
        <v>279.64999999999998</v>
      </c>
      <c r="AE1947" s="57">
        <v>283.25</v>
      </c>
      <c r="AF1947" s="57">
        <v>482.72</v>
      </c>
      <c r="AG1947" s="57">
        <f t="shared" si="132"/>
        <v>1.7042188879082083</v>
      </c>
      <c r="AH1947" s="47">
        <v>95</v>
      </c>
      <c r="AI1947">
        <v>321.2</v>
      </c>
      <c r="AJ1947">
        <v>323.64</v>
      </c>
      <c r="AK1947">
        <v>551.54</v>
      </c>
      <c r="AL1947" s="57">
        <f t="shared" si="107"/>
        <v>1.704177481151897</v>
      </c>
      <c r="AM1947" s="47">
        <v>91</v>
      </c>
      <c r="AN1947" s="57">
        <v>344.56</v>
      </c>
      <c r="AO1947" s="57">
        <v>344.85</v>
      </c>
      <c r="AP1947" s="57">
        <v>587.67999999999995</v>
      </c>
      <c r="AQ1947" s="57">
        <f t="shared" si="133"/>
        <v>1.704161229520081</v>
      </c>
      <c r="AR1947" s="59">
        <v>788</v>
      </c>
      <c r="AS1947" s="59">
        <f>SUMIFS(HIX_RatingAreas[Silver Enrollments 2018],HIX_RatingAreas[Area],HIX_SLCSP[[#This Row],[Area Code]])</f>
        <v>611</v>
      </c>
      <c r="AT1947" s="59">
        <f>SUMIFS(HIX_RatingAreas[Silver Enrollments 2019],HIX_RatingAreas[Area],HIX_SLCSP[[#This Row],[Area Code]])</f>
        <v>525</v>
      </c>
      <c r="AU1947" s="59">
        <f>SUMIFS(HIX_RatingAreas[Silver Enrollments 2020],HIX_RatingAreas[Area],HIX_SLCSP[[#This Row],[Area Code]])</f>
        <v>322</v>
      </c>
      <c r="AV1947" s="59">
        <f>SUMIFS(HIX_RatingAreas[Silver Enrollments 2021],HIX_RatingAreas[Area],HIX_SLCSP[[#This Row],[Area Code]])</f>
        <v>284</v>
      </c>
      <c r="AW1947" s="59">
        <f>SUMIFS(HIX_RatingAreas[Silver Enrollments 2022],HIX_RatingAreas[Area],HIX_SLCSP[[#This Row],[Area Code]])</f>
        <v>488</v>
      </c>
      <c r="AX1947" s="59">
        <f>SUMIFS(HIX_RatingAreas[Silver Enrollments 2023],HIX_RatingAreas[Area],HIX_SLCSP[[#This Row],[Area Code]])</f>
        <v>726</v>
      </c>
      <c r="AY1947" s="59">
        <f>SUMIFS(HIX_RatingAreas[Silver Enrollments 2024],HIX_RatingAreas[Area],HIX_SLCSP[[#This Row],[Area Code]])</f>
        <v>1138</v>
      </c>
      <c r="AZ1947" s="59">
        <v>873</v>
      </c>
      <c r="BA1947">
        <f t="shared" si="122"/>
        <v>3.7654467424356789E-3</v>
      </c>
      <c r="BB1947">
        <f>SUMIFS(HIX_RatingAreas[QHP Enrollments 2018],HIX_RatingAreas[Area],HIX_SLCSP[[#This Row],[Area Code]])</f>
        <v>773</v>
      </c>
      <c r="BC1947">
        <f t="shared" si="123"/>
        <v>3.5789853831088556E-3</v>
      </c>
      <c r="BD1947">
        <f>SUMIFS(HIX_RatingAreas[QHP Enrollments 2019],HIX_RatingAreas[Area],HIX_SLCSP[[#This Row],[Area Code]])</f>
        <v>805</v>
      </c>
      <c r="BE1947">
        <f t="shared" si="124"/>
        <v>3.7449524553862185E-3</v>
      </c>
      <c r="BF1947">
        <f>SUMIFS(HIX_RatingAreas[QHP Enrollments 2020],HIX_RatingAreas[Area],HIX_SLCSP[[#This Row],[Area Code]])</f>
        <v>772</v>
      </c>
      <c r="BG1947">
        <f t="shared" si="125"/>
        <v>3.6069709853758817E-3</v>
      </c>
      <c r="BH1947">
        <f>SUMIFS(HIX_RatingAreas[QHP Enrollments 2021],HIX_RatingAreas[Area],HIX_SLCSP[[#This Row],[Area Code]])</f>
        <v>898</v>
      </c>
      <c r="BI1947">
        <f t="shared" si="126"/>
        <v>3.9034992392958053E-3</v>
      </c>
      <c r="BJ1947">
        <f>SUMIFS(HIX_RatingAreas[QHP Enrollments 2022],HIX_RatingAreas[Area],HIX_SLCSP[[#This Row],[Area Code]])</f>
        <v>1234</v>
      </c>
      <c r="BK1947">
        <f t="shared" si="127"/>
        <v>4.1079655916269409E-3</v>
      </c>
      <c r="BL1947">
        <f>SUMIFS(HIX_RatingAreas[QHP Enrollments 2023],HIX_RatingAreas[Area],HIX_SLCSP[[#This Row],[Area Code]])</f>
        <v>1741</v>
      </c>
      <c r="BM1947">
        <f t="shared" si="134"/>
        <v>4.5460717344530093E-3</v>
      </c>
      <c r="BN1947">
        <f>SUMIFS(HIX_RatingAreas[QHP Enrollments 2024],HIX_RatingAreas[Area],HIX_SLCSP[[#This Row],[Area Code]])</f>
        <v>2587</v>
      </c>
      <c r="BO1947">
        <f t="shared" si="128"/>
        <v>4.5292598590624591E-3</v>
      </c>
      <c r="BP1947" s="53">
        <f>ROUND(HIX_SLCSP[[#This Row],[Weighting Factor 2018]]*HIX_SLCSP[[#This Row],[2018]],2)</f>
        <v>1.29</v>
      </c>
      <c r="BQ1947" s="53">
        <f>ROUND(HIX_SLCSP[[#This Row],[Weighting Factor 2019]]*HIX_SLCSP[[#This Row],[2019]],2)</f>
        <v>1.81</v>
      </c>
      <c r="BR1947" s="53">
        <f>ROUND(HIX_SLCSP[[#This Row],[Weighting Factor 2020]]*HIX_SLCSP[[#This Row],[2020]],2)</f>
        <v>1.43</v>
      </c>
      <c r="BS1947" s="53">
        <f>ROUND(HIX_SLCSP[[#This Row],[Weighting Factor 2021]]*HIX_SLCSP[[#This Row],[2021]],2)</f>
        <v>1.21</v>
      </c>
      <c r="BT1947" s="53">
        <f>ROUND(HIX_SLCSP[[#This Row],[Weighting Factor 2022]]*HIX_SLCSP[[#This Row],[2022]],2)</f>
        <v>1.1599999999999999</v>
      </c>
      <c r="BU1947" s="53">
        <f>ROUND(HIX_SLCSP[[#This Row],[Weighting Factor 2023]]*HIX_SLCSP[[#This Row],[2023]],2)</f>
        <v>1.47</v>
      </c>
      <c r="BV1947" s="53">
        <f>ROUND(HIX_SLCSP[[#This Row],[Weighting Factor 2024]]*HIX_SLCSP[[#This Row],[2024]],2)</f>
        <v>1.56</v>
      </c>
    </row>
    <row r="1948" spans="4:74" x14ac:dyDescent="0.35">
      <c r="D1948" t="s">
        <v>1662</v>
      </c>
      <c r="E1948" t="s">
        <v>599</v>
      </c>
      <c r="F1948" s="23">
        <v>20</v>
      </c>
      <c r="G1948" s="23" t="s">
        <v>1663</v>
      </c>
      <c r="H1948" s="23" t="s">
        <v>1718</v>
      </c>
      <c r="I1948" s="23">
        <v>70</v>
      </c>
      <c r="J1948" s="53">
        <v>331.18</v>
      </c>
      <c r="K1948" s="53">
        <v>331.97</v>
      </c>
      <c r="L1948" s="53">
        <v>565.74</v>
      </c>
      <c r="M1948" s="54">
        <f t="shared" si="116"/>
        <v>1.7041901376630417</v>
      </c>
      <c r="N1948" s="24">
        <v>56</v>
      </c>
      <c r="O1948" s="55">
        <v>443.12</v>
      </c>
      <c r="P1948" s="56">
        <v>445.3</v>
      </c>
      <c r="Q1948" s="56">
        <v>758.88</v>
      </c>
      <c r="R1948" s="57">
        <f t="shared" si="129"/>
        <v>1.7041994161239613</v>
      </c>
      <c r="S1948" s="23">
        <v>76</v>
      </c>
      <c r="T1948" s="53">
        <v>404.14</v>
      </c>
      <c r="U1948" s="53">
        <v>417.26</v>
      </c>
      <c r="V1948" s="53">
        <v>711.1</v>
      </c>
      <c r="W1948" s="57">
        <f t="shared" si="130"/>
        <v>1.7042132004026267</v>
      </c>
      <c r="X1948" s="23">
        <v>76</v>
      </c>
      <c r="Y1948" s="53">
        <v>335.9</v>
      </c>
      <c r="Z1948" s="53">
        <v>343.19</v>
      </c>
      <c r="AA1948" s="53">
        <v>584.87</v>
      </c>
      <c r="AB1948" s="57">
        <f t="shared" si="131"/>
        <v>1.7042163233194441</v>
      </c>
      <c r="AC1948" s="47">
        <v>72</v>
      </c>
      <c r="AD1948" s="57">
        <v>416.66</v>
      </c>
      <c r="AE1948" s="57">
        <v>416.66</v>
      </c>
      <c r="AF1948" s="57">
        <v>710.07</v>
      </c>
      <c r="AG1948" s="57">
        <f t="shared" si="132"/>
        <v>1.7041952671242739</v>
      </c>
      <c r="AH1948" s="47">
        <v>98</v>
      </c>
      <c r="AI1948">
        <v>384.19</v>
      </c>
      <c r="AJ1948">
        <v>390.83</v>
      </c>
      <c r="AK1948">
        <v>666.05</v>
      </c>
      <c r="AL1948" s="57">
        <f t="shared" si="107"/>
        <v>1.7041936391781594</v>
      </c>
      <c r="AM1948" s="47">
        <v>99</v>
      </c>
      <c r="AN1948" s="57">
        <v>380.8</v>
      </c>
      <c r="AO1948" s="57">
        <v>384.3</v>
      </c>
      <c r="AP1948" s="57">
        <v>654.91999999999996</v>
      </c>
      <c r="AQ1948" s="57">
        <f t="shared" si="133"/>
        <v>1.7041894353369762</v>
      </c>
      <c r="AR1948" s="59">
        <v>809</v>
      </c>
      <c r="AS1948" s="59">
        <f>SUMIFS(HIX_RatingAreas[Silver Enrollments 2018],HIX_RatingAreas[Area],HIX_SLCSP[[#This Row],[Area Code]])</f>
        <v>669</v>
      </c>
      <c r="AT1948" s="59">
        <f>SUMIFS(HIX_RatingAreas[Silver Enrollments 2019],HIX_RatingAreas[Area],HIX_SLCSP[[#This Row],[Area Code]])</f>
        <v>544</v>
      </c>
      <c r="AU1948" s="59">
        <f>SUMIFS(HIX_RatingAreas[Silver Enrollments 2020],HIX_RatingAreas[Area],HIX_SLCSP[[#This Row],[Area Code]])</f>
        <v>429</v>
      </c>
      <c r="AV1948" s="59">
        <f>SUMIFS(HIX_RatingAreas[Silver Enrollments 2021],HIX_RatingAreas[Area],HIX_SLCSP[[#This Row],[Area Code]])</f>
        <v>450</v>
      </c>
      <c r="AW1948" s="59">
        <f>SUMIFS(HIX_RatingAreas[Silver Enrollments 2022],HIX_RatingAreas[Area],HIX_SLCSP[[#This Row],[Area Code]])</f>
        <v>615</v>
      </c>
      <c r="AX1948" s="59">
        <f>SUMIFS(HIX_RatingAreas[Silver Enrollments 2023],HIX_RatingAreas[Area],HIX_SLCSP[[#This Row],[Area Code]])</f>
        <v>812</v>
      </c>
      <c r="AY1948" s="59">
        <f>SUMIFS(HIX_RatingAreas[Silver Enrollments 2024],HIX_RatingAreas[Area],HIX_SLCSP[[#This Row],[Area Code]])</f>
        <v>1433</v>
      </c>
      <c r="AZ1948" s="59">
        <v>958</v>
      </c>
      <c r="BA1948">
        <f t="shared" si="122"/>
        <v>4.1320709957083394E-3</v>
      </c>
      <c r="BB1948">
        <f>SUMIFS(HIX_RatingAreas[QHP Enrollments 2018],HIX_RatingAreas[Area],HIX_SLCSP[[#This Row],[Area Code]])</f>
        <v>932</v>
      </c>
      <c r="BC1948">
        <f t="shared" si="123"/>
        <v>4.3151544334507812E-3</v>
      </c>
      <c r="BD1948">
        <f>SUMIFS(HIX_RatingAreas[QHP Enrollments 2019],HIX_RatingAreas[Area],HIX_SLCSP[[#This Row],[Area Code]])</f>
        <v>914</v>
      </c>
      <c r="BE1948">
        <f t="shared" si="124"/>
        <v>4.2520329741900665E-3</v>
      </c>
      <c r="BF1948">
        <f>SUMIFS(HIX_RatingAreas[QHP Enrollments 2020],HIX_RatingAreas[Area],HIX_SLCSP[[#This Row],[Area Code]])</f>
        <v>882</v>
      </c>
      <c r="BG1948">
        <f t="shared" si="125"/>
        <v>4.1209176283698544E-3</v>
      </c>
      <c r="BH1948">
        <f>SUMIFS(HIX_RatingAreas[QHP Enrollments 2021],HIX_RatingAreas[Area],HIX_SLCSP[[#This Row],[Area Code]])</f>
        <v>949</v>
      </c>
      <c r="BI1948">
        <f t="shared" si="126"/>
        <v>4.1251901760486851E-3</v>
      </c>
      <c r="BJ1948">
        <f>SUMIFS(HIX_RatingAreas[QHP Enrollments 2022],HIX_RatingAreas[Area],HIX_SLCSP[[#This Row],[Area Code]])</f>
        <v>1274</v>
      </c>
      <c r="BK1948">
        <f t="shared" si="127"/>
        <v>4.2411249300913475E-3</v>
      </c>
      <c r="BL1948">
        <f>SUMIFS(HIX_RatingAreas[QHP Enrollments 2023],HIX_RatingAreas[Area],HIX_SLCSP[[#This Row],[Area Code]])</f>
        <v>1784</v>
      </c>
      <c r="BM1948">
        <f t="shared" si="134"/>
        <v>4.658352656096593E-3</v>
      </c>
      <c r="BN1948">
        <f>SUMIFS(HIX_RatingAreas[QHP Enrollments 2024],HIX_RatingAreas[Area],HIX_SLCSP[[#This Row],[Area Code]])</f>
        <v>2967</v>
      </c>
      <c r="BO1948">
        <f t="shared" si="128"/>
        <v>5.1945550838184444E-3</v>
      </c>
      <c r="BP1948" s="53">
        <f>ROUND(HIX_SLCSP[[#This Row],[Weighting Factor 2018]]*HIX_SLCSP[[#This Row],[2018]],2)</f>
        <v>1.43</v>
      </c>
      <c r="BQ1948" s="53">
        <f>ROUND(HIX_SLCSP[[#This Row],[Weighting Factor 2019]]*HIX_SLCSP[[#This Row],[2019]],2)</f>
        <v>1.89</v>
      </c>
      <c r="BR1948" s="53">
        <f>ROUND(HIX_SLCSP[[#This Row],[Weighting Factor 2020]]*HIX_SLCSP[[#This Row],[2020]],2)</f>
        <v>1.72</v>
      </c>
      <c r="BS1948" s="53">
        <f>ROUND(HIX_SLCSP[[#This Row],[Weighting Factor 2021]]*HIX_SLCSP[[#This Row],[2021]],2)</f>
        <v>1.42</v>
      </c>
      <c r="BT1948" s="53">
        <f>ROUND(HIX_SLCSP[[#This Row],[Weighting Factor 2022]]*HIX_SLCSP[[#This Row],[2022]],2)</f>
        <v>1.77</v>
      </c>
      <c r="BU1948" s="53">
        <f>ROUND(HIX_SLCSP[[#This Row],[Weighting Factor 2023]]*HIX_SLCSP[[#This Row],[2023]],2)</f>
        <v>1.82</v>
      </c>
      <c r="BV1948" s="53">
        <f>ROUND(HIX_SLCSP[[#This Row],[Weighting Factor 2024]]*HIX_SLCSP[[#This Row],[2024]],2)</f>
        <v>2</v>
      </c>
    </row>
    <row r="1949" spans="4:74" x14ac:dyDescent="0.35">
      <c r="D1949" t="s">
        <v>1662</v>
      </c>
      <c r="E1949" t="s">
        <v>603</v>
      </c>
      <c r="F1949" s="23">
        <v>21</v>
      </c>
      <c r="G1949" s="23" t="s">
        <v>1663</v>
      </c>
      <c r="H1949" s="23" t="s">
        <v>1721</v>
      </c>
      <c r="I1949" s="23">
        <v>70</v>
      </c>
      <c r="J1949" s="53">
        <v>336.12</v>
      </c>
      <c r="K1949" s="53">
        <v>336.92</v>
      </c>
      <c r="L1949" s="53">
        <v>574.17999999999995</v>
      </c>
      <c r="M1949" s="54">
        <f t="shared" si="116"/>
        <v>1.7042027781075624</v>
      </c>
      <c r="N1949" s="24">
        <v>56</v>
      </c>
      <c r="O1949" s="55">
        <v>449.68</v>
      </c>
      <c r="P1949" s="56">
        <v>451.9</v>
      </c>
      <c r="Q1949" s="56">
        <v>770.12</v>
      </c>
      <c r="R1949" s="57">
        <f t="shared" si="129"/>
        <v>1.7041823412259349</v>
      </c>
      <c r="S1949" s="23">
        <v>120</v>
      </c>
      <c r="T1949" s="53">
        <v>305.13</v>
      </c>
      <c r="U1949" s="53">
        <v>310.2</v>
      </c>
      <c r="V1949" s="53">
        <v>528.65</v>
      </c>
      <c r="W1949" s="57">
        <f t="shared" si="130"/>
        <v>1.7042230818826563</v>
      </c>
      <c r="X1949" s="23">
        <v>120</v>
      </c>
      <c r="Y1949" s="53">
        <v>335.74</v>
      </c>
      <c r="Z1949" s="53">
        <v>343.03</v>
      </c>
      <c r="AA1949" s="53">
        <v>584.59</v>
      </c>
      <c r="AB1949" s="57">
        <f t="shared" si="131"/>
        <v>1.7041949683701136</v>
      </c>
      <c r="AC1949" s="47">
        <v>57</v>
      </c>
      <c r="AD1949" s="57">
        <v>324.04000000000002</v>
      </c>
      <c r="AE1949" s="57">
        <v>328.21</v>
      </c>
      <c r="AF1949" s="57">
        <v>559.34</v>
      </c>
      <c r="AG1949" s="57">
        <f t="shared" si="132"/>
        <v>1.7042137655769174</v>
      </c>
      <c r="AH1949" s="47">
        <v>102</v>
      </c>
      <c r="AI1949">
        <v>377.16</v>
      </c>
      <c r="AJ1949">
        <v>381.53</v>
      </c>
      <c r="AK1949">
        <v>650.20000000000005</v>
      </c>
      <c r="AL1949" s="57">
        <f t="shared" si="107"/>
        <v>1.7041910203653712</v>
      </c>
      <c r="AM1949" s="47">
        <v>123</v>
      </c>
      <c r="AN1949" s="57">
        <v>403.34</v>
      </c>
      <c r="AO1949" s="57">
        <v>407.04</v>
      </c>
      <c r="AP1949" s="57">
        <v>693.68</v>
      </c>
      <c r="AQ1949" s="57">
        <f t="shared" si="133"/>
        <v>1.7042059748427671</v>
      </c>
      <c r="AR1949" s="59">
        <v>5951</v>
      </c>
      <c r="AS1949" s="59">
        <f>SUMIFS(HIX_RatingAreas[Silver Enrollments 2018],HIX_RatingAreas[Area],HIX_SLCSP[[#This Row],[Area Code]])</f>
        <v>4266</v>
      </c>
      <c r="AT1949" s="59">
        <f>SUMIFS(HIX_RatingAreas[Silver Enrollments 2019],HIX_RatingAreas[Area],HIX_SLCSP[[#This Row],[Area Code]])</f>
        <v>3502</v>
      </c>
      <c r="AU1949" s="59">
        <f>SUMIFS(HIX_RatingAreas[Silver Enrollments 2020],HIX_RatingAreas[Area],HIX_SLCSP[[#This Row],[Area Code]])</f>
        <v>2049</v>
      </c>
      <c r="AV1949" s="59">
        <f>SUMIFS(HIX_RatingAreas[Silver Enrollments 2021],HIX_RatingAreas[Area],HIX_SLCSP[[#This Row],[Area Code]])</f>
        <v>2060</v>
      </c>
      <c r="AW1949" s="59">
        <f>SUMIFS(HIX_RatingAreas[Silver Enrollments 2022],HIX_RatingAreas[Area],HIX_SLCSP[[#This Row],[Area Code]])</f>
        <v>2899</v>
      </c>
      <c r="AX1949" s="59">
        <f>SUMIFS(HIX_RatingAreas[Silver Enrollments 2023],HIX_RatingAreas[Area],HIX_SLCSP[[#This Row],[Area Code]])</f>
        <v>4442</v>
      </c>
      <c r="AY1949" s="59">
        <f>SUMIFS(HIX_RatingAreas[Silver Enrollments 2024],HIX_RatingAreas[Area],HIX_SLCSP[[#This Row],[Area Code]])</f>
        <v>7339</v>
      </c>
      <c r="AZ1949" s="59">
        <v>6804</v>
      </c>
      <c r="BA1949">
        <f t="shared" si="122"/>
        <v>2.9347193167849211E-2</v>
      </c>
      <c r="BB1949">
        <f>SUMIFS(HIX_RatingAreas[QHP Enrollments 2018],HIX_RatingAreas[Area],HIX_SLCSP[[#This Row],[Area Code]])</f>
        <v>5902</v>
      </c>
      <c r="BC1949">
        <f t="shared" si="123"/>
        <v>2.7326224749170073E-2</v>
      </c>
      <c r="BD1949">
        <f>SUMIFS(HIX_RatingAreas[QHP Enrollments 2019],HIX_RatingAreas[Area],HIX_SLCSP[[#This Row],[Area Code]])</f>
        <v>5854</v>
      </c>
      <c r="BE1949">
        <f t="shared" si="124"/>
        <v>2.7233480340162639E-2</v>
      </c>
      <c r="BF1949">
        <f>SUMIFS(HIX_RatingAreas[QHP Enrollments 2020],HIX_RatingAreas[Area],HIX_SLCSP[[#This Row],[Area Code]])</f>
        <v>4889</v>
      </c>
      <c r="BG1949">
        <f t="shared" si="125"/>
        <v>2.2842592159977575E-2</v>
      </c>
      <c r="BH1949">
        <f>SUMIFS(HIX_RatingAreas[QHP Enrollments 2021],HIX_RatingAreas[Area],HIX_SLCSP[[#This Row],[Area Code]])</f>
        <v>4741</v>
      </c>
      <c r="BI1949">
        <f t="shared" si="126"/>
        <v>2.0608563355792218E-2</v>
      </c>
      <c r="BJ1949">
        <f>SUMIFS(HIX_RatingAreas[QHP Enrollments 2022],HIX_RatingAreas[Area],HIX_SLCSP[[#This Row],[Area Code]])</f>
        <v>6470</v>
      </c>
      <c r="BK1949">
        <f t="shared" si="127"/>
        <v>2.1538522996617755E-2</v>
      </c>
      <c r="BL1949">
        <f>SUMIFS(HIX_RatingAreas[QHP Enrollments 2023],HIX_RatingAreas[Area],HIX_SLCSP[[#This Row],[Area Code]])</f>
        <v>8809</v>
      </c>
      <c r="BM1949">
        <f t="shared" si="134"/>
        <v>2.3001921831589063E-2</v>
      </c>
      <c r="BN1949">
        <f>SUMIFS(HIX_RatingAreas[QHP Enrollments 2024],HIX_RatingAreas[Area],HIX_SLCSP[[#This Row],[Area Code]])</f>
        <v>14588</v>
      </c>
      <c r="BO1949">
        <f t="shared" si="128"/>
        <v>2.5540333523000832E-2</v>
      </c>
      <c r="BP1949" s="53">
        <f>ROUND(HIX_SLCSP[[#This Row],[Weighting Factor 2018]]*HIX_SLCSP[[#This Row],[2018]],2)</f>
        <v>9.2100000000000009</v>
      </c>
      <c r="BQ1949" s="53">
        <f>ROUND(HIX_SLCSP[[#This Row],[Weighting Factor 2019]]*HIX_SLCSP[[#This Row],[2019]],2)</f>
        <v>12.31</v>
      </c>
      <c r="BR1949" s="53">
        <f>ROUND(HIX_SLCSP[[#This Row],[Weighting Factor 2020]]*HIX_SLCSP[[#This Row],[2020]],2)</f>
        <v>7.09</v>
      </c>
      <c r="BS1949" s="53">
        <f>ROUND(HIX_SLCSP[[#This Row],[Weighting Factor 2021]]*HIX_SLCSP[[#This Row],[2021]],2)</f>
        <v>7.07</v>
      </c>
      <c r="BT1949" s="53">
        <f>ROUND(HIX_SLCSP[[#This Row],[Weighting Factor 2022]]*HIX_SLCSP[[#This Row],[2022]],2)</f>
        <v>7.07</v>
      </c>
      <c r="BU1949" s="53">
        <f>ROUND(HIX_SLCSP[[#This Row],[Weighting Factor 2023]]*HIX_SLCSP[[#This Row],[2023]],2)</f>
        <v>8.7799999999999994</v>
      </c>
      <c r="BV1949" s="53">
        <f>ROUND(HIX_SLCSP[[#This Row],[Weighting Factor 2024]]*HIX_SLCSP[[#This Row],[2024]],2)</f>
        <v>10.4</v>
      </c>
    </row>
    <row r="1950" spans="4:74" x14ac:dyDescent="0.35">
      <c r="D1950" t="s">
        <v>1662</v>
      </c>
      <c r="E1950" t="s">
        <v>607</v>
      </c>
      <c r="F1950" s="23">
        <v>22</v>
      </c>
      <c r="G1950" s="23" t="s">
        <v>1663</v>
      </c>
      <c r="H1950" s="23" t="s">
        <v>1724</v>
      </c>
      <c r="I1950" s="23">
        <v>70</v>
      </c>
      <c r="J1950" s="53">
        <v>341.23</v>
      </c>
      <c r="K1950" s="53">
        <v>342.05</v>
      </c>
      <c r="L1950" s="53">
        <v>582.91</v>
      </c>
      <c r="M1950" s="54">
        <f t="shared" si="116"/>
        <v>1.7041660575939188</v>
      </c>
      <c r="N1950" s="24">
        <v>56</v>
      </c>
      <c r="O1950" s="55">
        <v>456.47</v>
      </c>
      <c r="P1950" s="56">
        <v>458.72</v>
      </c>
      <c r="Q1950" s="56">
        <v>781.75</v>
      </c>
      <c r="R1950" s="57">
        <f t="shared" si="129"/>
        <v>1.7041986396930588</v>
      </c>
      <c r="S1950" s="23">
        <v>104</v>
      </c>
      <c r="T1950" s="53">
        <v>405.79</v>
      </c>
      <c r="U1950" s="53">
        <v>410.95</v>
      </c>
      <c r="V1950" s="53">
        <v>700.35</v>
      </c>
      <c r="W1950" s="57">
        <f t="shared" si="130"/>
        <v>1.704221924808371</v>
      </c>
      <c r="X1950" s="23">
        <v>104</v>
      </c>
      <c r="Y1950" s="53">
        <v>285.85000000000002</v>
      </c>
      <c r="Z1950" s="53">
        <v>292.05</v>
      </c>
      <c r="AA1950" s="53">
        <v>497.71</v>
      </c>
      <c r="AB1950" s="57">
        <f t="shared" si="131"/>
        <v>1.7041944872453345</v>
      </c>
      <c r="AC1950" s="47">
        <v>109</v>
      </c>
      <c r="AD1950" s="57">
        <v>275.17</v>
      </c>
      <c r="AE1950" s="57">
        <v>278.70999999999998</v>
      </c>
      <c r="AF1950" s="57">
        <v>474.97</v>
      </c>
      <c r="AG1950" s="57">
        <f t="shared" si="132"/>
        <v>1.7041727960963011</v>
      </c>
      <c r="AH1950" s="47">
        <v>106</v>
      </c>
      <c r="AI1950">
        <v>321.2</v>
      </c>
      <c r="AJ1950">
        <v>323.64</v>
      </c>
      <c r="AK1950">
        <v>551.54</v>
      </c>
      <c r="AL1950" s="57">
        <f t="shared" si="107"/>
        <v>1.704177481151897</v>
      </c>
      <c r="AM1950" s="47">
        <v>131</v>
      </c>
      <c r="AN1950" s="57">
        <v>333.47</v>
      </c>
      <c r="AO1950" s="57">
        <v>335.01</v>
      </c>
      <c r="AP1950" s="57">
        <v>570.92999999999995</v>
      </c>
      <c r="AQ1950" s="57">
        <f t="shared" si="133"/>
        <v>1.704217784543745</v>
      </c>
      <c r="AR1950" s="59">
        <v>3116</v>
      </c>
      <c r="AS1950" s="59">
        <f>SUMIFS(HIX_RatingAreas[Silver Enrollments 2018],HIX_RatingAreas[Area],HIX_SLCSP[[#This Row],[Area Code]])</f>
        <v>2369</v>
      </c>
      <c r="AT1950" s="59">
        <f>SUMIFS(HIX_RatingAreas[Silver Enrollments 2019],HIX_RatingAreas[Area],HIX_SLCSP[[#This Row],[Area Code]])</f>
        <v>1910</v>
      </c>
      <c r="AU1950" s="59">
        <f>SUMIFS(HIX_RatingAreas[Silver Enrollments 2020],HIX_RatingAreas[Area],HIX_SLCSP[[#This Row],[Area Code]])</f>
        <v>1585</v>
      </c>
      <c r="AV1950" s="59">
        <f>SUMIFS(HIX_RatingAreas[Silver Enrollments 2021],HIX_RatingAreas[Area],HIX_SLCSP[[#This Row],[Area Code]])</f>
        <v>1441</v>
      </c>
      <c r="AW1950" s="59">
        <f>SUMIFS(HIX_RatingAreas[Silver Enrollments 2022],HIX_RatingAreas[Area],HIX_SLCSP[[#This Row],[Area Code]])</f>
        <v>1690</v>
      </c>
      <c r="AX1950" s="59">
        <f>SUMIFS(HIX_RatingAreas[Silver Enrollments 2023],HIX_RatingAreas[Area],HIX_SLCSP[[#This Row],[Area Code]])</f>
        <v>2348</v>
      </c>
      <c r="AY1950" s="59">
        <f>SUMIFS(HIX_RatingAreas[Silver Enrollments 2024],HIX_RatingAreas[Area],HIX_SLCSP[[#This Row],[Area Code]])</f>
        <v>3284</v>
      </c>
      <c r="AZ1950" s="59">
        <v>3545</v>
      </c>
      <c r="BA1950">
        <f t="shared" si="122"/>
        <v>1.5290387974724493E-2</v>
      </c>
      <c r="BB1950">
        <f>SUMIFS(HIX_RatingAreas[QHP Enrollments 2018],HIX_RatingAreas[Area],HIX_SLCSP[[#This Row],[Area Code]])</f>
        <v>3323</v>
      </c>
      <c r="BC1950">
        <f t="shared" si="123"/>
        <v>1.5385470152743504E-2</v>
      </c>
      <c r="BD1950">
        <f>SUMIFS(HIX_RatingAreas[QHP Enrollments 2019],HIX_RatingAreas[Area],HIX_SLCSP[[#This Row],[Area Code]])</f>
        <v>3331</v>
      </c>
      <c r="BE1950">
        <f t="shared" si="124"/>
        <v>1.5496194570051545E-2</v>
      </c>
      <c r="BF1950">
        <f>SUMIFS(HIX_RatingAreas[QHP Enrollments 2020],HIX_RatingAreas[Area],HIX_SLCSP[[#This Row],[Area Code]])</f>
        <v>3309</v>
      </c>
      <c r="BG1950">
        <f t="shared" si="125"/>
        <v>1.5460449469700509E-2</v>
      </c>
      <c r="BH1950">
        <f>SUMIFS(HIX_RatingAreas[QHP Enrollments 2021],HIX_RatingAreas[Area],HIX_SLCSP[[#This Row],[Area Code]])</f>
        <v>3441</v>
      </c>
      <c r="BI1950">
        <f t="shared" si="126"/>
        <v>1.4957617909150185E-2</v>
      </c>
      <c r="BJ1950">
        <f>SUMIFS(HIX_RatingAreas[QHP Enrollments 2022],HIX_RatingAreas[Area],HIX_SLCSP[[#This Row],[Area Code]])</f>
        <v>4468</v>
      </c>
      <c r="BK1950">
        <f t="shared" si="127"/>
        <v>1.4873898106474208E-2</v>
      </c>
      <c r="BL1950">
        <f>SUMIFS(HIX_RatingAreas[QHP Enrollments 2023],HIX_RatingAreas[Area],HIX_SLCSP[[#This Row],[Area Code]])</f>
        <v>5644</v>
      </c>
      <c r="BM1950">
        <f t="shared" si="134"/>
        <v>1.4737523761776441E-2</v>
      </c>
      <c r="BN1950">
        <f>SUMIFS(HIX_RatingAreas[QHP Enrollments 2024],HIX_RatingAreas[Area],HIX_SLCSP[[#This Row],[Area Code]])</f>
        <v>7876</v>
      </c>
      <c r="BO1950">
        <f t="shared" si="128"/>
        <v>1.3789118921521425E-2</v>
      </c>
      <c r="BP1950" s="53">
        <f>ROUND(HIX_SLCSP[[#This Row],[Weighting Factor 2018]]*HIX_SLCSP[[#This Row],[2018]],2)</f>
        <v>5.26</v>
      </c>
      <c r="BQ1950" s="53">
        <f>ROUND(HIX_SLCSP[[#This Row],[Weighting Factor 2019]]*HIX_SLCSP[[#This Row],[2019]],2)</f>
        <v>7.11</v>
      </c>
      <c r="BR1950" s="53">
        <f>ROUND(HIX_SLCSP[[#This Row],[Weighting Factor 2020]]*HIX_SLCSP[[#This Row],[2020]],2)</f>
        <v>6.35</v>
      </c>
      <c r="BS1950" s="53">
        <f>ROUND(HIX_SLCSP[[#This Row],[Weighting Factor 2021]]*HIX_SLCSP[[#This Row],[2021]],2)</f>
        <v>4.37</v>
      </c>
      <c r="BT1950" s="53">
        <f>ROUND(HIX_SLCSP[[#This Row],[Weighting Factor 2022]]*HIX_SLCSP[[#This Row],[2022]],2)</f>
        <v>4.1500000000000004</v>
      </c>
      <c r="BU1950" s="53">
        <f>ROUND(HIX_SLCSP[[#This Row],[Weighting Factor 2023]]*HIX_SLCSP[[#This Row],[2023]],2)</f>
        <v>4.7699999999999996</v>
      </c>
      <c r="BV1950" s="53">
        <f>ROUND(HIX_SLCSP[[#This Row],[Weighting Factor 2024]]*HIX_SLCSP[[#This Row],[2024]],2)</f>
        <v>4.62</v>
      </c>
    </row>
    <row r="1951" spans="4:74" x14ac:dyDescent="0.35">
      <c r="D1951" t="s">
        <v>1662</v>
      </c>
      <c r="E1951" t="s">
        <v>611</v>
      </c>
      <c r="F1951" s="23">
        <v>23</v>
      </c>
      <c r="G1951" s="23" t="s">
        <v>1663</v>
      </c>
      <c r="H1951" s="23" t="s">
        <v>1727</v>
      </c>
      <c r="I1951" s="23">
        <v>70</v>
      </c>
      <c r="J1951" s="53">
        <v>326.75</v>
      </c>
      <c r="K1951" s="53">
        <v>327.52999999999997</v>
      </c>
      <c r="L1951" s="53">
        <v>558.17999999999995</v>
      </c>
      <c r="M1951" s="54">
        <f t="shared" si="116"/>
        <v>1.7042103013464416</v>
      </c>
      <c r="N1951" s="24">
        <v>56</v>
      </c>
      <c r="O1951" s="55">
        <v>437.23</v>
      </c>
      <c r="P1951" s="56">
        <v>439.39</v>
      </c>
      <c r="Q1951" s="56">
        <v>748.8</v>
      </c>
      <c r="R1951" s="57">
        <f t="shared" si="129"/>
        <v>1.7041807961036892</v>
      </c>
      <c r="S1951" s="23">
        <v>102</v>
      </c>
      <c r="T1951" s="53">
        <v>374.6</v>
      </c>
      <c r="U1951" s="53">
        <v>402.69</v>
      </c>
      <c r="V1951" s="53">
        <v>686.26</v>
      </c>
      <c r="W1951" s="57">
        <f t="shared" si="130"/>
        <v>1.7041893267774217</v>
      </c>
      <c r="X1951" s="23">
        <v>102</v>
      </c>
      <c r="Y1951" s="53">
        <v>305.68</v>
      </c>
      <c r="Z1951" s="53">
        <v>312.31</v>
      </c>
      <c r="AA1951" s="53">
        <v>532.25</v>
      </c>
      <c r="AB1951" s="57">
        <f t="shared" si="131"/>
        <v>1.7042361755947617</v>
      </c>
      <c r="AC1951" s="47">
        <v>145</v>
      </c>
      <c r="AD1951" s="57">
        <v>293.88</v>
      </c>
      <c r="AE1951" s="57">
        <v>297.66000000000003</v>
      </c>
      <c r="AF1951" s="57">
        <v>507.28</v>
      </c>
      <c r="AG1951" s="57">
        <f t="shared" si="132"/>
        <v>1.7042262984613314</v>
      </c>
      <c r="AH1951" s="47">
        <v>106</v>
      </c>
      <c r="AI1951">
        <v>365.98</v>
      </c>
      <c r="AJ1951">
        <v>368.76</v>
      </c>
      <c r="AK1951">
        <v>628.42999999999995</v>
      </c>
      <c r="AL1951" s="57">
        <f t="shared" si="107"/>
        <v>1.7041707343529666</v>
      </c>
      <c r="AM1951" s="47">
        <v>151</v>
      </c>
      <c r="AN1951" s="57">
        <v>379.16</v>
      </c>
      <c r="AO1951" s="57">
        <v>380.91</v>
      </c>
      <c r="AP1951" s="57">
        <v>649.14</v>
      </c>
      <c r="AQ1951" s="57">
        <f t="shared" si="133"/>
        <v>1.7041820902575411</v>
      </c>
      <c r="AR1951" s="59">
        <v>22845</v>
      </c>
      <c r="AS1951" s="59">
        <f>SUMIFS(HIX_RatingAreas[Silver Enrollments 2018],HIX_RatingAreas[Area],HIX_SLCSP[[#This Row],[Area Code]])</f>
        <v>16827</v>
      </c>
      <c r="AT1951" s="59">
        <f>SUMIFS(HIX_RatingAreas[Silver Enrollments 2019],HIX_RatingAreas[Area],HIX_SLCSP[[#This Row],[Area Code]])</f>
        <v>13503</v>
      </c>
      <c r="AU1951" s="59">
        <f>SUMIFS(HIX_RatingAreas[Silver Enrollments 2020],HIX_RatingAreas[Area],HIX_SLCSP[[#This Row],[Area Code]])</f>
        <v>11557</v>
      </c>
      <c r="AV1951" s="59">
        <f>SUMIFS(HIX_RatingAreas[Silver Enrollments 2021],HIX_RatingAreas[Area],HIX_SLCSP[[#This Row],[Area Code]])</f>
        <v>10082</v>
      </c>
      <c r="AW1951" s="59">
        <f>SUMIFS(HIX_RatingAreas[Silver Enrollments 2022],HIX_RatingAreas[Area],HIX_SLCSP[[#This Row],[Area Code]])</f>
        <v>12418</v>
      </c>
      <c r="AX1951" s="59">
        <f>SUMIFS(HIX_RatingAreas[Silver Enrollments 2023],HIX_RatingAreas[Area],HIX_SLCSP[[#This Row],[Area Code]])</f>
        <v>15278</v>
      </c>
      <c r="AY1951" s="59">
        <f>SUMIFS(HIX_RatingAreas[Silver Enrollments 2024],HIX_RatingAreas[Area],HIX_SLCSP[[#This Row],[Area Code]])</f>
        <v>25171</v>
      </c>
      <c r="AZ1951" s="59">
        <v>27055</v>
      </c>
      <c r="BA1951">
        <f t="shared" si="122"/>
        <v>0.11669434320343333</v>
      </c>
      <c r="BB1951">
        <f>SUMIFS(HIX_RatingAreas[QHP Enrollments 2018],HIX_RatingAreas[Area],HIX_SLCSP[[#This Row],[Area Code]])</f>
        <v>24805</v>
      </c>
      <c r="BC1951">
        <f t="shared" si="123"/>
        <v>0.11484700184736761</v>
      </c>
      <c r="BD1951">
        <f>SUMIFS(HIX_RatingAreas[QHP Enrollments 2019],HIX_RatingAreas[Area],HIX_SLCSP[[#This Row],[Area Code]])</f>
        <v>24797</v>
      </c>
      <c r="BE1951">
        <f t="shared" si="124"/>
        <v>0.11535849197044977</v>
      </c>
      <c r="BF1951">
        <f>SUMIFS(HIX_RatingAreas[QHP Enrollments 2020],HIX_RatingAreas[Area],HIX_SLCSP[[#This Row],[Area Code]])</f>
        <v>25538</v>
      </c>
      <c r="BG1951">
        <f t="shared" si="125"/>
        <v>0.11931972153436435</v>
      </c>
      <c r="BH1951">
        <f>SUMIFS(HIX_RatingAreas[QHP Enrollments 2021],HIX_RatingAreas[Area],HIX_SLCSP[[#This Row],[Area Code]])</f>
        <v>27336</v>
      </c>
      <c r="BI1951">
        <f t="shared" si="126"/>
        <v>0.11882634209954358</v>
      </c>
      <c r="BJ1951">
        <f>SUMIFS(HIX_RatingAreas[QHP Enrollments 2022],HIX_RatingAreas[Area],HIX_SLCSP[[#This Row],[Area Code]])</f>
        <v>33560</v>
      </c>
      <c r="BK1951">
        <f t="shared" si="127"/>
        <v>0.11172068497163706</v>
      </c>
      <c r="BL1951">
        <f>SUMIFS(HIX_RatingAreas[QHP Enrollments 2023],HIX_RatingAreas[Area],HIX_SLCSP[[#This Row],[Area Code]])</f>
        <v>41665</v>
      </c>
      <c r="BM1951">
        <f t="shared" si="134"/>
        <v>0.10879499070418416</v>
      </c>
      <c r="BN1951">
        <f>SUMIFS(HIX_RatingAreas[QHP Enrollments 2024],HIX_RatingAreas[Area],HIX_SLCSP[[#This Row],[Area Code]])</f>
        <v>60795</v>
      </c>
      <c r="BO1951">
        <f t="shared" si="128"/>
        <v>0.10643848207642141</v>
      </c>
      <c r="BP1951" s="53">
        <f>ROUND(HIX_SLCSP[[#This Row],[Weighting Factor 2018]]*HIX_SLCSP[[#This Row],[2018]],2)</f>
        <v>37.619999999999997</v>
      </c>
      <c r="BQ1951" s="53">
        <f>ROUND(HIX_SLCSP[[#This Row],[Weighting Factor 2019]]*HIX_SLCSP[[#This Row],[2019]],2)</f>
        <v>50.69</v>
      </c>
      <c r="BR1951" s="53">
        <f>ROUND(HIX_SLCSP[[#This Row],[Weighting Factor 2020]]*HIX_SLCSP[[#This Row],[2020]],2)</f>
        <v>48.05</v>
      </c>
      <c r="BS1951" s="53">
        <f>ROUND(HIX_SLCSP[[#This Row],[Weighting Factor 2021]]*HIX_SLCSP[[#This Row],[2021]],2)</f>
        <v>37.11</v>
      </c>
      <c r="BT1951" s="53">
        <f>ROUND(HIX_SLCSP[[#This Row],[Weighting Factor 2022]]*HIX_SLCSP[[#This Row],[2022]],2)</f>
        <v>33.25</v>
      </c>
      <c r="BU1951" s="53">
        <f>ROUND(HIX_SLCSP[[#This Row],[Weighting Factor 2023]]*HIX_SLCSP[[#This Row],[2023]],2)</f>
        <v>40.119999999999997</v>
      </c>
      <c r="BV1951" s="53">
        <f>ROUND(HIX_SLCSP[[#This Row],[Weighting Factor 2024]]*HIX_SLCSP[[#This Row],[2024]],2)</f>
        <v>40.54</v>
      </c>
    </row>
    <row r="1952" spans="4:74" x14ac:dyDescent="0.35">
      <c r="D1952" t="s">
        <v>1662</v>
      </c>
      <c r="E1952" t="s">
        <v>615</v>
      </c>
      <c r="F1952" s="23">
        <v>24</v>
      </c>
      <c r="G1952" s="23" t="s">
        <v>1663</v>
      </c>
      <c r="H1952" s="23" t="s">
        <v>1730</v>
      </c>
      <c r="I1952" s="23">
        <v>70</v>
      </c>
      <c r="J1952" s="53">
        <v>355.54</v>
      </c>
      <c r="K1952" s="53">
        <v>356.39</v>
      </c>
      <c r="L1952" s="53">
        <v>607.36</v>
      </c>
      <c r="M1952" s="54">
        <f t="shared" si="116"/>
        <v>1.7042004545582088</v>
      </c>
      <c r="N1952" s="24">
        <v>56</v>
      </c>
      <c r="O1952" s="55">
        <v>475.7</v>
      </c>
      <c r="P1952" s="56">
        <v>478.05</v>
      </c>
      <c r="Q1952" s="56">
        <v>814.69</v>
      </c>
      <c r="R1952" s="57">
        <f t="shared" si="129"/>
        <v>1.7041941219537706</v>
      </c>
      <c r="S1952" s="23">
        <v>120</v>
      </c>
      <c r="T1952" s="53">
        <v>423.46</v>
      </c>
      <c r="U1952" s="53">
        <v>428.84</v>
      </c>
      <c r="V1952" s="53">
        <v>730.83</v>
      </c>
      <c r="W1952" s="57">
        <f t="shared" si="130"/>
        <v>1.7042020333924077</v>
      </c>
      <c r="X1952" s="23">
        <v>120</v>
      </c>
      <c r="Y1952" s="53">
        <v>293.72000000000003</v>
      </c>
      <c r="Z1952" s="53">
        <v>300.08999999999997</v>
      </c>
      <c r="AA1952" s="53">
        <v>511.42</v>
      </c>
      <c r="AB1952" s="57">
        <f t="shared" si="131"/>
        <v>1.7042220667133194</v>
      </c>
      <c r="AC1952" s="47">
        <v>85</v>
      </c>
      <c r="AD1952" s="57">
        <v>272.07</v>
      </c>
      <c r="AE1952" s="57">
        <v>275.57</v>
      </c>
      <c r="AF1952" s="57">
        <v>469.63</v>
      </c>
      <c r="AG1952" s="57">
        <f t="shared" si="132"/>
        <v>1.7042130856043836</v>
      </c>
      <c r="AH1952" s="47">
        <v>94</v>
      </c>
      <c r="AI1952">
        <v>315.7</v>
      </c>
      <c r="AJ1952">
        <v>319.36</v>
      </c>
      <c r="AK1952">
        <v>544.25</v>
      </c>
      <c r="AL1952" s="57">
        <f t="shared" si="107"/>
        <v>1.704189629258517</v>
      </c>
      <c r="AM1952" s="47">
        <v>91</v>
      </c>
      <c r="AN1952" s="57">
        <v>340.99</v>
      </c>
      <c r="AO1952" s="57">
        <v>342.57</v>
      </c>
      <c r="AP1952" s="57">
        <v>583.79999999999995</v>
      </c>
      <c r="AQ1952" s="57">
        <f t="shared" si="133"/>
        <v>1.7041772484455731</v>
      </c>
      <c r="AR1952" s="59">
        <v>2367</v>
      </c>
      <c r="AS1952" s="59">
        <f>SUMIFS(HIX_RatingAreas[Silver Enrollments 2018],HIX_RatingAreas[Area],HIX_SLCSP[[#This Row],[Area Code]])</f>
        <v>1732</v>
      </c>
      <c r="AT1952" s="59">
        <f>SUMIFS(HIX_RatingAreas[Silver Enrollments 2019],HIX_RatingAreas[Area],HIX_SLCSP[[#This Row],[Area Code]])</f>
        <v>1338</v>
      </c>
      <c r="AU1952" s="59">
        <f>SUMIFS(HIX_RatingAreas[Silver Enrollments 2020],HIX_RatingAreas[Area],HIX_SLCSP[[#This Row],[Area Code]])</f>
        <v>1159</v>
      </c>
      <c r="AV1952" s="59">
        <f>SUMIFS(HIX_RatingAreas[Silver Enrollments 2021],HIX_RatingAreas[Area],HIX_SLCSP[[#This Row],[Area Code]])</f>
        <v>980</v>
      </c>
      <c r="AW1952" s="59">
        <f>SUMIFS(HIX_RatingAreas[Silver Enrollments 2022],HIX_RatingAreas[Area],HIX_SLCSP[[#This Row],[Area Code]])</f>
        <v>1256</v>
      </c>
      <c r="AX1952" s="59">
        <f>SUMIFS(HIX_RatingAreas[Silver Enrollments 2023],HIX_RatingAreas[Area],HIX_SLCSP[[#This Row],[Area Code]])</f>
        <v>1865</v>
      </c>
      <c r="AY1952" s="59">
        <f>SUMIFS(HIX_RatingAreas[Silver Enrollments 2024],HIX_RatingAreas[Area],HIX_SLCSP[[#This Row],[Area Code]])</f>
        <v>3152</v>
      </c>
      <c r="AZ1952" s="59">
        <v>2661</v>
      </c>
      <c r="BA1952">
        <f t="shared" si="122"/>
        <v>1.1477495740688822E-2</v>
      </c>
      <c r="BB1952">
        <f>SUMIFS(HIX_RatingAreas[QHP Enrollments 2018],HIX_RatingAreas[Area],HIX_SLCSP[[#This Row],[Area Code]])</f>
        <v>2316</v>
      </c>
      <c r="BC1952">
        <f t="shared" si="123"/>
        <v>1.0723066167244645E-2</v>
      </c>
      <c r="BD1952">
        <f>SUMIFS(HIX_RatingAreas[QHP Enrollments 2019],HIX_RatingAreas[Area],HIX_SLCSP[[#This Row],[Area Code]])</f>
        <v>2203</v>
      </c>
      <c r="BE1952">
        <f t="shared" si="124"/>
        <v>1.0248609017659428E-2</v>
      </c>
      <c r="BF1952">
        <f>SUMIFS(HIX_RatingAreas[QHP Enrollments 2020],HIX_RatingAreas[Area],HIX_SLCSP[[#This Row],[Area Code]])</f>
        <v>2194</v>
      </c>
      <c r="BG1952">
        <f t="shared" si="125"/>
        <v>1.025089940662524E-2</v>
      </c>
      <c r="BH1952">
        <f>SUMIFS(HIX_RatingAreas[QHP Enrollments 2021],HIX_RatingAreas[Area],HIX_SLCSP[[#This Row],[Area Code]])</f>
        <v>2242</v>
      </c>
      <c r="BI1952">
        <f t="shared" si="126"/>
        <v>9.7457074549011091E-3</v>
      </c>
      <c r="BJ1952">
        <f>SUMIFS(HIX_RatingAreas[QHP Enrollments 2022],HIX_RatingAreas[Area],HIX_SLCSP[[#This Row],[Area Code]])</f>
        <v>2639</v>
      </c>
      <c r="BK1952">
        <f t="shared" si="127"/>
        <v>8.7851873551892199E-3</v>
      </c>
      <c r="BL1952">
        <f>SUMIFS(HIX_RatingAreas[QHP Enrollments 2023],HIX_RatingAreas[Area],HIX_SLCSP[[#This Row],[Area Code]])</f>
        <v>3437</v>
      </c>
      <c r="BM1952">
        <f t="shared" si="134"/>
        <v>8.974640178813895E-3</v>
      </c>
      <c r="BN1952">
        <f>SUMIFS(HIX_RatingAreas[QHP Enrollments 2024],HIX_RatingAreas[Area],HIX_SLCSP[[#This Row],[Area Code]])</f>
        <v>6126</v>
      </c>
      <c r="BO1952">
        <f t="shared" si="128"/>
        <v>1.0725259333829387E-2</v>
      </c>
      <c r="BP1952" s="53">
        <f>ROUND(HIX_SLCSP[[#This Row],[Weighting Factor 2018]]*HIX_SLCSP[[#This Row],[2018]],2)</f>
        <v>3.82</v>
      </c>
      <c r="BQ1952" s="53">
        <f>ROUND(HIX_SLCSP[[#This Row],[Weighting Factor 2019]]*HIX_SLCSP[[#This Row],[2019]],2)</f>
        <v>4.9000000000000004</v>
      </c>
      <c r="BR1952" s="53">
        <f>ROUND(HIX_SLCSP[[#This Row],[Weighting Factor 2020]]*HIX_SLCSP[[#This Row],[2020]],2)</f>
        <v>4.4000000000000004</v>
      </c>
      <c r="BS1952" s="53">
        <f>ROUND(HIX_SLCSP[[#This Row],[Weighting Factor 2021]]*HIX_SLCSP[[#This Row],[2021]],2)</f>
        <v>2.92</v>
      </c>
      <c r="BT1952" s="53">
        <f>ROUND(HIX_SLCSP[[#This Row],[Weighting Factor 2022]]*HIX_SLCSP[[#This Row],[2022]],2)</f>
        <v>2.42</v>
      </c>
      <c r="BU1952" s="53">
        <f>ROUND(HIX_SLCSP[[#This Row],[Weighting Factor 2023]]*HIX_SLCSP[[#This Row],[2023]],2)</f>
        <v>2.87</v>
      </c>
      <c r="BV1952" s="53">
        <f>ROUND(HIX_SLCSP[[#This Row],[Weighting Factor 2024]]*HIX_SLCSP[[#This Row],[2024]],2)</f>
        <v>3.67</v>
      </c>
    </row>
    <row r="1953" spans="4:74" x14ac:dyDescent="0.35">
      <c r="D1953" t="s">
        <v>1662</v>
      </c>
      <c r="E1953" t="s">
        <v>619</v>
      </c>
      <c r="F1953" s="23">
        <v>25</v>
      </c>
      <c r="G1953" s="23" t="s">
        <v>1663</v>
      </c>
      <c r="H1953" s="23" t="s">
        <v>1733</v>
      </c>
      <c r="I1953" s="23">
        <v>70</v>
      </c>
      <c r="J1953" s="53">
        <v>305.62</v>
      </c>
      <c r="K1953" s="53">
        <v>306.35000000000002</v>
      </c>
      <c r="L1953" s="53">
        <v>522.09</v>
      </c>
      <c r="M1953" s="54">
        <f t="shared" si="116"/>
        <v>1.7042271911212665</v>
      </c>
      <c r="N1953" s="24">
        <v>56</v>
      </c>
      <c r="O1953" s="55">
        <v>408.94</v>
      </c>
      <c r="P1953" s="56">
        <v>410.96</v>
      </c>
      <c r="Q1953" s="56">
        <v>700.36</v>
      </c>
      <c r="R1953" s="57">
        <f t="shared" si="129"/>
        <v>1.70420478878723</v>
      </c>
      <c r="S1953" s="23">
        <v>104</v>
      </c>
      <c r="T1953" s="53">
        <v>408.19</v>
      </c>
      <c r="U1953" s="53">
        <v>413.38</v>
      </c>
      <c r="V1953" s="53">
        <v>704.49</v>
      </c>
      <c r="W1953" s="57">
        <f t="shared" si="130"/>
        <v>1.7042188785137162</v>
      </c>
      <c r="X1953" s="23">
        <v>104</v>
      </c>
      <c r="Y1953" s="53">
        <v>301.74</v>
      </c>
      <c r="Z1953" s="53">
        <v>308.29000000000002</v>
      </c>
      <c r="AA1953" s="53">
        <v>525.39</v>
      </c>
      <c r="AB1953" s="57">
        <f t="shared" si="131"/>
        <v>1.7042070777514675</v>
      </c>
      <c r="AC1953" s="47">
        <v>57</v>
      </c>
      <c r="AD1953" s="57">
        <v>298.83</v>
      </c>
      <c r="AE1953" s="57">
        <v>302.68</v>
      </c>
      <c r="AF1953" s="57">
        <v>515.82000000000005</v>
      </c>
      <c r="AG1953" s="57">
        <f t="shared" si="132"/>
        <v>1.704176027487776</v>
      </c>
      <c r="AH1953" s="47">
        <v>94</v>
      </c>
      <c r="AI1953">
        <v>345.39</v>
      </c>
      <c r="AJ1953">
        <v>348</v>
      </c>
      <c r="AK1953">
        <v>593.07000000000005</v>
      </c>
      <c r="AL1953" s="57">
        <f t="shared" si="107"/>
        <v>1.7042241379310346</v>
      </c>
      <c r="AM1953" s="47">
        <v>107</v>
      </c>
      <c r="AN1953" s="57">
        <v>347.16</v>
      </c>
      <c r="AO1953" s="57">
        <v>348.76</v>
      </c>
      <c r="AP1953" s="57">
        <v>594.36</v>
      </c>
      <c r="AQ1953" s="57">
        <f t="shared" si="133"/>
        <v>1.7042091983025578</v>
      </c>
      <c r="AR1953" s="59">
        <v>758</v>
      </c>
      <c r="AS1953" s="59">
        <f>SUMIFS(HIX_RatingAreas[Silver Enrollments 2018],HIX_RatingAreas[Area],HIX_SLCSP[[#This Row],[Area Code]])</f>
        <v>548</v>
      </c>
      <c r="AT1953" s="59">
        <f>SUMIFS(HIX_RatingAreas[Silver Enrollments 2019],HIX_RatingAreas[Area],HIX_SLCSP[[#This Row],[Area Code]])</f>
        <v>418</v>
      </c>
      <c r="AU1953" s="59">
        <f>SUMIFS(HIX_RatingAreas[Silver Enrollments 2020],HIX_RatingAreas[Area],HIX_SLCSP[[#This Row],[Area Code]])</f>
        <v>411</v>
      </c>
      <c r="AV1953" s="59">
        <f>SUMIFS(HIX_RatingAreas[Silver Enrollments 2021],HIX_RatingAreas[Area],HIX_SLCSP[[#This Row],[Area Code]])</f>
        <v>424</v>
      </c>
      <c r="AW1953" s="59">
        <f>SUMIFS(HIX_RatingAreas[Silver Enrollments 2022],HIX_RatingAreas[Area],HIX_SLCSP[[#This Row],[Area Code]])</f>
        <v>410</v>
      </c>
      <c r="AX1953" s="59">
        <f>SUMIFS(HIX_RatingAreas[Silver Enrollments 2023],HIX_RatingAreas[Area],HIX_SLCSP[[#This Row],[Area Code]])</f>
        <v>614</v>
      </c>
      <c r="AY1953" s="59">
        <f>SUMIFS(HIX_RatingAreas[Silver Enrollments 2024],HIX_RatingAreas[Area],HIX_SLCSP[[#This Row],[Area Code]])</f>
        <v>1013</v>
      </c>
      <c r="AZ1953" s="59">
        <v>823</v>
      </c>
      <c r="BA1953">
        <f t="shared" si="122"/>
        <v>3.5497854169811729E-3</v>
      </c>
      <c r="BB1953">
        <f>SUMIFS(HIX_RatingAreas[QHP Enrollments 2018],HIX_RatingAreas[Area],HIX_SLCSP[[#This Row],[Area Code]])</f>
        <v>765</v>
      </c>
      <c r="BC1953">
        <f t="shared" si="123"/>
        <v>3.541945430890394E-3</v>
      </c>
      <c r="BD1953">
        <f>SUMIFS(HIX_RatingAreas[QHP Enrollments 2019],HIX_RatingAreas[Area],HIX_SLCSP[[#This Row],[Area Code]])</f>
        <v>772</v>
      </c>
      <c r="BE1953">
        <f t="shared" si="124"/>
        <v>3.5914326652896405E-3</v>
      </c>
      <c r="BF1953">
        <f>SUMIFS(HIX_RatingAreas[QHP Enrollments 2020],HIX_RatingAreas[Area],HIX_SLCSP[[#This Row],[Area Code]])</f>
        <v>814</v>
      </c>
      <c r="BG1953">
        <f t="shared" si="125"/>
        <v>3.803205158155399E-3</v>
      </c>
      <c r="BH1953">
        <f>SUMIFS(HIX_RatingAreas[QHP Enrollments 2021],HIX_RatingAreas[Area],HIX_SLCSP[[#This Row],[Area Code]])</f>
        <v>836</v>
      </c>
      <c r="BI1953">
        <f t="shared" si="126"/>
        <v>3.6339926103021083E-3</v>
      </c>
      <c r="BJ1953">
        <f>SUMIFS(HIX_RatingAreas[QHP Enrollments 2022],HIX_RatingAreas[Area],HIX_SLCSP[[#This Row],[Area Code]])</f>
        <v>1132</v>
      </c>
      <c r="BK1953">
        <f t="shared" si="127"/>
        <v>3.768409278542704E-3</v>
      </c>
      <c r="BL1953">
        <f>SUMIFS(HIX_RatingAreas[QHP Enrollments 2023],HIX_RatingAreas[Area],HIX_SLCSP[[#This Row],[Area Code]])</f>
        <v>1453</v>
      </c>
      <c r="BM1953">
        <f t="shared" si="134"/>
        <v>3.7940506778634244E-3</v>
      </c>
      <c r="BN1953">
        <f>SUMIFS(HIX_RatingAreas[QHP Enrollments 2024],HIX_RatingAreas[Area],HIX_SLCSP[[#This Row],[Area Code]])</f>
        <v>2362</v>
      </c>
      <c r="BO1953">
        <f t="shared" si="128"/>
        <v>4.1353350549306256E-3</v>
      </c>
      <c r="BP1953" s="53">
        <f>ROUND(HIX_SLCSP[[#This Row],[Weighting Factor 2018]]*HIX_SLCSP[[#This Row],[2018]],2)</f>
        <v>1.0900000000000001</v>
      </c>
      <c r="BQ1953" s="53">
        <f>ROUND(HIX_SLCSP[[#This Row],[Weighting Factor 2019]]*HIX_SLCSP[[#This Row],[2019]],2)</f>
        <v>1.48</v>
      </c>
      <c r="BR1953" s="53">
        <f>ROUND(HIX_SLCSP[[#This Row],[Weighting Factor 2020]]*HIX_SLCSP[[#This Row],[2020]],2)</f>
        <v>1.57</v>
      </c>
      <c r="BS1953" s="53">
        <f>ROUND(HIX_SLCSP[[#This Row],[Weighting Factor 2021]]*HIX_SLCSP[[#This Row],[2021]],2)</f>
        <v>1.1200000000000001</v>
      </c>
      <c r="BT1953" s="53">
        <f>ROUND(HIX_SLCSP[[#This Row],[Weighting Factor 2022]]*HIX_SLCSP[[#This Row],[2022]],2)</f>
        <v>1.1399999999999999</v>
      </c>
      <c r="BU1953" s="53">
        <f>ROUND(HIX_SLCSP[[#This Row],[Weighting Factor 2023]]*HIX_SLCSP[[#This Row],[2023]],2)</f>
        <v>1.32</v>
      </c>
      <c r="BV1953" s="53">
        <f>ROUND(HIX_SLCSP[[#This Row],[Weighting Factor 2024]]*HIX_SLCSP[[#This Row],[2024]],2)</f>
        <v>1.44</v>
      </c>
    </row>
    <row r="1954" spans="4:74" x14ac:dyDescent="0.35">
      <c r="D1954" t="s">
        <v>1662</v>
      </c>
      <c r="E1954" t="s">
        <v>623</v>
      </c>
      <c r="F1954" s="23">
        <v>26</v>
      </c>
      <c r="G1954" s="23" t="s">
        <v>1663</v>
      </c>
      <c r="H1954" s="23" t="s">
        <v>1736</v>
      </c>
      <c r="I1954" s="23">
        <v>70</v>
      </c>
      <c r="J1954" s="53">
        <v>323.17</v>
      </c>
      <c r="K1954" s="53">
        <v>323.94</v>
      </c>
      <c r="L1954" s="53">
        <v>552.05999999999995</v>
      </c>
      <c r="M1954" s="54">
        <f t="shared" si="116"/>
        <v>1.704204482311539</v>
      </c>
      <c r="N1954" s="24">
        <v>56</v>
      </c>
      <c r="O1954" s="55">
        <v>432.25</v>
      </c>
      <c r="P1954" s="56">
        <v>434.38</v>
      </c>
      <c r="Q1954" s="56">
        <v>740.28</v>
      </c>
      <c r="R1954" s="57">
        <f t="shared" si="129"/>
        <v>1.7042221096735577</v>
      </c>
      <c r="S1954" s="23">
        <v>120</v>
      </c>
      <c r="T1954" s="53">
        <v>386.77</v>
      </c>
      <c r="U1954" s="53">
        <v>393.21</v>
      </c>
      <c r="V1954" s="53">
        <v>670.1</v>
      </c>
      <c r="W1954" s="57">
        <f t="shared" si="130"/>
        <v>1.7041784288293789</v>
      </c>
      <c r="X1954" s="23">
        <v>120</v>
      </c>
      <c r="Y1954" s="53">
        <v>291.83</v>
      </c>
      <c r="Z1954" s="53">
        <v>298.16000000000003</v>
      </c>
      <c r="AA1954" s="53">
        <v>508.13</v>
      </c>
      <c r="AB1954" s="57">
        <f t="shared" si="131"/>
        <v>1.7042192111617922</v>
      </c>
      <c r="AC1954" s="47">
        <v>85</v>
      </c>
      <c r="AD1954" s="57">
        <v>280.12</v>
      </c>
      <c r="AE1954" s="57">
        <v>283.72000000000003</v>
      </c>
      <c r="AF1954" s="57">
        <v>483.52</v>
      </c>
      <c r="AG1954" s="57">
        <f t="shared" si="132"/>
        <v>1.7042154236571265</v>
      </c>
      <c r="AH1954" s="47">
        <v>136</v>
      </c>
      <c r="AI1954">
        <v>339.34</v>
      </c>
      <c r="AJ1954">
        <v>341.91</v>
      </c>
      <c r="AK1954">
        <v>582.69000000000005</v>
      </c>
      <c r="AL1954" s="57">
        <f t="shared" si="107"/>
        <v>1.7042204088795296</v>
      </c>
      <c r="AM1954" s="47">
        <v>151</v>
      </c>
      <c r="AN1954" s="57">
        <v>334.63</v>
      </c>
      <c r="AO1954" s="57">
        <v>336.18</v>
      </c>
      <c r="AP1954" s="57">
        <v>572.91</v>
      </c>
      <c r="AQ1954" s="57">
        <f t="shared" si="133"/>
        <v>1.7041763341067284</v>
      </c>
      <c r="AR1954" s="59">
        <v>19771</v>
      </c>
      <c r="AS1954" s="59">
        <f>SUMIFS(HIX_RatingAreas[Silver Enrollments 2018],HIX_RatingAreas[Area],HIX_SLCSP[[#This Row],[Area Code]])</f>
        <v>16200</v>
      </c>
      <c r="AT1954" s="59">
        <f>SUMIFS(HIX_RatingAreas[Silver Enrollments 2019],HIX_RatingAreas[Area],HIX_SLCSP[[#This Row],[Area Code]])</f>
        <v>13352</v>
      </c>
      <c r="AU1954" s="59">
        <f>SUMIFS(HIX_RatingAreas[Silver Enrollments 2020],HIX_RatingAreas[Area],HIX_SLCSP[[#This Row],[Area Code]])</f>
        <v>11374</v>
      </c>
      <c r="AV1954" s="59">
        <f>SUMIFS(HIX_RatingAreas[Silver Enrollments 2021],HIX_RatingAreas[Area],HIX_SLCSP[[#This Row],[Area Code]])</f>
        <v>10708</v>
      </c>
      <c r="AW1954" s="59">
        <f>SUMIFS(HIX_RatingAreas[Silver Enrollments 2022],HIX_RatingAreas[Area],HIX_SLCSP[[#This Row],[Area Code]])</f>
        <v>14037</v>
      </c>
      <c r="AX1954" s="59">
        <f>SUMIFS(HIX_RatingAreas[Silver Enrollments 2023],HIX_RatingAreas[Area],HIX_SLCSP[[#This Row],[Area Code]])</f>
        <v>16505</v>
      </c>
      <c r="AY1954" s="59">
        <f>SUMIFS(HIX_RatingAreas[Silver Enrollments 2024],HIX_RatingAreas[Area],HIX_SLCSP[[#This Row],[Area Code]])</f>
        <v>22581</v>
      </c>
      <c r="AZ1954" s="59">
        <v>22111</v>
      </c>
      <c r="BA1954">
        <f t="shared" si="122"/>
        <v>9.5369751342491746E-2</v>
      </c>
      <c r="BB1954">
        <f>SUMIFS(HIX_RatingAreas[QHP Enrollments 2018],HIX_RatingAreas[Area],HIX_SLCSP[[#This Row],[Area Code]])</f>
        <v>22418</v>
      </c>
      <c r="BC1954">
        <f t="shared" si="123"/>
        <v>0.10379520610418412</v>
      </c>
      <c r="BD1954">
        <f>SUMIFS(HIX_RatingAreas[QHP Enrollments 2019],HIX_RatingAreas[Area],HIX_SLCSP[[#This Row],[Area Code]])</f>
        <v>22576</v>
      </c>
      <c r="BE1954">
        <f t="shared" si="124"/>
        <v>0.10502614488546493</v>
      </c>
      <c r="BF1954">
        <f>SUMIFS(HIX_RatingAreas[QHP Enrollments 2020],HIX_RatingAreas[Area],HIX_SLCSP[[#This Row],[Area Code]])</f>
        <v>22769</v>
      </c>
      <c r="BG1954">
        <f t="shared" si="125"/>
        <v>0.10638228285754334</v>
      </c>
      <c r="BH1954">
        <f>SUMIFS(HIX_RatingAreas[QHP Enrollments 2021],HIX_RatingAreas[Area],HIX_SLCSP[[#This Row],[Area Code]])</f>
        <v>24480</v>
      </c>
      <c r="BI1954">
        <f t="shared" si="126"/>
        <v>0.10641164964138231</v>
      </c>
      <c r="BJ1954">
        <f>SUMIFS(HIX_RatingAreas[QHP Enrollments 2022],HIX_RatingAreas[Area],HIX_SLCSP[[#This Row],[Area Code]])</f>
        <v>33363</v>
      </c>
      <c r="BK1954">
        <f t="shared" si="127"/>
        <v>0.11106487522969986</v>
      </c>
      <c r="BL1954">
        <f>SUMIFS(HIX_RatingAreas[QHP Enrollments 2023],HIX_RatingAreas[Area],HIX_SLCSP[[#This Row],[Area Code]])</f>
        <v>40643</v>
      </c>
      <c r="BM1954">
        <f t="shared" si="134"/>
        <v>0.10612636042698084</v>
      </c>
      <c r="BN1954">
        <f>SUMIFS(HIX_RatingAreas[QHP Enrollments 2024],HIX_RatingAreas[Area],HIX_SLCSP[[#This Row],[Area Code]])</f>
        <v>53104</v>
      </c>
      <c r="BO1954">
        <f t="shared" si="128"/>
        <v>9.2973256882741717E-2</v>
      </c>
      <c r="BP1954" s="53">
        <f>ROUND(HIX_SLCSP[[#This Row],[Weighting Factor 2018]]*HIX_SLCSP[[#This Row],[2018]],2)</f>
        <v>33.619999999999997</v>
      </c>
      <c r="BQ1954" s="53">
        <f>ROUND(HIX_SLCSP[[#This Row],[Weighting Factor 2019]]*HIX_SLCSP[[#This Row],[2019]],2)</f>
        <v>45.62</v>
      </c>
      <c r="BR1954" s="53">
        <f>ROUND(HIX_SLCSP[[#This Row],[Weighting Factor 2020]]*HIX_SLCSP[[#This Row],[2020]],2)</f>
        <v>41.83</v>
      </c>
      <c r="BS1954" s="53">
        <f>ROUND(HIX_SLCSP[[#This Row],[Weighting Factor 2021]]*HIX_SLCSP[[#This Row],[2021]],2)</f>
        <v>31.73</v>
      </c>
      <c r="BT1954" s="53">
        <f>ROUND(HIX_SLCSP[[#This Row],[Weighting Factor 2022]]*HIX_SLCSP[[#This Row],[2022]],2)</f>
        <v>31.51</v>
      </c>
      <c r="BU1954" s="53">
        <f>ROUND(HIX_SLCSP[[#This Row],[Weighting Factor 2023]]*HIX_SLCSP[[#This Row],[2023]],2)</f>
        <v>36.29</v>
      </c>
      <c r="BV1954" s="53">
        <f>ROUND(HIX_SLCSP[[#This Row],[Weighting Factor 2024]]*HIX_SLCSP[[#This Row],[2024]],2)</f>
        <v>31.26</v>
      </c>
    </row>
    <row r="1955" spans="4:74" x14ac:dyDescent="0.35">
      <c r="D1955" t="s">
        <v>1662</v>
      </c>
      <c r="E1955" t="s">
        <v>627</v>
      </c>
      <c r="F1955" s="23">
        <v>27</v>
      </c>
      <c r="G1955" s="23" t="s">
        <v>1663</v>
      </c>
      <c r="H1955" s="23" t="s">
        <v>1739</v>
      </c>
      <c r="I1955" s="23">
        <v>70</v>
      </c>
      <c r="J1955" s="53">
        <v>299.14999999999998</v>
      </c>
      <c r="K1955" s="53">
        <v>299.87</v>
      </c>
      <c r="L1955" s="53">
        <v>511.03</v>
      </c>
      <c r="M1955" s="54">
        <f t="shared" si="116"/>
        <v>1.7041718077833727</v>
      </c>
      <c r="N1955" s="24">
        <v>56</v>
      </c>
      <c r="O1955" s="55">
        <v>400.12</v>
      </c>
      <c r="P1955" s="56">
        <v>402.09</v>
      </c>
      <c r="Q1955" s="56">
        <v>685.24</v>
      </c>
      <c r="R1955" s="57">
        <f t="shared" si="129"/>
        <v>1.7041955781044047</v>
      </c>
      <c r="S1955" s="23">
        <v>104</v>
      </c>
      <c r="T1955" s="53">
        <v>389.44</v>
      </c>
      <c r="U1955" s="53">
        <v>394.39</v>
      </c>
      <c r="V1955" s="53">
        <v>672.12</v>
      </c>
      <c r="W1955" s="57">
        <f t="shared" si="130"/>
        <v>1.7042014249854205</v>
      </c>
      <c r="X1955" s="23">
        <v>104</v>
      </c>
      <c r="Y1955" s="53">
        <v>279.86</v>
      </c>
      <c r="Z1955" s="53">
        <v>285.94</v>
      </c>
      <c r="AA1955" s="53">
        <v>487.3</v>
      </c>
      <c r="AB1955" s="57">
        <f t="shared" si="131"/>
        <v>1.7042036790935162</v>
      </c>
      <c r="AC1955" s="47">
        <v>57</v>
      </c>
      <c r="AD1955" s="57">
        <v>278.57</v>
      </c>
      <c r="AE1955" s="57">
        <v>282.14999999999998</v>
      </c>
      <c r="AF1955" s="57">
        <v>480.85</v>
      </c>
      <c r="AG1955" s="57">
        <f t="shared" si="132"/>
        <v>1.7042353358142834</v>
      </c>
      <c r="AH1955" s="47">
        <v>94</v>
      </c>
      <c r="AI1955">
        <v>350.87</v>
      </c>
      <c r="AJ1955">
        <v>353.53</v>
      </c>
      <c r="AK1955">
        <v>602.48</v>
      </c>
      <c r="AL1955" s="57">
        <f t="shared" si="107"/>
        <v>1.7041835204933105</v>
      </c>
      <c r="AM1955" s="47">
        <v>151</v>
      </c>
      <c r="AN1955" s="57">
        <v>362.58</v>
      </c>
      <c r="AO1955" s="57">
        <v>364.25</v>
      </c>
      <c r="AP1955" s="57">
        <v>620.76</v>
      </c>
      <c r="AQ1955" s="57">
        <f t="shared" si="133"/>
        <v>1.7042141386410432</v>
      </c>
      <c r="AR1955" s="59">
        <v>1232</v>
      </c>
      <c r="AS1955" s="59">
        <f>SUMIFS(HIX_RatingAreas[Silver Enrollments 2018],HIX_RatingAreas[Area],HIX_SLCSP[[#This Row],[Area Code]])</f>
        <v>852</v>
      </c>
      <c r="AT1955" s="59">
        <f>SUMIFS(HIX_RatingAreas[Silver Enrollments 2019],HIX_RatingAreas[Area],HIX_SLCSP[[#This Row],[Area Code]])</f>
        <v>651</v>
      </c>
      <c r="AU1955" s="59">
        <f>SUMIFS(HIX_RatingAreas[Silver Enrollments 2020],HIX_RatingAreas[Area],HIX_SLCSP[[#This Row],[Area Code]])</f>
        <v>628</v>
      </c>
      <c r="AV1955" s="59">
        <f>SUMIFS(HIX_RatingAreas[Silver Enrollments 2021],HIX_RatingAreas[Area],HIX_SLCSP[[#This Row],[Area Code]])</f>
        <v>720</v>
      </c>
      <c r="AW1955" s="59">
        <f>SUMIFS(HIX_RatingAreas[Silver Enrollments 2022],HIX_RatingAreas[Area],HIX_SLCSP[[#This Row],[Area Code]])</f>
        <v>727</v>
      </c>
      <c r="AX1955" s="59">
        <f>SUMIFS(HIX_RatingAreas[Silver Enrollments 2023],HIX_RatingAreas[Area],HIX_SLCSP[[#This Row],[Area Code]])</f>
        <v>1337</v>
      </c>
      <c r="AY1955" s="59">
        <f>SUMIFS(HIX_RatingAreas[Silver Enrollments 2024],HIX_RatingAreas[Area],HIX_SLCSP[[#This Row],[Area Code]])</f>
        <v>2282</v>
      </c>
      <c r="AZ1955" s="59">
        <v>1367</v>
      </c>
      <c r="BA1955">
        <f t="shared" si="122"/>
        <v>5.8961806379262006E-3</v>
      </c>
      <c r="BB1955">
        <f>SUMIFS(HIX_RatingAreas[QHP Enrollments 2018],HIX_RatingAreas[Area],HIX_SLCSP[[#This Row],[Area Code]])</f>
        <v>1289</v>
      </c>
      <c r="BC1955">
        <f t="shared" si="123"/>
        <v>5.9680623011996317E-3</v>
      </c>
      <c r="BD1955">
        <f>SUMIFS(HIX_RatingAreas[QHP Enrollments 2019],HIX_RatingAreas[Area],HIX_SLCSP[[#This Row],[Area Code]])</f>
        <v>1339</v>
      </c>
      <c r="BE1955">
        <f t="shared" si="124"/>
        <v>6.229181786039934E-3</v>
      </c>
      <c r="BF1955">
        <f>SUMIFS(HIX_RatingAreas[QHP Enrollments 2020],HIX_RatingAreas[Area],HIX_SLCSP[[#This Row],[Area Code]])</f>
        <v>1367</v>
      </c>
      <c r="BG1955">
        <f t="shared" si="125"/>
        <v>6.386955099752371E-3</v>
      </c>
      <c r="BH1955">
        <f>SUMIFS(HIX_RatingAreas[QHP Enrollments 2021],HIX_RatingAreas[Area],HIX_SLCSP[[#This Row],[Area Code]])</f>
        <v>1503</v>
      </c>
      <c r="BI1955">
        <f t="shared" si="126"/>
        <v>6.533362312540752E-3</v>
      </c>
      <c r="BJ1955">
        <f>SUMIFS(HIX_RatingAreas[QHP Enrollments 2022],HIX_RatingAreas[Area],HIX_SLCSP[[#This Row],[Area Code]])</f>
        <v>2132</v>
      </c>
      <c r="BK1955">
        <f t="shared" si="127"/>
        <v>7.0973927401528671E-3</v>
      </c>
      <c r="BL1955">
        <f>SUMIFS(HIX_RatingAreas[QHP Enrollments 2023],HIX_RatingAreas[Area],HIX_SLCSP[[#This Row],[Area Code]])</f>
        <v>2931</v>
      </c>
      <c r="BM1955">
        <f t="shared" si="134"/>
        <v>7.6533809613335843E-3</v>
      </c>
      <c r="BN1955">
        <f>SUMIFS(HIX_RatingAreas[QHP Enrollments 2024],HIX_RatingAreas[Area],HIX_SLCSP[[#This Row],[Area Code]])</f>
        <v>4750</v>
      </c>
      <c r="BO1955">
        <f t="shared" si="128"/>
        <v>8.3161903094498175E-3</v>
      </c>
      <c r="BP1955" s="53">
        <f>ROUND(HIX_SLCSP[[#This Row],[Weighting Factor 2018]]*HIX_SLCSP[[#This Row],[2018]],2)</f>
        <v>1.79</v>
      </c>
      <c r="BQ1955" s="53">
        <f>ROUND(HIX_SLCSP[[#This Row],[Weighting Factor 2019]]*HIX_SLCSP[[#This Row],[2019]],2)</f>
        <v>2.5</v>
      </c>
      <c r="BR1955" s="53">
        <f>ROUND(HIX_SLCSP[[#This Row],[Weighting Factor 2020]]*HIX_SLCSP[[#This Row],[2020]],2)</f>
        <v>2.52</v>
      </c>
      <c r="BS1955" s="53">
        <f>ROUND(HIX_SLCSP[[#This Row],[Weighting Factor 2021]]*HIX_SLCSP[[#This Row],[2021]],2)</f>
        <v>1.87</v>
      </c>
      <c r="BT1955" s="53">
        <f>ROUND(HIX_SLCSP[[#This Row],[Weighting Factor 2022]]*HIX_SLCSP[[#This Row],[2022]],2)</f>
        <v>2</v>
      </c>
      <c r="BU1955" s="53">
        <f>ROUND(HIX_SLCSP[[#This Row],[Weighting Factor 2023]]*HIX_SLCSP[[#This Row],[2023]],2)</f>
        <v>2.71</v>
      </c>
      <c r="BV1955" s="53">
        <f>ROUND(HIX_SLCSP[[#This Row],[Weighting Factor 2024]]*HIX_SLCSP[[#This Row],[2024]],2)</f>
        <v>3.03</v>
      </c>
    </row>
    <row r="1956" spans="4:74" x14ac:dyDescent="0.35">
      <c r="D1956" t="s">
        <v>1662</v>
      </c>
      <c r="E1956" t="s">
        <v>631</v>
      </c>
      <c r="F1956" s="23">
        <v>28</v>
      </c>
      <c r="G1956" s="23" t="s">
        <v>1663</v>
      </c>
      <c r="H1956" s="23" t="s">
        <v>1741</v>
      </c>
      <c r="I1956" s="23">
        <v>70</v>
      </c>
      <c r="J1956" s="53">
        <v>344.29</v>
      </c>
      <c r="K1956" s="53">
        <v>345.12</v>
      </c>
      <c r="L1956" s="53">
        <v>588.15</v>
      </c>
      <c r="M1956" s="54">
        <f t="shared" si="116"/>
        <v>1.7041898470097356</v>
      </c>
      <c r="N1956" s="24">
        <v>56</v>
      </c>
      <c r="O1956" s="55">
        <v>460.54</v>
      </c>
      <c r="P1956" s="56">
        <v>462.81</v>
      </c>
      <c r="Q1956" s="56">
        <v>788.73</v>
      </c>
      <c r="R1956" s="57">
        <f t="shared" si="129"/>
        <v>1.7042198742464512</v>
      </c>
      <c r="S1956" s="23">
        <v>76</v>
      </c>
      <c r="T1956" s="53">
        <v>422</v>
      </c>
      <c r="U1956" s="53">
        <v>435.71</v>
      </c>
      <c r="V1956" s="53">
        <v>742.53</v>
      </c>
      <c r="W1956" s="57">
        <f t="shared" si="130"/>
        <v>1.7041839755800876</v>
      </c>
      <c r="X1956" s="23">
        <v>76</v>
      </c>
      <c r="Y1956" s="53">
        <v>330.71</v>
      </c>
      <c r="Z1956" s="53">
        <v>337.88</v>
      </c>
      <c r="AA1956" s="53">
        <v>575.82000000000005</v>
      </c>
      <c r="AB1956" s="57">
        <f t="shared" si="131"/>
        <v>1.7042145140286493</v>
      </c>
      <c r="AC1956" s="47">
        <v>57</v>
      </c>
      <c r="AD1956" s="57">
        <v>324.35000000000002</v>
      </c>
      <c r="AE1956" s="57">
        <v>328.53</v>
      </c>
      <c r="AF1956" s="57">
        <v>559.88</v>
      </c>
      <c r="AG1956" s="57">
        <f t="shared" si="132"/>
        <v>1.7041974857699451</v>
      </c>
      <c r="AH1956" s="47">
        <v>106</v>
      </c>
      <c r="AI1956">
        <v>373.22</v>
      </c>
      <c r="AJ1956">
        <v>379.67</v>
      </c>
      <c r="AK1956">
        <v>647.03</v>
      </c>
      <c r="AL1956" s="57">
        <f t="shared" si="107"/>
        <v>1.704190481207364</v>
      </c>
      <c r="AM1956" s="47">
        <v>131</v>
      </c>
      <c r="AN1956" s="57">
        <v>380.8</v>
      </c>
      <c r="AO1956" s="57">
        <v>384.3</v>
      </c>
      <c r="AP1956" s="57">
        <v>654.91999999999996</v>
      </c>
      <c r="AQ1956" s="57">
        <f t="shared" si="133"/>
        <v>1.7041894353369762</v>
      </c>
      <c r="AR1956" s="59">
        <v>2444</v>
      </c>
      <c r="AS1956" s="59">
        <f>SUMIFS(HIX_RatingAreas[Silver Enrollments 2018],HIX_RatingAreas[Area],HIX_SLCSP[[#This Row],[Area Code]])</f>
        <v>2014</v>
      </c>
      <c r="AT1956" s="59">
        <f>SUMIFS(HIX_RatingAreas[Silver Enrollments 2019],HIX_RatingAreas[Area],HIX_SLCSP[[#This Row],[Area Code]])</f>
        <v>1657</v>
      </c>
      <c r="AU1956" s="59">
        <f>SUMIFS(HIX_RatingAreas[Silver Enrollments 2020],HIX_RatingAreas[Area],HIX_SLCSP[[#This Row],[Area Code]])</f>
        <v>1383</v>
      </c>
      <c r="AV1956" s="59">
        <f>SUMIFS(HIX_RatingAreas[Silver Enrollments 2021],HIX_RatingAreas[Area],HIX_SLCSP[[#This Row],[Area Code]])</f>
        <v>1323</v>
      </c>
      <c r="AW1956" s="59">
        <f>SUMIFS(HIX_RatingAreas[Silver Enrollments 2022],HIX_RatingAreas[Area],HIX_SLCSP[[#This Row],[Area Code]])</f>
        <v>1569</v>
      </c>
      <c r="AX1956" s="59">
        <f>SUMIFS(HIX_RatingAreas[Silver Enrollments 2023],HIX_RatingAreas[Area],HIX_SLCSP[[#This Row],[Area Code]])</f>
        <v>1848</v>
      </c>
      <c r="AY1956" s="59">
        <f>SUMIFS(HIX_RatingAreas[Silver Enrollments 2024],HIX_RatingAreas[Area],HIX_SLCSP[[#This Row],[Area Code]])</f>
        <v>3190</v>
      </c>
      <c r="AZ1956" s="59">
        <v>2920</v>
      </c>
      <c r="BA1956">
        <f t="shared" si="122"/>
        <v>1.2594621406543164E-2</v>
      </c>
      <c r="BB1956">
        <f>SUMIFS(HIX_RatingAreas[QHP Enrollments 2018],HIX_RatingAreas[Area],HIX_SLCSP[[#This Row],[Area Code]])</f>
        <v>2741</v>
      </c>
      <c r="BC1956">
        <f t="shared" si="123"/>
        <v>1.2690813628850418E-2</v>
      </c>
      <c r="BD1956">
        <f>SUMIFS(HIX_RatingAreas[QHP Enrollments 2019],HIX_RatingAreas[Area],HIX_SLCSP[[#This Row],[Area Code]])</f>
        <v>2788</v>
      </c>
      <c r="BE1956">
        <f t="shared" si="124"/>
        <v>1.2970096205735127E-2</v>
      </c>
      <c r="BF1956">
        <f>SUMIFS(HIX_RatingAreas[QHP Enrollments 2020],HIX_RatingAreas[Area],HIX_SLCSP[[#This Row],[Area Code]])</f>
        <v>2836</v>
      </c>
      <c r="BG1956">
        <f t="shared" si="125"/>
        <v>1.3250478904826427E-2</v>
      </c>
      <c r="BH1956">
        <f>SUMIFS(HIX_RatingAreas[QHP Enrollments 2021],HIX_RatingAreas[Area],HIX_SLCSP[[#This Row],[Area Code]])</f>
        <v>3151</v>
      </c>
      <c r="BI1956">
        <f t="shared" si="126"/>
        <v>1.369702238643773E-2</v>
      </c>
      <c r="BJ1956">
        <f>SUMIFS(HIX_RatingAreas[QHP Enrollments 2022],HIX_RatingAreas[Area],HIX_SLCSP[[#This Row],[Area Code]])</f>
        <v>4133</v>
      </c>
      <c r="BK1956">
        <f t="shared" si="127"/>
        <v>1.3758688646834803E-2</v>
      </c>
      <c r="BL1956">
        <f>SUMIFS(HIX_RatingAreas[QHP Enrollments 2023],HIX_RatingAreas[Area],HIX_SLCSP[[#This Row],[Area Code]])</f>
        <v>5372</v>
      </c>
      <c r="BM1956">
        <f t="shared" si="134"/>
        <v>1.4027281652775166E-2</v>
      </c>
      <c r="BN1956">
        <f>SUMIFS(HIX_RatingAreas[QHP Enrollments 2024],HIX_RatingAreas[Area],HIX_SLCSP[[#This Row],[Area Code]])</f>
        <v>7620</v>
      </c>
      <c r="BO1956">
        <f t="shared" si="128"/>
        <v>1.3340920033264762E-2</v>
      </c>
      <c r="BP1956" s="53">
        <f>ROUND(HIX_SLCSP[[#This Row],[Weighting Factor 2018]]*HIX_SLCSP[[#This Row],[2018]],2)</f>
        <v>4.38</v>
      </c>
      <c r="BQ1956" s="53">
        <f>ROUND(HIX_SLCSP[[#This Row],[Weighting Factor 2019]]*HIX_SLCSP[[#This Row],[2019]],2)</f>
        <v>6</v>
      </c>
      <c r="BR1956" s="53">
        <f>ROUND(HIX_SLCSP[[#This Row],[Weighting Factor 2020]]*HIX_SLCSP[[#This Row],[2020]],2)</f>
        <v>5.77</v>
      </c>
      <c r="BS1956" s="53">
        <f>ROUND(HIX_SLCSP[[#This Row],[Weighting Factor 2021]]*HIX_SLCSP[[#This Row],[2021]],2)</f>
        <v>4.63</v>
      </c>
      <c r="BT1956" s="53">
        <f>ROUND(HIX_SLCSP[[#This Row],[Weighting Factor 2022]]*HIX_SLCSP[[#This Row],[2022]],2)</f>
        <v>4.5199999999999996</v>
      </c>
      <c r="BU1956" s="53">
        <f>ROUND(HIX_SLCSP[[#This Row],[Weighting Factor 2023]]*HIX_SLCSP[[#This Row],[2023]],2)</f>
        <v>5.33</v>
      </c>
      <c r="BV1956" s="53">
        <f>ROUND(HIX_SLCSP[[#This Row],[Weighting Factor 2024]]*HIX_SLCSP[[#This Row],[2024]],2)</f>
        <v>5.13</v>
      </c>
    </row>
    <row r="1957" spans="4:74" x14ac:dyDescent="0.35">
      <c r="D1957" t="s">
        <v>1662</v>
      </c>
      <c r="E1957" t="s">
        <v>635</v>
      </c>
      <c r="F1957" s="23">
        <v>29</v>
      </c>
      <c r="G1957" s="23" t="s">
        <v>1663</v>
      </c>
      <c r="H1957" s="23" t="s">
        <v>1744</v>
      </c>
      <c r="I1957" s="23">
        <v>70</v>
      </c>
      <c r="J1957" s="53">
        <v>372.06</v>
      </c>
      <c r="K1957" s="53">
        <v>372.95</v>
      </c>
      <c r="L1957" s="53">
        <v>635.59</v>
      </c>
      <c r="M1957" s="54">
        <f t="shared" si="116"/>
        <v>1.7042230862045853</v>
      </c>
      <c r="N1957" s="24">
        <v>56</v>
      </c>
      <c r="O1957" s="55">
        <v>497.88</v>
      </c>
      <c r="P1957" s="56">
        <v>500.34</v>
      </c>
      <c r="Q1957" s="56">
        <v>852.68</v>
      </c>
      <c r="R1957" s="57">
        <f t="shared" si="129"/>
        <v>1.7042011432226085</v>
      </c>
      <c r="S1957" s="23">
        <v>104</v>
      </c>
      <c r="T1957" s="53">
        <v>416.97</v>
      </c>
      <c r="U1957" s="53">
        <v>423.9</v>
      </c>
      <c r="V1957" s="53">
        <v>722.41</v>
      </c>
      <c r="W1957" s="57">
        <f t="shared" si="130"/>
        <v>1.7041991035621609</v>
      </c>
      <c r="X1957" s="23">
        <v>104</v>
      </c>
      <c r="Y1957" s="53">
        <v>341.57</v>
      </c>
      <c r="Z1957" s="53">
        <v>348.98</v>
      </c>
      <c r="AA1957" s="53">
        <v>594.73</v>
      </c>
      <c r="AB1957" s="57">
        <f t="shared" si="131"/>
        <v>1.7041950828127685</v>
      </c>
      <c r="AC1957" s="47">
        <v>20</v>
      </c>
      <c r="AD1957" s="57">
        <v>404.73</v>
      </c>
      <c r="AE1957" s="57">
        <v>404.73</v>
      </c>
      <c r="AF1957" s="57">
        <v>689.75</v>
      </c>
      <c r="AG1957" s="57">
        <f t="shared" si="132"/>
        <v>1.7042225681318408</v>
      </c>
      <c r="AH1957" s="47">
        <v>98</v>
      </c>
      <c r="AI1957">
        <v>391.11</v>
      </c>
      <c r="AJ1957">
        <v>394.08</v>
      </c>
      <c r="AK1957">
        <v>671.58</v>
      </c>
      <c r="AL1957" s="57">
        <f t="shared" si="107"/>
        <v>1.7041717417783193</v>
      </c>
      <c r="AM1957" s="47">
        <v>115</v>
      </c>
      <c r="AN1957" s="57">
        <v>404.99</v>
      </c>
      <c r="AO1957" s="57">
        <v>406.86</v>
      </c>
      <c r="AP1957" s="57">
        <v>693.37</v>
      </c>
      <c r="AQ1957" s="57">
        <f t="shared" si="133"/>
        <v>1.7041980042274985</v>
      </c>
      <c r="AR1957" s="59">
        <v>3385</v>
      </c>
      <c r="AS1957" s="59">
        <f>SUMIFS(HIX_RatingAreas[Silver Enrollments 2018],HIX_RatingAreas[Area],HIX_SLCSP[[#This Row],[Area Code]])</f>
        <v>2616</v>
      </c>
      <c r="AT1957" s="59">
        <f>SUMIFS(HIX_RatingAreas[Silver Enrollments 2019],HIX_RatingAreas[Area],HIX_SLCSP[[#This Row],[Area Code]])</f>
        <v>2137</v>
      </c>
      <c r="AU1957" s="59">
        <f>SUMIFS(HIX_RatingAreas[Silver Enrollments 2020],HIX_RatingAreas[Area],HIX_SLCSP[[#This Row],[Area Code]])</f>
        <v>1458</v>
      </c>
      <c r="AV1957" s="59">
        <f>SUMIFS(HIX_RatingAreas[Silver Enrollments 2021],HIX_RatingAreas[Area],HIX_SLCSP[[#This Row],[Area Code]])</f>
        <v>1565</v>
      </c>
      <c r="AW1957" s="59">
        <f>SUMIFS(HIX_RatingAreas[Silver Enrollments 2022],HIX_RatingAreas[Area],HIX_SLCSP[[#This Row],[Area Code]])</f>
        <v>1865</v>
      </c>
      <c r="AX1957" s="59">
        <f>SUMIFS(HIX_RatingAreas[Silver Enrollments 2023],HIX_RatingAreas[Area],HIX_SLCSP[[#This Row],[Area Code]])</f>
        <v>2949</v>
      </c>
      <c r="AY1957" s="59">
        <f>SUMIFS(HIX_RatingAreas[Silver Enrollments 2024],HIX_RatingAreas[Area],HIX_SLCSP[[#This Row],[Area Code]])</f>
        <v>3809</v>
      </c>
      <c r="AZ1957" s="59">
        <v>4097</v>
      </c>
      <c r="BA1957">
        <f t="shared" si="122"/>
        <v>1.7671289007742241E-2</v>
      </c>
      <c r="BB1957">
        <f>SUMIFS(HIX_RatingAreas[QHP Enrollments 2018],HIX_RatingAreas[Area],HIX_SLCSP[[#This Row],[Area Code]])</f>
        <v>3749</v>
      </c>
      <c r="BC1957">
        <f t="shared" si="123"/>
        <v>1.7357847608376584E-2</v>
      </c>
      <c r="BD1957">
        <f>SUMIFS(HIX_RatingAreas[QHP Enrollments 2019],HIX_RatingAreas[Area],HIX_SLCSP[[#This Row],[Area Code]])</f>
        <v>3690</v>
      </c>
      <c r="BE1957">
        <f t="shared" si="124"/>
        <v>1.7166303801708256E-2</v>
      </c>
      <c r="BF1957">
        <f>SUMIFS(HIX_RatingAreas[QHP Enrollments 2020],HIX_RatingAreas[Area],HIX_SLCSP[[#This Row],[Area Code]])</f>
        <v>3657</v>
      </c>
      <c r="BG1957">
        <f t="shared" si="125"/>
        <v>1.7086389758445078E-2</v>
      </c>
      <c r="BH1957">
        <f>SUMIFS(HIX_RatingAreas[QHP Enrollments 2021],HIX_RatingAreas[Area],HIX_SLCSP[[#This Row],[Area Code]])</f>
        <v>3892</v>
      </c>
      <c r="BI1957">
        <f t="shared" si="126"/>
        <v>1.6918061291023689E-2</v>
      </c>
      <c r="BJ1957">
        <f>SUMIFS(HIX_RatingAreas[QHP Enrollments 2022],HIX_RatingAreas[Area],HIX_SLCSP[[#This Row],[Area Code]])</f>
        <v>5258</v>
      </c>
      <c r="BK1957">
        <f t="shared" si="127"/>
        <v>1.7503795041146235E-2</v>
      </c>
      <c r="BL1957">
        <f>SUMIFS(HIX_RatingAreas[QHP Enrollments 2023],HIX_RatingAreas[Area],HIX_SLCSP[[#This Row],[Area Code]])</f>
        <v>6652</v>
      </c>
      <c r="BM1957">
        <f t="shared" si="134"/>
        <v>1.7369597459839986E-2</v>
      </c>
      <c r="BN1957">
        <f>SUMIFS(HIX_RatingAreas[QHP Enrollments 2024],HIX_RatingAreas[Area],HIX_SLCSP[[#This Row],[Area Code]])</f>
        <v>9681</v>
      </c>
      <c r="BO1957">
        <f t="shared" si="128"/>
        <v>1.6949271239112357E-2</v>
      </c>
      <c r="BP1957" s="53">
        <f>ROUND(HIX_SLCSP[[#This Row],[Weighting Factor 2018]]*HIX_SLCSP[[#This Row],[2018]],2)</f>
        <v>6.47</v>
      </c>
      <c r="BQ1957" s="53">
        <f>ROUND(HIX_SLCSP[[#This Row],[Weighting Factor 2019]]*HIX_SLCSP[[#This Row],[2019]],2)</f>
        <v>8.59</v>
      </c>
      <c r="BR1957" s="53">
        <f>ROUND(HIX_SLCSP[[#This Row],[Weighting Factor 2020]]*HIX_SLCSP[[#This Row],[2020]],2)</f>
        <v>7.24</v>
      </c>
      <c r="BS1957" s="53">
        <f>ROUND(HIX_SLCSP[[#This Row],[Weighting Factor 2021]]*HIX_SLCSP[[#This Row],[2021]],2)</f>
        <v>5.9</v>
      </c>
      <c r="BT1957" s="53">
        <f>ROUND(HIX_SLCSP[[#This Row],[Weighting Factor 2022]]*HIX_SLCSP[[#This Row],[2022]],2)</f>
        <v>7.08</v>
      </c>
      <c r="BU1957" s="53">
        <f>ROUND(HIX_SLCSP[[#This Row],[Weighting Factor 2023]]*HIX_SLCSP[[#This Row],[2023]],2)</f>
        <v>6.85</v>
      </c>
      <c r="BV1957" s="53">
        <f>ROUND(HIX_SLCSP[[#This Row],[Weighting Factor 2024]]*HIX_SLCSP[[#This Row],[2024]],2)</f>
        <v>6.9</v>
      </c>
    </row>
    <row r="1958" spans="4:74" x14ac:dyDescent="0.35">
      <c r="D1958" t="s">
        <v>1662</v>
      </c>
      <c r="E1958" t="s">
        <v>639</v>
      </c>
      <c r="F1958" s="23">
        <v>30</v>
      </c>
      <c r="G1958" s="23" t="s">
        <v>1663</v>
      </c>
      <c r="H1958" s="23" t="s">
        <v>1747</v>
      </c>
      <c r="I1958" s="23">
        <v>70</v>
      </c>
      <c r="J1958" s="53">
        <v>326.75</v>
      </c>
      <c r="K1958" s="53">
        <v>327.52999999999997</v>
      </c>
      <c r="L1958" s="53">
        <v>558.17999999999995</v>
      </c>
      <c r="M1958" s="54">
        <f t="shared" si="116"/>
        <v>1.7042103013464416</v>
      </c>
      <c r="N1958" s="24">
        <v>56</v>
      </c>
      <c r="O1958" s="55">
        <v>437.23</v>
      </c>
      <c r="P1958" s="56">
        <v>439.39</v>
      </c>
      <c r="Q1958" s="56">
        <v>748.8</v>
      </c>
      <c r="R1958" s="57">
        <f t="shared" si="129"/>
        <v>1.7041807961036892</v>
      </c>
      <c r="S1958" s="23">
        <v>76</v>
      </c>
      <c r="T1958" s="53">
        <v>436.76</v>
      </c>
      <c r="U1958" s="53">
        <v>442.31</v>
      </c>
      <c r="V1958" s="53">
        <v>753.79</v>
      </c>
      <c r="W1958" s="57">
        <f t="shared" si="130"/>
        <v>1.7042119780244624</v>
      </c>
      <c r="X1958" s="23">
        <v>76</v>
      </c>
      <c r="Y1958" s="53">
        <v>325.51</v>
      </c>
      <c r="Z1958" s="53">
        <v>332.58</v>
      </c>
      <c r="AA1958" s="53">
        <v>566.78</v>
      </c>
      <c r="AB1958" s="57">
        <f t="shared" si="131"/>
        <v>1.704191472728366</v>
      </c>
      <c r="AC1958" s="47">
        <v>93</v>
      </c>
      <c r="AD1958" s="57">
        <v>300.27</v>
      </c>
      <c r="AE1958" s="57">
        <v>303.57</v>
      </c>
      <c r="AF1958" s="57">
        <v>517.35</v>
      </c>
      <c r="AG1958" s="57">
        <f t="shared" si="132"/>
        <v>1.7042197845636922</v>
      </c>
      <c r="AH1958" s="47">
        <v>106</v>
      </c>
      <c r="AI1958">
        <v>369.76</v>
      </c>
      <c r="AJ1958">
        <v>372.56</v>
      </c>
      <c r="AK1958">
        <v>634.91999999999996</v>
      </c>
      <c r="AL1958" s="57">
        <f t="shared" si="107"/>
        <v>1.7042087180588361</v>
      </c>
      <c r="AM1958" s="47">
        <v>115</v>
      </c>
      <c r="AN1958" s="57">
        <v>399.01</v>
      </c>
      <c r="AO1958" s="57">
        <v>400.85</v>
      </c>
      <c r="AP1958" s="57">
        <v>683.14</v>
      </c>
      <c r="AQ1958" s="57">
        <f t="shared" si="133"/>
        <v>1.7042285144068852</v>
      </c>
      <c r="AR1958" s="59">
        <v>2217</v>
      </c>
      <c r="AS1958" s="59">
        <f>SUMIFS(HIX_RatingAreas[Silver Enrollments 2018],HIX_RatingAreas[Area],HIX_SLCSP[[#This Row],[Area Code]])</f>
        <v>1580</v>
      </c>
      <c r="AT1958" s="59">
        <f>SUMIFS(HIX_RatingAreas[Silver Enrollments 2019],HIX_RatingAreas[Area],HIX_SLCSP[[#This Row],[Area Code]])</f>
        <v>1320</v>
      </c>
      <c r="AU1958" s="59">
        <f>SUMIFS(HIX_RatingAreas[Silver Enrollments 2020],HIX_RatingAreas[Area],HIX_SLCSP[[#This Row],[Area Code]])</f>
        <v>1154</v>
      </c>
      <c r="AV1958" s="59">
        <f>SUMIFS(HIX_RatingAreas[Silver Enrollments 2021],HIX_RatingAreas[Area],HIX_SLCSP[[#This Row],[Area Code]])</f>
        <v>816</v>
      </c>
      <c r="AW1958" s="59">
        <f>SUMIFS(HIX_RatingAreas[Silver Enrollments 2022],HIX_RatingAreas[Area],HIX_SLCSP[[#This Row],[Area Code]])</f>
        <v>1180</v>
      </c>
      <c r="AX1958" s="59">
        <f>SUMIFS(HIX_RatingAreas[Silver Enrollments 2023],HIX_RatingAreas[Area],HIX_SLCSP[[#This Row],[Area Code]])</f>
        <v>1781</v>
      </c>
      <c r="AY1958" s="59">
        <f>SUMIFS(HIX_RatingAreas[Silver Enrollments 2024],HIX_RatingAreas[Area],HIX_SLCSP[[#This Row],[Area Code]])</f>
        <v>3157</v>
      </c>
      <c r="AZ1958" s="59">
        <v>2466</v>
      </c>
      <c r="BA1958">
        <f t="shared" si="122"/>
        <v>1.0636416571416249E-2</v>
      </c>
      <c r="BB1958">
        <f>SUMIFS(HIX_RatingAreas[QHP Enrollments 2018],HIX_RatingAreas[Area],HIX_SLCSP[[#This Row],[Area Code]])</f>
        <v>2085</v>
      </c>
      <c r="BC1958">
        <f t="shared" si="123"/>
        <v>9.653537546936564E-3</v>
      </c>
      <c r="BD1958">
        <f>SUMIFS(HIX_RatingAreas[QHP Enrollments 2019],HIX_RatingAreas[Area],HIX_SLCSP[[#This Row],[Area Code]])</f>
        <v>2079</v>
      </c>
      <c r="BE1958">
        <f t="shared" si="124"/>
        <v>9.6717467760844087E-3</v>
      </c>
      <c r="BF1958">
        <f>SUMIFS(HIX_RatingAreas[QHP Enrollments 2020],HIX_RatingAreas[Area],HIX_SLCSP[[#This Row],[Area Code]])</f>
        <v>2102</v>
      </c>
      <c r="BG1958">
        <f t="shared" si="125"/>
        <v>9.8210531233939163E-3</v>
      </c>
      <c r="BH1958">
        <f>SUMIFS(HIX_RatingAreas[QHP Enrollments 2021],HIX_RatingAreas[Area],HIX_SLCSP[[#This Row],[Area Code]])</f>
        <v>2124</v>
      </c>
      <c r="BI1958">
        <f t="shared" si="126"/>
        <v>9.2327754835905239E-3</v>
      </c>
      <c r="BJ1958">
        <f>SUMIFS(HIX_RatingAreas[QHP Enrollments 2022],HIX_RatingAreas[Area],HIX_SLCSP[[#This Row],[Area Code]])</f>
        <v>2783</v>
      </c>
      <c r="BK1958">
        <f t="shared" si="127"/>
        <v>9.2645609736610821E-3</v>
      </c>
      <c r="BL1958">
        <f>SUMIFS(HIX_RatingAreas[QHP Enrollments 2023],HIX_RatingAreas[Area],HIX_SLCSP[[#This Row],[Area Code]])</f>
        <v>3920</v>
      </c>
      <c r="BM1958">
        <f t="shared" si="134"/>
        <v>1.0235842159136012E-2</v>
      </c>
      <c r="BN1958">
        <f>SUMIFS(HIX_RatingAreas[QHP Enrollments 2024],HIX_RatingAreas[Area],HIX_SLCSP[[#This Row],[Area Code]])</f>
        <v>6808</v>
      </c>
      <c r="BO1958">
        <f t="shared" si="128"/>
        <v>1.1919289184575655E-2</v>
      </c>
      <c r="BP1958" s="53">
        <f>ROUND(HIX_SLCSP[[#This Row],[Weighting Factor 2018]]*HIX_SLCSP[[#This Row],[2018]],2)</f>
        <v>3.16</v>
      </c>
      <c r="BQ1958" s="53">
        <f>ROUND(HIX_SLCSP[[#This Row],[Weighting Factor 2019]]*HIX_SLCSP[[#This Row],[2019]],2)</f>
        <v>4.25</v>
      </c>
      <c r="BR1958" s="53">
        <f>ROUND(HIX_SLCSP[[#This Row],[Weighting Factor 2020]]*HIX_SLCSP[[#This Row],[2020]],2)</f>
        <v>4.34</v>
      </c>
      <c r="BS1958" s="53">
        <f>ROUND(HIX_SLCSP[[#This Row],[Weighting Factor 2021]]*HIX_SLCSP[[#This Row],[2021]],2)</f>
        <v>3.07</v>
      </c>
      <c r="BT1958" s="53">
        <f>ROUND(HIX_SLCSP[[#This Row],[Weighting Factor 2022]]*HIX_SLCSP[[#This Row],[2022]],2)</f>
        <v>2.81</v>
      </c>
      <c r="BU1958" s="53">
        <f>ROUND(HIX_SLCSP[[#This Row],[Weighting Factor 2023]]*HIX_SLCSP[[#This Row],[2023]],2)</f>
        <v>3.81</v>
      </c>
      <c r="BV1958" s="53">
        <f>ROUND(HIX_SLCSP[[#This Row],[Weighting Factor 2024]]*HIX_SLCSP[[#This Row],[2024]],2)</f>
        <v>4.78</v>
      </c>
    </row>
    <row r="1959" spans="4:74" x14ac:dyDescent="0.35">
      <c r="D1959" t="s">
        <v>1662</v>
      </c>
      <c r="E1959" t="s">
        <v>643</v>
      </c>
      <c r="F1959" s="23">
        <v>31</v>
      </c>
      <c r="G1959" s="23" t="s">
        <v>1663</v>
      </c>
      <c r="H1959" s="23" t="s">
        <v>1749</v>
      </c>
      <c r="I1959" s="23">
        <v>70</v>
      </c>
      <c r="J1959" s="53">
        <v>336.12</v>
      </c>
      <c r="K1959" s="53">
        <v>336.92</v>
      </c>
      <c r="L1959" s="53">
        <v>574.17999999999995</v>
      </c>
      <c r="M1959" s="54">
        <f t="shared" si="116"/>
        <v>1.7042027781075624</v>
      </c>
      <c r="N1959" s="24">
        <v>56</v>
      </c>
      <c r="O1959" s="55">
        <v>449.68</v>
      </c>
      <c r="P1959" s="56">
        <v>451.9</v>
      </c>
      <c r="Q1959" s="56">
        <v>770.12</v>
      </c>
      <c r="R1959" s="57">
        <f t="shared" si="129"/>
        <v>1.7041823412259349</v>
      </c>
      <c r="S1959" s="23">
        <v>76</v>
      </c>
      <c r="T1959" s="53">
        <v>447.66</v>
      </c>
      <c r="U1959" s="53">
        <v>453.35</v>
      </c>
      <c r="V1959" s="53">
        <v>772.6</v>
      </c>
      <c r="W1959" s="57">
        <f t="shared" si="130"/>
        <v>1.7042020513951692</v>
      </c>
      <c r="X1959" s="23">
        <v>76</v>
      </c>
      <c r="Y1959" s="53">
        <v>331.18</v>
      </c>
      <c r="Z1959" s="53">
        <v>338.37</v>
      </c>
      <c r="AA1959" s="53">
        <v>576.64</v>
      </c>
      <c r="AB1959" s="57">
        <f t="shared" si="131"/>
        <v>1.7041699914295001</v>
      </c>
      <c r="AC1959" s="47">
        <v>57</v>
      </c>
      <c r="AD1959" s="57">
        <v>330.69</v>
      </c>
      <c r="AE1959" s="57">
        <v>334.95</v>
      </c>
      <c r="AF1959" s="57">
        <v>570.82000000000005</v>
      </c>
      <c r="AG1959" s="57">
        <f t="shared" si="132"/>
        <v>1.7041946559187942</v>
      </c>
      <c r="AH1959" s="47">
        <v>94</v>
      </c>
      <c r="AI1959">
        <v>377.16</v>
      </c>
      <c r="AJ1959">
        <v>381.53</v>
      </c>
      <c r="AK1959">
        <v>650.20000000000005</v>
      </c>
      <c r="AL1959" s="57">
        <f t="shared" si="107"/>
        <v>1.7041910203653712</v>
      </c>
      <c r="AM1959" s="47">
        <v>91</v>
      </c>
      <c r="AN1959" s="57">
        <v>403.34</v>
      </c>
      <c r="AO1959" s="57">
        <v>407.04</v>
      </c>
      <c r="AP1959" s="57">
        <v>693.68</v>
      </c>
      <c r="AQ1959" s="57">
        <f t="shared" si="133"/>
        <v>1.7042059748427671</v>
      </c>
      <c r="AR1959" s="59">
        <v>678</v>
      </c>
      <c r="AS1959" s="59">
        <f>SUMIFS(HIX_RatingAreas[Silver Enrollments 2018],HIX_RatingAreas[Area],HIX_SLCSP[[#This Row],[Area Code]])</f>
        <v>458</v>
      </c>
      <c r="AT1959" s="59">
        <f>SUMIFS(HIX_RatingAreas[Silver Enrollments 2019],HIX_RatingAreas[Area],HIX_SLCSP[[#This Row],[Area Code]])</f>
        <v>369</v>
      </c>
      <c r="AU1959" s="59">
        <f>SUMIFS(HIX_RatingAreas[Silver Enrollments 2020],HIX_RatingAreas[Area],HIX_SLCSP[[#This Row],[Area Code]])</f>
        <v>320</v>
      </c>
      <c r="AV1959" s="59">
        <f>SUMIFS(HIX_RatingAreas[Silver Enrollments 2021],HIX_RatingAreas[Area],HIX_SLCSP[[#This Row],[Area Code]])</f>
        <v>281</v>
      </c>
      <c r="AW1959" s="59">
        <f>SUMIFS(HIX_RatingAreas[Silver Enrollments 2022],HIX_RatingAreas[Area],HIX_SLCSP[[#This Row],[Area Code]])</f>
        <v>283</v>
      </c>
      <c r="AX1959" s="59">
        <f>SUMIFS(HIX_RatingAreas[Silver Enrollments 2023],HIX_RatingAreas[Area],HIX_SLCSP[[#This Row],[Area Code]])</f>
        <v>523</v>
      </c>
      <c r="AY1959" s="59">
        <f>SUMIFS(HIX_RatingAreas[Silver Enrollments 2024],HIX_RatingAreas[Area],HIX_SLCSP[[#This Row],[Area Code]])</f>
        <v>1051</v>
      </c>
      <c r="AZ1959" s="59">
        <v>755</v>
      </c>
      <c r="BA1959">
        <f t="shared" si="122"/>
        <v>3.2564860143630445E-3</v>
      </c>
      <c r="BB1959">
        <f>SUMIFS(HIX_RatingAreas[QHP Enrollments 2018],HIX_RatingAreas[Area],HIX_SLCSP[[#This Row],[Area Code]])</f>
        <v>667</v>
      </c>
      <c r="BC1959">
        <f t="shared" si="123"/>
        <v>3.0882060162142392E-3</v>
      </c>
      <c r="BD1959">
        <f>SUMIFS(HIX_RatingAreas[QHP Enrollments 2019],HIX_RatingAreas[Area],HIX_SLCSP[[#This Row],[Area Code]])</f>
        <v>656</v>
      </c>
      <c r="BE1959">
        <f t="shared" si="124"/>
        <v>3.0517873425259124E-3</v>
      </c>
      <c r="BF1959">
        <f>SUMIFS(HIX_RatingAreas[QHP Enrollments 2020],HIX_RatingAreas[Area],HIX_SLCSP[[#This Row],[Area Code]])</f>
        <v>601</v>
      </c>
      <c r="BG1959">
        <f t="shared" si="125"/>
        <v>2.8080175676307058E-3</v>
      </c>
      <c r="BH1959">
        <f>SUMIFS(HIX_RatingAreas[QHP Enrollments 2021],HIX_RatingAreas[Area],HIX_SLCSP[[#This Row],[Area Code]])</f>
        <v>668</v>
      </c>
      <c r="BI1959">
        <f t="shared" si="126"/>
        <v>2.9037165833514455E-3</v>
      </c>
      <c r="BJ1959">
        <f>SUMIFS(HIX_RatingAreas[QHP Enrollments 2022],HIX_RatingAreas[Area],HIX_SLCSP[[#This Row],[Area Code]])</f>
        <v>805</v>
      </c>
      <c r="BK1959">
        <f t="shared" si="127"/>
        <v>2.6798316865961811E-3</v>
      </c>
      <c r="BL1959">
        <f>SUMIFS(HIX_RatingAreas[QHP Enrollments 2023],HIX_RatingAreas[Area],HIX_SLCSP[[#This Row],[Area Code]])</f>
        <v>1067</v>
      </c>
      <c r="BM1959">
        <f t="shared" si="134"/>
        <v>2.7861335672954399E-3</v>
      </c>
      <c r="BN1959">
        <f>SUMIFS(HIX_RatingAreas[QHP Enrollments 2024],HIX_RatingAreas[Area],HIX_SLCSP[[#This Row],[Area Code]])</f>
        <v>2059</v>
      </c>
      <c r="BO1959">
        <f t="shared" si="128"/>
        <v>3.6048496520330897E-3</v>
      </c>
      <c r="BP1959" s="53">
        <f>ROUND(HIX_SLCSP[[#This Row],[Weighting Factor 2018]]*HIX_SLCSP[[#This Row],[2018]],2)</f>
        <v>1.04</v>
      </c>
      <c r="BQ1959" s="53">
        <f>ROUND(HIX_SLCSP[[#This Row],[Weighting Factor 2019]]*HIX_SLCSP[[#This Row],[2019]],2)</f>
        <v>1.38</v>
      </c>
      <c r="BR1959" s="53">
        <f>ROUND(HIX_SLCSP[[#This Row],[Weighting Factor 2020]]*HIX_SLCSP[[#This Row],[2020]],2)</f>
        <v>1.27</v>
      </c>
      <c r="BS1959" s="53">
        <f>ROUND(HIX_SLCSP[[#This Row],[Weighting Factor 2021]]*HIX_SLCSP[[#This Row],[2021]],2)</f>
        <v>0.98</v>
      </c>
      <c r="BT1959" s="53">
        <f>ROUND(HIX_SLCSP[[#This Row],[Weighting Factor 2022]]*HIX_SLCSP[[#This Row],[2022]],2)</f>
        <v>0.9</v>
      </c>
      <c r="BU1959" s="53">
        <f>ROUND(HIX_SLCSP[[#This Row],[Weighting Factor 2023]]*HIX_SLCSP[[#This Row],[2023]],2)</f>
        <v>1.06</v>
      </c>
      <c r="BV1959" s="53">
        <f>ROUND(HIX_SLCSP[[#This Row],[Weighting Factor 2024]]*HIX_SLCSP[[#This Row],[2024]],2)</f>
        <v>1.47</v>
      </c>
    </row>
    <row r="1960" spans="4:74" x14ac:dyDescent="0.35">
      <c r="D1960" t="s">
        <v>1662</v>
      </c>
      <c r="E1960" t="s">
        <v>646</v>
      </c>
      <c r="F1960" s="23">
        <v>32</v>
      </c>
      <c r="G1960" s="23" t="s">
        <v>1663</v>
      </c>
      <c r="H1960" s="23" t="s">
        <v>1751</v>
      </c>
      <c r="I1960" s="23">
        <v>70</v>
      </c>
      <c r="J1960" s="53">
        <v>365.93</v>
      </c>
      <c r="K1960" s="53">
        <v>366.81</v>
      </c>
      <c r="L1960" s="53">
        <v>625.11</v>
      </c>
      <c r="M1960" s="54">
        <f t="shared" si="116"/>
        <v>1.704179275374172</v>
      </c>
      <c r="N1960" s="24">
        <v>56</v>
      </c>
      <c r="O1960" s="55">
        <v>489.51</v>
      </c>
      <c r="P1960" s="56">
        <v>491.92</v>
      </c>
      <c r="Q1960" s="56">
        <v>838.34</v>
      </c>
      <c r="R1960" s="57">
        <f t="shared" si="129"/>
        <v>1.7042201984062448</v>
      </c>
      <c r="S1960" s="23">
        <v>76</v>
      </c>
      <c r="T1960" s="53">
        <v>476.88</v>
      </c>
      <c r="U1960" s="53">
        <v>482.94</v>
      </c>
      <c r="V1960" s="53">
        <v>823.03</v>
      </c>
      <c r="W1960" s="57">
        <f t="shared" si="130"/>
        <v>1.7042075620159853</v>
      </c>
      <c r="X1960" s="23">
        <v>76</v>
      </c>
      <c r="Y1960" s="53">
        <v>345.97</v>
      </c>
      <c r="Z1960" s="53">
        <v>353.48</v>
      </c>
      <c r="AA1960" s="53">
        <v>602.41</v>
      </c>
      <c r="AB1960" s="57">
        <f t="shared" si="131"/>
        <v>1.7042265474708609</v>
      </c>
      <c r="AC1960" s="47">
        <v>20</v>
      </c>
      <c r="AD1960" s="57">
        <v>502.37</v>
      </c>
      <c r="AE1960" s="57">
        <v>502.37</v>
      </c>
      <c r="AF1960" s="57">
        <v>856.13</v>
      </c>
      <c r="AG1960" s="57">
        <f t="shared" si="132"/>
        <v>1.7041821764834684</v>
      </c>
      <c r="AH1960" s="47">
        <v>102</v>
      </c>
      <c r="AI1960">
        <v>409.25</v>
      </c>
      <c r="AJ1960">
        <v>412.35</v>
      </c>
      <c r="AK1960">
        <v>702.73</v>
      </c>
      <c r="AL1960" s="57">
        <f t="shared" si="107"/>
        <v>1.7042075906390202</v>
      </c>
      <c r="AM1960" s="47">
        <v>107</v>
      </c>
      <c r="AN1960" s="57">
        <v>410.58</v>
      </c>
      <c r="AO1960" s="57">
        <v>412.47</v>
      </c>
      <c r="AP1960" s="57">
        <v>702.94</v>
      </c>
      <c r="AQ1960" s="57">
        <f t="shared" si="133"/>
        <v>1.7042209130360997</v>
      </c>
      <c r="AR1960" s="59">
        <v>10373</v>
      </c>
      <c r="AS1960" s="59">
        <f>SUMIFS(HIX_RatingAreas[Silver Enrollments 2018],HIX_RatingAreas[Area],HIX_SLCSP[[#This Row],[Area Code]])</f>
        <v>7815</v>
      </c>
      <c r="AT1960" s="59">
        <f>SUMIFS(HIX_RatingAreas[Silver Enrollments 2019],HIX_RatingAreas[Area],HIX_SLCSP[[#This Row],[Area Code]])</f>
        <v>6202</v>
      </c>
      <c r="AU1960" s="59">
        <f>SUMIFS(HIX_RatingAreas[Silver Enrollments 2020],HIX_RatingAreas[Area],HIX_SLCSP[[#This Row],[Area Code]])</f>
        <v>5733</v>
      </c>
      <c r="AV1960" s="59">
        <f>SUMIFS(HIX_RatingAreas[Silver Enrollments 2021],HIX_RatingAreas[Area],HIX_SLCSP[[#This Row],[Area Code]])</f>
        <v>5943</v>
      </c>
      <c r="AW1960" s="59">
        <f>SUMIFS(HIX_RatingAreas[Silver Enrollments 2022],HIX_RatingAreas[Area],HIX_SLCSP[[#This Row],[Area Code]])</f>
        <v>5948</v>
      </c>
      <c r="AX1960" s="59">
        <f>SUMIFS(HIX_RatingAreas[Silver Enrollments 2023],HIX_RatingAreas[Area],HIX_SLCSP[[#This Row],[Area Code]])</f>
        <v>8118</v>
      </c>
      <c r="AY1960" s="59">
        <f>SUMIFS(HIX_RatingAreas[Silver Enrollments 2024],HIX_RatingAreas[Area],HIX_SLCSP[[#This Row],[Area Code]])</f>
        <v>12775</v>
      </c>
      <c r="AZ1960" s="59">
        <v>11746</v>
      </c>
      <c r="BA1960">
        <f t="shared" si="122"/>
        <v>5.066315857577261E-2</v>
      </c>
      <c r="BB1960">
        <f>SUMIFS(HIX_RatingAreas[QHP Enrollments 2018],HIX_RatingAreas[Area],HIX_SLCSP[[#This Row],[Area Code]])</f>
        <v>11213</v>
      </c>
      <c r="BC1960">
        <f t="shared" si="123"/>
        <v>5.1916123028201297E-2</v>
      </c>
      <c r="BD1960">
        <f>SUMIFS(HIX_RatingAreas[QHP Enrollments 2019],HIX_RatingAreas[Area],HIX_SLCSP[[#This Row],[Area Code]])</f>
        <v>11272</v>
      </c>
      <c r="BE1960">
        <f t="shared" si="124"/>
        <v>5.2438638605109882E-2</v>
      </c>
      <c r="BF1960">
        <f>SUMIFS(HIX_RatingAreas[QHP Enrollments 2020],HIX_RatingAreas[Area],HIX_SLCSP[[#This Row],[Area Code]])</f>
        <v>11760</v>
      </c>
      <c r="BG1960">
        <f t="shared" si="125"/>
        <v>5.4945568378264732E-2</v>
      </c>
      <c r="BH1960">
        <f>SUMIFS(HIX_RatingAreas[QHP Enrollments 2021],HIX_RatingAreas[Area],HIX_SLCSP[[#This Row],[Area Code]])</f>
        <v>13555</v>
      </c>
      <c r="BI1960">
        <f t="shared" si="126"/>
        <v>5.8921973484025211E-2</v>
      </c>
      <c r="BJ1960">
        <f>SUMIFS(HIX_RatingAreas[QHP Enrollments 2022],HIX_RatingAreas[Area],HIX_SLCSP[[#This Row],[Area Code]])</f>
        <v>18145</v>
      </c>
      <c r="BK1960">
        <f t="shared" si="127"/>
        <v>6.04044049109164E-2</v>
      </c>
      <c r="BL1960">
        <f>SUMIFS(HIX_RatingAreas[QHP Enrollments 2023],HIX_RatingAreas[Area],HIX_SLCSP[[#This Row],[Area Code]])</f>
        <v>22429</v>
      </c>
      <c r="BM1960">
        <f t="shared" si="134"/>
        <v>5.8566250966138163E-2</v>
      </c>
      <c r="BN1960">
        <f>SUMIFS(HIX_RatingAreas[QHP Enrollments 2024],HIX_RatingAreas[Area],HIX_SLCSP[[#This Row],[Area Code]])</f>
        <v>32284</v>
      </c>
      <c r="BO1960">
        <f t="shared" si="128"/>
        <v>5.6522081673742723E-2</v>
      </c>
      <c r="BP1960" s="53">
        <f>ROUND(HIX_SLCSP[[#This Row],[Weighting Factor 2018]]*HIX_SLCSP[[#This Row],[2018]],2)</f>
        <v>19.04</v>
      </c>
      <c r="BQ1960" s="53">
        <f>ROUND(HIX_SLCSP[[#This Row],[Weighting Factor 2019]]*HIX_SLCSP[[#This Row],[2019]],2)</f>
        <v>25.8</v>
      </c>
      <c r="BR1960" s="53">
        <f>ROUND(HIX_SLCSP[[#This Row],[Weighting Factor 2020]]*HIX_SLCSP[[#This Row],[2020]],2)</f>
        <v>26.54</v>
      </c>
      <c r="BS1960" s="53">
        <f>ROUND(HIX_SLCSP[[#This Row],[Weighting Factor 2021]]*HIX_SLCSP[[#This Row],[2021]],2)</f>
        <v>20.83</v>
      </c>
      <c r="BT1960" s="53">
        <f>ROUND(HIX_SLCSP[[#This Row],[Weighting Factor 2022]]*HIX_SLCSP[[#This Row],[2022]],2)</f>
        <v>30.35</v>
      </c>
      <c r="BU1960" s="53">
        <f>ROUND(HIX_SLCSP[[#This Row],[Weighting Factor 2023]]*HIX_SLCSP[[#This Row],[2023]],2)</f>
        <v>24.15</v>
      </c>
      <c r="BV1960" s="53">
        <f>ROUND(HIX_SLCSP[[#This Row],[Weighting Factor 2024]]*HIX_SLCSP[[#This Row],[2024]],2)</f>
        <v>23.31</v>
      </c>
    </row>
    <row r="1961" spans="4:74" x14ac:dyDescent="0.35">
      <c r="D1961" t="s">
        <v>1662</v>
      </c>
      <c r="E1961" t="s">
        <v>649</v>
      </c>
      <c r="F1961" s="23">
        <v>33</v>
      </c>
      <c r="G1961" s="23" t="s">
        <v>1663</v>
      </c>
      <c r="H1961" s="23" t="s">
        <v>1754</v>
      </c>
      <c r="I1961" s="23">
        <v>70</v>
      </c>
      <c r="J1961" s="53">
        <v>346</v>
      </c>
      <c r="K1961" s="53">
        <v>346.83</v>
      </c>
      <c r="L1961" s="53">
        <v>591.05999999999995</v>
      </c>
      <c r="M1961" s="54">
        <f t="shared" si="116"/>
        <v>1.7041778392872589</v>
      </c>
      <c r="N1961" s="24">
        <v>56</v>
      </c>
      <c r="O1961" s="55">
        <v>462.8</v>
      </c>
      <c r="P1961" s="56">
        <v>465.09</v>
      </c>
      <c r="Q1961" s="56">
        <v>792.6</v>
      </c>
      <c r="R1961" s="57">
        <f t="shared" si="129"/>
        <v>1.7041862865251889</v>
      </c>
      <c r="S1961" s="23">
        <v>120</v>
      </c>
      <c r="T1961" s="53">
        <v>371.06</v>
      </c>
      <c r="U1961" s="53">
        <v>383.11</v>
      </c>
      <c r="V1961" s="53">
        <v>652.9</v>
      </c>
      <c r="W1961" s="57">
        <f t="shared" si="130"/>
        <v>1.7042102790321316</v>
      </c>
      <c r="X1961" s="23">
        <v>120</v>
      </c>
      <c r="Y1961" s="53">
        <v>309.14</v>
      </c>
      <c r="Z1961" s="53">
        <v>315.85000000000002</v>
      </c>
      <c r="AA1961" s="53">
        <v>538.27</v>
      </c>
      <c r="AB1961" s="57">
        <f t="shared" si="131"/>
        <v>1.7041950292860533</v>
      </c>
      <c r="AC1961" s="47">
        <v>57</v>
      </c>
      <c r="AD1961" s="57">
        <v>291.41000000000003</v>
      </c>
      <c r="AE1961" s="57">
        <v>295.16000000000003</v>
      </c>
      <c r="AF1961" s="57">
        <v>503.01</v>
      </c>
      <c r="AG1961" s="57">
        <f t="shared" si="132"/>
        <v>1.7041943352757825</v>
      </c>
      <c r="AH1961" s="47">
        <v>95</v>
      </c>
      <c r="AI1961">
        <v>315.7</v>
      </c>
      <c r="AJ1961">
        <v>319.36</v>
      </c>
      <c r="AK1961">
        <v>544.25</v>
      </c>
      <c r="AL1961" s="57">
        <f t="shared" si="107"/>
        <v>1.704189629258517</v>
      </c>
      <c r="AM1961" s="47">
        <v>91</v>
      </c>
      <c r="AN1961" s="57">
        <v>336.94</v>
      </c>
      <c r="AO1961" s="57">
        <v>338.5</v>
      </c>
      <c r="AP1961" s="57">
        <v>576.87</v>
      </c>
      <c r="AQ1961" s="57">
        <f t="shared" si="133"/>
        <v>1.7041949778434269</v>
      </c>
      <c r="AR1961" s="59">
        <v>288</v>
      </c>
      <c r="AS1961" s="59">
        <f>SUMIFS(HIX_RatingAreas[Silver Enrollments 2018],HIX_RatingAreas[Area],HIX_SLCSP[[#This Row],[Area Code]])</f>
        <v>197</v>
      </c>
      <c r="AT1961" s="59">
        <f>SUMIFS(HIX_RatingAreas[Silver Enrollments 2019],HIX_RatingAreas[Area],HIX_SLCSP[[#This Row],[Area Code]])</f>
        <v>153</v>
      </c>
      <c r="AU1961" s="59">
        <f>SUMIFS(HIX_RatingAreas[Silver Enrollments 2020],HIX_RatingAreas[Area],HIX_SLCSP[[#This Row],[Area Code]])</f>
        <v>96</v>
      </c>
      <c r="AV1961" s="59">
        <f>SUMIFS(HIX_RatingAreas[Silver Enrollments 2021],HIX_RatingAreas[Area],HIX_SLCSP[[#This Row],[Area Code]])</f>
        <v>98</v>
      </c>
      <c r="AW1961" s="59">
        <f>SUMIFS(HIX_RatingAreas[Silver Enrollments 2022],HIX_RatingAreas[Area],HIX_SLCSP[[#This Row],[Area Code]])</f>
        <v>136</v>
      </c>
      <c r="AX1961" s="59">
        <f>SUMIFS(HIX_RatingAreas[Silver Enrollments 2023],HIX_RatingAreas[Area],HIX_SLCSP[[#This Row],[Area Code]])</f>
        <v>197</v>
      </c>
      <c r="AY1961" s="59">
        <f>SUMIFS(HIX_RatingAreas[Silver Enrollments 2024],HIX_RatingAreas[Area],HIX_SLCSP[[#This Row],[Area Code]])</f>
        <v>290</v>
      </c>
      <c r="AZ1961" s="59">
        <v>318</v>
      </c>
      <c r="BA1961">
        <f t="shared" si="122"/>
        <v>1.3716060298906596E-3</v>
      </c>
      <c r="BB1961">
        <f>SUMIFS(HIX_RatingAreas[QHP Enrollments 2018],HIX_RatingAreas[Area],HIX_SLCSP[[#This Row],[Area Code]])</f>
        <v>244</v>
      </c>
      <c r="BC1961">
        <f t="shared" si="123"/>
        <v>1.1297185426630799E-3</v>
      </c>
      <c r="BD1961">
        <f>SUMIFS(HIX_RatingAreas[QHP Enrollments 2019],HIX_RatingAreas[Area],HIX_SLCSP[[#This Row],[Area Code]])</f>
        <v>234</v>
      </c>
      <c r="BE1961">
        <f t="shared" si="124"/>
        <v>1.0885948752302798E-3</v>
      </c>
      <c r="BF1961">
        <f>SUMIFS(HIX_RatingAreas[QHP Enrollments 2020],HIX_RatingAreas[Area],HIX_SLCSP[[#This Row],[Area Code]])</f>
        <v>225</v>
      </c>
      <c r="BG1961">
        <f t="shared" si="125"/>
        <v>1.0512544970331262E-3</v>
      </c>
      <c r="BH1961">
        <f>SUMIFS(HIX_RatingAreas[QHP Enrollments 2021],HIX_RatingAreas[Area],HIX_SLCSP[[#This Row],[Area Code]])</f>
        <v>247</v>
      </c>
      <c r="BI1961">
        <f t="shared" si="126"/>
        <v>1.0736796348619865E-3</v>
      </c>
      <c r="BJ1961">
        <f>SUMIFS(HIX_RatingAreas[QHP Enrollments 2022],HIX_RatingAreas[Area],HIX_SLCSP[[#This Row],[Area Code]])</f>
        <v>303</v>
      </c>
      <c r="BK1961">
        <f t="shared" si="127"/>
        <v>1.0086819888678793E-3</v>
      </c>
      <c r="BL1961">
        <f>SUMIFS(HIX_RatingAreas[QHP Enrollments 2023],HIX_RatingAreas[Area],HIX_SLCSP[[#This Row],[Area Code]])</f>
        <v>385</v>
      </c>
      <c r="BM1961">
        <f t="shared" si="134"/>
        <v>1.0053059263437155E-3</v>
      </c>
      <c r="BN1961">
        <f>SUMIFS(HIX_RatingAreas[QHP Enrollments 2024],HIX_RatingAreas[Area],HIX_SLCSP[[#This Row],[Area Code]])</f>
        <v>562</v>
      </c>
      <c r="BO1961">
        <f t="shared" si="128"/>
        <v>9.8393662187595756E-4</v>
      </c>
      <c r="BP1961" s="53">
        <f>ROUND(HIX_SLCSP[[#This Row],[Weighting Factor 2018]]*HIX_SLCSP[[#This Row],[2018]],2)</f>
        <v>0.39</v>
      </c>
      <c r="BQ1961" s="53">
        <f>ROUND(HIX_SLCSP[[#This Row],[Weighting Factor 2019]]*HIX_SLCSP[[#This Row],[2019]],2)</f>
        <v>0.51</v>
      </c>
      <c r="BR1961" s="53">
        <f>ROUND(HIX_SLCSP[[#This Row],[Weighting Factor 2020]]*HIX_SLCSP[[#This Row],[2020]],2)</f>
        <v>0.4</v>
      </c>
      <c r="BS1961" s="53">
        <f>ROUND(HIX_SLCSP[[#This Row],[Weighting Factor 2021]]*HIX_SLCSP[[#This Row],[2021]],2)</f>
        <v>0.34</v>
      </c>
      <c r="BT1961" s="53">
        <f>ROUND(HIX_SLCSP[[#This Row],[Weighting Factor 2022]]*HIX_SLCSP[[#This Row],[2022]],2)</f>
        <v>0.3</v>
      </c>
      <c r="BU1961" s="53">
        <f>ROUND(HIX_SLCSP[[#This Row],[Weighting Factor 2023]]*HIX_SLCSP[[#This Row],[2023]],2)</f>
        <v>0.32</v>
      </c>
      <c r="BV1961" s="53">
        <f>ROUND(HIX_SLCSP[[#This Row],[Weighting Factor 2024]]*HIX_SLCSP[[#This Row],[2024]],2)</f>
        <v>0.33</v>
      </c>
    </row>
    <row r="1962" spans="4:74" x14ac:dyDescent="0.35">
      <c r="D1962" t="s">
        <v>1662</v>
      </c>
      <c r="E1962" t="s">
        <v>652</v>
      </c>
      <c r="F1962" s="23">
        <v>34</v>
      </c>
      <c r="G1962" s="23" t="s">
        <v>1663</v>
      </c>
      <c r="H1962" s="23" t="s">
        <v>1757</v>
      </c>
      <c r="I1962" s="23">
        <v>70</v>
      </c>
      <c r="J1962" s="53">
        <v>348.21</v>
      </c>
      <c r="K1962" s="53">
        <v>349.05</v>
      </c>
      <c r="L1962" s="53">
        <v>594.84</v>
      </c>
      <c r="M1962" s="54">
        <f t="shared" si="116"/>
        <v>1.7041684572410829</v>
      </c>
      <c r="N1962" s="24">
        <v>56</v>
      </c>
      <c r="O1962" s="55">
        <v>465.97</v>
      </c>
      <c r="P1962" s="56">
        <v>468.27</v>
      </c>
      <c r="Q1962" s="56">
        <v>798.03</v>
      </c>
      <c r="R1962" s="57">
        <f t="shared" si="129"/>
        <v>1.704209110128772</v>
      </c>
      <c r="S1962" s="23">
        <v>120</v>
      </c>
      <c r="T1962" s="53">
        <v>305.13</v>
      </c>
      <c r="U1962" s="53">
        <v>310.2</v>
      </c>
      <c r="V1962" s="53">
        <v>528.65</v>
      </c>
      <c r="W1962" s="57">
        <f t="shared" si="130"/>
        <v>1.7042230818826563</v>
      </c>
      <c r="X1962" s="23">
        <v>120</v>
      </c>
      <c r="Y1962" s="53">
        <v>325.98</v>
      </c>
      <c r="Z1962" s="53">
        <v>333.06</v>
      </c>
      <c r="AA1962" s="53">
        <v>567.6</v>
      </c>
      <c r="AB1962" s="57">
        <f t="shared" si="131"/>
        <v>1.70419744190236</v>
      </c>
      <c r="AC1962" s="47">
        <v>57</v>
      </c>
      <c r="AD1962" s="57">
        <v>313.52</v>
      </c>
      <c r="AE1962" s="57">
        <v>317.56</v>
      </c>
      <c r="AF1962" s="57">
        <v>541.19000000000005</v>
      </c>
      <c r="AG1962" s="57">
        <f t="shared" si="132"/>
        <v>1.7042133769996224</v>
      </c>
      <c r="AH1962" s="47">
        <v>107</v>
      </c>
      <c r="AI1962">
        <v>377.16</v>
      </c>
      <c r="AJ1962">
        <v>381.53</v>
      </c>
      <c r="AK1962">
        <v>650.20000000000005</v>
      </c>
      <c r="AL1962" s="57">
        <f t="shared" si="107"/>
        <v>1.7041910203653712</v>
      </c>
      <c r="AM1962" s="47">
        <v>131</v>
      </c>
      <c r="AN1962" s="57">
        <v>403.34</v>
      </c>
      <c r="AO1962" s="57">
        <v>407.04</v>
      </c>
      <c r="AP1962" s="57">
        <v>693.68</v>
      </c>
      <c r="AQ1962" s="57">
        <f t="shared" si="133"/>
        <v>1.7042059748427671</v>
      </c>
      <c r="AR1962" s="59">
        <v>1439</v>
      </c>
      <c r="AS1962" s="59">
        <f>SUMIFS(HIX_RatingAreas[Silver Enrollments 2018],HIX_RatingAreas[Area],HIX_SLCSP[[#This Row],[Area Code]])</f>
        <v>1030</v>
      </c>
      <c r="AT1962" s="59">
        <f>SUMIFS(HIX_RatingAreas[Silver Enrollments 2019],HIX_RatingAreas[Area],HIX_SLCSP[[#This Row],[Area Code]])</f>
        <v>781</v>
      </c>
      <c r="AU1962" s="59">
        <f>SUMIFS(HIX_RatingAreas[Silver Enrollments 2020],HIX_RatingAreas[Area],HIX_SLCSP[[#This Row],[Area Code]])</f>
        <v>512</v>
      </c>
      <c r="AV1962" s="59">
        <f>SUMIFS(HIX_RatingAreas[Silver Enrollments 2021],HIX_RatingAreas[Area],HIX_SLCSP[[#This Row],[Area Code]])</f>
        <v>508</v>
      </c>
      <c r="AW1962" s="59">
        <f>SUMIFS(HIX_RatingAreas[Silver Enrollments 2022],HIX_RatingAreas[Area],HIX_SLCSP[[#This Row],[Area Code]])</f>
        <v>700</v>
      </c>
      <c r="AX1962" s="59">
        <f>SUMIFS(HIX_RatingAreas[Silver Enrollments 2023],HIX_RatingAreas[Area],HIX_SLCSP[[#This Row],[Area Code]])</f>
        <v>1140</v>
      </c>
      <c r="AY1962" s="59">
        <f>SUMIFS(HIX_RatingAreas[Silver Enrollments 2024],HIX_RatingAreas[Area],HIX_SLCSP[[#This Row],[Area Code]])</f>
        <v>1867</v>
      </c>
      <c r="AZ1962" s="59">
        <v>1591</v>
      </c>
      <c r="BA1962">
        <f t="shared" si="122"/>
        <v>6.8623433759623887E-3</v>
      </c>
      <c r="BB1962">
        <f>SUMIFS(HIX_RatingAreas[QHP Enrollments 2018],HIX_RatingAreas[Area],HIX_SLCSP[[#This Row],[Area Code]])</f>
        <v>1342</v>
      </c>
      <c r="BC1962">
        <f t="shared" si="123"/>
        <v>6.2134519846469395E-3</v>
      </c>
      <c r="BD1962">
        <f>SUMIFS(HIX_RatingAreas[QHP Enrollments 2019],HIX_RatingAreas[Area],HIX_SLCSP[[#This Row],[Area Code]])</f>
        <v>1280</v>
      </c>
      <c r="BE1962">
        <f t="shared" si="124"/>
        <v>5.9547070098066581E-3</v>
      </c>
      <c r="BF1962">
        <f>SUMIFS(HIX_RatingAreas[QHP Enrollments 2020],HIX_RatingAreas[Area],HIX_SLCSP[[#This Row],[Area Code]])</f>
        <v>1048</v>
      </c>
      <c r="BG1962">
        <f t="shared" si="125"/>
        <v>4.8965098350698504E-3</v>
      </c>
      <c r="BH1962">
        <f>SUMIFS(HIX_RatingAreas[QHP Enrollments 2021],HIX_RatingAreas[Area],HIX_SLCSP[[#This Row],[Area Code]])</f>
        <v>993</v>
      </c>
      <c r="BI1962">
        <f t="shared" si="126"/>
        <v>4.3164529450119542E-3</v>
      </c>
      <c r="BJ1962">
        <f>SUMIFS(HIX_RatingAreas[QHP Enrollments 2022],HIX_RatingAreas[Area],HIX_SLCSP[[#This Row],[Area Code]])</f>
        <v>1398</v>
      </c>
      <c r="BK1962">
        <f t="shared" si="127"/>
        <v>4.6539188793310073E-3</v>
      </c>
      <c r="BL1962">
        <f>SUMIFS(HIX_RatingAreas[QHP Enrollments 2023],HIX_RatingAreas[Area],HIX_SLCSP[[#This Row],[Area Code]])</f>
        <v>2047</v>
      </c>
      <c r="BM1962">
        <f t="shared" si="134"/>
        <v>5.3450941070794424E-3</v>
      </c>
      <c r="BN1962">
        <f>SUMIFS(HIX_RatingAreas[QHP Enrollments 2024],HIX_RatingAreas[Area],HIX_SLCSP[[#This Row],[Area Code]])</f>
        <v>3507</v>
      </c>
      <c r="BO1962">
        <f t="shared" si="128"/>
        <v>6.1399746137348445E-3</v>
      </c>
      <c r="BP1962" s="53">
        <f>ROUND(HIX_SLCSP[[#This Row],[Weighting Factor 2018]]*HIX_SLCSP[[#This Row],[2018]],2)</f>
        <v>2.17</v>
      </c>
      <c r="BQ1962" s="53">
        <f>ROUND(HIX_SLCSP[[#This Row],[Weighting Factor 2019]]*HIX_SLCSP[[#This Row],[2019]],2)</f>
        <v>2.79</v>
      </c>
      <c r="BR1962" s="53">
        <f>ROUND(HIX_SLCSP[[#This Row],[Weighting Factor 2020]]*HIX_SLCSP[[#This Row],[2020]],2)</f>
        <v>1.52</v>
      </c>
      <c r="BS1962" s="53">
        <f>ROUND(HIX_SLCSP[[#This Row],[Weighting Factor 2021]]*HIX_SLCSP[[#This Row],[2021]],2)</f>
        <v>1.44</v>
      </c>
      <c r="BT1962" s="53">
        <f>ROUND(HIX_SLCSP[[#This Row],[Weighting Factor 2022]]*HIX_SLCSP[[#This Row],[2022]],2)</f>
        <v>1.48</v>
      </c>
      <c r="BU1962" s="53">
        <f>ROUND(HIX_SLCSP[[#This Row],[Weighting Factor 2023]]*HIX_SLCSP[[#This Row],[2023]],2)</f>
        <v>2.04</v>
      </c>
      <c r="BV1962" s="53">
        <f>ROUND(HIX_SLCSP[[#This Row],[Weighting Factor 2024]]*HIX_SLCSP[[#This Row],[2024]],2)</f>
        <v>2.5</v>
      </c>
    </row>
    <row r="1963" spans="4:74" x14ac:dyDescent="0.35">
      <c r="D1963" t="s">
        <v>1662</v>
      </c>
      <c r="E1963" t="s">
        <v>656</v>
      </c>
      <c r="F1963" s="23">
        <v>35</v>
      </c>
      <c r="G1963" s="23" t="s">
        <v>1663</v>
      </c>
      <c r="H1963" s="23" t="s">
        <v>1759</v>
      </c>
      <c r="I1963" s="23">
        <v>70</v>
      </c>
      <c r="J1963" s="53">
        <v>352.3</v>
      </c>
      <c r="K1963" s="53">
        <v>353.14</v>
      </c>
      <c r="L1963" s="53">
        <v>601.83000000000004</v>
      </c>
      <c r="M1963" s="54">
        <f t="shared" si="116"/>
        <v>1.7042249532763212</v>
      </c>
      <c r="N1963" s="24">
        <v>56</v>
      </c>
      <c r="O1963" s="55">
        <v>471.4</v>
      </c>
      <c r="P1963" s="56">
        <v>473.73</v>
      </c>
      <c r="Q1963" s="56">
        <v>807.33</v>
      </c>
      <c r="R1963" s="57">
        <f t="shared" si="129"/>
        <v>1.7041985941359001</v>
      </c>
      <c r="S1963" s="23">
        <v>120</v>
      </c>
      <c r="T1963" s="53">
        <v>458.35</v>
      </c>
      <c r="U1963" s="53">
        <v>464.17</v>
      </c>
      <c r="V1963" s="53">
        <v>791.04</v>
      </c>
      <c r="W1963" s="57">
        <f t="shared" si="130"/>
        <v>1.7042032014132751</v>
      </c>
      <c r="X1963" s="23">
        <v>120</v>
      </c>
      <c r="Y1963" s="53">
        <v>326.93</v>
      </c>
      <c r="Z1963" s="53">
        <v>334.02</v>
      </c>
      <c r="AA1963" s="53">
        <v>569.24</v>
      </c>
      <c r="AB1963" s="57">
        <f t="shared" si="131"/>
        <v>1.7042093287827078</v>
      </c>
      <c r="AC1963" s="47">
        <v>57</v>
      </c>
      <c r="AD1963" s="57">
        <v>313.99</v>
      </c>
      <c r="AE1963" s="57">
        <v>318.02999999999997</v>
      </c>
      <c r="AF1963" s="57">
        <v>541.99</v>
      </c>
      <c r="AG1963" s="57">
        <f t="shared" si="132"/>
        <v>1.7042102946262934</v>
      </c>
      <c r="AH1963" s="47">
        <v>94</v>
      </c>
      <c r="AI1963">
        <v>377.16</v>
      </c>
      <c r="AJ1963">
        <v>381.53</v>
      </c>
      <c r="AK1963">
        <v>650.20000000000005</v>
      </c>
      <c r="AL1963" s="57">
        <f t="shared" si="107"/>
        <v>1.7041910203653712</v>
      </c>
      <c r="AM1963" s="47">
        <v>107</v>
      </c>
      <c r="AN1963" s="57">
        <v>403.34</v>
      </c>
      <c r="AO1963" s="57">
        <v>404.99</v>
      </c>
      <c r="AP1963" s="57">
        <v>690.18</v>
      </c>
      <c r="AQ1963" s="57">
        <f t="shared" si="133"/>
        <v>1.7041902269191831</v>
      </c>
      <c r="AR1963" s="59">
        <v>817</v>
      </c>
      <c r="AS1963" s="59">
        <f>SUMIFS(HIX_RatingAreas[Silver Enrollments 2018],HIX_RatingAreas[Area],HIX_SLCSP[[#This Row],[Area Code]])</f>
        <v>609</v>
      </c>
      <c r="AT1963" s="59">
        <f>SUMIFS(HIX_RatingAreas[Silver Enrollments 2019],HIX_RatingAreas[Area],HIX_SLCSP[[#This Row],[Area Code]])</f>
        <v>431</v>
      </c>
      <c r="AU1963" s="59">
        <f>SUMIFS(HIX_RatingAreas[Silver Enrollments 2020],HIX_RatingAreas[Area],HIX_SLCSP[[#This Row],[Area Code]])</f>
        <v>398</v>
      </c>
      <c r="AV1963" s="59">
        <f>SUMIFS(HIX_RatingAreas[Silver Enrollments 2021],HIX_RatingAreas[Area],HIX_SLCSP[[#This Row],[Area Code]])</f>
        <v>276</v>
      </c>
      <c r="AW1963" s="59">
        <f>SUMIFS(HIX_RatingAreas[Silver Enrollments 2022],HIX_RatingAreas[Area],HIX_SLCSP[[#This Row],[Area Code]])</f>
        <v>360</v>
      </c>
      <c r="AX1963" s="59">
        <f>SUMIFS(HIX_RatingAreas[Silver Enrollments 2023],HIX_RatingAreas[Area],HIX_SLCSP[[#This Row],[Area Code]])</f>
        <v>748</v>
      </c>
      <c r="AY1963" s="59">
        <f>SUMIFS(HIX_RatingAreas[Silver Enrollments 2024],HIX_RatingAreas[Area],HIX_SLCSP[[#This Row],[Area Code]])</f>
        <v>1502</v>
      </c>
      <c r="AZ1963" s="59">
        <v>922</v>
      </c>
      <c r="BA1963">
        <f t="shared" si="122"/>
        <v>3.9767948413810955E-3</v>
      </c>
      <c r="BB1963">
        <f>SUMIFS(HIX_RatingAreas[QHP Enrollments 2018],HIX_RatingAreas[Area],HIX_SLCSP[[#This Row],[Area Code]])</f>
        <v>786</v>
      </c>
      <c r="BC1963">
        <f t="shared" si="123"/>
        <v>3.6391753054638562E-3</v>
      </c>
      <c r="BD1963">
        <f>SUMIFS(HIX_RatingAreas[QHP Enrollments 2019],HIX_RatingAreas[Area],HIX_SLCSP[[#This Row],[Area Code]])</f>
        <v>694</v>
      </c>
      <c r="BE1963">
        <f t="shared" si="124"/>
        <v>3.2285677068795474E-3</v>
      </c>
      <c r="BF1963">
        <f>SUMIFS(HIX_RatingAreas[QHP Enrollments 2020],HIX_RatingAreas[Area],HIX_SLCSP[[#This Row],[Area Code]])</f>
        <v>722</v>
      </c>
      <c r="BG1963">
        <f t="shared" si="125"/>
        <v>3.3733588749240762E-3</v>
      </c>
      <c r="BH1963">
        <f>SUMIFS(HIX_RatingAreas[QHP Enrollments 2021],HIX_RatingAreas[Area],HIX_SLCSP[[#This Row],[Area Code]])</f>
        <v>727</v>
      </c>
      <c r="BI1963">
        <f t="shared" si="126"/>
        <v>3.1601825690067377E-3</v>
      </c>
      <c r="BJ1963">
        <f>SUMIFS(HIX_RatingAreas[QHP Enrollments 2022],HIX_RatingAreas[Area],HIX_SLCSP[[#This Row],[Area Code]])</f>
        <v>880</v>
      </c>
      <c r="BK1963">
        <f t="shared" si="127"/>
        <v>2.9295054462169434E-3</v>
      </c>
      <c r="BL1963">
        <f>SUMIFS(HIX_RatingAreas[QHP Enrollments 2023],HIX_RatingAreas[Area],HIX_SLCSP[[#This Row],[Area Code]])</f>
        <v>1396</v>
      </c>
      <c r="BM1963">
        <f t="shared" si="134"/>
        <v>3.6452131770800694E-3</v>
      </c>
      <c r="BN1963">
        <f>SUMIFS(HIX_RatingAreas[QHP Enrollments 2024],HIX_RatingAreas[Area],HIX_SLCSP[[#This Row],[Area Code]])</f>
        <v>2787</v>
      </c>
      <c r="BO1963">
        <f t="shared" si="128"/>
        <v>4.8794152405129774E-3</v>
      </c>
      <c r="BP1963" s="53">
        <f>ROUND(HIX_SLCSP[[#This Row],[Weighting Factor 2018]]*HIX_SLCSP[[#This Row],[2018]],2)</f>
        <v>1.29</v>
      </c>
      <c r="BQ1963" s="53">
        <f>ROUND(HIX_SLCSP[[#This Row],[Weighting Factor 2019]]*HIX_SLCSP[[#This Row],[2019]],2)</f>
        <v>1.53</v>
      </c>
      <c r="BR1963" s="53">
        <f>ROUND(HIX_SLCSP[[#This Row],[Weighting Factor 2020]]*HIX_SLCSP[[#This Row],[2020]],2)</f>
        <v>1.57</v>
      </c>
      <c r="BS1963" s="53">
        <f>ROUND(HIX_SLCSP[[#This Row],[Weighting Factor 2021]]*HIX_SLCSP[[#This Row],[2021]],2)</f>
        <v>1.06</v>
      </c>
      <c r="BT1963" s="53">
        <f>ROUND(HIX_SLCSP[[#This Row],[Weighting Factor 2022]]*HIX_SLCSP[[#This Row],[2022]],2)</f>
        <v>0.93</v>
      </c>
      <c r="BU1963" s="53">
        <f>ROUND(HIX_SLCSP[[#This Row],[Weighting Factor 2023]]*HIX_SLCSP[[#This Row],[2023]],2)</f>
        <v>1.39</v>
      </c>
      <c r="BV1963" s="53">
        <f>ROUND(HIX_SLCSP[[#This Row],[Weighting Factor 2024]]*HIX_SLCSP[[#This Row],[2024]],2)</f>
        <v>1.98</v>
      </c>
    </row>
    <row r="1964" spans="4:74" x14ac:dyDescent="0.35">
      <c r="D1964" t="s">
        <v>1662</v>
      </c>
      <c r="E1964" t="s">
        <v>659</v>
      </c>
      <c r="F1964" s="23">
        <v>36</v>
      </c>
      <c r="G1964" s="23" t="s">
        <v>1663</v>
      </c>
      <c r="H1964" s="23" t="s">
        <v>1762</v>
      </c>
      <c r="I1964" s="23">
        <v>70</v>
      </c>
      <c r="J1964" s="53">
        <v>331.18</v>
      </c>
      <c r="K1964" s="53">
        <v>331.97</v>
      </c>
      <c r="L1964" s="53">
        <v>565.74</v>
      </c>
      <c r="M1964" s="54">
        <f t="shared" si="116"/>
        <v>1.7041901376630417</v>
      </c>
      <c r="N1964" s="24">
        <v>56</v>
      </c>
      <c r="O1964" s="55">
        <v>443.12</v>
      </c>
      <c r="P1964" s="56">
        <v>445.3</v>
      </c>
      <c r="Q1964" s="56">
        <v>758.88</v>
      </c>
      <c r="R1964" s="57">
        <f t="shared" si="129"/>
        <v>1.7041994161239613</v>
      </c>
      <c r="S1964" s="23">
        <v>76</v>
      </c>
      <c r="T1964" s="53">
        <v>423.46</v>
      </c>
      <c r="U1964" s="53">
        <v>428.84</v>
      </c>
      <c r="V1964" s="53">
        <v>730.83</v>
      </c>
      <c r="W1964" s="57">
        <f t="shared" si="130"/>
        <v>1.7042020333924077</v>
      </c>
      <c r="X1964" s="23">
        <v>76</v>
      </c>
      <c r="Y1964" s="53">
        <v>311.19</v>
      </c>
      <c r="Z1964" s="53">
        <v>317.94</v>
      </c>
      <c r="AA1964" s="53">
        <v>541.84</v>
      </c>
      <c r="AB1964" s="57">
        <f t="shared" si="131"/>
        <v>1.7042209221865763</v>
      </c>
      <c r="AC1964" s="47">
        <v>57</v>
      </c>
      <c r="AD1964" s="57">
        <v>311.82</v>
      </c>
      <c r="AE1964" s="57">
        <v>315.83999999999997</v>
      </c>
      <c r="AF1964" s="57">
        <v>538.25</v>
      </c>
      <c r="AG1964" s="57">
        <f t="shared" si="132"/>
        <v>1.7041856636271531</v>
      </c>
      <c r="AH1964" s="47">
        <v>95</v>
      </c>
      <c r="AI1964">
        <v>369.71</v>
      </c>
      <c r="AJ1964">
        <v>376.1</v>
      </c>
      <c r="AK1964">
        <v>640.95000000000005</v>
      </c>
      <c r="AL1964" s="57">
        <f t="shared" si="107"/>
        <v>1.7042010103695826</v>
      </c>
      <c r="AM1964" s="47">
        <v>91</v>
      </c>
      <c r="AN1964" s="57">
        <v>380.8</v>
      </c>
      <c r="AO1964" s="57">
        <v>384.3</v>
      </c>
      <c r="AP1964" s="57">
        <v>654.91999999999996</v>
      </c>
      <c r="AQ1964" s="57">
        <f t="shared" si="133"/>
        <v>1.7041894353369762</v>
      </c>
      <c r="AR1964" s="59">
        <v>1124</v>
      </c>
      <c r="AS1964" s="59">
        <f>SUMIFS(HIX_RatingAreas[Silver Enrollments 2018],HIX_RatingAreas[Area],HIX_SLCSP[[#This Row],[Area Code]])</f>
        <v>927</v>
      </c>
      <c r="AT1964" s="59">
        <f>SUMIFS(HIX_RatingAreas[Silver Enrollments 2019],HIX_RatingAreas[Area],HIX_SLCSP[[#This Row],[Area Code]])</f>
        <v>696</v>
      </c>
      <c r="AU1964" s="59">
        <f>SUMIFS(HIX_RatingAreas[Silver Enrollments 2020],HIX_RatingAreas[Area],HIX_SLCSP[[#This Row],[Area Code]])</f>
        <v>660</v>
      </c>
      <c r="AV1964" s="59">
        <f>SUMIFS(HIX_RatingAreas[Silver Enrollments 2021],HIX_RatingAreas[Area],HIX_SLCSP[[#This Row],[Area Code]])</f>
        <v>555</v>
      </c>
      <c r="AW1964" s="59">
        <f>SUMIFS(HIX_RatingAreas[Silver Enrollments 2022],HIX_RatingAreas[Area],HIX_SLCSP[[#This Row],[Area Code]])</f>
        <v>718</v>
      </c>
      <c r="AX1964" s="59">
        <f>SUMIFS(HIX_RatingAreas[Silver Enrollments 2023],HIX_RatingAreas[Area],HIX_SLCSP[[#This Row],[Area Code]])</f>
        <v>927</v>
      </c>
      <c r="AY1964" s="59">
        <f>SUMIFS(HIX_RatingAreas[Silver Enrollments 2024],HIX_RatingAreas[Area],HIX_SLCSP[[#This Row],[Area Code]])</f>
        <v>1716</v>
      </c>
      <c r="AZ1964" s="59">
        <v>1306</v>
      </c>
      <c r="BA1964">
        <f t="shared" si="122"/>
        <v>5.6330738208717028E-3</v>
      </c>
      <c r="BB1964">
        <f>SUMIFS(HIX_RatingAreas[QHP Enrollments 2018],HIX_RatingAreas[Area],HIX_SLCSP[[#This Row],[Area Code]])</f>
        <v>1258</v>
      </c>
      <c r="BC1964">
        <f t="shared" si="123"/>
        <v>5.8245324863530927E-3</v>
      </c>
      <c r="BD1964">
        <f>SUMIFS(HIX_RatingAreas[QHP Enrollments 2019],HIX_RatingAreas[Area],HIX_SLCSP[[#This Row],[Area Code]])</f>
        <v>1205</v>
      </c>
      <c r="BE1964">
        <f t="shared" si="124"/>
        <v>5.6057983959507994E-3</v>
      </c>
      <c r="BF1964">
        <f>SUMIFS(HIX_RatingAreas[QHP Enrollments 2020],HIX_RatingAreas[Area],HIX_SLCSP[[#This Row],[Area Code]])</f>
        <v>1332</v>
      </c>
      <c r="BG1964">
        <f t="shared" si="125"/>
        <v>6.2234266224361068E-3</v>
      </c>
      <c r="BH1964">
        <f>SUMIFS(HIX_RatingAreas[QHP Enrollments 2021],HIX_RatingAreas[Area],HIX_SLCSP[[#This Row],[Area Code]])</f>
        <v>1449</v>
      </c>
      <c r="BI1964">
        <f t="shared" si="126"/>
        <v>6.2986307324494678E-3</v>
      </c>
      <c r="BJ1964">
        <f>SUMIFS(HIX_RatingAreas[QHP Enrollments 2022],HIX_RatingAreas[Area],HIX_SLCSP[[#This Row],[Area Code]])</f>
        <v>1815</v>
      </c>
      <c r="BK1964">
        <f t="shared" si="127"/>
        <v>6.0421049828224454E-3</v>
      </c>
      <c r="BL1964">
        <f>SUMIFS(HIX_RatingAreas[QHP Enrollments 2023],HIX_RatingAreas[Area],HIX_SLCSP[[#This Row],[Area Code]])</f>
        <v>2368</v>
      </c>
      <c r="BM1964">
        <f t="shared" si="134"/>
        <v>6.1832842430699173E-3</v>
      </c>
      <c r="BN1964">
        <f>SUMIFS(HIX_RatingAreas[QHP Enrollments 2024],HIX_RatingAreas[Area],HIX_SLCSP[[#This Row],[Area Code]])</f>
        <v>3625</v>
      </c>
      <c r="BO1964">
        <f t="shared" si="128"/>
        <v>6.3465662887906508E-3</v>
      </c>
      <c r="BP1964" s="53">
        <f>ROUND(HIX_SLCSP[[#This Row],[Weighting Factor 2018]]*HIX_SLCSP[[#This Row],[2018]],2)</f>
        <v>1.93</v>
      </c>
      <c r="BQ1964" s="53">
        <f>ROUND(HIX_SLCSP[[#This Row],[Weighting Factor 2019]]*HIX_SLCSP[[#This Row],[2019]],2)</f>
        <v>2.5</v>
      </c>
      <c r="BR1964" s="53">
        <f>ROUND(HIX_SLCSP[[#This Row],[Weighting Factor 2020]]*HIX_SLCSP[[#This Row],[2020]],2)</f>
        <v>2.67</v>
      </c>
      <c r="BS1964" s="53">
        <f>ROUND(HIX_SLCSP[[#This Row],[Weighting Factor 2021]]*HIX_SLCSP[[#This Row],[2021]],2)</f>
        <v>2</v>
      </c>
      <c r="BT1964" s="53">
        <f>ROUND(HIX_SLCSP[[#This Row],[Weighting Factor 2022]]*HIX_SLCSP[[#This Row],[2022]],2)</f>
        <v>1.91</v>
      </c>
      <c r="BU1964" s="53">
        <f>ROUND(HIX_SLCSP[[#This Row],[Weighting Factor 2023]]*HIX_SLCSP[[#This Row],[2023]],2)</f>
        <v>2.33</v>
      </c>
      <c r="BV1964" s="53">
        <f>ROUND(HIX_SLCSP[[#This Row],[Weighting Factor 2024]]*HIX_SLCSP[[#This Row],[2024]],2)</f>
        <v>2.44</v>
      </c>
    </row>
    <row r="1965" spans="4:74" x14ac:dyDescent="0.35">
      <c r="D1965" t="s">
        <v>1662</v>
      </c>
      <c r="E1965" t="s">
        <v>663</v>
      </c>
      <c r="F1965" s="23">
        <v>37</v>
      </c>
      <c r="G1965" s="23" t="s">
        <v>1663</v>
      </c>
      <c r="H1965" s="23" t="s">
        <v>1765</v>
      </c>
      <c r="I1965" s="23">
        <v>70</v>
      </c>
      <c r="J1965" s="53">
        <v>358.77</v>
      </c>
      <c r="K1965" s="53">
        <v>359.63</v>
      </c>
      <c r="L1965" s="53">
        <v>612.89</v>
      </c>
      <c r="M1965" s="54">
        <f t="shared" si="116"/>
        <v>1.7042237855573783</v>
      </c>
      <c r="N1965" s="24">
        <v>56</v>
      </c>
      <c r="O1965" s="55">
        <v>480</v>
      </c>
      <c r="P1965" s="56">
        <v>482.37</v>
      </c>
      <c r="Q1965" s="56">
        <v>822.06</v>
      </c>
      <c r="R1965" s="57">
        <f t="shared" si="129"/>
        <v>1.7042104608495552</v>
      </c>
      <c r="S1965" s="23">
        <v>60</v>
      </c>
      <c r="T1965" s="53">
        <v>423.46</v>
      </c>
      <c r="U1965" s="53">
        <v>428.84</v>
      </c>
      <c r="V1965" s="53">
        <v>730.83</v>
      </c>
      <c r="W1965" s="57">
        <f t="shared" si="130"/>
        <v>1.7042020333924077</v>
      </c>
      <c r="X1965" s="23">
        <v>60</v>
      </c>
      <c r="Y1965" s="53">
        <v>298.75</v>
      </c>
      <c r="Z1965" s="53">
        <v>305.24</v>
      </c>
      <c r="AA1965" s="53">
        <v>520.19000000000005</v>
      </c>
      <c r="AB1965" s="57">
        <f t="shared" si="131"/>
        <v>1.7041999737911153</v>
      </c>
      <c r="AC1965" s="47">
        <v>8</v>
      </c>
      <c r="AD1965" s="57">
        <v>422.08</v>
      </c>
      <c r="AE1965" s="57">
        <v>422.08</v>
      </c>
      <c r="AF1965" s="57">
        <v>719.31</v>
      </c>
      <c r="AG1965" s="57">
        <f t="shared" si="132"/>
        <v>1.7042029946929491</v>
      </c>
      <c r="AH1965" s="47">
        <v>90</v>
      </c>
      <c r="AI1965">
        <v>361.45</v>
      </c>
      <c r="AJ1965">
        <v>364.19</v>
      </c>
      <c r="AK1965">
        <v>620.65</v>
      </c>
      <c r="AL1965" s="57">
        <f t="shared" si="107"/>
        <v>1.7041928663609653</v>
      </c>
      <c r="AM1965" s="47">
        <v>91</v>
      </c>
      <c r="AN1965" s="57">
        <v>379.16</v>
      </c>
      <c r="AO1965" s="57">
        <v>380.91</v>
      </c>
      <c r="AP1965" s="57">
        <v>649.14</v>
      </c>
      <c r="AQ1965" s="57">
        <f t="shared" si="133"/>
        <v>1.7041820902575411</v>
      </c>
      <c r="AR1965" s="59">
        <v>2603</v>
      </c>
      <c r="AS1965" s="59">
        <f>SUMIFS(HIX_RatingAreas[Silver Enrollments 2018],HIX_RatingAreas[Area],HIX_SLCSP[[#This Row],[Area Code]])</f>
        <v>1984</v>
      </c>
      <c r="AT1965" s="59">
        <f>SUMIFS(HIX_RatingAreas[Silver Enrollments 2019],HIX_RatingAreas[Area],HIX_SLCSP[[#This Row],[Area Code]])</f>
        <v>1563</v>
      </c>
      <c r="AU1965" s="59">
        <f>SUMIFS(HIX_RatingAreas[Silver Enrollments 2020],HIX_RatingAreas[Area],HIX_SLCSP[[#This Row],[Area Code]])</f>
        <v>1459</v>
      </c>
      <c r="AV1965" s="59">
        <f>SUMIFS(HIX_RatingAreas[Silver Enrollments 2021],HIX_RatingAreas[Area],HIX_SLCSP[[#This Row],[Area Code]])</f>
        <v>1411</v>
      </c>
      <c r="AW1965" s="59">
        <f>SUMIFS(HIX_RatingAreas[Silver Enrollments 2022],HIX_RatingAreas[Area],HIX_SLCSP[[#This Row],[Area Code]])</f>
        <v>1840</v>
      </c>
      <c r="AX1965" s="59">
        <f>SUMIFS(HIX_RatingAreas[Silver Enrollments 2023],HIX_RatingAreas[Area],HIX_SLCSP[[#This Row],[Area Code]])</f>
        <v>2137</v>
      </c>
      <c r="AY1965" s="59">
        <f>SUMIFS(HIX_RatingAreas[Silver Enrollments 2024],HIX_RatingAreas[Area],HIX_SLCSP[[#This Row],[Area Code]])</f>
        <v>3284</v>
      </c>
      <c r="AZ1965" s="59">
        <v>2975</v>
      </c>
      <c r="BA1965">
        <f t="shared" si="122"/>
        <v>1.2831848864543121E-2</v>
      </c>
      <c r="BB1965">
        <f>SUMIFS(HIX_RatingAreas[QHP Enrollments 2018],HIX_RatingAreas[Area],HIX_SLCSP[[#This Row],[Area Code]])</f>
        <v>2810</v>
      </c>
      <c r="BC1965">
        <f t="shared" si="123"/>
        <v>1.301028321673465E-2</v>
      </c>
      <c r="BD1965">
        <f>SUMIFS(HIX_RatingAreas[QHP Enrollments 2019],HIX_RatingAreas[Area],HIX_SLCSP[[#This Row],[Area Code]])</f>
        <v>2821</v>
      </c>
      <c r="BE1965">
        <f t="shared" si="124"/>
        <v>1.3123615995831705E-2</v>
      </c>
      <c r="BF1965">
        <f>SUMIFS(HIX_RatingAreas[QHP Enrollments 2020],HIX_RatingAreas[Area],HIX_SLCSP[[#This Row],[Area Code]])</f>
        <v>2968</v>
      </c>
      <c r="BG1965">
        <f t="shared" si="125"/>
        <v>1.3867214876419193E-2</v>
      </c>
      <c r="BH1965">
        <f>SUMIFS(HIX_RatingAreas[QHP Enrollments 2021],HIX_RatingAreas[Area],HIX_SLCSP[[#This Row],[Area Code]])</f>
        <v>3136</v>
      </c>
      <c r="BI1965">
        <f t="shared" si="126"/>
        <v>1.3631819169745707E-2</v>
      </c>
      <c r="BJ1965">
        <f>SUMIFS(HIX_RatingAreas[QHP Enrollments 2022],HIX_RatingAreas[Area],HIX_SLCSP[[#This Row],[Area Code]])</f>
        <v>4210</v>
      </c>
      <c r="BK1965">
        <f t="shared" si="127"/>
        <v>1.4015020373378786E-2</v>
      </c>
      <c r="BL1965">
        <f>SUMIFS(HIX_RatingAreas[QHP Enrollments 2023],HIX_RatingAreas[Area],HIX_SLCSP[[#This Row],[Area Code]])</f>
        <v>5350</v>
      </c>
      <c r="BM1965">
        <f t="shared" si="134"/>
        <v>1.3969835599841241E-2</v>
      </c>
      <c r="BN1965">
        <f>SUMIFS(HIX_RatingAreas[QHP Enrollments 2024],HIX_RatingAreas[Area],HIX_SLCSP[[#This Row],[Area Code]])</f>
        <v>7657</v>
      </c>
      <c r="BO1965">
        <f t="shared" si="128"/>
        <v>1.3405698778833108E-2</v>
      </c>
      <c r="BP1965" s="53">
        <f>ROUND(HIX_SLCSP[[#This Row],[Weighting Factor 2018]]*HIX_SLCSP[[#This Row],[2018]],2)</f>
        <v>4.68</v>
      </c>
      <c r="BQ1965" s="53">
        <f>ROUND(HIX_SLCSP[[#This Row],[Weighting Factor 2019]]*HIX_SLCSP[[#This Row],[2019]],2)</f>
        <v>6.33</v>
      </c>
      <c r="BR1965" s="53">
        <f>ROUND(HIX_SLCSP[[#This Row],[Weighting Factor 2020]]*HIX_SLCSP[[#This Row],[2020]],2)</f>
        <v>5.95</v>
      </c>
      <c r="BS1965" s="53">
        <f>ROUND(HIX_SLCSP[[#This Row],[Weighting Factor 2021]]*HIX_SLCSP[[#This Row],[2021]],2)</f>
        <v>4.16</v>
      </c>
      <c r="BT1965" s="53">
        <f>ROUND(HIX_SLCSP[[#This Row],[Weighting Factor 2022]]*HIX_SLCSP[[#This Row],[2022]],2)</f>
        <v>5.92</v>
      </c>
      <c r="BU1965" s="53">
        <f>ROUND(HIX_SLCSP[[#This Row],[Weighting Factor 2023]]*HIX_SLCSP[[#This Row],[2023]],2)</f>
        <v>5.09</v>
      </c>
      <c r="BV1965" s="53">
        <f>ROUND(HIX_SLCSP[[#This Row],[Weighting Factor 2024]]*HIX_SLCSP[[#This Row],[2024]],2)</f>
        <v>5.1100000000000003</v>
      </c>
    </row>
    <row r="1966" spans="4:74" x14ac:dyDescent="0.35">
      <c r="D1966" t="s">
        <v>1662</v>
      </c>
      <c r="E1966" t="s">
        <v>667</v>
      </c>
      <c r="F1966" s="23">
        <v>38</v>
      </c>
      <c r="G1966" s="23" t="s">
        <v>1663</v>
      </c>
      <c r="H1966" s="23" t="s">
        <v>1767</v>
      </c>
      <c r="I1966" s="23">
        <v>70</v>
      </c>
      <c r="J1966" s="53">
        <v>320.10000000000002</v>
      </c>
      <c r="K1966" s="53">
        <v>320.87</v>
      </c>
      <c r="L1966" s="53">
        <v>546.83000000000004</v>
      </c>
      <c r="M1966" s="54">
        <f t="shared" si="116"/>
        <v>1.7042104278991492</v>
      </c>
      <c r="N1966" s="24">
        <v>56</v>
      </c>
      <c r="O1966" s="55">
        <v>428.18</v>
      </c>
      <c r="P1966" s="56">
        <v>430.29</v>
      </c>
      <c r="Q1966" s="56">
        <v>733.3</v>
      </c>
      <c r="R1966" s="57">
        <f t="shared" si="129"/>
        <v>1.7041994933649398</v>
      </c>
      <c r="S1966" s="23">
        <v>120</v>
      </c>
      <c r="T1966" s="53">
        <v>354.59</v>
      </c>
      <c r="U1966" s="53">
        <v>366.11</v>
      </c>
      <c r="V1966" s="53">
        <v>623.92999999999995</v>
      </c>
      <c r="W1966" s="57">
        <f t="shared" si="130"/>
        <v>1.7042145803173907</v>
      </c>
      <c r="X1966" s="23">
        <v>120</v>
      </c>
      <c r="Y1966" s="53">
        <v>277.02999999999997</v>
      </c>
      <c r="Z1966" s="53">
        <v>283.04000000000002</v>
      </c>
      <c r="AA1966" s="53">
        <v>482.36</v>
      </c>
      <c r="AB1966" s="57">
        <f t="shared" si="131"/>
        <v>1.7042114188807236</v>
      </c>
      <c r="AC1966" s="47">
        <v>28</v>
      </c>
      <c r="AD1966" s="57">
        <v>339.76</v>
      </c>
      <c r="AE1966" s="57">
        <v>339.76</v>
      </c>
      <c r="AF1966" s="57">
        <v>579.02</v>
      </c>
      <c r="AG1966" s="57">
        <f t="shared" si="132"/>
        <v>1.7042029668000942</v>
      </c>
      <c r="AH1966" s="47">
        <v>102</v>
      </c>
      <c r="AI1966">
        <v>338.21</v>
      </c>
      <c r="AJ1966">
        <v>340.77</v>
      </c>
      <c r="AK1966">
        <v>580.74</v>
      </c>
      <c r="AL1966" s="57">
        <f t="shared" si="107"/>
        <v>1.7041993133198345</v>
      </c>
      <c r="AM1966" s="47">
        <v>123</v>
      </c>
      <c r="AN1966" s="57">
        <v>353.33</v>
      </c>
      <c r="AO1966" s="57">
        <v>354.96</v>
      </c>
      <c r="AP1966" s="57">
        <v>604.91999999999996</v>
      </c>
      <c r="AQ1966" s="57">
        <f t="shared" si="133"/>
        <v>1.7041920216362407</v>
      </c>
      <c r="AR1966" s="59">
        <v>3526</v>
      </c>
      <c r="AS1966" s="59">
        <f>SUMIFS(HIX_RatingAreas[Silver Enrollments 2018],HIX_RatingAreas[Area],HIX_SLCSP[[#This Row],[Area Code]])</f>
        <v>2802</v>
      </c>
      <c r="AT1966" s="59">
        <f>SUMIFS(HIX_RatingAreas[Silver Enrollments 2019],HIX_RatingAreas[Area],HIX_SLCSP[[#This Row],[Area Code]])</f>
        <v>2348</v>
      </c>
      <c r="AU1966" s="59">
        <f>SUMIFS(HIX_RatingAreas[Silver Enrollments 2020],HIX_RatingAreas[Area],HIX_SLCSP[[#This Row],[Area Code]])</f>
        <v>1735</v>
      </c>
      <c r="AV1966" s="59">
        <f>SUMIFS(HIX_RatingAreas[Silver Enrollments 2021],HIX_RatingAreas[Area],HIX_SLCSP[[#This Row],[Area Code]])</f>
        <v>1521</v>
      </c>
      <c r="AW1966" s="59">
        <f>SUMIFS(HIX_RatingAreas[Silver Enrollments 2022],HIX_RatingAreas[Area],HIX_SLCSP[[#This Row],[Area Code]])</f>
        <v>1958</v>
      </c>
      <c r="AX1966" s="59">
        <f>SUMIFS(HIX_RatingAreas[Silver Enrollments 2023],HIX_RatingAreas[Area],HIX_SLCSP[[#This Row],[Area Code]])</f>
        <v>3006</v>
      </c>
      <c r="AY1966" s="59">
        <f>SUMIFS(HIX_RatingAreas[Silver Enrollments 2024],HIX_RatingAreas[Area],HIX_SLCSP[[#This Row],[Area Code]])</f>
        <v>5090</v>
      </c>
      <c r="AZ1966" s="59">
        <v>3997</v>
      </c>
      <c r="BA1966">
        <f t="shared" si="122"/>
        <v>1.7239966356833229E-2</v>
      </c>
      <c r="BB1966">
        <f>SUMIFS(HIX_RatingAreas[QHP Enrollments 2018],HIX_RatingAreas[Area],HIX_SLCSP[[#This Row],[Area Code]])</f>
        <v>3723</v>
      </c>
      <c r="BC1966">
        <f t="shared" si="123"/>
        <v>1.7237467763666584E-2</v>
      </c>
      <c r="BD1966">
        <f>SUMIFS(HIX_RatingAreas[QHP Enrollments 2019],HIX_RatingAreas[Area],HIX_SLCSP[[#This Row],[Area Code]])</f>
        <v>3608</v>
      </c>
      <c r="BE1966">
        <f t="shared" si="124"/>
        <v>1.6784830383892519E-2</v>
      </c>
      <c r="BF1966">
        <f>SUMIFS(HIX_RatingAreas[QHP Enrollments 2020],HIX_RatingAreas[Area],HIX_SLCSP[[#This Row],[Area Code]])</f>
        <v>3288</v>
      </c>
      <c r="BG1966">
        <f t="shared" si="125"/>
        <v>1.5362332383310751E-2</v>
      </c>
      <c r="BH1966">
        <f>SUMIFS(HIX_RatingAreas[QHP Enrollments 2021],HIX_RatingAreas[Area],HIX_SLCSP[[#This Row],[Area Code]])</f>
        <v>3365</v>
      </c>
      <c r="BI1966">
        <f t="shared" si="126"/>
        <v>1.4627254944577266E-2</v>
      </c>
      <c r="BJ1966">
        <f>SUMIFS(HIX_RatingAreas[QHP Enrollments 2022],HIX_RatingAreas[Area],HIX_SLCSP[[#This Row],[Area Code]])</f>
        <v>4508</v>
      </c>
      <c r="BK1966">
        <f t="shared" si="127"/>
        <v>1.5007057444938613E-2</v>
      </c>
      <c r="BL1966">
        <f>SUMIFS(HIX_RatingAreas[QHP Enrollments 2023],HIX_RatingAreas[Area],HIX_SLCSP[[#This Row],[Area Code]])</f>
        <v>5944</v>
      </c>
      <c r="BM1966">
        <f t="shared" si="134"/>
        <v>1.5520879029057258E-2</v>
      </c>
      <c r="BN1966">
        <f>SUMIFS(HIX_RatingAreas[QHP Enrollments 2024],HIX_RatingAreas[Area],HIX_SLCSP[[#This Row],[Area Code]])</f>
        <v>10389</v>
      </c>
      <c r="BO1966">
        <f t="shared" si="128"/>
        <v>1.8188821289447193E-2</v>
      </c>
      <c r="BP1966" s="53">
        <f>ROUND(HIX_SLCSP[[#This Row],[Weighting Factor 2018]]*HIX_SLCSP[[#This Row],[2018]],2)</f>
        <v>5.53</v>
      </c>
      <c r="BQ1966" s="53">
        <f>ROUND(HIX_SLCSP[[#This Row],[Weighting Factor 2019]]*HIX_SLCSP[[#This Row],[2019]],2)</f>
        <v>7.22</v>
      </c>
      <c r="BR1966" s="53">
        <f>ROUND(HIX_SLCSP[[#This Row],[Weighting Factor 2020]]*HIX_SLCSP[[#This Row],[2020]],2)</f>
        <v>5.62</v>
      </c>
      <c r="BS1966" s="53">
        <f>ROUND(HIX_SLCSP[[#This Row],[Weighting Factor 2021]]*HIX_SLCSP[[#This Row],[2021]],2)</f>
        <v>4.1399999999999997</v>
      </c>
      <c r="BT1966" s="53">
        <f>ROUND(HIX_SLCSP[[#This Row],[Weighting Factor 2022]]*HIX_SLCSP[[#This Row],[2022]],2)</f>
        <v>5.0999999999999996</v>
      </c>
      <c r="BU1966" s="53">
        <f>ROUND(HIX_SLCSP[[#This Row],[Weighting Factor 2023]]*HIX_SLCSP[[#This Row],[2023]],2)</f>
        <v>5.29</v>
      </c>
      <c r="BV1966" s="53">
        <f>ROUND(HIX_SLCSP[[#This Row],[Weighting Factor 2024]]*HIX_SLCSP[[#This Row],[2024]],2)</f>
        <v>6.46</v>
      </c>
    </row>
    <row r="1967" spans="4:74" x14ac:dyDescent="0.35">
      <c r="D1967" t="s">
        <v>1662</v>
      </c>
      <c r="E1967" t="s">
        <v>671</v>
      </c>
      <c r="F1967" s="23">
        <v>39</v>
      </c>
      <c r="G1967" s="23" t="s">
        <v>1663</v>
      </c>
      <c r="H1967" s="23" t="s">
        <v>1770</v>
      </c>
      <c r="I1967" s="23">
        <v>70</v>
      </c>
      <c r="J1967" s="53">
        <v>352.3</v>
      </c>
      <c r="K1967" s="53">
        <v>353.14</v>
      </c>
      <c r="L1967" s="53">
        <v>601.83000000000004</v>
      </c>
      <c r="M1967" s="54">
        <f t="shared" si="116"/>
        <v>1.7042249532763212</v>
      </c>
      <c r="N1967" s="24">
        <v>56</v>
      </c>
      <c r="O1967" s="55">
        <v>471.4</v>
      </c>
      <c r="P1967" s="56">
        <v>473.73</v>
      </c>
      <c r="Q1967" s="56">
        <v>807.33</v>
      </c>
      <c r="R1967" s="57">
        <f t="shared" si="129"/>
        <v>1.7041985941359001</v>
      </c>
      <c r="S1967" s="23">
        <v>78</v>
      </c>
      <c r="T1967" s="53">
        <v>403.87</v>
      </c>
      <c r="U1967" s="53">
        <v>434.15</v>
      </c>
      <c r="V1967" s="53">
        <v>739.88</v>
      </c>
      <c r="W1967" s="57">
        <f t="shared" si="130"/>
        <v>1.7042036162616607</v>
      </c>
      <c r="X1967" s="23">
        <v>78</v>
      </c>
      <c r="Y1967" s="53">
        <v>316.7</v>
      </c>
      <c r="Z1967" s="53">
        <v>323.57</v>
      </c>
      <c r="AA1967" s="53">
        <v>551.42999999999995</v>
      </c>
      <c r="AB1967" s="57">
        <f t="shared" si="131"/>
        <v>1.7042061995858699</v>
      </c>
      <c r="AC1967" s="47">
        <v>73</v>
      </c>
      <c r="AD1967" s="57">
        <v>318.47000000000003</v>
      </c>
      <c r="AE1967" s="57">
        <v>322.57</v>
      </c>
      <c r="AF1967" s="57">
        <v>549.73</v>
      </c>
      <c r="AG1967" s="57">
        <f t="shared" si="132"/>
        <v>1.7042192392348949</v>
      </c>
      <c r="AH1967" s="47">
        <v>94</v>
      </c>
      <c r="AI1967">
        <v>392.44</v>
      </c>
      <c r="AJ1967">
        <v>395.41</v>
      </c>
      <c r="AK1967">
        <v>673.85</v>
      </c>
      <c r="AL1967" s="57">
        <f t="shared" si="107"/>
        <v>1.704180470903619</v>
      </c>
      <c r="AM1967" s="47">
        <v>115</v>
      </c>
      <c r="AN1967" s="57">
        <v>392.65</v>
      </c>
      <c r="AO1967" s="57">
        <v>394.46</v>
      </c>
      <c r="AP1967" s="57">
        <v>672.24</v>
      </c>
      <c r="AQ1967" s="57">
        <f t="shared" si="133"/>
        <v>1.7042032145211177</v>
      </c>
      <c r="AR1967" s="59">
        <v>4809</v>
      </c>
      <c r="AS1967" s="59">
        <f>SUMIFS(HIX_RatingAreas[Silver Enrollments 2018],HIX_RatingAreas[Area],HIX_SLCSP[[#This Row],[Area Code]])</f>
        <v>3756</v>
      </c>
      <c r="AT1967" s="59">
        <f>SUMIFS(HIX_RatingAreas[Silver Enrollments 2019],HIX_RatingAreas[Area],HIX_SLCSP[[#This Row],[Area Code]])</f>
        <v>2968</v>
      </c>
      <c r="AU1967" s="59">
        <f>SUMIFS(HIX_RatingAreas[Silver Enrollments 2020],HIX_RatingAreas[Area],HIX_SLCSP[[#This Row],[Area Code]])</f>
        <v>2546</v>
      </c>
      <c r="AV1967" s="59">
        <f>SUMIFS(HIX_RatingAreas[Silver Enrollments 2021],HIX_RatingAreas[Area],HIX_SLCSP[[#This Row],[Area Code]])</f>
        <v>2542</v>
      </c>
      <c r="AW1967" s="59">
        <f>SUMIFS(HIX_RatingAreas[Silver Enrollments 2022],HIX_RatingAreas[Area],HIX_SLCSP[[#This Row],[Area Code]])</f>
        <v>2963</v>
      </c>
      <c r="AX1967" s="59">
        <f>SUMIFS(HIX_RatingAreas[Silver Enrollments 2023],HIX_RatingAreas[Area],HIX_SLCSP[[#This Row],[Area Code]])</f>
        <v>3578</v>
      </c>
      <c r="AY1967" s="59">
        <f>SUMIFS(HIX_RatingAreas[Silver Enrollments 2024],HIX_RatingAreas[Area],HIX_SLCSP[[#This Row],[Area Code]])</f>
        <v>5054</v>
      </c>
      <c r="AZ1967" s="59">
        <v>5388</v>
      </c>
      <c r="BA1967">
        <f t="shared" si="122"/>
        <v>2.3239664430977594E-2</v>
      </c>
      <c r="BB1967">
        <f>SUMIFS(HIX_RatingAreas[QHP Enrollments 2018],HIX_RatingAreas[Area],HIX_SLCSP[[#This Row],[Area Code]])</f>
        <v>5057</v>
      </c>
      <c r="BC1967">
        <f t="shared" si="123"/>
        <v>2.3413879796095063E-2</v>
      </c>
      <c r="BD1967">
        <f>SUMIFS(HIX_RatingAreas[QHP Enrollments 2019],HIX_RatingAreas[Area],HIX_SLCSP[[#This Row],[Area Code]])</f>
        <v>4929</v>
      </c>
      <c r="BE1967">
        <f t="shared" si="124"/>
        <v>2.2930274102607045E-2</v>
      </c>
      <c r="BF1967">
        <f>SUMIFS(HIX_RatingAreas[QHP Enrollments 2020],HIX_RatingAreas[Area],HIX_SLCSP[[#This Row],[Area Code]])</f>
        <v>5021</v>
      </c>
      <c r="BG1967">
        <f t="shared" si="125"/>
        <v>2.3459328131570339E-2</v>
      </c>
      <c r="BH1967">
        <f>SUMIFS(HIX_RatingAreas[QHP Enrollments 2021],HIX_RatingAreas[Area],HIX_SLCSP[[#This Row],[Area Code]])</f>
        <v>5458</v>
      </c>
      <c r="BI1967">
        <f t="shared" si="126"/>
        <v>2.372527711367094E-2</v>
      </c>
      <c r="BJ1967">
        <f>SUMIFS(HIX_RatingAreas[QHP Enrollments 2022],HIX_RatingAreas[Area],HIX_SLCSP[[#This Row],[Area Code]])</f>
        <v>7048</v>
      </c>
      <c r="BK1967">
        <f t="shared" si="127"/>
        <v>2.3462675437428426E-2</v>
      </c>
      <c r="BL1967">
        <f>SUMIFS(HIX_RatingAreas[QHP Enrollments 2023],HIX_RatingAreas[Area],HIX_SLCSP[[#This Row],[Area Code]])</f>
        <v>8554</v>
      </c>
      <c r="BM1967">
        <f t="shared" si="134"/>
        <v>2.2336069854400366E-2</v>
      </c>
      <c r="BN1967">
        <f>SUMIFS(HIX_RatingAreas[QHP Enrollments 2024],HIX_RatingAreas[Area],HIX_SLCSP[[#This Row],[Area Code]])</f>
        <v>11659</v>
      </c>
      <c r="BO1967">
        <f t="shared" si="128"/>
        <v>2.0412307961657987E-2</v>
      </c>
      <c r="BP1967" s="53">
        <f>ROUND(HIX_SLCSP[[#This Row],[Weighting Factor 2018]]*HIX_SLCSP[[#This Row],[2018]],2)</f>
        <v>8.27</v>
      </c>
      <c r="BQ1967" s="53">
        <f>ROUND(HIX_SLCSP[[#This Row],[Weighting Factor 2019]]*HIX_SLCSP[[#This Row],[2019]],2)</f>
        <v>10.86</v>
      </c>
      <c r="BR1967" s="53">
        <f>ROUND(HIX_SLCSP[[#This Row],[Weighting Factor 2020]]*HIX_SLCSP[[#This Row],[2020]],2)</f>
        <v>10.18</v>
      </c>
      <c r="BS1967" s="53">
        <f>ROUND(HIX_SLCSP[[#This Row],[Weighting Factor 2021]]*HIX_SLCSP[[#This Row],[2021]],2)</f>
        <v>7.68</v>
      </c>
      <c r="BT1967" s="53">
        <f>ROUND(HIX_SLCSP[[#This Row],[Weighting Factor 2022]]*HIX_SLCSP[[#This Row],[2022]],2)</f>
        <v>7.57</v>
      </c>
      <c r="BU1967" s="53">
        <f>ROUND(HIX_SLCSP[[#This Row],[Weighting Factor 2023]]*HIX_SLCSP[[#This Row],[2023]],2)</f>
        <v>8.83</v>
      </c>
      <c r="BV1967" s="53">
        <f>ROUND(HIX_SLCSP[[#This Row],[Weighting Factor 2024]]*HIX_SLCSP[[#This Row],[2024]],2)</f>
        <v>8.0500000000000007</v>
      </c>
    </row>
    <row r="1968" spans="4:74" x14ac:dyDescent="0.35">
      <c r="D1968" t="s">
        <v>1662</v>
      </c>
      <c r="E1968" t="s">
        <v>674</v>
      </c>
      <c r="F1968" s="23">
        <v>40</v>
      </c>
      <c r="G1968" s="23" t="s">
        <v>1663</v>
      </c>
      <c r="H1968" s="23" t="s">
        <v>1772</v>
      </c>
      <c r="I1968" s="23">
        <v>70</v>
      </c>
      <c r="J1968" s="53">
        <v>367.97</v>
      </c>
      <c r="K1968" s="53">
        <v>368.86</v>
      </c>
      <c r="L1968" s="53">
        <v>628.6</v>
      </c>
      <c r="M1968" s="54">
        <f t="shared" si="116"/>
        <v>1.7041696036436589</v>
      </c>
      <c r="N1968" s="24">
        <v>56</v>
      </c>
      <c r="O1968" s="55">
        <v>492.23</v>
      </c>
      <c r="P1968" s="56">
        <v>494.65</v>
      </c>
      <c r="Q1968" s="56">
        <v>842.99</v>
      </c>
      <c r="R1968" s="57">
        <f t="shared" si="129"/>
        <v>1.7042151015869809</v>
      </c>
      <c r="S1968" s="23">
        <v>78</v>
      </c>
      <c r="T1968" s="53">
        <v>468.81</v>
      </c>
      <c r="U1968" s="53">
        <v>474.77</v>
      </c>
      <c r="V1968" s="53">
        <v>809.11</v>
      </c>
      <c r="W1968" s="57">
        <f t="shared" si="130"/>
        <v>1.7042146723676728</v>
      </c>
      <c r="X1968" s="23">
        <v>78</v>
      </c>
      <c r="Y1968" s="53">
        <v>339.84</v>
      </c>
      <c r="Z1968" s="53">
        <v>347.21</v>
      </c>
      <c r="AA1968" s="53">
        <v>591.72</v>
      </c>
      <c r="AB1968" s="57">
        <f t="shared" si="131"/>
        <v>1.7042135883183089</v>
      </c>
      <c r="AC1968" s="47">
        <v>57</v>
      </c>
      <c r="AD1968" s="57">
        <v>333.63</v>
      </c>
      <c r="AE1968" s="57">
        <v>337.93</v>
      </c>
      <c r="AF1968" s="57">
        <v>575.9</v>
      </c>
      <c r="AG1968" s="57">
        <f t="shared" si="132"/>
        <v>1.7041990944870238</v>
      </c>
      <c r="AH1968" s="47">
        <v>106</v>
      </c>
      <c r="AI1968">
        <v>398.48</v>
      </c>
      <c r="AJ1968">
        <v>401.5</v>
      </c>
      <c r="AK1968">
        <v>684.24</v>
      </c>
      <c r="AL1968" s="57">
        <f t="shared" si="107"/>
        <v>1.7042092154420923</v>
      </c>
      <c r="AM1968" s="47">
        <v>115</v>
      </c>
      <c r="AN1968" s="57">
        <v>394.58</v>
      </c>
      <c r="AO1968" s="57">
        <v>396.4</v>
      </c>
      <c r="AP1968" s="57">
        <v>675.54</v>
      </c>
      <c r="AQ1968" s="57">
        <f t="shared" si="133"/>
        <v>1.7041876892028254</v>
      </c>
      <c r="AR1968" s="59">
        <v>14579</v>
      </c>
      <c r="AS1968" s="59">
        <f>SUMIFS(HIX_RatingAreas[Silver Enrollments 2018],HIX_RatingAreas[Area],HIX_SLCSP[[#This Row],[Area Code]])</f>
        <v>11146</v>
      </c>
      <c r="AT1968" s="59">
        <f>SUMIFS(HIX_RatingAreas[Silver Enrollments 2019],HIX_RatingAreas[Area],HIX_SLCSP[[#This Row],[Area Code]])</f>
        <v>8888</v>
      </c>
      <c r="AU1968" s="59">
        <f>SUMIFS(HIX_RatingAreas[Silver Enrollments 2020],HIX_RatingAreas[Area],HIX_SLCSP[[#This Row],[Area Code]])</f>
        <v>8095</v>
      </c>
      <c r="AV1968" s="59">
        <f>SUMIFS(HIX_RatingAreas[Silver Enrollments 2021],HIX_RatingAreas[Area],HIX_SLCSP[[#This Row],[Area Code]])</f>
        <v>8451</v>
      </c>
      <c r="AW1968" s="59">
        <f>SUMIFS(HIX_RatingAreas[Silver Enrollments 2022],HIX_RatingAreas[Area],HIX_SLCSP[[#This Row],[Area Code]])</f>
        <v>9732</v>
      </c>
      <c r="AX1968" s="59">
        <f>SUMIFS(HIX_RatingAreas[Silver Enrollments 2023],HIX_RatingAreas[Area],HIX_SLCSP[[#This Row],[Area Code]])</f>
        <v>12564</v>
      </c>
      <c r="AY1968" s="59">
        <f>SUMIFS(HIX_RatingAreas[Silver Enrollments 2024],HIX_RatingAreas[Area],HIX_SLCSP[[#This Row],[Area Code]])</f>
        <v>17101</v>
      </c>
      <c r="AZ1968" s="59">
        <v>18171</v>
      </c>
      <c r="BA1968">
        <f t="shared" si="122"/>
        <v>7.8375638896676661E-2</v>
      </c>
      <c r="BB1968">
        <f>SUMIFS(HIX_RatingAreas[QHP Enrollments 2018],HIX_RatingAreas[Area],HIX_SLCSP[[#This Row],[Area Code]])</f>
        <v>15951</v>
      </c>
      <c r="BC1968">
        <f t="shared" si="123"/>
        <v>7.3853034729585196E-2</v>
      </c>
      <c r="BD1968">
        <f>SUMIFS(HIX_RatingAreas[QHP Enrollments 2019],HIX_RatingAreas[Area],HIX_SLCSP[[#This Row],[Area Code]])</f>
        <v>15599</v>
      </c>
      <c r="BE1968">
        <f t="shared" si="124"/>
        <v>7.2568339567167239E-2</v>
      </c>
      <c r="BF1968">
        <f>SUMIFS(HIX_RatingAreas[QHP Enrollments 2020],HIX_RatingAreas[Area],HIX_SLCSP[[#This Row],[Area Code]])</f>
        <v>15627</v>
      </c>
      <c r="BG1968">
        <f t="shared" si="125"/>
        <v>7.3013129000607385E-2</v>
      </c>
      <c r="BH1968">
        <f>SUMIFS(HIX_RatingAreas[QHP Enrollments 2021],HIX_RatingAreas[Area],HIX_SLCSP[[#This Row],[Area Code]])</f>
        <v>17706</v>
      </c>
      <c r="BI1968">
        <f t="shared" si="126"/>
        <v>7.6965876983264514E-2</v>
      </c>
      <c r="BJ1968">
        <f>SUMIFS(HIX_RatingAreas[QHP Enrollments 2022],HIX_RatingAreas[Area],HIX_SLCSP[[#This Row],[Area Code]])</f>
        <v>22898</v>
      </c>
      <c r="BK1968">
        <f t="shared" si="127"/>
        <v>7.6227063303949502E-2</v>
      </c>
      <c r="BL1968">
        <f>SUMIFS(HIX_RatingAreas[QHP Enrollments 2023],HIX_RatingAreas[Area],HIX_SLCSP[[#This Row],[Area Code]])</f>
        <v>28570</v>
      </c>
      <c r="BM1968">
        <f t="shared" si="134"/>
        <v>7.4601533287376495E-2</v>
      </c>
      <c r="BN1968">
        <f>SUMIFS(HIX_RatingAreas[QHP Enrollments 2024],HIX_RatingAreas[Area],HIX_SLCSP[[#This Row],[Area Code]])</f>
        <v>42909</v>
      </c>
      <c r="BO1968">
        <f t="shared" si="128"/>
        <v>7.512408631330153E-2</v>
      </c>
      <c r="BP1968" s="53">
        <f>ROUND(HIX_SLCSP[[#This Row],[Weighting Factor 2018]]*HIX_SLCSP[[#This Row],[2018]],2)</f>
        <v>27.24</v>
      </c>
      <c r="BQ1968" s="53">
        <f>ROUND(HIX_SLCSP[[#This Row],[Weighting Factor 2019]]*HIX_SLCSP[[#This Row],[2019]],2)</f>
        <v>35.9</v>
      </c>
      <c r="BR1968" s="53">
        <f>ROUND(HIX_SLCSP[[#This Row],[Weighting Factor 2020]]*HIX_SLCSP[[#This Row],[2020]],2)</f>
        <v>34.659999999999997</v>
      </c>
      <c r="BS1968" s="53">
        <f>ROUND(HIX_SLCSP[[#This Row],[Weighting Factor 2021]]*HIX_SLCSP[[#This Row],[2021]],2)</f>
        <v>26.72</v>
      </c>
      <c r="BT1968" s="53">
        <f>ROUND(HIX_SLCSP[[#This Row],[Weighting Factor 2022]]*HIX_SLCSP[[#This Row],[2022]],2)</f>
        <v>25.76</v>
      </c>
      <c r="BU1968" s="53">
        <f>ROUND(HIX_SLCSP[[#This Row],[Weighting Factor 2023]]*HIX_SLCSP[[#This Row],[2023]],2)</f>
        <v>29.95</v>
      </c>
      <c r="BV1968" s="53">
        <f>ROUND(HIX_SLCSP[[#This Row],[Weighting Factor 2024]]*HIX_SLCSP[[#This Row],[2024]],2)</f>
        <v>29.78</v>
      </c>
    </row>
    <row r="1969" spans="4:74" x14ac:dyDescent="0.35">
      <c r="D1969" t="s">
        <v>1662</v>
      </c>
      <c r="E1969" t="s">
        <v>678</v>
      </c>
      <c r="F1969" s="23">
        <v>41</v>
      </c>
      <c r="G1969" s="23" t="s">
        <v>1663</v>
      </c>
      <c r="H1969" s="23" t="s">
        <v>1775</v>
      </c>
      <c r="I1969" s="23">
        <v>70</v>
      </c>
      <c r="J1969" s="53">
        <v>327.94</v>
      </c>
      <c r="K1969" s="53">
        <v>328.73</v>
      </c>
      <c r="L1969" s="53">
        <v>560.21</v>
      </c>
      <c r="M1969" s="54">
        <f t="shared" si="116"/>
        <v>1.7041645119094697</v>
      </c>
      <c r="N1969" s="24">
        <v>56</v>
      </c>
      <c r="O1969" s="55">
        <v>438.82</v>
      </c>
      <c r="P1969" s="56">
        <v>440.98</v>
      </c>
      <c r="Q1969" s="56">
        <v>751.52</v>
      </c>
      <c r="R1969" s="57">
        <f t="shared" si="129"/>
        <v>1.7042042723025987</v>
      </c>
      <c r="S1969" s="23">
        <v>76</v>
      </c>
      <c r="T1969" s="53">
        <v>381.11</v>
      </c>
      <c r="U1969" s="53">
        <v>393.49</v>
      </c>
      <c r="V1969" s="53">
        <v>670.59</v>
      </c>
      <c r="W1969" s="57">
        <f t="shared" si="130"/>
        <v>1.7042110345879184</v>
      </c>
      <c r="X1969" s="23">
        <v>76</v>
      </c>
      <c r="Y1969" s="53">
        <v>287.58</v>
      </c>
      <c r="Z1969" s="53">
        <v>293.82</v>
      </c>
      <c r="AA1969" s="53">
        <v>500.73</v>
      </c>
      <c r="AB1969" s="57">
        <f t="shared" si="131"/>
        <v>1.7042066571370227</v>
      </c>
      <c r="AC1969" s="47">
        <v>57</v>
      </c>
      <c r="AD1969" s="57">
        <v>284.91000000000003</v>
      </c>
      <c r="AE1969" s="57">
        <v>288.58</v>
      </c>
      <c r="AF1969" s="57">
        <v>491.79</v>
      </c>
      <c r="AG1969" s="57">
        <f t="shared" si="132"/>
        <v>1.7041721533023773</v>
      </c>
      <c r="AH1969" s="47">
        <v>94</v>
      </c>
      <c r="AI1969">
        <v>358.8</v>
      </c>
      <c r="AJ1969">
        <v>361.52</v>
      </c>
      <c r="AK1969">
        <v>616.1</v>
      </c>
      <c r="AL1969" s="57">
        <f t="shared" ref="AL1969:AL2030" si="135">AK1969/AJ1969</f>
        <v>1.7041934056207126</v>
      </c>
      <c r="AM1969" s="47">
        <v>91</v>
      </c>
      <c r="AN1969" s="57">
        <v>362.58</v>
      </c>
      <c r="AO1969" s="57">
        <v>364.25</v>
      </c>
      <c r="AP1969" s="57">
        <v>620.76</v>
      </c>
      <c r="AQ1969" s="57">
        <f t="shared" si="133"/>
        <v>1.7042141386410432</v>
      </c>
      <c r="AR1969" s="59">
        <v>604</v>
      </c>
      <c r="AS1969" s="59">
        <f>SUMIFS(HIX_RatingAreas[Silver Enrollments 2018],HIX_RatingAreas[Area],HIX_SLCSP[[#This Row],[Area Code]])</f>
        <v>470</v>
      </c>
      <c r="AT1969" s="59">
        <f>SUMIFS(HIX_RatingAreas[Silver Enrollments 2019],HIX_RatingAreas[Area],HIX_SLCSP[[#This Row],[Area Code]])</f>
        <v>416</v>
      </c>
      <c r="AU1969" s="59">
        <f>SUMIFS(HIX_RatingAreas[Silver Enrollments 2020],HIX_RatingAreas[Area],HIX_SLCSP[[#This Row],[Area Code]])</f>
        <v>307</v>
      </c>
      <c r="AV1969" s="59">
        <f>SUMIFS(HIX_RatingAreas[Silver Enrollments 2021],HIX_RatingAreas[Area],HIX_SLCSP[[#This Row],[Area Code]])</f>
        <v>289</v>
      </c>
      <c r="AW1969" s="59">
        <f>SUMIFS(HIX_RatingAreas[Silver Enrollments 2022],HIX_RatingAreas[Area],HIX_SLCSP[[#This Row],[Area Code]])</f>
        <v>428</v>
      </c>
      <c r="AX1969" s="59">
        <f>SUMIFS(HIX_RatingAreas[Silver Enrollments 2023],HIX_RatingAreas[Area],HIX_SLCSP[[#This Row],[Area Code]])</f>
        <v>512</v>
      </c>
      <c r="AY1969" s="59">
        <f>SUMIFS(HIX_RatingAreas[Silver Enrollments 2024],HIX_RatingAreas[Area],HIX_SLCSP[[#This Row],[Area Code]])</f>
        <v>799</v>
      </c>
      <c r="AZ1969" s="59">
        <v>683</v>
      </c>
      <c r="BA1969">
        <f t="shared" si="122"/>
        <v>2.9459337057085554E-3</v>
      </c>
      <c r="BB1969">
        <f>SUMIFS(HIX_RatingAreas[QHP Enrollments 2018],HIX_RatingAreas[Area],HIX_SLCSP[[#This Row],[Area Code]])</f>
        <v>595</v>
      </c>
      <c r="BC1969">
        <f t="shared" si="123"/>
        <v>2.7548464462480845E-3</v>
      </c>
      <c r="BD1969">
        <f>SUMIFS(HIX_RatingAreas[QHP Enrollments 2019],HIX_RatingAreas[Area],HIX_SLCSP[[#This Row],[Area Code]])</f>
        <v>611</v>
      </c>
      <c r="BE1969">
        <f t="shared" si="124"/>
        <v>2.8424421742123968E-3</v>
      </c>
      <c r="BF1969">
        <f>SUMIFS(HIX_RatingAreas[QHP Enrollments 2020],HIX_RatingAreas[Area],HIX_SLCSP[[#This Row],[Area Code]])</f>
        <v>545</v>
      </c>
      <c r="BG1969">
        <f t="shared" si="125"/>
        <v>2.5463720039246834E-3</v>
      </c>
      <c r="BH1969">
        <f>SUMIFS(HIX_RatingAreas[QHP Enrollments 2021],HIX_RatingAreas[Area],HIX_SLCSP[[#This Row],[Area Code]])</f>
        <v>563</v>
      </c>
      <c r="BI1969">
        <f t="shared" si="126"/>
        <v>2.4472940665072811E-3</v>
      </c>
      <c r="BJ1969">
        <f>SUMIFS(HIX_RatingAreas[QHP Enrollments 2022],HIX_RatingAreas[Area],HIX_SLCSP[[#This Row],[Area Code]])</f>
        <v>789</v>
      </c>
      <c r="BK1969">
        <f t="shared" si="127"/>
        <v>2.6265679512104184E-3</v>
      </c>
      <c r="BL1969">
        <f>SUMIFS(HIX_RatingAreas[QHP Enrollments 2023],HIX_RatingAreas[Area],HIX_SLCSP[[#This Row],[Area Code]])</f>
        <v>1165</v>
      </c>
      <c r="BM1969">
        <f t="shared" si="134"/>
        <v>3.04202962127384E-3</v>
      </c>
      <c r="BN1969">
        <f>SUMIFS(HIX_RatingAreas[QHP Enrollments 2024],HIX_RatingAreas[Area],HIX_SLCSP[[#This Row],[Area Code]])</f>
        <v>1816</v>
      </c>
      <c r="BO1969">
        <f t="shared" si="128"/>
        <v>3.1794108635707094E-3</v>
      </c>
      <c r="BP1969" s="53">
        <f>ROUND(HIX_SLCSP[[#This Row],[Weighting Factor 2018]]*HIX_SLCSP[[#This Row],[2018]],2)</f>
        <v>0.91</v>
      </c>
      <c r="BQ1969" s="53">
        <f>ROUND(HIX_SLCSP[[#This Row],[Weighting Factor 2019]]*HIX_SLCSP[[#This Row],[2019]],2)</f>
        <v>1.25</v>
      </c>
      <c r="BR1969" s="53">
        <f>ROUND(HIX_SLCSP[[#This Row],[Weighting Factor 2020]]*HIX_SLCSP[[#This Row],[2020]],2)</f>
        <v>1</v>
      </c>
      <c r="BS1969" s="53">
        <f>ROUND(HIX_SLCSP[[#This Row],[Weighting Factor 2021]]*HIX_SLCSP[[#This Row],[2021]],2)</f>
        <v>0.72</v>
      </c>
      <c r="BT1969" s="53">
        <f>ROUND(HIX_SLCSP[[#This Row],[Weighting Factor 2022]]*HIX_SLCSP[[#This Row],[2022]],2)</f>
        <v>0.76</v>
      </c>
      <c r="BU1969" s="53">
        <f>ROUND(HIX_SLCSP[[#This Row],[Weighting Factor 2023]]*HIX_SLCSP[[#This Row],[2023]],2)</f>
        <v>1.1000000000000001</v>
      </c>
      <c r="BV1969" s="53">
        <f>ROUND(HIX_SLCSP[[#This Row],[Weighting Factor 2024]]*HIX_SLCSP[[#This Row],[2024]],2)</f>
        <v>1.1599999999999999</v>
      </c>
    </row>
    <row r="1970" spans="4:74" x14ac:dyDescent="0.35">
      <c r="D1970" t="s">
        <v>1662</v>
      </c>
      <c r="E1970" t="s">
        <v>681</v>
      </c>
      <c r="F1970" s="23">
        <v>42</v>
      </c>
      <c r="G1970" s="23" t="s">
        <v>1663</v>
      </c>
      <c r="H1970" s="23" t="s">
        <v>1778</v>
      </c>
      <c r="I1970" s="23">
        <v>70</v>
      </c>
      <c r="J1970" s="53">
        <v>319.25</v>
      </c>
      <c r="K1970" s="53">
        <v>320.02</v>
      </c>
      <c r="L1970" s="53">
        <v>545.37</v>
      </c>
      <c r="M1970" s="54">
        <f t="shared" si="116"/>
        <v>1.7041747390788078</v>
      </c>
      <c r="N1970" s="24">
        <v>56</v>
      </c>
      <c r="O1970" s="55">
        <v>427.05</v>
      </c>
      <c r="P1970" s="56">
        <v>429.15</v>
      </c>
      <c r="Q1970" s="56">
        <v>731.36</v>
      </c>
      <c r="R1970" s="57">
        <f t="shared" si="129"/>
        <v>1.7042059885820811</v>
      </c>
      <c r="S1970" s="23">
        <v>94</v>
      </c>
      <c r="T1970" s="53">
        <v>416.04</v>
      </c>
      <c r="U1970" s="53">
        <v>421.33</v>
      </c>
      <c r="V1970" s="53">
        <v>718.03</v>
      </c>
      <c r="W1970" s="57">
        <f t="shared" si="130"/>
        <v>1.7041986091662118</v>
      </c>
      <c r="X1970" s="23">
        <v>94</v>
      </c>
      <c r="Y1970" s="53">
        <v>321.89</v>
      </c>
      <c r="Z1970" s="53">
        <v>328.88</v>
      </c>
      <c r="AA1970" s="53">
        <v>560.47</v>
      </c>
      <c r="AB1970" s="57">
        <f t="shared" si="131"/>
        <v>1.7041778156166385</v>
      </c>
      <c r="AC1970" s="47">
        <v>85</v>
      </c>
      <c r="AD1970" s="57">
        <v>316</v>
      </c>
      <c r="AE1970" s="57">
        <v>320.07</v>
      </c>
      <c r="AF1970" s="57">
        <v>545.46</v>
      </c>
      <c r="AG1970" s="57">
        <f t="shared" si="132"/>
        <v>1.7041897085012654</v>
      </c>
      <c r="AH1970" s="47">
        <v>98</v>
      </c>
      <c r="AI1970">
        <v>403.58</v>
      </c>
      <c r="AJ1970">
        <v>406.64</v>
      </c>
      <c r="AK1970">
        <v>692.99</v>
      </c>
      <c r="AL1970" s="57">
        <f t="shared" si="135"/>
        <v>1.7041855203619911</v>
      </c>
      <c r="AM1970" s="47">
        <v>91</v>
      </c>
      <c r="AN1970" s="57">
        <v>420.98</v>
      </c>
      <c r="AO1970" s="57">
        <v>422.93</v>
      </c>
      <c r="AP1970" s="57">
        <v>720.76</v>
      </c>
      <c r="AQ1970" s="57">
        <f t="shared" si="133"/>
        <v>1.7042063698484382</v>
      </c>
      <c r="AR1970" s="59">
        <v>10988</v>
      </c>
      <c r="AS1970" s="59">
        <f>SUMIFS(HIX_RatingAreas[Silver Enrollments 2018],HIX_RatingAreas[Area],HIX_SLCSP[[#This Row],[Area Code]])</f>
        <v>8307</v>
      </c>
      <c r="AT1970" s="59">
        <f>SUMIFS(HIX_RatingAreas[Silver Enrollments 2019],HIX_RatingAreas[Area],HIX_SLCSP[[#This Row],[Area Code]])</f>
        <v>6841</v>
      </c>
      <c r="AU1970" s="59">
        <f>SUMIFS(HIX_RatingAreas[Silver Enrollments 2020],HIX_RatingAreas[Area],HIX_SLCSP[[#This Row],[Area Code]])</f>
        <v>6404</v>
      </c>
      <c r="AV1970" s="59">
        <f>SUMIFS(HIX_RatingAreas[Silver Enrollments 2021],HIX_RatingAreas[Area],HIX_SLCSP[[#This Row],[Area Code]])</f>
        <v>5568</v>
      </c>
      <c r="AW1970" s="59">
        <f>SUMIFS(HIX_RatingAreas[Silver Enrollments 2022],HIX_RatingAreas[Area],HIX_SLCSP[[#This Row],[Area Code]])</f>
        <v>8895</v>
      </c>
      <c r="AX1970" s="59">
        <f>SUMIFS(HIX_RatingAreas[Silver Enrollments 2023],HIX_RatingAreas[Area],HIX_SLCSP[[#This Row],[Area Code]])</f>
        <v>11063</v>
      </c>
      <c r="AY1970" s="59">
        <f>SUMIFS(HIX_RatingAreas[Silver Enrollments 2024],HIX_RatingAreas[Area],HIX_SLCSP[[#This Row],[Area Code]])</f>
        <v>14217</v>
      </c>
      <c r="AZ1970" s="59">
        <v>12261</v>
      </c>
      <c r="BA1970">
        <f t="shared" si="122"/>
        <v>5.288447022795402E-2</v>
      </c>
      <c r="BB1970">
        <f>SUMIFS(HIX_RatingAreas[QHP Enrollments 2018],HIX_RatingAreas[Area],HIX_SLCSP[[#This Row],[Area Code]])</f>
        <v>11310</v>
      </c>
      <c r="BC1970">
        <f t="shared" si="123"/>
        <v>5.2365232448850142E-2</v>
      </c>
      <c r="BD1970">
        <f>SUMIFS(HIX_RatingAreas[QHP Enrollments 2019],HIX_RatingAreas[Area],HIX_SLCSP[[#This Row],[Area Code]])</f>
        <v>11772</v>
      </c>
      <c r="BE1970">
        <f t="shared" si="124"/>
        <v>5.4764696030815609E-2</v>
      </c>
      <c r="BF1970">
        <f>SUMIFS(HIX_RatingAreas[QHP Enrollments 2020],HIX_RatingAreas[Area],HIX_SLCSP[[#This Row],[Area Code]])</f>
        <v>12119</v>
      </c>
      <c r="BG1970">
        <f t="shared" si="125"/>
        <v>5.6622903331308698E-2</v>
      </c>
      <c r="BH1970">
        <f>SUMIFS(HIX_RatingAreas[QHP Enrollments 2021],HIX_RatingAreas[Area],HIX_SLCSP[[#This Row],[Area Code]])</f>
        <v>13544</v>
      </c>
      <c r="BI1970">
        <f t="shared" si="126"/>
        <v>5.8874157791784391E-2</v>
      </c>
      <c r="BJ1970">
        <f>SUMIFS(HIX_RatingAreas[QHP Enrollments 2022],HIX_RatingAreas[Area],HIX_SLCSP[[#This Row],[Area Code]])</f>
        <v>17962</v>
      </c>
      <c r="BK1970">
        <f t="shared" si="127"/>
        <v>5.9795200937441742E-2</v>
      </c>
      <c r="BL1970">
        <f>SUMIFS(HIX_RatingAreas[QHP Enrollments 2023],HIX_RatingAreas[Area],HIX_SLCSP[[#This Row],[Area Code]])</f>
        <v>23576</v>
      </c>
      <c r="BM1970">
        <f t="shared" si="134"/>
        <v>6.1561279271375155E-2</v>
      </c>
      <c r="BN1970">
        <f>SUMIFS(HIX_RatingAreas[QHP Enrollments 2024],HIX_RatingAreas[Area],HIX_SLCSP[[#This Row],[Area Code]])</f>
        <v>34418</v>
      </c>
      <c r="BO1970">
        <f t="shared" si="128"/>
        <v>6.0258239593819755E-2</v>
      </c>
      <c r="BP1970" s="53">
        <f>ROUND(HIX_SLCSP[[#This Row],[Weighting Factor 2018]]*HIX_SLCSP[[#This Row],[2018]],2)</f>
        <v>16.760000000000002</v>
      </c>
      <c r="BQ1970" s="53">
        <f>ROUND(HIX_SLCSP[[#This Row],[Weighting Factor 2019]]*HIX_SLCSP[[#This Row],[2019]],2)</f>
        <v>23.5</v>
      </c>
      <c r="BR1970" s="53">
        <f>ROUND(HIX_SLCSP[[#This Row],[Weighting Factor 2020]]*HIX_SLCSP[[#This Row],[2020]],2)</f>
        <v>23.86</v>
      </c>
      <c r="BS1970" s="53">
        <f>ROUND(HIX_SLCSP[[#This Row],[Weighting Factor 2021]]*HIX_SLCSP[[#This Row],[2021]],2)</f>
        <v>19.36</v>
      </c>
      <c r="BT1970" s="53">
        <f>ROUND(HIX_SLCSP[[#This Row],[Weighting Factor 2022]]*HIX_SLCSP[[#This Row],[2022]],2)</f>
        <v>19.14</v>
      </c>
      <c r="BU1970" s="53">
        <f>ROUND(HIX_SLCSP[[#This Row],[Weighting Factor 2023]]*HIX_SLCSP[[#This Row],[2023]],2)</f>
        <v>25.03</v>
      </c>
      <c r="BV1970" s="53">
        <f>ROUND(HIX_SLCSP[[#This Row],[Weighting Factor 2024]]*HIX_SLCSP[[#This Row],[2024]],2)</f>
        <v>25.49</v>
      </c>
    </row>
    <row r="1971" spans="4:74" x14ac:dyDescent="0.35">
      <c r="D1971" t="s">
        <v>1662</v>
      </c>
      <c r="E1971" t="s">
        <v>685</v>
      </c>
      <c r="F1971" s="23">
        <v>43</v>
      </c>
      <c r="G1971" s="23" t="s">
        <v>1663</v>
      </c>
      <c r="H1971" s="23" t="s">
        <v>1781</v>
      </c>
      <c r="I1971" s="23">
        <v>70</v>
      </c>
      <c r="J1971" s="53">
        <v>459.09</v>
      </c>
      <c r="K1971" s="53">
        <v>466.29</v>
      </c>
      <c r="L1971" s="53">
        <v>794.65</v>
      </c>
      <c r="M1971" s="54">
        <f t="shared" si="116"/>
        <v>1.7041969589740289</v>
      </c>
      <c r="N1971" s="24">
        <v>56</v>
      </c>
      <c r="O1971" s="55">
        <v>489.06</v>
      </c>
      <c r="P1971" s="56">
        <v>491.47</v>
      </c>
      <c r="Q1971" s="56">
        <v>837.56</v>
      </c>
      <c r="R1971" s="57">
        <f t="shared" si="129"/>
        <v>1.7041935418235088</v>
      </c>
      <c r="S1971" s="23">
        <v>76</v>
      </c>
      <c r="T1971" s="53">
        <v>449.19</v>
      </c>
      <c r="U1971" s="53">
        <v>454.9</v>
      </c>
      <c r="V1971" s="53">
        <v>775.24</v>
      </c>
      <c r="W1971" s="57">
        <f t="shared" si="130"/>
        <v>1.7041987249945043</v>
      </c>
      <c r="X1971" s="23">
        <v>76</v>
      </c>
      <c r="Y1971" s="53">
        <v>314.97000000000003</v>
      </c>
      <c r="Z1971" s="53">
        <v>321.8</v>
      </c>
      <c r="AA1971" s="53">
        <v>548.41999999999996</v>
      </c>
      <c r="AB1971" s="57">
        <f t="shared" si="131"/>
        <v>1.7042262274704785</v>
      </c>
      <c r="AC1971" s="47">
        <v>57</v>
      </c>
      <c r="AD1971" s="57">
        <v>303.32</v>
      </c>
      <c r="AE1971" s="57">
        <v>307.22000000000003</v>
      </c>
      <c r="AF1971" s="57">
        <v>523.57000000000005</v>
      </c>
      <c r="AG1971" s="57">
        <f t="shared" si="132"/>
        <v>1.7042184753596772</v>
      </c>
      <c r="AH1971" s="47">
        <v>94</v>
      </c>
      <c r="AI1971">
        <v>349.74</v>
      </c>
      <c r="AJ1971">
        <v>352.38</v>
      </c>
      <c r="AK1971">
        <v>600.53</v>
      </c>
      <c r="AL1971" s="57">
        <f t="shared" si="135"/>
        <v>1.7042113627334128</v>
      </c>
      <c r="AM1971" s="47">
        <v>91</v>
      </c>
      <c r="AN1971" s="57">
        <v>347.93</v>
      </c>
      <c r="AO1971" s="57">
        <v>349.54</v>
      </c>
      <c r="AP1971" s="57">
        <v>595.67999999999995</v>
      </c>
      <c r="AQ1971" s="57">
        <f t="shared" si="133"/>
        <v>1.7041826400411968</v>
      </c>
      <c r="AR1971" s="59">
        <v>3243</v>
      </c>
      <c r="AS1971" s="59">
        <f>SUMIFS(HIX_RatingAreas[Silver Enrollments 2018],HIX_RatingAreas[Area],HIX_SLCSP[[#This Row],[Area Code]])</f>
        <v>2795</v>
      </c>
      <c r="AT1971" s="59">
        <f>SUMIFS(HIX_RatingAreas[Silver Enrollments 2019],HIX_RatingAreas[Area],HIX_SLCSP[[#This Row],[Area Code]])</f>
        <v>2227</v>
      </c>
      <c r="AU1971" s="59">
        <f>SUMIFS(HIX_RatingAreas[Silver Enrollments 2020],HIX_RatingAreas[Area],HIX_SLCSP[[#This Row],[Area Code]])</f>
        <v>1970</v>
      </c>
      <c r="AV1971" s="59">
        <f>SUMIFS(HIX_RatingAreas[Silver Enrollments 2021],HIX_RatingAreas[Area],HIX_SLCSP[[#This Row],[Area Code]])</f>
        <v>1816</v>
      </c>
      <c r="AW1971" s="59">
        <f>SUMIFS(HIX_RatingAreas[Silver Enrollments 2022],HIX_RatingAreas[Area],HIX_SLCSP[[#This Row],[Area Code]])</f>
        <v>2079</v>
      </c>
      <c r="AX1971" s="59">
        <f>SUMIFS(HIX_RatingAreas[Silver Enrollments 2023],HIX_RatingAreas[Area],HIX_SLCSP[[#This Row],[Area Code]])</f>
        <v>2886</v>
      </c>
      <c r="AY1971" s="59">
        <f>SUMIFS(HIX_RatingAreas[Silver Enrollments 2024],HIX_RatingAreas[Area],HIX_SLCSP[[#This Row],[Area Code]])</f>
        <v>5190</v>
      </c>
      <c r="AZ1971" s="59">
        <v>3996</v>
      </c>
      <c r="BA1971">
        <f t="shared" si="122"/>
        <v>1.723565313032414E-2</v>
      </c>
      <c r="BB1971">
        <f>SUMIFS(HIX_RatingAreas[QHP Enrollments 2018],HIX_RatingAreas[Area],HIX_SLCSP[[#This Row],[Area Code]])</f>
        <v>3850</v>
      </c>
      <c r="BC1971">
        <f t="shared" si="123"/>
        <v>1.7825477005134663E-2</v>
      </c>
      <c r="BD1971">
        <f>SUMIFS(HIX_RatingAreas[QHP Enrollments 2019],HIX_RatingAreas[Area],HIX_SLCSP[[#This Row],[Area Code]])</f>
        <v>3739</v>
      </c>
      <c r="BE1971">
        <f t="shared" si="124"/>
        <v>1.7394257429427417E-2</v>
      </c>
      <c r="BF1971">
        <f>SUMIFS(HIX_RatingAreas[QHP Enrollments 2020],HIX_RatingAreas[Area],HIX_SLCSP[[#This Row],[Area Code]])</f>
        <v>3677</v>
      </c>
      <c r="BG1971">
        <f t="shared" si="125"/>
        <v>1.7179834602625801E-2</v>
      </c>
      <c r="BH1971">
        <f>SUMIFS(HIX_RatingAreas[QHP Enrollments 2021],HIX_RatingAreas[Area],HIX_SLCSP[[#This Row],[Area Code]])</f>
        <v>3881</v>
      </c>
      <c r="BI1971">
        <f t="shared" si="126"/>
        <v>1.6870245598782873E-2</v>
      </c>
      <c r="BJ1971">
        <f>SUMIFS(HIX_RatingAreas[QHP Enrollments 2022],HIX_RatingAreas[Area],HIX_SLCSP[[#This Row],[Area Code]])</f>
        <v>4886</v>
      </c>
      <c r="BK1971">
        <f t="shared" si="127"/>
        <v>1.6265413193427256E-2</v>
      </c>
      <c r="BL1971">
        <f>SUMIFS(HIX_RatingAreas[QHP Enrollments 2023],HIX_RatingAreas[Area],HIX_SLCSP[[#This Row],[Area Code]])</f>
        <v>6302</v>
      </c>
      <c r="BM1971">
        <f t="shared" si="134"/>
        <v>1.6455682981345698E-2</v>
      </c>
      <c r="BN1971">
        <f>SUMIFS(HIX_RatingAreas[QHP Enrollments 2024],HIX_RatingAreas[Area],HIX_SLCSP[[#This Row],[Area Code]])</f>
        <v>10982</v>
      </c>
      <c r="BO1971">
        <f t="shared" si="128"/>
        <v>1.922703199544798E-2</v>
      </c>
      <c r="BP1971" s="53">
        <f>ROUND(HIX_SLCSP[[#This Row],[Weighting Factor 2018]]*HIX_SLCSP[[#This Row],[2018]],2)</f>
        <v>8.31</v>
      </c>
      <c r="BQ1971" s="53">
        <f>ROUND(HIX_SLCSP[[#This Row],[Weighting Factor 2019]]*HIX_SLCSP[[#This Row],[2019]],2)</f>
        <v>8.5500000000000007</v>
      </c>
      <c r="BR1971" s="53">
        <f>ROUND(HIX_SLCSP[[#This Row],[Weighting Factor 2020]]*HIX_SLCSP[[#This Row],[2020]],2)</f>
        <v>7.82</v>
      </c>
      <c r="BS1971" s="53">
        <f>ROUND(HIX_SLCSP[[#This Row],[Weighting Factor 2021]]*HIX_SLCSP[[#This Row],[2021]],2)</f>
        <v>5.43</v>
      </c>
      <c r="BT1971" s="53">
        <f>ROUND(HIX_SLCSP[[#This Row],[Weighting Factor 2022]]*HIX_SLCSP[[#This Row],[2022]],2)</f>
        <v>5</v>
      </c>
      <c r="BU1971" s="53">
        <f>ROUND(HIX_SLCSP[[#This Row],[Weighting Factor 2023]]*HIX_SLCSP[[#This Row],[2023]],2)</f>
        <v>5.8</v>
      </c>
      <c r="BV1971" s="53">
        <f>ROUND(HIX_SLCSP[[#This Row],[Weighting Factor 2024]]*HIX_SLCSP[[#This Row],[2024]],2)</f>
        <v>6.72</v>
      </c>
    </row>
    <row r="1972" spans="4:74" x14ac:dyDescent="0.35">
      <c r="D1972" t="s">
        <v>1662</v>
      </c>
      <c r="E1972" t="s">
        <v>689</v>
      </c>
      <c r="F1972" s="23">
        <v>44</v>
      </c>
      <c r="G1972" s="23" t="s">
        <v>1663</v>
      </c>
      <c r="H1972" s="23" t="s">
        <v>1783</v>
      </c>
      <c r="I1972" s="23">
        <v>70</v>
      </c>
      <c r="J1972" s="53">
        <v>323.51</v>
      </c>
      <c r="K1972" s="53">
        <v>324.29000000000002</v>
      </c>
      <c r="L1972" s="53">
        <v>552.65</v>
      </c>
      <c r="M1972" s="54">
        <f t="shared" si="116"/>
        <v>1.7041845261956889</v>
      </c>
      <c r="N1972" s="24">
        <v>56</v>
      </c>
      <c r="O1972" s="55">
        <v>432.93</v>
      </c>
      <c r="P1972" s="56">
        <v>435.07</v>
      </c>
      <c r="Q1972" s="56">
        <v>741.44</v>
      </c>
      <c r="R1972" s="57">
        <f t="shared" si="129"/>
        <v>1.7041855333624476</v>
      </c>
      <c r="S1972" s="23">
        <v>94</v>
      </c>
      <c r="T1972" s="53">
        <v>418.01</v>
      </c>
      <c r="U1972" s="53">
        <v>423.32</v>
      </c>
      <c r="V1972" s="53">
        <v>721.42</v>
      </c>
      <c r="W1972" s="57">
        <f t="shared" si="130"/>
        <v>1.7041954077293773</v>
      </c>
      <c r="X1972" s="23">
        <v>94</v>
      </c>
      <c r="Y1972" s="53">
        <v>295.92</v>
      </c>
      <c r="Z1972" s="53">
        <v>302.33999999999997</v>
      </c>
      <c r="AA1972" s="53">
        <v>515.25</v>
      </c>
      <c r="AB1972" s="57">
        <f t="shared" si="131"/>
        <v>1.7042071839650725</v>
      </c>
      <c r="AC1972" s="47">
        <v>85</v>
      </c>
      <c r="AD1972" s="57">
        <v>297.89999999999998</v>
      </c>
      <c r="AE1972" s="57">
        <v>301.74</v>
      </c>
      <c r="AF1972" s="57">
        <v>514.22</v>
      </c>
      <c r="AG1972" s="57">
        <f t="shared" si="132"/>
        <v>1.7041824086962285</v>
      </c>
      <c r="AH1972" s="47">
        <v>94</v>
      </c>
      <c r="AI1972">
        <v>372.41</v>
      </c>
      <c r="AJ1972">
        <v>375.23</v>
      </c>
      <c r="AK1972">
        <v>639.46</v>
      </c>
      <c r="AL1972" s="57">
        <f t="shared" si="135"/>
        <v>1.7041814353862965</v>
      </c>
      <c r="AM1972" s="47">
        <v>91</v>
      </c>
      <c r="AN1972" s="57">
        <v>396.31</v>
      </c>
      <c r="AO1972" s="57">
        <v>398.14</v>
      </c>
      <c r="AP1972" s="57">
        <v>678.52</v>
      </c>
      <c r="AQ1972" s="57">
        <f t="shared" si="133"/>
        <v>1.7042246445973779</v>
      </c>
      <c r="AR1972" s="59">
        <v>674</v>
      </c>
      <c r="AS1972" s="59">
        <f>SUMIFS(HIX_RatingAreas[Silver Enrollments 2018],HIX_RatingAreas[Area],HIX_SLCSP[[#This Row],[Area Code]])</f>
        <v>570</v>
      </c>
      <c r="AT1972" s="59">
        <f>SUMIFS(HIX_RatingAreas[Silver Enrollments 2019],HIX_RatingAreas[Area],HIX_SLCSP[[#This Row],[Area Code]])</f>
        <v>412</v>
      </c>
      <c r="AU1972" s="59">
        <f>SUMIFS(HIX_RatingAreas[Silver Enrollments 2020],HIX_RatingAreas[Area],HIX_SLCSP[[#This Row],[Area Code]])</f>
        <v>401</v>
      </c>
      <c r="AV1972" s="59">
        <f>SUMIFS(HIX_RatingAreas[Silver Enrollments 2021],HIX_RatingAreas[Area],HIX_SLCSP[[#This Row],[Area Code]])</f>
        <v>375</v>
      </c>
      <c r="AW1972" s="59">
        <f>SUMIFS(HIX_RatingAreas[Silver Enrollments 2022],HIX_RatingAreas[Area],HIX_SLCSP[[#This Row],[Area Code]])</f>
        <v>588</v>
      </c>
      <c r="AX1972" s="59">
        <f>SUMIFS(HIX_RatingAreas[Silver Enrollments 2023],HIX_RatingAreas[Area],HIX_SLCSP[[#This Row],[Area Code]])</f>
        <v>673</v>
      </c>
      <c r="AY1972" s="59">
        <f>SUMIFS(HIX_RatingAreas[Silver Enrollments 2024],HIX_RatingAreas[Area],HIX_SLCSP[[#This Row],[Area Code]])</f>
        <v>1369</v>
      </c>
      <c r="AZ1972" s="59">
        <v>746</v>
      </c>
      <c r="BA1972">
        <f t="shared" si="122"/>
        <v>3.2176669757812333E-3</v>
      </c>
      <c r="BB1972">
        <f>SUMIFS(HIX_RatingAreas[QHP Enrollments 2018],HIX_RatingAreas[Area],HIX_SLCSP[[#This Row],[Area Code]])</f>
        <v>723</v>
      </c>
      <c r="BC1972">
        <f t="shared" si="123"/>
        <v>3.3474856817434706E-3</v>
      </c>
      <c r="BD1972">
        <f>SUMIFS(HIX_RatingAreas[QHP Enrollments 2019],HIX_RatingAreas[Area],HIX_SLCSP[[#This Row],[Area Code]])</f>
        <v>652</v>
      </c>
      <c r="BE1972">
        <f t="shared" si="124"/>
        <v>3.0331788831202667E-3</v>
      </c>
      <c r="BF1972">
        <f>SUMIFS(HIX_RatingAreas[QHP Enrollments 2020],HIX_RatingAreas[Area],HIX_SLCSP[[#This Row],[Area Code]])</f>
        <v>658</v>
      </c>
      <c r="BG1972">
        <f t="shared" si="125"/>
        <v>3.0743353735457647E-3</v>
      </c>
      <c r="BH1972">
        <f>SUMIFS(HIX_RatingAreas[QHP Enrollments 2021],HIX_RatingAreas[Area],HIX_SLCSP[[#This Row],[Area Code]])</f>
        <v>754</v>
      </c>
      <c r="BI1972">
        <f t="shared" si="126"/>
        <v>3.2775483590523798E-3</v>
      </c>
      <c r="BJ1972">
        <f>SUMIFS(HIX_RatingAreas[QHP Enrollments 2022],HIX_RatingAreas[Area],HIX_SLCSP[[#This Row],[Area Code]])</f>
        <v>1040</v>
      </c>
      <c r="BK1972">
        <f t="shared" si="127"/>
        <v>3.4621428000745692E-3</v>
      </c>
      <c r="BL1972">
        <f>SUMIFS(HIX_RatingAreas[QHP Enrollments 2023],HIX_RatingAreas[Area],HIX_SLCSP[[#This Row],[Area Code]])</f>
        <v>1537</v>
      </c>
      <c r="BM1972">
        <f t="shared" si="134"/>
        <v>4.0133901527020536E-3</v>
      </c>
      <c r="BN1972">
        <f>SUMIFS(HIX_RatingAreas[QHP Enrollments 2024],HIX_RatingAreas[Area],HIX_SLCSP[[#This Row],[Area Code]])</f>
        <v>2843</v>
      </c>
      <c r="BO1972">
        <f t="shared" si="128"/>
        <v>4.977458747319123E-3</v>
      </c>
      <c r="BP1972" s="53">
        <f>ROUND(HIX_SLCSP[[#This Row],[Weighting Factor 2018]]*HIX_SLCSP[[#This Row],[2018]],2)</f>
        <v>1.0900000000000001</v>
      </c>
      <c r="BQ1972" s="53">
        <f>ROUND(HIX_SLCSP[[#This Row],[Weighting Factor 2019]]*HIX_SLCSP[[#This Row],[2019]],2)</f>
        <v>1.32</v>
      </c>
      <c r="BR1972" s="53">
        <f>ROUND(HIX_SLCSP[[#This Row],[Weighting Factor 2020]]*HIX_SLCSP[[#This Row],[2020]],2)</f>
        <v>1.3</v>
      </c>
      <c r="BS1972" s="53">
        <f>ROUND(HIX_SLCSP[[#This Row],[Weighting Factor 2021]]*HIX_SLCSP[[#This Row],[2021]],2)</f>
        <v>0.99</v>
      </c>
      <c r="BT1972" s="53">
        <f>ROUND(HIX_SLCSP[[#This Row],[Weighting Factor 2022]]*HIX_SLCSP[[#This Row],[2022]],2)</f>
        <v>1.04</v>
      </c>
      <c r="BU1972" s="53">
        <f>ROUND(HIX_SLCSP[[#This Row],[Weighting Factor 2023]]*HIX_SLCSP[[#This Row],[2023]],2)</f>
        <v>1.51</v>
      </c>
      <c r="BV1972" s="53">
        <f>ROUND(HIX_SLCSP[[#This Row],[Weighting Factor 2024]]*HIX_SLCSP[[#This Row],[2024]],2)</f>
        <v>1.98</v>
      </c>
    </row>
    <row r="1973" spans="4:74" x14ac:dyDescent="0.35">
      <c r="D1973" t="s">
        <v>1662</v>
      </c>
      <c r="E1973" t="s">
        <v>692</v>
      </c>
      <c r="F1973" s="23">
        <v>45</v>
      </c>
      <c r="G1973" s="23" t="s">
        <v>1663</v>
      </c>
      <c r="H1973" s="23" t="s">
        <v>1785</v>
      </c>
      <c r="I1973" s="23">
        <v>70</v>
      </c>
      <c r="J1973" s="53">
        <v>353.66</v>
      </c>
      <c r="K1973" s="53">
        <v>354.51</v>
      </c>
      <c r="L1973" s="53">
        <v>604.16</v>
      </c>
      <c r="M1973" s="54">
        <f t="shared" si="116"/>
        <v>1.7042114467857041</v>
      </c>
      <c r="N1973" s="24">
        <v>56</v>
      </c>
      <c r="O1973" s="55">
        <v>473.21</v>
      </c>
      <c r="P1973" s="56">
        <v>475.55</v>
      </c>
      <c r="Q1973" s="56">
        <v>810.43</v>
      </c>
      <c r="R1973" s="57">
        <f t="shared" si="129"/>
        <v>1.7041951424666175</v>
      </c>
      <c r="S1973" s="23">
        <v>120</v>
      </c>
      <c r="T1973" s="53">
        <v>426.53</v>
      </c>
      <c r="U1973" s="53">
        <v>440.38</v>
      </c>
      <c r="V1973" s="53">
        <v>750.5</v>
      </c>
      <c r="W1973" s="57">
        <f t="shared" si="130"/>
        <v>1.7042100004541532</v>
      </c>
      <c r="X1973" s="23">
        <v>120</v>
      </c>
      <c r="Y1973" s="53">
        <v>314.33999999999997</v>
      </c>
      <c r="Z1973" s="53">
        <v>321.16000000000003</v>
      </c>
      <c r="AA1973" s="53">
        <v>547.32000000000005</v>
      </c>
      <c r="AB1973" s="57">
        <f t="shared" si="131"/>
        <v>1.7041972848424463</v>
      </c>
      <c r="AC1973" s="47">
        <v>65</v>
      </c>
      <c r="AD1973" s="57">
        <v>309.35000000000002</v>
      </c>
      <c r="AE1973" s="57">
        <v>313.33</v>
      </c>
      <c r="AF1973" s="57">
        <v>533.98</v>
      </c>
      <c r="AG1973" s="57">
        <f t="shared" si="132"/>
        <v>1.7042096192512688</v>
      </c>
      <c r="AH1973" s="47">
        <v>102</v>
      </c>
      <c r="AI1973">
        <v>377.16</v>
      </c>
      <c r="AJ1973">
        <v>377.58</v>
      </c>
      <c r="AK1973">
        <v>643.47</v>
      </c>
      <c r="AL1973" s="57">
        <f t="shared" si="135"/>
        <v>1.7041951374543145</v>
      </c>
      <c r="AM1973" s="47">
        <v>123</v>
      </c>
      <c r="AN1973" s="57">
        <v>395.23</v>
      </c>
      <c r="AO1973" s="57">
        <v>403.34</v>
      </c>
      <c r="AP1973" s="57">
        <v>687.37</v>
      </c>
      <c r="AQ1973" s="57">
        <f t="shared" si="133"/>
        <v>1.7041949719839342</v>
      </c>
      <c r="AR1973" s="59">
        <v>1362</v>
      </c>
      <c r="AS1973" s="59">
        <f>SUMIFS(HIX_RatingAreas[Silver Enrollments 2018],HIX_RatingAreas[Area],HIX_SLCSP[[#This Row],[Area Code]])</f>
        <v>1023</v>
      </c>
      <c r="AT1973" s="59">
        <f>SUMIFS(HIX_RatingAreas[Silver Enrollments 2019],HIX_RatingAreas[Area],HIX_SLCSP[[#This Row],[Area Code]])</f>
        <v>767</v>
      </c>
      <c r="AU1973" s="59">
        <f>SUMIFS(HIX_RatingAreas[Silver Enrollments 2020],HIX_RatingAreas[Area],HIX_SLCSP[[#This Row],[Area Code]])</f>
        <v>707</v>
      </c>
      <c r="AV1973" s="59">
        <f>SUMIFS(HIX_RatingAreas[Silver Enrollments 2021],HIX_RatingAreas[Area],HIX_SLCSP[[#This Row],[Area Code]])</f>
        <v>530</v>
      </c>
      <c r="AW1973" s="59">
        <f>SUMIFS(HIX_RatingAreas[Silver Enrollments 2022],HIX_RatingAreas[Area],HIX_SLCSP[[#This Row],[Area Code]])</f>
        <v>693</v>
      </c>
      <c r="AX1973" s="59">
        <f>SUMIFS(HIX_RatingAreas[Silver Enrollments 2023],HIX_RatingAreas[Area],HIX_SLCSP[[#This Row],[Area Code]])</f>
        <v>1182</v>
      </c>
      <c r="AY1973" s="59">
        <f>SUMIFS(HIX_RatingAreas[Silver Enrollments 2024],HIX_RatingAreas[Area],HIX_SLCSP[[#This Row],[Area Code]])</f>
        <v>2085</v>
      </c>
      <c r="AZ1973" s="59">
        <v>1506</v>
      </c>
      <c r="BA1973">
        <f t="shared" si="122"/>
        <v>6.4957191226897278E-3</v>
      </c>
      <c r="BB1973">
        <f>SUMIFS(HIX_RatingAreas[QHP Enrollments 2018],HIX_RatingAreas[Area],HIX_SLCSP[[#This Row],[Area Code]])</f>
        <v>1303</v>
      </c>
      <c r="BC1973">
        <f t="shared" si="123"/>
        <v>6.0328822175819393E-3</v>
      </c>
      <c r="BD1973">
        <f>SUMIFS(HIX_RatingAreas[QHP Enrollments 2019],HIX_RatingAreas[Area],HIX_SLCSP[[#This Row],[Area Code]])</f>
        <v>1246</v>
      </c>
      <c r="BE1973">
        <f t="shared" si="124"/>
        <v>5.7965351048586689E-3</v>
      </c>
      <c r="BF1973">
        <f>SUMIFS(HIX_RatingAreas[QHP Enrollments 2020],HIX_RatingAreas[Area],HIX_SLCSP[[#This Row],[Area Code]])</f>
        <v>1217</v>
      </c>
      <c r="BG1973">
        <f t="shared" si="125"/>
        <v>5.6861187683969541E-3</v>
      </c>
      <c r="BH1973">
        <f>SUMIFS(HIX_RatingAreas[QHP Enrollments 2021],HIX_RatingAreas[Area],HIX_SLCSP[[#This Row],[Area Code]])</f>
        <v>1186</v>
      </c>
      <c r="BI1973">
        <f t="shared" si="126"/>
        <v>5.1554009997826561E-3</v>
      </c>
      <c r="BJ1973">
        <f>SUMIFS(HIX_RatingAreas[QHP Enrollments 2022],HIX_RatingAreas[Area],HIX_SLCSP[[#This Row],[Area Code]])</f>
        <v>1347</v>
      </c>
      <c r="BK1973">
        <f t="shared" si="127"/>
        <v>4.4841407227888888E-3</v>
      </c>
      <c r="BL1973">
        <f>SUMIFS(HIX_RatingAreas[QHP Enrollments 2023],HIX_RatingAreas[Area],HIX_SLCSP[[#This Row],[Area Code]])</f>
        <v>2055</v>
      </c>
      <c r="BM1973">
        <f t="shared" si="134"/>
        <v>5.3659835808735979E-3</v>
      </c>
      <c r="BN1973">
        <f>SUMIFS(HIX_RatingAreas[QHP Enrollments 2024],HIX_RatingAreas[Area],HIX_SLCSP[[#This Row],[Area Code]])</f>
        <v>3621</v>
      </c>
      <c r="BO1973">
        <f t="shared" si="128"/>
        <v>6.3395631811616407E-3</v>
      </c>
      <c r="BP1973" s="53">
        <f>ROUND(HIX_SLCSP[[#This Row],[Weighting Factor 2018]]*HIX_SLCSP[[#This Row],[2018]],2)</f>
        <v>2.14</v>
      </c>
      <c r="BQ1973" s="53">
        <f>ROUND(HIX_SLCSP[[#This Row],[Weighting Factor 2019]]*HIX_SLCSP[[#This Row],[2019]],2)</f>
        <v>2.76</v>
      </c>
      <c r="BR1973" s="53">
        <f>ROUND(HIX_SLCSP[[#This Row],[Weighting Factor 2020]]*HIX_SLCSP[[#This Row],[2020]],2)</f>
        <v>2.5</v>
      </c>
      <c r="BS1973" s="53">
        <f>ROUND(HIX_SLCSP[[#This Row],[Weighting Factor 2021]]*HIX_SLCSP[[#This Row],[2021]],2)</f>
        <v>1.66</v>
      </c>
      <c r="BT1973" s="53">
        <f>ROUND(HIX_SLCSP[[#This Row],[Weighting Factor 2022]]*HIX_SLCSP[[#This Row],[2022]],2)</f>
        <v>1.41</v>
      </c>
      <c r="BU1973" s="53">
        <f>ROUND(HIX_SLCSP[[#This Row],[Weighting Factor 2023]]*HIX_SLCSP[[#This Row],[2023]],2)</f>
        <v>2.0299999999999998</v>
      </c>
      <c r="BV1973" s="53">
        <f>ROUND(HIX_SLCSP[[#This Row],[Weighting Factor 2024]]*HIX_SLCSP[[#This Row],[2024]],2)</f>
        <v>2.56</v>
      </c>
    </row>
    <row r="1974" spans="4:74" x14ac:dyDescent="0.35">
      <c r="D1974" t="s">
        <v>1662</v>
      </c>
      <c r="E1974" t="s">
        <v>696</v>
      </c>
      <c r="F1974" s="23">
        <v>46</v>
      </c>
      <c r="G1974" s="23" t="s">
        <v>1663</v>
      </c>
      <c r="H1974" s="23" t="s">
        <v>1788</v>
      </c>
      <c r="I1974" s="23">
        <v>70</v>
      </c>
      <c r="J1974" s="53">
        <v>372.4</v>
      </c>
      <c r="K1974" s="53">
        <v>373.3</v>
      </c>
      <c r="L1974" s="53">
        <v>636.16999999999996</v>
      </c>
      <c r="M1974" s="54">
        <f t="shared" si="116"/>
        <v>1.7041789445486202</v>
      </c>
      <c r="N1974" s="24">
        <v>56</v>
      </c>
      <c r="O1974" s="55">
        <v>498.34</v>
      </c>
      <c r="P1974" s="56">
        <v>500.79</v>
      </c>
      <c r="Q1974" s="56">
        <v>853.45</v>
      </c>
      <c r="R1974" s="57">
        <f t="shared" si="129"/>
        <v>1.7042073523832346</v>
      </c>
      <c r="S1974" s="23">
        <v>104</v>
      </c>
      <c r="T1974" s="53">
        <v>416.97</v>
      </c>
      <c r="U1974" s="53">
        <v>423.9</v>
      </c>
      <c r="V1974" s="53">
        <v>722.41</v>
      </c>
      <c r="W1974" s="57">
        <f t="shared" si="130"/>
        <v>1.7041991035621609</v>
      </c>
      <c r="X1974" s="23">
        <v>104</v>
      </c>
      <c r="Y1974" s="53">
        <v>324.57</v>
      </c>
      <c r="Z1974" s="53">
        <v>331.61</v>
      </c>
      <c r="AA1974" s="53">
        <v>565.13</v>
      </c>
      <c r="AB1974" s="57">
        <f t="shared" si="131"/>
        <v>1.7042007177105636</v>
      </c>
      <c r="AC1974" s="47">
        <v>57</v>
      </c>
      <c r="AD1974" s="57">
        <v>323.89</v>
      </c>
      <c r="AE1974" s="57">
        <v>328.06</v>
      </c>
      <c r="AF1974" s="57">
        <v>559.08000000000004</v>
      </c>
      <c r="AG1974" s="57">
        <f t="shared" si="132"/>
        <v>1.7042004511369873</v>
      </c>
      <c r="AH1974" s="47">
        <v>98</v>
      </c>
      <c r="AI1974">
        <v>405.47</v>
      </c>
      <c r="AJ1974">
        <v>408.54</v>
      </c>
      <c r="AK1974">
        <v>696.24</v>
      </c>
      <c r="AL1974" s="57">
        <f t="shared" si="135"/>
        <v>1.7042150095461888</v>
      </c>
      <c r="AM1974" s="47">
        <v>107</v>
      </c>
      <c r="AN1974" s="57">
        <v>397.85</v>
      </c>
      <c r="AO1974" s="57">
        <v>399.69</v>
      </c>
      <c r="AP1974" s="57">
        <v>681.16</v>
      </c>
      <c r="AQ1974" s="57">
        <f t="shared" si="133"/>
        <v>1.7042207710976005</v>
      </c>
      <c r="AR1974" s="59">
        <v>9803</v>
      </c>
      <c r="AS1974" s="59">
        <f>SUMIFS(HIX_RatingAreas[Silver Enrollments 2018],HIX_RatingAreas[Area],HIX_SLCSP[[#This Row],[Area Code]])</f>
        <v>7517</v>
      </c>
      <c r="AT1974" s="59">
        <f>SUMIFS(HIX_RatingAreas[Silver Enrollments 2019],HIX_RatingAreas[Area],HIX_SLCSP[[#This Row],[Area Code]])</f>
        <v>5708</v>
      </c>
      <c r="AU1974" s="59">
        <f>SUMIFS(HIX_RatingAreas[Silver Enrollments 2020],HIX_RatingAreas[Area],HIX_SLCSP[[#This Row],[Area Code]])</f>
        <v>4121</v>
      </c>
      <c r="AV1974" s="59">
        <f>SUMIFS(HIX_RatingAreas[Silver Enrollments 2021],HIX_RatingAreas[Area],HIX_SLCSP[[#This Row],[Area Code]])</f>
        <v>4354</v>
      </c>
      <c r="AW1974" s="59">
        <f>SUMIFS(HIX_RatingAreas[Silver Enrollments 2022],HIX_RatingAreas[Area],HIX_SLCSP[[#This Row],[Area Code]])</f>
        <v>4567</v>
      </c>
      <c r="AX1974" s="59">
        <f>SUMIFS(HIX_RatingAreas[Silver Enrollments 2023],HIX_RatingAreas[Area],HIX_SLCSP[[#This Row],[Area Code]])</f>
        <v>6593</v>
      </c>
      <c r="AY1974" s="59">
        <f>SUMIFS(HIX_RatingAreas[Silver Enrollments 2024],HIX_RatingAreas[Area],HIX_SLCSP[[#This Row],[Area Code]])</f>
        <v>10370</v>
      </c>
      <c r="AZ1974" s="59">
        <v>12410</v>
      </c>
      <c r="BA1974">
        <f t="shared" si="122"/>
        <v>5.3527140977808446E-2</v>
      </c>
      <c r="BB1974">
        <f>SUMIFS(HIX_RatingAreas[QHP Enrollments 2018],HIX_RatingAreas[Area],HIX_SLCSP[[#This Row],[Area Code]])</f>
        <v>11047</v>
      </c>
      <c r="BC1974">
        <f t="shared" si="123"/>
        <v>5.1147544019668215E-2</v>
      </c>
      <c r="BD1974">
        <f>SUMIFS(HIX_RatingAreas[QHP Enrollments 2019],HIX_RatingAreas[Area],HIX_SLCSP[[#This Row],[Area Code]])</f>
        <v>10723</v>
      </c>
      <c r="BE1974">
        <f t="shared" si="124"/>
        <v>4.9884627551684997E-2</v>
      </c>
      <c r="BF1974">
        <f>SUMIFS(HIX_RatingAreas[QHP Enrollments 2020],HIX_RatingAreas[Area],HIX_SLCSP[[#This Row],[Area Code]])</f>
        <v>10498</v>
      </c>
      <c r="BG1974">
        <f t="shared" si="125"/>
        <v>4.904919871046115E-2</v>
      </c>
      <c r="BH1974">
        <f>SUMIFS(HIX_RatingAreas[QHP Enrollments 2021],HIX_RatingAreas[Area],HIX_SLCSP[[#This Row],[Area Code]])</f>
        <v>11230</v>
      </c>
      <c r="BI1974">
        <f t="shared" si="126"/>
        <v>4.8815474896761572E-2</v>
      </c>
      <c r="BJ1974">
        <f>SUMIFS(HIX_RatingAreas[QHP Enrollments 2022],HIX_RatingAreas[Area],HIX_SLCSP[[#This Row],[Area Code]])</f>
        <v>14223</v>
      </c>
      <c r="BK1974">
        <f t="shared" si="127"/>
        <v>4.7348131774481342E-2</v>
      </c>
      <c r="BL1974">
        <f>SUMIFS(HIX_RatingAreas[QHP Enrollments 2023],HIX_RatingAreas[Area],HIX_SLCSP[[#This Row],[Area Code]])</f>
        <v>17041</v>
      </c>
      <c r="BM1974">
        <f t="shared" si="134"/>
        <v>4.4497190365774687E-2</v>
      </c>
      <c r="BN1974">
        <f>SUMIFS(HIX_RatingAreas[QHP Enrollments 2024],HIX_RatingAreas[Area],HIX_SLCSP[[#This Row],[Area Code]])</f>
        <v>24329</v>
      </c>
      <c r="BO1974">
        <f t="shared" si="128"/>
        <v>4.2594651376548345E-2</v>
      </c>
      <c r="BP1974" s="53">
        <f>ROUND(HIX_SLCSP[[#This Row],[Weighting Factor 2018]]*HIX_SLCSP[[#This Row],[2018]],2)</f>
        <v>19.09</v>
      </c>
      <c r="BQ1974" s="53">
        <f>ROUND(HIX_SLCSP[[#This Row],[Weighting Factor 2019]]*HIX_SLCSP[[#This Row],[2019]],2)</f>
        <v>24.98</v>
      </c>
      <c r="BR1974" s="53">
        <f>ROUND(HIX_SLCSP[[#This Row],[Weighting Factor 2020]]*HIX_SLCSP[[#This Row],[2020]],2)</f>
        <v>20.79</v>
      </c>
      <c r="BS1974" s="53">
        <f>ROUND(HIX_SLCSP[[#This Row],[Weighting Factor 2021]]*HIX_SLCSP[[#This Row],[2021]],2)</f>
        <v>16.190000000000001</v>
      </c>
      <c r="BT1974" s="53">
        <f>ROUND(HIX_SLCSP[[#This Row],[Weighting Factor 2022]]*HIX_SLCSP[[#This Row],[2022]],2)</f>
        <v>15.53</v>
      </c>
      <c r="BU1974" s="53">
        <f>ROUND(HIX_SLCSP[[#This Row],[Weighting Factor 2023]]*HIX_SLCSP[[#This Row],[2023]],2)</f>
        <v>18.18</v>
      </c>
      <c r="BV1974" s="53">
        <f>ROUND(HIX_SLCSP[[#This Row],[Weighting Factor 2024]]*HIX_SLCSP[[#This Row],[2024]],2)</f>
        <v>17.02</v>
      </c>
    </row>
    <row r="1975" spans="4:74" x14ac:dyDescent="0.35">
      <c r="D1975" t="s">
        <v>1791</v>
      </c>
      <c r="E1975" t="s">
        <v>2597</v>
      </c>
      <c r="F1975" s="23"/>
      <c r="G1975" s="23"/>
      <c r="H1975" s="23"/>
      <c r="I1975" s="23"/>
      <c r="J1975" s="53"/>
      <c r="K1975" s="53">
        <f>SUM(BP1976:BP1983)</f>
        <v>391.52</v>
      </c>
      <c r="L1975" s="53"/>
      <c r="M1975" s="54"/>
      <c r="O1975" s="55"/>
      <c r="P1975" s="56">
        <f>SUM(BQ1976:BQ1983)</f>
        <v>415.74</v>
      </c>
      <c r="Q1975" s="56"/>
      <c r="R1975" s="57"/>
      <c r="S1975" s="23"/>
      <c r="T1975" s="53"/>
      <c r="U1975" s="53">
        <f>SUM(BR1976:BR1983)</f>
        <v>380.22999999999996</v>
      </c>
      <c r="V1975" s="53"/>
      <c r="W1975" s="57"/>
      <c r="X1975" s="47"/>
      <c r="Y1975" s="58"/>
      <c r="Z1975" s="53">
        <f>SUM(BS1976:BS1983)</f>
        <v>358.47</v>
      </c>
      <c r="AA1975" s="58"/>
      <c r="AB1975" s="57">
        <f t="shared" si="131"/>
        <v>0</v>
      </c>
      <c r="AC1975" s="47"/>
      <c r="AD1975" s="57"/>
      <c r="AE1975" s="53">
        <f>SUM(BT1976:BT1983)</f>
        <v>235.71</v>
      </c>
      <c r="AF1975" s="57"/>
      <c r="AG1975" s="57"/>
      <c r="AH1975" s="47"/>
      <c r="AI1975" s="57"/>
      <c r="AJ1975" s="53">
        <f>SUM(BU1976:BU1983)</f>
        <v>333.73000000000008</v>
      </c>
      <c r="AK1975" s="57"/>
      <c r="AL1975" s="57"/>
      <c r="AM1975" s="47"/>
      <c r="AN1975" s="57"/>
      <c r="AO1975" s="53">
        <f>SUM(BV1976:BV1983)</f>
        <v>352.40000000000003</v>
      </c>
      <c r="AP1975" s="57"/>
      <c r="AQ1975" s="57"/>
      <c r="AR1975" s="59">
        <f t="shared" ref="AR1975:AZ1975" si="136">SUM(AR1976:AR1983)</f>
        <v>185799</v>
      </c>
      <c r="AS1975" s="59">
        <f t="shared" si="136"/>
        <v>167291</v>
      </c>
      <c r="AT1975" s="59">
        <f t="shared" si="136"/>
        <v>144003</v>
      </c>
      <c r="AU1975" s="59">
        <f t="shared" si="136"/>
        <v>117881</v>
      </c>
      <c r="AV1975" s="59">
        <f t="shared" si="136"/>
        <v>117442</v>
      </c>
      <c r="AW1975" s="59">
        <f t="shared" si="136"/>
        <v>152259</v>
      </c>
      <c r="AX1975" s="59">
        <f t="shared" si="136"/>
        <v>189691</v>
      </c>
      <c r="AY1975" s="59">
        <f t="shared" si="136"/>
        <v>316386</v>
      </c>
      <c r="AZ1975" s="59">
        <f t="shared" si="136"/>
        <v>268860</v>
      </c>
      <c r="BA1975">
        <f t="shared" ref="BA1975:BA1983" si="137">AZ1975/AZ$1975</f>
        <v>1</v>
      </c>
      <c r="BB1975" s="59">
        <f>SUM(BB1976:BB1983)</f>
        <v>228646</v>
      </c>
      <c r="BC1975">
        <f t="shared" ref="BC1975:BC1983" si="138">BB1975/BB$1975</f>
        <v>1</v>
      </c>
      <c r="BD1975" s="59">
        <f>SUM(BD1976:BD1983)</f>
        <v>221533</v>
      </c>
      <c r="BE1975">
        <f t="shared" ref="BE1975:BE1983" si="139">BD1975/BD$1975</f>
        <v>1</v>
      </c>
      <c r="BF1975" s="59">
        <f>SUM(BF1976:BF1983)</f>
        <v>200445</v>
      </c>
      <c r="BG1975">
        <f t="shared" ref="BG1975:BG1983" si="140">BF1975/BF$1975</f>
        <v>1</v>
      </c>
      <c r="BH1975" s="59">
        <f>SUM(BH1976:BH1983)</f>
        <v>212052</v>
      </c>
      <c r="BI1975">
        <f t="shared" ref="BI1975:BI1983" si="141">BH1975/BH$1975</f>
        <v>1</v>
      </c>
      <c r="BJ1975" s="59">
        <f>SUM(BJ1976:BJ1983)</f>
        <v>273680</v>
      </c>
      <c r="BK1975">
        <f t="shared" ref="BK1975:BK1983" si="142">BJ1975/BJ$1975</f>
        <v>1</v>
      </c>
      <c r="BL1975" s="59">
        <f>SUM(BL1976:BL1983)</f>
        <v>348097</v>
      </c>
      <c r="BM1975">
        <f>BL1975/BL$1975</f>
        <v>1</v>
      </c>
      <c r="BN1975" s="59">
        <f>SUM(BN1976:BN1983)</f>
        <v>555103</v>
      </c>
      <c r="BO1975">
        <f t="shared" ref="BO1975:BO1983" si="143">BN1975/BN$1975</f>
        <v>1</v>
      </c>
      <c r="BP1975" s="53"/>
      <c r="BQ1975" s="53"/>
      <c r="BR1975" s="53"/>
      <c r="BS1975" s="53"/>
      <c r="BT1975" s="53"/>
      <c r="BU1975" s="53"/>
      <c r="BV1975" s="53"/>
    </row>
    <row r="1976" spans="4:74" x14ac:dyDescent="0.35">
      <c r="D1976" t="s">
        <v>1791</v>
      </c>
      <c r="E1976" t="s">
        <v>231</v>
      </c>
      <c r="F1976" s="23">
        <v>1</v>
      </c>
      <c r="G1976" s="23" t="s">
        <v>1792</v>
      </c>
      <c r="H1976" s="23" t="s">
        <v>1793</v>
      </c>
      <c r="I1976" s="23">
        <v>17</v>
      </c>
      <c r="J1976" s="53">
        <v>430.02</v>
      </c>
      <c r="K1976" s="53">
        <v>513.21</v>
      </c>
      <c r="L1976" s="53">
        <v>874.62</v>
      </c>
      <c r="M1976" s="54">
        <f t="shared" ref="M1976:M1983" si="144">L1976/K1976</f>
        <v>1.7042146489741041</v>
      </c>
      <c r="N1976" s="24">
        <v>17</v>
      </c>
      <c r="O1976" s="55">
        <v>317.20999999999998</v>
      </c>
      <c r="P1976" s="56">
        <v>405.76</v>
      </c>
      <c r="Q1976" s="56">
        <v>691.5</v>
      </c>
      <c r="R1976" s="57">
        <f t="shared" ref="R1976:R1983" si="145">Q1976/P1976</f>
        <v>1.7042093848580442</v>
      </c>
      <c r="S1976" s="23">
        <v>17</v>
      </c>
      <c r="T1976" s="53">
        <v>315.64999999999998</v>
      </c>
      <c r="U1976" s="53">
        <v>386.54</v>
      </c>
      <c r="V1976" s="53">
        <v>658.74</v>
      </c>
      <c r="W1976" s="57">
        <f t="shared" ref="W1976:W1983" si="146">V1976/U1976</f>
        <v>1.7041962022041703</v>
      </c>
      <c r="X1976" s="47">
        <v>83</v>
      </c>
      <c r="Y1976" s="58">
        <v>339.23</v>
      </c>
      <c r="Z1976" s="58">
        <v>350.43</v>
      </c>
      <c r="AA1976" s="58">
        <v>597.21</v>
      </c>
      <c r="AB1976" s="57">
        <f t="shared" si="131"/>
        <v>1.7042205290642924</v>
      </c>
      <c r="AC1976" s="47">
        <v>87</v>
      </c>
      <c r="AD1976" s="57">
        <v>362.92</v>
      </c>
      <c r="AE1976" s="57">
        <v>374.88</v>
      </c>
      <c r="AF1976" s="57">
        <v>638.87</v>
      </c>
      <c r="AG1976" s="57">
        <f t="shared" ref="AG1976:AG1983" si="147">AF1976/AE1976</f>
        <v>1.7041986769099446</v>
      </c>
      <c r="AH1976" s="47">
        <v>102</v>
      </c>
      <c r="AI1976">
        <v>345.52</v>
      </c>
      <c r="AJ1976">
        <v>346.61</v>
      </c>
      <c r="AK1976">
        <v>590.69000000000005</v>
      </c>
      <c r="AL1976" s="57">
        <f t="shared" si="135"/>
        <v>1.7041920313897465</v>
      </c>
      <c r="AM1976" s="47">
        <v>84</v>
      </c>
      <c r="AN1976" s="57">
        <v>342.15</v>
      </c>
      <c r="AO1976" s="57">
        <v>344.09</v>
      </c>
      <c r="AP1976" s="57">
        <v>586.39</v>
      </c>
      <c r="AQ1976" s="57">
        <f t="shared" si="133"/>
        <v>1.7041762329623065</v>
      </c>
      <c r="AR1976" s="59">
        <v>14518</v>
      </c>
      <c r="AS1976" s="59">
        <f>SUMIFS(HIX_RatingAreas[Silver Enrollments 2018],HIX_RatingAreas[Area],HIX_SLCSP[[#This Row],[Area Code]])</f>
        <v>10190</v>
      </c>
      <c r="AT1976" s="59">
        <f>SUMIFS(HIX_RatingAreas[Silver Enrollments 2019],HIX_RatingAreas[Area],HIX_SLCSP[[#This Row],[Area Code]])</f>
        <v>9371</v>
      </c>
      <c r="AU1976" s="59">
        <f>SUMIFS(HIX_RatingAreas[Silver Enrollments 2020],HIX_RatingAreas[Area],HIX_SLCSP[[#This Row],[Area Code]])</f>
        <v>7810</v>
      </c>
      <c r="AV1976" s="59">
        <f>SUMIFS(HIX_RatingAreas[Silver Enrollments 2021],HIX_RatingAreas[Area],HIX_SLCSP[[#This Row],[Area Code]])</f>
        <v>7378</v>
      </c>
      <c r="AW1976" s="59">
        <f>SUMIFS(HIX_RatingAreas[Silver Enrollments 2022],HIX_RatingAreas[Area],HIX_SLCSP[[#This Row],[Area Code]])</f>
        <v>11227</v>
      </c>
      <c r="AX1976" s="59">
        <f>SUMIFS(HIX_RatingAreas[Silver Enrollments 2023],HIX_RatingAreas[Area],HIX_SLCSP[[#This Row],[Area Code]])</f>
        <v>15447</v>
      </c>
      <c r="AY1976" s="59">
        <f>SUMIFS(HIX_RatingAreas[Silver Enrollments 2024],HIX_RatingAreas[Area],HIX_SLCSP[[#This Row],[Area Code]])</f>
        <v>25563</v>
      </c>
      <c r="AZ1976" s="59">
        <v>19932</v>
      </c>
      <c r="BA1976">
        <f t="shared" si="137"/>
        <v>7.4135237670162904E-2</v>
      </c>
      <c r="BB1976">
        <f>SUMIFS(HIX_RatingAreas[QHP Enrollments 2018],HIX_RatingAreas[Area],HIX_SLCSP[[#This Row],[Area Code]])</f>
        <v>14868</v>
      </c>
      <c r="BC1976">
        <f t="shared" si="138"/>
        <v>6.5026285174461837E-2</v>
      </c>
      <c r="BD1976">
        <f>SUMIFS(HIX_RatingAreas[QHP Enrollments 2019],HIX_RatingAreas[Area],HIX_SLCSP[[#This Row],[Area Code]])</f>
        <v>14416</v>
      </c>
      <c r="BE1976">
        <f t="shared" si="139"/>
        <v>6.5073826472805407E-2</v>
      </c>
      <c r="BF1976">
        <f>SUMIFS(HIX_RatingAreas[QHP Enrollments 2020],HIX_RatingAreas[Area],HIX_SLCSP[[#This Row],[Area Code]])</f>
        <v>13469</v>
      </c>
      <c r="BG1976">
        <f t="shared" si="140"/>
        <v>6.7195490034672858E-2</v>
      </c>
      <c r="BH1976">
        <f>SUMIFS(HIX_RatingAreas[QHP Enrollments 2021],HIX_RatingAreas[Area],HIX_SLCSP[[#This Row],[Area Code]])</f>
        <v>13755</v>
      </c>
      <c r="BI1976">
        <f t="shared" si="141"/>
        <v>6.4866164902948331E-2</v>
      </c>
      <c r="BJ1976">
        <f>SUMIFS(HIX_RatingAreas[QHP Enrollments 2022],HIX_RatingAreas[Area],HIX_SLCSP[[#This Row],[Area Code]])</f>
        <v>18586</v>
      </c>
      <c r="BK1976">
        <f t="shared" si="142"/>
        <v>6.7911429406606258E-2</v>
      </c>
      <c r="BL1976">
        <f>SUMIFS(HIX_RatingAreas[QHP Enrollments 2023],HIX_RatingAreas[Area],HIX_SLCSP[[#This Row],[Area Code]])</f>
        <v>24160</v>
      </c>
      <c r="BM1976">
        <f>BL1976/BL$1975</f>
        <v>6.9405941447355193E-2</v>
      </c>
      <c r="BN1976">
        <f>SUMIFS(HIX_RatingAreas[QHP Enrollments 2024],HIX_RatingAreas[Area],HIX_SLCSP[[#This Row],[Area Code]])</f>
        <v>37558</v>
      </c>
      <c r="BO1976">
        <f t="shared" si="143"/>
        <v>6.7659515441278462E-2</v>
      </c>
      <c r="BP1976" s="53">
        <f>ROUND(HIX_SLCSP[[#This Row],[Weighting Factor 2018]]*HIX_SLCSP[[#This Row],[2018]],2)</f>
        <v>33.369999999999997</v>
      </c>
      <c r="BQ1976" s="53">
        <f>ROUND(HIX_SLCSP[[#This Row],[Weighting Factor 2019]]*HIX_SLCSP[[#This Row],[2019]],2)</f>
        <v>26.4</v>
      </c>
      <c r="BR1976" s="53">
        <f>ROUND(HIX_SLCSP[[#This Row],[Weighting Factor 2020]]*HIX_SLCSP[[#This Row],[2020]],2)</f>
        <v>25.97</v>
      </c>
      <c r="BS1976" s="53">
        <f>ROUND(HIX_SLCSP[[#This Row],[Weighting Factor 2021]]*HIX_SLCSP[[#This Row],[2021]],2)</f>
        <v>22.73</v>
      </c>
      <c r="BT1976" s="53">
        <f>ROUND(HIX_SLCSP[[#This Row],[Weighting Factor 2022]]*HIX_SLCSP[[#This Row],[2022]],2)</f>
        <v>25.46</v>
      </c>
      <c r="BU1976" s="53">
        <f>ROUND(HIX_SLCSP[[#This Row],[Weighting Factor 2023]]*HIX_SLCSP[[#This Row],[2023]],2)</f>
        <v>24.06</v>
      </c>
      <c r="BV1976" s="53">
        <f>ROUND(HIX_SLCSP[[#This Row],[Weighting Factor 2024]]*HIX_SLCSP[[#This Row],[2024]],2)</f>
        <v>23.28</v>
      </c>
    </row>
    <row r="1977" spans="4:74" x14ac:dyDescent="0.35">
      <c r="D1977" t="s">
        <v>1791</v>
      </c>
      <c r="E1977" t="s">
        <v>235</v>
      </c>
      <c r="F1977" s="23">
        <v>2</v>
      </c>
      <c r="G1977" s="23" t="s">
        <v>1792</v>
      </c>
      <c r="H1977" s="23" t="s">
        <v>1806</v>
      </c>
      <c r="I1977" s="23">
        <v>62</v>
      </c>
      <c r="J1977" s="53">
        <v>513.04999999999995</v>
      </c>
      <c r="K1977" s="53">
        <v>355.97</v>
      </c>
      <c r="L1977" s="53">
        <v>606.65</v>
      </c>
      <c r="M1977" s="54">
        <f t="shared" si="144"/>
        <v>1.7042166474702922</v>
      </c>
      <c r="N1977" s="24">
        <v>25</v>
      </c>
      <c r="O1977" s="55">
        <v>294.36</v>
      </c>
      <c r="P1977" s="56">
        <v>392.93</v>
      </c>
      <c r="Q1977" s="56">
        <v>669.62</v>
      </c>
      <c r="R1977" s="57">
        <f t="shared" si="145"/>
        <v>1.704171226427099</v>
      </c>
      <c r="S1977" s="23">
        <v>62</v>
      </c>
      <c r="T1977" s="53">
        <v>287.29000000000002</v>
      </c>
      <c r="U1977" s="53">
        <v>359.47</v>
      </c>
      <c r="V1977" s="53">
        <v>612.6</v>
      </c>
      <c r="W1977" s="57">
        <f t="shared" si="146"/>
        <v>1.7041755918435473</v>
      </c>
      <c r="X1977" s="47">
        <v>101</v>
      </c>
      <c r="Y1977" s="58">
        <v>306.39999999999998</v>
      </c>
      <c r="Z1977" s="58">
        <v>325.69</v>
      </c>
      <c r="AA1977" s="58">
        <v>555.04999999999995</v>
      </c>
      <c r="AB1977" s="57">
        <f t="shared" si="131"/>
        <v>1.7042279468205961</v>
      </c>
      <c r="AC1977" s="47">
        <v>139</v>
      </c>
      <c r="AD1977" s="57">
        <v>199.23</v>
      </c>
      <c r="AE1977" s="57">
        <v>203.15</v>
      </c>
      <c r="AF1977" s="57">
        <v>346.21</v>
      </c>
      <c r="AG1977" s="57">
        <f t="shared" si="147"/>
        <v>1.7042087127738124</v>
      </c>
      <c r="AH1977" s="47">
        <v>155</v>
      </c>
      <c r="AI1977">
        <v>312.70999999999998</v>
      </c>
      <c r="AJ1977">
        <v>313.69</v>
      </c>
      <c r="AK1977">
        <v>534.6</v>
      </c>
      <c r="AL1977" s="57">
        <f t="shared" si="135"/>
        <v>1.7042302910516753</v>
      </c>
      <c r="AM1977" s="47">
        <v>109</v>
      </c>
      <c r="AN1977" s="57">
        <v>333.29</v>
      </c>
      <c r="AO1977" s="57">
        <v>335.17</v>
      </c>
      <c r="AP1977" s="57">
        <v>571.20000000000005</v>
      </c>
      <c r="AQ1977" s="57">
        <f t="shared" si="133"/>
        <v>1.7042098039800699</v>
      </c>
      <c r="AR1977" s="59">
        <v>35949</v>
      </c>
      <c r="AS1977" s="59">
        <f>SUMIFS(HIX_RatingAreas[Silver Enrollments 2018],HIX_RatingAreas[Area],HIX_SLCSP[[#This Row],[Area Code]])</f>
        <v>33769</v>
      </c>
      <c r="AT1977" s="59">
        <f>SUMIFS(HIX_RatingAreas[Silver Enrollments 2019],HIX_RatingAreas[Area],HIX_SLCSP[[#This Row],[Area Code]])</f>
        <v>26595</v>
      </c>
      <c r="AU1977" s="59">
        <f>SUMIFS(HIX_RatingAreas[Silver Enrollments 2020],HIX_RatingAreas[Area],HIX_SLCSP[[#This Row],[Area Code]])</f>
        <v>20616</v>
      </c>
      <c r="AV1977" s="59">
        <f>SUMIFS(HIX_RatingAreas[Silver Enrollments 2021],HIX_RatingAreas[Area],HIX_SLCSP[[#This Row],[Area Code]])</f>
        <v>20314</v>
      </c>
      <c r="AW1977" s="59">
        <f>SUMIFS(HIX_RatingAreas[Silver Enrollments 2022],HIX_RatingAreas[Area],HIX_SLCSP[[#This Row],[Area Code]])</f>
        <v>29466</v>
      </c>
      <c r="AX1977" s="59">
        <f>SUMIFS(HIX_RatingAreas[Silver Enrollments 2023],HIX_RatingAreas[Area],HIX_SLCSP[[#This Row],[Area Code]])</f>
        <v>36372</v>
      </c>
      <c r="AY1977" s="59">
        <f>SUMIFS(HIX_RatingAreas[Silver Enrollments 2024],HIX_RatingAreas[Area],HIX_SLCSP[[#This Row],[Area Code]])</f>
        <v>43020</v>
      </c>
      <c r="AZ1977" s="59">
        <v>49401</v>
      </c>
      <c r="BA1977">
        <f t="shared" si="137"/>
        <v>0.1837424681990627</v>
      </c>
      <c r="BB1977">
        <f>SUMIFS(HIX_RatingAreas[QHP Enrollments 2018],HIX_RatingAreas[Area],HIX_SLCSP[[#This Row],[Area Code]])</f>
        <v>43449</v>
      </c>
      <c r="BC1977">
        <f t="shared" si="138"/>
        <v>0.19002737856774227</v>
      </c>
      <c r="BD1977">
        <f>SUMIFS(HIX_RatingAreas[QHP Enrollments 2019],HIX_RatingAreas[Area],HIX_SLCSP[[#This Row],[Area Code]])</f>
        <v>42369</v>
      </c>
      <c r="BE1977">
        <f t="shared" si="139"/>
        <v>0.19125367326763959</v>
      </c>
      <c r="BF1977">
        <f>SUMIFS(HIX_RatingAreas[QHP Enrollments 2020],HIX_RatingAreas[Area],HIX_SLCSP[[#This Row],[Area Code]])</f>
        <v>37479</v>
      </c>
      <c r="BG1977">
        <f t="shared" si="140"/>
        <v>0.1869789717877722</v>
      </c>
      <c r="BH1977">
        <f>SUMIFS(HIX_RatingAreas[QHP Enrollments 2021],HIX_RatingAreas[Area],HIX_SLCSP[[#This Row],[Area Code]])</f>
        <v>39054</v>
      </c>
      <c r="BI1977">
        <f t="shared" si="141"/>
        <v>0.18417180691528492</v>
      </c>
      <c r="BJ1977">
        <f>SUMIFS(HIX_RatingAreas[QHP Enrollments 2022],HIX_RatingAreas[Area],HIX_SLCSP[[#This Row],[Area Code]])</f>
        <v>50967</v>
      </c>
      <c r="BK1977">
        <f t="shared" si="142"/>
        <v>0.18622844197603039</v>
      </c>
      <c r="BL1977">
        <f>SUMIFS(HIX_RatingAreas[QHP Enrollments 2023],HIX_RatingAreas[Area],HIX_SLCSP[[#This Row],[Area Code]])</f>
        <v>63787</v>
      </c>
      <c r="BM1977">
        <f t="shared" ref="BM1977:BM1983" si="148">BL1977/BL$1975</f>
        <v>0.18324490012841249</v>
      </c>
      <c r="BN1977">
        <f>SUMIFS(HIX_RatingAreas[QHP Enrollments 2024],HIX_RatingAreas[Area],HIX_SLCSP[[#This Row],[Area Code]])</f>
        <v>94539</v>
      </c>
      <c r="BO1977">
        <f t="shared" si="143"/>
        <v>0.17030893365735728</v>
      </c>
      <c r="BP1977" s="53">
        <f>ROUND(HIX_SLCSP[[#This Row],[Weighting Factor 2018]]*HIX_SLCSP[[#This Row],[2018]],2)</f>
        <v>67.64</v>
      </c>
      <c r="BQ1977" s="53">
        <f>ROUND(HIX_SLCSP[[#This Row],[Weighting Factor 2019]]*HIX_SLCSP[[#This Row],[2019]],2)</f>
        <v>75.150000000000006</v>
      </c>
      <c r="BR1977" s="53">
        <f>ROUND(HIX_SLCSP[[#This Row],[Weighting Factor 2020]]*HIX_SLCSP[[#This Row],[2020]],2)</f>
        <v>67.209999999999994</v>
      </c>
      <c r="BS1977" s="53">
        <f>ROUND(HIX_SLCSP[[#This Row],[Weighting Factor 2021]]*HIX_SLCSP[[#This Row],[2021]],2)</f>
        <v>59.98</v>
      </c>
      <c r="BT1977" s="53">
        <f>ROUND(HIX_SLCSP[[#This Row],[Weighting Factor 2022]]*HIX_SLCSP[[#This Row],[2022]],2)</f>
        <v>37.83</v>
      </c>
      <c r="BU1977" s="53">
        <f>ROUND(HIX_SLCSP[[#This Row],[Weighting Factor 2023]]*HIX_SLCSP[[#This Row],[2023]],2)</f>
        <v>57.48</v>
      </c>
      <c r="BV1977" s="53">
        <f>ROUND(HIX_SLCSP[[#This Row],[Weighting Factor 2024]]*HIX_SLCSP[[#This Row],[2024]],2)</f>
        <v>57.08</v>
      </c>
    </row>
    <row r="1978" spans="4:74" x14ac:dyDescent="0.35">
      <c r="D1978" t="s">
        <v>1791</v>
      </c>
      <c r="E1978" t="s">
        <v>239</v>
      </c>
      <c r="F1978" s="23">
        <v>3</v>
      </c>
      <c r="G1978" s="23" t="s">
        <v>1792</v>
      </c>
      <c r="H1978" s="23" t="s">
        <v>1830</v>
      </c>
      <c r="I1978" s="23">
        <v>45</v>
      </c>
      <c r="J1978" s="53">
        <v>510.46</v>
      </c>
      <c r="K1978" s="53">
        <v>288.05</v>
      </c>
      <c r="L1978" s="53">
        <v>490.9</v>
      </c>
      <c r="M1978" s="54">
        <f t="shared" si="144"/>
        <v>1.7042180177052593</v>
      </c>
      <c r="N1978" s="24">
        <v>21</v>
      </c>
      <c r="O1978" s="55">
        <v>337.07</v>
      </c>
      <c r="P1978" s="56">
        <v>423.59</v>
      </c>
      <c r="Q1978" s="56">
        <v>721.88</v>
      </c>
      <c r="R1978" s="57">
        <f t="shared" si="145"/>
        <v>1.704195094312897</v>
      </c>
      <c r="S1978" s="23">
        <v>45</v>
      </c>
      <c r="T1978" s="53">
        <v>325.73</v>
      </c>
      <c r="U1978" s="53">
        <v>394.9</v>
      </c>
      <c r="V1978" s="53">
        <v>672.99</v>
      </c>
      <c r="W1978" s="57">
        <f t="shared" si="146"/>
        <v>1.7042035958470501</v>
      </c>
      <c r="X1978" s="47">
        <v>95</v>
      </c>
      <c r="Y1978" s="58">
        <v>347.78</v>
      </c>
      <c r="Z1978" s="58">
        <v>359.26</v>
      </c>
      <c r="AA1978" s="58">
        <v>612.25</v>
      </c>
      <c r="AB1978" s="57">
        <f t="shared" si="131"/>
        <v>1.7041975171185215</v>
      </c>
      <c r="AC1978" s="47">
        <v>127</v>
      </c>
      <c r="AD1978" s="57">
        <v>216.98</v>
      </c>
      <c r="AE1978" s="57">
        <v>221.25</v>
      </c>
      <c r="AF1978" s="57">
        <v>377.05</v>
      </c>
      <c r="AG1978" s="57">
        <f t="shared" si="147"/>
        <v>1.7041807909604521</v>
      </c>
      <c r="AH1978" s="47">
        <v>127</v>
      </c>
      <c r="AI1978">
        <v>331.48</v>
      </c>
      <c r="AJ1978">
        <v>332.53</v>
      </c>
      <c r="AK1978">
        <v>566.69000000000005</v>
      </c>
      <c r="AL1978" s="57">
        <f t="shared" si="135"/>
        <v>1.7041770667308216</v>
      </c>
      <c r="AM1978" s="47">
        <v>109</v>
      </c>
      <c r="AN1978" s="57">
        <v>344.89</v>
      </c>
      <c r="AO1978" s="57">
        <v>346.84</v>
      </c>
      <c r="AP1978" s="57">
        <v>591.09</v>
      </c>
      <c r="AQ1978" s="57">
        <f t="shared" si="133"/>
        <v>1.7042152000922617</v>
      </c>
      <c r="AR1978" s="59">
        <v>19437</v>
      </c>
      <c r="AS1978" s="59">
        <f>SUMIFS(HIX_RatingAreas[Silver Enrollments 2018],HIX_RatingAreas[Area],HIX_SLCSP[[#This Row],[Area Code]])</f>
        <v>20322</v>
      </c>
      <c r="AT1978" s="59">
        <f>SUMIFS(HIX_RatingAreas[Silver Enrollments 2019],HIX_RatingAreas[Area],HIX_SLCSP[[#This Row],[Area Code]])</f>
        <v>14170</v>
      </c>
      <c r="AU1978" s="59">
        <f>SUMIFS(HIX_RatingAreas[Silver Enrollments 2020],HIX_RatingAreas[Area],HIX_SLCSP[[#This Row],[Area Code]])</f>
        <v>10158</v>
      </c>
      <c r="AV1978" s="59">
        <f>SUMIFS(HIX_RatingAreas[Silver Enrollments 2021],HIX_RatingAreas[Area],HIX_SLCSP[[#This Row],[Area Code]])</f>
        <v>10567</v>
      </c>
      <c r="AW1978" s="59">
        <f>SUMIFS(HIX_RatingAreas[Silver Enrollments 2022],HIX_RatingAreas[Area],HIX_SLCSP[[#This Row],[Area Code]])</f>
        <v>13905</v>
      </c>
      <c r="AX1978" s="59">
        <f>SUMIFS(HIX_RatingAreas[Silver Enrollments 2023],HIX_RatingAreas[Area],HIX_SLCSP[[#This Row],[Area Code]])</f>
        <v>18538</v>
      </c>
      <c r="AY1978" s="59">
        <f>SUMIFS(HIX_RatingAreas[Silver Enrollments 2024],HIX_RatingAreas[Area],HIX_SLCSP[[#This Row],[Area Code]])</f>
        <v>23502</v>
      </c>
      <c r="AZ1978" s="59">
        <v>27160</v>
      </c>
      <c r="BA1978">
        <f t="shared" si="137"/>
        <v>0.10101911775645317</v>
      </c>
      <c r="BB1978">
        <f>SUMIFS(HIX_RatingAreas[QHP Enrollments 2018],HIX_RatingAreas[Area],HIX_SLCSP[[#This Row],[Area Code]])</f>
        <v>24690</v>
      </c>
      <c r="BC1978">
        <f t="shared" si="138"/>
        <v>0.10798352037647717</v>
      </c>
      <c r="BD1978">
        <f>SUMIFS(HIX_RatingAreas[QHP Enrollments 2019],HIX_RatingAreas[Area],HIX_SLCSP[[#This Row],[Area Code]])</f>
        <v>23639</v>
      </c>
      <c r="BE1978">
        <f t="shared" si="139"/>
        <v>0.10670645005484511</v>
      </c>
      <c r="BF1978">
        <f>SUMIFS(HIX_RatingAreas[QHP Enrollments 2020],HIX_RatingAreas[Area],HIX_SLCSP[[#This Row],[Area Code]])</f>
        <v>20145</v>
      </c>
      <c r="BG1978">
        <f t="shared" si="140"/>
        <v>0.10050138441966625</v>
      </c>
      <c r="BH1978">
        <f>SUMIFS(HIX_RatingAreas[QHP Enrollments 2021],HIX_RatingAreas[Area],HIX_SLCSP[[#This Row],[Area Code]])</f>
        <v>20820</v>
      </c>
      <c r="BI1978">
        <f t="shared" si="141"/>
        <v>9.8183464433252224E-2</v>
      </c>
      <c r="BJ1978">
        <f>SUMIFS(HIX_RatingAreas[QHP Enrollments 2022],HIX_RatingAreas[Area],HIX_SLCSP[[#This Row],[Area Code]])</f>
        <v>26681</v>
      </c>
      <c r="BK1978">
        <f t="shared" si="142"/>
        <v>9.7489769073370355E-2</v>
      </c>
      <c r="BL1978">
        <f>SUMIFS(HIX_RatingAreas[QHP Enrollments 2023],HIX_RatingAreas[Area],HIX_SLCSP[[#This Row],[Area Code]])</f>
        <v>35278</v>
      </c>
      <c r="BM1978">
        <f t="shared" si="148"/>
        <v>0.10134531466803794</v>
      </c>
      <c r="BN1978">
        <f>SUMIFS(HIX_RatingAreas[QHP Enrollments 2024],HIX_RatingAreas[Area],HIX_SLCSP[[#This Row],[Area Code]])</f>
        <v>55737</v>
      </c>
      <c r="BO1978">
        <f t="shared" si="143"/>
        <v>0.10040839267667442</v>
      </c>
      <c r="BP1978" s="53">
        <f>ROUND(HIX_SLCSP[[#This Row],[Weighting Factor 2018]]*HIX_SLCSP[[#This Row],[2018]],2)</f>
        <v>31.1</v>
      </c>
      <c r="BQ1978" s="53">
        <f>ROUND(HIX_SLCSP[[#This Row],[Weighting Factor 2019]]*HIX_SLCSP[[#This Row],[2019]],2)</f>
        <v>45.2</v>
      </c>
      <c r="BR1978" s="53">
        <f>ROUND(HIX_SLCSP[[#This Row],[Weighting Factor 2020]]*HIX_SLCSP[[#This Row],[2020]],2)</f>
        <v>39.69</v>
      </c>
      <c r="BS1978" s="53">
        <f>ROUND(HIX_SLCSP[[#This Row],[Weighting Factor 2021]]*HIX_SLCSP[[#This Row],[2021]],2)</f>
        <v>35.270000000000003</v>
      </c>
      <c r="BT1978" s="53">
        <f>ROUND(HIX_SLCSP[[#This Row],[Weighting Factor 2022]]*HIX_SLCSP[[#This Row],[2022]],2)</f>
        <v>21.57</v>
      </c>
      <c r="BU1978" s="53">
        <f>ROUND(HIX_SLCSP[[#This Row],[Weighting Factor 2023]]*HIX_SLCSP[[#This Row],[2023]],2)</f>
        <v>33.700000000000003</v>
      </c>
      <c r="BV1978" s="53">
        <f>ROUND(HIX_SLCSP[[#This Row],[Weighting Factor 2024]]*HIX_SLCSP[[#This Row],[2024]],2)</f>
        <v>34.83</v>
      </c>
    </row>
    <row r="1979" spans="4:74" x14ac:dyDescent="0.35">
      <c r="D1979" t="s">
        <v>1791</v>
      </c>
      <c r="E1979" t="s">
        <v>255</v>
      </c>
      <c r="F1979" s="23">
        <v>4</v>
      </c>
      <c r="G1979" s="23" t="s">
        <v>1792</v>
      </c>
      <c r="H1979" s="23" t="s">
        <v>1848</v>
      </c>
      <c r="I1979" s="23">
        <v>79</v>
      </c>
      <c r="J1979" s="53">
        <v>435.87</v>
      </c>
      <c r="K1979" s="53">
        <v>484.57</v>
      </c>
      <c r="L1979" s="53">
        <v>825.8</v>
      </c>
      <c r="M1979" s="54">
        <f t="shared" si="144"/>
        <v>1.7041913449037289</v>
      </c>
      <c r="N1979" s="24">
        <v>29</v>
      </c>
      <c r="O1979" s="55">
        <v>397.8</v>
      </c>
      <c r="P1979" s="56">
        <v>398.67</v>
      </c>
      <c r="Q1979" s="56">
        <v>679.41</v>
      </c>
      <c r="R1979" s="57">
        <f t="shared" si="145"/>
        <v>1.7041914365264503</v>
      </c>
      <c r="S1979" s="23">
        <v>79</v>
      </c>
      <c r="T1979" s="53">
        <v>339.49</v>
      </c>
      <c r="U1979" s="53">
        <v>354.05</v>
      </c>
      <c r="V1979" s="53">
        <v>603.38</v>
      </c>
      <c r="W1979" s="57">
        <f t="shared" si="146"/>
        <v>1.7042225674339782</v>
      </c>
      <c r="X1979" s="47">
        <v>141</v>
      </c>
      <c r="Y1979" s="58">
        <v>337.36</v>
      </c>
      <c r="Z1979" s="58">
        <v>349.16</v>
      </c>
      <c r="AA1979" s="58">
        <v>595.04</v>
      </c>
      <c r="AB1979" s="57">
        <f t="shared" si="131"/>
        <v>1.7042043762172068</v>
      </c>
      <c r="AC1979" s="47">
        <v>163</v>
      </c>
      <c r="AD1979" s="57">
        <v>220.13</v>
      </c>
      <c r="AE1979" s="57">
        <v>224.47</v>
      </c>
      <c r="AF1979" s="57">
        <v>382.53</v>
      </c>
      <c r="AG1979" s="57">
        <f t="shared" si="147"/>
        <v>1.7041475475564662</v>
      </c>
      <c r="AH1979" s="47">
        <v>221</v>
      </c>
      <c r="AI1979">
        <v>341.69</v>
      </c>
      <c r="AJ1979">
        <v>342.77</v>
      </c>
      <c r="AK1979">
        <v>584.14</v>
      </c>
      <c r="AL1979" s="57">
        <f t="shared" si="135"/>
        <v>1.7041748110978208</v>
      </c>
      <c r="AM1979" s="47">
        <v>147</v>
      </c>
      <c r="AN1979" s="57">
        <v>350.35</v>
      </c>
      <c r="AO1979" s="57">
        <v>352.33</v>
      </c>
      <c r="AP1979" s="57">
        <v>600.42999999999995</v>
      </c>
      <c r="AQ1979" s="57">
        <f t="shared" si="133"/>
        <v>1.7041693866545566</v>
      </c>
      <c r="AR1979" s="59">
        <v>47757</v>
      </c>
      <c r="AS1979" s="59">
        <f>SUMIFS(HIX_RatingAreas[Silver Enrollments 2018],HIX_RatingAreas[Area],HIX_SLCSP[[#This Row],[Area Code]])</f>
        <v>37714</v>
      </c>
      <c r="AT1979" s="59">
        <f>SUMIFS(HIX_RatingAreas[Silver Enrollments 2019],HIX_RatingAreas[Area],HIX_SLCSP[[#This Row],[Area Code]])</f>
        <v>33932</v>
      </c>
      <c r="AU1979" s="59">
        <f>SUMIFS(HIX_RatingAreas[Silver Enrollments 2020],HIX_RatingAreas[Area],HIX_SLCSP[[#This Row],[Area Code]])</f>
        <v>30272</v>
      </c>
      <c r="AV1979" s="59">
        <f>SUMIFS(HIX_RatingAreas[Silver Enrollments 2021],HIX_RatingAreas[Area],HIX_SLCSP[[#This Row],[Area Code]])</f>
        <v>34300</v>
      </c>
      <c r="AW1979" s="59">
        <f>SUMIFS(HIX_RatingAreas[Silver Enrollments 2022],HIX_RatingAreas[Area],HIX_SLCSP[[#This Row],[Area Code]])</f>
        <v>46493</v>
      </c>
      <c r="AX1979" s="59">
        <f>SUMIFS(HIX_RatingAreas[Silver Enrollments 2023],HIX_RatingAreas[Area],HIX_SLCSP[[#This Row],[Area Code]])</f>
        <v>57451</v>
      </c>
      <c r="AY1979" s="59">
        <f>SUMIFS(HIX_RatingAreas[Silver Enrollments 2024],HIX_RatingAreas[Area],HIX_SLCSP[[#This Row],[Area Code]])</f>
        <v>109710</v>
      </c>
      <c r="AZ1979" s="59">
        <v>76002</v>
      </c>
      <c r="BA1979">
        <f t="shared" si="137"/>
        <v>0.28268243695603662</v>
      </c>
      <c r="BB1979">
        <f>SUMIFS(HIX_RatingAreas[QHP Enrollments 2018],HIX_RatingAreas[Area],HIX_SLCSP[[#This Row],[Area Code]])</f>
        <v>65335</v>
      </c>
      <c r="BC1979">
        <f t="shared" si="138"/>
        <v>0.28574739991077913</v>
      </c>
      <c r="BD1979">
        <f>SUMIFS(HIX_RatingAreas[QHP Enrollments 2019],HIX_RatingAreas[Area],HIX_SLCSP[[#This Row],[Area Code]])</f>
        <v>62724</v>
      </c>
      <c r="BE1979">
        <f t="shared" si="139"/>
        <v>0.28313614675917359</v>
      </c>
      <c r="BF1979">
        <f>SUMIFS(HIX_RatingAreas[QHP Enrollments 2020],HIX_RatingAreas[Area],HIX_SLCSP[[#This Row],[Area Code]])</f>
        <v>57686</v>
      </c>
      <c r="BG1979">
        <f t="shared" si="140"/>
        <v>0.28778966798872507</v>
      </c>
      <c r="BH1979">
        <f>SUMIFS(HIX_RatingAreas[QHP Enrollments 2021],HIX_RatingAreas[Area],HIX_SLCSP[[#This Row],[Area Code]])</f>
        <v>63364</v>
      </c>
      <c r="BI1979">
        <f t="shared" si="141"/>
        <v>0.29881349857582101</v>
      </c>
      <c r="BJ1979">
        <f>SUMIFS(HIX_RatingAreas[QHP Enrollments 2022],HIX_RatingAreas[Area],HIX_SLCSP[[#This Row],[Area Code]])</f>
        <v>83010</v>
      </c>
      <c r="BK1979">
        <f t="shared" si="142"/>
        <v>0.30331043554516224</v>
      </c>
      <c r="BL1979">
        <f>SUMIFS(HIX_RatingAreas[QHP Enrollments 2023],HIX_RatingAreas[Area],HIX_SLCSP[[#This Row],[Area Code]])</f>
        <v>104893</v>
      </c>
      <c r="BM1979">
        <f t="shared" si="148"/>
        <v>0.30133267451313855</v>
      </c>
      <c r="BN1979">
        <f>SUMIFS(HIX_RatingAreas[QHP Enrollments 2024],HIX_RatingAreas[Area],HIX_SLCSP[[#This Row],[Area Code]])</f>
        <v>164089</v>
      </c>
      <c r="BO1979">
        <f t="shared" si="143"/>
        <v>0.29560099657180738</v>
      </c>
      <c r="BP1979" s="53">
        <f>ROUND(HIX_SLCSP[[#This Row],[Weighting Factor 2018]]*HIX_SLCSP[[#This Row],[2018]],2)</f>
        <v>138.46</v>
      </c>
      <c r="BQ1979" s="53">
        <f>ROUND(HIX_SLCSP[[#This Row],[Weighting Factor 2019]]*HIX_SLCSP[[#This Row],[2019]],2)</f>
        <v>112.88</v>
      </c>
      <c r="BR1979" s="53">
        <f>ROUND(HIX_SLCSP[[#This Row],[Weighting Factor 2020]]*HIX_SLCSP[[#This Row],[2020]],2)</f>
        <v>101.89</v>
      </c>
      <c r="BS1979" s="53">
        <f>ROUND(HIX_SLCSP[[#This Row],[Weighting Factor 2021]]*HIX_SLCSP[[#This Row],[2021]],2)</f>
        <v>104.33</v>
      </c>
      <c r="BT1979" s="53">
        <f>ROUND(HIX_SLCSP[[#This Row],[Weighting Factor 2022]]*HIX_SLCSP[[#This Row],[2022]],2)</f>
        <v>68.08</v>
      </c>
      <c r="BU1979" s="53">
        <f>ROUND(HIX_SLCSP[[#This Row],[Weighting Factor 2023]]*HIX_SLCSP[[#This Row],[2023]],2)</f>
        <v>103.29</v>
      </c>
      <c r="BV1979" s="53">
        <f>ROUND(HIX_SLCSP[[#This Row],[Weighting Factor 2024]]*HIX_SLCSP[[#This Row],[2024]],2)</f>
        <v>104.15</v>
      </c>
    </row>
    <row r="1980" spans="4:74" x14ac:dyDescent="0.35">
      <c r="D1980" t="s">
        <v>1791</v>
      </c>
      <c r="E1980" t="s">
        <v>259</v>
      </c>
      <c r="F1980" s="23">
        <v>5</v>
      </c>
      <c r="G1980" s="23" t="s">
        <v>1792</v>
      </c>
      <c r="H1980" s="23" t="s">
        <v>1863</v>
      </c>
      <c r="I1980" s="23">
        <v>17</v>
      </c>
      <c r="J1980" s="53">
        <v>540.9</v>
      </c>
      <c r="K1980" s="53">
        <v>357.79</v>
      </c>
      <c r="L1980" s="53">
        <v>609.75</v>
      </c>
      <c r="M1980" s="54">
        <f t="shared" si="144"/>
        <v>1.7042119679141394</v>
      </c>
      <c r="N1980" s="24">
        <v>9</v>
      </c>
      <c r="O1980" s="55">
        <v>357.17</v>
      </c>
      <c r="P1980" s="56">
        <v>476.76</v>
      </c>
      <c r="Q1980" s="56">
        <v>812.49</v>
      </c>
      <c r="R1980" s="57">
        <f t="shared" si="145"/>
        <v>1.70419078781777</v>
      </c>
      <c r="S1980" s="23">
        <v>17</v>
      </c>
      <c r="T1980" s="53">
        <v>328.08</v>
      </c>
      <c r="U1980" s="53">
        <v>412.89</v>
      </c>
      <c r="V1980" s="53">
        <v>703.65</v>
      </c>
      <c r="W1980" s="57">
        <f t="shared" si="146"/>
        <v>1.7042069316282786</v>
      </c>
      <c r="X1980" s="47">
        <v>95</v>
      </c>
      <c r="Y1980" s="58">
        <v>353.99</v>
      </c>
      <c r="Z1980" s="58">
        <v>357.13</v>
      </c>
      <c r="AA1980" s="58">
        <v>608.62</v>
      </c>
      <c r="AB1980" s="57">
        <f t="shared" si="131"/>
        <v>1.7041973511046398</v>
      </c>
      <c r="AC1980" s="47">
        <v>103</v>
      </c>
      <c r="AD1980" s="57">
        <v>371.08</v>
      </c>
      <c r="AE1980" s="57">
        <v>371.08</v>
      </c>
      <c r="AF1980" s="57">
        <v>632.39</v>
      </c>
      <c r="AG1980" s="57">
        <f t="shared" si="147"/>
        <v>1.7041877762207611</v>
      </c>
      <c r="AH1980" s="47">
        <v>126</v>
      </c>
      <c r="AI1980">
        <v>342.86</v>
      </c>
      <c r="AJ1980">
        <v>343.95</v>
      </c>
      <c r="AK1980">
        <v>586.15</v>
      </c>
      <c r="AL1980" s="57">
        <f t="shared" si="135"/>
        <v>1.7041721180404128</v>
      </c>
      <c r="AM1980" s="47">
        <v>104</v>
      </c>
      <c r="AN1980" s="57">
        <v>363.36</v>
      </c>
      <c r="AO1980" s="57">
        <v>365.41</v>
      </c>
      <c r="AP1980" s="57">
        <v>622.74</v>
      </c>
      <c r="AQ1980" s="57">
        <f t="shared" si="133"/>
        <v>1.70422265400509</v>
      </c>
      <c r="AR1980" s="59">
        <v>12860</v>
      </c>
      <c r="AS1980" s="59">
        <f>SUMIFS(HIX_RatingAreas[Silver Enrollments 2018],HIX_RatingAreas[Area],HIX_SLCSP[[#This Row],[Area Code]])</f>
        <v>13793</v>
      </c>
      <c r="AT1980" s="59">
        <f>SUMIFS(HIX_RatingAreas[Silver Enrollments 2019],HIX_RatingAreas[Area],HIX_SLCSP[[#This Row],[Area Code]])</f>
        <v>13258</v>
      </c>
      <c r="AU1980" s="59">
        <f>SUMIFS(HIX_RatingAreas[Silver Enrollments 2020],HIX_RatingAreas[Area],HIX_SLCSP[[#This Row],[Area Code]])</f>
        <v>8385</v>
      </c>
      <c r="AV1980" s="59">
        <f>SUMIFS(HIX_RatingAreas[Silver Enrollments 2021],HIX_RatingAreas[Area],HIX_SLCSP[[#This Row],[Area Code]])</f>
        <v>7648</v>
      </c>
      <c r="AW1980" s="59">
        <f>SUMIFS(HIX_RatingAreas[Silver Enrollments 2022],HIX_RatingAreas[Area],HIX_SLCSP[[#This Row],[Area Code]])</f>
        <v>7973</v>
      </c>
      <c r="AX1980" s="59">
        <f>SUMIFS(HIX_RatingAreas[Silver Enrollments 2023],HIX_RatingAreas[Area],HIX_SLCSP[[#This Row],[Area Code]])</f>
        <v>11129</v>
      </c>
      <c r="AY1980" s="59">
        <f>SUMIFS(HIX_RatingAreas[Silver Enrollments 2024],HIX_RatingAreas[Area],HIX_SLCSP[[#This Row],[Area Code]])</f>
        <v>18584</v>
      </c>
      <c r="AZ1980" s="59">
        <v>18577</v>
      </c>
      <c r="BA1980">
        <f t="shared" si="137"/>
        <v>6.9095440005951053E-2</v>
      </c>
      <c r="BB1980">
        <f>SUMIFS(HIX_RatingAreas[QHP Enrollments 2018],HIX_RatingAreas[Area],HIX_SLCSP[[#This Row],[Area Code]])</f>
        <v>16073</v>
      </c>
      <c r="BC1980">
        <f t="shared" si="138"/>
        <v>7.0296440786193501E-2</v>
      </c>
      <c r="BD1980">
        <f>SUMIFS(HIX_RatingAreas[QHP Enrollments 2019],HIX_RatingAreas[Area],HIX_SLCSP[[#This Row],[Area Code]])</f>
        <v>15685</v>
      </c>
      <c r="BE1980">
        <f t="shared" si="139"/>
        <v>7.0802092690479518E-2</v>
      </c>
      <c r="BF1980">
        <f>SUMIFS(HIX_RatingAreas[QHP Enrollments 2020],HIX_RatingAreas[Area],HIX_SLCSP[[#This Row],[Area Code]])</f>
        <v>14400</v>
      </c>
      <c r="BG1980">
        <f t="shared" si="140"/>
        <v>7.1840155653670579E-2</v>
      </c>
      <c r="BH1980">
        <f>SUMIFS(HIX_RatingAreas[QHP Enrollments 2021],HIX_RatingAreas[Area],HIX_SLCSP[[#This Row],[Area Code]])</f>
        <v>13170</v>
      </c>
      <c r="BI1980">
        <f t="shared" si="141"/>
        <v>6.2107407616999601E-2</v>
      </c>
      <c r="BJ1980">
        <f>SUMIFS(HIX_RatingAreas[QHP Enrollments 2022],HIX_RatingAreas[Area],HIX_SLCSP[[#This Row],[Area Code]])</f>
        <v>16712</v>
      </c>
      <c r="BK1980">
        <f t="shared" si="142"/>
        <v>6.106401636948261E-2</v>
      </c>
      <c r="BL1980">
        <f>SUMIFS(HIX_RatingAreas[QHP Enrollments 2023],HIX_RatingAreas[Area],HIX_SLCSP[[#This Row],[Area Code]])</f>
        <v>21540</v>
      </c>
      <c r="BM1980">
        <f t="shared" si="148"/>
        <v>6.1879303757286043E-2</v>
      </c>
      <c r="BN1980">
        <f>SUMIFS(HIX_RatingAreas[QHP Enrollments 2024],HIX_RatingAreas[Area],HIX_SLCSP[[#This Row],[Area Code]])</f>
        <v>36009</v>
      </c>
      <c r="BO1980">
        <f t="shared" si="143"/>
        <v>6.4869042321875403E-2</v>
      </c>
      <c r="BP1980" s="53">
        <f>ROUND(HIX_SLCSP[[#This Row],[Weighting Factor 2018]]*HIX_SLCSP[[#This Row],[2018]],2)</f>
        <v>25.15</v>
      </c>
      <c r="BQ1980" s="53">
        <f>ROUND(HIX_SLCSP[[#This Row],[Weighting Factor 2019]]*HIX_SLCSP[[#This Row],[2019]],2)</f>
        <v>33.76</v>
      </c>
      <c r="BR1980" s="53">
        <f>ROUND(HIX_SLCSP[[#This Row],[Weighting Factor 2020]]*HIX_SLCSP[[#This Row],[2020]],2)</f>
        <v>29.66</v>
      </c>
      <c r="BS1980" s="53">
        <f>ROUND(HIX_SLCSP[[#This Row],[Weighting Factor 2021]]*HIX_SLCSP[[#This Row],[2021]],2)</f>
        <v>22.18</v>
      </c>
      <c r="BT1980" s="53">
        <f>ROUND(HIX_SLCSP[[#This Row],[Weighting Factor 2022]]*HIX_SLCSP[[#This Row],[2022]],2)</f>
        <v>22.66</v>
      </c>
      <c r="BU1980" s="53">
        <f>ROUND(HIX_SLCSP[[#This Row],[Weighting Factor 2023]]*HIX_SLCSP[[#This Row],[2023]],2)</f>
        <v>21.28</v>
      </c>
      <c r="BV1980" s="53">
        <f>ROUND(HIX_SLCSP[[#This Row],[Weighting Factor 2024]]*HIX_SLCSP[[#This Row],[2024]],2)</f>
        <v>23.7</v>
      </c>
    </row>
    <row r="1981" spans="4:74" x14ac:dyDescent="0.35">
      <c r="D1981" t="s">
        <v>1791</v>
      </c>
      <c r="E1981" t="s">
        <v>265</v>
      </c>
      <c r="F1981" s="23">
        <v>6</v>
      </c>
      <c r="G1981" s="23" t="s">
        <v>1792</v>
      </c>
      <c r="H1981" s="23" t="s">
        <v>1888</v>
      </c>
      <c r="I1981" s="23">
        <v>79</v>
      </c>
      <c r="J1981" s="53">
        <v>492.89</v>
      </c>
      <c r="K1981" s="53">
        <v>337.09</v>
      </c>
      <c r="L1981" s="53">
        <v>574.47</v>
      </c>
      <c r="M1981" s="54">
        <f t="shared" si="144"/>
        <v>1.7042036251446204</v>
      </c>
      <c r="N1981" s="24">
        <v>41</v>
      </c>
      <c r="O1981" s="55">
        <v>380.58</v>
      </c>
      <c r="P1981" s="56">
        <v>408.65</v>
      </c>
      <c r="Q1981" s="56">
        <v>696.43</v>
      </c>
      <c r="R1981" s="57">
        <f t="shared" si="145"/>
        <v>1.7042212161996819</v>
      </c>
      <c r="S1981" s="23">
        <v>79</v>
      </c>
      <c r="T1981" s="53">
        <v>300.81</v>
      </c>
      <c r="U1981" s="53">
        <v>349.81</v>
      </c>
      <c r="V1981" s="53">
        <v>596.15</v>
      </c>
      <c r="W1981" s="57">
        <f t="shared" si="146"/>
        <v>1.7042108573225465</v>
      </c>
      <c r="X1981" s="47">
        <v>141</v>
      </c>
      <c r="Y1981" s="58">
        <v>327.77</v>
      </c>
      <c r="Z1981" s="58">
        <v>334.49</v>
      </c>
      <c r="AA1981" s="58">
        <v>570.04</v>
      </c>
      <c r="AB1981" s="57">
        <f t="shared" si="131"/>
        <v>1.7042064037788871</v>
      </c>
      <c r="AC1981" s="47">
        <v>152</v>
      </c>
      <c r="AD1981" s="57">
        <v>195.37</v>
      </c>
      <c r="AE1981" s="57">
        <v>199.22</v>
      </c>
      <c r="AF1981" s="57">
        <v>339.51</v>
      </c>
      <c r="AG1981" s="57">
        <f t="shared" si="147"/>
        <v>1.7041963658267243</v>
      </c>
      <c r="AH1981" s="47">
        <v>189</v>
      </c>
      <c r="AI1981">
        <v>313.08</v>
      </c>
      <c r="AJ1981">
        <v>314.07</v>
      </c>
      <c r="AK1981">
        <v>535.23</v>
      </c>
      <c r="AL1981" s="57">
        <f t="shared" si="135"/>
        <v>1.7041742286751362</v>
      </c>
      <c r="AM1981" s="47">
        <v>135</v>
      </c>
      <c r="AN1981" s="57">
        <v>341.48</v>
      </c>
      <c r="AO1981" s="57">
        <v>343.41</v>
      </c>
      <c r="AP1981" s="57">
        <v>585.24</v>
      </c>
      <c r="AQ1981" s="57">
        <f t="shared" si="133"/>
        <v>1.7042019743164147</v>
      </c>
      <c r="AR1981" s="59">
        <v>31044</v>
      </c>
      <c r="AS1981" s="59">
        <f>SUMIFS(HIX_RatingAreas[Silver Enrollments 2018],HIX_RatingAreas[Area],HIX_SLCSP[[#This Row],[Area Code]])</f>
        <v>26364</v>
      </c>
      <c r="AT1981" s="59">
        <f>SUMIFS(HIX_RatingAreas[Silver Enrollments 2019],HIX_RatingAreas[Area],HIX_SLCSP[[#This Row],[Area Code]])</f>
        <v>21852</v>
      </c>
      <c r="AU1981" s="59">
        <f>SUMIFS(HIX_RatingAreas[Silver Enrollments 2020],HIX_RatingAreas[Area],HIX_SLCSP[[#This Row],[Area Code]])</f>
        <v>17103</v>
      </c>
      <c r="AV1981" s="59">
        <f>SUMIFS(HIX_RatingAreas[Silver Enrollments 2021],HIX_RatingAreas[Area],HIX_SLCSP[[#This Row],[Area Code]])</f>
        <v>18961</v>
      </c>
      <c r="AW1981" s="59">
        <f>SUMIFS(HIX_RatingAreas[Silver Enrollments 2022],HIX_RatingAreas[Area],HIX_SLCSP[[#This Row],[Area Code]])</f>
        <v>28226</v>
      </c>
      <c r="AX1981" s="59">
        <f>SUMIFS(HIX_RatingAreas[Silver Enrollments 2023],HIX_RatingAreas[Area],HIX_SLCSP[[#This Row],[Area Code]])</f>
        <v>32670</v>
      </c>
      <c r="AY1981" s="59">
        <f>SUMIFS(HIX_RatingAreas[Silver Enrollments 2024],HIX_RatingAreas[Area],HIX_SLCSP[[#This Row],[Area Code]])</f>
        <v>63084</v>
      </c>
      <c r="AZ1981" s="59">
        <v>44722</v>
      </c>
      <c r="BA1981">
        <f t="shared" si="137"/>
        <v>0.16633935877408318</v>
      </c>
      <c r="BB1981">
        <f>SUMIFS(HIX_RatingAreas[QHP Enrollments 2018],HIX_RatingAreas[Area],HIX_SLCSP[[#This Row],[Area Code]])</f>
        <v>34212</v>
      </c>
      <c r="BC1981">
        <f t="shared" si="138"/>
        <v>0.1496286836419618</v>
      </c>
      <c r="BD1981">
        <f>SUMIFS(HIX_RatingAreas[QHP Enrollments 2019],HIX_RatingAreas[Area],HIX_SLCSP[[#This Row],[Area Code]])</f>
        <v>32625</v>
      </c>
      <c r="BE1981">
        <f t="shared" si="139"/>
        <v>0.14726925559623172</v>
      </c>
      <c r="BF1981">
        <f>SUMIFS(HIX_RatingAreas[QHP Enrollments 2020],HIX_RatingAreas[Area],HIX_SLCSP[[#This Row],[Area Code]])</f>
        <v>27733</v>
      </c>
      <c r="BG1981">
        <f t="shared" si="140"/>
        <v>0.13835715532939211</v>
      </c>
      <c r="BH1981">
        <f>SUMIFS(HIX_RatingAreas[QHP Enrollments 2021],HIX_RatingAreas[Area],HIX_SLCSP[[#This Row],[Area Code]])</f>
        <v>31580</v>
      </c>
      <c r="BI1981">
        <f t="shared" si="141"/>
        <v>0.14892573519702715</v>
      </c>
      <c r="BJ1981">
        <f>SUMIFS(HIX_RatingAreas[QHP Enrollments 2022],HIX_RatingAreas[Area],HIX_SLCSP[[#This Row],[Area Code]])</f>
        <v>43609</v>
      </c>
      <c r="BK1981">
        <f t="shared" si="142"/>
        <v>0.15934302835428238</v>
      </c>
      <c r="BL1981">
        <f>SUMIFS(HIX_RatingAreas[QHP Enrollments 2023],HIX_RatingAreas[Area],HIX_SLCSP[[#This Row],[Area Code]])</f>
        <v>57387</v>
      </c>
      <c r="BM1981">
        <f t="shared" si="148"/>
        <v>0.16485922027480845</v>
      </c>
      <c r="BN1981">
        <f>SUMIFS(HIX_RatingAreas[QHP Enrollments 2024],HIX_RatingAreas[Area],HIX_SLCSP[[#This Row],[Area Code]])</f>
        <v>104018</v>
      </c>
      <c r="BO1981">
        <f t="shared" si="143"/>
        <v>0.18738504385672569</v>
      </c>
      <c r="BP1981" s="53">
        <f>ROUND(HIX_SLCSP[[#This Row],[Weighting Factor 2018]]*HIX_SLCSP[[#This Row],[2018]],2)</f>
        <v>50.44</v>
      </c>
      <c r="BQ1981" s="53">
        <f>ROUND(HIX_SLCSP[[#This Row],[Weighting Factor 2019]]*HIX_SLCSP[[#This Row],[2019]],2)</f>
        <v>60.18</v>
      </c>
      <c r="BR1981" s="53">
        <f>ROUND(HIX_SLCSP[[#This Row],[Weighting Factor 2020]]*HIX_SLCSP[[#This Row],[2020]],2)</f>
        <v>48.4</v>
      </c>
      <c r="BS1981" s="53">
        <f>ROUND(HIX_SLCSP[[#This Row],[Weighting Factor 2021]]*HIX_SLCSP[[#This Row],[2021]],2)</f>
        <v>49.81</v>
      </c>
      <c r="BT1981" s="53">
        <f>ROUND(HIX_SLCSP[[#This Row],[Weighting Factor 2022]]*HIX_SLCSP[[#This Row],[2022]],2)</f>
        <v>31.74</v>
      </c>
      <c r="BU1981" s="53">
        <f>ROUND(HIX_SLCSP[[#This Row],[Weighting Factor 2023]]*HIX_SLCSP[[#This Row],[2023]],2)</f>
        <v>51.78</v>
      </c>
      <c r="BV1981" s="53">
        <f>ROUND(HIX_SLCSP[[#This Row],[Weighting Factor 2024]]*HIX_SLCSP[[#This Row],[2024]],2)</f>
        <v>64.349999999999994</v>
      </c>
    </row>
    <row r="1982" spans="4:74" x14ac:dyDescent="0.35">
      <c r="D1982" t="s">
        <v>1791</v>
      </c>
      <c r="E1982" t="s">
        <v>273</v>
      </c>
      <c r="F1982" s="23">
        <v>7</v>
      </c>
      <c r="G1982" s="23" t="s">
        <v>1792</v>
      </c>
      <c r="H1982" s="23" t="s">
        <v>1895</v>
      </c>
      <c r="I1982" s="23">
        <v>9</v>
      </c>
      <c r="J1982" s="53">
        <v>483.38</v>
      </c>
      <c r="K1982" s="53">
        <v>382.31</v>
      </c>
      <c r="L1982" s="53">
        <v>651.53</v>
      </c>
      <c r="M1982" s="54">
        <f t="shared" si="144"/>
        <v>1.7041929324370275</v>
      </c>
      <c r="N1982" s="24">
        <v>9</v>
      </c>
      <c r="O1982" s="55">
        <v>319.18</v>
      </c>
      <c r="P1982" s="56">
        <v>426.05</v>
      </c>
      <c r="Q1982" s="56">
        <v>726.08</v>
      </c>
      <c r="R1982" s="57">
        <f t="shared" si="145"/>
        <v>1.70421312052576</v>
      </c>
      <c r="S1982" s="23">
        <v>9</v>
      </c>
      <c r="T1982" s="53">
        <v>305.39999999999998</v>
      </c>
      <c r="U1982" s="53">
        <v>425.76</v>
      </c>
      <c r="V1982" s="53">
        <v>725.58</v>
      </c>
      <c r="W1982" s="57">
        <f t="shared" si="146"/>
        <v>1.7041995490417137</v>
      </c>
      <c r="X1982" s="47">
        <v>9</v>
      </c>
      <c r="Y1982" s="58">
        <v>363.51</v>
      </c>
      <c r="Z1982" s="58">
        <v>485.84</v>
      </c>
      <c r="AA1982" s="58">
        <v>827.97</v>
      </c>
      <c r="AB1982" s="57">
        <f t="shared" si="131"/>
        <v>1.7042030298040509</v>
      </c>
      <c r="AC1982" s="47">
        <v>41</v>
      </c>
      <c r="AD1982" s="57">
        <v>206.38</v>
      </c>
      <c r="AE1982" s="57">
        <v>210.45</v>
      </c>
      <c r="AF1982" s="57">
        <v>358.64</v>
      </c>
      <c r="AG1982" s="57">
        <f t="shared" si="147"/>
        <v>1.7041577571869804</v>
      </c>
      <c r="AH1982" s="47">
        <v>72</v>
      </c>
      <c r="AI1982">
        <v>344.38</v>
      </c>
      <c r="AJ1982">
        <v>345.46</v>
      </c>
      <c r="AK1982">
        <v>588.74</v>
      </c>
      <c r="AL1982" s="57">
        <f t="shared" si="135"/>
        <v>1.7042204596769526</v>
      </c>
      <c r="AM1982" s="47">
        <v>136</v>
      </c>
      <c r="AN1982" s="57">
        <v>390.69</v>
      </c>
      <c r="AO1982" s="57">
        <v>392.9</v>
      </c>
      <c r="AP1982" s="57">
        <v>669.57</v>
      </c>
      <c r="AQ1982" s="57">
        <f t="shared" si="133"/>
        <v>1.7041740900992621</v>
      </c>
      <c r="AR1982" s="59">
        <v>10269</v>
      </c>
      <c r="AS1982" s="59">
        <f>SUMIFS(HIX_RatingAreas[Silver Enrollments 2018],HIX_RatingAreas[Area],HIX_SLCSP[[#This Row],[Area Code]])</f>
        <v>10963</v>
      </c>
      <c r="AT1982" s="59">
        <f>SUMIFS(HIX_RatingAreas[Silver Enrollments 2019],HIX_RatingAreas[Area],HIX_SLCSP[[#This Row],[Area Code]])</f>
        <v>10947</v>
      </c>
      <c r="AU1982" s="59">
        <f>SUMIFS(HIX_RatingAreas[Silver Enrollments 2020],HIX_RatingAreas[Area],HIX_SLCSP[[#This Row],[Area Code]])</f>
        <v>10456</v>
      </c>
      <c r="AV1982" s="59">
        <f>SUMIFS(HIX_RatingAreas[Silver Enrollments 2021],HIX_RatingAreas[Area],HIX_SLCSP[[#This Row],[Area Code]])</f>
        <v>10217</v>
      </c>
      <c r="AW1982" s="59">
        <f>SUMIFS(HIX_RatingAreas[Silver Enrollments 2022],HIX_RatingAreas[Area],HIX_SLCSP[[#This Row],[Area Code]])</f>
        <v>7498</v>
      </c>
      <c r="AX1982" s="59">
        <f>SUMIFS(HIX_RatingAreas[Silver Enrollments 2023],HIX_RatingAreas[Area],HIX_SLCSP[[#This Row],[Area Code]])</f>
        <v>8662</v>
      </c>
      <c r="AY1982" s="59">
        <f>SUMIFS(HIX_RatingAreas[Silver Enrollments 2024],HIX_RatingAreas[Area],HIX_SLCSP[[#This Row],[Area Code]])</f>
        <v>18039</v>
      </c>
      <c r="AZ1982" s="59">
        <v>13960</v>
      </c>
      <c r="BA1982">
        <f t="shared" si="137"/>
        <v>5.1922933868928066E-2</v>
      </c>
      <c r="BB1982">
        <f>SUMIFS(HIX_RatingAreas[QHP Enrollments 2018],HIX_RatingAreas[Area],HIX_SLCSP[[#This Row],[Area Code]])</f>
        <v>13009</v>
      </c>
      <c r="BC1982">
        <f t="shared" si="138"/>
        <v>5.6895812741093219E-2</v>
      </c>
      <c r="BD1982">
        <f>SUMIFS(HIX_RatingAreas[QHP Enrollments 2019],HIX_RatingAreas[Area],HIX_SLCSP[[#This Row],[Area Code]])</f>
        <v>13281</v>
      </c>
      <c r="BE1982">
        <f t="shared" si="139"/>
        <v>5.9950436278116581E-2</v>
      </c>
      <c r="BF1982">
        <f>SUMIFS(HIX_RatingAreas[QHP Enrollments 2020],HIX_RatingAreas[Area],HIX_SLCSP[[#This Row],[Area Code]])</f>
        <v>13106</v>
      </c>
      <c r="BG1982">
        <f t="shared" si="140"/>
        <v>6.538451944423658E-2</v>
      </c>
      <c r="BH1982">
        <f>SUMIFS(HIX_RatingAreas[QHP Enrollments 2021],HIX_RatingAreas[Area],HIX_SLCSP[[#This Row],[Area Code]])</f>
        <v>13695</v>
      </c>
      <c r="BI1982">
        <f t="shared" si="141"/>
        <v>6.458321543772283E-2</v>
      </c>
      <c r="BJ1982">
        <f>SUMIFS(HIX_RatingAreas[QHP Enrollments 2022],HIX_RatingAreas[Area],HIX_SLCSP[[#This Row],[Area Code]])</f>
        <v>15885</v>
      </c>
      <c r="BK1982">
        <f t="shared" si="142"/>
        <v>5.8042239111370943E-2</v>
      </c>
      <c r="BL1982">
        <f>SUMIFS(HIX_RatingAreas[QHP Enrollments 2023],HIX_RatingAreas[Area],HIX_SLCSP[[#This Row],[Area Code]])</f>
        <v>18174</v>
      </c>
      <c r="BM1982">
        <f t="shared" si="148"/>
        <v>5.2209585259281176E-2</v>
      </c>
      <c r="BN1982">
        <f>SUMIFS(HIX_RatingAreas[QHP Enrollments 2024],HIX_RatingAreas[Area],HIX_SLCSP[[#This Row],[Area Code]])</f>
        <v>28208</v>
      </c>
      <c r="BO1982">
        <f t="shared" si="143"/>
        <v>5.0815794546237365E-2</v>
      </c>
      <c r="BP1982" s="53">
        <f>ROUND(HIX_SLCSP[[#This Row],[Weighting Factor 2018]]*HIX_SLCSP[[#This Row],[2018]],2)</f>
        <v>21.75</v>
      </c>
      <c r="BQ1982" s="53">
        <f>ROUND(HIX_SLCSP[[#This Row],[Weighting Factor 2019]]*HIX_SLCSP[[#This Row],[2019]],2)</f>
        <v>25.54</v>
      </c>
      <c r="BR1982" s="53">
        <f>ROUND(HIX_SLCSP[[#This Row],[Weighting Factor 2020]]*HIX_SLCSP[[#This Row],[2020]],2)</f>
        <v>27.84</v>
      </c>
      <c r="BS1982" s="53">
        <f>ROUND(HIX_SLCSP[[#This Row],[Weighting Factor 2021]]*HIX_SLCSP[[#This Row],[2021]],2)</f>
        <v>31.38</v>
      </c>
      <c r="BT1982" s="53">
        <f>ROUND(HIX_SLCSP[[#This Row],[Weighting Factor 2022]]*HIX_SLCSP[[#This Row],[2022]],2)</f>
        <v>12.21</v>
      </c>
      <c r="BU1982" s="53">
        <f>ROUND(HIX_SLCSP[[#This Row],[Weighting Factor 2023]]*HIX_SLCSP[[#This Row],[2023]],2)</f>
        <v>18.04</v>
      </c>
      <c r="BV1982" s="53">
        <f>ROUND(HIX_SLCSP[[#This Row],[Weighting Factor 2024]]*HIX_SLCSP[[#This Row],[2024]],2)</f>
        <v>19.97</v>
      </c>
    </row>
    <row r="1983" spans="4:74" x14ac:dyDescent="0.35">
      <c r="D1983" t="s">
        <v>1791</v>
      </c>
      <c r="E1983" t="s">
        <v>279</v>
      </c>
      <c r="F1983" s="23">
        <v>8</v>
      </c>
      <c r="G1983" s="23" t="s">
        <v>1792</v>
      </c>
      <c r="H1983" s="23" t="s">
        <v>1914</v>
      </c>
      <c r="I1983" s="23">
        <v>9</v>
      </c>
      <c r="J1983" s="53">
        <v>548.24</v>
      </c>
      <c r="K1983" s="53">
        <v>317.35000000000002</v>
      </c>
      <c r="L1983" s="53">
        <v>540.83000000000004</v>
      </c>
      <c r="M1983" s="54">
        <f t="shared" si="144"/>
        <v>1.7042067118323618</v>
      </c>
      <c r="N1983" s="24">
        <v>9</v>
      </c>
      <c r="O1983" s="55">
        <v>362.01</v>
      </c>
      <c r="P1983" s="56">
        <v>483.22</v>
      </c>
      <c r="Q1983" s="56">
        <v>823.51</v>
      </c>
      <c r="R1983" s="57">
        <f t="shared" si="145"/>
        <v>1.704213401763172</v>
      </c>
      <c r="S1983" s="23">
        <v>9</v>
      </c>
      <c r="T1983" s="53">
        <v>346.37</v>
      </c>
      <c r="U1983" s="53">
        <v>482.89</v>
      </c>
      <c r="V1983" s="53">
        <v>822.94</v>
      </c>
      <c r="W1983" s="57">
        <f t="shared" si="146"/>
        <v>1.7041976433556298</v>
      </c>
      <c r="X1983" s="47">
        <v>77</v>
      </c>
      <c r="Y1983" s="58">
        <v>408.18</v>
      </c>
      <c r="Z1983" s="58">
        <v>418.49</v>
      </c>
      <c r="AA1983" s="58">
        <v>713.19</v>
      </c>
      <c r="AB1983" s="57">
        <f t="shared" si="131"/>
        <v>1.7041984276804703</v>
      </c>
      <c r="AC1983" s="47">
        <v>105</v>
      </c>
      <c r="AD1983" s="57">
        <v>237.91</v>
      </c>
      <c r="AE1983" s="57">
        <v>242.59</v>
      </c>
      <c r="AF1983" s="57">
        <v>413.43</v>
      </c>
      <c r="AG1983" s="57">
        <f t="shared" si="147"/>
        <v>1.7042334803578054</v>
      </c>
      <c r="AH1983" s="47">
        <v>112</v>
      </c>
      <c r="AI1983">
        <v>365.56</v>
      </c>
      <c r="AJ1983">
        <v>366.72</v>
      </c>
      <c r="AK1983">
        <v>624.96</v>
      </c>
      <c r="AL1983" s="57">
        <f t="shared" si="135"/>
        <v>1.7041884816753927</v>
      </c>
      <c r="AM1983" s="47">
        <v>103</v>
      </c>
      <c r="AN1983" s="57">
        <v>395.47</v>
      </c>
      <c r="AO1983" s="57">
        <v>397.71</v>
      </c>
      <c r="AP1983" s="57">
        <v>677.77</v>
      </c>
      <c r="AQ1983" s="57">
        <f t="shared" si="133"/>
        <v>1.704181438736768</v>
      </c>
      <c r="AR1983" s="59">
        <v>13965</v>
      </c>
      <c r="AS1983" s="59">
        <f>SUMIFS(HIX_RatingAreas[Silver Enrollments 2018],HIX_RatingAreas[Area],HIX_SLCSP[[#This Row],[Area Code]])</f>
        <v>14176</v>
      </c>
      <c r="AT1983" s="59">
        <f>SUMIFS(HIX_RatingAreas[Silver Enrollments 2019],HIX_RatingAreas[Area],HIX_SLCSP[[#This Row],[Area Code]])</f>
        <v>13878</v>
      </c>
      <c r="AU1983" s="59">
        <f>SUMIFS(HIX_RatingAreas[Silver Enrollments 2020],HIX_RatingAreas[Area],HIX_SLCSP[[#This Row],[Area Code]])</f>
        <v>13081</v>
      </c>
      <c r="AV1983" s="59">
        <f>SUMIFS(HIX_RatingAreas[Silver Enrollments 2021],HIX_RatingAreas[Area],HIX_SLCSP[[#This Row],[Area Code]])</f>
        <v>8057</v>
      </c>
      <c r="AW1983" s="59">
        <f>SUMIFS(HIX_RatingAreas[Silver Enrollments 2022],HIX_RatingAreas[Area],HIX_SLCSP[[#This Row],[Area Code]])</f>
        <v>7471</v>
      </c>
      <c r="AX1983" s="59">
        <f>SUMIFS(HIX_RatingAreas[Silver Enrollments 2023],HIX_RatingAreas[Area],HIX_SLCSP[[#This Row],[Area Code]])</f>
        <v>9422</v>
      </c>
      <c r="AY1983" s="59">
        <f>SUMIFS(HIX_RatingAreas[Silver Enrollments 2024],HIX_RatingAreas[Area],HIX_SLCSP[[#This Row],[Area Code]])</f>
        <v>14884</v>
      </c>
      <c r="AZ1983" s="59">
        <v>19106</v>
      </c>
      <c r="BA1983">
        <f t="shared" si="137"/>
        <v>7.1063006769322326E-2</v>
      </c>
      <c r="BB1983">
        <f>SUMIFS(HIX_RatingAreas[QHP Enrollments 2018],HIX_RatingAreas[Area],HIX_SLCSP[[#This Row],[Area Code]])</f>
        <v>17010</v>
      </c>
      <c r="BC1983">
        <f t="shared" si="138"/>
        <v>7.4394478801291075E-2</v>
      </c>
      <c r="BD1983">
        <f>SUMIFS(HIX_RatingAreas[QHP Enrollments 2019],HIX_RatingAreas[Area],HIX_SLCSP[[#This Row],[Area Code]])</f>
        <v>16794</v>
      </c>
      <c r="BE1983">
        <f t="shared" si="139"/>
        <v>7.5808118880708514E-2</v>
      </c>
      <c r="BF1983">
        <f>SUMIFS(HIX_RatingAreas[QHP Enrollments 2020],HIX_RatingAreas[Area],HIX_SLCSP[[#This Row],[Area Code]])</f>
        <v>16427</v>
      </c>
      <c r="BG1983">
        <f t="shared" si="140"/>
        <v>8.1952655341864356E-2</v>
      </c>
      <c r="BH1983">
        <f>SUMIFS(HIX_RatingAreas[QHP Enrollments 2021],HIX_RatingAreas[Area],HIX_SLCSP[[#This Row],[Area Code]])</f>
        <v>16614</v>
      </c>
      <c r="BI1983">
        <f t="shared" si="141"/>
        <v>7.8348706920943922E-2</v>
      </c>
      <c r="BJ1983">
        <f>SUMIFS(HIX_RatingAreas[QHP Enrollments 2022],HIX_RatingAreas[Area],HIX_SLCSP[[#This Row],[Area Code]])</f>
        <v>18230</v>
      </c>
      <c r="BK1983">
        <f t="shared" si="142"/>
        <v>6.661064016369482E-2</v>
      </c>
      <c r="BL1983">
        <f>SUMIFS(HIX_RatingAreas[QHP Enrollments 2023],HIX_RatingAreas[Area],HIX_SLCSP[[#This Row],[Area Code]])</f>
        <v>22878</v>
      </c>
      <c r="BM1983">
        <f t="shared" si="148"/>
        <v>6.5723059951680138E-2</v>
      </c>
      <c r="BN1983">
        <f>SUMIFS(HIX_RatingAreas[QHP Enrollments 2024],HIX_RatingAreas[Area],HIX_SLCSP[[#This Row],[Area Code]])</f>
        <v>34945</v>
      </c>
      <c r="BO1983">
        <f t="shared" si="143"/>
        <v>6.2952280928043988E-2</v>
      </c>
      <c r="BP1983" s="53">
        <f>ROUND(HIX_SLCSP[[#This Row],[Weighting Factor 2018]]*HIX_SLCSP[[#This Row],[2018]],2)</f>
        <v>23.61</v>
      </c>
      <c r="BQ1983" s="53">
        <f>ROUND(HIX_SLCSP[[#This Row],[Weighting Factor 2019]]*HIX_SLCSP[[#This Row],[2019]],2)</f>
        <v>36.630000000000003</v>
      </c>
      <c r="BR1983" s="53">
        <f>ROUND(HIX_SLCSP[[#This Row],[Weighting Factor 2020]]*HIX_SLCSP[[#This Row],[2020]],2)</f>
        <v>39.57</v>
      </c>
      <c r="BS1983" s="53">
        <f>ROUND(HIX_SLCSP[[#This Row],[Weighting Factor 2021]]*HIX_SLCSP[[#This Row],[2021]],2)</f>
        <v>32.79</v>
      </c>
      <c r="BT1983" s="53">
        <f>ROUND(HIX_SLCSP[[#This Row],[Weighting Factor 2022]]*HIX_SLCSP[[#This Row],[2022]],2)</f>
        <v>16.16</v>
      </c>
      <c r="BU1983" s="53">
        <f>ROUND(HIX_SLCSP[[#This Row],[Weighting Factor 2023]]*HIX_SLCSP[[#This Row],[2023]],2)</f>
        <v>24.1</v>
      </c>
      <c r="BV1983" s="53">
        <f>ROUND(HIX_SLCSP[[#This Row],[Weighting Factor 2024]]*HIX_SLCSP[[#This Row],[2024]],2)</f>
        <v>25.04</v>
      </c>
    </row>
    <row r="1984" spans="4:74" x14ac:dyDescent="0.35">
      <c r="D1984" t="s">
        <v>1460</v>
      </c>
      <c r="E1984" t="s">
        <v>2597</v>
      </c>
      <c r="F1984" s="23"/>
      <c r="G1984" s="23"/>
      <c r="H1984" s="23"/>
      <c r="I1984" s="23"/>
      <c r="J1984" s="53"/>
      <c r="K1984" s="53">
        <f>SUM(BP1985:BP2010)</f>
        <v>390.25</v>
      </c>
      <c r="L1984" s="53"/>
      <c r="M1984" s="54"/>
      <c r="O1984" s="55"/>
      <c r="P1984" s="56">
        <f>SUM(BQ1985:BQ2010)</f>
        <v>345.31999999999994</v>
      </c>
      <c r="Q1984" s="56"/>
      <c r="R1984" s="57"/>
      <c r="S1984" s="23"/>
      <c r="T1984" s="53"/>
      <c r="U1984" s="53">
        <f>SUM(BR1985:BR2010)</f>
        <v>342.54999999999995</v>
      </c>
      <c r="V1984" s="53"/>
      <c r="W1984" s="57"/>
      <c r="X1984" s="47"/>
      <c r="Y1984" s="58"/>
      <c r="Z1984" s="53">
        <f>SUM(BS1985:BS2010)</f>
        <v>307.78999999999991</v>
      </c>
      <c r="AA1984" s="58"/>
      <c r="AB1984" s="57"/>
      <c r="AC1984" s="47"/>
      <c r="AD1984" s="53"/>
      <c r="AE1984" s="53">
        <f>SUM(BT1985:BT2010)</f>
        <v>328.11999999999995</v>
      </c>
      <c r="AF1984" s="57"/>
      <c r="AG1984" s="57"/>
      <c r="AH1984" s="47"/>
      <c r="AI1984" s="57"/>
      <c r="AJ1984" s="53">
        <f>SUM(BU1985:BU2011)</f>
        <v>325.96000000000004</v>
      </c>
      <c r="AK1984" s="57"/>
      <c r="AL1984" s="57"/>
      <c r="AM1984" s="47"/>
      <c r="AN1984" s="57"/>
      <c r="AO1984" s="53">
        <f>SUM(BV1985:BV2011)</f>
        <v>342.6099999999999</v>
      </c>
      <c r="AP1984" s="57"/>
      <c r="AQ1984" s="57"/>
      <c r="AR1984" s="59">
        <f t="shared" ref="AR1984:AZ1984" si="149">SUM(AR1985:AR2010)</f>
        <v>869334</v>
      </c>
      <c r="AS1984" s="59">
        <f t="shared" si="149"/>
        <v>708871</v>
      </c>
      <c r="AT1984" s="59">
        <f t="shared" si="149"/>
        <v>656511</v>
      </c>
      <c r="AU1984" s="59">
        <f t="shared" si="149"/>
        <v>671535</v>
      </c>
      <c r="AV1984" s="59">
        <f t="shared" si="149"/>
        <v>739926</v>
      </c>
      <c r="AW1984" s="59">
        <f t="shared" si="149"/>
        <v>1148143</v>
      </c>
      <c r="AX1984" s="59">
        <f t="shared" si="149"/>
        <v>1335328</v>
      </c>
      <c r="AY1984" s="59">
        <f t="shared" si="149"/>
        <v>1672335</v>
      </c>
      <c r="AZ1984" s="59">
        <f t="shared" si="149"/>
        <v>1306631</v>
      </c>
      <c r="BA1984">
        <f t="shared" ref="BA1984:BA2011" si="150">AZ1984/AZ$1984</f>
        <v>1</v>
      </c>
      <c r="BB1984" s="59">
        <f>SUM(BB1985:BB2010)</f>
        <v>1100301</v>
      </c>
      <c r="BC1984">
        <f t="shared" ref="BC1984:BC2011" si="151">BB1984/BB$1984</f>
        <v>1</v>
      </c>
      <c r="BD1984" s="59">
        <f>SUM(BD1985:BD2010)</f>
        <v>1063161</v>
      </c>
      <c r="BE1984">
        <f t="shared" ref="BE1984:BE2010" si="152">BD1984/BD$1984</f>
        <v>1</v>
      </c>
      <c r="BF1984" s="59">
        <f>SUM(BF1985:BF2010)</f>
        <v>1091960</v>
      </c>
      <c r="BG1984">
        <f t="shared" ref="BG1984:BG2011" si="153">BF1984/BF$1984</f>
        <v>1</v>
      </c>
      <c r="BH1984" s="59">
        <f>SUM(BH1985:BH2010)</f>
        <v>1261554</v>
      </c>
      <c r="BI1984">
        <f t="shared" ref="BI1984:BI2011" si="154">BH1984/BH$1984</f>
        <v>1</v>
      </c>
      <c r="BJ1984" s="59">
        <f>SUM(BJ1985:BJ2010)</f>
        <v>1792689</v>
      </c>
      <c r="BK1984">
        <f t="shared" ref="BK1984:BM2011" si="155">BJ1984/BJ$1984</f>
        <v>1</v>
      </c>
      <c r="BL1984" s="59">
        <f>SUM(BL1985:BL2011)</f>
        <v>2410789</v>
      </c>
      <c r="BM1984">
        <f t="shared" si="155"/>
        <v>1</v>
      </c>
      <c r="BN1984" s="59">
        <f>SUM(BN1985:BN2011)</f>
        <v>3484613</v>
      </c>
      <c r="BO1984">
        <f>BN1984/BN$1984</f>
        <v>1</v>
      </c>
      <c r="BP1984" s="53"/>
      <c r="BQ1984" s="53"/>
      <c r="BR1984" s="53"/>
      <c r="BS1984" s="53"/>
      <c r="BT1984" s="53"/>
      <c r="BU1984" s="53"/>
      <c r="BV1984" s="53"/>
    </row>
    <row r="1985" spans="4:74" x14ac:dyDescent="0.35">
      <c r="D1985" t="s">
        <v>1460</v>
      </c>
      <c r="E1985" t="s">
        <v>231</v>
      </c>
      <c r="F1985" s="23">
        <v>1</v>
      </c>
      <c r="G1985" s="23" t="s">
        <v>1937</v>
      </c>
      <c r="H1985" s="23" t="s">
        <v>1938</v>
      </c>
      <c r="I1985" s="23">
        <v>18</v>
      </c>
      <c r="J1985" s="53">
        <v>426.68</v>
      </c>
      <c r="K1985" s="53">
        <v>440.94</v>
      </c>
      <c r="L1985" s="53">
        <v>751.45</v>
      </c>
      <c r="M1985" s="54">
        <f t="shared" ref="M1985:M2010" si="156">L1985/K1985</f>
        <v>1.7042001179298771</v>
      </c>
      <c r="N1985" s="24">
        <v>18</v>
      </c>
      <c r="O1985" s="55">
        <v>332.87</v>
      </c>
      <c r="P1985" s="56">
        <v>370.28</v>
      </c>
      <c r="Q1985" s="56">
        <v>631.02</v>
      </c>
      <c r="R1985" s="57">
        <f t="shared" ref="R1985:R2010" si="157">Q1985/P1985</f>
        <v>1.7041698174354543</v>
      </c>
      <c r="S1985" s="23">
        <v>18</v>
      </c>
      <c r="T1985" s="53">
        <v>336.64</v>
      </c>
      <c r="U1985" s="53">
        <v>358.04</v>
      </c>
      <c r="V1985" s="53">
        <v>610.16999999999996</v>
      </c>
      <c r="W1985" s="57">
        <f t="shared" ref="W1985:W2010" si="158">V1985/U1985</f>
        <v>1.7041950620042452</v>
      </c>
      <c r="X1985" s="47">
        <v>22</v>
      </c>
      <c r="Y1985" s="58">
        <v>353.01</v>
      </c>
      <c r="Z1985" s="58">
        <v>378.28</v>
      </c>
      <c r="AA1985" s="58">
        <v>644.66</v>
      </c>
      <c r="AB1985" s="57">
        <f t="shared" ref="AB1985:AB2010" si="159">AA1985/Z1985</f>
        <v>1.704187374431638</v>
      </c>
      <c r="AC1985" s="47">
        <v>27</v>
      </c>
      <c r="AD1985" s="57">
        <v>401.03</v>
      </c>
      <c r="AE1985" s="57">
        <v>413.55</v>
      </c>
      <c r="AF1985" s="57">
        <v>704.76</v>
      </c>
      <c r="AG1985" s="57">
        <f t="shared" ref="AG1985:AG2010" si="160">AF1985/AE1985</f>
        <v>1.7041712005803409</v>
      </c>
      <c r="AH1985" s="47">
        <v>90</v>
      </c>
      <c r="AI1985">
        <v>348.62</v>
      </c>
      <c r="AJ1985">
        <v>354.61</v>
      </c>
      <c r="AK1985">
        <v>604.33000000000004</v>
      </c>
      <c r="AL1985" s="57">
        <f t="shared" si="135"/>
        <v>1.7042102591579482</v>
      </c>
      <c r="AM1985" s="47">
        <v>81</v>
      </c>
      <c r="AN1985" s="57">
        <v>390.32</v>
      </c>
      <c r="AO1985" s="57">
        <v>390.56</v>
      </c>
      <c r="AP1985" s="57">
        <v>665.59</v>
      </c>
      <c r="AQ1985" s="57">
        <f t="shared" si="133"/>
        <v>1.7041939778779189</v>
      </c>
      <c r="AR1985" s="59">
        <v>3405</v>
      </c>
      <c r="AS1985" s="59">
        <f>SUMIFS(HIX_RatingAreas[Silver Enrollments 2018],HIX_RatingAreas[Area],HIX_SLCSP[[#This Row],[Area Code]])</f>
        <v>4819</v>
      </c>
      <c r="AT1985" s="59">
        <f>SUMIFS(HIX_RatingAreas[Silver Enrollments 2019],HIX_RatingAreas[Area],HIX_SLCSP[[#This Row],[Area Code]])</f>
        <v>4104</v>
      </c>
      <c r="AU1985" s="59">
        <f>SUMIFS(HIX_RatingAreas[Silver Enrollments 2020],HIX_RatingAreas[Area],HIX_SLCSP[[#This Row],[Area Code]])</f>
        <v>4599</v>
      </c>
      <c r="AV1985" s="59">
        <f>SUMIFS(HIX_RatingAreas[Silver Enrollments 2021],HIX_RatingAreas[Area],HIX_SLCSP[[#This Row],[Area Code]])</f>
        <v>6281</v>
      </c>
      <c r="AW1985" s="59">
        <f>SUMIFS(HIX_RatingAreas[Silver Enrollments 2022],HIX_RatingAreas[Area],HIX_SLCSP[[#This Row],[Area Code]])</f>
        <v>8426</v>
      </c>
      <c r="AX1985" s="59">
        <f>SUMIFS(HIX_RatingAreas[Silver Enrollments 2023],HIX_RatingAreas[Area],HIX_SLCSP[[#This Row],[Area Code]])</f>
        <v>7582</v>
      </c>
      <c r="AY1985" s="59">
        <f>SUMIFS(HIX_RatingAreas[Silver Enrollments 2024],HIX_RatingAreas[Area],HIX_SLCSP[[#This Row],[Area Code]])</f>
        <v>10496</v>
      </c>
      <c r="AZ1985" s="59">
        <v>5182</v>
      </c>
      <c r="BA1985">
        <f t="shared" si="150"/>
        <v>3.9659245800842012E-3</v>
      </c>
      <c r="BB1985">
        <f>SUMIFS(HIX_RatingAreas[QHP Enrollments 2018],HIX_RatingAreas[Area],HIX_SLCSP[[#This Row],[Area Code]])</f>
        <v>9333</v>
      </c>
      <c r="BC1985">
        <f t="shared" si="151"/>
        <v>8.482224409502491E-3</v>
      </c>
      <c r="BD1985">
        <f>SUMIFS(HIX_RatingAreas[QHP Enrollments 2019],HIX_RatingAreas[Area],HIX_SLCSP[[#This Row],[Area Code]])</f>
        <v>8921</v>
      </c>
      <c r="BE1985">
        <f t="shared" si="152"/>
        <v>8.3910150955499689E-3</v>
      </c>
      <c r="BF1985">
        <f>SUMIFS(HIX_RatingAreas[QHP Enrollments 2020],HIX_RatingAreas[Area],HIX_SLCSP[[#This Row],[Area Code]])</f>
        <v>9103</v>
      </c>
      <c r="BG1985">
        <f t="shared" si="153"/>
        <v>8.3363859482032312E-3</v>
      </c>
      <c r="BH1985">
        <f>SUMIFS(HIX_RatingAreas[QHP Enrollments 2021],HIX_RatingAreas[Area],HIX_SLCSP[[#This Row],[Area Code]])</f>
        <v>10795</v>
      </c>
      <c r="BI1985">
        <f t="shared" si="154"/>
        <v>8.556906799074792E-3</v>
      </c>
      <c r="BJ1985">
        <f>SUMIFS(HIX_RatingAreas[QHP Enrollments 2022],HIX_RatingAreas[Area],HIX_SLCSP[[#This Row],[Area Code]])</f>
        <v>14507</v>
      </c>
      <c r="BK1985">
        <f t="shared" si="155"/>
        <v>8.0923127212807131E-3</v>
      </c>
      <c r="BL1985">
        <f>SUMIFS(HIX_RatingAreas[QHP Enrollments 2023],HIX_RatingAreas[Area],HIX_SLCSP[[#This Row],[Area Code]])</f>
        <v>19149</v>
      </c>
      <c r="BM1985">
        <f t="shared" si="155"/>
        <v>7.9430427134021264E-3</v>
      </c>
      <c r="BN1985">
        <f>SUMIFS(HIX_RatingAreas[QHP Enrollments 2024],HIX_RatingAreas[Area],HIX_SLCSP[[#This Row],[Area Code]])</f>
        <v>30734</v>
      </c>
      <c r="BO1985">
        <f t="shared" ref="BO1985:BO2011" si="161">BN1985/BN$1984</f>
        <v>8.8199177354845431E-3</v>
      </c>
      <c r="BP1985" s="53">
        <f>ROUND(HIX_SLCSP[[#This Row],[Weighting Factor 2018]]*HIX_SLCSP[[#This Row],[2018]],2)</f>
        <v>3.74</v>
      </c>
      <c r="BQ1985" s="53">
        <f>ROUND(HIX_SLCSP[[#This Row],[Weighting Factor 2019]]*HIX_SLCSP[[#This Row],[2019]],2)</f>
        <v>3.11</v>
      </c>
      <c r="BR1985" s="53">
        <f>ROUND(HIX_SLCSP[[#This Row],[Weighting Factor 2020]]*HIX_SLCSP[[#This Row],[2020]],2)</f>
        <v>2.98</v>
      </c>
      <c r="BS1985" s="53">
        <f>ROUND(HIX_SLCSP[[#This Row],[Weighting Factor 2021]]*HIX_SLCSP[[#This Row],[2021]],2)</f>
        <v>3.24</v>
      </c>
      <c r="BT1985" s="53">
        <f>ROUND(HIX_SLCSP[[#This Row],[Weighting Factor 2022]]*HIX_SLCSP[[#This Row],[2022]],2)</f>
        <v>3.35</v>
      </c>
      <c r="BU1985" s="53">
        <f>ROUND(HIX_SLCSP[[#This Row],[Weighting Factor 2023]]*HIX_SLCSP[[#This Row],[2023]],2)</f>
        <v>2.82</v>
      </c>
      <c r="BV1985" s="53">
        <f>ROUND(HIX_SLCSP[[#This Row],[Weighting Factor 2024]]*HIX_SLCSP[[#This Row],[2024]],2)</f>
        <v>3.44</v>
      </c>
    </row>
    <row r="1986" spans="4:74" x14ac:dyDescent="0.35">
      <c r="D1986" t="s">
        <v>1460</v>
      </c>
      <c r="E1986" t="s">
        <v>235</v>
      </c>
      <c r="F1986" s="23">
        <v>2</v>
      </c>
      <c r="G1986" s="23" t="s">
        <v>1937</v>
      </c>
      <c r="H1986" s="23" t="s">
        <v>1971</v>
      </c>
      <c r="I1986" s="23">
        <v>94</v>
      </c>
      <c r="J1986" s="53">
        <v>411.21</v>
      </c>
      <c r="K1986" s="53">
        <v>454.38</v>
      </c>
      <c r="L1986" s="53">
        <v>774.36</v>
      </c>
      <c r="M1986" s="54">
        <f t="shared" si="156"/>
        <v>1.7042123332893173</v>
      </c>
      <c r="N1986" s="24">
        <v>18</v>
      </c>
      <c r="O1986" s="55">
        <v>357.28</v>
      </c>
      <c r="P1986" s="56">
        <v>373.39</v>
      </c>
      <c r="Q1986" s="56">
        <v>636.33000000000004</v>
      </c>
      <c r="R1986" s="57">
        <f t="shared" si="157"/>
        <v>1.7041966844318275</v>
      </c>
      <c r="S1986" s="23">
        <v>94</v>
      </c>
      <c r="T1986" s="53">
        <v>323.52999999999997</v>
      </c>
      <c r="U1986" s="53">
        <v>330.69</v>
      </c>
      <c r="V1986" s="53">
        <v>563.54999999999995</v>
      </c>
      <c r="W1986" s="57">
        <f t="shared" si="158"/>
        <v>1.7041640206840243</v>
      </c>
      <c r="X1986" s="47">
        <v>118</v>
      </c>
      <c r="Y1986" s="58">
        <v>277.74</v>
      </c>
      <c r="Z1986" s="58">
        <v>285.57</v>
      </c>
      <c r="AA1986" s="58">
        <v>486.66</v>
      </c>
      <c r="AB1986" s="57">
        <f t="shared" si="159"/>
        <v>1.704170606156109</v>
      </c>
      <c r="AC1986" s="47">
        <v>120</v>
      </c>
      <c r="AD1986" s="57">
        <v>350.55</v>
      </c>
      <c r="AE1986" s="57">
        <v>367.94</v>
      </c>
      <c r="AF1986" s="57">
        <v>627.04999999999995</v>
      </c>
      <c r="AG1986" s="57">
        <f t="shared" si="160"/>
        <v>1.7042180790346251</v>
      </c>
      <c r="AH1986" s="47">
        <v>90</v>
      </c>
      <c r="AI1986">
        <v>342.51</v>
      </c>
      <c r="AJ1986">
        <v>347.21</v>
      </c>
      <c r="AK1986">
        <v>591.71</v>
      </c>
      <c r="AL1986" s="57">
        <f t="shared" si="135"/>
        <v>1.7041847873045133</v>
      </c>
      <c r="AM1986" s="47">
        <v>106</v>
      </c>
      <c r="AN1986" s="57">
        <v>325.56</v>
      </c>
      <c r="AO1986" s="57">
        <v>333.69</v>
      </c>
      <c r="AP1986" s="57">
        <v>568.66999999999996</v>
      </c>
      <c r="AQ1986" s="57">
        <f t="shared" si="133"/>
        <v>1.7041865204231472</v>
      </c>
      <c r="AR1986" s="59">
        <v>4947</v>
      </c>
      <c r="AS1986" s="59">
        <f>SUMIFS(HIX_RatingAreas[Silver Enrollments 2018],HIX_RatingAreas[Area],HIX_SLCSP[[#This Row],[Area Code]])</f>
        <v>6320</v>
      </c>
      <c r="AT1986" s="59">
        <f>SUMIFS(HIX_RatingAreas[Silver Enrollments 2019],HIX_RatingAreas[Area],HIX_SLCSP[[#This Row],[Area Code]])</f>
        <v>5498</v>
      </c>
      <c r="AU1986" s="59">
        <f>SUMIFS(HIX_RatingAreas[Silver Enrollments 2020],HIX_RatingAreas[Area],HIX_SLCSP[[#This Row],[Area Code]])</f>
        <v>4714</v>
      </c>
      <c r="AV1986" s="59">
        <f>SUMIFS(HIX_RatingAreas[Silver Enrollments 2021],HIX_RatingAreas[Area],HIX_SLCSP[[#This Row],[Area Code]])</f>
        <v>5221</v>
      </c>
      <c r="AW1986" s="59">
        <f>SUMIFS(HIX_RatingAreas[Silver Enrollments 2022],HIX_RatingAreas[Area],HIX_SLCSP[[#This Row],[Area Code]])</f>
        <v>9534</v>
      </c>
      <c r="AX1986" s="59">
        <f>SUMIFS(HIX_RatingAreas[Silver Enrollments 2023],HIX_RatingAreas[Area],HIX_SLCSP[[#This Row],[Area Code]])</f>
        <v>9518</v>
      </c>
      <c r="AY1986" s="59">
        <f>SUMIFS(HIX_RatingAreas[Silver Enrollments 2024],HIX_RatingAreas[Area],HIX_SLCSP[[#This Row],[Area Code]])</f>
        <v>18267</v>
      </c>
      <c r="AZ1986" s="59">
        <v>7445</v>
      </c>
      <c r="BA1986">
        <f t="shared" si="150"/>
        <v>5.6978596099434347E-3</v>
      </c>
      <c r="BB1986">
        <f>SUMIFS(HIX_RatingAreas[QHP Enrollments 2018],HIX_RatingAreas[Area],HIX_SLCSP[[#This Row],[Area Code]])</f>
        <v>10726</v>
      </c>
      <c r="BC1986">
        <f t="shared" si="151"/>
        <v>9.7482416175210234E-3</v>
      </c>
      <c r="BD1986">
        <f>SUMIFS(HIX_RatingAreas[QHP Enrollments 2019],HIX_RatingAreas[Area],HIX_SLCSP[[#This Row],[Area Code]])</f>
        <v>10891</v>
      </c>
      <c r="BE1986">
        <f t="shared" si="152"/>
        <v>1.0243979980454513E-2</v>
      </c>
      <c r="BF1986">
        <f>SUMIFS(HIX_RatingAreas[QHP Enrollments 2020],HIX_RatingAreas[Area],HIX_SLCSP[[#This Row],[Area Code]])</f>
        <v>10690</v>
      </c>
      <c r="BG1986">
        <f t="shared" si="153"/>
        <v>9.7897358877614572E-3</v>
      </c>
      <c r="BH1986">
        <f>SUMIFS(HIX_RatingAreas[QHP Enrollments 2021],HIX_RatingAreas[Area],HIX_SLCSP[[#This Row],[Area Code]])</f>
        <v>10992</v>
      </c>
      <c r="BI1986">
        <f t="shared" si="154"/>
        <v>8.713063412267727E-3</v>
      </c>
      <c r="BJ1986">
        <f>SUMIFS(HIX_RatingAreas[QHP Enrollments 2022],HIX_RatingAreas[Area],HIX_SLCSP[[#This Row],[Area Code]])</f>
        <v>16450</v>
      </c>
      <c r="BK1986">
        <f t="shared" si="155"/>
        <v>9.1761593896096862E-3</v>
      </c>
      <c r="BL1986">
        <f>SUMIFS(HIX_RatingAreas[QHP Enrollments 2023],HIX_RatingAreas[Area],HIX_SLCSP[[#This Row],[Area Code]])</f>
        <v>23656</v>
      </c>
      <c r="BM1986">
        <f t="shared" si="155"/>
        <v>9.8125551427354282E-3</v>
      </c>
      <c r="BN1986">
        <f>SUMIFS(HIX_RatingAreas[QHP Enrollments 2024],HIX_RatingAreas[Area],HIX_SLCSP[[#This Row],[Area Code]])</f>
        <v>40022</v>
      </c>
      <c r="BO1986">
        <f t="shared" si="161"/>
        <v>1.1485350023087213E-2</v>
      </c>
      <c r="BP1986" s="53">
        <f>ROUND(HIX_SLCSP[[#This Row],[Weighting Factor 2018]]*HIX_SLCSP[[#This Row],[2018]],2)</f>
        <v>4.43</v>
      </c>
      <c r="BQ1986" s="53">
        <f>ROUND(HIX_SLCSP[[#This Row],[Weighting Factor 2019]]*HIX_SLCSP[[#This Row],[2019]],2)</f>
        <v>3.82</v>
      </c>
      <c r="BR1986" s="53">
        <f>ROUND(HIX_SLCSP[[#This Row],[Weighting Factor 2020]]*HIX_SLCSP[[#This Row],[2020]],2)</f>
        <v>3.24</v>
      </c>
      <c r="BS1986" s="53">
        <f>ROUND(HIX_SLCSP[[#This Row],[Weighting Factor 2021]]*HIX_SLCSP[[#This Row],[2021]],2)</f>
        <v>2.4900000000000002</v>
      </c>
      <c r="BT1986" s="53">
        <f>ROUND(HIX_SLCSP[[#This Row],[Weighting Factor 2022]]*HIX_SLCSP[[#This Row],[2022]],2)</f>
        <v>3.38</v>
      </c>
      <c r="BU1986" s="53">
        <f>ROUND(HIX_SLCSP[[#This Row],[Weighting Factor 2023]]*HIX_SLCSP[[#This Row],[2023]],2)</f>
        <v>3.41</v>
      </c>
      <c r="BV1986" s="53">
        <f>ROUND(HIX_SLCSP[[#This Row],[Weighting Factor 2024]]*HIX_SLCSP[[#This Row],[2024]],2)</f>
        <v>3.83</v>
      </c>
    </row>
    <row r="1987" spans="4:74" x14ac:dyDescent="0.35">
      <c r="D1987" t="s">
        <v>1460</v>
      </c>
      <c r="E1987" t="s">
        <v>239</v>
      </c>
      <c r="F1987" s="23">
        <v>3</v>
      </c>
      <c r="G1987" s="23" t="s">
        <v>1937</v>
      </c>
      <c r="H1987" s="23" t="s">
        <v>2021</v>
      </c>
      <c r="I1987" s="23">
        <v>168</v>
      </c>
      <c r="J1987" s="53">
        <v>279.87</v>
      </c>
      <c r="K1987" s="53">
        <v>333.99</v>
      </c>
      <c r="L1987" s="53">
        <v>569.19000000000005</v>
      </c>
      <c r="M1987" s="54">
        <f t="shared" si="156"/>
        <v>1.7042127009790713</v>
      </c>
      <c r="N1987" s="24">
        <v>69</v>
      </c>
      <c r="O1987" s="55">
        <v>310.44</v>
      </c>
      <c r="P1987" s="56">
        <v>347.09</v>
      </c>
      <c r="Q1987" s="56">
        <v>591.51</v>
      </c>
      <c r="R1987" s="57">
        <f t="shared" si="157"/>
        <v>1.7041977585064394</v>
      </c>
      <c r="S1987" s="23">
        <v>168</v>
      </c>
      <c r="T1987" s="53">
        <v>320.51</v>
      </c>
      <c r="U1987" s="53">
        <v>328.59</v>
      </c>
      <c r="V1987" s="53">
        <v>559.98</v>
      </c>
      <c r="W1987" s="57">
        <f t="shared" si="158"/>
        <v>1.7041906327033691</v>
      </c>
      <c r="X1987" s="47">
        <v>233</v>
      </c>
      <c r="Y1987" s="58">
        <v>299.61</v>
      </c>
      <c r="Z1987" s="58">
        <v>308.05</v>
      </c>
      <c r="AA1987" s="58">
        <v>524.98</v>
      </c>
      <c r="AB1987" s="57">
        <f t="shared" si="159"/>
        <v>1.7042038630092518</v>
      </c>
      <c r="AC1987" s="47">
        <v>296</v>
      </c>
      <c r="AD1987" s="57">
        <v>307.58999999999997</v>
      </c>
      <c r="AE1987" s="57">
        <v>308.11</v>
      </c>
      <c r="AF1987" s="57">
        <v>525.07000000000005</v>
      </c>
      <c r="AG1987" s="57">
        <f t="shared" si="160"/>
        <v>1.7041640972379994</v>
      </c>
      <c r="AH1987" s="47">
        <v>266</v>
      </c>
      <c r="AI1987">
        <v>371.91</v>
      </c>
      <c r="AJ1987">
        <v>375.2</v>
      </c>
      <c r="AK1987">
        <v>639.41</v>
      </c>
      <c r="AL1987" s="57">
        <f t="shared" si="135"/>
        <v>1.7041844349680171</v>
      </c>
      <c r="AM1987" s="47">
        <v>106</v>
      </c>
      <c r="AN1987" s="57">
        <v>343.35</v>
      </c>
      <c r="AO1987" s="57">
        <v>382.4</v>
      </c>
      <c r="AP1987" s="57">
        <v>651.69000000000005</v>
      </c>
      <c r="AQ1987" s="57">
        <f t="shared" si="133"/>
        <v>1.7042102510460253</v>
      </c>
      <c r="AR1987" s="59">
        <v>72801</v>
      </c>
      <c r="AS1987" s="59">
        <f>SUMIFS(HIX_RatingAreas[Silver Enrollments 2018],HIX_RatingAreas[Area],HIX_SLCSP[[#This Row],[Area Code]])</f>
        <v>49705</v>
      </c>
      <c r="AT1987" s="59">
        <f>SUMIFS(HIX_RatingAreas[Silver Enrollments 2019],HIX_RatingAreas[Area],HIX_SLCSP[[#This Row],[Area Code]])</f>
        <v>43671</v>
      </c>
      <c r="AU1987" s="59">
        <f>SUMIFS(HIX_RatingAreas[Silver Enrollments 2020],HIX_RatingAreas[Area],HIX_SLCSP[[#This Row],[Area Code]])</f>
        <v>43143</v>
      </c>
      <c r="AV1987" s="59">
        <f>SUMIFS(HIX_RatingAreas[Silver Enrollments 2021],HIX_RatingAreas[Area],HIX_SLCSP[[#This Row],[Area Code]])</f>
        <v>45588</v>
      </c>
      <c r="AW1987" s="59">
        <f>SUMIFS(HIX_RatingAreas[Silver Enrollments 2022],HIX_RatingAreas[Area],HIX_SLCSP[[#This Row],[Area Code]])</f>
        <v>62340</v>
      </c>
      <c r="AX1987" s="59">
        <f>SUMIFS(HIX_RatingAreas[Silver Enrollments 2023],HIX_RatingAreas[Area],HIX_SLCSP[[#This Row],[Area Code]])</f>
        <v>59889</v>
      </c>
      <c r="AY1987" s="59">
        <f>SUMIFS(HIX_RatingAreas[Silver Enrollments 2024],HIX_RatingAreas[Area],HIX_SLCSP[[#This Row],[Area Code]])</f>
        <v>69756</v>
      </c>
      <c r="AZ1987" s="59">
        <v>113735</v>
      </c>
      <c r="BA1987">
        <f t="shared" si="150"/>
        <v>8.7044467795421965E-2</v>
      </c>
      <c r="BB1987">
        <f>SUMIFS(HIX_RatingAreas[QHP Enrollments 2018],HIX_RatingAreas[Area],HIX_SLCSP[[#This Row],[Area Code]])</f>
        <v>95498</v>
      </c>
      <c r="BC1987">
        <f t="shared" si="151"/>
        <v>8.6792614021072412E-2</v>
      </c>
      <c r="BD1987">
        <f>SUMIFS(HIX_RatingAreas[QHP Enrollments 2019],HIX_RatingAreas[Area],HIX_SLCSP[[#This Row],[Area Code]])</f>
        <v>87800</v>
      </c>
      <c r="BE1987">
        <f t="shared" si="152"/>
        <v>8.2583917205390336E-2</v>
      </c>
      <c r="BF1987">
        <f>SUMIFS(HIX_RatingAreas[QHP Enrollments 2020],HIX_RatingAreas[Area],HIX_SLCSP[[#This Row],[Area Code]])</f>
        <v>86535</v>
      </c>
      <c r="BG1987">
        <f t="shared" si="153"/>
        <v>7.9247408329975455E-2</v>
      </c>
      <c r="BH1987">
        <f>SUMIFS(HIX_RatingAreas[QHP Enrollments 2021],HIX_RatingAreas[Area],HIX_SLCSP[[#This Row],[Area Code]])</f>
        <v>97529</v>
      </c>
      <c r="BI1987">
        <f t="shared" si="154"/>
        <v>7.7308620954790686E-2</v>
      </c>
      <c r="BJ1987">
        <f>SUMIFS(HIX_RatingAreas[QHP Enrollments 2022],HIX_RatingAreas[Area],HIX_SLCSP[[#This Row],[Area Code]])</f>
        <v>131626</v>
      </c>
      <c r="BK1987">
        <f t="shared" si="155"/>
        <v>7.3423778469104237E-2</v>
      </c>
      <c r="BL1987">
        <f>SUMIFS(HIX_RatingAreas[QHP Enrollments 2023],HIX_RatingAreas[Area],HIX_SLCSP[[#This Row],[Area Code]])</f>
        <v>163803</v>
      </c>
      <c r="BM1987">
        <f t="shared" si="155"/>
        <v>6.7945805294449241E-2</v>
      </c>
      <c r="BN1987">
        <f>SUMIFS(HIX_RatingAreas[QHP Enrollments 2024],HIX_RatingAreas[Area],HIX_SLCSP[[#This Row],[Area Code]])</f>
        <v>225964</v>
      </c>
      <c r="BO1987">
        <f t="shared" si="161"/>
        <v>6.4846225391456666E-2</v>
      </c>
      <c r="BP1987" s="53">
        <f>ROUND(HIX_SLCSP[[#This Row],[Weighting Factor 2018]]*HIX_SLCSP[[#This Row],[2018]],2)</f>
        <v>28.99</v>
      </c>
      <c r="BQ1987" s="53">
        <f>ROUND(HIX_SLCSP[[#This Row],[Weighting Factor 2019]]*HIX_SLCSP[[#This Row],[2019]],2)</f>
        <v>28.66</v>
      </c>
      <c r="BR1987" s="53">
        <f>ROUND(HIX_SLCSP[[#This Row],[Weighting Factor 2020]]*HIX_SLCSP[[#This Row],[2020]],2)</f>
        <v>26.04</v>
      </c>
      <c r="BS1987" s="53">
        <f>ROUND(HIX_SLCSP[[#This Row],[Weighting Factor 2021]]*HIX_SLCSP[[#This Row],[2021]],2)</f>
        <v>23.81</v>
      </c>
      <c r="BT1987" s="53">
        <f>ROUND(HIX_SLCSP[[#This Row],[Weighting Factor 2022]]*HIX_SLCSP[[#This Row],[2022]],2)</f>
        <v>22.62</v>
      </c>
      <c r="BU1987" s="53">
        <f>ROUND(HIX_SLCSP[[#This Row],[Weighting Factor 2023]]*HIX_SLCSP[[#This Row],[2023]],2)</f>
        <v>25.49</v>
      </c>
      <c r="BV1987" s="53">
        <f>ROUND(HIX_SLCSP[[#This Row],[Weighting Factor 2024]]*HIX_SLCSP[[#This Row],[2024]],2)</f>
        <v>24.8</v>
      </c>
    </row>
    <row r="1988" spans="4:74" x14ac:dyDescent="0.35">
      <c r="D1988" t="s">
        <v>1460</v>
      </c>
      <c r="E1988" t="s">
        <v>255</v>
      </c>
      <c r="F1988" s="23">
        <v>4</v>
      </c>
      <c r="G1988" s="23" t="s">
        <v>1937</v>
      </c>
      <c r="H1988" s="23" t="s">
        <v>2038</v>
      </c>
      <c r="I1988" s="23">
        <v>42</v>
      </c>
      <c r="J1988" s="53">
        <v>333.99</v>
      </c>
      <c r="K1988" s="53">
        <v>342.99</v>
      </c>
      <c r="L1988" s="53">
        <v>584.53</v>
      </c>
      <c r="M1988" s="54">
        <f t="shared" si="156"/>
        <v>1.7042187818886847</v>
      </c>
      <c r="N1988" s="24">
        <v>38</v>
      </c>
      <c r="O1988" s="55">
        <v>346.17</v>
      </c>
      <c r="P1988" s="56">
        <v>358.46</v>
      </c>
      <c r="Q1988" s="56">
        <v>610.89</v>
      </c>
      <c r="R1988" s="57">
        <f t="shared" si="157"/>
        <v>1.7042068850080903</v>
      </c>
      <c r="S1988" s="23">
        <v>42</v>
      </c>
      <c r="T1988" s="53">
        <v>331.03</v>
      </c>
      <c r="U1988" s="53">
        <v>340.59</v>
      </c>
      <c r="V1988" s="53">
        <v>580.42999999999995</v>
      </c>
      <c r="W1988" s="57">
        <f t="shared" si="158"/>
        <v>1.7041897883085235</v>
      </c>
      <c r="X1988" s="47">
        <v>158</v>
      </c>
      <c r="Y1988" s="58">
        <v>304</v>
      </c>
      <c r="Z1988" s="58">
        <v>312.56</v>
      </c>
      <c r="AA1988" s="58">
        <v>532.66999999999996</v>
      </c>
      <c r="AB1988" s="57">
        <f t="shared" si="159"/>
        <v>1.7042167903762475</v>
      </c>
      <c r="AC1988" s="47">
        <v>160</v>
      </c>
      <c r="AD1988" s="57">
        <v>321.62</v>
      </c>
      <c r="AE1988" s="57">
        <v>337.58</v>
      </c>
      <c r="AF1988" s="57">
        <v>575.29999999999995</v>
      </c>
      <c r="AG1988" s="57">
        <f t="shared" si="160"/>
        <v>1.7041886367675809</v>
      </c>
      <c r="AH1988" s="47">
        <v>146</v>
      </c>
      <c r="AI1988">
        <v>302.27999999999997</v>
      </c>
      <c r="AJ1988">
        <v>307.48</v>
      </c>
      <c r="AK1988">
        <v>524</v>
      </c>
      <c r="AL1988" s="57">
        <f t="shared" si="135"/>
        <v>1.7041758813581369</v>
      </c>
      <c r="AM1988" s="47">
        <v>166</v>
      </c>
      <c r="AN1988" s="57">
        <v>304.20999999999998</v>
      </c>
      <c r="AO1988" s="57">
        <v>311.33</v>
      </c>
      <c r="AP1988" s="57">
        <v>530.58000000000004</v>
      </c>
      <c r="AQ1988" s="57">
        <f t="shared" si="133"/>
        <v>1.7042366620627631</v>
      </c>
      <c r="AR1988" s="59">
        <v>8367</v>
      </c>
      <c r="AS1988" s="59">
        <f>SUMIFS(HIX_RatingAreas[Silver Enrollments 2018],HIX_RatingAreas[Area],HIX_SLCSP[[#This Row],[Area Code]])</f>
        <v>15460</v>
      </c>
      <c r="AT1988" s="59">
        <f>SUMIFS(HIX_RatingAreas[Silver Enrollments 2019],HIX_RatingAreas[Area],HIX_SLCSP[[#This Row],[Area Code]])</f>
        <v>15426</v>
      </c>
      <c r="AU1988" s="59">
        <f>SUMIFS(HIX_RatingAreas[Silver Enrollments 2020],HIX_RatingAreas[Area],HIX_SLCSP[[#This Row],[Area Code]])</f>
        <v>16371</v>
      </c>
      <c r="AV1988" s="59">
        <f>SUMIFS(HIX_RatingAreas[Silver Enrollments 2021],HIX_RatingAreas[Area],HIX_SLCSP[[#This Row],[Area Code]])</f>
        <v>15879</v>
      </c>
      <c r="AW1988" s="59">
        <f>SUMIFS(HIX_RatingAreas[Silver Enrollments 2022],HIX_RatingAreas[Area],HIX_SLCSP[[#This Row],[Area Code]])</f>
        <v>28935</v>
      </c>
      <c r="AX1988" s="59">
        <f>SUMIFS(HIX_RatingAreas[Silver Enrollments 2023],HIX_RatingAreas[Area],HIX_SLCSP[[#This Row],[Area Code]])</f>
        <v>36025</v>
      </c>
      <c r="AY1988" s="59">
        <f>SUMIFS(HIX_RatingAreas[Silver Enrollments 2024],HIX_RatingAreas[Area],HIX_SLCSP[[#This Row],[Area Code]])</f>
        <v>45831</v>
      </c>
      <c r="AZ1988" s="59">
        <v>12557</v>
      </c>
      <c r="BA1988">
        <f t="shared" si="150"/>
        <v>9.6102112991349516E-3</v>
      </c>
      <c r="BB1988">
        <f>SUMIFS(HIX_RatingAreas[QHP Enrollments 2018],HIX_RatingAreas[Area],HIX_SLCSP[[#This Row],[Area Code]])</f>
        <v>24660</v>
      </c>
      <c r="BC1988">
        <f t="shared" si="151"/>
        <v>2.2412049066573601E-2</v>
      </c>
      <c r="BD1988">
        <f>SUMIFS(HIX_RatingAreas[QHP Enrollments 2019],HIX_RatingAreas[Area],HIX_SLCSP[[#This Row],[Area Code]])</f>
        <v>25288</v>
      </c>
      <c r="BE1988">
        <f t="shared" si="152"/>
        <v>2.3785673101251834E-2</v>
      </c>
      <c r="BF1988">
        <f>SUMIFS(HIX_RatingAreas[QHP Enrollments 2020],HIX_RatingAreas[Area],HIX_SLCSP[[#This Row],[Area Code]])</f>
        <v>25996</v>
      </c>
      <c r="BG1988">
        <f t="shared" si="153"/>
        <v>2.3806732847357046E-2</v>
      </c>
      <c r="BH1988">
        <f>SUMIFS(HIX_RatingAreas[QHP Enrollments 2021],HIX_RatingAreas[Area],HIX_SLCSP[[#This Row],[Area Code]])</f>
        <v>28134</v>
      </c>
      <c r="BI1988">
        <f t="shared" si="154"/>
        <v>2.2301066779543324E-2</v>
      </c>
      <c r="BJ1988">
        <f>SUMIFS(HIX_RatingAreas[QHP Enrollments 2022],HIX_RatingAreas[Area],HIX_SLCSP[[#This Row],[Area Code]])</f>
        <v>40323</v>
      </c>
      <c r="BK1988">
        <f t="shared" si="155"/>
        <v>2.2493025839953277E-2</v>
      </c>
      <c r="BL1988">
        <f>SUMIFS(HIX_RatingAreas[QHP Enrollments 2023],HIX_RatingAreas[Area],HIX_SLCSP[[#This Row],[Area Code]])</f>
        <v>56290</v>
      </c>
      <c r="BM1988">
        <f t="shared" si="155"/>
        <v>2.3349202273612497E-2</v>
      </c>
      <c r="BN1988">
        <f>SUMIFS(HIX_RatingAreas[QHP Enrollments 2024],HIX_RatingAreas[Area],HIX_SLCSP[[#This Row],[Area Code]])</f>
        <v>88330</v>
      </c>
      <c r="BO1988">
        <f t="shared" si="161"/>
        <v>2.5348582468124867E-2</v>
      </c>
      <c r="BP1988" s="53">
        <f>ROUND(HIX_SLCSP[[#This Row],[Weighting Factor 2018]]*HIX_SLCSP[[#This Row],[2018]],2)</f>
        <v>7.69</v>
      </c>
      <c r="BQ1988" s="53">
        <f>ROUND(HIX_SLCSP[[#This Row],[Weighting Factor 2019]]*HIX_SLCSP[[#This Row],[2019]],2)</f>
        <v>8.5299999999999994</v>
      </c>
      <c r="BR1988" s="53">
        <f>ROUND(HIX_SLCSP[[#This Row],[Weighting Factor 2020]]*HIX_SLCSP[[#This Row],[2020]],2)</f>
        <v>8.11</v>
      </c>
      <c r="BS1988" s="53">
        <f>ROUND(HIX_SLCSP[[#This Row],[Weighting Factor 2021]]*HIX_SLCSP[[#This Row],[2021]],2)</f>
        <v>6.97</v>
      </c>
      <c r="BT1988" s="53">
        <f>ROUND(HIX_SLCSP[[#This Row],[Weighting Factor 2022]]*HIX_SLCSP[[#This Row],[2022]],2)</f>
        <v>7.59</v>
      </c>
      <c r="BU1988" s="53">
        <f>ROUND(HIX_SLCSP[[#This Row],[Weighting Factor 2023]]*HIX_SLCSP[[#This Row],[2023]],2)</f>
        <v>7.18</v>
      </c>
      <c r="BV1988" s="53">
        <f>ROUND(HIX_SLCSP[[#This Row],[Weighting Factor 2024]]*HIX_SLCSP[[#This Row],[2024]],2)</f>
        <v>7.89</v>
      </c>
    </row>
    <row r="1989" spans="4:74" x14ac:dyDescent="0.35">
      <c r="D1989" t="s">
        <v>1460</v>
      </c>
      <c r="E1989" t="s">
        <v>259</v>
      </c>
      <c r="F1989" s="23">
        <v>5</v>
      </c>
      <c r="G1989" s="23" t="s">
        <v>1937</v>
      </c>
      <c r="H1989" s="23" t="s">
        <v>2061</v>
      </c>
      <c r="I1989" s="23">
        <v>86</v>
      </c>
      <c r="J1989" s="53">
        <v>284.27999999999997</v>
      </c>
      <c r="K1989" s="53">
        <v>299.88</v>
      </c>
      <c r="L1989" s="53">
        <v>511.05</v>
      </c>
      <c r="M1989" s="54">
        <f t="shared" si="156"/>
        <v>1.7041816726690677</v>
      </c>
      <c r="N1989" s="24">
        <v>54</v>
      </c>
      <c r="O1989" s="55">
        <v>274.73</v>
      </c>
      <c r="P1989" s="56">
        <v>279.92</v>
      </c>
      <c r="Q1989" s="56">
        <v>477.04</v>
      </c>
      <c r="R1989" s="57">
        <f t="shared" si="157"/>
        <v>1.7042012003429552</v>
      </c>
      <c r="S1989" s="23">
        <v>86</v>
      </c>
      <c r="T1989" s="53">
        <v>278.36</v>
      </c>
      <c r="U1989" s="53">
        <v>299.17</v>
      </c>
      <c r="V1989" s="53">
        <v>509.85</v>
      </c>
      <c r="W1989" s="57">
        <f t="shared" si="158"/>
        <v>1.7042149948189993</v>
      </c>
      <c r="X1989" s="47">
        <v>126</v>
      </c>
      <c r="Y1989" s="58">
        <v>262</v>
      </c>
      <c r="Z1989" s="58">
        <v>269.38</v>
      </c>
      <c r="AA1989" s="58">
        <v>459.08</v>
      </c>
      <c r="AB1989" s="57">
        <f t="shared" si="159"/>
        <v>1.7042096666419184</v>
      </c>
      <c r="AC1989" s="47">
        <v>144</v>
      </c>
      <c r="AD1989" s="57">
        <v>294.16000000000003</v>
      </c>
      <c r="AE1989" s="57">
        <v>308.75</v>
      </c>
      <c r="AF1989" s="57">
        <v>526.17999999999995</v>
      </c>
      <c r="AG1989" s="57">
        <f t="shared" si="160"/>
        <v>1.704226720647773</v>
      </c>
      <c r="AH1989" s="47">
        <v>166</v>
      </c>
      <c r="AI1989">
        <v>284.25</v>
      </c>
      <c r="AJ1989">
        <v>290.83999999999997</v>
      </c>
      <c r="AK1989">
        <v>495.64</v>
      </c>
      <c r="AL1989" s="57">
        <f t="shared" si="135"/>
        <v>1.7041672397194334</v>
      </c>
      <c r="AM1989" s="47">
        <v>166</v>
      </c>
      <c r="AN1989" s="57">
        <v>279.99</v>
      </c>
      <c r="AO1989" s="57">
        <v>286.55</v>
      </c>
      <c r="AP1989" s="57">
        <v>488.34</v>
      </c>
      <c r="AQ1989" s="57">
        <f t="shared" si="133"/>
        <v>1.7042051997906122</v>
      </c>
      <c r="AR1989" s="59">
        <v>14371</v>
      </c>
      <c r="AS1989" s="59">
        <f>SUMIFS(HIX_RatingAreas[Silver Enrollments 2018],HIX_RatingAreas[Area],HIX_SLCSP[[#This Row],[Area Code]])</f>
        <v>13673</v>
      </c>
      <c r="AT1989" s="59">
        <f>SUMIFS(HIX_RatingAreas[Silver Enrollments 2019],HIX_RatingAreas[Area],HIX_SLCSP[[#This Row],[Area Code]])</f>
        <v>13061</v>
      </c>
      <c r="AU1989" s="59">
        <f>SUMIFS(HIX_RatingAreas[Silver Enrollments 2020],HIX_RatingAreas[Area],HIX_SLCSP[[#This Row],[Area Code]])</f>
        <v>13183</v>
      </c>
      <c r="AV1989" s="59">
        <f>SUMIFS(HIX_RatingAreas[Silver Enrollments 2021],HIX_RatingAreas[Area],HIX_SLCSP[[#This Row],[Area Code]])</f>
        <v>16280</v>
      </c>
      <c r="AW1989" s="59">
        <f>SUMIFS(HIX_RatingAreas[Silver Enrollments 2022],HIX_RatingAreas[Area],HIX_SLCSP[[#This Row],[Area Code]])</f>
        <v>29499</v>
      </c>
      <c r="AX1989" s="59">
        <f>SUMIFS(HIX_RatingAreas[Silver Enrollments 2023],HIX_RatingAreas[Area],HIX_SLCSP[[#This Row],[Area Code]])</f>
        <v>35542</v>
      </c>
      <c r="AY1989" s="59">
        <f>SUMIFS(HIX_RatingAreas[Silver Enrollments 2024],HIX_RatingAreas[Area],HIX_SLCSP[[#This Row],[Area Code]])</f>
        <v>47633</v>
      </c>
      <c r="AZ1989" s="59">
        <v>20406</v>
      </c>
      <c r="BA1989">
        <f t="shared" si="150"/>
        <v>1.5617263022230453E-2</v>
      </c>
      <c r="BB1989">
        <f>SUMIFS(HIX_RatingAreas[QHP Enrollments 2018],HIX_RatingAreas[Area],HIX_SLCSP[[#This Row],[Area Code]])</f>
        <v>17090</v>
      </c>
      <c r="BC1989">
        <f t="shared" si="151"/>
        <v>1.553211348530993E-2</v>
      </c>
      <c r="BD1989">
        <f>SUMIFS(HIX_RatingAreas[QHP Enrollments 2019],HIX_RatingAreas[Area],HIX_SLCSP[[#This Row],[Area Code]])</f>
        <v>16216</v>
      </c>
      <c r="BE1989">
        <f t="shared" si="152"/>
        <v>1.5252628717569588E-2</v>
      </c>
      <c r="BF1989">
        <f>SUMIFS(HIX_RatingAreas[QHP Enrollments 2020],HIX_RatingAreas[Area],HIX_SLCSP[[#This Row],[Area Code]])</f>
        <v>16179</v>
      </c>
      <c r="BG1989">
        <f t="shared" si="153"/>
        <v>1.4816476794021758E-2</v>
      </c>
      <c r="BH1989">
        <f>SUMIFS(HIX_RatingAreas[QHP Enrollments 2021],HIX_RatingAreas[Area],HIX_SLCSP[[#This Row],[Area Code]])</f>
        <v>21216</v>
      </c>
      <c r="BI1989">
        <f t="shared" si="154"/>
        <v>1.6817353835032033E-2</v>
      </c>
      <c r="BJ1989">
        <f>SUMIFS(HIX_RatingAreas[QHP Enrollments 2022],HIX_RatingAreas[Area],HIX_SLCSP[[#This Row],[Area Code]])</f>
        <v>35914</v>
      </c>
      <c r="BK1989">
        <f t="shared" si="155"/>
        <v>2.0033591995042083E-2</v>
      </c>
      <c r="BL1989">
        <f>SUMIFS(HIX_RatingAreas[QHP Enrollments 2023],HIX_RatingAreas[Area],HIX_SLCSP[[#This Row],[Area Code]])</f>
        <v>47449</v>
      </c>
      <c r="BM1989">
        <f t="shared" si="155"/>
        <v>1.9681938153857513E-2</v>
      </c>
      <c r="BN1989">
        <f>SUMIFS(HIX_RatingAreas[QHP Enrollments 2024],HIX_RatingAreas[Area],HIX_SLCSP[[#This Row],[Area Code]])</f>
        <v>66027</v>
      </c>
      <c r="BO1989">
        <f t="shared" si="161"/>
        <v>1.8948158662095333E-2</v>
      </c>
      <c r="BP1989" s="53">
        <f>ROUND(HIX_SLCSP[[#This Row],[Weighting Factor 2018]]*HIX_SLCSP[[#This Row],[2018]],2)</f>
        <v>4.66</v>
      </c>
      <c r="BQ1989" s="53">
        <f>ROUND(HIX_SLCSP[[#This Row],[Weighting Factor 2019]]*HIX_SLCSP[[#This Row],[2019]],2)</f>
        <v>4.2699999999999996</v>
      </c>
      <c r="BR1989" s="53">
        <f>ROUND(HIX_SLCSP[[#This Row],[Weighting Factor 2020]]*HIX_SLCSP[[#This Row],[2020]],2)</f>
        <v>4.43</v>
      </c>
      <c r="BS1989" s="53">
        <f>ROUND(HIX_SLCSP[[#This Row],[Weighting Factor 2021]]*HIX_SLCSP[[#This Row],[2021]],2)</f>
        <v>4.53</v>
      </c>
      <c r="BT1989" s="53">
        <f>ROUND(HIX_SLCSP[[#This Row],[Weighting Factor 2022]]*HIX_SLCSP[[#This Row],[2022]],2)</f>
        <v>6.19</v>
      </c>
      <c r="BU1989" s="53">
        <f>ROUND(HIX_SLCSP[[#This Row],[Weighting Factor 2023]]*HIX_SLCSP[[#This Row],[2023]],2)</f>
        <v>5.72</v>
      </c>
      <c r="BV1989" s="53">
        <f>ROUND(HIX_SLCSP[[#This Row],[Weighting Factor 2024]]*HIX_SLCSP[[#This Row],[2024]],2)</f>
        <v>5.43</v>
      </c>
    </row>
    <row r="1990" spans="4:74" x14ac:dyDescent="0.35">
      <c r="D1990" t="s">
        <v>1460</v>
      </c>
      <c r="E1990" t="s">
        <v>265</v>
      </c>
      <c r="F1990" s="23">
        <v>6</v>
      </c>
      <c r="G1990" s="23" t="s">
        <v>1937</v>
      </c>
      <c r="H1990" s="23" t="s">
        <v>2068</v>
      </c>
      <c r="I1990" s="23">
        <v>70</v>
      </c>
      <c r="J1990" s="53">
        <v>330.15</v>
      </c>
      <c r="K1990" s="53">
        <v>348.26</v>
      </c>
      <c r="L1990" s="53">
        <v>593.51</v>
      </c>
      <c r="M1990" s="54">
        <f t="shared" si="156"/>
        <v>1.7042152414862459</v>
      </c>
      <c r="N1990" s="24">
        <v>37</v>
      </c>
      <c r="O1990" s="55">
        <v>336.93</v>
      </c>
      <c r="P1990" s="56">
        <v>356.08</v>
      </c>
      <c r="Q1990" s="56">
        <v>606.84</v>
      </c>
      <c r="R1990" s="57">
        <f t="shared" si="157"/>
        <v>1.7042237699393397</v>
      </c>
      <c r="S1990" s="23">
        <v>70</v>
      </c>
      <c r="T1990" s="53">
        <v>344.28</v>
      </c>
      <c r="U1990" s="53">
        <v>357.23</v>
      </c>
      <c r="V1990" s="53">
        <v>608.79999999999995</v>
      </c>
      <c r="W1990" s="57">
        <f t="shared" si="158"/>
        <v>1.7042241693026898</v>
      </c>
      <c r="X1990" s="47">
        <v>118</v>
      </c>
      <c r="Y1990" s="58">
        <v>297.25</v>
      </c>
      <c r="Z1990" s="58">
        <v>305.62</v>
      </c>
      <c r="AA1990" s="58">
        <v>520.84</v>
      </c>
      <c r="AB1990" s="57">
        <f t="shared" si="159"/>
        <v>1.7042078398010603</v>
      </c>
      <c r="AC1990" s="47">
        <v>120</v>
      </c>
      <c r="AD1990" s="57">
        <v>318.23</v>
      </c>
      <c r="AE1990" s="57">
        <v>334.02</v>
      </c>
      <c r="AF1990" s="57">
        <v>569.24</v>
      </c>
      <c r="AG1990" s="57">
        <f t="shared" si="160"/>
        <v>1.7042093287827078</v>
      </c>
      <c r="AH1990" s="47">
        <v>106</v>
      </c>
      <c r="AI1990">
        <v>320.08</v>
      </c>
      <c r="AJ1990">
        <v>325.58</v>
      </c>
      <c r="AK1990">
        <v>554.86</v>
      </c>
      <c r="AL1990" s="57">
        <f t="shared" si="135"/>
        <v>1.704220160943547</v>
      </c>
      <c r="AM1990" s="47">
        <v>122</v>
      </c>
      <c r="AN1990" s="57">
        <v>325.88</v>
      </c>
      <c r="AO1990" s="57">
        <v>334.02</v>
      </c>
      <c r="AP1990" s="57">
        <v>569.24</v>
      </c>
      <c r="AQ1990" s="57">
        <f t="shared" si="133"/>
        <v>1.7042093287827078</v>
      </c>
      <c r="AR1990" s="59">
        <v>4966</v>
      </c>
      <c r="AS1990" s="59">
        <f>SUMIFS(HIX_RatingAreas[Silver Enrollments 2018],HIX_RatingAreas[Area],HIX_SLCSP[[#This Row],[Area Code]])</f>
        <v>6247</v>
      </c>
      <c r="AT1990" s="59">
        <f>SUMIFS(HIX_RatingAreas[Silver Enrollments 2019],HIX_RatingAreas[Area],HIX_SLCSP[[#This Row],[Area Code]])</f>
        <v>5093</v>
      </c>
      <c r="AU1990" s="59">
        <f>SUMIFS(HIX_RatingAreas[Silver Enrollments 2020],HIX_RatingAreas[Area],HIX_SLCSP[[#This Row],[Area Code]])</f>
        <v>5616</v>
      </c>
      <c r="AV1990" s="59">
        <f>SUMIFS(HIX_RatingAreas[Silver Enrollments 2021],HIX_RatingAreas[Area],HIX_SLCSP[[#This Row],[Area Code]])</f>
        <v>5152</v>
      </c>
      <c r="AW1990" s="59">
        <f>SUMIFS(HIX_RatingAreas[Silver Enrollments 2022],HIX_RatingAreas[Area],HIX_SLCSP[[#This Row],[Area Code]])</f>
        <v>8589</v>
      </c>
      <c r="AX1990" s="59">
        <f>SUMIFS(HIX_RatingAreas[Silver Enrollments 2023],HIX_RatingAreas[Area],HIX_SLCSP[[#This Row],[Area Code]])</f>
        <v>9547</v>
      </c>
      <c r="AY1990" s="59">
        <f>SUMIFS(HIX_RatingAreas[Silver Enrollments 2024],HIX_RatingAreas[Area],HIX_SLCSP[[#This Row],[Area Code]])</f>
        <v>13550</v>
      </c>
      <c r="AZ1990" s="59">
        <v>7111</v>
      </c>
      <c r="BA1990">
        <f t="shared" si="150"/>
        <v>5.4422403876840516E-3</v>
      </c>
      <c r="BB1990">
        <f>SUMIFS(HIX_RatingAreas[QHP Enrollments 2018],HIX_RatingAreas[Area],HIX_SLCSP[[#This Row],[Area Code]])</f>
        <v>9813</v>
      </c>
      <c r="BC1990">
        <f t="shared" si="151"/>
        <v>8.9184686735720494E-3</v>
      </c>
      <c r="BD1990">
        <f>SUMIFS(HIX_RatingAreas[QHP Enrollments 2019],HIX_RatingAreas[Area],HIX_SLCSP[[#This Row],[Area Code]])</f>
        <v>8440</v>
      </c>
      <c r="BE1990">
        <f t="shared" si="152"/>
        <v>7.9385906744133764E-3</v>
      </c>
      <c r="BF1990">
        <f>SUMIFS(HIX_RatingAreas[QHP Enrollments 2020],HIX_RatingAreas[Area],HIX_SLCSP[[#This Row],[Area Code]])</f>
        <v>9310</v>
      </c>
      <c r="BG1990">
        <f t="shared" si="153"/>
        <v>8.5259533316238683E-3</v>
      </c>
      <c r="BH1990">
        <f>SUMIFS(HIX_RatingAreas[QHP Enrollments 2021],HIX_RatingAreas[Area],HIX_SLCSP[[#This Row],[Area Code]])</f>
        <v>10087</v>
      </c>
      <c r="BI1990">
        <f t="shared" si="154"/>
        <v>7.9956941993763256E-3</v>
      </c>
      <c r="BJ1990">
        <f>SUMIFS(HIX_RatingAreas[QHP Enrollments 2022],HIX_RatingAreas[Area],HIX_SLCSP[[#This Row],[Area Code]])</f>
        <v>14105</v>
      </c>
      <c r="BK1990">
        <f t="shared" si="155"/>
        <v>7.8680685830057519E-3</v>
      </c>
      <c r="BL1990">
        <f>SUMIFS(HIX_RatingAreas[QHP Enrollments 2023],HIX_RatingAreas[Area],HIX_SLCSP[[#This Row],[Area Code]])</f>
        <v>18752</v>
      </c>
      <c r="BM1990">
        <f t="shared" si="155"/>
        <v>7.7783663356685304E-3</v>
      </c>
      <c r="BN1990">
        <f>SUMIFS(HIX_RatingAreas[QHP Enrollments 2024],HIX_RatingAreas[Area],HIX_SLCSP[[#This Row],[Area Code]])</f>
        <v>30030</v>
      </c>
      <c r="BO1990">
        <f t="shared" si="161"/>
        <v>8.6178866921520405E-3</v>
      </c>
      <c r="BP1990" s="53">
        <f>ROUND(HIX_SLCSP[[#This Row],[Weighting Factor 2018]]*HIX_SLCSP[[#This Row],[2018]],2)</f>
        <v>3.11</v>
      </c>
      <c r="BQ1990" s="53">
        <f>ROUND(HIX_SLCSP[[#This Row],[Weighting Factor 2019]]*HIX_SLCSP[[#This Row],[2019]],2)</f>
        <v>2.83</v>
      </c>
      <c r="BR1990" s="53">
        <f>ROUND(HIX_SLCSP[[#This Row],[Weighting Factor 2020]]*HIX_SLCSP[[#This Row],[2020]],2)</f>
        <v>3.05</v>
      </c>
      <c r="BS1990" s="53">
        <f>ROUND(HIX_SLCSP[[#This Row],[Weighting Factor 2021]]*HIX_SLCSP[[#This Row],[2021]],2)</f>
        <v>2.44</v>
      </c>
      <c r="BT1990" s="53">
        <f>ROUND(HIX_SLCSP[[#This Row],[Weighting Factor 2022]]*HIX_SLCSP[[#This Row],[2022]],2)</f>
        <v>2.63</v>
      </c>
      <c r="BU1990" s="53">
        <f>ROUND(HIX_SLCSP[[#This Row],[Weighting Factor 2023]]*HIX_SLCSP[[#This Row],[2023]],2)</f>
        <v>2.5299999999999998</v>
      </c>
      <c r="BV1990" s="53">
        <f>ROUND(HIX_SLCSP[[#This Row],[Weighting Factor 2024]]*HIX_SLCSP[[#This Row],[2024]],2)</f>
        <v>2.88</v>
      </c>
    </row>
    <row r="1991" spans="4:74" x14ac:dyDescent="0.35">
      <c r="D1991" t="s">
        <v>1460</v>
      </c>
      <c r="E1991" t="s">
        <v>273</v>
      </c>
      <c r="F1991" s="23">
        <v>7</v>
      </c>
      <c r="G1991" s="23" t="s">
        <v>1937</v>
      </c>
      <c r="H1991" s="23" t="s">
        <v>2081</v>
      </c>
      <c r="I1991" s="23">
        <v>94</v>
      </c>
      <c r="J1991" s="53">
        <v>391.72</v>
      </c>
      <c r="K1991" s="53">
        <v>427.96</v>
      </c>
      <c r="L1991" s="53">
        <v>729.33</v>
      </c>
      <c r="M1991" s="54">
        <f t="shared" si="156"/>
        <v>1.7042013272268437</v>
      </c>
      <c r="N1991" s="24">
        <v>18</v>
      </c>
      <c r="O1991" s="55">
        <v>338.68</v>
      </c>
      <c r="P1991" s="56">
        <v>354.76</v>
      </c>
      <c r="Q1991" s="56">
        <v>604.58000000000004</v>
      </c>
      <c r="R1991" s="57">
        <f t="shared" si="157"/>
        <v>1.704194384936295</v>
      </c>
      <c r="S1991" s="23">
        <v>94</v>
      </c>
      <c r="T1991" s="53">
        <v>363</v>
      </c>
      <c r="U1991" s="53">
        <v>365.17</v>
      </c>
      <c r="V1991" s="53">
        <v>622.30999999999995</v>
      </c>
      <c r="W1991" s="57">
        <f t="shared" si="158"/>
        <v>1.7041651833392664</v>
      </c>
      <c r="X1991" s="47">
        <v>122</v>
      </c>
      <c r="Y1991" s="58">
        <v>295.58</v>
      </c>
      <c r="Z1991" s="58">
        <v>303.89999999999998</v>
      </c>
      <c r="AA1991" s="58">
        <v>517.91</v>
      </c>
      <c r="AB1991" s="57">
        <f t="shared" si="159"/>
        <v>1.7042119118130965</v>
      </c>
      <c r="AC1991" s="47">
        <v>136</v>
      </c>
      <c r="AD1991" s="57">
        <v>338.95</v>
      </c>
      <c r="AE1991" s="57">
        <v>355.77</v>
      </c>
      <c r="AF1991" s="57">
        <v>606.29999999999995</v>
      </c>
      <c r="AG1991" s="57">
        <f t="shared" si="160"/>
        <v>1.7041909098574921</v>
      </c>
      <c r="AH1991" s="47">
        <v>166</v>
      </c>
      <c r="AI1991">
        <v>347.89</v>
      </c>
      <c r="AJ1991">
        <v>353.87</v>
      </c>
      <c r="AK1991">
        <v>603.05999999999995</v>
      </c>
      <c r="AL1991" s="57">
        <f t="shared" si="135"/>
        <v>1.7041851527397065</v>
      </c>
      <c r="AM1991" s="47">
        <v>126</v>
      </c>
      <c r="AN1991" s="57">
        <v>346.99</v>
      </c>
      <c r="AO1991" s="57">
        <v>355.65</v>
      </c>
      <c r="AP1991" s="57">
        <v>606.1</v>
      </c>
      <c r="AQ1991" s="57">
        <f t="shared" si="133"/>
        <v>1.7042035709264729</v>
      </c>
      <c r="AR1991" s="59">
        <v>10736</v>
      </c>
      <c r="AS1991" s="59">
        <f>SUMIFS(HIX_RatingAreas[Silver Enrollments 2018],HIX_RatingAreas[Area],HIX_SLCSP[[#This Row],[Area Code]])</f>
        <v>10582</v>
      </c>
      <c r="AT1991" s="59">
        <f>SUMIFS(HIX_RatingAreas[Silver Enrollments 2019],HIX_RatingAreas[Area],HIX_SLCSP[[#This Row],[Area Code]])</f>
        <v>9276</v>
      </c>
      <c r="AU1991" s="59">
        <f>SUMIFS(HIX_RatingAreas[Silver Enrollments 2020],HIX_RatingAreas[Area],HIX_SLCSP[[#This Row],[Area Code]])</f>
        <v>8150</v>
      </c>
      <c r="AV1991" s="59">
        <f>SUMIFS(HIX_RatingAreas[Silver Enrollments 2021],HIX_RatingAreas[Area],HIX_SLCSP[[#This Row],[Area Code]])</f>
        <v>9140</v>
      </c>
      <c r="AW1991" s="59">
        <f>SUMIFS(HIX_RatingAreas[Silver Enrollments 2022],HIX_RatingAreas[Area],HIX_SLCSP[[#This Row],[Area Code]])</f>
        <v>13718</v>
      </c>
      <c r="AX1991" s="59">
        <f>SUMIFS(HIX_RatingAreas[Silver Enrollments 2023],HIX_RatingAreas[Area],HIX_SLCSP[[#This Row],[Area Code]])</f>
        <v>15658</v>
      </c>
      <c r="AY1991" s="59">
        <f>SUMIFS(HIX_RatingAreas[Silver Enrollments 2024],HIX_RatingAreas[Area],HIX_SLCSP[[#This Row],[Area Code]])</f>
        <v>19761</v>
      </c>
      <c r="AZ1991" s="59">
        <v>16663</v>
      </c>
      <c r="BA1991">
        <f t="shared" si="150"/>
        <v>1.2752644013497308E-2</v>
      </c>
      <c r="BB1991">
        <f>SUMIFS(HIX_RatingAreas[QHP Enrollments 2018],HIX_RatingAreas[Area],HIX_SLCSP[[#This Row],[Area Code]])</f>
        <v>17662</v>
      </c>
      <c r="BC1991">
        <f t="shared" si="151"/>
        <v>1.6051971233326152E-2</v>
      </c>
      <c r="BD1991">
        <f>SUMIFS(HIX_RatingAreas[QHP Enrollments 2019],HIX_RatingAreas[Area],HIX_SLCSP[[#This Row],[Area Code]])</f>
        <v>17251</v>
      </c>
      <c r="BE1991">
        <f t="shared" si="152"/>
        <v>1.6226140725628575E-2</v>
      </c>
      <c r="BF1991">
        <f>SUMIFS(HIX_RatingAreas[QHP Enrollments 2020],HIX_RatingAreas[Area],HIX_SLCSP[[#This Row],[Area Code]])</f>
        <v>16847</v>
      </c>
      <c r="BG1991">
        <f t="shared" si="153"/>
        <v>1.5428220813949229E-2</v>
      </c>
      <c r="BH1991">
        <f>SUMIFS(HIX_RatingAreas[QHP Enrollments 2021],HIX_RatingAreas[Area],HIX_SLCSP[[#This Row],[Area Code]])</f>
        <v>18017</v>
      </c>
      <c r="BI1991">
        <f t="shared" si="154"/>
        <v>1.4281592385264523E-2</v>
      </c>
      <c r="BJ1991">
        <f>SUMIFS(HIX_RatingAreas[QHP Enrollments 2022],HIX_RatingAreas[Area],HIX_SLCSP[[#This Row],[Area Code]])</f>
        <v>24769</v>
      </c>
      <c r="BK1991">
        <f t="shared" si="155"/>
        <v>1.3816674280926585E-2</v>
      </c>
      <c r="BL1991">
        <f>SUMIFS(HIX_RatingAreas[QHP Enrollments 2023],HIX_RatingAreas[Area],HIX_SLCSP[[#This Row],[Area Code]])</f>
        <v>33232</v>
      </c>
      <c r="BM1991">
        <f t="shared" si="155"/>
        <v>1.3784698702375031E-2</v>
      </c>
      <c r="BN1991">
        <f>SUMIFS(HIX_RatingAreas[QHP Enrollments 2024],HIX_RatingAreas[Area],HIX_SLCSP[[#This Row],[Area Code]])</f>
        <v>51392</v>
      </c>
      <c r="BO1991">
        <f t="shared" si="161"/>
        <v>1.474826616327265E-2</v>
      </c>
      <c r="BP1991" s="53">
        <f>ROUND(HIX_SLCSP[[#This Row],[Weighting Factor 2018]]*HIX_SLCSP[[#This Row],[2018]],2)</f>
        <v>6.87</v>
      </c>
      <c r="BQ1991" s="53">
        <f>ROUND(HIX_SLCSP[[#This Row],[Weighting Factor 2019]]*HIX_SLCSP[[#This Row],[2019]],2)</f>
        <v>5.76</v>
      </c>
      <c r="BR1991" s="53">
        <f>ROUND(HIX_SLCSP[[#This Row],[Weighting Factor 2020]]*HIX_SLCSP[[#This Row],[2020]],2)</f>
        <v>5.63</v>
      </c>
      <c r="BS1991" s="53">
        <f>ROUND(HIX_SLCSP[[#This Row],[Weighting Factor 2021]]*HIX_SLCSP[[#This Row],[2021]],2)</f>
        <v>4.34</v>
      </c>
      <c r="BT1991" s="53">
        <f>ROUND(HIX_SLCSP[[#This Row],[Weighting Factor 2022]]*HIX_SLCSP[[#This Row],[2022]],2)</f>
        <v>4.92</v>
      </c>
      <c r="BU1991" s="53">
        <f>ROUND(HIX_SLCSP[[#This Row],[Weighting Factor 2023]]*HIX_SLCSP[[#This Row],[2023]],2)</f>
        <v>4.88</v>
      </c>
      <c r="BV1991" s="53">
        <f>ROUND(HIX_SLCSP[[#This Row],[Weighting Factor 2024]]*HIX_SLCSP[[#This Row],[2024]],2)</f>
        <v>5.25</v>
      </c>
    </row>
    <row r="1992" spans="4:74" x14ac:dyDescent="0.35">
      <c r="D1992" t="s">
        <v>1460</v>
      </c>
      <c r="E1992" t="s">
        <v>279</v>
      </c>
      <c r="F1992" s="23">
        <v>8</v>
      </c>
      <c r="G1992" s="23" t="s">
        <v>1937</v>
      </c>
      <c r="H1992" s="23" t="s">
        <v>2098</v>
      </c>
      <c r="I1992" s="23">
        <v>259</v>
      </c>
      <c r="J1992" s="53">
        <v>337.27</v>
      </c>
      <c r="K1992" s="53">
        <v>344.77</v>
      </c>
      <c r="L1992" s="53">
        <v>587.54999999999995</v>
      </c>
      <c r="M1992" s="54">
        <f t="shared" si="156"/>
        <v>1.7041795979928647</v>
      </c>
      <c r="N1992" s="24">
        <v>81</v>
      </c>
      <c r="O1992" s="55">
        <v>336.6</v>
      </c>
      <c r="P1992" s="56">
        <v>342.96</v>
      </c>
      <c r="Q1992" s="56">
        <v>584.48</v>
      </c>
      <c r="R1992" s="57">
        <f t="shared" si="157"/>
        <v>1.7042220667133194</v>
      </c>
      <c r="S1992" s="23">
        <v>259</v>
      </c>
      <c r="T1992" s="53">
        <v>285.92</v>
      </c>
      <c r="U1992" s="53">
        <v>334.41</v>
      </c>
      <c r="V1992" s="53">
        <v>569.9</v>
      </c>
      <c r="W1992" s="57">
        <f t="shared" si="158"/>
        <v>1.7041954487006965</v>
      </c>
      <c r="X1992" s="47">
        <v>253</v>
      </c>
      <c r="Y1992" s="58">
        <v>274.97000000000003</v>
      </c>
      <c r="Z1992" s="58">
        <v>282.72000000000003</v>
      </c>
      <c r="AA1992" s="58">
        <v>481.81</v>
      </c>
      <c r="AB1992" s="57">
        <f t="shared" si="159"/>
        <v>1.7041949632144877</v>
      </c>
      <c r="AC1992" s="47">
        <v>307</v>
      </c>
      <c r="AD1992" s="57">
        <v>266.02999999999997</v>
      </c>
      <c r="AE1992" s="57">
        <v>266.48</v>
      </c>
      <c r="AF1992" s="57">
        <v>454.13</v>
      </c>
      <c r="AG1992" s="57">
        <f t="shared" si="160"/>
        <v>1.7041804262984088</v>
      </c>
      <c r="AH1992" s="47">
        <v>266</v>
      </c>
      <c r="AI1992">
        <v>318.26</v>
      </c>
      <c r="AJ1992">
        <v>331.02</v>
      </c>
      <c r="AK1992">
        <v>564.12</v>
      </c>
      <c r="AL1992" s="57">
        <f t="shared" si="135"/>
        <v>1.7041870581837957</v>
      </c>
      <c r="AM1992" s="47">
        <v>219</v>
      </c>
      <c r="AN1992" s="57">
        <v>342.77</v>
      </c>
      <c r="AO1992" s="57">
        <v>342.89</v>
      </c>
      <c r="AP1992" s="57">
        <v>584.35</v>
      </c>
      <c r="AQ1992" s="57">
        <f t="shared" si="133"/>
        <v>1.7041908483770307</v>
      </c>
      <c r="AR1992" s="59">
        <v>225576</v>
      </c>
      <c r="AS1992" s="59">
        <f>SUMIFS(HIX_RatingAreas[Silver Enrollments 2018],HIX_RatingAreas[Area],HIX_SLCSP[[#This Row],[Area Code]])</f>
        <v>107105</v>
      </c>
      <c r="AT1992" s="59">
        <f>SUMIFS(HIX_RatingAreas[Silver Enrollments 2019],HIX_RatingAreas[Area],HIX_SLCSP[[#This Row],[Area Code]])</f>
        <v>120663</v>
      </c>
      <c r="AU1992" s="59">
        <f>SUMIFS(HIX_RatingAreas[Silver Enrollments 2020],HIX_RatingAreas[Area],HIX_SLCSP[[#This Row],[Area Code]])</f>
        <v>100526</v>
      </c>
      <c r="AV1992" s="59">
        <f>SUMIFS(HIX_RatingAreas[Silver Enrollments 2021],HIX_RatingAreas[Area],HIX_SLCSP[[#This Row],[Area Code]])</f>
        <v>139207</v>
      </c>
      <c r="AW1992" s="59">
        <f>SUMIFS(HIX_RatingAreas[Silver Enrollments 2022],HIX_RatingAreas[Area],HIX_SLCSP[[#This Row],[Area Code]])</f>
        <v>203515</v>
      </c>
      <c r="AX1992" s="59">
        <f>SUMIFS(HIX_RatingAreas[Silver Enrollments 2023],HIX_RatingAreas[Area],HIX_SLCSP[[#This Row],[Area Code]])</f>
        <v>208286</v>
      </c>
      <c r="AY1992" s="59">
        <f>SUMIFS(HIX_RatingAreas[Silver Enrollments 2024],HIX_RatingAreas[Area],HIX_SLCSP[[#This Row],[Area Code]])</f>
        <v>218805</v>
      </c>
      <c r="AZ1992" s="59">
        <v>357388</v>
      </c>
      <c r="BA1992">
        <f t="shared" si="150"/>
        <v>0.27351869043364196</v>
      </c>
      <c r="BB1992">
        <f>SUMIFS(HIX_RatingAreas[QHP Enrollments 2018],HIX_RatingAreas[Area],HIX_SLCSP[[#This Row],[Area Code]])</f>
        <v>171308</v>
      </c>
      <c r="BC1992">
        <f t="shared" si="151"/>
        <v>0.15569194247755841</v>
      </c>
      <c r="BD1992">
        <f>SUMIFS(HIX_RatingAreas[QHP Enrollments 2019],HIX_RatingAreas[Area],HIX_SLCSP[[#This Row],[Area Code]])</f>
        <v>200860</v>
      </c>
      <c r="BE1992">
        <f t="shared" si="152"/>
        <v>0.18892717095529277</v>
      </c>
      <c r="BF1992">
        <f>SUMIFS(HIX_RatingAreas[QHP Enrollments 2020],HIX_RatingAreas[Area],HIX_SLCSP[[#This Row],[Area Code]])</f>
        <v>170828</v>
      </c>
      <c r="BG1992">
        <f t="shared" si="153"/>
        <v>0.15644162789845781</v>
      </c>
      <c r="BH1992">
        <f>SUMIFS(HIX_RatingAreas[QHP Enrollments 2021],HIX_RatingAreas[Area],HIX_SLCSP[[#This Row],[Area Code]])</f>
        <v>237375</v>
      </c>
      <c r="BI1992">
        <f t="shared" si="154"/>
        <v>0.1881607921658526</v>
      </c>
      <c r="BJ1992">
        <f>SUMIFS(HIX_RatingAreas[QHP Enrollments 2022],HIX_RatingAreas[Area],HIX_SLCSP[[#This Row],[Area Code]])</f>
        <v>327671</v>
      </c>
      <c r="BK1992">
        <f t="shared" si="155"/>
        <v>0.1827818433649116</v>
      </c>
      <c r="BL1992">
        <f>SUMIFS(HIX_RatingAreas[QHP Enrollments 2023],HIX_RatingAreas[Area],HIX_SLCSP[[#This Row],[Area Code]])</f>
        <v>426724</v>
      </c>
      <c r="BM1992">
        <f t="shared" si="155"/>
        <v>0.17700595116370615</v>
      </c>
      <c r="BN1992">
        <f>SUMIFS(HIX_RatingAreas[QHP Enrollments 2024],HIX_RatingAreas[Area],HIX_SLCSP[[#This Row],[Area Code]])</f>
        <v>575468</v>
      </c>
      <c r="BO1992">
        <f t="shared" si="161"/>
        <v>0.16514545517680154</v>
      </c>
      <c r="BP1992" s="53">
        <f>ROUND(HIX_SLCSP[[#This Row],[Weighting Factor 2018]]*HIX_SLCSP[[#This Row],[2018]],2)</f>
        <v>53.68</v>
      </c>
      <c r="BQ1992" s="53">
        <f>ROUND(HIX_SLCSP[[#This Row],[Weighting Factor 2019]]*HIX_SLCSP[[#This Row],[2019]],2)</f>
        <v>64.790000000000006</v>
      </c>
      <c r="BR1992" s="53">
        <f>ROUND(HIX_SLCSP[[#This Row],[Weighting Factor 2020]]*HIX_SLCSP[[#This Row],[2020]],2)</f>
        <v>52.32</v>
      </c>
      <c r="BS1992" s="53">
        <f>ROUND(HIX_SLCSP[[#This Row],[Weighting Factor 2021]]*HIX_SLCSP[[#This Row],[2021]],2)</f>
        <v>53.2</v>
      </c>
      <c r="BT1992" s="53">
        <f>ROUND(HIX_SLCSP[[#This Row],[Weighting Factor 2022]]*HIX_SLCSP[[#This Row],[2022]],2)</f>
        <v>48.71</v>
      </c>
      <c r="BU1992" s="53">
        <f>ROUND(HIX_SLCSP[[#This Row],[Weighting Factor 2023]]*HIX_SLCSP[[#This Row],[2023]],2)</f>
        <v>58.59</v>
      </c>
      <c r="BV1992" s="53">
        <f>ROUND(HIX_SLCSP[[#This Row],[Weighting Factor 2024]]*HIX_SLCSP[[#This Row],[2024]],2)</f>
        <v>56.63</v>
      </c>
    </row>
    <row r="1993" spans="4:74" x14ac:dyDescent="0.35">
      <c r="D1993" t="s">
        <v>1460</v>
      </c>
      <c r="E1993" t="s">
        <v>283</v>
      </c>
      <c r="F1993" s="23">
        <v>9</v>
      </c>
      <c r="G1993" s="23" t="s">
        <v>1937</v>
      </c>
      <c r="H1993" s="23" t="s">
        <v>2112</v>
      </c>
      <c r="I1993" s="23">
        <v>119</v>
      </c>
      <c r="J1993" s="53">
        <v>311.42</v>
      </c>
      <c r="K1993" s="53">
        <v>324.17</v>
      </c>
      <c r="L1993" s="53">
        <v>552.45000000000005</v>
      </c>
      <c r="M1993" s="54">
        <f t="shared" si="156"/>
        <v>1.7041984144121911</v>
      </c>
      <c r="N1993" s="24">
        <v>67</v>
      </c>
      <c r="O1993" s="55">
        <v>258.32</v>
      </c>
      <c r="P1993" s="56">
        <v>305.5</v>
      </c>
      <c r="Q1993" s="56">
        <v>520.64</v>
      </c>
      <c r="R1993" s="57">
        <f t="shared" si="157"/>
        <v>1.7042225859247135</v>
      </c>
      <c r="S1993" s="23">
        <v>119</v>
      </c>
      <c r="T1993" s="53">
        <v>276.83999999999997</v>
      </c>
      <c r="U1993" s="53">
        <v>323.66000000000003</v>
      </c>
      <c r="V1993" s="53">
        <v>551.58000000000004</v>
      </c>
      <c r="W1993" s="57">
        <f t="shared" si="158"/>
        <v>1.7041957609837484</v>
      </c>
      <c r="X1993" s="47">
        <v>153</v>
      </c>
      <c r="Y1993" s="58">
        <v>267.45999999999998</v>
      </c>
      <c r="Z1993" s="58">
        <v>275</v>
      </c>
      <c r="AA1993" s="58">
        <v>468.65</v>
      </c>
      <c r="AB1993" s="57">
        <f t="shared" si="159"/>
        <v>1.704181818181818</v>
      </c>
      <c r="AC1993" s="47">
        <v>223</v>
      </c>
      <c r="AD1993" s="57">
        <v>291.99</v>
      </c>
      <c r="AE1993" s="57">
        <v>295.13</v>
      </c>
      <c r="AF1993" s="57">
        <v>502.96</v>
      </c>
      <c r="AG1993" s="57">
        <f t="shared" si="160"/>
        <v>1.7041981499678107</v>
      </c>
      <c r="AH1993" s="47">
        <v>258</v>
      </c>
      <c r="AI1993">
        <v>322.14</v>
      </c>
      <c r="AJ1993">
        <v>327.68</v>
      </c>
      <c r="AK1993">
        <v>558.42999999999995</v>
      </c>
      <c r="AL1993" s="57">
        <f t="shared" si="135"/>
        <v>1.7041931152343748</v>
      </c>
      <c r="AM1993" s="47">
        <v>203</v>
      </c>
      <c r="AN1993" s="57">
        <v>312.77999999999997</v>
      </c>
      <c r="AO1993" s="57">
        <v>336.84</v>
      </c>
      <c r="AP1993" s="57">
        <v>574.04</v>
      </c>
      <c r="AQ1993" s="57">
        <f t="shared" ref="AQ1993:AQ2031" si="162">AP1993/AO1993</f>
        <v>1.7041919011993825</v>
      </c>
      <c r="AR1993" s="59">
        <v>39279</v>
      </c>
      <c r="AS1993" s="59">
        <f>SUMIFS(HIX_RatingAreas[Silver Enrollments 2018],HIX_RatingAreas[Area],HIX_SLCSP[[#This Row],[Area Code]])</f>
        <v>34039</v>
      </c>
      <c r="AT1993" s="59">
        <f>SUMIFS(HIX_RatingAreas[Silver Enrollments 2019],HIX_RatingAreas[Area],HIX_SLCSP[[#This Row],[Area Code]])</f>
        <v>5329</v>
      </c>
      <c r="AU1993" s="59">
        <f>SUMIFS(HIX_RatingAreas[Silver Enrollments 2020],HIX_RatingAreas[Area],HIX_SLCSP[[#This Row],[Area Code]])</f>
        <v>27963</v>
      </c>
      <c r="AV1993" s="59">
        <f>SUMIFS(HIX_RatingAreas[Silver Enrollments 2021],HIX_RatingAreas[Area],HIX_SLCSP[[#This Row],[Area Code]])</f>
        <v>5213</v>
      </c>
      <c r="AW1993" s="59">
        <f>SUMIFS(HIX_RatingAreas[Silver Enrollments 2022],HIX_RatingAreas[Area],HIX_SLCSP[[#This Row],[Area Code]])</f>
        <v>5531</v>
      </c>
      <c r="AX1993" s="59">
        <f>SUMIFS(HIX_RatingAreas[Silver Enrollments 2023],HIX_RatingAreas[Area],HIX_SLCSP[[#This Row],[Area Code]])</f>
        <v>5979</v>
      </c>
      <c r="AY1993" s="59">
        <f>SUMIFS(HIX_RatingAreas[Silver Enrollments 2024],HIX_RatingAreas[Area],HIX_SLCSP[[#This Row],[Area Code]])</f>
        <v>6911</v>
      </c>
      <c r="AZ1993" s="59">
        <v>62922</v>
      </c>
      <c r="BA1993">
        <f t="shared" si="150"/>
        <v>4.8155906296421865E-2</v>
      </c>
      <c r="BB1993">
        <f>SUMIFS(HIX_RatingAreas[QHP Enrollments 2018],HIX_RatingAreas[Area],HIX_SLCSP[[#This Row],[Area Code]])</f>
        <v>49900</v>
      </c>
      <c r="BC1993">
        <f t="shared" si="151"/>
        <v>4.535122661889792E-2</v>
      </c>
      <c r="BD1993">
        <f>SUMIFS(HIX_RatingAreas[QHP Enrollments 2019],HIX_RatingAreas[Area],HIX_SLCSP[[#This Row],[Area Code]])</f>
        <v>9325</v>
      </c>
      <c r="BE1993">
        <f t="shared" si="152"/>
        <v>8.7710139856522207E-3</v>
      </c>
      <c r="BF1993">
        <f>SUMIFS(HIX_RatingAreas[QHP Enrollments 2020],HIX_RatingAreas[Area],HIX_SLCSP[[#This Row],[Area Code]])</f>
        <v>43111</v>
      </c>
      <c r="BG1993">
        <f t="shared" si="153"/>
        <v>3.9480383896846036E-2</v>
      </c>
      <c r="BH1993">
        <f>SUMIFS(HIX_RatingAreas[QHP Enrollments 2021],HIX_RatingAreas[Area],HIX_SLCSP[[#This Row],[Area Code]])</f>
        <v>9309</v>
      </c>
      <c r="BI1993">
        <f t="shared" si="154"/>
        <v>7.3789944782387436E-3</v>
      </c>
      <c r="BJ1993">
        <f>SUMIFS(HIX_RatingAreas[QHP Enrollments 2022],HIX_RatingAreas[Area],HIX_SLCSP[[#This Row],[Area Code]])</f>
        <v>10876</v>
      </c>
      <c r="BK1993">
        <f t="shared" si="155"/>
        <v>6.0668638006927027E-3</v>
      </c>
      <c r="BL1993">
        <f>SUMIFS(HIX_RatingAreas[QHP Enrollments 2023],HIX_RatingAreas[Area],HIX_SLCSP[[#This Row],[Area Code]])</f>
        <v>13379</v>
      </c>
      <c r="BM1993">
        <f t="shared" si="155"/>
        <v>5.5496354098181133E-3</v>
      </c>
      <c r="BN1993">
        <f>SUMIFS(HIX_RatingAreas[QHP Enrollments 2024],HIX_RatingAreas[Area],HIX_SLCSP[[#This Row],[Area Code]])</f>
        <v>19317</v>
      </c>
      <c r="BO1993">
        <f t="shared" si="161"/>
        <v>5.5435137273493499E-3</v>
      </c>
      <c r="BP1993" s="53">
        <f>ROUND(HIX_SLCSP[[#This Row],[Weighting Factor 2018]]*HIX_SLCSP[[#This Row],[2018]],2)</f>
        <v>14.7</v>
      </c>
      <c r="BQ1993" s="53">
        <f>ROUND(HIX_SLCSP[[#This Row],[Weighting Factor 2019]]*HIX_SLCSP[[#This Row],[2019]],2)</f>
        <v>2.68</v>
      </c>
      <c r="BR1993" s="53">
        <f>ROUND(HIX_SLCSP[[#This Row],[Weighting Factor 2020]]*HIX_SLCSP[[#This Row],[2020]],2)</f>
        <v>12.78</v>
      </c>
      <c r="BS1993" s="53">
        <f>ROUND(HIX_SLCSP[[#This Row],[Weighting Factor 2021]]*HIX_SLCSP[[#This Row],[2021]],2)</f>
        <v>2.0299999999999998</v>
      </c>
      <c r="BT1993" s="53">
        <f>ROUND(HIX_SLCSP[[#This Row],[Weighting Factor 2022]]*HIX_SLCSP[[#This Row],[2022]],2)</f>
        <v>1.79</v>
      </c>
      <c r="BU1993" s="53">
        <f>ROUND(HIX_SLCSP[[#This Row],[Weighting Factor 2023]]*HIX_SLCSP[[#This Row],[2023]],2)</f>
        <v>1.82</v>
      </c>
      <c r="BV1993" s="53">
        <f>ROUND(HIX_SLCSP[[#This Row],[Weighting Factor 2024]]*HIX_SLCSP[[#This Row],[2024]],2)</f>
        <v>1.87</v>
      </c>
    </row>
    <row r="1994" spans="4:74" x14ac:dyDescent="0.35">
      <c r="D1994" t="s">
        <v>1460</v>
      </c>
      <c r="E1994" t="s">
        <v>289</v>
      </c>
      <c r="F1994" s="23">
        <v>10</v>
      </c>
      <c r="G1994" s="23" t="s">
        <v>1937</v>
      </c>
      <c r="H1994" s="23" t="s">
        <v>2124</v>
      </c>
      <c r="I1994" s="23">
        <v>191</v>
      </c>
      <c r="J1994" s="53">
        <v>319.49</v>
      </c>
      <c r="K1994" s="53">
        <v>329.27</v>
      </c>
      <c r="L1994" s="53">
        <v>561.14</v>
      </c>
      <c r="M1994" s="54">
        <f t="shared" si="156"/>
        <v>1.704194126400826</v>
      </c>
      <c r="N1994" s="24">
        <v>70</v>
      </c>
      <c r="O1994" s="55">
        <v>316.08</v>
      </c>
      <c r="P1994" s="56">
        <v>322.06</v>
      </c>
      <c r="Q1994" s="56">
        <v>548.85</v>
      </c>
      <c r="R1994" s="57">
        <f t="shared" si="157"/>
        <v>1.7041855554865553</v>
      </c>
      <c r="S1994" s="23">
        <v>191</v>
      </c>
      <c r="T1994" s="53">
        <v>289.14</v>
      </c>
      <c r="U1994" s="53">
        <v>312.48</v>
      </c>
      <c r="V1994" s="53">
        <v>532.53</v>
      </c>
      <c r="W1994" s="57">
        <f t="shared" si="158"/>
        <v>1.7042050691244237</v>
      </c>
      <c r="X1994" s="47">
        <v>257</v>
      </c>
      <c r="Y1994" s="58">
        <v>253.58</v>
      </c>
      <c r="Z1994" s="58">
        <v>260.73</v>
      </c>
      <c r="AA1994" s="58">
        <v>444.33</v>
      </c>
      <c r="AB1994" s="57">
        <f t="shared" si="159"/>
        <v>1.7041767345529857</v>
      </c>
      <c r="AC1994" s="47">
        <v>371</v>
      </c>
      <c r="AD1994" s="57">
        <v>251.77</v>
      </c>
      <c r="AE1994" s="57">
        <v>258.25</v>
      </c>
      <c r="AF1994" s="57">
        <v>440.1</v>
      </c>
      <c r="AG1994" s="57">
        <f t="shared" si="160"/>
        <v>1.7041626331074542</v>
      </c>
      <c r="AH1994" s="47">
        <v>259</v>
      </c>
      <c r="AI1994">
        <v>300.55</v>
      </c>
      <c r="AJ1994">
        <v>312.60000000000002</v>
      </c>
      <c r="AK1994">
        <v>532.73</v>
      </c>
      <c r="AL1994" s="57">
        <f t="shared" si="135"/>
        <v>1.7041906589891234</v>
      </c>
      <c r="AM1994" s="47">
        <v>211</v>
      </c>
      <c r="AN1994" s="57">
        <v>326.27999999999997</v>
      </c>
      <c r="AO1994" s="57">
        <v>348.6</v>
      </c>
      <c r="AP1994" s="57">
        <v>594.08000000000004</v>
      </c>
      <c r="AQ1994" s="57">
        <f t="shared" si="162"/>
        <v>1.7041881812966151</v>
      </c>
      <c r="AR1994" s="59">
        <v>233006</v>
      </c>
      <c r="AS1994" s="59">
        <f>SUMIFS(HIX_RatingAreas[Silver Enrollments 2018],HIX_RatingAreas[Area],HIX_SLCSP[[#This Row],[Area Code]])</f>
        <v>164548</v>
      </c>
      <c r="AT1994" s="59">
        <f>SUMIFS(HIX_RatingAreas[Silver Enrollments 2019],HIX_RatingAreas[Area],HIX_SLCSP[[#This Row],[Area Code]])</f>
        <v>154246</v>
      </c>
      <c r="AU1994" s="59">
        <f>SUMIFS(HIX_RatingAreas[Silver Enrollments 2020],HIX_RatingAreas[Area],HIX_SLCSP[[#This Row],[Area Code]])</f>
        <v>163505</v>
      </c>
      <c r="AV1994" s="59">
        <f>SUMIFS(HIX_RatingAreas[Silver Enrollments 2021],HIX_RatingAreas[Area],HIX_SLCSP[[#This Row],[Area Code]])</f>
        <v>177883</v>
      </c>
      <c r="AW1994" s="59">
        <f>SUMIFS(HIX_RatingAreas[Silver Enrollments 2022],HIX_RatingAreas[Area],HIX_SLCSP[[#This Row],[Area Code]])</f>
        <v>274980</v>
      </c>
      <c r="AX1994" s="59">
        <f>SUMIFS(HIX_RatingAreas[Silver Enrollments 2023],HIX_RatingAreas[Area],HIX_SLCSP[[#This Row],[Area Code]])</f>
        <v>347481</v>
      </c>
      <c r="AY1994" s="59">
        <f>SUMIFS(HIX_RatingAreas[Silver Enrollments 2024],HIX_RatingAreas[Area],HIX_SLCSP[[#This Row],[Area Code]])</f>
        <v>387492</v>
      </c>
      <c r="AZ1994" s="59">
        <v>345765</v>
      </c>
      <c r="BA1994">
        <f t="shared" si="150"/>
        <v>0.26462329456441797</v>
      </c>
      <c r="BB1994">
        <f>SUMIFS(HIX_RatingAreas[QHP Enrollments 2018],HIX_RatingAreas[Area],HIX_SLCSP[[#This Row],[Area Code]])</f>
        <v>241880</v>
      </c>
      <c r="BC1994">
        <f t="shared" si="151"/>
        <v>0.21983075540238534</v>
      </c>
      <c r="BD1994">
        <f>SUMIFS(HIX_RatingAreas[QHP Enrollments 2019],HIX_RatingAreas[Area],HIX_SLCSP[[#This Row],[Area Code]])</f>
        <v>239098</v>
      </c>
      <c r="BE1994">
        <f t="shared" si="152"/>
        <v>0.22489350154868359</v>
      </c>
      <c r="BF1994">
        <f>SUMIFS(HIX_RatingAreas[QHP Enrollments 2020],HIX_RatingAreas[Area],HIX_SLCSP[[#This Row],[Area Code]])</f>
        <v>246776</v>
      </c>
      <c r="BG1994">
        <f t="shared" si="153"/>
        <v>0.22599362614015164</v>
      </c>
      <c r="BH1994">
        <f>SUMIFS(HIX_RatingAreas[QHP Enrollments 2021],HIX_RatingAreas[Area],HIX_SLCSP[[#This Row],[Area Code]])</f>
        <v>287175</v>
      </c>
      <c r="BI1994">
        <f t="shared" si="154"/>
        <v>0.2276359157039651</v>
      </c>
      <c r="BJ1994">
        <f>SUMIFS(HIX_RatingAreas[QHP Enrollments 2022],HIX_RatingAreas[Area],HIX_SLCSP[[#This Row],[Area Code]])</f>
        <v>403222</v>
      </c>
      <c r="BK1994">
        <f t="shared" si="155"/>
        <v>0.22492579582961686</v>
      </c>
      <c r="BL1994">
        <f>SUMIFS(HIX_RatingAreas[QHP Enrollments 2023],HIX_RatingAreas[Area],HIX_SLCSP[[#This Row],[Area Code]])</f>
        <v>525953</v>
      </c>
      <c r="BM1994">
        <f t="shared" si="155"/>
        <v>0.21816633475596578</v>
      </c>
      <c r="BN1994">
        <f>SUMIFS(HIX_RatingAreas[QHP Enrollments 2024],HIX_RatingAreas[Area],HIX_SLCSP[[#This Row],[Area Code]])</f>
        <v>722679</v>
      </c>
      <c r="BO1994">
        <f t="shared" si="161"/>
        <v>0.20739146642683132</v>
      </c>
      <c r="BP1994" s="53">
        <f>ROUND(HIX_SLCSP[[#This Row],[Weighting Factor 2018]]*HIX_SLCSP[[#This Row],[2018]],2)</f>
        <v>72.38</v>
      </c>
      <c r="BQ1994" s="53">
        <f>ROUND(HIX_SLCSP[[#This Row],[Weighting Factor 2019]]*HIX_SLCSP[[#This Row],[2019]],2)</f>
        <v>72.430000000000007</v>
      </c>
      <c r="BR1994" s="53">
        <f>ROUND(HIX_SLCSP[[#This Row],[Weighting Factor 2020]]*HIX_SLCSP[[#This Row],[2020]],2)</f>
        <v>70.62</v>
      </c>
      <c r="BS1994" s="53">
        <f>ROUND(HIX_SLCSP[[#This Row],[Weighting Factor 2021]]*HIX_SLCSP[[#This Row],[2021]],2)</f>
        <v>59.35</v>
      </c>
      <c r="BT1994" s="53">
        <f>ROUND(HIX_SLCSP[[#This Row],[Weighting Factor 2022]]*HIX_SLCSP[[#This Row],[2022]],2)</f>
        <v>58.09</v>
      </c>
      <c r="BU1994" s="53">
        <f>ROUND(HIX_SLCSP[[#This Row],[Weighting Factor 2023]]*HIX_SLCSP[[#This Row],[2023]],2)</f>
        <v>68.2</v>
      </c>
      <c r="BV1994" s="53">
        <f>ROUND(HIX_SLCSP[[#This Row],[Weighting Factor 2024]]*HIX_SLCSP[[#This Row],[2024]],2)</f>
        <v>72.3</v>
      </c>
    </row>
    <row r="1995" spans="4:74" x14ac:dyDescent="0.35">
      <c r="D1995" t="s">
        <v>1460</v>
      </c>
      <c r="E1995" t="s">
        <v>293</v>
      </c>
      <c r="F1995" s="23">
        <v>11</v>
      </c>
      <c r="G1995" s="23" t="s">
        <v>1937</v>
      </c>
      <c r="H1995" s="23" t="s">
        <v>2129</v>
      </c>
      <c r="I1995" s="23">
        <v>94</v>
      </c>
      <c r="J1995" s="53">
        <v>354.71</v>
      </c>
      <c r="K1995" s="53">
        <v>374.16</v>
      </c>
      <c r="L1995" s="53">
        <v>637.65</v>
      </c>
      <c r="M1995" s="54">
        <f t="shared" si="156"/>
        <v>1.7042174470814624</v>
      </c>
      <c r="N1995" s="24">
        <v>37</v>
      </c>
      <c r="O1995" s="55">
        <v>328.36</v>
      </c>
      <c r="P1995" s="56">
        <v>348.44</v>
      </c>
      <c r="Q1995" s="56">
        <v>593.80999999999995</v>
      </c>
      <c r="R1995" s="57">
        <f t="shared" si="157"/>
        <v>1.7041958443347491</v>
      </c>
      <c r="S1995" s="23">
        <v>94</v>
      </c>
      <c r="T1995" s="53">
        <v>325.74</v>
      </c>
      <c r="U1995" s="53">
        <v>346.79</v>
      </c>
      <c r="V1995" s="53">
        <v>590.99</v>
      </c>
      <c r="W1995" s="57">
        <f t="shared" si="158"/>
        <v>1.7041725539952131</v>
      </c>
      <c r="X1995" s="47">
        <v>130</v>
      </c>
      <c r="Y1995" s="58">
        <v>307.39</v>
      </c>
      <c r="Z1995" s="58">
        <v>316.05</v>
      </c>
      <c r="AA1995" s="58">
        <v>538.61</v>
      </c>
      <c r="AB1995" s="57">
        <f t="shared" si="159"/>
        <v>1.7041923746242682</v>
      </c>
      <c r="AC1995" s="47">
        <v>123</v>
      </c>
      <c r="AD1995" s="57">
        <v>316.02</v>
      </c>
      <c r="AE1995" s="57">
        <v>331.7</v>
      </c>
      <c r="AF1995" s="57">
        <v>565.28</v>
      </c>
      <c r="AG1995" s="57">
        <f t="shared" si="160"/>
        <v>1.7041905336147121</v>
      </c>
      <c r="AH1995" s="47">
        <v>106</v>
      </c>
      <c r="AI1995">
        <v>312.32</v>
      </c>
      <c r="AJ1995">
        <v>317.69</v>
      </c>
      <c r="AK1995">
        <v>541.41</v>
      </c>
      <c r="AL1995" s="57">
        <f t="shared" si="135"/>
        <v>1.7042085051465263</v>
      </c>
      <c r="AM1995" s="47">
        <v>106</v>
      </c>
      <c r="AN1995" s="57">
        <v>357.28</v>
      </c>
      <c r="AO1995" s="57">
        <v>359.45</v>
      </c>
      <c r="AP1995" s="57">
        <v>612.57000000000005</v>
      </c>
      <c r="AQ1995" s="57">
        <f t="shared" si="162"/>
        <v>1.7041869522882183</v>
      </c>
      <c r="AR1995" s="59">
        <v>7429</v>
      </c>
      <c r="AS1995" s="59">
        <f>SUMIFS(HIX_RatingAreas[Silver Enrollments 2018],HIX_RatingAreas[Area],HIX_SLCSP[[#This Row],[Area Code]])</f>
        <v>5205</v>
      </c>
      <c r="AT1995" s="59">
        <f>SUMIFS(HIX_RatingAreas[Silver Enrollments 2019],HIX_RatingAreas[Area],HIX_SLCSP[[#This Row],[Area Code]])</f>
        <v>4526</v>
      </c>
      <c r="AU1995" s="59">
        <f>SUMIFS(HIX_RatingAreas[Silver Enrollments 2020],HIX_RatingAreas[Area],HIX_SLCSP[[#This Row],[Area Code]])</f>
        <v>4997</v>
      </c>
      <c r="AV1995" s="59">
        <f>SUMIFS(HIX_RatingAreas[Silver Enrollments 2021],HIX_RatingAreas[Area],HIX_SLCSP[[#This Row],[Area Code]])</f>
        <v>5201</v>
      </c>
      <c r="AW1995" s="59">
        <f>SUMIFS(HIX_RatingAreas[Silver Enrollments 2022],HIX_RatingAreas[Area],HIX_SLCSP[[#This Row],[Area Code]])</f>
        <v>9755</v>
      </c>
      <c r="AX1995" s="59">
        <f>SUMIFS(HIX_RatingAreas[Silver Enrollments 2023],HIX_RatingAreas[Area],HIX_SLCSP[[#This Row],[Area Code]])</f>
        <v>9932</v>
      </c>
      <c r="AY1995" s="59">
        <f>SUMIFS(HIX_RatingAreas[Silver Enrollments 2024],HIX_RatingAreas[Area],HIX_SLCSP[[#This Row],[Area Code]])</f>
        <v>11515</v>
      </c>
      <c r="AZ1995" s="59">
        <v>10589</v>
      </c>
      <c r="BA1995">
        <f t="shared" si="150"/>
        <v>8.1040477380377469E-3</v>
      </c>
      <c r="BB1995">
        <f>SUMIFS(HIX_RatingAreas[QHP Enrollments 2018],HIX_RatingAreas[Area],HIX_SLCSP[[#This Row],[Area Code]])</f>
        <v>8384</v>
      </c>
      <c r="BC1995">
        <f t="shared" si="151"/>
        <v>7.6197331457482998E-3</v>
      </c>
      <c r="BD1995">
        <f>SUMIFS(HIX_RatingAreas[QHP Enrollments 2019],HIX_RatingAreas[Area],HIX_SLCSP[[#This Row],[Area Code]])</f>
        <v>8058</v>
      </c>
      <c r="BE1995">
        <f t="shared" si="152"/>
        <v>7.5792847931780791E-3</v>
      </c>
      <c r="BF1995">
        <f>SUMIFS(HIX_RatingAreas[QHP Enrollments 2020],HIX_RatingAreas[Area],HIX_SLCSP[[#This Row],[Area Code]])</f>
        <v>9179</v>
      </c>
      <c r="BG1995">
        <f t="shared" si="153"/>
        <v>8.4059855672368958E-3</v>
      </c>
      <c r="BH1995">
        <f>SUMIFS(HIX_RatingAreas[QHP Enrollments 2021],HIX_RatingAreas[Area],HIX_SLCSP[[#This Row],[Area Code]])</f>
        <v>10130</v>
      </c>
      <c r="BI1995">
        <f t="shared" si="154"/>
        <v>8.0297791454032093E-3</v>
      </c>
      <c r="BJ1995">
        <f>SUMIFS(HIX_RatingAreas[QHP Enrollments 2022],HIX_RatingAreas[Area],HIX_SLCSP[[#This Row],[Area Code]])</f>
        <v>16226</v>
      </c>
      <c r="BK1995">
        <f t="shared" si="155"/>
        <v>9.0512074319639372E-3</v>
      </c>
      <c r="BL1995">
        <f>SUMIFS(HIX_RatingAreas[QHP Enrollments 2023],HIX_RatingAreas[Area],HIX_SLCSP[[#This Row],[Area Code]])</f>
        <v>21783</v>
      </c>
      <c r="BM1995">
        <f t="shared" si="155"/>
        <v>9.035631073478434E-3</v>
      </c>
      <c r="BN1995">
        <f>SUMIFS(HIX_RatingAreas[QHP Enrollments 2024],HIX_RatingAreas[Area],HIX_SLCSP[[#This Row],[Area Code]])</f>
        <v>36628</v>
      </c>
      <c r="BO1995">
        <f t="shared" si="161"/>
        <v>1.0511353771566598E-2</v>
      </c>
      <c r="BP1995" s="53">
        <f>ROUND(HIX_SLCSP[[#This Row],[Weighting Factor 2018]]*HIX_SLCSP[[#This Row],[2018]],2)</f>
        <v>2.85</v>
      </c>
      <c r="BQ1995" s="53">
        <f>ROUND(HIX_SLCSP[[#This Row],[Weighting Factor 2019]]*HIX_SLCSP[[#This Row],[2019]],2)</f>
        <v>2.64</v>
      </c>
      <c r="BR1995" s="53">
        <f>ROUND(HIX_SLCSP[[#This Row],[Weighting Factor 2020]]*HIX_SLCSP[[#This Row],[2020]],2)</f>
        <v>2.92</v>
      </c>
      <c r="BS1995" s="53">
        <f>ROUND(HIX_SLCSP[[#This Row],[Weighting Factor 2021]]*HIX_SLCSP[[#This Row],[2021]],2)</f>
        <v>2.54</v>
      </c>
      <c r="BT1995" s="53">
        <f>ROUND(HIX_SLCSP[[#This Row],[Weighting Factor 2022]]*HIX_SLCSP[[#This Row],[2022]],2)</f>
        <v>3</v>
      </c>
      <c r="BU1995" s="53">
        <f>ROUND(HIX_SLCSP[[#This Row],[Weighting Factor 2023]]*HIX_SLCSP[[#This Row],[2023]],2)</f>
        <v>2.87</v>
      </c>
      <c r="BV1995" s="53">
        <f>ROUND(HIX_SLCSP[[#This Row],[Weighting Factor 2024]]*HIX_SLCSP[[#This Row],[2024]],2)</f>
        <v>3.78</v>
      </c>
    </row>
    <row r="1996" spans="4:74" x14ac:dyDescent="0.35">
      <c r="D1996" t="s">
        <v>1460</v>
      </c>
      <c r="E1996" t="s">
        <v>303</v>
      </c>
      <c r="F1996" s="23">
        <v>12</v>
      </c>
      <c r="G1996" s="23" t="s">
        <v>1937</v>
      </c>
      <c r="H1996" s="23" t="s">
        <v>2142</v>
      </c>
      <c r="I1996" s="23">
        <v>102</v>
      </c>
      <c r="J1996" s="53">
        <v>317.62</v>
      </c>
      <c r="K1996" s="53">
        <v>326.18</v>
      </c>
      <c r="L1996" s="53">
        <v>555.87</v>
      </c>
      <c r="M1996" s="54">
        <f t="shared" si="156"/>
        <v>1.7041817401434791</v>
      </c>
      <c r="N1996" s="24">
        <v>18</v>
      </c>
      <c r="O1996" s="55">
        <v>335.57</v>
      </c>
      <c r="P1996" s="56">
        <v>344.81</v>
      </c>
      <c r="Q1996" s="56">
        <v>587.63</v>
      </c>
      <c r="R1996" s="57">
        <f t="shared" si="157"/>
        <v>1.7042139149096605</v>
      </c>
      <c r="S1996" s="23">
        <v>102</v>
      </c>
      <c r="T1996" s="53">
        <v>276.64999999999998</v>
      </c>
      <c r="U1996" s="53">
        <v>282.77</v>
      </c>
      <c r="V1996" s="53">
        <v>481.9</v>
      </c>
      <c r="W1996" s="57">
        <f t="shared" si="158"/>
        <v>1.7042119036672914</v>
      </c>
      <c r="X1996" s="47">
        <v>126</v>
      </c>
      <c r="Y1996" s="58">
        <v>265.31</v>
      </c>
      <c r="Z1996" s="58">
        <v>272.79000000000002</v>
      </c>
      <c r="AA1996" s="58">
        <v>464.88</v>
      </c>
      <c r="AB1996" s="57">
        <f t="shared" si="159"/>
        <v>1.7041680413504892</v>
      </c>
      <c r="AC1996" s="47">
        <v>144</v>
      </c>
      <c r="AD1996" s="57">
        <v>289.73</v>
      </c>
      <c r="AE1996" s="57">
        <v>304.10000000000002</v>
      </c>
      <c r="AF1996" s="57">
        <v>518.25</v>
      </c>
      <c r="AG1996" s="57">
        <f t="shared" si="160"/>
        <v>1.7042091417296941</v>
      </c>
      <c r="AH1996" s="47">
        <v>163</v>
      </c>
      <c r="AI1996">
        <v>283.02999999999997</v>
      </c>
      <c r="AJ1996">
        <v>287.89</v>
      </c>
      <c r="AK1996">
        <v>490.62</v>
      </c>
      <c r="AL1996" s="57">
        <f t="shared" si="135"/>
        <v>1.7041925735523986</v>
      </c>
      <c r="AM1996" s="47">
        <v>150</v>
      </c>
      <c r="AN1996" s="57">
        <v>307.91000000000003</v>
      </c>
      <c r="AO1996" s="57">
        <v>315.60000000000002</v>
      </c>
      <c r="AP1996" s="57">
        <v>537.84</v>
      </c>
      <c r="AQ1996" s="57">
        <f t="shared" si="162"/>
        <v>1.7041825095057035</v>
      </c>
      <c r="AR1996" s="59">
        <v>11110</v>
      </c>
      <c r="AS1996" s="59">
        <f>SUMIFS(HIX_RatingAreas[Silver Enrollments 2018],HIX_RatingAreas[Area],HIX_SLCSP[[#This Row],[Area Code]])</f>
        <v>9314</v>
      </c>
      <c r="AT1996" s="59">
        <f>SUMIFS(HIX_RatingAreas[Silver Enrollments 2019],HIX_RatingAreas[Area],HIX_SLCSP[[#This Row],[Area Code]])</f>
        <v>8830</v>
      </c>
      <c r="AU1996" s="59">
        <f>SUMIFS(HIX_RatingAreas[Silver Enrollments 2020],HIX_RatingAreas[Area],HIX_SLCSP[[#This Row],[Area Code]])</f>
        <v>8875</v>
      </c>
      <c r="AV1996" s="59">
        <f>SUMIFS(HIX_RatingAreas[Silver Enrollments 2021],HIX_RatingAreas[Area],HIX_SLCSP[[#This Row],[Area Code]])</f>
        <v>10909</v>
      </c>
      <c r="AW1996" s="59">
        <f>SUMIFS(HIX_RatingAreas[Silver Enrollments 2022],HIX_RatingAreas[Area],HIX_SLCSP[[#This Row],[Area Code]])</f>
        <v>23474</v>
      </c>
      <c r="AX1996" s="59">
        <f>SUMIFS(HIX_RatingAreas[Silver Enrollments 2023],HIX_RatingAreas[Area],HIX_SLCSP[[#This Row],[Area Code]])</f>
        <v>27127</v>
      </c>
      <c r="AY1996" s="59">
        <f>SUMIFS(HIX_RatingAreas[Silver Enrollments 2024],HIX_RatingAreas[Area],HIX_SLCSP[[#This Row],[Area Code]])</f>
        <v>38168</v>
      </c>
      <c r="AZ1996" s="59">
        <v>15805</v>
      </c>
      <c r="BA1996">
        <f t="shared" si="150"/>
        <v>1.2095993436555539E-2</v>
      </c>
      <c r="BB1996">
        <f>SUMIFS(HIX_RatingAreas[QHP Enrollments 2018],HIX_RatingAreas[Area],HIX_SLCSP[[#This Row],[Area Code]])</f>
        <v>13699</v>
      </c>
      <c r="BC1996">
        <f t="shared" si="151"/>
        <v>1.2450229528101856E-2</v>
      </c>
      <c r="BD1996">
        <f>SUMIFS(HIX_RatingAreas[QHP Enrollments 2019],HIX_RatingAreas[Area],HIX_SLCSP[[#This Row],[Area Code]])</f>
        <v>13235</v>
      </c>
      <c r="BE1996">
        <f t="shared" si="152"/>
        <v>1.244872601609728E-2</v>
      </c>
      <c r="BF1996">
        <f>SUMIFS(HIX_RatingAreas[QHP Enrollments 2020],HIX_RatingAreas[Area],HIX_SLCSP[[#This Row],[Area Code]])</f>
        <v>14015</v>
      </c>
      <c r="BG1996">
        <f t="shared" si="153"/>
        <v>1.2834719220484268E-2</v>
      </c>
      <c r="BH1996">
        <f>SUMIFS(HIX_RatingAreas[QHP Enrollments 2021],HIX_RatingAreas[Area],HIX_SLCSP[[#This Row],[Area Code]])</f>
        <v>17489</v>
      </c>
      <c r="BI1996">
        <f t="shared" si="154"/>
        <v>1.3863060954980921E-2</v>
      </c>
      <c r="BJ1996">
        <f>SUMIFS(HIX_RatingAreas[QHP Enrollments 2022],HIX_RatingAreas[Area],HIX_SLCSP[[#This Row],[Area Code]])</f>
        <v>28139</v>
      </c>
      <c r="BK1996">
        <f t="shared" si="155"/>
        <v>1.569653185800772E-2</v>
      </c>
      <c r="BL1996">
        <f>SUMIFS(HIX_RatingAreas[QHP Enrollments 2023],HIX_RatingAreas[Area],HIX_SLCSP[[#This Row],[Area Code]])</f>
        <v>35925</v>
      </c>
      <c r="BM1996">
        <f t="shared" si="155"/>
        <v>1.4901760378033913E-2</v>
      </c>
      <c r="BN1996">
        <f>SUMIFS(HIX_RatingAreas[QHP Enrollments 2024],HIX_RatingAreas[Area],HIX_SLCSP[[#This Row],[Area Code]])</f>
        <v>52122</v>
      </c>
      <c r="BO1996">
        <f t="shared" si="161"/>
        <v>1.4957758580364591E-2</v>
      </c>
      <c r="BP1996" s="53">
        <f>ROUND(HIX_SLCSP[[#This Row],[Weighting Factor 2018]]*HIX_SLCSP[[#This Row],[2018]],2)</f>
        <v>4.0599999999999996</v>
      </c>
      <c r="BQ1996" s="53">
        <f>ROUND(HIX_SLCSP[[#This Row],[Weighting Factor 2019]]*HIX_SLCSP[[#This Row],[2019]],2)</f>
        <v>4.29</v>
      </c>
      <c r="BR1996" s="53">
        <f>ROUND(HIX_SLCSP[[#This Row],[Weighting Factor 2020]]*HIX_SLCSP[[#This Row],[2020]],2)</f>
        <v>3.63</v>
      </c>
      <c r="BS1996" s="53">
        <f>ROUND(HIX_SLCSP[[#This Row],[Weighting Factor 2021]]*HIX_SLCSP[[#This Row],[2021]],2)</f>
        <v>3.78</v>
      </c>
      <c r="BT1996" s="53">
        <f>ROUND(HIX_SLCSP[[#This Row],[Weighting Factor 2022]]*HIX_SLCSP[[#This Row],[2022]],2)</f>
        <v>4.7699999999999996</v>
      </c>
      <c r="BU1996" s="53">
        <f>ROUND(HIX_SLCSP[[#This Row],[Weighting Factor 2023]]*HIX_SLCSP[[#This Row],[2023]],2)</f>
        <v>4.29</v>
      </c>
      <c r="BV1996" s="53">
        <f>ROUND(HIX_SLCSP[[#This Row],[Weighting Factor 2024]]*HIX_SLCSP[[#This Row],[2024]],2)</f>
        <v>4.72</v>
      </c>
    </row>
    <row r="1997" spans="4:74" x14ac:dyDescent="0.35">
      <c r="D1997" t="s">
        <v>1460</v>
      </c>
      <c r="E1997" t="s">
        <v>311</v>
      </c>
      <c r="F1997" s="23">
        <v>13</v>
      </c>
      <c r="G1997" s="23" t="s">
        <v>1937</v>
      </c>
      <c r="H1997" s="23" t="s">
        <v>2153</v>
      </c>
      <c r="I1997" s="23">
        <v>18</v>
      </c>
      <c r="J1997" s="53">
        <v>432.89</v>
      </c>
      <c r="K1997" s="53">
        <v>507.11</v>
      </c>
      <c r="L1997" s="53">
        <v>864.22</v>
      </c>
      <c r="M1997" s="54">
        <f t="shared" si="156"/>
        <v>1.7042061880065469</v>
      </c>
      <c r="N1997" s="24">
        <v>18</v>
      </c>
      <c r="O1997" s="55">
        <v>332.05</v>
      </c>
      <c r="P1997" s="56">
        <v>359.18</v>
      </c>
      <c r="Q1997" s="56">
        <v>612.11</v>
      </c>
      <c r="R1997" s="57">
        <f t="shared" si="157"/>
        <v>1.7041873155520908</v>
      </c>
      <c r="S1997" s="23">
        <v>18</v>
      </c>
      <c r="T1997" s="53">
        <v>314.35000000000002</v>
      </c>
      <c r="U1997" s="53">
        <v>347.93</v>
      </c>
      <c r="V1997" s="53">
        <v>592.95000000000005</v>
      </c>
      <c r="W1997" s="57">
        <f t="shared" si="158"/>
        <v>1.7042221136435491</v>
      </c>
      <c r="X1997" s="47">
        <v>122</v>
      </c>
      <c r="Y1997" s="58">
        <v>262.3</v>
      </c>
      <c r="Z1997" s="58">
        <v>269.69</v>
      </c>
      <c r="AA1997" s="58">
        <v>459.6</v>
      </c>
      <c r="AB1997" s="57">
        <f t="shared" si="159"/>
        <v>1.7041788720382662</v>
      </c>
      <c r="AC1997" s="47">
        <v>128</v>
      </c>
      <c r="AD1997" s="57">
        <v>312.56</v>
      </c>
      <c r="AE1997" s="57">
        <v>328.07</v>
      </c>
      <c r="AF1997" s="57">
        <v>559.1</v>
      </c>
      <c r="AG1997" s="57">
        <f t="shared" si="160"/>
        <v>1.7042094674916939</v>
      </c>
      <c r="AH1997" s="47">
        <v>87</v>
      </c>
      <c r="AI1997">
        <v>289.04000000000002</v>
      </c>
      <c r="AJ1997">
        <v>295.74</v>
      </c>
      <c r="AK1997">
        <v>504</v>
      </c>
      <c r="AL1997" s="57">
        <f t="shared" si="135"/>
        <v>1.704199634814364</v>
      </c>
      <c r="AM1997" s="47">
        <v>106</v>
      </c>
      <c r="AN1997" s="57">
        <v>291.33</v>
      </c>
      <c r="AO1997" s="57">
        <v>297.75</v>
      </c>
      <c r="AP1997" s="57">
        <v>507.42</v>
      </c>
      <c r="AQ1997" s="57">
        <f t="shared" si="162"/>
        <v>1.7041813602015115</v>
      </c>
      <c r="AR1997" s="59">
        <v>5518</v>
      </c>
      <c r="AS1997" s="59">
        <f>SUMIFS(HIX_RatingAreas[Silver Enrollments 2018],HIX_RatingAreas[Area],HIX_SLCSP[[#This Row],[Area Code]])</f>
        <v>7438</v>
      </c>
      <c r="AT1997" s="59">
        <f>SUMIFS(HIX_RatingAreas[Silver Enrollments 2019],HIX_RatingAreas[Area],HIX_SLCSP[[#This Row],[Area Code]])</f>
        <v>6772</v>
      </c>
      <c r="AU1997" s="59">
        <f>SUMIFS(HIX_RatingAreas[Silver Enrollments 2020],HIX_RatingAreas[Area],HIX_SLCSP[[#This Row],[Area Code]])</f>
        <v>5883</v>
      </c>
      <c r="AV1997" s="59">
        <f>SUMIFS(HIX_RatingAreas[Silver Enrollments 2021],HIX_RatingAreas[Area],HIX_SLCSP[[#This Row],[Area Code]])</f>
        <v>6909</v>
      </c>
      <c r="AW1997" s="59">
        <f>SUMIFS(HIX_RatingAreas[Silver Enrollments 2022],HIX_RatingAreas[Area],HIX_SLCSP[[#This Row],[Area Code]])</f>
        <v>13034</v>
      </c>
      <c r="AX1997" s="59">
        <f>SUMIFS(HIX_RatingAreas[Silver Enrollments 2023],HIX_RatingAreas[Area],HIX_SLCSP[[#This Row],[Area Code]])</f>
        <v>18325</v>
      </c>
      <c r="AY1997" s="59">
        <f>SUMIFS(HIX_RatingAreas[Silver Enrollments 2024],HIX_RatingAreas[Area],HIX_SLCSP[[#This Row],[Area Code]])</f>
        <v>29175</v>
      </c>
      <c r="AZ1997" s="59">
        <v>8208</v>
      </c>
      <c r="BA1997">
        <f t="shared" si="150"/>
        <v>6.2818041206737021E-3</v>
      </c>
      <c r="BB1997">
        <f>SUMIFS(HIX_RatingAreas[QHP Enrollments 2018],HIX_RatingAreas[Area],HIX_SLCSP[[#This Row],[Area Code]])</f>
        <v>12667</v>
      </c>
      <c r="BC1997">
        <f t="shared" si="151"/>
        <v>1.1512304360352303E-2</v>
      </c>
      <c r="BD1997">
        <f>SUMIFS(HIX_RatingAreas[QHP Enrollments 2019],HIX_RatingAreas[Area],HIX_SLCSP[[#This Row],[Area Code]])</f>
        <v>13812</v>
      </c>
      <c r="BE1997">
        <f t="shared" si="152"/>
        <v>1.2991447203198763E-2</v>
      </c>
      <c r="BF1997">
        <f>SUMIFS(HIX_RatingAreas[QHP Enrollments 2020],HIX_RatingAreas[Area],HIX_SLCSP[[#This Row],[Area Code]])</f>
        <v>12285</v>
      </c>
      <c r="BG1997">
        <f t="shared" si="153"/>
        <v>1.1250412103007435E-2</v>
      </c>
      <c r="BH1997">
        <f>SUMIFS(HIX_RatingAreas[QHP Enrollments 2021],HIX_RatingAreas[Area],HIX_SLCSP[[#This Row],[Area Code]])</f>
        <v>14734</v>
      </c>
      <c r="BI1997">
        <f t="shared" si="154"/>
        <v>1.1679246389770076E-2</v>
      </c>
      <c r="BJ1997">
        <f>SUMIFS(HIX_RatingAreas[QHP Enrollments 2022],HIX_RatingAreas[Area],HIX_SLCSP[[#This Row],[Area Code]])</f>
        <v>21063</v>
      </c>
      <c r="BK1997">
        <f t="shared" si="155"/>
        <v>1.1749388767376828E-2</v>
      </c>
      <c r="BL1997">
        <f>SUMIFS(HIX_RatingAreas[QHP Enrollments 2023],HIX_RatingAreas[Area],HIX_SLCSP[[#This Row],[Area Code]])</f>
        <v>29769</v>
      </c>
      <c r="BM1997">
        <f t="shared" si="155"/>
        <v>1.2348239518265598E-2</v>
      </c>
      <c r="BN1997">
        <f>SUMIFS(HIX_RatingAreas[QHP Enrollments 2024],HIX_RatingAreas[Area],HIX_SLCSP[[#This Row],[Area Code]])</f>
        <v>48288</v>
      </c>
      <c r="BO1997">
        <f t="shared" si="161"/>
        <v>1.3857492926761163E-2</v>
      </c>
      <c r="BP1997" s="53">
        <f>ROUND(HIX_SLCSP[[#This Row],[Weighting Factor 2018]]*HIX_SLCSP[[#This Row],[2018]],2)</f>
        <v>5.84</v>
      </c>
      <c r="BQ1997" s="53">
        <f>ROUND(HIX_SLCSP[[#This Row],[Weighting Factor 2019]]*HIX_SLCSP[[#This Row],[2019]],2)</f>
        <v>4.67</v>
      </c>
      <c r="BR1997" s="53">
        <f>ROUND(HIX_SLCSP[[#This Row],[Weighting Factor 2020]]*HIX_SLCSP[[#This Row],[2020]],2)</f>
        <v>3.91</v>
      </c>
      <c r="BS1997" s="53">
        <f>ROUND(HIX_SLCSP[[#This Row],[Weighting Factor 2021]]*HIX_SLCSP[[#This Row],[2021]],2)</f>
        <v>3.15</v>
      </c>
      <c r="BT1997" s="53">
        <f>ROUND(HIX_SLCSP[[#This Row],[Weighting Factor 2022]]*HIX_SLCSP[[#This Row],[2022]],2)</f>
        <v>3.85</v>
      </c>
      <c r="BU1997" s="53">
        <f>ROUND(HIX_SLCSP[[#This Row],[Weighting Factor 2023]]*HIX_SLCSP[[#This Row],[2023]],2)</f>
        <v>3.65</v>
      </c>
      <c r="BV1997" s="53">
        <f>ROUND(HIX_SLCSP[[#This Row],[Weighting Factor 2024]]*HIX_SLCSP[[#This Row],[2024]],2)</f>
        <v>4.13</v>
      </c>
    </row>
    <row r="1998" spans="4:74" x14ac:dyDescent="0.35">
      <c r="D1998" t="s">
        <v>1460</v>
      </c>
      <c r="E1998" t="s">
        <v>577</v>
      </c>
      <c r="F1998" s="23">
        <v>14</v>
      </c>
      <c r="G1998" s="23" t="s">
        <v>1937</v>
      </c>
      <c r="H1998" s="23" t="s">
        <v>2164</v>
      </c>
      <c r="I1998" s="23">
        <v>18</v>
      </c>
      <c r="J1998" s="53">
        <v>426.84</v>
      </c>
      <c r="K1998" s="53">
        <v>449.24</v>
      </c>
      <c r="L1998" s="53">
        <v>765.59</v>
      </c>
      <c r="M1998" s="54">
        <f t="shared" si="156"/>
        <v>1.7041892974801889</v>
      </c>
      <c r="N1998" s="24">
        <v>18</v>
      </c>
      <c r="O1998" s="55">
        <v>355.43</v>
      </c>
      <c r="P1998" s="56">
        <v>371.54</v>
      </c>
      <c r="Q1998" s="56">
        <v>633.17999999999995</v>
      </c>
      <c r="R1998" s="57">
        <f t="shared" si="157"/>
        <v>1.7042041233783709</v>
      </c>
      <c r="S1998" s="23">
        <v>18</v>
      </c>
      <c r="T1998" s="53">
        <v>365.6</v>
      </c>
      <c r="U1998" s="53">
        <v>381.4</v>
      </c>
      <c r="V1998" s="53">
        <v>649.98</v>
      </c>
      <c r="W1998" s="57">
        <f t="shared" si="158"/>
        <v>1.7041950707918199</v>
      </c>
      <c r="X1998" s="47">
        <v>26</v>
      </c>
      <c r="Y1998" s="58">
        <v>392.46</v>
      </c>
      <c r="Z1998" s="58">
        <v>412.25</v>
      </c>
      <c r="AA1998" s="58">
        <v>702.55</v>
      </c>
      <c r="AB1998" s="57">
        <f t="shared" si="159"/>
        <v>1.7041843541540327</v>
      </c>
      <c r="AC1998" s="47">
        <v>35</v>
      </c>
      <c r="AD1998" s="57">
        <v>415.95</v>
      </c>
      <c r="AE1998" s="57">
        <v>434.14</v>
      </c>
      <c r="AF1998" s="57">
        <v>739.86</v>
      </c>
      <c r="AG1998" s="57">
        <f t="shared" si="160"/>
        <v>1.7041968028746488</v>
      </c>
      <c r="AH1998" s="47">
        <v>110</v>
      </c>
      <c r="AI1998">
        <v>375.02</v>
      </c>
      <c r="AJ1998">
        <v>383.71</v>
      </c>
      <c r="AK1998">
        <v>653.91999999999996</v>
      </c>
      <c r="AL1998" s="57">
        <f t="shared" si="135"/>
        <v>1.704203695499205</v>
      </c>
      <c r="AM1998" s="47">
        <v>84</v>
      </c>
      <c r="AN1998" s="57">
        <v>372.2</v>
      </c>
      <c r="AO1998" s="57">
        <v>380.92</v>
      </c>
      <c r="AP1998" s="57">
        <v>649.16</v>
      </c>
      <c r="AQ1998" s="57">
        <f t="shared" si="162"/>
        <v>1.7041898561377715</v>
      </c>
      <c r="AR1998" s="59">
        <v>6272</v>
      </c>
      <c r="AS1998" s="59">
        <f>SUMIFS(HIX_RatingAreas[Silver Enrollments 2018],HIX_RatingAreas[Area],HIX_SLCSP[[#This Row],[Area Code]])</f>
        <v>6216</v>
      </c>
      <c r="AT1998" s="59">
        <f>SUMIFS(HIX_RatingAreas[Silver Enrollments 2019],HIX_RatingAreas[Area],HIX_SLCSP[[#This Row],[Area Code]])</f>
        <v>5673</v>
      </c>
      <c r="AU1998" s="59">
        <f>SUMIFS(HIX_RatingAreas[Silver Enrollments 2020],HIX_RatingAreas[Area],HIX_SLCSP[[#This Row],[Area Code]])</f>
        <v>5699</v>
      </c>
      <c r="AV1998" s="59">
        <f>SUMIFS(HIX_RatingAreas[Silver Enrollments 2021],HIX_RatingAreas[Area],HIX_SLCSP[[#This Row],[Area Code]])</f>
        <v>8535</v>
      </c>
      <c r="AW1998" s="59">
        <f>SUMIFS(HIX_RatingAreas[Silver Enrollments 2022],HIX_RatingAreas[Area],HIX_SLCSP[[#This Row],[Area Code]])</f>
        <v>14286</v>
      </c>
      <c r="AX1998" s="59">
        <f>SUMIFS(HIX_RatingAreas[Silver Enrollments 2023],HIX_RatingAreas[Area],HIX_SLCSP[[#This Row],[Area Code]])</f>
        <v>16233</v>
      </c>
      <c r="AY1998" s="59">
        <f>SUMIFS(HIX_RatingAreas[Silver Enrollments 2024],HIX_RatingAreas[Area],HIX_SLCSP[[#This Row],[Area Code]])</f>
        <v>15347</v>
      </c>
      <c r="AZ1998" s="59">
        <v>9618</v>
      </c>
      <c r="BA1998">
        <f t="shared" si="150"/>
        <v>7.3609152086549301E-3</v>
      </c>
      <c r="BB1998">
        <f>SUMIFS(HIX_RatingAreas[QHP Enrollments 2018],HIX_RatingAreas[Area],HIX_SLCSP[[#This Row],[Area Code]])</f>
        <v>11889</v>
      </c>
      <c r="BC1998">
        <f t="shared" si="151"/>
        <v>1.0805225115672893E-2</v>
      </c>
      <c r="BD1998">
        <f>SUMIFS(HIX_RatingAreas[QHP Enrollments 2019],HIX_RatingAreas[Area],HIX_SLCSP[[#This Row],[Area Code]])</f>
        <v>12148</v>
      </c>
      <c r="BE1998">
        <f t="shared" si="152"/>
        <v>1.142630325980731E-2</v>
      </c>
      <c r="BF1998">
        <f>SUMIFS(HIX_RatingAreas[QHP Enrollments 2020],HIX_RatingAreas[Area],HIX_SLCSP[[#This Row],[Area Code]])</f>
        <v>11859</v>
      </c>
      <c r="BG1998">
        <f t="shared" si="153"/>
        <v>1.0860287922634529E-2</v>
      </c>
      <c r="BH1998">
        <f>SUMIFS(HIX_RatingAreas[QHP Enrollments 2021],HIX_RatingAreas[Area],HIX_SLCSP[[#This Row],[Area Code]])</f>
        <v>16070</v>
      </c>
      <c r="BI1998">
        <f t="shared" si="154"/>
        <v>1.2738257736093739E-2</v>
      </c>
      <c r="BJ1998">
        <f>SUMIFS(HIX_RatingAreas[QHP Enrollments 2022],HIX_RatingAreas[Area],HIX_SLCSP[[#This Row],[Area Code]])</f>
        <v>23521</v>
      </c>
      <c r="BK1998">
        <f t="shared" si="155"/>
        <v>1.3120513374043127E-2</v>
      </c>
      <c r="BL1998">
        <f>SUMIFS(HIX_RatingAreas[QHP Enrollments 2023],HIX_RatingAreas[Area],HIX_SLCSP[[#This Row],[Area Code]])</f>
        <v>33856</v>
      </c>
      <c r="BM1998">
        <f t="shared" si="155"/>
        <v>1.4043535124807688E-2</v>
      </c>
      <c r="BN1998">
        <f>SUMIFS(HIX_RatingAreas[QHP Enrollments 2024],HIX_RatingAreas[Area],HIX_SLCSP[[#This Row],[Area Code]])</f>
        <v>50891</v>
      </c>
      <c r="BO1998">
        <f t="shared" si="161"/>
        <v>1.4604491230446538E-2</v>
      </c>
      <c r="BP1998" s="53">
        <f>ROUND(HIX_SLCSP[[#This Row],[Weighting Factor 2018]]*HIX_SLCSP[[#This Row],[2018]],2)</f>
        <v>4.8499999999999996</v>
      </c>
      <c r="BQ1998" s="53">
        <f>ROUND(HIX_SLCSP[[#This Row],[Weighting Factor 2019]]*HIX_SLCSP[[#This Row],[2019]],2)</f>
        <v>4.25</v>
      </c>
      <c r="BR1998" s="53">
        <f>ROUND(HIX_SLCSP[[#This Row],[Weighting Factor 2020]]*HIX_SLCSP[[#This Row],[2020]],2)</f>
        <v>4.1399999999999997</v>
      </c>
      <c r="BS1998" s="53">
        <f>ROUND(HIX_SLCSP[[#This Row],[Weighting Factor 2021]]*HIX_SLCSP[[#This Row],[2021]],2)</f>
        <v>5.25</v>
      </c>
      <c r="BT1998" s="53">
        <f>ROUND(HIX_SLCSP[[#This Row],[Weighting Factor 2022]]*HIX_SLCSP[[#This Row],[2022]],2)</f>
        <v>5.7</v>
      </c>
      <c r="BU1998" s="53">
        <f>ROUND(HIX_SLCSP[[#This Row],[Weighting Factor 2023]]*HIX_SLCSP[[#This Row],[2023]],2)</f>
        <v>5.39</v>
      </c>
      <c r="BV1998" s="53">
        <f>ROUND(HIX_SLCSP[[#This Row],[Weighting Factor 2024]]*HIX_SLCSP[[#This Row],[2024]],2)</f>
        <v>5.56</v>
      </c>
    </row>
    <row r="1999" spans="4:74" x14ac:dyDescent="0.35">
      <c r="D1999" t="s">
        <v>1460</v>
      </c>
      <c r="E1999" t="s">
        <v>581</v>
      </c>
      <c r="F1999" s="23">
        <v>15</v>
      </c>
      <c r="G1999" s="23" t="s">
        <v>1937</v>
      </c>
      <c r="H1999" s="23" t="s">
        <v>2192</v>
      </c>
      <c r="I1999" s="23">
        <v>86</v>
      </c>
      <c r="J1999" s="53">
        <v>261.67</v>
      </c>
      <c r="K1999" s="53">
        <v>276.02</v>
      </c>
      <c r="L1999" s="53">
        <v>470.4</v>
      </c>
      <c r="M1999" s="54">
        <f t="shared" si="156"/>
        <v>1.7042243315701762</v>
      </c>
      <c r="N1999" s="24">
        <v>45</v>
      </c>
      <c r="O1999" s="55">
        <v>287.23</v>
      </c>
      <c r="P1999" s="56">
        <v>292.66000000000003</v>
      </c>
      <c r="Q1999" s="56">
        <v>498.75</v>
      </c>
      <c r="R1999" s="57">
        <f t="shared" si="157"/>
        <v>1.7041959953529691</v>
      </c>
      <c r="S1999" s="23">
        <v>86</v>
      </c>
      <c r="T1999" s="53">
        <v>295.99</v>
      </c>
      <c r="U1999" s="53">
        <v>314.45999999999998</v>
      </c>
      <c r="V1999" s="53">
        <v>535.9</v>
      </c>
      <c r="W1999" s="57">
        <f t="shared" si="158"/>
        <v>1.7041913120905681</v>
      </c>
      <c r="X1999" s="47">
        <v>126</v>
      </c>
      <c r="Y1999" s="58">
        <v>266.68</v>
      </c>
      <c r="Z1999" s="58">
        <v>274.2</v>
      </c>
      <c r="AA1999" s="58">
        <v>467.29</v>
      </c>
      <c r="AB1999" s="57">
        <f t="shared" si="159"/>
        <v>1.7041940189642597</v>
      </c>
      <c r="AC1999" s="47">
        <v>120</v>
      </c>
      <c r="AD1999" s="57">
        <v>285.88</v>
      </c>
      <c r="AE1999" s="57">
        <v>300.07</v>
      </c>
      <c r="AF1999" s="57">
        <v>511.38</v>
      </c>
      <c r="AG1999" s="57">
        <f t="shared" si="160"/>
        <v>1.7042023527843504</v>
      </c>
      <c r="AH1999" s="47">
        <v>166</v>
      </c>
      <c r="AI1999">
        <v>283.08999999999997</v>
      </c>
      <c r="AJ1999">
        <v>287.95</v>
      </c>
      <c r="AK1999">
        <v>490.73</v>
      </c>
      <c r="AL1999" s="57">
        <f t="shared" si="135"/>
        <v>1.7042194825490538</v>
      </c>
      <c r="AM1999" s="47">
        <v>130</v>
      </c>
      <c r="AN1999" s="57">
        <v>273.29000000000002</v>
      </c>
      <c r="AO1999" s="57">
        <v>279.7</v>
      </c>
      <c r="AP1999" s="57">
        <v>476.66</v>
      </c>
      <c r="AQ1999" s="57">
        <f t="shared" si="162"/>
        <v>1.7041830532713624</v>
      </c>
      <c r="AR1999" s="59">
        <v>29528</v>
      </c>
      <c r="AS1999" s="59">
        <f>SUMIFS(HIX_RatingAreas[Silver Enrollments 2018],HIX_RatingAreas[Area],HIX_SLCSP[[#This Row],[Area Code]])</f>
        <v>31996</v>
      </c>
      <c r="AT1999" s="59">
        <f>SUMIFS(HIX_RatingAreas[Silver Enrollments 2019],HIX_RatingAreas[Area],HIX_SLCSP[[#This Row],[Area Code]])</f>
        <v>33735</v>
      </c>
      <c r="AU1999" s="59">
        <f>SUMIFS(HIX_RatingAreas[Silver Enrollments 2020],HIX_RatingAreas[Area],HIX_SLCSP[[#This Row],[Area Code]])</f>
        <v>38496</v>
      </c>
      <c r="AV1999" s="59">
        <f>SUMIFS(HIX_RatingAreas[Silver Enrollments 2021],HIX_RatingAreas[Area],HIX_SLCSP[[#This Row],[Area Code]])</f>
        <v>45866</v>
      </c>
      <c r="AW1999" s="59">
        <f>SUMIFS(HIX_RatingAreas[Silver Enrollments 2022],HIX_RatingAreas[Area],HIX_SLCSP[[#This Row],[Area Code]])</f>
        <v>94212</v>
      </c>
      <c r="AX1999" s="59">
        <f>SUMIFS(HIX_RatingAreas[Silver Enrollments 2023],HIX_RatingAreas[Area],HIX_SLCSP[[#This Row],[Area Code]])</f>
        <v>127625</v>
      </c>
      <c r="AY1999" s="59">
        <f>SUMIFS(HIX_RatingAreas[Silver Enrollments 2024],HIX_RatingAreas[Area],HIX_SLCSP[[#This Row],[Area Code]])</f>
        <v>151904</v>
      </c>
      <c r="AZ1999" s="59">
        <v>38134</v>
      </c>
      <c r="BA1999">
        <f t="shared" si="150"/>
        <v>2.9184980304309327E-2</v>
      </c>
      <c r="BB1999">
        <f>SUMIFS(HIX_RatingAreas[QHP Enrollments 2018],HIX_RatingAreas[Area],HIX_SLCSP[[#This Row],[Area Code]])</f>
        <v>37057</v>
      </c>
      <c r="BC1999">
        <f t="shared" si="151"/>
        <v>3.3678966028386777E-2</v>
      </c>
      <c r="BD1999">
        <f>SUMIFS(HIX_RatingAreas[QHP Enrollments 2019],HIX_RatingAreas[Area],HIX_SLCSP[[#This Row],[Area Code]])</f>
        <v>38101</v>
      </c>
      <c r="BE1999">
        <f t="shared" si="152"/>
        <v>3.5837469583628441E-2</v>
      </c>
      <c r="BF1999">
        <f>SUMIFS(HIX_RatingAreas[QHP Enrollments 2020],HIX_RatingAreas[Area],HIX_SLCSP[[#This Row],[Area Code]])</f>
        <v>45322</v>
      </c>
      <c r="BG1999">
        <f t="shared" si="153"/>
        <v>4.1505183340049087E-2</v>
      </c>
      <c r="BH1999">
        <f>SUMIFS(HIX_RatingAreas[QHP Enrollments 2021],HIX_RatingAreas[Area],HIX_SLCSP[[#This Row],[Area Code]])</f>
        <v>58412</v>
      </c>
      <c r="BI1999">
        <f t="shared" si="154"/>
        <v>4.6301624821450373E-2</v>
      </c>
      <c r="BJ1999">
        <f>SUMIFS(HIX_RatingAreas[QHP Enrollments 2022],HIX_RatingAreas[Area],HIX_SLCSP[[#This Row],[Area Code]])</f>
        <v>108054</v>
      </c>
      <c r="BK1999">
        <f t="shared" si="155"/>
        <v>6.0274816211847118E-2</v>
      </c>
      <c r="BL1999">
        <f>SUMIFS(HIX_RatingAreas[QHP Enrollments 2023],HIX_RatingAreas[Area],HIX_SLCSP[[#This Row],[Area Code]])</f>
        <v>151082</v>
      </c>
      <c r="BM1999">
        <f t="shared" si="155"/>
        <v>6.2669109573670695E-2</v>
      </c>
      <c r="BN1999">
        <f>SUMIFS(HIX_RatingAreas[QHP Enrollments 2024],HIX_RatingAreas[Area],HIX_SLCSP[[#This Row],[Area Code]])</f>
        <v>204997</v>
      </c>
      <c r="BO1999">
        <f t="shared" si="161"/>
        <v>5.8829201406296765E-2</v>
      </c>
      <c r="BP1999" s="53">
        <f>ROUND(HIX_SLCSP[[#This Row],[Weighting Factor 2018]]*HIX_SLCSP[[#This Row],[2018]],2)</f>
        <v>9.3000000000000007</v>
      </c>
      <c r="BQ1999" s="53">
        <f>ROUND(HIX_SLCSP[[#This Row],[Weighting Factor 2019]]*HIX_SLCSP[[#This Row],[2019]],2)</f>
        <v>10.49</v>
      </c>
      <c r="BR1999" s="53">
        <f>ROUND(HIX_SLCSP[[#This Row],[Weighting Factor 2020]]*HIX_SLCSP[[#This Row],[2020]],2)</f>
        <v>13.05</v>
      </c>
      <c r="BS1999" s="53">
        <f>ROUND(HIX_SLCSP[[#This Row],[Weighting Factor 2021]]*HIX_SLCSP[[#This Row],[2021]],2)</f>
        <v>12.7</v>
      </c>
      <c r="BT1999" s="53">
        <f>ROUND(HIX_SLCSP[[#This Row],[Weighting Factor 2022]]*HIX_SLCSP[[#This Row],[2022]],2)</f>
        <v>18.09</v>
      </c>
      <c r="BU1999" s="53">
        <f>ROUND(HIX_SLCSP[[#This Row],[Weighting Factor 2023]]*HIX_SLCSP[[#This Row],[2023]],2)</f>
        <v>18.05</v>
      </c>
      <c r="BV1999" s="53">
        <f>ROUND(HIX_SLCSP[[#This Row],[Weighting Factor 2024]]*HIX_SLCSP[[#This Row],[2024]],2)</f>
        <v>16.45</v>
      </c>
    </row>
    <row r="2000" spans="4:74" x14ac:dyDescent="0.35">
      <c r="D2000" t="s">
        <v>1460</v>
      </c>
      <c r="E2000" t="s">
        <v>585</v>
      </c>
      <c r="F2000" s="23">
        <v>16</v>
      </c>
      <c r="G2000" s="23" t="s">
        <v>1937</v>
      </c>
      <c r="H2000" s="23" t="s">
        <v>2199</v>
      </c>
      <c r="I2000" s="23">
        <v>18</v>
      </c>
      <c r="J2000" s="53">
        <v>413.91</v>
      </c>
      <c r="K2000" s="53">
        <v>437.06</v>
      </c>
      <c r="L2000" s="53">
        <v>744.84</v>
      </c>
      <c r="M2000" s="54">
        <f t="shared" si="156"/>
        <v>1.7042053722601016</v>
      </c>
      <c r="N2000" s="24">
        <v>18</v>
      </c>
      <c r="O2000" s="55">
        <v>324.95</v>
      </c>
      <c r="P2000" s="56">
        <v>346.3</v>
      </c>
      <c r="Q2000" s="56">
        <v>590.16</v>
      </c>
      <c r="R2000" s="57">
        <f t="shared" si="157"/>
        <v>1.7041871209933581</v>
      </c>
      <c r="S2000" s="23">
        <v>18</v>
      </c>
      <c r="T2000" s="53">
        <v>313.45999999999998</v>
      </c>
      <c r="U2000" s="53">
        <v>328.26</v>
      </c>
      <c r="V2000" s="53">
        <v>559.41999999999996</v>
      </c>
      <c r="W2000" s="57">
        <f t="shared" si="158"/>
        <v>1.7041978919149454</v>
      </c>
      <c r="X2000" s="47">
        <v>22</v>
      </c>
      <c r="Y2000" s="58">
        <v>327.51</v>
      </c>
      <c r="Z2000" s="58">
        <v>345.9</v>
      </c>
      <c r="AA2000" s="58">
        <v>589.49</v>
      </c>
      <c r="AB2000" s="57">
        <f t="shared" si="159"/>
        <v>1.7042208730847066</v>
      </c>
      <c r="AC2000" s="47">
        <v>27</v>
      </c>
      <c r="AD2000" s="57">
        <v>340.14</v>
      </c>
      <c r="AE2000" s="57">
        <v>356.56</v>
      </c>
      <c r="AF2000" s="57">
        <v>607.65</v>
      </c>
      <c r="AG2000" s="57">
        <f t="shared" si="160"/>
        <v>1.7042012564505271</v>
      </c>
      <c r="AH2000" s="47">
        <v>90</v>
      </c>
      <c r="AI2000">
        <v>287.33</v>
      </c>
      <c r="AJ2000">
        <v>292.27</v>
      </c>
      <c r="AK2000">
        <v>498.09</v>
      </c>
      <c r="AL2000" s="57">
        <f t="shared" si="135"/>
        <v>1.7042118588975947</v>
      </c>
      <c r="AM2000" s="47">
        <v>126</v>
      </c>
      <c r="AN2000" s="57">
        <v>270.33</v>
      </c>
      <c r="AO2000" s="57">
        <v>277.08</v>
      </c>
      <c r="AP2000" s="57">
        <v>472.19</v>
      </c>
      <c r="AQ2000" s="57">
        <f t="shared" si="162"/>
        <v>1.7041648621336798</v>
      </c>
      <c r="AR2000" s="59">
        <v>2927</v>
      </c>
      <c r="AS2000" s="59">
        <f>SUMIFS(HIX_RatingAreas[Silver Enrollments 2018],HIX_RatingAreas[Area],HIX_SLCSP[[#This Row],[Area Code]])</f>
        <v>7296</v>
      </c>
      <c r="AT2000" s="59">
        <f>SUMIFS(HIX_RatingAreas[Silver Enrollments 2019],HIX_RatingAreas[Area],HIX_SLCSP[[#This Row],[Area Code]])</f>
        <v>6708</v>
      </c>
      <c r="AU2000" s="59">
        <f>SUMIFS(HIX_RatingAreas[Silver Enrollments 2020],HIX_RatingAreas[Area],HIX_SLCSP[[#This Row],[Area Code]])</f>
        <v>5761</v>
      </c>
      <c r="AV2000" s="59">
        <f>SUMIFS(HIX_RatingAreas[Silver Enrollments 2021],HIX_RatingAreas[Area],HIX_SLCSP[[#This Row],[Area Code]])</f>
        <v>13189</v>
      </c>
      <c r="AW2000" s="59">
        <f>SUMIFS(HIX_RatingAreas[Silver Enrollments 2022],HIX_RatingAreas[Area],HIX_SLCSP[[#This Row],[Area Code]])</f>
        <v>23444</v>
      </c>
      <c r="AX2000" s="59">
        <f>SUMIFS(HIX_RatingAreas[Silver Enrollments 2023],HIX_RatingAreas[Area],HIX_SLCSP[[#This Row],[Area Code]])</f>
        <v>22600</v>
      </c>
      <c r="AY2000" s="59">
        <f>SUMIFS(HIX_RatingAreas[Silver Enrollments 2024],HIX_RatingAreas[Area],HIX_SLCSP[[#This Row],[Area Code]])</f>
        <v>37420</v>
      </c>
      <c r="AZ2000" s="59">
        <v>4654</v>
      </c>
      <c r="BA2000">
        <f t="shared" si="150"/>
        <v>3.5618319173508052E-3</v>
      </c>
      <c r="BB2000">
        <f>SUMIFS(HIX_RatingAreas[QHP Enrollments 2018],HIX_RatingAreas[Area],HIX_SLCSP[[#This Row],[Area Code]])</f>
        <v>12941</v>
      </c>
      <c r="BC2000">
        <f t="shared" si="151"/>
        <v>1.1761327127758677E-2</v>
      </c>
      <c r="BD2000">
        <f>SUMIFS(HIX_RatingAreas[QHP Enrollments 2019],HIX_RatingAreas[Area],HIX_SLCSP[[#This Row],[Area Code]])</f>
        <v>13744</v>
      </c>
      <c r="BE2000">
        <f t="shared" si="152"/>
        <v>1.2927486993973631E-2</v>
      </c>
      <c r="BF2000">
        <f>SUMIFS(HIX_RatingAreas[QHP Enrollments 2020],HIX_RatingAreas[Area],HIX_SLCSP[[#This Row],[Area Code]])</f>
        <v>11521</v>
      </c>
      <c r="BG2000">
        <f t="shared" si="153"/>
        <v>1.0550752774826916E-2</v>
      </c>
      <c r="BH2000">
        <f>SUMIFS(HIX_RatingAreas[QHP Enrollments 2021],HIX_RatingAreas[Area],HIX_SLCSP[[#This Row],[Area Code]])</f>
        <v>20009</v>
      </c>
      <c r="BI2000">
        <f t="shared" si="154"/>
        <v>1.5860597326789024E-2</v>
      </c>
      <c r="BJ2000">
        <f>SUMIFS(HIX_RatingAreas[QHP Enrollments 2022],HIX_RatingAreas[Area],HIX_SLCSP[[#This Row],[Area Code]])</f>
        <v>35066</v>
      </c>
      <c r="BK2000">
        <f t="shared" si="155"/>
        <v>1.9560559583954605E-2</v>
      </c>
      <c r="BL2000">
        <f>SUMIFS(HIX_RatingAreas[QHP Enrollments 2023],HIX_RatingAreas[Area],HIX_SLCSP[[#This Row],[Area Code]])</f>
        <v>49213</v>
      </c>
      <c r="BM2000">
        <f t="shared" si="155"/>
        <v>2.0413648809580597E-2</v>
      </c>
      <c r="BN2000">
        <f>SUMIFS(HIX_RatingAreas[QHP Enrollments 2024],HIX_RatingAreas[Area],HIX_SLCSP[[#This Row],[Area Code]])</f>
        <v>76908</v>
      </c>
      <c r="BO2000">
        <f t="shared" si="161"/>
        <v>2.2070743580420552E-2</v>
      </c>
      <c r="BP2000" s="53">
        <f>ROUND(HIX_SLCSP[[#This Row],[Weighting Factor 2018]]*HIX_SLCSP[[#This Row],[2018]],2)</f>
        <v>5.14</v>
      </c>
      <c r="BQ2000" s="53">
        <f>ROUND(HIX_SLCSP[[#This Row],[Weighting Factor 2019]]*HIX_SLCSP[[#This Row],[2019]],2)</f>
        <v>4.4800000000000004</v>
      </c>
      <c r="BR2000" s="53">
        <f>ROUND(HIX_SLCSP[[#This Row],[Weighting Factor 2020]]*HIX_SLCSP[[#This Row],[2020]],2)</f>
        <v>3.46</v>
      </c>
      <c r="BS2000" s="53">
        <f>ROUND(HIX_SLCSP[[#This Row],[Weighting Factor 2021]]*HIX_SLCSP[[#This Row],[2021]],2)</f>
        <v>5.49</v>
      </c>
      <c r="BT2000" s="53">
        <f>ROUND(HIX_SLCSP[[#This Row],[Weighting Factor 2022]]*HIX_SLCSP[[#This Row],[2022]],2)</f>
        <v>6.97</v>
      </c>
      <c r="BU2000" s="53">
        <f>ROUND(HIX_SLCSP[[#This Row],[Weighting Factor 2023]]*HIX_SLCSP[[#This Row],[2023]],2)</f>
        <v>5.97</v>
      </c>
      <c r="BV2000" s="53">
        <f>ROUND(HIX_SLCSP[[#This Row],[Weighting Factor 2024]]*HIX_SLCSP[[#This Row],[2024]],2)</f>
        <v>6.12</v>
      </c>
    </row>
    <row r="2001" spans="4:74" x14ac:dyDescent="0.35">
      <c r="D2001" t="s">
        <v>1460</v>
      </c>
      <c r="E2001" t="s">
        <v>588</v>
      </c>
      <c r="F2001" s="23">
        <v>17</v>
      </c>
      <c r="G2001" s="23" t="s">
        <v>1937</v>
      </c>
      <c r="H2001" s="23" t="s">
        <v>2231</v>
      </c>
      <c r="I2001" s="23">
        <v>18</v>
      </c>
      <c r="J2001" s="53">
        <v>400.16</v>
      </c>
      <c r="K2001" s="53">
        <v>442.16</v>
      </c>
      <c r="L2001" s="53">
        <v>753.53</v>
      </c>
      <c r="M2001" s="54">
        <f t="shared" si="156"/>
        <v>1.7042020987877691</v>
      </c>
      <c r="N2001" s="24">
        <v>18</v>
      </c>
      <c r="O2001" s="55">
        <v>345.93</v>
      </c>
      <c r="P2001" s="56">
        <v>362.03</v>
      </c>
      <c r="Q2001" s="56">
        <v>616.97</v>
      </c>
      <c r="R2001" s="57">
        <f t="shared" si="157"/>
        <v>1.7041957848797062</v>
      </c>
      <c r="S2001" s="23">
        <v>18</v>
      </c>
      <c r="T2001" s="53">
        <v>327.10000000000002</v>
      </c>
      <c r="U2001" s="53">
        <v>350.57</v>
      </c>
      <c r="V2001" s="53">
        <v>597.44000000000005</v>
      </c>
      <c r="W2001" s="57">
        <f t="shared" si="158"/>
        <v>1.7041960236186784</v>
      </c>
      <c r="X2001" s="47">
        <v>22</v>
      </c>
      <c r="Y2001" s="58">
        <v>341.91</v>
      </c>
      <c r="Z2001" s="58">
        <v>369.53</v>
      </c>
      <c r="AA2001" s="58">
        <v>629.76</v>
      </c>
      <c r="AB2001" s="57">
        <f t="shared" si="159"/>
        <v>1.7042188726219794</v>
      </c>
      <c r="AC2001" s="47">
        <v>124</v>
      </c>
      <c r="AD2001" s="57">
        <v>312.14</v>
      </c>
      <c r="AE2001" s="57">
        <v>327.63</v>
      </c>
      <c r="AF2001" s="57">
        <v>558.34</v>
      </c>
      <c r="AG2001" s="57">
        <f t="shared" si="160"/>
        <v>1.704178494032903</v>
      </c>
      <c r="AH2001" s="47">
        <v>90</v>
      </c>
      <c r="AI2001">
        <v>353.85</v>
      </c>
      <c r="AJ2001">
        <v>359.93</v>
      </c>
      <c r="AK2001">
        <v>613.38</v>
      </c>
      <c r="AL2001" s="57">
        <f t="shared" si="135"/>
        <v>1.7041646986914121</v>
      </c>
      <c r="AM2001" s="47">
        <v>106</v>
      </c>
      <c r="AN2001" s="57">
        <v>399.74</v>
      </c>
      <c r="AO2001" s="57">
        <v>401.47</v>
      </c>
      <c r="AP2001" s="57">
        <v>684.18</v>
      </c>
      <c r="AQ2001" s="57">
        <f t="shared" si="162"/>
        <v>1.7041871123620691</v>
      </c>
      <c r="AR2001" s="59">
        <v>3181</v>
      </c>
      <c r="AS2001" s="59">
        <f>SUMIFS(HIX_RatingAreas[Silver Enrollments 2018],HIX_RatingAreas[Area],HIX_SLCSP[[#This Row],[Area Code]])</f>
        <v>3160</v>
      </c>
      <c r="AT2001" s="59">
        <f>SUMIFS(HIX_RatingAreas[Silver Enrollments 2019],HIX_RatingAreas[Area],HIX_SLCSP[[#This Row],[Area Code]])</f>
        <v>2844</v>
      </c>
      <c r="AU2001" s="59">
        <f>SUMIFS(HIX_RatingAreas[Silver Enrollments 2020],HIX_RatingAreas[Area],HIX_SLCSP[[#This Row],[Area Code]])</f>
        <v>3078</v>
      </c>
      <c r="AV2001" s="59">
        <f>SUMIFS(HIX_RatingAreas[Silver Enrollments 2021],HIX_RatingAreas[Area],HIX_SLCSP[[#This Row],[Area Code]])</f>
        <v>3554</v>
      </c>
      <c r="AW2001" s="59">
        <f>SUMIFS(HIX_RatingAreas[Silver Enrollments 2022],HIX_RatingAreas[Area],HIX_SLCSP[[#This Row],[Area Code]])</f>
        <v>4838</v>
      </c>
      <c r="AX2001" s="59">
        <f>SUMIFS(HIX_RatingAreas[Silver Enrollments 2023],HIX_RatingAreas[Area],HIX_SLCSP[[#This Row],[Area Code]])</f>
        <v>5134</v>
      </c>
      <c r="AY2001" s="59">
        <f>SUMIFS(HIX_RatingAreas[Silver Enrollments 2024],HIX_RatingAreas[Area],HIX_SLCSP[[#This Row],[Area Code]])</f>
        <v>9057</v>
      </c>
      <c r="AZ2001" s="59">
        <v>4760</v>
      </c>
      <c r="BA2001">
        <f t="shared" si="150"/>
        <v>3.6429565807025856E-3</v>
      </c>
      <c r="BB2001">
        <f>SUMIFS(HIX_RatingAreas[QHP Enrollments 2018],HIX_RatingAreas[Area],HIX_SLCSP[[#This Row],[Area Code]])</f>
        <v>5144</v>
      </c>
      <c r="BC2001">
        <f t="shared" si="151"/>
        <v>4.6750843632787755E-3</v>
      </c>
      <c r="BD2001">
        <f>SUMIFS(HIX_RatingAreas[QHP Enrollments 2019],HIX_RatingAreas[Area],HIX_SLCSP[[#This Row],[Area Code]])</f>
        <v>5158</v>
      </c>
      <c r="BE2001">
        <f t="shared" si="152"/>
        <v>4.8515699879886492E-3</v>
      </c>
      <c r="BF2001">
        <f>SUMIFS(HIX_RatingAreas[QHP Enrollments 2020],HIX_RatingAreas[Area],HIX_SLCSP[[#This Row],[Area Code]])</f>
        <v>5267</v>
      </c>
      <c r="BG2001">
        <f t="shared" si="153"/>
        <v>4.8234367559251258E-3</v>
      </c>
      <c r="BH2001">
        <f>SUMIFS(HIX_RatingAreas[QHP Enrollments 2021],HIX_RatingAreas[Area],HIX_SLCSP[[#This Row],[Area Code]])</f>
        <v>5804</v>
      </c>
      <c r="BI2001">
        <f t="shared" si="154"/>
        <v>4.600675040465965E-3</v>
      </c>
      <c r="BJ2001">
        <f>SUMIFS(HIX_RatingAreas[QHP Enrollments 2022],HIX_RatingAreas[Area],HIX_SLCSP[[#This Row],[Area Code]])</f>
        <v>8146</v>
      </c>
      <c r="BK2001">
        <f t="shared" si="155"/>
        <v>4.5440118168851374E-3</v>
      </c>
      <c r="BL2001">
        <f>SUMIFS(HIX_RatingAreas[QHP Enrollments 2023],HIX_RatingAreas[Area],HIX_SLCSP[[#This Row],[Area Code]])</f>
        <v>10371</v>
      </c>
      <c r="BM2001">
        <f t="shared" si="155"/>
        <v>4.3019111170658235E-3</v>
      </c>
      <c r="BN2001">
        <f>SUMIFS(HIX_RatingAreas[QHP Enrollments 2024],HIX_RatingAreas[Area],HIX_SLCSP[[#This Row],[Area Code]])</f>
        <v>16787</v>
      </c>
      <c r="BO2001">
        <f t="shared" si="161"/>
        <v>4.8174646653731702E-3</v>
      </c>
      <c r="BP2001" s="53">
        <f>ROUND(HIX_SLCSP[[#This Row],[Weighting Factor 2018]]*HIX_SLCSP[[#This Row],[2018]],2)</f>
        <v>2.0699999999999998</v>
      </c>
      <c r="BQ2001" s="53">
        <f>ROUND(HIX_SLCSP[[#This Row],[Weighting Factor 2019]]*HIX_SLCSP[[#This Row],[2019]],2)</f>
        <v>1.76</v>
      </c>
      <c r="BR2001" s="53">
        <f>ROUND(HIX_SLCSP[[#This Row],[Weighting Factor 2020]]*HIX_SLCSP[[#This Row],[2020]],2)</f>
        <v>1.69</v>
      </c>
      <c r="BS2001" s="53">
        <f>ROUND(HIX_SLCSP[[#This Row],[Weighting Factor 2021]]*HIX_SLCSP[[#This Row],[2021]],2)</f>
        <v>1.7</v>
      </c>
      <c r="BT2001" s="53">
        <f>ROUND(HIX_SLCSP[[#This Row],[Weighting Factor 2022]]*HIX_SLCSP[[#This Row],[2022]],2)</f>
        <v>1.49</v>
      </c>
      <c r="BU2001" s="53">
        <f>ROUND(HIX_SLCSP[[#This Row],[Weighting Factor 2023]]*HIX_SLCSP[[#This Row],[2023]],2)</f>
        <v>1.55</v>
      </c>
      <c r="BV2001" s="53">
        <f>ROUND(HIX_SLCSP[[#This Row],[Weighting Factor 2024]]*HIX_SLCSP[[#This Row],[2024]],2)</f>
        <v>1.93</v>
      </c>
    </row>
    <row r="2002" spans="4:74" x14ac:dyDescent="0.35">
      <c r="D2002" t="s">
        <v>1460</v>
      </c>
      <c r="E2002" t="s">
        <v>592</v>
      </c>
      <c r="F2002" s="23">
        <v>18</v>
      </c>
      <c r="G2002" s="23" t="s">
        <v>1937</v>
      </c>
      <c r="H2002" s="23" t="s">
        <v>2258</v>
      </c>
      <c r="I2002" s="23">
        <v>10</v>
      </c>
      <c r="J2002" s="53">
        <v>484.07</v>
      </c>
      <c r="K2002" s="53">
        <v>567.07000000000005</v>
      </c>
      <c r="L2002" s="53">
        <v>966.39</v>
      </c>
      <c r="M2002" s="54">
        <f t="shared" si="156"/>
        <v>1.7041811416579962</v>
      </c>
      <c r="N2002" s="24">
        <v>10</v>
      </c>
      <c r="O2002" s="55">
        <v>376.53</v>
      </c>
      <c r="P2002" s="56">
        <v>392.67</v>
      </c>
      <c r="Q2002" s="56">
        <v>669.19</v>
      </c>
      <c r="R2002" s="57">
        <f t="shared" si="157"/>
        <v>1.704204548348486</v>
      </c>
      <c r="S2002" s="23">
        <v>10</v>
      </c>
      <c r="T2002" s="53">
        <v>373</v>
      </c>
      <c r="U2002" s="53">
        <v>390.32</v>
      </c>
      <c r="V2002" s="53">
        <v>665.18</v>
      </c>
      <c r="W2002" s="57">
        <f t="shared" si="158"/>
        <v>1.7041914326706291</v>
      </c>
      <c r="X2002" s="47">
        <v>106</v>
      </c>
      <c r="Y2002" s="58">
        <v>321.54000000000002</v>
      </c>
      <c r="Z2002" s="58">
        <v>330.6</v>
      </c>
      <c r="AA2002" s="58">
        <v>563.4</v>
      </c>
      <c r="AB2002" s="57">
        <f t="shared" si="159"/>
        <v>1.704174228675136</v>
      </c>
      <c r="AC2002" s="47">
        <v>112</v>
      </c>
      <c r="AD2002" s="57">
        <v>390</v>
      </c>
      <c r="AE2002" s="57">
        <v>409.35</v>
      </c>
      <c r="AF2002" s="57">
        <v>697.61</v>
      </c>
      <c r="AG2002" s="57">
        <f t="shared" si="160"/>
        <v>1.7041895688286306</v>
      </c>
      <c r="AH2002" s="47">
        <v>238</v>
      </c>
      <c r="AI2002">
        <v>321.18</v>
      </c>
      <c r="AJ2002">
        <v>325.39</v>
      </c>
      <c r="AK2002">
        <v>554.52</v>
      </c>
      <c r="AL2002" s="57">
        <f t="shared" si="135"/>
        <v>1.7041703801591936</v>
      </c>
      <c r="AM2002" s="47">
        <v>207</v>
      </c>
      <c r="AN2002" s="57">
        <v>322.14999999999998</v>
      </c>
      <c r="AO2002" s="57">
        <v>341.89</v>
      </c>
      <c r="AP2002" s="57">
        <v>582.64</v>
      </c>
      <c r="AQ2002" s="57">
        <f t="shared" si="162"/>
        <v>1.7041738570885372</v>
      </c>
      <c r="AR2002" s="59">
        <v>2933</v>
      </c>
      <c r="AS2002" s="59">
        <f>SUMIFS(HIX_RatingAreas[Silver Enrollments 2018],HIX_RatingAreas[Area],HIX_SLCSP[[#This Row],[Area Code]])</f>
        <v>74654</v>
      </c>
      <c r="AT2002" s="59">
        <f>SUMIFS(HIX_RatingAreas[Silver Enrollments 2019],HIX_RatingAreas[Area],HIX_SLCSP[[#This Row],[Area Code]])</f>
        <v>64089</v>
      </c>
      <c r="AU2002" s="59">
        <f>SUMIFS(HIX_RatingAreas[Silver Enrollments 2020],HIX_RatingAreas[Area],HIX_SLCSP[[#This Row],[Area Code]])</f>
        <v>63152</v>
      </c>
      <c r="AV2002" s="59">
        <f>SUMIFS(HIX_RatingAreas[Silver Enrollments 2021],HIX_RatingAreas[Area],HIX_SLCSP[[#This Row],[Area Code]])</f>
        <v>60789</v>
      </c>
      <c r="AW2002" s="59">
        <f>SUMIFS(HIX_RatingAreas[Silver Enrollments 2022],HIX_RatingAreas[Area],HIX_SLCSP[[#This Row],[Area Code]])</f>
        <v>89503</v>
      </c>
      <c r="AX2002" s="59">
        <f>SUMIFS(HIX_RatingAreas[Silver Enrollments 2023],HIX_RatingAreas[Area],HIX_SLCSP[[#This Row],[Area Code]])</f>
        <v>109236</v>
      </c>
      <c r="AY2002" s="59">
        <f>SUMIFS(HIX_RatingAreas[Silver Enrollments 2024],HIX_RatingAreas[Area],HIX_SLCSP[[#This Row],[Area Code]])</f>
        <v>163470</v>
      </c>
      <c r="AZ2002" s="59">
        <v>4133</v>
      </c>
      <c r="BA2002">
        <f t="shared" si="150"/>
        <v>3.1630965437066776E-3</v>
      </c>
      <c r="BB2002">
        <f>SUMIFS(HIX_RatingAreas[QHP Enrollments 2018],HIX_RatingAreas[Area],HIX_SLCSP[[#This Row],[Area Code]])</f>
        <v>105367</v>
      </c>
      <c r="BC2002">
        <f t="shared" si="151"/>
        <v>9.5761977858785916E-2</v>
      </c>
      <c r="BD2002">
        <f>SUMIFS(HIX_RatingAreas[QHP Enrollments 2019],HIX_RatingAreas[Area],HIX_SLCSP[[#This Row],[Area Code]])</f>
        <v>94018</v>
      </c>
      <c r="BE2002">
        <f t="shared" si="152"/>
        <v>8.8432513984241332E-2</v>
      </c>
      <c r="BF2002">
        <f>SUMIFS(HIX_RatingAreas[QHP Enrollments 2020],HIX_RatingAreas[Area],HIX_SLCSP[[#This Row],[Area Code]])</f>
        <v>96764</v>
      </c>
      <c r="BG2002">
        <f t="shared" si="153"/>
        <v>8.8614967581230081E-2</v>
      </c>
      <c r="BH2002">
        <f>SUMIFS(HIX_RatingAreas[QHP Enrollments 2021],HIX_RatingAreas[Area],HIX_SLCSP[[#This Row],[Area Code]])</f>
        <v>105153</v>
      </c>
      <c r="BI2002">
        <f t="shared" si="154"/>
        <v>8.3351961152673612E-2</v>
      </c>
      <c r="BJ2002">
        <f>SUMIFS(HIX_RatingAreas[QHP Enrollments 2022],HIX_RatingAreas[Area],HIX_SLCSP[[#This Row],[Area Code]])</f>
        <v>147725</v>
      </c>
      <c r="BK2002">
        <f t="shared" si="155"/>
        <v>8.2404142603652947E-2</v>
      </c>
      <c r="BL2002">
        <f>SUMIFS(HIX_RatingAreas[QHP Enrollments 2023],HIX_RatingAreas[Area],HIX_SLCSP[[#This Row],[Area Code]])</f>
        <v>195213</v>
      </c>
      <c r="BM2002">
        <f t="shared" si="155"/>
        <v>8.0974734827477649E-2</v>
      </c>
      <c r="BN2002">
        <f>SUMIFS(HIX_RatingAreas[QHP Enrollments 2024],HIX_RatingAreas[Area],HIX_SLCSP[[#This Row],[Area Code]])</f>
        <v>313666</v>
      </c>
      <c r="BO2002">
        <f t="shared" si="161"/>
        <v>9.001458698569971E-2</v>
      </c>
      <c r="BP2002" s="53">
        <f>ROUND(HIX_SLCSP[[#This Row],[Weighting Factor 2018]]*HIX_SLCSP[[#This Row],[2018]],2)</f>
        <v>54.3</v>
      </c>
      <c r="BQ2002" s="53">
        <f>ROUND(HIX_SLCSP[[#This Row],[Weighting Factor 2019]]*HIX_SLCSP[[#This Row],[2019]],2)</f>
        <v>34.72</v>
      </c>
      <c r="BR2002" s="53">
        <f>ROUND(HIX_SLCSP[[#This Row],[Weighting Factor 2020]]*HIX_SLCSP[[#This Row],[2020]],2)</f>
        <v>34.590000000000003</v>
      </c>
      <c r="BS2002" s="53">
        <f>ROUND(HIX_SLCSP[[#This Row],[Weighting Factor 2021]]*HIX_SLCSP[[#This Row],[2021]],2)</f>
        <v>27.56</v>
      </c>
      <c r="BT2002" s="53">
        <f>ROUND(HIX_SLCSP[[#This Row],[Weighting Factor 2022]]*HIX_SLCSP[[#This Row],[2022]],2)</f>
        <v>33.729999999999997</v>
      </c>
      <c r="BU2002" s="53">
        <f>ROUND(HIX_SLCSP[[#This Row],[Weighting Factor 2023]]*HIX_SLCSP[[#This Row],[2023]],2)</f>
        <v>26.35</v>
      </c>
      <c r="BV2002" s="53">
        <f>ROUND(HIX_SLCSP[[#This Row],[Weighting Factor 2024]]*HIX_SLCSP[[#This Row],[2024]],2)</f>
        <v>30.78</v>
      </c>
    </row>
    <row r="2003" spans="4:74" x14ac:dyDescent="0.35">
      <c r="D2003" t="s">
        <v>1460</v>
      </c>
      <c r="E2003" t="s">
        <v>595</v>
      </c>
      <c r="F2003" s="23">
        <v>19</v>
      </c>
      <c r="G2003" s="23" t="s">
        <v>1937</v>
      </c>
      <c r="H2003" s="23" t="s">
        <v>2301</v>
      </c>
      <c r="I2003" s="23">
        <v>171</v>
      </c>
      <c r="J2003" s="53">
        <v>255.59</v>
      </c>
      <c r="K2003" s="53">
        <v>305.02</v>
      </c>
      <c r="L2003" s="53">
        <v>519.80999999999995</v>
      </c>
      <c r="M2003" s="54">
        <f t="shared" si="156"/>
        <v>1.7041833322405087</v>
      </c>
      <c r="N2003" s="24">
        <v>86</v>
      </c>
      <c r="O2003" s="55">
        <v>276.17</v>
      </c>
      <c r="P2003" s="56">
        <v>322.49</v>
      </c>
      <c r="Q2003" s="56">
        <v>549.59</v>
      </c>
      <c r="R2003" s="57">
        <f t="shared" si="157"/>
        <v>1.7042078824149587</v>
      </c>
      <c r="S2003" s="23">
        <v>171</v>
      </c>
      <c r="T2003" s="53">
        <v>283.14</v>
      </c>
      <c r="U2003" s="53">
        <v>324.73</v>
      </c>
      <c r="V2003" s="53">
        <v>553.41</v>
      </c>
      <c r="W2003" s="57">
        <f t="shared" si="158"/>
        <v>1.7042158100575862</v>
      </c>
      <c r="X2003" s="47">
        <v>253</v>
      </c>
      <c r="Y2003" s="58">
        <v>267.06</v>
      </c>
      <c r="Z2003" s="58">
        <v>274.58</v>
      </c>
      <c r="AA2003" s="58">
        <v>467.95</v>
      </c>
      <c r="AB2003" s="57">
        <f t="shared" si="159"/>
        <v>1.7042392016898535</v>
      </c>
      <c r="AC2003" s="47">
        <v>266</v>
      </c>
      <c r="AD2003" s="57">
        <v>307.66000000000003</v>
      </c>
      <c r="AE2003" s="57">
        <v>310.98</v>
      </c>
      <c r="AF2003" s="57">
        <v>529.97</v>
      </c>
      <c r="AG2003" s="57">
        <f t="shared" si="160"/>
        <v>1.7041931957039038</v>
      </c>
      <c r="AH2003" s="47">
        <v>98</v>
      </c>
      <c r="AI2003">
        <v>336.2</v>
      </c>
      <c r="AJ2003">
        <v>341.98</v>
      </c>
      <c r="AK2003">
        <v>582.79999999999995</v>
      </c>
      <c r="AL2003" s="57">
        <f t="shared" si="135"/>
        <v>1.7041932276741327</v>
      </c>
      <c r="AM2003" s="47">
        <v>110</v>
      </c>
      <c r="AN2003" s="57">
        <v>378.68</v>
      </c>
      <c r="AO2003" s="57">
        <v>379</v>
      </c>
      <c r="AP2003" s="57">
        <v>645.89</v>
      </c>
      <c r="AQ2003" s="57">
        <f t="shared" si="162"/>
        <v>1.7041952506596305</v>
      </c>
      <c r="AR2003" s="59">
        <v>82020</v>
      </c>
      <c r="AS2003" s="59">
        <f>SUMIFS(HIX_RatingAreas[Silver Enrollments 2018],HIX_RatingAreas[Area],HIX_SLCSP[[#This Row],[Area Code]])</f>
        <v>3427</v>
      </c>
      <c r="AT2003" s="59">
        <f>SUMIFS(HIX_RatingAreas[Silver Enrollments 2019],HIX_RatingAreas[Area],HIX_SLCSP[[#This Row],[Area Code]])</f>
        <v>3394</v>
      </c>
      <c r="AU2003" s="59">
        <f>SUMIFS(HIX_RatingAreas[Silver Enrollments 2020],HIX_RatingAreas[Area],HIX_SLCSP[[#This Row],[Area Code]])</f>
        <v>3946</v>
      </c>
      <c r="AV2003" s="59">
        <f>SUMIFS(HIX_RatingAreas[Silver Enrollments 2021],HIX_RatingAreas[Area],HIX_SLCSP[[#This Row],[Area Code]])</f>
        <v>3322</v>
      </c>
      <c r="AW2003" s="59">
        <f>SUMIFS(HIX_RatingAreas[Silver Enrollments 2022],HIX_RatingAreas[Area],HIX_SLCSP[[#This Row],[Area Code]])</f>
        <v>5043</v>
      </c>
      <c r="AX2003" s="59">
        <f>SUMIFS(HIX_RatingAreas[Silver Enrollments 2023],HIX_RatingAreas[Area],HIX_SLCSP[[#This Row],[Area Code]])</f>
        <v>6050</v>
      </c>
      <c r="AY2003" s="59">
        <f>SUMIFS(HIX_RatingAreas[Silver Enrollments 2024],HIX_RatingAreas[Area],HIX_SLCSP[[#This Row],[Area Code]])</f>
        <v>7344</v>
      </c>
      <c r="AZ2003" s="59">
        <v>111787</v>
      </c>
      <c r="BA2003">
        <f t="shared" si="150"/>
        <v>8.5553610774579819E-2</v>
      </c>
      <c r="BB2003">
        <f>SUMIFS(HIX_RatingAreas[QHP Enrollments 2018],HIX_RatingAreas[Area],HIX_SLCSP[[#This Row],[Area Code]])</f>
        <v>6120</v>
      </c>
      <c r="BC2003">
        <f t="shared" si="151"/>
        <v>5.5621143668868793E-3</v>
      </c>
      <c r="BD2003">
        <f>SUMIFS(HIX_RatingAreas[QHP Enrollments 2019],HIX_RatingAreas[Area],HIX_SLCSP[[#This Row],[Area Code]])</f>
        <v>6552</v>
      </c>
      <c r="BE2003">
        <f t="shared" si="152"/>
        <v>6.1627542771038445E-3</v>
      </c>
      <c r="BF2003">
        <f>SUMIFS(HIX_RatingAreas[QHP Enrollments 2020],HIX_RatingAreas[Area],HIX_SLCSP[[#This Row],[Area Code]])</f>
        <v>7029</v>
      </c>
      <c r="BG2003">
        <f t="shared" si="153"/>
        <v>6.4370489761529726E-3</v>
      </c>
      <c r="BH2003">
        <f>SUMIFS(HIX_RatingAreas[QHP Enrollments 2021],HIX_RatingAreas[Area],HIX_SLCSP[[#This Row],[Area Code]])</f>
        <v>7418</v>
      </c>
      <c r="BI2003">
        <f t="shared" si="154"/>
        <v>5.8800495262192505E-3</v>
      </c>
      <c r="BJ2003">
        <f>SUMIFS(HIX_RatingAreas[QHP Enrollments 2022],HIX_RatingAreas[Area],HIX_SLCSP[[#This Row],[Area Code]])</f>
        <v>10093</v>
      </c>
      <c r="BK2003">
        <f t="shared" si="155"/>
        <v>5.6300897701720715E-3</v>
      </c>
      <c r="BL2003">
        <f>SUMIFS(HIX_RatingAreas[QHP Enrollments 2023],HIX_RatingAreas[Area],HIX_SLCSP[[#This Row],[Area Code]])</f>
        <v>13400</v>
      </c>
      <c r="BM2003">
        <f t="shared" si="155"/>
        <v>5.5583462509576744E-3</v>
      </c>
      <c r="BN2003">
        <f>SUMIFS(HIX_RatingAreas[QHP Enrollments 2024],HIX_RatingAreas[Area],HIX_SLCSP[[#This Row],[Area Code]])</f>
        <v>20963</v>
      </c>
      <c r="BO2003">
        <f t="shared" si="161"/>
        <v>6.0158760815046033E-3</v>
      </c>
      <c r="BP2003" s="53">
        <f>ROUND(HIX_SLCSP[[#This Row],[Weighting Factor 2018]]*HIX_SLCSP[[#This Row],[2018]],2)</f>
        <v>1.7</v>
      </c>
      <c r="BQ2003" s="53">
        <f>ROUND(HIX_SLCSP[[#This Row],[Weighting Factor 2019]]*HIX_SLCSP[[#This Row],[2019]],2)</f>
        <v>1.99</v>
      </c>
      <c r="BR2003" s="53">
        <f>ROUND(HIX_SLCSP[[#This Row],[Weighting Factor 2020]]*HIX_SLCSP[[#This Row],[2020]],2)</f>
        <v>2.09</v>
      </c>
      <c r="BS2003" s="53">
        <f>ROUND(HIX_SLCSP[[#This Row],[Weighting Factor 2021]]*HIX_SLCSP[[#This Row],[2021]],2)</f>
        <v>1.61</v>
      </c>
      <c r="BT2003" s="53">
        <f>ROUND(HIX_SLCSP[[#This Row],[Weighting Factor 2022]]*HIX_SLCSP[[#This Row],[2022]],2)</f>
        <v>1.75</v>
      </c>
      <c r="BU2003" s="53">
        <f>ROUND(HIX_SLCSP[[#This Row],[Weighting Factor 2023]]*HIX_SLCSP[[#This Row],[2023]],2)</f>
        <v>1.9</v>
      </c>
      <c r="BV2003" s="53">
        <f>ROUND(HIX_SLCSP[[#This Row],[Weighting Factor 2024]]*HIX_SLCSP[[#This Row],[2024]],2)</f>
        <v>2.2799999999999998</v>
      </c>
    </row>
    <row r="2004" spans="4:74" x14ac:dyDescent="0.35">
      <c r="D2004" t="s">
        <v>1460</v>
      </c>
      <c r="E2004" t="s">
        <v>599</v>
      </c>
      <c r="F2004" s="23">
        <v>20</v>
      </c>
      <c r="G2004" s="23" t="s">
        <v>1937</v>
      </c>
      <c r="H2004" s="23" t="s">
        <v>2308</v>
      </c>
      <c r="I2004" s="23">
        <v>10</v>
      </c>
      <c r="J2004" s="53">
        <v>452</v>
      </c>
      <c r="K2004" s="53">
        <v>529.51</v>
      </c>
      <c r="L2004" s="53">
        <v>902.38</v>
      </c>
      <c r="M2004" s="54">
        <f t="shared" si="156"/>
        <v>1.7041793356121697</v>
      </c>
      <c r="N2004" s="24">
        <v>10</v>
      </c>
      <c r="O2004" s="55">
        <v>370.47</v>
      </c>
      <c r="P2004" s="56">
        <v>387.37</v>
      </c>
      <c r="Q2004" s="56">
        <v>660.16</v>
      </c>
      <c r="R2004" s="57">
        <f t="shared" si="157"/>
        <v>1.7042104447943824</v>
      </c>
      <c r="S2004" s="23">
        <v>10</v>
      </c>
      <c r="T2004" s="53">
        <v>368.27</v>
      </c>
      <c r="U2004" s="53">
        <v>385.39</v>
      </c>
      <c r="V2004" s="53">
        <v>656.79</v>
      </c>
      <c r="W2004" s="57">
        <f t="shared" si="158"/>
        <v>1.7042216975012325</v>
      </c>
      <c r="X2004" s="47">
        <v>106</v>
      </c>
      <c r="Y2004" s="58">
        <v>317.75</v>
      </c>
      <c r="Z2004" s="58">
        <v>326.7</v>
      </c>
      <c r="AA2004" s="58">
        <v>556.76</v>
      </c>
      <c r="AB2004" s="57">
        <f t="shared" si="159"/>
        <v>1.7041934496479951</v>
      </c>
      <c r="AC2004" s="47">
        <v>119</v>
      </c>
      <c r="AD2004" s="57">
        <v>358.66</v>
      </c>
      <c r="AE2004" s="57">
        <v>376.46</v>
      </c>
      <c r="AF2004" s="57">
        <v>641.54999999999995</v>
      </c>
      <c r="AG2004" s="57">
        <f t="shared" si="160"/>
        <v>1.7041651171439196</v>
      </c>
      <c r="AH2004" s="47">
        <v>86</v>
      </c>
      <c r="AI2004">
        <v>349.82</v>
      </c>
      <c r="AJ2004">
        <v>355.83</v>
      </c>
      <c r="AK2004">
        <v>606.41</v>
      </c>
      <c r="AL2004" s="57">
        <f t="shared" si="135"/>
        <v>1.7042126858331226</v>
      </c>
      <c r="AM2004" s="47">
        <v>106</v>
      </c>
      <c r="AN2004" s="57">
        <v>344.71</v>
      </c>
      <c r="AO2004" s="57">
        <v>353.31</v>
      </c>
      <c r="AP2004" s="57">
        <v>602.12</v>
      </c>
      <c r="AQ2004" s="57">
        <f t="shared" si="162"/>
        <v>1.7042257507571255</v>
      </c>
      <c r="AR2004" s="59">
        <v>2910</v>
      </c>
      <c r="AS2004" s="59">
        <f>SUMIFS(HIX_RatingAreas[Silver Enrollments 2018],HIX_RatingAreas[Area],HIX_SLCSP[[#This Row],[Area Code]])</f>
        <v>5307</v>
      </c>
      <c r="AT2004" s="59">
        <f>SUMIFS(HIX_RatingAreas[Silver Enrollments 2019],HIX_RatingAreas[Area],HIX_SLCSP[[#This Row],[Area Code]])</f>
        <v>4272</v>
      </c>
      <c r="AU2004" s="59">
        <f>SUMIFS(HIX_RatingAreas[Silver Enrollments 2020],HIX_RatingAreas[Area],HIX_SLCSP[[#This Row],[Area Code]])</f>
        <v>5223</v>
      </c>
      <c r="AV2004" s="59">
        <f>SUMIFS(HIX_RatingAreas[Silver Enrollments 2021],HIX_RatingAreas[Area],HIX_SLCSP[[#This Row],[Area Code]])</f>
        <v>4643</v>
      </c>
      <c r="AW2004" s="59">
        <f>SUMIFS(HIX_RatingAreas[Silver Enrollments 2022],HIX_RatingAreas[Area],HIX_SLCSP[[#This Row],[Area Code]])</f>
        <v>7745</v>
      </c>
      <c r="AX2004" s="59">
        <f>SUMIFS(HIX_RatingAreas[Silver Enrollments 2023],HIX_RatingAreas[Area],HIX_SLCSP[[#This Row],[Area Code]])</f>
        <v>8565</v>
      </c>
      <c r="AY2004" s="59">
        <f>SUMIFS(HIX_RatingAreas[Silver Enrollments 2024],HIX_RatingAreas[Area],HIX_SLCSP[[#This Row],[Area Code]])</f>
        <v>10536</v>
      </c>
      <c r="AZ2004" s="59">
        <v>4366</v>
      </c>
      <c r="BA2004">
        <f t="shared" si="150"/>
        <v>3.3414177376780438E-3</v>
      </c>
      <c r="BB2004">
        <f>SUMIFS(HIX_RatingAreas[QHP Enrollments 2018],HIX_RatingAreas[Area],HIX_SLCSP[[#This Row],[Area Code]])</f>
        <v>9031</v>
      </c>
      <c r="BC2004">
        <f t="shared" si="151"/>
        <v>8.2077540600253938E-3</v>
      </c>
      <c r="BD2004">
        <f>SUMIFS(HIX_RatingAreas[QHP Enrollments 2019],HIX_RatingAreas[Area],HIX_SLCSP[[#This Row],[Area Code]])</f>
        <v>8254</v>
      </c>
      <c r="BE2004">
        <f t="shared" si="152"/>
        <v>7.7636406903563993E-3</v>
      </c>
      <c r="BF2004">
        <f>SUMIFS(HIX_RatingAreas[QHP Enrollments 2020],HIX_RatingAreas[Area],HIX_SLCSP[[#This Row],[Area Code]])</f>
        <v>9529</v>
      </c>
      <c r="BG2004">
        <f t="shared" si="153"/>
        <v>8.7265101285761391E-3</v>
      </c>
      <c r="BH2004">
        <f>SUMIFS(HIX_RatingAreas[QHP Enrollments 2021],HIX_RatingAreas[Area],HIX_SLCSP[[#This Row],[Area Code]])</f>
        <v>9205</v>
      </c>
      <c r="BI2004">
        <f t="shared" si="154"/>
        <v>7.2965564692434887E-3</v>
      </c>
      <c r="BJ2004">
        <f>SUMIFS(HIX_RatingAreas[QHP Enrollments 2022],HIX_RatingAreas[Area],HIX_SLCSP[[#This Row],[Area Code]])</f>
        <v>12837</v>
      </c>
      <c r="BK2004">
        <f t="shared" si="155"/>
        <v>7.1607512513324955E-3</v>
      </c>
      <c r="BL2004">
        <f>SUMIFS(HIX_RatingAreas[QHP Enrollments 2023],HIX_RatingAreas[Area],HIX_SLCSP[[#This Row],[Area Code]])</f>
        <v>17987</v>
      </c>
      <c r="BM2004">
        <f t="shared" si="155"/>
        <v>7.4610428370131109E-3</v>
      </c>
      <c r="BN2004">
        <f>SUMIFS(HIX_RatingAreas[QHP Enrollments 2024],HIX_RatingAreas[Area],HIX_SLCSP[[#This Row],[Area Code]])</f>
        <v>27822</v>
      </c>
      <c r="BO2004">
        <f t="shared" si="161"/>
        <v>7.9842438744273762E-3</v>
      </c>
      <c r="BP2004" s="53">
        <f>ROUND(HIX_SLCSP[[#This Row],[Weighting Factor 2018]]*HIX_SLCSP[[#This Row],[2018]],2)</f>
        <v>4.3499999999999996</v>
      </c>
      <c r="BQ2004" s="53">
        <f>ROUND(HIX_SLCSP[[#This Row],[Weighting Factor 2019]]*HIX_SLCSP[[#This Row],[2019]],2)</f>
        <v>3.01</v>
      </c>
      <c r="BR2004" s="53">
        <f>ROUND(HIX_SLCSP[[#This Row],[Weighting Factor 2020]]*HIX_SLCSP[[#This Row],[2020]],2)</f>
        <v>3.36</v>
      </c>
      <c r="BS2004" s="53">
        <f>ROUND(HIX_SLCSP[[#This Row],[Weighting Factor 2021]]*HIX_SLCSP[[#This Row],[2021]],2)</f>
        <v>2.38</v>
      </c>
      <c r="BT2004" s="53">
        <f>ROUND(HIX_SLCSP[[#This Row],[Weighting Factor 2022]]*HIX_SLCSP[[#This Row],[2022]],2)</f>
        <v>2.7</v>
      </c>
      <c r="BU2004" s="53">
        <f>ROUND(HIX_SLCSP[[#This Row],[Weighting Factor 2023]]*HIX_SLCSP[[#This Row],[2023]],2)</f>
        <v>2.65</v>
      </c>
      <c r="BV2004" s="53">
        <f>ROUND(HIX_SLCSP[[#This Row],[Weighting Factor 2024]]*HIX_SLCSP[[#This Row],[2024]],2)</f>
        <v>2.82</v>
      </c>
    </row>
    <row r="2005" spans="4:74" x14ac:dyDescent="0.35">
      <c r="D2005" t="s">
        <v>1460</v>
      </c>
      <c r="E2005" t="s">
        <v>603</v>
      </c>
      <c r="F2005" s="23">
        <v>21</v>
      </c>
      <c r="G2005" s="23" t="s">
        <v>1937</v>
      </c>
      <c r="H2005" s="23" t="s">
        <v>2328</v>
      </c>
      <c r="I2005" s="23">
        <v>18</v>
      </c>
      <c r="J2005" s="53">
        <v>374.84</v>
      </c>
      <c r="K2005" s="53">
        <v>421.12</v>
      </c>
      <c r="L2005" s="53">
        <v>717.68</v>
      </c>
      <c r="M2005" s="54">
        <f t="shared" si="156"/>
        <v>1.7042173252279633</v>
      </c>
      <c r="N2005" s="24">
        <v>18</v>
      </c>
      <c r="O2005" s="55">
        <v>344.8</v>
      </c>
      <c r="P2005" s="56">
        <v>361</v>
      </c>
      <c r="Q2005" s="56">
        <v>615.22</v>
      </c>
      <c r="R2005" s="57">
        <f t="shared" si="157"/>
        <v>1.7042105263157896</v>
      </c>
      <c r="S2005" s="23">
        <v>18</v>
      </c>
      <c r="T2005" s="53">
        <v>359.44</v>
      </c>
      <c r="U2005" s="53">
        <v>378.38</v>
      </c>
      <c r="V2005" s="53">
        <v>644.83000000000004</v>
      </c>
      <c r="W2005" s="57">
        <f t="shared" si="158"/>
        <v>1.7041862677731383</v>
      </c>
      <c r="X2005" s="47">
        <v>22</v>
      </c>
      <c r="Y2005" s="58">
        <v>391.6</v>
      </c>
      <c r="Z2005" s="58">
        <v>415.16</v>
      </c>
      <c r="AA2005" s="58">
        <v>707.52</v>
      </c>
      <c r="AB2005" s="57">
        <f t="shared" si="159"/>
        <v>1.7042104248964254</v>
      </c>
      <c r="AC2005" s="47">
        <v>31</v>
      </c>
      <c r="AD2005" s="57">
        <v>397.78</v>
      </c>
      <c r="AE2005" s="57">
        <v>397.78</v>
      </c>
      <c r="AF2005" s="57">
        <v>677.9</v>
      </c>
      <c r="AG2005" s="57">
        <f t="shared" si="160"/>
        <v>1.7042083563778974</v>
      </c>
      <c r="AH2005" s="47">
        <v>86</v>
      </c>
      <c r="AI2005">
        <v>324.17</v>
      </c>
      <c r="AJ2005">
        <v>329.74</v>
      </c>
      <c r="AK2005">
        <v>561.94000000000005</v>
      </c>
      <c r="AL2005" s="57">
        <f t="shared" si="135"/>
        <v>1.7041911809304302</v>
      </c>
      <c r="AM2005" s="47">
        <v>81</v>
      </c>
      <c r="AN2005" s="57">
        <v>330.25</v>
      </c>
      <c r="AO2005" s="57">
        <v>337.43</v>
      </c>
      <c r="AP2005" s="57">
        <v>575.04</v>
      </c>
      <c r="AQ2005" s="57">
        <f t="shared" si="162"/>
        <v>1.7041756808819606</v>
      </c>
      <c r="AR2005" s="59">
        <v>1852</v>
      </c>
      <c r="AS2005" s="59">
        <f>SUMIFS(HIX_RatingAreas[Silver Enrollments 2018],HIX_RatingAreas[Area],HIX_SLCSP[[#This Row],[Area Code]])</f>
        <v>10919</v>
      </c>
      <c r="AT2005" s="59">
        <f>SUMIFS(HIX_RatingAreas[Silver Enrollments 2019],HIX_RatingAreas[Area],HIX_SLCSP[[#This Row],[Area Code]])</f>
        <v>9709</v>
      </c>
      <c r="AU2005" s="59">
        <f>SUMIFS(HIX_RatingAreas[Silver Enrollments 2020],HIX_RatingAreas[Area],HIX_SLCSP[[#This Row],[Area Code]])</f>
        <v>9768</v>
      </c>
      <c r="AV2005" s="59">
        <f>SUMIFS(HIX_RatingAreas[Silver Enrollments 2021],HIX_RatingAreas[Area],HIX_SLCSP[[#This Row],[Area Code]])</f>
        <v>10621</v>
      </c>
      <c r="AW2005" s="59">
        <f>SUMIFS(HIX_RatingAreas[Silver Enrollments 2022],HIX_RatingAreas[Area],HIX_SLCSP[[#This Row],[Area Code]])</f>
        <v>17363</v>
      </c>
      <c r="AX2005" s="59">
        <f>SUMIFS(HIX_RatingAreas[Silver Enrollments 2023],HIX_RatingAreas[Area],HIX_SLCSP[[#This Row],[Area Code]])</f>
        <v>22536</v>
      </c>
      <c r="AY2005" s="59">
        <f>SUMIFS(HIX_RatingAreas[Silver Enrollments 2024],HIX_RatingAreas[Area],HIX_SLCSP[[#This Row],[Area Code]])</f>
        <v>24966</v>
      </c>
      <c r="AZ2005" s="59">
        <v>2834</v>
      </c>
      <c r="BA2005">
        <f t="shared" si="150"/>
        <v>2.1689367541409929E-3</v>
      </c>
      <c r="BB2005">
        <f>SUMIFS(HIX_RatingAreas[QHP Enrollments 2018],HIX_RatingAreas[Area],HIX_SLCSP[[#This Row],[Area Code]])</f>
        <v>20171</v>
      </c>
      <c r="BC2005">
        <f t="shared" si="151"/>
        <v>1.8332256355306411E-2</v>
      </c>
      <c r="BD2005">
        <f>SUMIFS(HIX_RatingAreas[QHP Enrollments 2019],HIX_RatingAreas[Area],HIX_SLCSP[[#This Row],[Area Code]])</f>
        <v>19988</v>
      </c>
      <c r="BE2005">
        <f t="shared" si="152"/>
        <v>1.8800539146940114E-2</v>
      </c>
      <c r="BF2005">
        <f>SUMIFS(HIX_RatingAreas[QHP Enrollments 2020],HIX_RatingAreas[Area],HIX_SLCSP[[#This Row],[Area Code]])</f>
        <v>19788</v>
      </c>
      <c r="BG2005">
        <f t="shared" si="153"/>
        <v>1.812154291365984E-2</v>
      </c>
      <c r="BH2005">
        <f>SUMIFS(HIX_RatingAreas[QHP Enrollments 2021],HIX_RatingAreas[Area],HIX_SLCSP[[#This Row],[Area Code]])</f>
        <v>21218</v>
      </c>
      <c r="BI2005">
        <f t="shared" si="154"/>
        <v>1.6818939181358863E-2</v>
      </c>
      <c r="BJ2005">
        <f>SUMIFS(HIX_RatingAreas[QHP Enrollments 2022],HIX_RatingAreas[Area],HIX_SLCSP[[#This Row],[Area Code]])</f>
        <v>29760</v>
      </c>
      <c r="BK2005">
        <f t="shared" si="155"/>
        <v>1.6600760087220928E-2</v>
      </c>
      <c r="BL2005">
        <f>SUMIFS(HIX_RatingAreas[QHP Enrollments 2023],HIX_RatingAreas[Area],HIX_SLCSP[[#This Row],[Area Code]])</f>
        <v>41041</v>
      </c>
      <c r="BM2005">
        <f t="shared" si="155"/>
        <v>1.7023887200414471E-2</v>
      </c>
      <c r="BN2005">
        <f>SUMIFS(HIX_RatingAreas[QHP Enrollments 2024],HIX_RatingAreas[Area],HIX_SLCSP[[#This Row],[Area Code]])</f>
        <v>59264</v>
      </c>
      <c r="BO2005">
        <f t="shared" si="161"/>
        <v>1.700734055689972E-2</v>
      </c>
      <c r="BP2005" s="53">
        <f>ROUND(HIX_SLCSP[[#This Row],[Weighting Factor 2018]]*HIX_SLCSP[[#This Row],[2018]],2)</f>
        <v>7.72</v>
      </c>
      <c r="BQ2005" s="53">
        <f>ROUND(HIX_SLCSP[[#This Row],[Weighting Factor 2019]]*HIX_SLCSP[[#This Row],[2019]],2)</f>
        <v>6.79</v>
      </c>
      <c r="BR2005" s="53">
        <f>ROUND(HIX_SLCSP[[#This Row],[Weighting Factor 2020]]*HIX_SLCSP[[#This Row],[2020]],2)</f>
        <v>6.86</v>
      </c>
      <c r="BS2005" s="53">
        <f>ROUND(HIX_SLCSP[[#This Row],[Weighting Factor 2021]]*HIX_SLCSP[[#This Row],[2021]],2)</f>
        <v>6.98</v>
      </c>
      <c r="BT2005" s="53">
        <f>ROUND(HIX_SLCSP[[#This Row],[Weighting Factor 2022]]*HIX_SLCSP[[#This Row],[2022]],2)</f>
        <v>6.6</v>
      </c>
      <c r="BU2005" s="53">
        <f>ROUND(HIX_SLCSP[[#This Row],[Weighting Factor 2023]]*HIX_SLCSP[[#This Row],[2023]],2)</f>
        <v>5.61</v>
      </c>
      <c r="BV2005" s="53">
        <f>ROUND(HIX_SLCSP[[#This Row],[Weighting Factor 2024]]*HIX_SLCSP[[#This Row],[2024]],2)</f>
        <v>5.74</v>
      </c>
    </row>
    <row r="2006" spans="4:74" x14ac:dyDescent="0.35">
      <c r="D2006" t="s">
        <v>1460</v>
      </c>
      <c r="E2006" t="s">
        <v>607</v>
      </c>
      <c r="F2006" s="23">
        <v>22</v>
      </c>
      <c r="G2006" s="23" t="s">
        <v>1937</v>
      </c>
      <c r="H2006" s="23" t="s">
        <v>2340</v>
      </c>
      <c r="I2006" s="23">
        <v>18</v>
      </c>
      <c r="J2006" s="53">
        <v>427.62</v>
      </c>
      <c r="K2006" s="53">
        <v>456.8</v>
      </c>
      <c r="L2006" s="53">
        <v>778.48</v>
      </c>
      <c r="M2006" s="54">
        <f t="shared" si="156"/>
        <v>1.7042031523642731</v>
      </c>
      <c r="N2006" s="24">
        <v>18</v>
      </c>
      <c r="O2006" s="55">
        <v>336.59</v>
      </c>
      <c r="P2006" s="56">
        <v>358.5</v>
      </c>
      <c r="Q2006" s="56">
        <v>610.95000000000005</v>
      </c>
      <c r="R2006" s="57">
        <f t="shared" si="157"/>
        <v>1.7041841004184102</v>
      </c>
      <c r="S2006" s="23">
        <v>18</v>
      </c>
      <c r="T2006" s="53">
        <v>321.32</v>
      </c>
      <c r="U2006" s="53">
        <v>348.71</v>
      </c>
      <c r="V2006" s="53">
        <v>594.28</v>
      </c>
      <c r="W2006" s="57">
        <f t="shared" si="158"/>
        <v>1.7042241404032004</v>
      </c>
      <c r="X2006" s="47">
        <v>122</v>
      </c>
      <c r="Y2006" s="58">
        <v>273.81</v>
      </c>
      <c r="Z2006" s="58">
        <v>281.52999999999997</v>
      </c>
      <c r="AA2006" s="58">
        <v>479.78</v>
      </c>
      <c r="AB2006" s="57">
        <f t="shared" si="159"/>
        <v>1.7041878307817995</v>
      </c>
      <c r="AC2006" s="47">
        <v>124</v>
      </c>
      <c r="AD2006" s="57">
        <v>331.91</v>
      </c>
      <c r="AE2006" s="57">
        <v>348.38</v>
      </c>
      <c r="AF2006" s="57">
        <v>593.71</v>
      </c>
      <c r="AG2006" s="57">
        <f t="shared" si="160"/>
        <v>1.7042023078247892</v>
      </c>
      <c r="AH2006" s="47">
        <v>86</v>
      </c>
      <c r="AI2006">
        <v>346.05</v>
      </c>
      <c r="AJ2006">
        <v>352</v>
      </c>
      <c r="AK2006">
        <v>599.88</v>
      </c>
      <c r="AL2006" s="57">
        <f t="shared" si="135"/>
        <v>1.7042045454545454</v>
      </c>
      <c r="AM2006" s="47">
        <v>106</v>
      </c>
      <c r="AN2006" s="57">
        <v>365.24</v>
      </c>
      <c r="AO2006" s="57">
        <v>366.59</v>
      </c>
      <c r="AP2006" s="57">
        <v>624.74</v>
      </c>
      <c r="AQ2006" s="57">
        <f t="shared" si="162"/>
        <v>1.7041926948361932</v>
      </c>
      <c r="AR2006" s="59">
        <v>6261</v>
      </c>
      <c r="AS2006" s="59">
        <f>SUMIFS(HIX_RatingAreas[Silver Enrollments 2018],HIX_RatingAreas[Area],HIX_SLCSP[[#This Row],[Area Code]])</f>
        <v>3157</v>
      </c>
      <c r="AT2006" s="59">
        <f>SUMIFS(HIX_RatingAreas[Silver Enrollments 2019],HIX_RatingAreas[Area],HIX_SLCSP[[#This Row],[Area Code]])</f>
        <v>2922</v>
      </c>
      <c r="AU2006" s="59">
        <f>SUMIFS(HIX_RatingAreas[Silver Enrollments 2020],HIX_RatingAreas[Area],HIX_SLCSP[[#This Row],[Area Code]])</f>
        <v>3200</v>
      </c>
      <c r="AV2006" s="59">
        <f>SUMIFS(HIX_RatingAreas[Silver Enrollments 2021],HIX_RatingAreas[Area],HIX_SLCSP[[#This Row],[Area Code]])</f>
        <v>3214</v>
      </c>
      <c r="AW2006" s="59">
        <f>SUMIFS(HIX_RatingAreas[Silver Enrollments 2022],HIX_RatingAreas[Area],HIX_SLCSP[[#This Row],[Area Code]])</f>
        <v>4827</v>
      </c>
      <c r="AX2006" s="59">
        <f>SUMIFS(HIX_RatingAreas[Silver Enrollments 2023],HIX_RatingAreas[Area],HIX_SLCSP[[#This Row],[Area Code]])</f>
        <v>6353</v>
      </c>
      <c r="AY2006" s="59">
        <f>SUMIFS(HIX_RatingAreas[Silver Enrollments 2024],HIX_RatingAreas[Area],HIX_SLCSP[[#This Row],[Area Code]])</f>
        <v>7320</v>
      </c>
      <c r="AZ2006" s="59">
        <v>9261</v>
      </c>
      <c r="BA2006">
        <f t="shared" si="150"/>
        <v>7.0876934651022362E-3</v>
      </c>
      <c r="BB2006">
        <f>SUMIFS(HIX_RatingAreas[QHP Enrollments 2018],HIX_RatingAreas[Area],HIX_SLCSP[[#This Row],[Area Code]])</f>
        <v>5576</v>
      </c>
      <c r="BC2006">
        <f t="shared" si="151"/>
        <v>5.0677042009413791E-3</v>
      </c>
      <c r="BD2006">
        <f>SUMIFS(HIX_RatingAreas[QHP Enrollments 2019],HIX_RatingAreas[Area],HIX_SLCSP[[#This Row],[Area Code]])</f>
        <v>5629</v>
      </c>
      <c r="BE2006">
        <f t="shared" si="152"/>
        <v>5.2945884960038979E-3</v>
      </c>
      <c r="BF2006">
        <f>SUMIFS(HIX_RatingAreas[QHP Enrollments 2020],HIX_RatingAreas[Area],HIX_SLCSP[[#This Row],[Area Code]])</f>
        <v>5756</v>
      </c>
      <c r="BG2006">
        <f t="shared" si="153"/>
        <v>5.2712553573390965E-3</v>
      </c>
      <c r="BH2006">
        <f>SUMIFS(HIX_RatingAreas[QHP Enrollments 2021],HIX_RatingAreas[Area],HIX_SLCSP[[#This Row],[Area Code]])</f>
        <v>6247</v>
      </c>
      <c r="BI2006">
        <f t="shared" si="154"/>
        <v>4.9518292518592145E-3</v>
      </c>
      <c r="BJ2006">
        <f>SUMIFS(HIX_RatingAreas[QHP Enrollments 2022],HIX_RatingAreas[Area],HIX_SLCSP[[#This Row],[Area Code]])</f>
        <v>8364</v>
      </c>
      <c r="BK2006">
        <f t="shared" si="155"/>
        <v>4.6656168470939462E-3</v>
      </c>
      <c r="BL2006">
        <f>SUMIFS(HIX_RatingAreas[QHP Enrollments 2023],HIX_RatingAreas[Area],HIX_SLCSP[[#This Row],[Area Code]])</f>
        <v>11789</v>
      </c>
      <c r="BM2006">
        <f t="shared" si="155"/>
        <v>4.8901002949656731E-3</v>
      </c>
      <c r="BN2006">
        <f>SUMIFS(HIX_RatingAreas[QHP Enrollments 2024],HIX_RatingAreas[Area],HIX_SLCSP[[#This Row],[Area Code]])</f>
        <v>18660</v>
      </c>
      <c r="BO2006">
        <f t="shared" si="161"/>
        <v>5.3549705519666032E-3</v>
      </c>
      <c r="BP2006" s="53">
        <f>ROUND(HIX_SLCSP[[#This Row],[Weighting Factor 2018]]*HIX_SLCSP[[#This Row],[2018]],2)</f>
        <v>2.31</v>
      </c>
      <c r="BQ2006" s="53">
        <f>ROUND(HIX_SLCSP[[#This Row],[Weighting Factor 2019]]*HIX_SLCSP[[#This Row],[2019]],2)</f>
        <v>1.9</v>
      </c>
      <c r="BR2006" s="53">
        <f>ROUND(HIX_SLCSP[[#This Row],[Weighting Factor 2020]]*HIX_SLCSP[[#This Row],[2020]],2)</f>
        <v>1.84</v>
      </c>
      <c r="BS2006" s="53">
        <f>ROUND(HIX_SLCSP[[#This Row],[Weighting Factor 2021]]*HIX_SLCSP[[#This Row],[2021]],2)</f>
        <v>1.39</v>
      </c>
      <c r="BT2006" s="53">
        <f>ROUND(HIX_SLCSP[[#This Row],[Weighting Factor 2022]]*HIX_SLCSP[[#This Row],[2022]],2)</f>
        <v>1.63</v>
      </c>
      <c r="BU2006" s="53">
        <f>ROUND(HIX_SLCSP[[#This Row],[Weighting Factor 2023]]*HIX_SLCSP[[#This Row],[2023]],2)</f>
        <v>1.72</v>
      </c>
      <c r="BV2006" s="53">
        <f>ROUND(HIX_SLCSP[[#This Row],[Weighting Factor 2024]]*HIX_SLCSP[[#This Row],[2024]],2)</f>
        <v>1.96</v>
      </c>
    </row>
    <row r="2007" spans="4:74" x14ac:dyDescent="0.35">
      <c r="D2007" t="s">
        <v>1460</v>
      </c>
      <c r="E2007" t="s">
        <v>611</v>
      </c>
      <c r="F2007" s="23">
        <v>23</v>
      </c>
      <c r="G2007" s="23" t="s">
        <v>1937</v>
      </c>
      <c r="H2007" s="23" t="s">
        <v>2354</v>
      </c>
      <c r="I2007" s="23">
        <v>10</v>
      </c>
      <c r="J2007" s="53">
        <v>321.81</v>
      </c>
      <c r="K2007" s="53">
        <v>491.45</v>
      </c>
      <c r="L2007" s="53">
        <v>837.53</v>
      </c>
      <c r="M2007" s="54">
        <f t="shared" si="156"/>
        <v>1.704201851663445</v>
      </c>
      <c r="N2007" s="24">
        <v>10</v>
      </c>
      <c r="O2007" s="55">
        <v>354.82</v>
      </c>
      <c r="P2007" s="56">
        <v>371.36</v>
      </c>
      <c r="Q2007" s="56">
        <v>632.87</v>
      </c>
      <c r="R2007" s="57">
        <f t="shared" si="157"/>
        <v>1.7041953899181388</v>
      </c>
      <c r="S2007" s="23">
        <v>10</v>
      </c>
      <c r="T2007" s="53">
        <v>362.91</v>
      </c>
      <c r="U2007" s="53">
        <v>378.55</v>
      </c>
      <c r="V2007" s="53">
        <v>645.12</v>
      </c>
      <c r="W2007" s="57">
        <f t="shared" si="158"/>
        <v>1.7041870294544974</v>
      </c>
      <c r="X2007" s="47">
        <v>106</v>
      </c>
      <c r="Y2007" s="58">
        <v>312.88</v>
      </c>
      <c r="Z2007" s="58">
        <v>321.69</v>
      </c>
      <c r="AA2007" s="58">
        <v>548.22</v>
      </c>
      <c r="AB2007" s="57">
        <f t="shared" si="159"/>
        <v>1.7041872610276976</v>
      </c>
      <c r="AC2007" s="47">
        <v>112</v>
      </c>
      <c r="AD2007" s="57">
        <v>367.85</v>
      </c>
      <c r="AE2007" s="57">
        <v>386.1</v>
      </c>
      <c r="AF2007" s="57">
        <v>657.99</v>
      </c>
      <c r="AG2007" s="57">
        <f t="shared" si="160"/>
        <v>1.7041958041958041</v>
      </c>
      <c r="AH2007" s="47">
        <v>106</v>
      </c>
      <c r="AI2007">
        <v>316.47000000000003</v>
      </c>
      <c r="AJ2007">
        <v>321.91000000000003</v>
      </c>
      <c r="AK2007">
        <v>548.6</v>
      </c>
      <c r="AL2007" s="57">
        <f t="shared" si="135"/>
        <v>1.7042030381162436</v>
      </c>
      <c r="AM2007" s="47">
        <v>101</v>
      </c>
      <c r="AN2007" s="57">
        <v>359.69</v>
      </c>
      <c r="AO2007" s="57">
        <v>368.67</v>
      </c>
      <c r="AP2007" s="57">
        <v>628.28</v>
      </c>
      <c r="AQ2007" s="57">
        <f t="shared" si="162"/>
        <v>1.7041798898744134</v>
      </c>
      <c r="AR2007" s="59">
        <v>2546</v>
      </c>
      <c r="AS2007" s="59">
        <f>SUMIFS(HIX_RatingAreas[Silver Enrollments 2018],HIX_RatingAreas[Area],HIX_SLCSP[[#This Row],[Area Code]])</f>
        <v>5732</v>
      </c>
      <c r="AT2007" s="59">
        <f>SUMIFS(HIX_RatingAreas[Silver Enrollments 2019],HIX_RatingAreas[Area],HIX_SLCSP[[#This Row],[Area Code]])</f>
        <v>1892</v>
      </c>
      <c r="AU2007" s="59">
        <f>SUMIFS(HIX_RatingAreas[Silver Enrollments 2020],HIX_RatingAreas[Area],HIX_SLCSP[[#This Row],[Area Code]])</f>
        <v>5238</v>
      </c>
      <c r="AV2007" s="59">
        <f>SUMIFS(HIX_RatingAreas[Silver Enrollments 2021],HIX_RatingAreas[Area],HIX_SLCSP[[#This Row],[Area Code]])</f>
        <v>2082</v>
      </c>
      <c r="AW2007" s="59">
        <f>SUMIFS(HIX_RatingAreas[Silver Enrollments 2022],HIX_RatingAreas[Area],HIX_SLCSP[[#This Row],[Area Code]])</f>
        <v>3646</v>
      </c>
      <c r="AX2007" s="59">
        <f>SUMIFS(HIX_RatingAreas[Silver Enrollments 2023],HIX_RatingAreas[Area],HIX_SLCSP[[#This Row],[Area Code]])</f>
        <v>3668</v>
      </c>
      <c r="AY2007" s="59">
        <f>SUMIFS(HIX_RatingAreas[Silver Enrollments 2024],HIX_RatingAreas[Area],HIX_SLCSP[[#This Row],[Area Code]])</f>
        <v>3779</v>
      </c>
      <c r="AZ2007" s="59">
        <v>3951</v>
      </c>
      <c r="BA2007">
        <f t="shared" si="150"/>
        <v>3.0238070273856965E-3</v>
      </c>
      <c r="BB2007">
        <f>SUMIFS(HIX_RatingAreas[QHP Enrollments 2018],HIX_RatingAreas[Area],HIX_SLCSP[[#This Row],[Area Code]])</f>
        <v>8916</v>
      </c>
      <c r="BC2007">
        <f t="shared" si="151"/>
        <v>8.1032372050920606E-3</v>
      </c>
      <c r="BD2007">
        <f>SUMIFS(HIX_RatingAreas[QHP Enrollments 2019],HIX_RatingAreas[Area],HIX_SLCSP[[#This Row],[Area Code]])</f>
        <v>3849</v>
      </c>
      <c r="BE2007">
        <f t="shared" si="152"/>
        <v>3.6203359604048682E-3</v>
      </c>
      <c r="BF2007">
        <f>SUMIFS(HIX_RatingAreas[QHP Enrollments 2020],HIX_RatingAreas[Area],HIX_SLCSP[[#This Row],[Area Code]])</f>
        <v>8947</v>
      </c>
      <c r="BG2007">
        <f t="shared" si="153"/>
        <v>8.1935235722920257E-3</v>
      </c>
      <c r="BH2007">
        <f>SUMIFS(HIX_RatingAreas[QHP Enrollments 2021],HIX_RatingAreas[Area],HIX_SLCSP[[#This Row],[Area Code]])</f>
        <v>4440</v>
      </c>
      <c r="BI2007">
        <f t="shared" si="154"/>
        <v>3.5194688455666583E-3</v>
      </c>
      <c r="BJ2007">
        <f>SUMIFS(HIX_RatingAreas[QHP Enrollments 2022],HIX_RatingAreas[Area],HIX_SLCSP[[#This Row],[Area Code]])</f>
        <v>5990</v>
      </c>
      <c r="BK2007">
        <f t="shared" si="155"/>
        <v>3.3413492245448037E-3</v>
      </c>
      <c r="BL2007">
        <f>SUMIFS(HIX_RatingAreas[QHP Enrollments 2023],HIX_RatingAreas[Area],HIX_SLCSP[[#This Row],[Area Code]])</f>
        <v>8086</v>
      </c>
      <c r="BM2007">
        <f t="shared" si="155"/>
        <v>3.3540886406898322E-3</v>
      </c>
      <c r="BN2007">
        <f>SUMIFS(HIX_RatingAreas[QHP Enrollments 2024],HIX_RatingAreas[Area],HIX_SLCSP[[#This Row],[Area Code]])</f>
        <v>12054</v>
      </c>
      <c r="BO2007">
        <f t="shared" si="161"/>
        <v>3.4592076652414485E-3</v>
      </c>
      <c r="BP2007" s="53">
        <f>ROUND(HIX_SLCSP[[#This Row],[Weighting Factor 2018]]*HIX_SLCSP[[#This Row],[2018]],2)</f>
        <v>3.98</v>
      </c>
      <c r="BQ2007" s="53">
        <f>ROUND(HIX_SLCSP[[#This Row],[Weighting Factor 2019]]*HIX_SLCSP[[#This Row],[2019]],2)</f>
        <v>1.34</v>
      </c>
      <c r="BR2007" s="53">
        <f>ROUND(HIX_SLCSP[[#This Row],[Weighting Factor 2020]]*HIX_SLCSP[[#This Row],[2020]],2)</f>
        <v>3.1</v>
      </c>
      <c r="BS2007" s="53">
        <f>ROUND(HIX_SLCSP[[#This Row],[Weighting Factor 2021]]*HIX_SLCSP[[#This Row],[2021]],2)</f>
        <v>1.1299999999999999</v>
      </c>
      <c r="BT2007" s="53">
        <f>ROUND(HIX_SLCSP[[#This Row],[Weighting Factor 2022]]*HIX_SLCSP[[#This Row],[2022]],2)</f>
        <v>1.29</v>
      </c>
      <c r="BU2007" s="53">
        <f>ROUND(HIX_SLCSP[[#This Row],[Weighting Factor 2023]]*HIX_SLCSP[[#This Row],[2023]],2)</f>
        <v>1.08</v>
      </c>
      <c r="BV2007" s="53">
        <f>ROUND(HIX_SLCSP[[#This Row],[Weighting Factor 2024]]*HIX_SLCSP[[#This Row],[2024]],2)</f>
        <v>1.28</v>
      </c>
    </row>
    <row r="2008" spans="4:74" x14ac:dyDescent="0.35">
      <c r="D2008" t="s">
        <v>1460</v>
      </c>
      <c r="E2008" t="s">
        <v>615</v>
      </c>
      <c r="F2008" s="23">
        <v>24</v>
      </c>
      <c r="G2008" s="23" t="s">
        <v>1937</v>
      </c>
      <c r="H2008" s="23" t="s">
        <v>2367</v>
      </c>
      <c r="I2008" s="23">
        <v>78</v>
      </c>
      <c r="J2008" s="53">
        <v>274.58999999999997</v>
      </c>
      <c r="K2008" s="53">
        <v>289.64999999999998</v>
      </c>
      <c r="L2008" s="53">
        <v>493.63</v>
      </c>
      <c r="M2008" s="54">
        <f t="shared" si="156"/>
        <v>1.7042292421888487</v>
      </c>
      <c r="N2008" s="24">
        <v>45</v>
      </c>
      <c r="O2008" s="55">
        <v>306.14</v>
      </c>
      <c r="P2008" s="56">
        <v>311.93</v>
      </c>
      <c r="Q2008" s="56">
        <v>531.59</v>
      </c>
      <c r="R2008" s="57">
        <f t="shared" si="157"/>
        <v>1.7041964543327028</v>
      </c>
      <c r="S2008" s="23">
        <v>78</v>
      </c>
      <c r="T2008" s="53">
        <v>341.85</v>
      </c>
      <c r="U2008" s="53">
        <v>342.25</v>
      </c>
      <c r="V2008" s="53">
        <v>583.26</v>
      </c>
      <c r="W2008" s="57">
        <f t="shared" si="158"/>
        <v>1.7041928414901388</v>
      </c>
      <c r="X2008" s="47">
        <v>130</v>
      </c>
      <c r="Y2008" s="58">
        <v>293.08</v>
      </c>
      <c r="Z2008">
        <v>301.33</v>
      </c>
      <c r="AA2008" s="23">
        <v>513.53</v>
      </c>
      <c r="AB2008" s="57">
        <f t="shared" si="159"/>
        <v>1.704211329771347</v>
      </c>
      <c r="AC2008" s="47">
        <v>112</v>
      </c>
      <c r="AD2008" s="57">
        <v>304.16000000000003</v>
      </c>
      <c r="AE2008" s="57">
        <v>319.25</v>
      </c>
      <c r="AF2008" s="57">
        <v>544.07000000000005</v>
      </c>
      <c r="AG2008" s="57">
        <f t="shared" si="160"/>
        <v>1.7042129992169148</v>
      </c>
      <c r="AH2008" s="47">
        <v>90</v>
      </c>
      <c r="AI2008">
        <v>349.44</v>
      </c>
      <c r="AJ2008">
        <v>355.45</v>
      </c>
      <c r="AK2008">
        <v>605.75</v>
      </c>
      <c r="AL2008" s="57">
        <f t="shared" si="135"/>
        <v>1.7041778027852019</v>
      </c>
      <c r="AM2008" s="47">
        <v>122</v>
      </c>
      <c r="AN2008" s="57">
        <v>372.18</v>
      </c>
      <c r="AO2008" s="57">
        <v>387.86</v>
      </c>
      <c r="AP2008" s="57">
        <v>660.98</v>
      </c>
      <c r="AQ2008" s="57">
        <f t="shared" si="162"/>
        <v>1.7041716083122775</v>
      </c>
      <c r="AR2008" s="59">
        <v>5441</v>
      </c>
      <c r="AS2008" s="59">
        <f>SUMIFS(HIX_RatingAreas[Silver Enrollments 2018],HIX_RatingAreas[Area],HIX_SLCSP[[#This Row],[Area Code]])</f>
        <v>3595</v>
      </c>
      <c r="AT2008" s="59">
        <f>SUMIFS(HIX_RatingAreas[Silver Enrollments 2019],HIX_RatingAreas[Area],HIX_SLCSP[[#This Row],[Area Code]])</f>
        <v>3651</v>
      </c>
      <c r="AU2008" s="59">
        <f>SUMIFS(HIX_RatingAreas[Silver Enrollments 2020],HIX_RatingAreas[Area],HIX_SLCSP[[#This Row],[Area Code]])</f>
        <v>3989</v>
      </c>
      <c r="AV2008" s="59">
        <f>SUMIFS(HIX_RatingAreas[Silver Enrollments 2021],HIX_RatingAreas[Area],HIX_SLCSP[[#This Row],[Area Code]])</f>
        <v>4948</v>
      </c>
      <c r="AW2008" s="59">
        <f>SUMIFS(HIX_RatingAreas[Silver Enrollments 2022],HIX_RatingAreas[Area],HIX_SLCSP[[#This Row],[Area Code]])</f>
        <v>6956</v>
      </c>
      <c r="AX2008" s="59">
        <f>SUMIFS(HIX_RatingAreas[Silver Enrollments 2023],HIX_RatingAreas[Area],HIX_SLCSP[[#This Row],[Area Code]])</f>
        <v>11020</v>
      </c>
      <c r="AY2008" s="59">
        <f>SUMIFS(HIX_RatingAreas[Silver Enrollments 2024],HIX_RatingAreas[Area],HIX_SLCSP[[#This Row],[Area Code]])</f>
        <v>15650</v>
      </c>
      <c r="AZ2008" s="59">
        <v>7858</v>
      </c>
      <c r="BA2008">
        <f t="shared" si="150"/>
        <v>6.0139396662102764E-3</v>
      </c>
      <c r="BB2008">
        <f>SUMIFS(HIX_RatingAreas[QHP Enrollments 2018],HIX_RatingAreas[Area],HIX_SLCSP[[#This Row],[Area Code]])</f>
        <v>6302</v>
      </c>
      <c r="BC2008">
        <f t="shared" si="151"/>
        <v>5.7275236503465873E-3</v>
      </c>
      <c r="BD2008">
        <f>SUMIFS(HIX_RatingAreas[QHP Enrollments 2019],HIX_RatingAreas[Area],HIX_SLCSP[[#This Row],[Area Code]])</f>
        <v>6797</v>
      </c>
      <c r="BE2008">
        <f t="shared" si="152"/>
        <v>6.3931991485767442E-3</v>
      </c>
      <c r="BF2008">
        <f>SUMIFS(HIX_RatingAreas[QHP Enrollments 2020],HIX_RatingAreas[Area],HIX_SLCSP[[#This Row],[Area Code]])</f>
        <v>7197</v>
      </c>
      <c r="BG2008">
        <f t="shared" si="153"/>
        <v>6.5909007655958092E-3</v>
      </c>
      <c r="BH2008">
        <f>SUMIFS(HIX_RatingAreas[QHP Enrollments 2021],HIX_RatingAreas[Area],HIX_SLCSP[[#This Row],[Area Code]])</f>
        <v>8280</v>
      </c>
      <c r="BI2008">
        <f t="shared" si="154"/>
        <v>6.5633337930837681E-3</v>
      </c>
      <c r="BJ2008">
        <f>SUMIFS(HIX_RatingAreas[QHP Enrollments 2022],HIX_RatingAreas[Area],HIX_SLCSP[[#This Row],[Area Code]])</f>
        <v>11246</v>
      </c>
      <c r="BK2008">
        <f t="shared" si="155"/>
        <v>6.2732576593039838E-3</v>
      </c>
      <c r="BL2008">
        <f>SUMIFS(HIX_RatingAreas[QHP Enrollments 2023],HIX_RatingAreas[Area],HIX_SLCSP[[#This Row],[Area Code]])</f>
        <v>17820</v>
      </c>
      <c r="BM2008">
        <f t="shared" si="155"/>
        <v>7.3917709098556533E-3</v>
      </c>
      <c r="BN2008">
        <f>SUMIFS(HIX_RatingAreas[QHP Enrollments 2024],HIX_RatingAreas[Area],HIX_SLCSP[[#This Row],[Area Code]])</f>
        <v>25973</v>
      </c>
      <c r="BO2008">
        <f t="shared" si="161"/>
        <v>7.4536254097657328E-3</v>
      </c>
      <c r="BP2008" s="53">
        <f>ROUND(HIX_SLCSP[[#This Row],[Weighting Factor 2018]]*HIX_SLCSP[[#This Row],[2018]],2)</f>
        <v>1.66</v>
      </c>
      <c r="BQ2008" s="53">
        <f>ROUND(HIX_SLCSP[[#This Row],[Weighting Factor 2019]]*HIX_SLCSP[[#This Row],[2019]],2)</f>
        <v>1.99</v>
      </c>
      <c r="BR2008" s="53">
        <f>ROUND(HIX_SLCSP[[#This Row],[Weighting Factor 2020]]*HIX_SLCSP[[#This Row],[2020]],2)</f>
        <v>2.2599999999999998</v>
      </c>
      <c r="BS2008" s="53">
        <f>ROUND(HIX_SLCSP[[#This Row],[Weighting Factor 2021]]*HIX_SLCSP[[#This Row],[2021]],2)</f>
        <v>1.98</v>
      </c>
      <c r="BT2008" s="53">
        <f>ROUND(HIX_SLCSP[[#This Row],[Weighting Factor 2022]]*HIX_SLCSP[[#This Row],[2022]],2)</f>
        <v>2</v>
      </c>
      <c r="BU2008" s="53">
        <f>ROUND(HIX_SLCSP[[#This Row],[Weighting Factor 2023]]*HIX_SLCSP[[#This Row],[2023]],2)</f>
        <v>2.63</v>
      </c>
      <c r="BV2008" s="53">
        <f>ROUND(HIX_SLCSP[[#This Row],[Weighting Factor 2024]]*HIX_SLCSP[[#This Row],[2024]],2)</f>
        <v>2.89</v>
      </c>
    </row>
    <row r="2009" spans="4:74" x14ac:dyDescent="0.35">
      <c r="D2009" t="s">
        <v>1460</v>
      </c>
      <c r="E2009" t="s">
        <v>619</v>
      </c>
      <c r="F2009" s="23">
        <v>25</v>
      </c>
      <c r="G2009" s="23" t="s">
        <v>1937</v>
      </c>
      <c r="H2009" s="23" t="s">
        <v>2392</v>
      </c>
      <c r="I2009" s="23">
        <v>10</v>
      </c>
      <c r="J2009" s="53">
        <v>501.92</v>
      </c>
      <c r="K2009" s="53">
        <v>587.97</v>
      </c>
      <c r="L2009" s="53">
        <v>1002.03</v>
      </c>
      <c r="M2009" s="54">
        <f t="shared" si="156"/>
        <v>1.7042196030409713</v>
      </c>
      <c r="N2009" s="24">
        <v>10</v>
      </c>
      <c r="O2009" s="55">
        <v>370.45</v>
      </c>
      <c r="P2009" s="56">
        <v>406.32</v>
      </c>
      <c r="Q2009" s="56">
        <v>692.45</v>
      </c>
      <c r="R2009" s="57">
        <f t="shared" si="157"/>
        <v>1.7041986611537705</v>
      </c>
      <c r="S2009" s="23">
        <v>10</v>
      </c>
      <c r="T2009" s="53">
        <v>398.85</v>
      </c>
      <c r="U2009" s="53">
        <v>415.14</v>
      </c>
      <c r="V2009" s="53">
        <v>707.48</v>
      </c>
      <c r="W2009" s="57">
        <f t="shared" si="158"/>
        <v>1.7041961747844101</v>
      </c>
      <c r="X2009" s="47">
        <v>10</v>
      </c>
      <c r="Y2009" s="58">
        <v>416.63</v>
      </c>
      <c r="Z2009" s="58">
        <v>435</v>
      </c>
      <c r="AA2009" s="58">
        <v>741.33</v>
      </c>
      <c r="AB2009" s="57">
        <f t="shared" si="159"/>
        <v>1.7042068965517243</v>
      </c>
      <c r="AC2009" s="47">
        <v>15</v>
      </c>
      <c r="AD2009" s="57">
        <v>466.77</v>
      </c>
      <c r="AE2009" s="57">
        <v>484.89</v>
      </c>
      <c r="AF2009" s="57">
        <v>826.35</v>
      </c>
      <c r="AG2009" s="57">
        <f t="shared" si="160"/>
        <v>1.7042009527934172</v>
      </c>
      <c r="AH2009" s="47">
        <v>266</v>
      </c>
      <c r="AI2009">
        <v>343.27</v>
      </c>
      <c r="AJ2009">
        <v>349.17</v>
      </c>
      <c r="AK2009">
        <v>595.04999999999995</v>
      </c>
      <c r="AL2009" s="57">
        <f t="shared" si="135"/>
        <v>1.7041842082653147</v>
      </c>
      <c r="AM2009" s="47">
        <v>219</v>
      </c>
      <c r="AN2009" s="57">
        <v>343.05</v>
      </c>
      <c r="AO2009" s="57">
        <v>355.13</v>
      </c>
      <c r="AP2009" s="57">
        <v>605.22</v>
      </c>
      <c r="AQ2009" s="57">
        <f t="shared" si="162"/>
        <v>1.7042209894968041</v>
      </c>
      <c r="AR2009" s="59">
        <v>2417</v>
      </c>
      <c r="AS2009" s="59">
        <f>SUMIFS(HIX_RatingAreas[Silver Enrollments 2018],HIX_RatingAreas[Area],HIX_SLCSP[[#This Row],[Area Code]])</f>
        <v>75729</v>
      </c>
      <c r="AT2009" s="59">
        <f>SUMIFS(HIX_RatingAreas[Silver Enrollments 2019],HIX_RatingAreas[Area],HIX_SLCSP[[#This Row],[Area Code]])</f>
        <v>77000</v>
      </c>
      <c r="AU2009" s="59">
        <f>SUMIFS(HIX_RatingAreas[Silver Enrollments 2020],HIX_RatingAreas[Area],HIX_SLCSP[[#This Row],[Area Code]])</f>
        <v>72835</v>
      </c>
      <c r="AV2009" s="59">
        <f>SUMIFS(HIX_RatingAreas[Silver Enrollments 2021],HIX_RatingAreas[Area],HIX_SLCSP[[#This Row],[Area Code]])</f>
        <v>71393</v>
      </c>
      <c r="AW2009" s="59">
        <f>SUMIFS(HIX_RatingAreas[Silver Enrollments 2022],HIX_RatingAreas[Area],HIX_SLCSP[[#This Row],[Area Code]])</f>
        <v>102181</v>
      </c>
      <c r="AX2009" s="59">
        <f>SUMIFS(HIX_RatingAreas[Silver Enrollments 2023],HIX_RatingAreas[Area],HIX_SLCSP[[#This Row],[Area Code]])</f>
        <v>119751</v>
      </c>
      <c r="AY2009" s="59">
        <f>SUMIFS(HIX_RatingAreas[Silver Enrollments 2024],HIX_RatingAreas[Area],HIX_SLCSP[[#This Row],[Area Code]])</f>
        <v>186579</v>
      </c>
      <c r="AZ2009" s="59">
        <v>3893</v>
      </c>
      <c r="BA2009">
        <f t="shared" si="150"/>
        <v>2.979418060646043E-3</v>
      </c>
      <c r="BB2009">
        <f>SUMIFS(HIX_RatingAreas[QHP Enrollments 2018],HIX_RatingAreas[Area],HIX_SLCSP[[#This Row],[Area Code]])</f>
        <v>119003</v>
      </c>
      <c r="BC2009">
        <f t="shared" si="151"/>
        <v>0.10815495032722865</v>
      </c>
      <c r="BD2009">
        <f>SUMIFS(HIX_RatingAreas[QHP Enrollments 2019],HIX_RatingAreas[Area],HIX_SLCSP[[#This Row],[Area Code]])</f>
        <v>118237</v>
      </c>
      <c r="BE2009">
        <f t="shared" si="152"/>
        <v>0.11121269497282162</v>
      </c>
      <c r="BF2009">
        <f>SUMIFS(HIX_RatingAreas[QHP Enrollments 2020],HIX_RatingAreas[Area],HIX_SLCSP[[#This Row],[Area Code]])</f>
        <v>122193</v>
      </c>
      <c r="BG2009">
        <f t="shared" si="153"/>
        <v>0.11190245063921755</v>
      </c>
      <c r="BH2009">
        <f>SUMIFS(HIX_RatingAreas[QHP Enrollments 2021],HIX_RatingAreas[Area],HIX_SLCSP[[#This Row],[Area Code]])</f>
        <v>132434</v>
      </c>
      <c r="BI2009">
        <f t="shared" si="154"/>
        <v>0.10497687772382316</v>
      </c>
      <c r="BJ2009">
        <f>SUMIFS(HIX_RatingAreas[QHP Enrollments 2022],HIX_RatingAreas[Area],HIX_SLCSP[[#This Row],[Area Code]])</f>
        <v>181228</v>
      </c>
      <c r="BK2009">
        <f t="shared" si="155"/>
        <v>0.10109282759028476</v>
      </c>
      <c r="BL2009">
        <f>SUMIFS(HIX_RatingAreas[QHP Enrollments 2023],HIX_RatingAreas[Area],HIX_SLCSP[[#This Row],[Area Code]])</f>
        <v>234996</v>
      </c>
      <c r="BM2009">
        <f t="shared" si="155"/>
        <v>9.747680116343653E-2</v>
      </c>
      <c r="BN2009">
        <f>SUMIFS(HIX_RatingAreas[QHP Enrollments 2024],HIX_RatingAreas[Area],HIX_SLCSP[[#This Row],[Area Code]])</f>
        <v>366489</v>
      </c>
      <c r="BO2009">
        <f t="shared" si="161"/>
        <v>0.10517351568165532</v>
      </c>
      <c r="BP2009" s="53">
        <f>ROUND(HIX_SLCSP[[#This Row],[Weighting Factor 2018]]*HIX_SLCSP[[#This Row],[2018]],2)</f>
        <v>63.59</v>
      </c>
      <c r="BQ2009" s="53">
        <f>ROUND(HIX_SLCSP[[#This Row],[Weighting Factor 2019]]*HIX_SLCSP[[#This Row],[2019]],2)</f>
        <v>45.19</v>
      </c>
      <c r="BR2009" s="53">
        <f>ROUND(HIX_SLCSP[[#This Row],[Weighting Factor 2020]]*HIX_SLCSP[[#This Row],[2020]],2)</f>
        <v>46.46</v>
      </c>
      <c r="BS2009" s="53">
        <f>ROUND(HIX_SLCSP[[#This Row],[Weighting Factor 2021]]*HIX_SLCSP[[#This Row],[2021]],2)</f>
        <v>45.66</v>
      </c>
      <c r="BT2009" s="53">
        <f>ROUND(HIX_SLCSP[[#This Row],[Weighting Factor 2022]]*HIX_SLCSP[[#This Row],[2022]],2)</f>
        <v>49.02</v>
      </c>
      <c r="BU2009" s="53">
        <f>ROUND(HIX_SLCSP[[#This Row],[Weighting Factor 2023]]*HIX_SLCSP[[#This Row],[2023]],2)</f>
        <v>34.04</v>
      </c>
      <c r="BV2009" s="53">
        <f>ROUND(HIX_SLCSP[[#This Row],[Weighting Factor 2024]]*HIX_SLCSP[[#This Row],[2024]],2)</f>
        <v>37.35</v>
      </c>
    </row>
    <row r="2010" spans="4:74" x14ac:dyDescent="0.35">
      <c r="D2010" t="s">
        <v>1460</v>
      </c>
      <c r="E2010" t="s">
        <v>623</v>
      </c>
      <c r="F2010" s="23">
        <v>26</v>
      </c>
      <c r="G2010" s="23" t="s">
        <v>1937</v>
      </c>
      <c r="H2010" s="23" t="s">
        <v>2411</v>
      </c>
      <c r="I2010" s="23">
        <v>115</v>
      </c>
      <c r="J2010" s="53">
        <v>241.96</v>
      </c>
      <c r="K2010" s="53">
        <v>255.23</v>
      </c>
      <c r="L2010" s="53">
        <v>434.97</v>
      </c>
      <c r="M2010" s="54">
        <f t="shared" si="156"/>
        <v>1.7042275594561769</v>
      </c>
      <c r="N2010" s="24">
        <v>71</v>
      </c>
      <c r="O2010" s="55">
        <v>276.33</v>
      </c>
      <c r="P2010" s="56">
        <v>281.56</v>
      </c>
      <c r="Q2010" s="56">
        <v>479.83</v>
      </c>
      <c r="R2010" s="57">
        <f t="shared" si="157"/>
        <v>1.7041838329308139</v>
      </c>
      <c r="S2010" s="23">
        <v>115</v>
      </c>
      <c r="T2010" s="53">
        <v>308.54000000000002</v>
      </c>
      <c r="U2010" s="53">
        <v>312.08</v>
      </c>
      <c r="V2010" s="53">
        <v>531.85</v>
      </c>
      <c r="W2010" s="57">
        <f t="shared" si="158"/>
        <v>1.7042104588567035</v>
      </c>
      <c r="X2010" s="47">
        <v>186</v>
      </c>
      <c r="Y2010" s="58">
        <v>288.72000000000003</v>
      </c>
      <c r="Z2010" s="58">
        <v>296.85000000000002</v>
      </c>
      <c r="AA2010" s="58">
        <v>505.89</v>
      </c>
      <c r="AB2010" s="57">
        <f t="shared" si="159"/>
        <v>1.7041940373926223</v>
      </c>
      <c r="AC2010" s="47">
        <v>160</v>
      </c>
      <c r="AD2010" s="57">
        <v>356.67</v>
      </c>
      <c r="AE2010" s="57">
        <v>374.37</v>
      </c>
      <c r="AF2010" s="57">
        <v>638</v>
      </c>
      <c r="AG2010" s="57">
        <f t="shared" si="160"/>
        <v>1.7041963832572053</v>
      </c>
      <c r="AH2010" s="47">
        <v>222</v>
      </c>
      <c r="AI2010">
        <v>303.83999999999997</v>
      </c>
      <c r="AJ2010">
        <v>309.06</v>
      </c>
      <c r="AK2010">
        <v>526.69000000000005</v>
      </c>
      <c r="AL2010" s="57">
        <f t="shared" si="135"/>
        <v>1.7041674755710867</v>
      </c>
      <c r="AM2010" s="47">
        <v>178</v>
      </c>
      <c r="AN2010" s="57">
        <v>345.75</v>
      </c>
      <c r="AO2010" s="57">
        <v>348.6</v>
      </c>
      <c r="AP2010" s="57">
        <v>594.08000000000004</v>
      </c>
      <c r="AQ2010" s="57">
        <f t="shared" si="162"/>
        <v>1.7041881812966151</v>
      </c>
      <c r="AR2010" s="59">
        <v>79535</v>
      </c>
      <c r="AS2010" s="59">
        <f>SUMIFS(HIX_RatingAreas[Silver Enrollments 2018],HIX_RatingAreas[Area],HIX_SLCSP[[#This Row],[Area Code]])</f>
        <v>43228</v>
      </c>
      <c r="AT2010" s="59">
        <f>SUMIFS(HIX_RatingAreas[Silver Enrollments 2019],HIX_RatingAreas[Area],HIX_SLCSP[[#This Row],[Area Code]])</f>
        <v>44127</v>
      </c>
      <c r="AU2010" s="59">
        <f>SUMIFS(HIX_RatingAreas[Silver Enrollments 2020],HIX_RatingAreas[Area],HIX_SLCSP[[#This Row],[Area Code]])</f>
        <v>43625</v>
      </c>
      <c r="AV2010" s="59">
        <f>SUMIFS(HIX_RatingAreas[Silver Enrollments 2021],HIX_RatingAreas[Area],HIX_SLCSP[[#This Row],[Area Code]])</f>
        <v>58907</v>
      </c>
      <c r="AW2010" s="59">
        <f>SUMIFS(HIX_RatingAreas[Silver Enrollments 2022],HIX_RatingAreas[Area],HIX_SLCSP[[#This Row],[Area Code]])</f>
        <v>82769</v>
      </c>
      <c r="AX2010" s="59">
        <f>SUMIFS(HIX_RatingAreas[Silver Enrollments 2023],HIX_RatingAreas[Area],HIX_SLCSP[[#This Row],[Area Code]])</f>
        <v>85666</v>
      </c>
      <c r="AY2010" s="59">
        <f>SUMIFS(HIX_RatingAreas[Silver Enrollments 2024],HIX_RatingAreas[Area],HIX_SLCSP[[#This Row],[Area Code]])</f>
        <v>121603</v>
      </c>
      <c r="AZ2010" s="59">
        <v>117606</v>
      </c>
      <c r="BA2010">
        <f t="shared" si="150"/>
        <v>9.000704866178745E-2</v>
      </c>
      <c r="BB2010">
        <f>SUMIFS(HIX_RatingAreas[QHP Enrollments 2018],HIX_RatingAreas[Area],HIX_SLCSP[[#This Row],[Area Code]])</f>
        <v>70164</v>
      </c>
      <c r="BC2010">
        <f t="shared" si="151"/>
        <v>6.3768005300367803E-2</v>
      </c>
      <c r="BD2010">
        <f>SUMIFS(HIX_RatingAreas[QHP Enrollments 2019],HIX_RatingAreas[Area],HIX_SLCSP[[#This Row],[Area Code]])</f>
        <v>71491</v>
      </c>
      <c r="BE2010">
        <f t="shared" si="152"/>
        <v>6.7243813495792268E-2</v>
      </c>
      <c r="BF2010">
        <f>SUMIFS(HIX_RatingAreas[QHP Enrollments 2020],HIX_RatingAreas[Area],HIX_SLCSP[[#This Row],[Area Code]])</f>
        <v>69934</v>
      </c>
      <c r="BG2010">
        <f t="shared" si="153"/>
        <v>6.4044470493424668E-2</v>
      </c>
      <c r="BH2010">
        <f>SUMIFS(HIX_RatingAreas[QHP Enrollments 2021],HIX_RatingAreas[Area],HIX_SLCSP[[#This Row],[Area Code]])</f>
        <v>93882</v>
      </c>
      <c r="BI2010">
        <f t="shared" si="154"/>
        <v>7.4417741927812836E-2</v>
      </c>
      <c r="BJ2010">
        <f>SUMIFS(HIX_RatingAreas[QHP Enrollments 2022],HIX_RatingAreas[Area],HIX_SLCSP[[#This Row],[Area Code]])</f>
        <v>125768</v>
      </c>
      <c r="BK2010">
        <f t="shared" si="155"/>
        <v>7.0156061648172105E-2</v>
      </c>
      <c r="BL2010">
        <f>SUMIFS(HIX_RatingAreas[QHP Enrollments 2023],HIX_RatingAreas[Area],HIX_SLCSP[[#This Row],[Area Code]])</f>
        <v>148597</v>
      </c>
      <c r="BM2010">
        <f t="shared" si="155"/>
        <v>6.1638326705489362E-2</v>
      </c>
      <c r="BN2010">
        <f>SUMIFS(HIX_RatingAreas[QHP Enrollments 2024],HIX_RatingAreas[Area],HIX_SLCSP[[#This Row],[Area Code]])</f>
        <v>213108</v>
      </c>
      <c r="BO2010">
        <f t="shared" si="161"/>
        <v>6.115686304332791E-2</v>
      </c>
      <c r="BP2010" s="53">
        <f>ROUND(HIX_SLCSP[[#This Row],[Weighting Factor 2018]]*HIX_SLCSP[[#This Row],[2018]],2)</f>
        <v>16.28</v>
      </c>
      <c r="BQ2010" s="53">
        <f>ROUND(HIX_SLCSP[[#This Row],[Weighting Factor 2019]]*HIX_SLCSP[[#This Row],[2019]],2)</f>
        <v>18.93</v>
      </c>
      <c r="BR2010" s="53">
        <f>ROUND(HIX_SLCSP[[#This Row],[Weighting Factor 2020]]*HIX_SLCSP[[#This Row],[2020]],2)</f>
        <v>19.989999999999998</v>
      </c>
      <c r="BS2010" s="53">
        <f>ROUND(HIX_SLCSP[[#This Row],[Weighting Factor 2021]]*HIX_SLCSP[[#This Row],[2021]],2)</f>
        <v>22.09</v>
      </c>
      <c r="BT2010" s="53">
        <f>ROUND(HIX_SLCSP[[#This Row],[Weighting Factor 2022]]*HIX_SLCSP[[#This Row],[2022]],2)</f>
        <v>26.26</v>
      </c>
      <c r="BU2010" s="53">
        <f>ROUND(HIX_SLCSP[[#This Row],[Weighting Factor 2023]]*HIX_SLCSP[[#This Row],[2023]],2)</f>
        <v>19.05</v>
      </c>
      <c r="BV2010" s="53">
        <f>ROUND(HIX_SLCSP[[#This Row],[Weighting Factor 2024]]*HIX_SLCSP[[#This Row],[2024]],2)</f>
        <v>21.32</v>
      </c>
    </row>
    <row r="2011" spans="4:74" x14ac:dyDescent="0.35">
      <c r="D2011" t="s">
        <v>1460</v>
      </c>
      <c r="E2011" t="s">
        <v>627</v>
      </c>
      <c r="F2011" s="23">
        <v>27</v>
      </c>
      <c r="G2011" s="23" t="s">
        <v>1937</v>
      </c>
      <c r="H2011" s="23" t="s">
        <v>2427</v>
      </c>
      <c r="I2011" s="23">
        <v>222</v>
      </c>
      <c r="J2011" s="53">
        <v>328.44</v>
      </c>
      <c r="K2011" s="53">
        <v>334.09</v>
      </c>
      <c r="L2011" s="53">
        <v>569.35</v>
      </c>
      <c r="M2011" s="54">
        <f>L2011/K2011</f>
        <v>1.7041815079768927</v>
      </c>
      <c r="N2011" s="24">
        <v>222</v>
      </c>
      <c r="O2011" s="55">
        <v>328.44</v>
      </c>
      <c r="P2011" s="55">
        <v>334.09</v>
      </c>
      <c r="Q2011" s="55">
        <v>569.35</v>
      </c>
      <c r="R2011" s="57">
        <f>Q2011/P2011</f>
        <v>1.7041815079768927</v>
      </c>
      <c r="S2011" s="23">
        <v>222</v>
      </c>
      <c r="T2011" s="53">
        <v>328.44</v>
      </c>
      <c r="U2011" s="53">
        <v>334.09</v>
      </c>
      <c r="V2011" s="53">
        <v>569.35</v>
      </c>
      <c r="W2011" s="57">
        <f>V2011/U2011</f>
        <v>1.7041815079768927</v>
      </c>
      <c r="X2011" s="23">
        <v>222</v>
      </c>
      <c r="Y2011" s="53">
        <v>328.44</v>
      </c>
      <c r="Z2011" s="53">
        <v>334.09</v>
      </c>
      <c r="AA2011" s="53">
        <v>569.35</v>
      </c>
      <c r="AB2011" s="57">
        <f>AA2011/Z2011</f>
        <v>1.7041815079768927</v>
      </c>
      <c r="AC2011" s="23">
        <v>222</v>
      </c>
      <c r="AD2011" s="53">
        <v>328.44</v>
      </c>
      <c r="AE2011" s="53">
        <v>334.09</v>
      </c>
      <c r="AF2011" s="53">
        <v>569.35</v>
      </c>
      <c r="AG2011" s="57">
        <f>AF2011/AE2011</f>
        <v>1.7041815079768927</v>
      </c>
      <c r="AH2011" s="47">
        <v>222</v>
      </c>
      <c r="AI2011">
        <v>328.44</v>
      </c>
      <c r="AJ2011">
        <v>334.09</v>
      </c>
      <c r="AK2011">
        <v>569.35</v>
      </c>
      <c r="AL2011" s="57">
        <f>AK2011/AJ2011</f>
        <v>1.7041815079768927</v>
      </c>
      <c r="AM2011" s="47">
        <v>178</v>
      </c>
      <c r="AN2011" s="57">
        <v>348.6</v>
      </c>
      <c r="AO2011" s="57">
        <v>355.15</v>
      </c>
      <c r="AP2011" s="57">
        <v>605.24</v>
      </c>
      <c r="AQ2011" s="57">
        <f>AP2011/AO2011</f>
        <v>1.7041813318316206</v>
      </c>
      <c r="AR2011" s="59">
        <v>15761</v>
      </c>
      <c r="AS2011" s="59">
        <f>SUMIFS(HIX_RatingAreas[Silver Enrollments 2018],HIX_RatingAreas[Area],HIX_SLCSP[[#This Row],[Area Code]])</f>
        <v>15761</v>
      </c>
      <c r="AT2011" s="59">
        <f>SUMIFS(HIX_RatingAreas[Silver Enrollments 2019],HIX_RatingAreas[Area],HIX_SLCSP[[#This Row],[Area Code]])</f>
        <v>14183</v>
      </c>
      <c r="AU2011" s="59">
        <f>SUMIFS(HIX_RatingAreas[Silver Enrollments 2020],HIX_RatingAreas[Area],HIX_SLCSP[[#This Row],[Area Code]])</f>
        <v>14302</v>
      </c>
      <c r="AV2011" s="59">
        <f>SUMIFS(HIX_RatingAreas[Silver Enrollments 2021],HIX_RatingAreas[Area],HIX_SLCSP[[#This Row],[Area Code]])</f>
        <v>17715</v>
      </c>
      <c r="AW2011" s="59">
        <f>SUMIFS(HIX_RatingAreas[Silver Enrollments 2022],HIX_RatingAreas[Area],HIX_SLCSP[[#This Row],[Area Code]])</f>
        <v>29723</v>
      </c>
      <c r="AX2011" s="59">
        <f>SUMIFS(HIX_RatingAreas[Silver Enrollments 2023],HIX_RatingAreas[Area],HIX_SLCSP[[#This Row],[Area Code]])</f>
        <v>34167</v>
      </c>
      <c r="AY2011" s="59">
        <f>SUMIFS(HIX_RatingAreas[Silver Enrollments 2024],HIX_RatingAreas[Area],HIX_SLCSP[[#This Row],[Area Code]])</f>
        <v>46556</v>
      </c>
      <c r="AZ2011" s="59">
        <v>26138</v>
      </c>
      <c r="BA2011">
        <f t="shared" si="150"/>
        <v>2.0004117459328608E-2</v>
      </c>
      <c r="BB2011">
        <f>SUMIFS(HIX_RatingAreas[QHP Enrollments 2018],HIX_RatingAreas[Area],HIX_SLCSP[[#This Row],[Area Code]])</f>
        <v>26138</v>
      </c>
      <c r="BC2011">
        <f t="shared" si="151"/>
        <v>2.3755317863021118E-2</v>
      </c>
      <c r="BD2011">
        <f>SUMIFS(HIX_RatingAreas[QHP Enrollments 2019],HIX_RatingAreas[Area],HIX_SLCSP[[#This Row],[Area Code]])</f>
        <v>24061</v>
      </c>
      <c r="BE2011">
        <f>BD2011/BD$1777</f>
        <v>0.14483410382355774</v>
      </c>
      <c r="BF2011">
        <f>SUMIFS(HIX_RatingAreas[QHP Enrollments 2020],HIX_RatingAreas[Area],HIX_SLCSP[[#This Row],[Area Code]])</f>
        <v>24324</v>
      </c>
      <c r="BG2011">
        <f t="shared" si="153"/>
        <v>2.2275541228616434E-2</v>
      </c>
      <c r="BH2011">
        <f>SUMIFS(HIX_RatingAreas[QHP Enrollments 2021],HIX_RatingAreas[Area],HIX_SLCSP[[#This Row],[Area Code]])</f>
        <v>30411</v>
      </c>
      <c r="BI2011">
        <f t="shared" si="154"/>
        <v>2.4105983572641362E-2</v>
      </c>
      <c r="BJ2011">
        <f>SUMIFS(HIX_RatingAreas[QHP Enrollments 2022],HIX_RatingAreas[Area],HIX_SLCSP[[#This Row],[Area Code]])</f>
        <v>48251</v>
      </c>
      <c r="BK2011">
        <f t="shared" si="155"/>
        <v>2.6915432626629605E-2</v>
      </c>
      <c r="BL2011">
        <f>SUMIFS(HIX_RatingAreas[QHP Enrollments 2023],HIX_RatingAreas[Area],HIX_SLCSP[[#This Row],[Area Code]])</f>
        <v>61474</v>
      </c>
      <c r="BM2011">
        <f t="shared" si="155"/>
        <v>2.5499535629206871E-2</v>
      </c>
      <c r="BN2011">
        <f>SUMIFS(HIX_RatingAreas[QHP Enrollments 2024],HIX_RatingAreas[Area],HIX_SLCSP[[#This Row],[Area Code]])</f>
        <v>90030</v>
      </c>
      <c r="BO2011">
        <f t="shared" si="161"/>
        <v>2.583644152162665E-2</v>
      </c>
      <c r="BP2011" s="53">
        <f>ROUND(HIX_SLCSP[[#This Row],[Weighting Factor 2018]]*HIX_SLCSP[[#This Row],[2018]],2)</f>
        <v>7.94</v>
      </c>
      <c r="BQ2011" s="53">
        <f>ROUND(HIX_SLCSP[[#This Row],[Weighting Factor 2019]]*HIX_SLCSP[[#This Row],[2019]],2)</f>
        <v>48.39</v>
      </c>
      <c r="BR2011" s="53">
        <f>ROUND(HIX_SLCSP[[#This Row],[Weighting Factor 2020]]*HIX_SLCSP[[#This Row],[2020]],2)</f>
        <v>7.44</v>
      </c>
      <c r="BS2011" s="53">
        <f>ROUND(HIX_SLCSP[[#This Row],[Weighting Factor 2021]]*HIX_SLCSP[[#This Row],[2021]],2)</f>
        <v>8.0500000000000007</v>
      </c>
      <c r="BT2011" s="53">
        <f>ROUND(HIX_SLCSP[[#This Row],[Weighting Factor 2022]]*HIX_SLCSP[[#This Row],[2022]],2)</f>
        <v>8.99</v>
      </c>
      <c r="BU2011" s="53">
        <f>ROUND(HIX_SLCSP[[#This Row],[Weighting Factor 2023]]*HIX_SLCSP[[#This Row],[2023]],2)</f>
        <v>8.52</v>
      </c>
      <c r="BV2011" s="53">
        <f>ROUND(HIX_SLCSP[[#This Row],[Weighting Factor 2024]]*HIX_SLCSP[[#This Row],[2024]],2)</f>
        <v>9.18</v>
      </c>
    </row>
    <row r="2012" spans="4:74" x14ac:dyDescent="0.35">
      <c r="D2012" t="s">
        <v>2432</v>
      </c>
      <c r="E2012" t="s">
        <v>2597</v>
      </c>
      <c r="F2012" s="23"/>
      <c r="G2012" s="23"/>
      <c r="H2012" s="23"/>
      <c r="I2012" s="23"/>
      <c r="J2012" s="53"/>
      <c r="K2012" s="53">
        <f>SUM(BP2013:BP2018)</f>
        <v>419.03999999999996</v>
      </c>
      <c r="L2012" s="53"/>
      <c r="M2012" s="54"/>
      <c r="O2012" s="55"/>
      <c r="P2012" s="56">
        <f>SUM(BQ2013:BQ2018)</f>
        <v>442.67</v>
      </c>
      <c r="Q2012" s="56"/>
      <c r="R2012" s="57"/>
      <c r="S2012" s="23"/>
      <c r="T2012" s="53"/>
      <c r="U2012" s="53">
        <f>SUM(BR2013:BR2018)</f>
        <v>436.50000000000006</v>
      </c>
      <c r="V2012" s="53"/>
      <c r="W2012" s="57"/>
      <c r="X2012" s="47"/>
      <c r="Y2012" s="58"/>
      <c r="Z2012" s="53">
        <f>SUM(BS2013:BS2018)</f>
        <v>435.78</v>
      </c>
      <c r="AA2012" s="58"/>
      <c r="AB2012" s="57"/>
      <c r="AC2012" s="47"/>
      <c r="AD2012" s="57"/>
      <c r="AE2012" s="53">
        <f>SUM(BT2013:BT2018)</f>
        <v>379.71999999999997</v>
      </c>
      <c r="AF2012" s="57"/>
      <c r="AG2012" s="57"/>
      <c r="AH2012" s="47"/>
      <c r="AI2012" s="57"/>
      <c r="AJ2012" s="53">
        <f>SUM(BU2013:BU2018)</f>
        <v>395.97</v>
      </c>
      <c r="AK2012" s="57"/>
      <c r="AL2012" s="57"/>
      <c r="AM2012" s="47"/>
      <c r="AN2012" s="57"/>
      <c r="AO2012" s="53">
        <f>SUM(BV2013:BV2018)</f>
        <v>409.53000000000003</v>
      </c>
      <c r="AP2012" s="57"/>
      <c r="AQ2012" s="57"/>
      <c r="AR2012" s="59"/>
      <c r="AS2012" s="59">
        <f t="shared" ref="AS2012:AZ2012" si="163">SUM(AS2013:AS2018)</f>
        <v>107537</v>
      </c>
      <c r="AT2012" s="59">
        <f t="shared" si="163"/>
        <v>107537</v>
      </c>
      <c r="AU2012" s="59">
        <f t="shared" si="163"/>
        <v>100585</v>
      </c>
      <c r="AV2012" s="59">
        <f t="shared" si="163"/>
        <v>95775</v>
      </c>
      <c r="AW2012" s="59">
        <f t="shared" si="163"/>
        <v>131124</v>
      </c>
      <c r="AX2012" s="59">
        <f t="shared" si="163"/>
        <v>150926</v>
      </c>
      <c r="AY2012" s="59">
        <f t="shared" si="163"/>
        <v>203338</v>
      </c>
      <c r="AZ2012" s="59">
        <f t="shared" si="163"/>
        <v>235794</v>
      </c>
      <c r="BA2012">
        <f>AZ2012/AZ$2012</f>
        <v>1</v>
      </c>
      <c r="BB2012" s="59">
        <f>SUM(BB2013:BB2018)</f>
        <v>194570</v>
      </c>
      <c r="BC2012">
        <f>BB2012/BB$2012</f>
        <v>1</v>
      </c>
      <c r="BD2012" s="59">
        <f>SUM(BD2013:BD2018)</f>
        <v>194570</v>
      </c>
      <c r="BE2012">
        <f>BD2012/BD$2012</f>
        <v>1</v>
      </c>
      <c r="BF2012" s="59">
        <f>SUM(BF2013:BF2018)</f>
        <v>200261</v>
      </c>
      <c r="BG2012">
        <f>BF2012/BF$2012</f>
        <v>1</v>
      </c>
      <c r="BH2012" s="59">
        <f>SUM(BH2013:BH2018)</f>
        <v>207911</v>
      </c>
      <c r="BI2012">
        <f>BH2012/BH$2012</f>
        <v>1</v>
      </c>
      <c r="BJ2012" s="59">
        <f>SUM(BJ2013:BJ2018)</f>
        <v>256932</v>
      </c>
      <c r="BK2012">
        <f>BJ2012/BJ$2012</f>
        <v>1</v>
      </c>
      <c r="BL2012" s="59">
        <f>SUM(BL2013:BL2018)</f>
        <v>295196</v>
      </c>
      <c r="BM2012">
        <f t="shared" ref="BM2012:BM2018" si="164">BL2012/BL$2012</f>
        <v>1</v>
      </c>
      <c r="BN2012" s="59">
        <f>SUM(BN2013:BN2018)</f>
        <v>366939</v>
      </c>
      <c r="BO2012">
        <f>BN2012/BN$2012</f>
        <v>1</v>
      </c>
      <c r="BP2012" s="53"/>
      <c r="BQ2012" s="53"/>
      <c r="BR2012" s="53"/>
      <c r="BS2012" s="53"/>
      <c r="BT2012" s="53"/>
      <c r="BU2012" s="53"/>
      <c r="BV2012" s="53"/>
    </row>
    <row r="2013" spans="4:74" x14ac:dyDescent="0.35">
      <c r="D2013" t="s">
        <v>2432</v>
      </c>
      <c r="E2013" t="s">
        <v>231</v>
      </c>
      <c r="F2013" s="23">
        <v>1</v>
      </c>
      <c r="G2013" s="23" t="s">
        <v>2433</v>
      </c>
      <c r="H2013" s="23" t="s">
        <v>2438</v>
      </c>
      <c r="I2013" s="23">
        <v>25</v>
      </c>
      <c r="J2013" s="53">
        <v>466.17</v>
      </c>
      <c r="K2013" s="53">
        <v>472.5</v>
      </c>
      <c r="L2013" s="53">
        <v>723.03</v>
      </c>
      <c r="M2013" s="54">
        <f t="shared" ref="M2013:M2018" si="165">L2013/K2013</f>
        <v>1.5302222222222222</v>
      </c>
      <c r="N2013" s="24">
        <v>33</v>
      </c>
      <c r="O2013" s="55">
        <v>461.97</v>
      </c>
      <c r="P2013" s="56">
        <v>508.39</v>
      </c>
      <c r="Q2013" s="56">
        <v>777.94</v>
      </c>
      <c r="R2013" s="57">
        <f t="shared" ref="R2013:R2018" si="166">Q2013/P2013</f>
        <v>1.5302031904640141</v>
      </c>
      <c r="S2013" s="23">
        <v>46</v>
      </c>
      <c r="T2013" s="53">
        <v>448.7</v>
      </c>
      <c r="U2013" s="53">
        <v>508.4</v>
      </c>
      <c r="V2013" s="53">
        <v>777.96</v>
      </c>
      <c r="W2013" s="57">
        <f t="shared" ref="W2013:W2018" si="167">V2013/U2013</f>
        <v>1.5302124311565697</v>
      </c>
      <c r="X2013" s="47">
        <v>61</v>
      </c>
      <c r="Y2013" s="58">
        <v>448.84</v>
      </c>
      <c r="Z2013" s="58">
        <v>481.77</v>
      </c>
      <c r="AA2013" s="58">
        <v>737.21</v>
      </c>
      <c r="AB2013" s="57">
        <f t="shared" ref="AB2013:AB2018" si="168">AA2013/Z2013</f>
        <v>1.5302115117172095</v>
      </c>
      <c r="AC2013" s="47">
        <v>100</v>
      </c>
      <c r="AD2013" s="57">
        <v>430.8</v>
      </c>
      <c r="AE2013" s="57">
        <v>431.24</v>
      </c>
      <c r="AF2013" s="57">
        <v>659.89</v>
      </c>
      <c r="AG2013" s="57">
        <f t="shared" ref="AG2013:AG2018" si="169">AF2013/AE2013</f>
        <v>1.5302151933957888</v>
      </c>
      <c r="AH2013" s="47">
        <v>53</v>
      </c>
      <c r="AI2013">
        <v>425.7</v>
      </c>
      <c r="AJ2013">
        <v>490.72</v>
      </c>
      <c r="AK2013">
        <v>750.91</v>
      </c>
      <c r="AL2013" s="57">
        <f t="shared" si="135"/>
        <v>1.5302208999021845</v>
      </c>
      <c r="AM2013" s="47">
        <v>58</v>
      </c>
      <c r="AN2013" s="57">
        <v>494.77</v>
      </c>
      <c r="AO2013" s="57">
        <v>500.14</v>
      </c>
      <c r="AP2013" s="57">
        <v>765.32</v>
      </c>
      <c r="AQ2013" s="57">
        <f t="shared" si="162"/>
        <v>1.530211540768585</v>
      </c>
      <c r="AR2013" s="59"/>
      <c r="AS2013" s="59">
        <f>SUMIFS(HIX_RatingAreas[Silver Enrollments 2018],HIX_RatingAreas[Area],HIX_SLCSP[[#This Row],[Area Code]])</f>
        <v>4583</v>
      </c>
      <c r="AT2013" s="59">
        <f>SUMIFS(HIX_RatingAreas[Silver Enrollments 2019],HIX_RatingAreas[Area],HIX_SLCSP[[#This Row],[Area Code]])</f>
        <v>4583</v>
      </c>
      <c r="AU2013" s="59">
        <f>SUMIFS(HIX_RatingAreas[Silver Enrollments 2020],HIX_RatingAreas[Area],HIX_SLCSP[[#This Row],[Area Code]])</f>
        <v>4064</v>
      </c>
      <c r="AV2013" s="59">
        <f>SUMIFS(HIX_RatingAreas[Silver Enrollments 2021],HIX_RatingAreas[Area],HIX_SLCSP[[#This Row],[Area Code]])</f>
        <v>3353</v>
      </c>
      <c r="AW2013" s="59">
        <f>SUMIFS(HIX_RatingAreas[Silver Enrollments 2022],HIX_RatingAreas[Area],HIX_SLCSP[[#This Row],[Area Code]])</f>
        <v>4045</v>
      </c>
      <c r="AX2013" s="59">
        <f>SUMIFS(HIX_RatingAreas[Silver Enrollments 2023],HIX_RatingAreas[Area],HIX_SLCSP[[#This Row],[Area Code]])</f>
        <v>4572</v>
      </c>
      <c r="AY2013" s="59">
        <f>SUMIFS(HIX_RatingAreas[Silver Enrollments 2024],HIX_RatingAreas[Area],HIX_SLCSP[[#This Row],[Area Code]])</f>
        <v>5285</v>
      </c>
      <c r="AZ2013" s="59">
        <v>19932</v>
      </c>
      <c r="BA2013">
        <f t="shared" ref="BA2013:BA2018" si="170">AZ2013/AZ$2012</f>
        <v>8.4531413013053766E-2</v>
      </c>
      <c r="BB2013">
        <f>SUMIFS(HIX_RatingAreas[QHP Enrollments 2018],HIX_RatingAreas[Area],HIX_SLCSP[[#This Row],[Area Code]])</f>
        <v>9035</v>
      </c>
      <c r="BC2013">
        <f t="shared" ref="BC2013:BC2018" si="171">BB2013/BB$2012</f>
        <v>4.6435730071439585E-2</v>
      </c>
      <c r="BD2013">
        <f>SUMIFS(HIX_RatingAreas[QHP Enrollments 2019],HIX_RatingAreas[Area],HIX_SLCSP[[#This Row],[Area Code]])</f>
        <v>9035</v>
      </c>
      <c r="BE2013">
        <f t="shared" ref="BE2013:BE2018" si="172">BD2013/BD$2012</f>
        <v>4.6435730071439585E-2</v>
      </c>
      <c r="BF2013">
        <f>SUMIFS(HIX_RatingAreas[QHP Enrollments 2020],HIX_RatingAreas[Area],HIX_SLCSP[[#This Row],[Area Code]])</f>
        <v>9405</v>
      </c>
      <c r="BG2013">
        <f t="shared" ref="BG2013:BG2018" si="173">BF2013/BF$2012</f>
        <v>4.6963712355376233E-2</v>
      </c>
      <c r="BH2013">
        <f>SUMIFS(HIX_RatingAreas[QHP Enrollments 2021],HIX_RatingAreas[Area],HIX_SLCSP[[#This Row],[Area Code]])</f>
        <v>9306</v>
      </c>
      <c r="BI2013">
        <f t="shared" ref="BI2013:BI2018" si="174">BH2013/BH$2012</f>
        <v>4.4759536532458601E-2</v>
      </c>
      <c r="BJ2013">
        <f>SUMIFS(HIX_RatingAreas[QHP Enrollments 2022],HIX_RatingAreas[Area],HIX_SLCSP[[#This Row],[Area Code]])</f>
        <v>10767</v>
      </c>
      <c r="BK2013">
        <f t="shared" ref="BK2013:BK2018" si="175">BJ2013/BJ$2012</f>
        <v>4.1906029610947644E-2</v>
      </c>
      <c r="BL2013">
        <f>SUMIFS(HIX_RatingAreas[QHP Enrollments 2023],HIX_RatingAreas[Area],HIX_SLCSP[[#This Row],[Area Code]])</f>
        <v>11950</v>
      </c>
      <c r="BM2013">
        <f t="shared" si="164"/>
        <v>4.0481578341169937E-2</v>
      </c>
      <c r="BN2013">
        <f>SUMIFS(HIX_RatingAreas[QHP Enrollments 2024],HIX_RatingAreas[Area],HIX_SLCSP[[#This Row],[Area Code]])</f>
        <v>13666</v>
      </c>
      <c r="BO2013">
        <f t="shared" ref="BO2013:BO2018" si="176">BN2013/BN$2012</f>
        <v>3.7243247515254582E-2</v>
      </c>
      <c r="BP2013" s="53">
        <f>ROUND(HIX_SLCSP[[#This Row],[Weighting Factor 2018]]*HIX_SLCSP[[#This Row],[2018]],2)</f>
        <v>21.94</v>
      </c>
      <c r="BQ2013" s="53">
        <f>ROUND(HIX_SLCSP[[#This Row],[Weighting Factor 2019]]*HIX_SLCSP[[#This Row],[2019]],2)</f>
        <v>23.61</v>
      </c>
      <c r="BR2013" s="53">
        <f>ROUND(HIX_SLCSP[[#This Row],[Weighting Factor 2020]]*HIX_SLCSP[[#This Row],[2020]],2)</f>
        <v>23.88</v>
      </c>
      <c r="BS2013" s="53">
        <f>ROUND(HIX_SLCSP[[#This Row],[Weighting Factor 2021]]*HIX_SLCSP[[#This Row],[2021]],2)</f>
        <v>21.56</v>
      </c>
      <c r="BT2013" s="53">
        <f>ROUND(HIX_SLCSP[[#This Row],[Weighting Factor 2022]]*HIX_SLCSP[[#This Row],[2022]],2)</f>
        <v>18.07</v>
      </c>
      <c r="BU2013" s="53">
        <f>ROUND(HIX_SLCSP[[#This Row],[Weighting Factor 2023]]*HIX_SLCSP[[#This Row],[2023]],2)</f>
        <v>19.87</v>
      </c>
      <c r="BV2013" s="53">
        <f>ROUND(HIX_SLCSP[[#This Row],[Weighting Factor 2024]]*HIX_SLCSP[[#This Row],[2024]],2)</f>
        <v>18.63</v>
      </c>
    </row>
    <row r="2014" spans="4:74" x14ac:dyDescent="0.35">
      <c r="D2014" t="s">
        <v>2432</v>
      </c>
      <c r="E2014" t="s">
        <v>235</v>
      </c>
      <c r="F2014" s="23">
        <v>2</v>
      </c>
      <c r="G2014" s="23" t="s">
        <v>2433</v>
      </c>
      <c r="H2014" s="23" t="s">
        <v>2436</v>
      </c>
      <c r="I2014" s="23">
        <v>42</v>
      </c>
      <c r="J2014" s="53">
        <v>412.56</v>
      </c>
      <c r="K2014" s="53">
        <v>443.08</v>
      </c>
      <c r="L2014" s="53">
        <v>678.02</v>
      </c>
      <c r="M2014" s="54">
        <f t="shared" si="165"/>
        <v>1.5302428455357948</v>
      </c>
      <c r="N2014" s="24">
        <v>50</v>
      </c>
      <c r="O2014" s="55">
        <v>408.85</v>
      </c>
      <c r="P2014" s="56">
        <v>430.64</v>
      </c>
      <c r="Q2014" s="56">
        <v>658.97</v>
      </c>
      <c r="R2014" s="57">
        <f t="shared" si="166"/>
        <v>1.5302108489689765</v>
      </c>
      <c r="S2014" s="23">
        <v>83</v>
      </c>
      <c r="T2014" s="53">
        <v>397.07</v>
      </c>
      <c r="U2014" s="53">
        <v>430.73</v>
      </c>
      <c r="V2014" s="53">
        <v>659.11</v>
      </c>
      <c r="W2014" s="57">
        <f t="shared" si="167"/>
        <v>1.5302161446846052</v>
      </c>
      <c r="X2014" s="47">
        <v>92</v>
      </c>
      <c r="Y2014" s="58">
        <v>397.23</v>
      </c>
      <c r="Z2014" s="58">
        <v>426.72</v>
      </c>
      <c r="AA2014" s="58">
        <v>652.97</v>
      </c>
      <c r="AB2014" s="57">
        <f t="shared" si="168"/>
        <v>1.5302071616047994</v>
      </c>
      <c r="AC2014" s="47">
        <v>151</v>
      </c>
      <c r="AD2014" s="57">
        <v>366.97</v>
      </c>
      <c r="AE2014" s="57">
        <v>367.34</v>
      </c>
      <c r="AF2014" s="57">
        <v>562.11</v>
      </c>
      <c r="AG2014" s="57">
        <f t="shared" si="169"/>
        <v>1.5302172374367073</v>
      </c>
      <c r="AH2014" s="47">
        <v>132</v>
      </c>
      <c r="AI2014">
        <v>366.73</v>
      </c>
      <c r="AJ2014">
        <v>376.09</v>
      </c>
      <c r="AK2014">
        <v>575.5</v>
      </c>
      <c r="AL2014" s="57">
        <f t="shared" si="135"/>
        <v>1.5302188305990589</v>
      </c>
      <c r="AM2014" s="47">
        <v>91</v>
      </c>
      <c r="AN2014" s="57">
        <v>390.19</v>
      </c>
      <c r="AO2014" s="57">
        <v>394.42</v>
      </c>
      <c r="AP2014" s="57">
        <v>603.54999999999995</v>
      </c>
      <c r="AQ2014" s="57">
        <f t="shared" si="162"/>
        <v>1.5302215911972008</v>
      </c>
      <c r="AR2014" s="59"/>
      <c r="AS2014" s="59">
        <f>SUMIFS(HIX_RatingAreas[Silver Enrollments 2018],HIX_RatingAreas[Area],HIX_SLCSP[[#This Row],[Area Code]])</f>
        <v>7940</v>
      </c>
      <c r="AT2014" s="59">
        <f>SUMIFS(HIX_RatingAreas[Silver Enrollments 2019],HIX_RatingAreas[Area],HIX_SLCSP[[#This Row],[Area Code]])</f>
        <v>7940</v>
      </c>
      <c r="AU2014" s="59">
        <f>SUMIFS(HIX_RatingAreas[Silver Enrollments 2020],HIX_RatingAreas[Area],HIX_SLCSP[[#This Row],[Area Code]])</f>
        <v>6931</v>
      </c>
      <c r="AV2014" s="59">
        <f>SUMIFS(HIX_RatingAreas[Silver Enrollments 2021],HIX_RatingAreas[Area],HIX_SLCSP[[#This Row],[Area Code]])</f>
        <v>6073</v>
      </c>
      <c r="AW2014" s="59">
        <f>SUMIFS(HIX_RatingAreas[Silver Enrollments 2022],HIX_RatingAreas[Area],HIX_SLCSP[[#This Row],[Area Code]])</f>
        <v>8215</v>
      </c>
      <c r="AX2014" s="59">
        <f>SUMIFS(HIX_RatingAreas[Silver Enrollments 2023],HIX_RatingAreas[Area],HIX_SLCSP[[#This Row],[Area Code]])</f>
        <v>9129</v>
      </c>
      <c r="AY2014" s="59">
        <f>SUMIFS(HIX_RatingAreas[Silver Enrollments 2024],HIX_RatingAreas[Area],HIX_SLCSP[[#This Row],[Area Code]])</f>
        <v>12205</v>
      </c>
      <c r="AZ2014" s="59">
        <v>49401</v>
      </c>
      <c r="BA2014">
        <f t="shared" si="170"/>
        <v>0.20950914781546603</v>
      </c>
      <c r="BB2014">
        <f>SUMIFS(HIX_RatingAreas[QHP Enrollments 2018],HIX_RatingAreas[Area],HIX_SLCSP[[#This Row],[Area Code]])</f>
        <v>15163</v>
      </c>
      <c r="BC2014">
        <f t="shared" si="171"/>
        <v>7.7930821812201262E-2</v>
      </c>
      <c r="BD2014">
        <f>SUMIFS(HIX_RatingAreas[QHP Enrollments 2019],HIX_RatingAreas[Area],HIX_SLCSP[[#This Row],[Area Code]])</f>
        <v>15163</v>
      </c>
      <c r="BE2014">
        <f t="shared" si="172"/>
        <v>7.7930821812201262E-2</v>
      </c>
      <c r="BF2014">
        <f>SUMIFS(HIX_RatingAreas[QHP Enrollments 2020],HIX_RatingAreas[Area],HIX_SLCSP[[#This Row],[Area Code]])</f>
        <v>15141</v>
      </c>
      <c r="BG2014">
        <f t="shared" si="173"/>
        <v>7.5606333734476505E-2</v>
      </c>
      <c r="BH2014">
        <f>SUMIFS(HIX_RatingAreas[QHP Enrollments 2021],HIX_RatingAreas[Area],HIX_SLCSP[[#This Row],[Area Code]])</f>
        <v>15376</v>
      </c>
      <c r="BI2014">
        <f t="shared" si="174"/>
        <v>7.395472101043235E-2</v>
      </c>
      <c r="BJ2014">
        <f>SUMIFS(HIX_RatingAreas[QHP Enrollments 2022],HIX_RatingAreas[Area],HIX_SLCSP[[#This Row],[Area Code]])</f>
        <v>18381</v>
      </c>
      <c r="BK2014">
        <f t="shared" si="175"/>
        <v>7.1540329737051045E-2</v>
      </c>
      <c r="BL2014">
        <f>SUMIFS(HIX_RatingAreas[QHP Enrollments 2023],HIX_RatingAreas[Area],HIX_SLCSP[[#This Row],[Area Code]])</f>
        <v>20883</v>
      </c>
      <c r="BM2014">
        <f t="shared" si="164"/>
        <v>7.0742828493611021E-2</v>
      </c>
      <c r="BN2014">
        <f>SUMIFS(HIX_RatingAreas[QHP Enrollments 2024],HIX_RatingAreas[Area],HIX_SLCSP[[#This Row],[Area Code]])</f>
        <v>25128</v>
      </c>
      <c r="BO2014">
        <f t="shared" si="176"/>
        <v>6.8480047092295993E-2</v>
      </c>
      <c r="BP2014" s="53">
        <f>ROUND(HIX_SLCSP[[#This Row],[Weighting Factor 2018]]*HIX_SLCSP[[#This Row],[2018]],2)</f>
        <v>34.53</v>
      </c>
      <c r="BQ2014" s="53">
        <f>ROUND(HIX_SLCSP[[#This Row],[Weighting Factor 2019]]*HIX_SLCSP[[#This Row],[2019]],2)</f>
        <v>33.56</v>
      </c>
      <c r="BR2014" s="53">
        <f>ROUND(HIX_SLCSP[[#This Row],[Weighting Factor 2020]]*HIX_SLCSP[[#This Row],[2020]],2)</f>
        <v>32.57</v>
      </c>
      <c r="BS2014" s="53">
        <f>ROUND(HIX_SLCSP[[#This Row],[Weighting Factor 2021]]*HIX_SLCSP[[#This Row],[2021]],2)</f>
        <v>31.56</v>
      </c>
      <c r="BT2014" s="53">
        <f>ROUND(HIX_SLCSP[[#This Row],[Weighting Factor 2022]]*HIX_SLCSP[[#This Row],[2022]],2)</f>
        <v>26.28</v>
      </c>
      <c r="BU2014" s="53">
        <f>ROUND(HIX_SLCSP[[#This Row],[Weighting Factor 2023]]*HIX_SLCSP[[#This Row],[2023]],2)</f>
        <v>26.61</v>
      </c>
      <c r="BV2014" s="53">
        <f>ROUND(HIX_SLCSP[[#This Row],[Weighting Factor 2024]]*HIX_SLCSP[[#This Row],[2024]],2)</f>
        <v>27.01</v>
      </c>
    </row>
    <row r="2015" spans="4:74" x14ac:dyDescent="0.35">
      <c r="D2015" t="s">
        <v>2432</v>
      </c>
      <c r="E2015" t="s">
        <v>239</v>
      </c>
      <c r="F2015" s="23">
        <v>3</v>
      </c>
      <c r="G2015" s="23" t="s">
        <v>2433</v>
      </c>
      <c r="H2015" s="23" t="s">
        <v>2442</v>
      </c>
      <c r="I2015" s="23">
        <v>47</v>
      </c>
      <c r="J2015" s="53">
        <v>371.29</v>
      </c>
      <c r="K2015" s="53">
        <v>385.57</v>
      </c>
      <c r="L2015" s="53">
        <v>590</v>
      </c>
      <c r="M2015" s="54">
        <f t="shared" si="165"/>
        <v>1.530202038540343</v>
      </c>
      <c r="N2015" s="24">
        <v>50</v>
      </c>
      <c r="O2015" s="55">
        <v>382.1</v>
      </c>
      <c r="P2015" s="56">
        <v>407.77</v>
      </c>
      <c r="Q2015" s="56">
        <v>623.97</v>
      </c>
      <c r="R2015" s="57">
        <f t="shared" si="166"/>
        <v>1.5302008485175469</v>
      </c>
      <c r="S2015" s="23">
        <v>83</v>
      </c>
      <c r="T2015" s="53">
        <v>371.09</v>
      </c>
      <c r="U2015" s="53">
        <v>407.78</v>
      </c>
      <c r="V2015" s="53">
        <v>623.99</v>
      </c>
      <c r="W2015" s="57">
        <f t="shared" si="167"/>
        <v>1.5302123694148806</v>
      </c>
      <c r="X2015" s="47">
        <v>92</v>
      </c>
      <c r="Y2015" s="58">
        <v>371.25</v>
      </c>
      <c r="Z2015" s="58">
        <v>414.14</v>
      </c>
      <c r="AA2015" s="58">
        <v>633.72</v>
      </c>
      <c r="AB2015" s="57">
        <f t="shared" si="168"/>
        <v>1.5302071763171876</v>
      </c>
      <c r="AC2015" s="47">
        <v>159</v>
      </c>
      <c r="AD2015" s="57">
        <v>346.49</v>
      </c>
      <c r="AE2015" s="57">
        <v>346.84</v>
      </c>
      <c r="AF2015" s="57">
        <v>530.74</v>
      </c>
      <c r="AG2015" s="57">
        <f t="shared" si="169"/>
        <v>1.5302156614000693</v>
      </c>
      <c r="AH2015" s="47">
        <v>144</v>
      </c>
      <c r="AI2015">
        <v>349.27</v>
      </c>
      <c r="AJ2015">
        <v>358.18</v>
      </c>
      <c r="AK2015">
        <v>548.1</v>
      </c>
      <c r="AL2015" s="57">
        <f t="shared" si="135"/>
        <v>1.5302361940923559</v>
      </c>
      <c r="AM2015" s="47">
        <v>127</v>
      </c>
      <c r="AN2015" s="57">
        <v>371.61</v>
      </c>
      <c r="AO2015" s="57">
        <v>375.64</v>
      </c>
      <c r="AP2015" s="57">
        <v>574.80999999999995</v>
      </c>
      <c r="AQ2015" s="57">
        <f t="shared" si="162"/>
        <v>1.5302150995634116</v>
      </c>
      <c r="AR2015" s="59"/>
      <c r="AS2015" s="59">
        <f>SUMIFS(HIX_RatingAreas[Silver Enrollments 2018],HIX_RatingAreas[Area],HIX_SLCSP[[#This Row],[Area Code]])</f>
        <v>51072</v>
      </c>
      <c r="AT2015" s="59">
        <f>SUMIFS(HIX_RatingAreas[Silver Enrollments 2019],HIX_RatingAreas[Area],HIX_SLCSP[[#This Row],[Area Code]])</f>
        <v>51072</v>
      </c>
      <c r="AU2015" s="59">
        <f>SUMIFS(HIX_RatingAreas[Silver Enrollments 2020],HIX_RatingAreas[Area],HIX_SLCSP[[#This Row],[Area Code]])</f>
        <v>47491</v>
      </c>
      <c r="AV2015" s="59">
        <f>SUMIFS(HIX_RatingAreas[Silver Enrollments 2021],HIX_RatingAreas[Area],HIX_SLCSP[[#This Row],[Area Code]])</f>
        <v>45335</v>
      </c>
      <c r="AW2015" s="59">
        <f>SUMIFS(HIX_RatingAreas[Silver Enrollments 2022],HIX_RatingAreas[Area],HIX_SLCSP[[#This Row],[Area Code]])</f>
        <v>62859</v>
      </c>
      <c r="AX2015" s="59">
        <f>SUMIFS(HIX_RatingAreas[Silver Enrollments 2023],HIX_RatingAreas[Area],HIX_SLCSP[[#This Row],[Area Code]])</f>
        <v>73492</v>
      </c>
      <c r="AY2015" s="59">
        <f>SUMIFS(HIX_RatingAreas[Silver Enrollments 2024],HIX_RatingAreas[Area],HIX_SLCSP[[#This Row],[Area Code]])</f>
        <v>103339</v>
      </c>
      <c r="AZ2015" s="59">
        <v>27160</v>
      </c>
      <c r="BA2015">
        <f t="shared" si="170"/>
        <v>0.11518528885383003</v>
      </c>
      <c r="BB2015">
        <f>SUMIFS(HIX_RatingAreas[QHP Enrollments 2018],HIX_RatingAreas[Area],HIX_SLCSP[[#This Row],[Area Code]])</f>
        <v>92412</v>
      </c>
      <c r="BC2015">
        <f t="shared" si="171"/>
        <v>0.47495502903839237</v>
      </c>
      <c r="BD2015">
        <f>SUMIFS(HIX_RatingAreas[QHP Enrollments 2019],HIX_RatingAreas[Area],HIX_SLCSP[[#This Row],[Area Code]])</f>
        <v>92412</v>
      </c>
      <c r="BE2015">
        <f t="shared" si="172"/>
        <v>0.47495502903839237</v>
      </c>
      <c r="BF2015">
        <f>SUMIFS(HIX_RatingAreas[QHP Enrollments 2020],HIX_RatingAreas[Area],HIX_SLCSP[[#This Row],[Area Code]])</f>
        <v>93961</v>
      </c>
      <c r="BG2015">
        <f t="shared" si="173"/>
        <v>0.4691927035219039</v>
      </c>
      <c r="BH2015">
        <f>SUMIFS(HIX_RatingAreas[QHP Enrollments 2021],HIX_RatingAreas[Area],HIX_SLCSP[[#This Row],[Area Code]])</f>
        <v>97284</v>
      </c>
      <c r="BI2015">
        <f t="shared" si="174"/>
        <v>0.46791175070102109</v>
      </c>
      <c r="BJ2015">
        <f>SUMIFS(HIX_RatingAreas[QHP Enrollments 2022],HIX_RatingAreas[Area],HIX_SLCSP[[#This Row],[Area Code]])</f>
        <v>120475</v>
      </c>
      <c r="BK2015">
        <f t="shared" si="175"/>
        <v>0.46889838556505226</v>
      </c>
      <c r="BL2015">
        <f>SUMIFS(HIX_RatingAreas[QHP Enrollments 2023],HIX_RatingAreas[Area],HIX_SLCSP[[#This Row],[Area Code]])</f>
        <v>139709</v>
      </c>
      <c r="BM2015">
        <f t="shared" si="164"/>
        <v>0.47327538313527284</v>
      </c>
      <c r="BN2015">
        <f>SUMIFS(HIX_RatingAreas[QHP Enrollments 2024],HIX_RatingAreas[Area],HIX_SLCSP[[#This Row],[Area Code]])</f>
        <v>179035</v>
      </c>
      <c r="BO2015">
        <f t="shared" si="176"/>
        <v>0.48791488503538738</v>
      </c>
      <c r="BP2015" s="53">
        <f>ROUND(HIX_SLCSP[[#This Row],[Weighting Factor 2018]]*HIX_SLCSP[[#This Row],[2018]],2)</f>
        <v>183.13</v>
      </c>
      <c r="BQ2015" s="53">
        <f>ROUND(HIX_SLCSP[[#This Row],[Weighting Factor 2019]]*HIX_SLCSP[[#This Row],[2019]],2)</f>
        <v>193.67</v>
      </c>
      <c r="BR2015" s="53">
        <f>ROUND(HIX_SLCSP[[#This Row],[Weighting Factor 2020]]*HIX_SLCSP[[#This Row],[2020]],2)</f>
        <v>191.33</v>
      </c>
      <c r="BS2015" s="53">
        <f>ROUND(HIX_SLCSP[[#This Row],[Weighting Factor 2021]]*HIX_SLCSP[[#This Row],[2021]],2)</f>
        <v>193.78</v>
      </c>
      <c r="BT2015" s="53">
        <f>ROUND(HIX_SLCSP[[#This Row],[Weighting Factor 2022]]*HIX_SLCSP[[#This Row],[2022]],2)</f>
        <v>162.63</v>
      </c>
      <c r="BU2015" s="53">
        <f>ROUND(HIX_SLCSP[[#This Row],[Weighting Factor 2023]]*HIX_SLCSP[[#This Row],[2023]],2)</f>
        <v>169.52</v>
      </c>
      <c r="BV2015" s="53">
        <f>ROUND(HIX_SLCSP[[#This Row],[Weighting Factor 2024]]*HIX_SLCSP[[#This Row],[2024]],2)</f>
        <v>183.28</v>
      </c>
    </row>
    <row r="2016" spans="4:74" x14ac:dyDescent="0.35">
      <c r="D2016" t="s">
        <v>2432</v>
      </c>
      <c r="E2016" t="s">
        <v>255</v>
      </c>
      <c r="F2016" s="23">
        <v>4</v>
      </c>
      <c r="G2016" s="23" t="s">
        <v>2433</v>
      </c>
      <c r="H2016" s="23" t="s">
        <v>2463</v>
      </c>
      <c r="I2016" s="23">
        <v>42</v>
      </c>
      <c r="J2016" s="53">
        <v>383.34</v>
      </c>
      <c r="K2016" s="53">
        <v>400.99</v>
      </c>
      <c r="L2016" s="53">
        <v>613.6</v>
      </c>
      <c r="M2016" s="54">
        <f t="shared" si="165"/>
        <v>1.5302127235093144</v>
      </c>
      <c r="N2016" s="24">
        <v>50</v>
      </c>
      <c r="O2016" s="55">
        <v>397.38</v>
      </c>
      <c r="P2016" s="56">
        <v>421.01</v>
      </c>
      <c r="Q2016" s="56">
        <v>644.23</v>
      </c>
      <c r="R2016" s="57">
        <f t="shared" si="166"/>
        <v>1.5302011828697657</v>
      </c>
      <c r="S2016" s="23">
        <v>75</v>
      </c>
      <c r="T2016" s="53">
        <v>385.94</v>
      </c>
      <c r="U2016" s="53">
        <v>421.02</v>
      </c>
      <c r="V2016" s="53">
        <v>644.25</v>
      </c>
      <c r="W2016" s="57">
        <f t="shared" si="167"/>
        <v>1.530212341456463</v>
      </c>
      <c r="X2016" s="47">
        <v>92</v>
      </c>
      <c r="Y2016" s="58">
        <v>386.1</v>
      </c>
      <c r="Z2016" s="58">
        <v>421.68</v>
      </c>
      <c r="AA2016" s="58">
        <v>645.25</v>
      </c>
      <c r="AB2016" s="57">
        <f t="shared" si="168"/>
        <v>1.5301887687345854</v>
      </c>
      <c r="AC2016" s="47">
        <v>159</v>
      </c>
      <c r="AD2016" s="57">
        <v>356.96</v>
      </c>
      <c r="AE2016" s="57">
        <v>357.32</v>
      </c>
      <c r="AF2016" s="57">
        <v>546.78</v>
      </c>
      <c r="AG2016" s="57">
        <f t="shared" si="169"/>
        <v>1.5302250083958355</v>
      </c>
      <c r="AH2016" s="47">
        <v>136</v>
      </c>
      <c r="AI2016">
        <v>359.74</v>
      </c>
      <c r="AJ2016">
        <v>368.93</v>
      </c>
      <c r="AK2016">
        <v>564.54</v>
      </c>
      <c r="AL2016" s="57">
        <f t="shared" si="135"/>
        <v>1.5302089827338519</v>
      </c>
      <c r="AM2016" s="47">
        <v>107</v>
      </c>
      <c r="AN2016" s="57">
        <v>382.75</v>
      </c>
      <c r="AO2016" s="57">
        <v>386.91</v>
      </c>
      <c r="AP2016" s="57">
        <v>592.04999999999995</v>
      </c>
      <c r="AQ2016" s="57">
        <f t="shared" si="162"/>
        <v>1.5302008218965648</v>
      </c>
      <c r="AR2016" s="59"/>
      <c r="AS2016" s="59">
        <f>SUMIFS(HIX_RatingAreas[Silver Enrollments 2018],HIX_RatingAreas[Area],HIX_SLCSP[[#This Row],[Area Code]])</f>
        <v>25675</v>
      </c>
      <c r="AT2016" s="59">
        <f>SUMIFS(HIX_RatingAreas[Silver Enrollments 2019],HIX_RatingAreas[Area],HIX_SLCSP[[#This Row],[Area Code]])</f>
        <v>25675</v>
      </c>
      <c r="AU2016" s="59">
        <f>SUMIFS(HIX_RatingAreas[Silver Enrollments 2020],HIX_RatingAreas[Area],HIX_SLCSP[[#This Row],[Area Code]])</f>
        <v>25378</v>
      </c>
      <c r="AV2016" s="59">
        <f>SUMIFS(HIX_RatingAreas[Silver Enrollments 2021],HIX_RatingAreas[Area],HIX_SLCSP[[#This Row],[Area Code]])</f>
        <v>25500</v>
      </c>
      <c r="AW2016" s="59">
        <f>SUMIFS(HIX_RatingAreas[Silver Enrollments 2022],HIX_RatingAreas[Area],HIX_SLCSP[[#This Row],[Area Code]])</f>
        <v>35040</v>
      </c>
      <c r="AX2016" s="59">
        <f>SUMIFS(HIX_RatingAreas[Silver Enrollments 2023],HIX_RatingAreas[Area],HIX_SLCSP[[#This Row],[Area Code]])</f>
        <v>41088</v>
      </c>
      <c r="AY2016" s="59">
        <f>SUMIFS(HIX_RatingAreas[Silver Enrollments 2024],HIX_RatingAreas[Area],HIX_SLCSP[[#This Row],[Area Code]])</f>
        <v>57029</v>
      </c>
      <c r="AZ2016" s="59">
        <v>76002</v>
      </c>
      <c r="BA2016">
        <f t="shared" si="170"/>
        <v>0.32232372324995545</v>
      </c>
      <c r="BB2016">
        <f>SUMIFS(HIX_RatingAreas[QHP Enrollments 2018],HIX_RatingAreas[Area],HIX_SLCSP[[#This Row],[Area Code]])</f>
        <v>46233</v>
      </c>
      <c r="BC2016">
        <f t="shared" si="171"/>
        <v>0.23761628205787119</v>
      </c>
      <c r="BD2016">
        <f>SUMIFS(HIX_RatingAreas[QHP Enrollments 2019],HIX_RatingAreas[Area],HIX_SLCSP[[#This Row],[Area Code]])</f>
        <v>46233</v>
      </c>
      <c r="BE2016">
        <f t="shared" si="172"/>
        <v>0.23761628205787119</v>
      </c>
      <c r="BF2016">
        <f>SUMIFS(HIX_RatingAreas[QHP Enrollments 2020],HIX_RatingAreas[Area],HIX_SLCSP[[#This Row],[Area Code]])</f>
        <v>48790</v>
      </c>
      <c r="BG2016">
        <f t="shared" si="173"/>
        <v>0.24363206016148925</v>
      </c>
      <c r="BH2016">
        <f>SUMIFS(HIX_RatingAreas[QHP Enrollments 2021],HIX_RatingAreas[Area],HIX_SLCSP[[#This Row],[Area Code]])</f>
        <v>51851</v>
      </c>
      <c r="BI2016">
        <f t="shared" si="174"/>
        <v>0.24939036414619717</v>
      </c>
      <c r="BJ2016">
        <f>SUMIFS(HIX_RatingAreas[QHP Enrollments 2022],HIX_RatingAreas[Area],HIX_SLCSP[[#This Row],[Area Code]])</f>
        <v>64767</v>
      </c>
      <c r="BK2016">
        <f t="shared" si="175"/>
        <v>0.25207837093082996</v>
      </c>
      <c r="BL2016">
        <f>SUMIFS(HIX_RatingAreas[QHP Enrollments 2023],HIX_RatingAreas[Area],HIX_SLCSP[[#This Row],[Area Code]])</f>
        <v>75197</v>
      </c>
      <c r="BM2016">
        <f t="shared" si="164"/>
        <v>0.25473583652895027</v>
      </c>
      <c r="BN2016">
        <f>SUMIFS(HIX_RatingAreas[QHP Enrollments 2024],HIX_RatingAreas[Area],HIX_SLCSP[[#This Row],[Area Code]])</f>
        <v>95531</v>
      </c>
      <c r="BO2016">
        <f t="shared" si="176"/>
        <v>0.26034572503876668</v>
      </c>
      <c r="BP2016" s="53">
        <f>ROUND(HIX_SLCSP[[#This Row],[Weighting Factor 2018]]*HIX_SLCSP[[#This Row],[2018]],2)</f>
        <v>95.28</v>
      </c>
      <c r="BQ2016" s="53">
        <f>ROUND(HIX_SLCSP[[#This Row],[Weighting Factor 2019]]*HIX_SLCSP[[#This Row],[2019]],2)</f>
        <v>100.04</v>
      </c>
      <c r="BR2016" s="53">
        <f>ROUND(HIX_SLCSP[[#This Row],[Weighting Factor 2020]]*HIX_SLCSP[[#This Row],[2020]],2)</f>
        <v>102.57</v>
      </c>
      <c r="BS2016" s="53">
        <f>ROUND(HIX_SLCSP[[#This Row],[Weighting Factor 2021]]*HIX_SLCSP[[#This Row],[2021]],2)</f>
        <v>105.16</v>
      </c>
      <c r="BT2016" s="53">
        <f>ROUND(HIX_SLCSP[[#This Row],[Weighting Factor 2022]]*HIX_SLCSP[[#This Row],[2022]],2)</f>
        <v>90.07</v>
      </c>
      <c r="BU2016" s="53">
        <f>ROUND(HIX_SLCSP[[#This Row],[Weighting Factor 2023]]*HIX_SLCSP[[#This Row],[2023]],2)</f>
        <v>93.98</v>
      </c>
      <c r="BV2016" s="53">
        <f>ROUND(HIX_SLCSP[[#This Row],[Weighting Factor 2024]]*HIX_SLCSP[[#This Row],[2024]],2)</f>
        <v>100.73</v>
      </c>
    </row>
    <row r="2017" spans="3:74" x14ac:dyDescent="0.35">
      <c r="D2017" t="s">
        <v>2432</v>
      </c>
      <c r="E2017" t="s">
        <v>259</v>
      </c>
      <c r="F2017" s="23">
        <v>5</v>
      </c>
      <c r="G2017" s="23" t="s">
        <v>2433</v>
      </c>
      <c r="H2017" s="23" t="s">
        <v>2448</v>
      </c>
      <c r="I2017" s="23">
        <v>22</v>
      </c>
      <c r="J2017" s="53">
        <v>468.35</v>
      </c>
      <c r="K2017" s="53">
        <v>533.53</v>
      </c>
      <c r="L2017" s="53">
        <v>816.41</v>
      </c>
      <c r="M2017" s="54">
        <f t="shared" si="165"/>
        <v>1.5302044870953837</v>
      </c>
      <c r="N2017" s="24">
        <v>26</v>
      </c>
      <c r="O2017" s="55">
        <v>464.13</v>
      </c>
      <c r="P2017" s="56">
        <v>547.4</v>
      </c>
      <c r="Q2017" s="56">
        <v>837.65</v>
      </c>
      <c r="R2017" s="57">
        <f t="shared" si="166"/>
        <v>1.5302338326635001</v>
      </c>
      <c r="S2017" s="23">
        <v>38</v>
      </c>
      <c r="T2017" s="53">
        <v>450.79</v>
      </c>
      <c r="U2017" s="53">
        <v>515.86</v>
      </c>
      <c r="V2017" s="53">
        <v>789.38</v>
      </c>
      <c r="W2017" s="57">
        <f t="shared" si="167"/>
        <v>1.5302213778932268</v>
      </c>
      <c r="X2017" s="47">
        <v>37</v>
      </c>
      <c r="Y2017" s="58">
        <v>450.94</v>
      </c>
      <c r="Z2017" s="58">
        <v>502.38</v>
      </c>
      <c r="AA2017" s="58">
        <v>768.75</v>
      </c>
      <c r="AB2017" s="57">
        <f t="shared" si="168"/>
        <v>1.5302161710259166</v>
      </c>
      <c r="AC2017" s="47">
        <v>42</v>
      </c>
      <c r="AD2017" s="57">
        <v>450.93</v>
      </c>
      <c r="AE2017" s="57">
        <v>505.82</v>
      </c>
      <c r="AF2017" s="57">
        <v>774.02</v>
      </c>
      <c r="AG2017" s="57">
        <f t="shared" si="169"/>
        <v>1.5302281443991934</v>
      </c>
      <c r="AH2017" s="47">
        <v>43</v>
      </c>
      <c r="AI2017">
        <v>464.17</v>
      </c>
      <c r="AJ2017">
        <v>535.05999999999995</v>
      </c>
      <c r="AK2017">
        <v>818.75</v>
      </c>
      <c r="AL2017" s="57">
        <f t="shared" si="135"/>
        <v>1.5302022203117409</v>
      </c>
      <c r="AM2017" s="47">
        <v>35</v>
      </c>
      <c r="AN2017" s="57">
        <v>559.34</v>
      </c>
      <c r="AO2017" s="57">
        <v>565.41</v>
      </c>
      <c r="AP2017" s="57">
        <v>865.2</v>
      </c>
      <c r="AQ2017" s="57">
        <f t="shared" si="162"/>
        <v>1.5302170106648274</v>
      </c>
      <c r="AR2017" s="59"/>
      <c r="AS2017" s="59">
        <f>SUMIFS(HIX_RatingAreas[Silver Enrollments 2018],HIX_RatingAreas[Area],HIX_SLCSP[[#This Row],[Area Code]])</f>
        <v>10265</v>
      </c>
      <c r="AT2017" s="59">
        <f>SUMIFS(HIX_RatingAreas[Silver Enrollments 2019],HIX_RatingAreas[Area],HIX_SLCSP[[#This Row],[Area Code]])</f>
        <v>10265</v>
      </c>
      <c r="AU2017" s="59">
        <f>SUMIFS(HIX_RatingAreas[Silver Enrollments 2020],HIX_RatingAreas[Area],HIX_SLCSP[[#This Row],[Area Code]])</f>
        <v>9544</v>
      </c>
      <c r="AV2017" s="59">
        <f>SUMIFS(HIX_RatingAreas[Silver Enrollments 2021],HIX_RatingAreas[Area],HIX_SLCSP[[#This Row],[Area Code]])</f>
        <v>8616</v>
      </c>
      <c r="AW2017" s="59">
        <f>SUMIFS(HIX_RatingAreas[Silver Enrollments 2022],HIX_RatingAreas[Area],HIX_SLCSP[[#This Row],[Area Code]])</f>
        <v>12257</v>
      </c>
      <c r="AX2017" s="59">
        <f>SUMIFS(HIX_RatingAreas[Silver Enrollments 2023],HIX_RatingAreas[Area],HIX_SLCSP[[#This Row],[Area Code]])</f>
        <v>13471</v>
      </c>
      <c r="AY2017" s="59">
        <f>SUMIFS(HIX_RatingAreas[Silver Enrollments 2024],HIX_RatingAreas[Area],HIX_SLCSP[[#This Row],[Area Code]])</f>
        <v>13676</v>
      </c>
      <c r="AZ2017" s="59">
        <v>18577</v>
      </c>
      <c r="BA2017">
        <f t="shared" si="170"/>
        <v>7.8784871540412388E-2</v>
      </c>
      <c r="BB2017">
        <f>SUMIFS(HIX_RatingAreas[QHP Enrollments 2018],HIX_RatingAreas[Area],HIX_SLCSP[[#This Row],[Area Code]])</f>
        <v>18950</v>
      </c>
      <c r="BC2017">
        <f t="shared" si="171"/>
        <v>9.7394253995991165E-2</v>
      </c>
      <c r="BD2017">
        <f>SUMIFS(HIX_RatingAreas[QHP Enrollments 2019],HIX_RatingAreas[Area],HIX_SLCSP[[#This Row],[Area Code]])</f>
        <v>18950</v>
      </c>
      <c r="BE2017">
        <f t="shared" si="172"/>
        <v>9.7394253995991165E-2</v>
      </c>
      <c r="BF2017">
        <f>SUMIFS(HIX_RatingAreas[QHP Enrollments 2020],HIX_RatingAreas[Area],HIX_SLCSP[[#This Row],[Area Code]])</f>
        <v>19885</v>
      </c>
      <c r="BG2017">
        <f t="shared" si="173"/>
        <v>9.9295419477581762E-2</v>
      </c>
      <c r="BH2017">
        <f>SUMIFS(HIX_RatingAreas[QHP Enrollments 2021],HIX_RatingAreas[Area],HIX_SLCSP[[#This Row],[Area Code]])</f>
        <v>20411</v>
      </c>
      <c r="BI2017">
        <f t="shared" si="174"/>
        <v>9.8171813901140395E-2</v>
      </c>
      <c r="BJ2017">
        <f>SUMIFS(HIX_RatingAreas[QHP Enrollments 2022],HIX_RatingAreas[Area],HIX_SLCSP[[#This Row],[Area Code]])</f>
        <v>25892</v>
      </c>
      <c r="BK2017">
        <f t="shared" si="175"/>
        <v>0.10077374558248875</v>
      </c>
      <c r="BL2017">
        <f>SUMIFS(HIX_RatingAreas[QHP Enrollments 2023],HIX_RatingAreas[Area],HIX_SLCSP[[#This Row],[Area Code]])</f>
        <v>29291</v>
      </c>
      <c r="BM2017">
        <f t="shared" si="164"/>
        <v>9.9225599262862646E-2</v>
      </c>
      <c r="BN2017">
        <f>SUMIFS(HIX_RatingAreas[QHP Enrollments 2024],HIX_RatingAreas[Area],HIX_SLCSP[[#This Row],[Area Code]])</f>
        <v>32218</v>
      </c>
      <c r="BO2017">
        <f t="shared" si="176"/>
        <v>8.7802059742900049E-2</v>
      </c>
      <c r="BP2017" s="53">
        <f>ROUND(HIX_SLCSP[[#This Row],[Weighting Factor 2018]]*HIX_SLCSP[[#This Row],[2018]],2)</f>
        <v>51.96</v>
      </c>
      <c r="BQ2017" s="53">
        <f>ROUND(HIX_SLCSP[[#This Row],[Weighting Factor 2019]]*HIX_SLCSP[[#This Row],[2019]],2)</f>
        <v>53.31</v>
      </c>
      <c r="BR2017" s="53">
        <f>ROUND(HIX_SLCSP[[#This Row],[Weighting Factor 2020]]*HIX_SLCSP[[#This Row],[2020]],2)</f>
        <v>51.22</v>
      </c>
      <c r="BS2017" s="53">
        <f>ROUND(HIX_SLCSP[[#This Row],[Weighting Factor 2021]]*HIX_SLCSP[[#This Row],[2021]],2)</f>
        <v>49.32</v>
      </c>
      <c r="BT2017" s="53">
        <f>ROUND(HIX_SLCSP[[#This Row],[Weighting Factor 2022]]*HIX_SLCSP[[#This Row],[2022]],2)</f>
        <v>50.97</v>
      </c>
      <c r="BU2017" s="53">
        <f>ROUND(HIX_SLCSP[[#This Row],[Weighting Factor 2023]]*HIX_SLCSP[[#This Row],[2023]],2)</f>
        <v>53.09</v>
      </c>
      <c r="BV2017" s="53">
        <f>ROUND(HIX_SLCSP[[#This Row],[Weighting Factor 2024]]*HIX_SLCSP[[#This Row],[2024]],2)</f>
        <v>49.64</v>
      </c>
    </row>
    <row r="2018" spans="3:74" x14ac:dyDescent="0.35">
      <c r="D2018" t="s">
        <v>2432</v>
      </c>
      <c r="E2018" t="s">
        <v>265</v>
      </c>
      <c r="F2018" s="23">
        <v>6</v>
      </c>
      <c r="G2018" s="23" t="s">
        <v>2433</v>
      </c>
      <c r="H2018" s="23" t="s">
        <v>2434</v>
      </c>
      <c r="I2018" s="23">
        <v>25</v>
      </c>
      <c r="J2018" s="53">
        <v>482.76</v>
      </c>
      <c r="K2018" s="53">
        <v>490.32</v>
      </c>
      <c r="L2018" s="53">
        <v>750.3</v>
      </c>
      <c r="M2018" s="54">
        <f t="shared" si="165"/>
        <v>1.5302251590797846</v>
      </c>
      <c r="N2018" s="24">
        <v>24</v>
      </c>
      <c r="O2018" s="55">
        <v>504.28</v>
      </c>
      <c r="P2018" s="56">
        <v>585.95000000000005</v>
      </c>
      <c r="Q2018" s="56">
        <v>896.63</v>
      </c>
      <c r="R2018" s="57">
        <f t="shared" si="166"/>
        <v>1.5302158887277071</v>
      </c>
      <c r="S2018" s="23">
        <v>29</v>
      </c>
      <c r="T2018" s="53">
        <v>489.79</v>
      </c>
      <c r="U2018" s="53">
        <v>534.76</v>
      </c>
      <c r="V2018" s="53">
        <v>818.3</v>
      </c>
      <c r="W2018" s="57">
        <f t="shared" si="167"/>
        <v>1.5302191637370035</v>
      </c>
      <c r="X2018" s="47">
        <v>37</v>
      </c>
      <c r="Y2018" s="58">
        <v>489.95</v>
      </c>
      <c r="Z2018" s="58">
        <v>522.64</v>
      </c>
      <c r="AA2018" s="58">
        <v>799.75</v>
      </c>
      <c r="AB2018" s="57">
        <f t="shared" si="168"/>
        <v>1.5302120006122761</v>
      </c>
      <c r="AC2018" s="47">
        <v>39</v>
      </c>
      <c r="AD2018" s="57">
        <v>479.88</v>
      </c>
      <c r="AE2018" s="57">
        <v>489.21</v>
      </c>
      <c r="AF2018" s="57">
        <v>748.59</v>
      </c>
      <c r="AG2018" s="57">
        <f t="shared" si="169"/>
        <v>1.5302017538480408</v>
      </c>
      <c r="AH2018" s="47">
        <v>51</v>
      </c>
      <c r="AI2018">
        <v>463.81</v>
      </c>
      <c r="AJ2018">
        <v>534.65</v>
      </c>
      <c r="AK2018">
        <v>818.13</v>
      </c>
      <c r="AL2018" s="57">
        <f t="shared" si="135"/>
        <v>1.530216029177967</v>
      </c>
      <c r="AM2018" s="47">
        <v>35</v>
      </c>
      <c r="AN2018" s="57">
        <v>513.96</v>
      </c>
      <c r="AO2018" s="57">
        <v>519.54</v>
      </c>
      <c r="AP2018" s="57">
        <v>795.01</v>
      </c>
      <c r="AQ2018" s="57">
        <f t="shared" si="162"/>
        <v>1.5302190399199294</v>
      </c>
      <c r="AR2018" s="59"/>
      <c r="AS2018" s="59">
        <f>SUMIFS(HIX_RatingAreas[Silver Enrollments 2018],HIX_RatingAreas[Area],HIX_SLCSP[[#This Row],[Area Code]])</f>
        <v>8002</v>
      </c>
      <c r="AT2018" s="59">
        <f>SUMIFS(HIX_RatingAreas[Silver Enrollments 2019],HIX_RatingAreas[Area],HIX_SLCSP[[#This Row],[Area Code]])</f>
        <v>8002</v>
      </c>
      <c r="AU2018" s="59">
        <f>SUMIFS(HIX_RatingAreas[Silver Enrollments 2020],HIX_RatingAreas[Area],HIX_SLCSP[[#This Row],[Area Code]])</f>
        <v>7177</v>
      </c>
      <c r="AV2018" s="59">
        <f>SUMIFS(HIX_RatingAreas[Silver Enrollments 2021],HIX_RatingAreas[Area],HIX_SLCSP[[#This Row],[Area Code]])</f>
        <v>6898</v>
      </c>
      <c r="AW2018" s="59">
        <f>SUMIFS(HIX_RatingAreas[Silver Enrollments 2022],HIX_RatingAreas[Area],HIX_SLCSP[[#This Row],[Area Code]])</f>
        <v>8708</v>
      </c>
      <c r="AX2018" s="59">
        <f>SUMIFS(HIX_RatingAreas[Silver Enrollments 2023],HIX_RatingAreas[Area],HIX_SLCSP[[#This Row],[Area Code]])</f>
        <v>9174</v>
      </c>
      <c r="AY2018" s="59">
        <f>SUMIFS(HIX_RatingAreas[Silver Enrollments 2024],HIX_RatingAreas[Area],HIX_SLCSP[[#This Row],[Area Code]])</f>
        <v>11804</v>
      </c>
      <c r="AZ2018" s="59">
        <v>44722</v>
      </c>
      <c r="BA2018">
        <f t="shared" si="170"/>
        <v>0.18966555552728229</v>
      </c>
      <c r="BB2018">
        <f>SUMIFS(HIX_RatingAreas[QHP Enrollments 2018],HIX_RatingAreas[Area],HIX_SLCSP[[#This Row],[Area Code]])</f>
        <v>12777</v>
      </c>
      <c r="BC2018">
        <f t="shared" si="171"/>
        <v>6.5667883024104437E-2</v>
      </c>
      <c r="BD2018">
        <f>SUMIFS(HIX_RatingAreas[QHP Enrollments 2019],HIX_RatingAreas[Area],HIX_SLCSP[[#This Row],[Area Code]])</f>
        <v>12777</v>
      </c>
      <c r="BE2018">
        <f t="shared" si="172"/>
        <v>6.5667883024104437E-2</v>
      </c>
      <c r="BF2018">
        <f>SUMIFS(HIX_RatingAreas[QHP Enrollments 2020],HIX_RatingAreas[Area],HIX_SLCSP[[#This Row],[Area Code]])</f>
        <v>13079</v>
      </c>
      <c r="BG2018">
        <f t="shared" si="173"/>
        <v>6.5309770749172324E-2</v>
      </c>
      <c r="BH2018">
        <f>SUMIFS(HIX_RatingAreas[QHP Enrollments 2021],HIX_RatingAreas[Area],HIX_SLCSP[[#This Row],[Area Code]])</f>
        <v>13683</v>
      </c>
      <c r="BI2018">
        <f t="shared" si="174"/>
        <v>6.5811813708750375E-2</v>
      </c>
      <c r="BJ2018">
        <f>SUMIFS(HIX_RatingAreas[QHP Enrollments 2022],HIX_RatingAreas[Area],HIX_SLCSP[[#This Row],[Area Code]])</f>
        <v>16650</v>
      </c>
      <c r="BK2018">
        <f t="shared" si="175"/>
        <v>6.4803138573630376E-2</v>
      </c>
      <c r="BL2018">
        <f>SUMIFS(HIX_RatingAreas[QHP Enrollments 2023],HIX_RatingAreas[Area],HIX_SLCSP[[#This Row],[Area Code]])</f>
        <v>18166</v>
      </c>
      <c r="BM2018">
        <f t="shared" si="164"/>
        <v>6.1538774238133309E-2</v>
      </c>
      <c r="BN2018">
        <f>SUMIFS(HIX_RatingAreas[QHP Enrollments 2024],HIX_RatingAreas[Area],HIX_SLCSP[[#This Row],[Area Code]])</f>
        <v>21361</v>
      </c>
      <c r="BO2018">
        <f t="shared" si="176"/>
        <v>5.8214035575395368E-2</v>
      </c>
      <c r="BP2018" s="53">
        <f>ROUND(HIX_SLCSP[[#This Row],[Weighting Factor 2018]]*HIX_SLCSP[[#This Row],[2018]],2)</f>
        <v>32.200000000000003</v>
      </c>
      <c r="BQ2018" s="53">
        <f>ROUND(HIX_SLCSP[[#This Row],[Weighting Factor 2019]]*HIX_SLCSP[[#This Row],[2019]],2)</f>
        <v>38.479999999999997</v>
      </c>
      <c r="BR2018" s="53">
        <f>ROUND(HIX_SLCSP[[#This Row],[Weighting Factor 2020]]*HIX_SLCSP[[#This Row],[2020]],2)</f>
        <v>34.93</v>
      </c>
      <c r="BS2018" s="53">
        <f>ROUND(HIX_SLCSP[[#This Row],[Weighting Factor 2021]]*HIX_SLCSP[[#This Row],[2021]],2)</f>
        <v>34.4</v>
      </c>
      <c r="BT2018" s="53">
        <f>ROUND(HIX_SLCSP[[#This Row],[Weighting Factor 2022]]*HIX_SLCSP[[#This Row],[2022]],2)</f>
        <v>31.7</v>
      </c>
      <c r="BU2018" s="53">
        <f>ROUND(HIX_SLCSP[[#This Row],[Weighting Factor 2023]]*HIX_SLCSP[[#This Row],[2023]],2)</f>
        <v>32.9</v>
      </c>
      <c r="BV2018" s="53">
        <f>ROUND(HIX_SLCSP[[#This Row],[Weighting Factor 2024]]*HIX_SLCSP[[#This Row],[2024]],2)</f>
        <v>30.24</v>
      </c>
    </row>
    <row r="2019" spans="3:74" x14ac:dyDescent="0.35">
      <c r="D2019" t="s">
        <v>2469</v>
      </c>
      <c r="E2019" t="s">
        <v>2597</v>
      </c>
      <c r="F2019" s="23"/>
      <c r="G2019" s="23"/>
      <c r="H2019" s="23"/>
      <c r="I2019" s="23"/>
      <c r="J2019" s="53"/>
      <c r="K2019" s="53">
        <f>SUM(BP2020:BP2030)</f>
        <v>437</v>
      </c>
      <c r="L2019" s="53"/>
      <c r="M2019" s="54"/>
      <c r="O2019" s="55"/>
      <c r="P2019" s="56">
        <f>SUM(BQ2020:BQ2030)</f>
        <v>480.01</v>
      </c>
      <c r="Q2019" s="56"/>
      <c r="R2019" s="57"/>
      <c r="S2019" s="23"/>
      <c r="T2019" s="53"/>
      <c r="U2019" s="53">
        <f>SUM(BR2020:BR2030)</f>
        <v>507.19</v>
      </c>
      <c r="V2019" s="53"/>
      <c r="W2019" s="57"/>
      <c r="X2019" s="47"/>
      <c r="Y2019" s="58"/>
      <c r="Z2019" s="53">
        <f>SUM(BS2020:BS2030)</f>
        <v>535.54999999999995</v>
      </c>
      <c r="AA2019" s="58"/>
      <c r="AB2019" s="57"/>
      <c r="AC2019" s="47"/>
      <c r="AD2019" s="57"/>
      <c r="AE2019" s="53">
        <f>SUM(BT2020:BT2030)</f>
        <v>596.08000000000004</v>
      </c>
      <c r="AF2019" s="57"/>
      <c r="AG2019" s="57"/>
      <c r="AH2019" s="47"/>
      <c r="AI2019" s="57"/>
      <c r="AJ2019" s="53">
        <f>SUM(BU2020:BU2030)</f>
        <v>622.32000000000005</v>
      </c>
      <c r="AK2019" s="57"/>
      <c r="AL2019" s="57"/>
      <c r="AM2019" s="47"/>
      <c r="AN2019" s="57"/>
      <c r="AO2019" s="53">
        <f>SUM(BV2020:BV2030)</f>
        <v>636.93000000000006</v>
      </c>
      <c r="AP2019" s="57"/>
      <c r="AQ2019" s="57"/>
      <c r="AR2019" s="59"/>
      <c r="AS2019" s="59">
        <f t="shared" ref="AS2019:AZ2019" si="177">SUM(AS2020:AS2030)</f>
        <v>14523</v>
      </c>
      <c r="AT2019" s="59">
        <f t="shared" si="177"/>
        <v>14523</v>
      </c>
      <c r="AU2019" s="59">
        <f t="shared" si="177"/>
        <v>12428</v>
      </c>
      <c r="AV2019" s="59">
        <f t="shared" si="177"/>
        <v>11437</v>
      </c>
      <c r="AW2019" s="59">
        <f t="shared" si="177"/>
        <v>10202</v>
      </c>
      <c r="AX2019" s="59">
        <f t="shared" si="177"/>
        <v>8732</v>
      </c>
      <c r="AY2019" s="59">
        <f t="shared" si="177"/>
        <v>20226</v>
      </c>
      <c r="AZ2019" s="59">
        <f t="shared" si="177"/>
        <v>459419</v>
      </c>
      <c r="BA2019">
        <f>AZ2019/AZ$2019</f>
        <v>1</v>
      </c>
      <c r="BB2019" s="59">
        <f>SUM(BB2020:BB2030)</f>
        <v>22599</v>
      </c>
      <c r="BC2019">
        <f>BB2019/BB$2019</f>
        <v>1</v>
      </c>
      <c r="BD2019" s="59">
        <f>SUM(BD2020:BD2030)</f>
        <v>22599</v>
      </c>
      <c r="BE2019">
        <f>BD2019/BD$2019</f>
        <v>1</v>
      </c>
      <c r="BF2019" s="59">
        <f>SUM(BF2020:BF2030)</f>
        <v>20066</v>
      </c>
      <c r="BG2019">
        <f>BF2019/BF$2019</f>
        <v>1</v>
      </c>
      <c r="BH2019" s="59">
        <f>SUM(BH2020:BH2030)</f>
        <v>19381</v>
      </c>
      <c r="BI2019">
        <f>BH2019/BH$2019</f>
        <v>1</v>
      </c>
      <c r="BJ2019" s="59">
        <f>SUM(BJ2020:BJ2030)</f>
        <v>23037</v>
      </c>
      <c r="BK2019">
        <f>BJ2019/BJ$2019</f>
        <v>1</v>
      </c>
      <c r="BL2019" s="59">
        <f>SUM(BL2020:BL2030)</f>
        <v>28325</v>
      </c>
      <c r="BM2019">
        <f>BL2019/BL$2019</f>
        <v>1</v>
      </c>
      <c r="BN2019" s="59">
        <f>SUM(BN2020:BN2030)</f>
        <v>51046</v>
      </c>
      <c r="BO2019">
        <f>BN2019/BN$2019</f>
        <v>1</v>
      </c>
      <c r="BP2019" s="53"/>
      <c r="BQ2019" s="53"/>
      <c r="BR2019" s="53"/>
      <c r="BS2019" s="53"/>
      <c r="BT2019" s="53"/>
      <c r="BU2019" s="53"/>
      <c r="BV2019" s="53"/>
    </row>
    <row r="2020" spans="3:74" x14ac:dyDescent="0.35">
      <c r="D2020" t="s">
        <v>2469</v>
      </c>
      <c r="E2020" t="s">
        <v>231</v>
      </c>
      <c r="F2020" s="23">
        <v>1</v>
      </c>
      <c r="G2020" s="23" t="s">
        <v>2470</v>
      </c>
      <c r="H2020" s="23" t="s">
        <v>2477</v>
      </c>
      <c r="I2020" s="23">
        <v>40</v>
      </c>
      <c r="J2020" s="53">
        <v>422.29</v>
      </c>
      <c r="K2020" s="53">
        <v>436.05</v>
      </c>
      <c r="L2020" s="53">
        <v>743.12</v>
      </c>
      <c r="M2020" s="54">
        <f t="shared" ref="M2020:M2030" si="178">L2020/K2020</f>
        <v>1.7042082330008026</v>
      </c>
      <c r="N2020" s="24">
        <v>36</v>
      </c>
      <c r="O2020" s="55">
        <v>462.73</v>
      </c>
      <c r="P2020" s="56">
        <v>481.25</v>
      </c>
      <c r="Q2020" s="56">
        <v>820.15</v>
      </c>
      <c r="R2020" s="57">
        <f t="shared" ref="R2020:R2030" si="179">Q2020/P2020</f>
        <v>1.7042077922077921</v>
      </c>
      <c r="S2020" s="23">
        <v>32</v>
      </c>
      <c r="T2020" s="53">
        <v>494.19</v>
      </c>
      <c r="U2020" s="53">
        <v>511.26</v>
      </c>
      <c r="V2020" s="53">
        <v>871.28</v>
      </c>
      <c r="W2020" s="57">
        <f t="shared" ref="W2020:W2030" si="180">V2020/U2020</f>
        <v>1.7041818252943708</v>
      </c>
      <c r="X2020" s="47">
        <v>36</v>
      </c>
      <c r="Y2020" s="58">
        <v>522.01</v>
      </c>
      <c r="Z2020" s="58">
        <v>537.39</v>
      </c>
      <c r="AA2020" s="58">
        <v>915.81</v>
      </c>
      <c r="AB2020" s="57">
        <f t="shared" ref="AB2020:AB2030" si="181">AA2020/Z2020</f>
        <v>1.7041813208284486</v>
      </c>
      <c r="AC2020" s="47">
        <v>39</v>
      </c>
      <c r="AD2020" s="57">
        <v>621.52</v>
      </c>
      <c r="AE2020" s="57">
        <v>622.98</v>
      </c>
      <c r="AF2020" s="57">
        <v>1061.69</v>
      </c>
      <c r="AG2020" s="57">
        <f t="shared" ref="AG2020:AG2030" si="182">AF2020/AE2020</f>
        <v>1.7042120132267489</v>
      </c>
      <c r="AH2020" s="47">
        <v>37</v>
      </c>
      <c r="AI2020">
        <v>614.91</v>
      </c>
      <c r="AJ2020">
        <v>638.5</v>
      </c>
      <c r="AK2020">
        <v>1088.1400000000001</v>
      </c>
      <c r="AL2020" s="57">
        <f t="shared" si="135"/>
        <v>1.7042129992169148</v>
      </c>
      <c r="AM2020" s="47">
        <v>54</v>
      </c>
      <c r="AN2020" s="57">
        <v>628.96</v>
      </c>
      <c r="AO2020" s="57">
        <v>649.97</v>
      </c>
      <c r="AP2020" s="57">
        <v>1107.68</v>
      </c>
      <c r="AQ2020" s="57">
        <f t="shared" si="162"/>
        <v>1.7042017323876486</v>
      </c>
      <c r="AR2020" s="59"/>
      <c r="AS2020" s="59">
        <f>SUMIFS(HIX_RatingAreas[Silver Enrollments 2018],HIX_RatingAreas[Area],HIX_SLCSP[[#This Row],[Area Code]])</f>
        <v>1517</v>
      </c>
      <c r="AT2020" s="59">
        <f>SUMIFS(HIX_RatingAreas[Silver Enrollments 2019],HIX_RatingAreas[Area],HIX_SLCSP[[#This Row],[Area Code]])</f>
        <v>1517</v>
      </c>
      <c r="AU2020" s="59">
        <f>SUMIFS(HIX_RatingAreas[Silver Enrollments 2020],HIX_RatingAreas[Area],HIX_SLCSP[[#This Row],[Area Code]])</f>
        <v>1219</v>
      </c>
      <c r="AV2020" s="59">
        <f>SUMIFS(HIX_RatingAreas[Silver Enrollments 2021],HIX_RatingAreas[Area],HIX_SLCSP[[#This Row],[Area Code]])</f>
        <v>1134</v>
      </c>
      <c r="AW2020" s="59">
        <f>SUMIFS(HIX_RatingAreas[Silver Enrollments 2022],HIX_RatingAreas[Area],HIX_SLCSP[[#This Row],[Area Code]])</f>
        <v>1013</v>
      </c>
      <c r="AX2020" s="59">
        <f>SUMIFS(HIX_RatingAreas[Silver Enrollments 2023],HIX_RatingAreas[Area],HIX_SLCSP[[#This Row],[Area Code]])</f>
        <v>1020</v>
      </c>
      <c r="AY2020" s="59">
        <f>SUMIFS(HIX_RatingAreas[Silver Enrollments 2024],HIX_RatingAreas[Area],HIX_SLCSP[[#This Row],[Area Code]])</f>
        <v>2305</v>
      </c>
      <c r="AZ2020" s="59">
        <v>19932</v>
      </c>
      <c r="BA2020">
        <f>AZ2020/AZ$2019</f>
        <v>4.3385232217213479E-2</v>
      </c>
      <c r="BB2020">
        <f>SUMIFS(HIX_RatingAreas[QHP Enrollments 2018],HIX_RatingAreas[Area],HIX_SLCSP[[#This Row],[Area Code]])</f>
        <v>2234</v>
      </c>
      <c r="BC2020">
        <f t="shared" ref="BC2020:BC2030" si="183">BB2020/BB$2019</f>
        <v>9.8853931589893362E-2</v>
      </c>
      <c r="BD2020">
        <f>SUMIFS(HIX_RatingAreas[QHP Enrollments 2019],HIX_RatingAreas[Area],HIX_SLCSP[[#This Row],[Area Code]])</f>
        <v>2234</v>
      </c>
      <c r="BE2020">
        <f t="shared" ref="BE2020:BE2030" si="184">BD2020/BD$2019</f>
        <v>9.8853931589893362E-2</v>
      </c>
      <c r="BF2020">
        <f>SUMIFS(HIX_RatingAreas[QHP Enrollments 2020],HIX_RatingAreas[Area],HIX_SLCSP[[#This Row],[Area Code]])</f>
        <v>1929</v>
      </c>
      <c r="BG2020">
        <f t="shared" ref="BG2020:BG2030" si="185">BF2020/BF$2019</f>
        <v>9.6132761885776935E-2</v>
      </c>
      <c r="BH2020">
        <f>SUMIFS(HIX_RatingAreas[QHP Enrollments 2021],HIX_RatingAreas[Area],HIX_SLCSP[[#This Row],[Area Code]])</f>
        <v>1802</v>
      </c>
      <c r="BI2020">
        <f t="shared" ref="BI2020:BI2030" si="186">BH2020/BH$2019</f>
        <v>9.2977658531551516E-2</v>
      </c>
      <c r="BJ2020">
        <f>SUMIFS(HIX_RatingAreas[QHP Enrollments 2022],HIX_RatingAreas[Area],HIX_SLCSP[[#This Row],[Area Code]])</f>
        <v>1989</v>
      </c>
      <c r="BK2020">
        <f t="shared" ref="BK2020:BK2030" si="187">BJ2020/BJ$2019</f>
        <v>8.633936710509181E-2</v>
      </c>
      <c r="BL2020">
        <f>SUMIFS(HIX_RatingAreas[QHP Enrollments 2023],HIX_RatingAreas[Area],HIX_SLCSP[[#This Row],[Area Code]])</f>
        <v>2467</v>
      </c>
      <c r="BM2020">
        <f>BL2020/BL$2019</f>
        <v>8.7096204766107674E-2</v>
      </c>
      <c r="BN2020">
        <f>SUMIFS(HIX_RatingAreas[QHP Enrollments 2024],HIX_RatingAreas[Area],HIX_SLCSP[[#This Row],[Area Code]])</f>
        <v>4561</v>
      </c>
      <c r="BO2020">
        <f t="shared" ref="BO2020:BO2030" si="188">BN2020/BN$2019</f>
        <v>8.9350781647925398E-2</v>
      </c>
      <c r="BP2020" s="53">
        <f>ROUND(HIX_SLCSP[[#This Row],[Weighting Factor 2018]]*HIX_SLCSP[[#This Row],[2018]],2)</f>
        <v>43.11</v>
      </c>
      <c r="BQ2020" s="53">
        <f>ROUND(HIX_SLCSP[[#This Row],[Weighting Factor 2019]]*HIX_SLCSP[[#This Row],[2019]],2)</f>
        <v>47.57</v>
      </c>
      <c r="BR2020" s="53">
        <f>ROUND(HIX_SLCSP[[#This Row],[Weighting Factor 2020]]*HIX_SLCSP[[#This Row],[2020]],2)</f>
        <v>49.15</v>
      </c>
      <c r="BS2020" s="53">
        <f>ROUND(HIX_SLCSP[[#This Row],[Weighting Factor 2021]]*HIX_SLCSP[[#This Row],[2021]],2)</f>
        <v>49.97</v>
      </c>
      <c r="BT2020" s="53">
        <f>ROUND(HIX_SLCSP[[#This Row],[Weighting Factor 2022]]*HIX_SLCSP[[#This Row],[2022]],2)</f>
        <v>53.79</v>
      </c>
      <c r="BU2020" s="53">
        <f>ROUND(HIX_SLCSP[[#This Row],[Weighting Factor 2023]]*HIX_SLCSP[[#This Row],[2023]],2)</f>
        <v>55.61</v>
      </c>
      <c r="BV2020" s="53">
        <f>ROUND(HIX_SLCSP[[#This Row],[Weighting Factor 2024]]*HIX_SLCSP[[#This Row],[2024]],2)</f>
        <v>58.08</v>
      </c>
    </row>
    <row r="2021" spans="3:74" x14ac:dyDescent="0.35">
      <c r="D2021" t="s">
        <v>2469</v>
      </c>
      <c r="E2021" t="s">
        <v>235</v>
      </c>
      <c r="F2021" s="23">
        <v>2</v>
      </c>
      <c r="G2021" s="23" t="s">
        <v>2470</v>
      </c>
      <c r="H2021" s="23" t="s">
        <v>2499</v>
      </c>
      <c r="I2021" s="23">
        <v>40</v>
      </c>
      <c r="J2021" s="53">
        <v>455.18</v>
      </c>
      <c r="K2021" s="53">
        <v>470.01</v>
      </c>
      <c r="L2021" s="53">
        <v>800.99</v>
      </c>
      <c r="M2021" s="54">
        <f t="shared" si="178"/>
        <v>1.7041977830258932</v>
      </c>
      <c r="N2021" s="24">
        <v>36</v>
      </c>
      <c r="O2021" s="55">
        <v>501.43</v>
      </c>
      <c r="P2021" s="56">
        <v>521.51</v>
      </c>
      <c r="Q2021" s="56">
        <v>888.76</v>
      </c>
      <c r="R2021" s="57">
        <f t="shared" si="179"/>
        <v>1.7042050967383175</v>
      </c>
      <c r="S2021" s="23">
        <v>32</v>
      </c>
      <c r="T2021" s="53">
        <v>535.29</v>
      </c>
      <c r="U2021" s="53">
        <v>553.78</v>
      </c>
      <c r="V2021" s="53">
        <v>943.75</v>
      </c>
      <c r="W2021" s="57">
        <f t="shared" si="180"/>
        <v>1.7041966123731447</v>
      </c>
      <c r="X2021" s="47">
        <v>36</v>
      </c>
      <c r="Y2021" s="58">
        <v>588.11</v>
      </c>
      <c r="Z2021" s="58">
        <v>605.42999999999995</v>
      </c>
      <c r="AA2021" s="58">
        <v>1031.77</v>
      </c>
      <c r="AB2021" s="57">
        <f t="shared" si="181"/>
        <v>1.7041937135589582</v>
      </c>
      <c r="AC2021" s="47">
        <v>39</v>
      </c>
      <c r="AD2021" s="57">
        <v>622.98</v>
      </c>
      <c r="AE2021" s="57">
        <v>625.87</v>
      </c>
      <c r="AF2021" s="57">
        <v>1066.5999999999999</v>
      </c>
      <c r="AG2021" s="57">
        <f t="shared" si="182"/>
        <v>1.7041877706232922</v>
      </c>
      <c r="AH2021" s="47">
        <v>37</v>
      </c>
      <c r="AI2021">
        <v>614.91</v>
      </c>
      <c r="AJ2021">
        <v>638.5</v>
      </c>
      <c r="AK2021">
        <v>1088.1400000000001</v>
      </c>
      <c r="AL2021" s="57">
        <f t="shared" si="135"/>
        <v>1.7042129992169148</v>
      </c>
      <c r="AM2021" s="47">
        <v>54</v>
      </c>
      <c r="AN2021" s="57">
        <v>628.96</v>
      </c>
      <c r="AO2021" s="57">
        <v>649.97</v>
      </c>
      <c r="AP2021" s="57">
        <v>1107.68</v>
      </c>
      <c r="AQ2021" s="57">
        <f t="shared" si="162"/>
        <v>1.7042017323876486</v>
      </c>
      <c r="AR2021" s="59"/>
      <c r="AS2021" s="59">
        <f>SUMIFS(HIX_RatingAreas[Silver Enrollments 2018],HIX_RatingAreas[Area],HIX_SLCSP[[#This Row],[Area Code]])</f>
        <v>1175</v>
      </c>
      <c r="AT2021" s="59">
        <f>SUMIFS(HIX_RatingAreas[Silver Enrollments 2019],HIX_RatingAreas[Area],HIX_SLCSP[[#This Row],[Area Code]])</f>
        <v>1175</v>
      </c>
      <c r="AU2021" s="59">
        <f>SUMIFS(HIX_RatingAreas[Silver Enrollments 2020],HIX_RatingAreas[Area],HIX_SLCSP[[#This Row],[Area Code]])</f>
        <v>965</v>
      </c>
      <c r="AV2021" s="59">
        <f>SUMIFS(HIX_RatingAreas[Silver Enrollments 2021],HIX_RatingAreas[Area],HIX_SLCSP[[#This Row],[Area Code]])</f>
        <v>901</v>
      </c>
      <c r="AW2021" s="59">
        <f>SUMIFS(HIX_RatingAreas[Silver Enrollments 2022],HIX_RatingAreas[Area],HIX_SLCSP[[#This Row],[Area Code]])</f>
        <v>842</v>
      </c>
      <c r="AX2021" s="59">
        <f>SUMIFS(HIX_RatingAreas[Silver Enrollments 2023],HIX_RatingAreas[Area],HIX_SLCSP[[#This Row],[Area Code]])</f>
        <v>1004</v>
      </c>
      <c r="AY2021" s="59">
        <f>SUMIFS(HIX_RatingAreas[Silver Enrollments 2024],HIX_RatingAreas[Area],HIX_SLCSP[[#This Row],[Area Code]])</f>
        <v>1865</v>
      </c>
      <c r="AZ2021" s="59">
        <v>49401</v>
      </c>
      <c r="BA2021">
        <f t="shared" ref="BA2021:BA2030" si="189">AZ2021/AZ$2019</f>
        <v>0.10752929243239831</v>
      </c>
      <c r="BB2021">
        <f>SUMIFS(HIX_RatingAreas[QHP Enrollments 2018],HIX_RatingAreas[Area],HIX_SLCSP[[#This Row],[Area Code]])</f>
        <v>2066</v>
      </c>
      <c r="BC2021">
        <f t="shared" si="183"/>
        <v>9.1419974335147577E-2</v>
      </c>
      <c r="BD2021">
        <f>SUMIFS(HIX_RatingAreas[QHP Enrollments 2019],HIX_RatingAreas[Area],HIX_SLCSP[[#This Row],[Area Code]])</f>
        <v>2066</v>
      </c>
      <c r="BE2021">
        <f t="shared" si="184"/>
        <v>9.1419974335147577E-2</v>
      </c>
      <c r="BF2021">
        <f>SUMIFS(HIX_RatingAreas[QHP Enrollments 2020],HIX_RatingAreas[Area],HIX_SLCSP[[#This Row],[Area Code]])</f>
        <v>1795</v>
      </c>
      <c r="BG2021">
        <f t="shared" si="185"/>
        <v>8.9454799162762888E-2</v>
      </c>
      <c r="BH2021">
        <f>SUMIFS(HIX_RatingAreas[QHP Enrollments 2021],HIX_RatingAreas[Area],HIX_SLCSP[[#This Row],[Area Code]])</f>
        <v>1643</v>
      </c>
      <c r="BI2021">
        <f t="shared" si="186"/>
        <v>8.4773747484649914E-2</v>
      </c>
      <c r="BJ2021">
        <f>SUMIFS(HIX_RatingAreas[QHP Enrollments 2022],HIX_RatingAreas[Area],HIX_SLCSP[[#This Row],[Area Code]])</f>
        <v>2129</v>
      </c>
      <c r="BK2021">
        <f t="shared" si="187"/>
        <v>9.2416547293484391E-2</v>
      </c>
      <c r="BL2021">
        <f>SUMIFS(HIX_RatingAreas[QHP Enrollments 2023],HIX_RatingAreas[Area],HIX_SLCSP[[#This Row],[Area Code]])</f>
        <v>2834</v>
      </c>
      <c r="BM2021">
        <f t="shared" ref="BM2021:BM2030" si="190">BL2021/BL$2019</f>
        <v>0.10005295675198587</v>
      </c>
      <c r="BN2021">
        <f>SUMIFS(HIX_RatingAreas[QHP Enrollments 2024],HIX_RatingAreas[Area],HIX_SLCSP[[#This Row],[Area Code]])</f>
        <v>5658</v>
      </c>
      <c r="BO2021">
        <f t="shared" si="188"/>
        <v>0.11084120205305019</v>
      </c>
      <c r="BP2021" s="53">
        <f>ROUND(HIX_SLCSP[[#This Row],[Weighting Factor 2018]]*HIX_SLCSP[[#This Row],[2018]],2)</f>
        <v>42.97</v>
      </c>
      <c r="BQ2021" s="53">
        <f>ROUND(HIX_SLCSP[[#This Row],[Weighting Factor 2019]]*HIX_SLCSP[[#This Row],[2019]],2)</f>
        <v>47.68</v>
      </c>
      <c r="BR2021" s="53">
        <f>ROUND(HIX_SLCSP[[#This Row],[Weighting Factor 2020]]*HIX_SLCSP[[#This Row],[2020]],2)</f>
        <v>49.54</v>
      </c>
      <c r="BS2021" s="53">
        <f>ROUND(HIX_SLCSP[[#This Row],[Weighting Factor 2021]]*HIX_SLCSP[[#This Row],[2021]],2)</f>
        <v>51.32</v>
      </c>
      <c r="BT2021" s="53">
        <f>ROUND(HIX_SLCSP[[#This Row],[Weighting Factor 2022]]*HIX_SLCSP[[#This Row],[2022]],2)</f>
        <v>57.84</v>
      </c>
      <c r="BU2021" s="53">
        <f>ROUND(HIX_SLCSP[[#This Row],[Weighting Factor 2023]]*HIX_SLCSP[[#This Row],[2023]],2)</f>
        <v>63.88</v>
      </c>
      <c r="BV2021" s="53">
        <f>ROUND(HIX_SLCSP[[#This Row],[Weighting Factor 2024]]*HIX_SLCSP[[#This Row],[2024]],2)</f>
        <v>72.040000000000006</v>
      </c>
    </row>
    <row r="2022" spans="3:74" x14ac:dyDescent="0.35">
      <c r="D2022" t="s">
        <v>2469</v>
      </c>
      <c r="E2022" t="s">
        <v>239</v>
      </c>
      <c r="F2022" s="23">
        <v>3</v>
      </c>
      <c r="G2022" s="23" t="s">
        <v>2470</v>
      </c>
      <c r="H2022" s="23" t="s">
        <v>2475</v>
      </c>
      <c r="I2022" s="23">
        <v>40</v>
      </c>
      <c r="J2022" s="53">
        <v>479.24</v>
      </c>
      <c r="K2022" s="53">
        <v>494.86</v>
      </c>
      <c r="L2022" s="53">
        <v>843.34</v>
      </c>
      <c r="M2022" s="54">
        <f t="shared" si="178"/>
        <v>1.7041991674412966</v>
      </c>
      <c r="N2022" s="24">
        <v>36</v>
      </c>
      <c r="O2022" s="55">
        <v>538.80999999999995</v>
      </c>
      <c r="P2022" s="56">
        <v>560.38</v>
      </c>
      <c r="Q2022" s="56">
        <v>955</v>
      </c>
      <c r="R2022" s="57">
        <f t="shared" si="179"/>
        <v>1.7042007209393626</v>
      </c>
      <c r="S2022" s="23">
        <v>32</v>
      </c>
      <c r="T2022" s="53">
        <v>575.41999999999996</v>
      </c>
      <c r="U2022" s="53">
        <v>595.29999999999995</v>
      </c>
      <c r="V2022" s="53">
        <v>1014.51</v>
      </c>
      <c r="W2022" s="57">
        <f t="shared" si="180"/>
        <v>1.7041995632454225</v>
      </c>
      <c r="X2022" s="47">
        <v>36</v>
      </c>
      <c r="Y2022" s="58">
        <v>607.88</v>
      </c>
      <c r="Z2022" s="58">
        <v>625.79</v>
      </c>
      <c r="AA2022" s="58">
        <v>1066.47</v>
      </c>
      <c r="AB2022" s="57">
        <f t="shared" si="181"/>
        <v>1.7041978938621585</v>
      </c>
      <c r="AC2022" s="47">
        <v>39</v>
      </c>
      <c r="AD2022" s="57">
        <v>622.98</v>
      </c>
      <c r="AE2022" s="57">
        <v>625.87</v>
      </c>
      <c r="AF2022" s="57">
        <v>1066.5999999999999</v>
      </c>
      <c r="AG2022" s="57">
        <f t="shared" si="182"/>
        <v>1.7041877706232922</v>
      </c>
      <c r="AH2022" s="47">
        <v>37</v>
      </c>
      <c r="AI2022">
        <v>614.91</v>
      </c>
      <c r="AJ2022">
        <v>638.5</v>
      </c>
      <c r="AK2022">
        <v>1088.1400000000001</v>
      </c>
      <c r="AL2022" s="57">
        <f t="shared" si="135"/>
        <v>1.7042129992169148</v>
      </c>
      <c r="AM2022" s="47">
        <v>54</v>
      </c>
      <c r="AN2022" s="57">
        <v>628.96</v>
      </c>
      <c r="AO2022" s="57">
        <v>649.97</v>
      </c>
      <c r="AP2022" s="57">
        <v>1107.68</v>
      </c>
      <c r="AQ2022" s="57">
        <f t="shared" si="162"/>
        <v>1.7042017323876486</v>
      </c>
      <c r="AR2022" s="59"/>
      <c r="AS2022" s="59">
        <f>SUMIFS(HIX_RatingAreas[Silver Enrollments 2018],HIX_RatingAreas[Area],HIX_SLCSP[[#This Row],[Area Code]])</f>
        <v>747</v>
      </c>
      <c r="AT2022" s="59">
        <f>SUMIFS(HIX_RatingAreas[Silver Enrollments 2019],HIX_RatingAreas[Area],HIX_SLCSP[[#This Row],[Area Code]])</f>
        <v>747</v>
      </c>
      <c r="AU2022" s="59">
        <f>SUMIFS(HIX_RatingAreas[Silver Enrollments 2020],HIX_RatingAreas[Area],HIX_SLCSP[[#This Row],[Area Code]])</f>
        <v>596</v>
      </c>
      <c r="AV2022" s="59">
        <f>SUMIFS(HIX_RatingAreas[Silver Enrollments 2021],HIX_RatingAreas[Area],HIX_SLCSP[[#This Row],[Area Code]])</f>
        <v>532</v>
      </c>
      <c r="AW2022" s="59">
        <f>SUMIFS(HIX_RatingAreas[Silver Enrollments 2022],HIX_RatingAreas[Area],HIX_SLCSP[[#This Row],[Area Code]])</f>
        <v>468</v>
      </c>
      <c r="AX2022" s="59">
        <f>SUMIFS(HIX_RatingAreas[Silver Enrollments 2023],HIX_RatingAreas[Area],HIX_SLCSP[[#This Row],[Area Code]])</f>
        <v>393</v>
      </c>
      <c r="AY2022" s="59">
        <f>SUMIFS(HIX_RatingAreas[Silver Enrollments 2024],HIX_RatingAreas[Area],HIX_SLCSP[[#This Row],[Area Code]])</f>
        <v>1044</v>
      </c>
      <c r="AZ2022" s="59">
        <v>27160</v>
      </c>
      <c r="BA2022">
        <f t="shared" si="189"/>
        <v>5.9118147050949137E-2</v>
      </c>
      <c r="BB2022">
        <f>SUMIFS(HIX_RatingAreas[QHP Enrollments 2018],HIX_RatingAreas[Area],HIX_SLCSP[[#This Row],[Area Code]])</f>
        <v>1145</v>
      </c>
      <c r="BC2022">
        <f t="shared" si="183"/>
        <v>5.0665958670737643E-2</v>
      </c>
      <c r="BD2022">
        <f>SUMIFS(HIX_RatingAreas[QHP Enrollments 2019],HIX_RatingAreas[Area],HIX_SLCSP[[#This Row],[Area Code]])</f>
        <v>1145</v>
      </c>
      <c r="BE2022">
        <f t="shared" si="184"/>
        <v>5.0665958670737643E-2</v>
      </c>
      <c r="BF2022">
        <f>SUMIFS(HIX_RatingAreas[QHP Enrollments 2020],HIX_RatingAreas[Area],HIX_SLCSP[[#This Row],[Area Code]])</f>
        <v>938</v>
      </c>
      <c r="BG2022">
        <f t="shared" si="185"/>
        <v>4.6745739061098378E-2</v>
      </c>
      <c r="BH2022">
        <f>SUMIFS(HIX_RatingAreas[QHP Enrollments 2021],HIX_RatingAreas[Area],HIX_SLCSP[[#This Row],[Area Code]])</f>
        <v>910</v>
      </c>
      <c r="BI2022">
        <f t="shared" si="186"/>
        <v>4.6953201589185284E-2</v>
      </c>
      <c r="BJ2022">
        <f>SUMIFS(HIX_RatingAreas[QHP Enrollments 2022],HIX_RatingAreas[Area],HIX_SLCSP[[#This Row],[Area Code]])</f>
        <v>1055</v>
      </c>
      <c r="BK2022">
        <f t="shared" si="187"/>
        <v>4.5795893562529846E-2</v>
      </c>
      <c r="BL2022">
        <f>SUMIFS(HIX_RatingAreas[QHP Enrollments 2023],HIX_RatingAreas[Area],HIX_SLCSP[[#This Row],[Area Code]])</f>
        <v>1367</v>
      </c>
      <c r="BM2022">
        <f t="shared" si="190"/>
        <v>4.8261253309796998E-2</v>
      </c>
      <c r="BN2022">
        <f>SUMIFS(HIX_RatingAreas[QHP Enrollments 2024],HIX_RatingAreas[Area],HIX_SLCSP[[#This Row],[Area Code]])</f>
        <v>3122</v>
      </c>
      <c r="BO2022">
        <f t="shared" si="188"/>
        <v>6.116052188222388E-2</v>
      </c>
      <c r="BP2022" s="53">
        <f>ROUND(HIX_SLCSP[[#This Row],[Weighting Factor 2018]]*HIX_SLCSP[[#This Row],[2018]],2)</f>
        <v>25.07</v>
      </c>
      <c r="BQ2022" s="53">
        <f>ROUND(HIX_SLCSP[[#This Row],[Weighting Factor 2019]]*HIX_SLCSP[[#This Row],[2019]],2)</f>
        <v>28.39</v>
      </c>
      <c r="BR2022" s="53">
        <f>ROUND(HIX_SLCSP[[#This Row],[Weighting Factor 2020]]*HIX_SLCSP[[#This Row],[2020]],2)</f>
        <v>27.83</v>
      </c>
      <c r="BS2022" s="53">
        <f>ROUND(HIX_SLCSP[[#This Row],[Weighting Factor 2021]]*HIX_SLCSP[[#This Row],[2021]],2)</f>
        <v>29.38</v>
      </c>
      <c r="BT2022" s="53">
        <f>ROUND(HIX_SLCSP[[#This Row],[Weighting Factor 2022]]*HIX_SLCSP[[#This Row],[2022]],2)</f>
        <v>28.66</v>
      </c>
      <c r="BU2022" s="53">
        <f>ROUND(HIX_SLCSP[[#This Row],[Weighting Factor 2023]]*HIX_SLCSP[[#This Row],[2023]],2)</f>
        <v>30.81</v>
      </c>
      <c r="BV2022" s="53">
        <f>ROUND(HIX_SLCSP[[#This Row],[Weighting Factor 2024]]*HIX_SLCSP[[#This Row],[2024]],2)</f>
        <v>39.75</v>
      </c>
    </row>
    <row r="2023" spans="3:74" x14ac:dyDescent="0.35">
      <c r="D2023" t="s">
        <v>2469</v>
      </c>
      <c r="E2023" t="s">
        <v>255</v>
      </c>
      <c r="F2023" s="23">
        <v>4</v>
      </c>
      <c r="G2023" s="23" t="s">
        <v>2470</v>
      </c>
      <c r="H2023" s="23" t="s">
        <v>2508</v>
      </c>
      <c r="I2023" s="23">
        <v>40</v>
      </c>
      <c r="J2023" s="53">
        <v>405.05</v>
      </c>
      <c r="K2023" s="53">
        <v>418.25</v>
      </c>
      <c r="L2023" s="53">
        <v>712.78</v>
      </c>
      <c r="M2023" s="54">
        <f t="shared" si="178"/>
        <v>1.704196054991034</v>
      </c>
      <c r="N2023" s="24">
        <v>36</v>
      </c>
      <c r="O2023" s="55">
        <v>445.37</v>
      </c>
      <c r="P2023" s="56">
        <v>463.21</v>
      </c>
      <c r="Q2023" s="56">
        <v>789.4</v>
      </c>
      <c r="R2023" s="57">
        <f t="shared" si="179"/>
        <v>1.704194641739168</v>
      </c>
      <c r="S2023" s="23">
        <v>32</v>
      </c>
      <c r="T2023" s="53">
        <v>475.81</v>
      </c>
      <c r="U2023" s="53">
        <v>492.25</v>
      </c>
      <c r="V2023" s="53">
        <v>838.89</v>
      </c>
      <c r="W2023" s="57">
        <f t="shared" si="180"/>
        <v>1.7041950228542406</v>
      </c>
      <c r="X2023" s="47">
        <v>36</v>
      </c>
      <c r="Y2023" s="58">
        <v>502.23</v>
      </c>
      <c r="Z2023" s="58">
        <v>517.03</v>
      </c>
      <c r="AA2023" s="58">
        <v>881.12</v>
      </c>
      <c r="AB2023" s="57">
        <f t="shared" si="181"/>
        <v>1.7041951144034195</v>
      </c>
      <c r="AC2023" s="47">
        <v>39</v>
      </c>
      <c r="AD2023" s="57">
        <v>595.35</v>
      </c>
      <c r="AE2023" s="57">
        <v>602.02</v>
      </c>
      <c r="AF2023" s="57">
        <v>1025.96</v>
      </c>
      <c r="AG2023" s="57">
        <f t="shared" si="182"/>
        <v>1.7041958738912331</v>
      </c>
      <c r="AH2023" s="47">
        <v>37</v>
      </c>
      <c r="AI2023">
        <v>614.91</v>
      </c>
      <c r="AJ2023">
        <v>638.5</v>
      </c>
      <c r="AK2023">
        <v>1088.1400000000001</v>
      </c>
      <c r="AL2023" s="57">
        <f t="shared" si="135"/>
        <v>1.7042129992169148</v>
      </c>
      <c r="AM2023" s="47">
        <v>54</v>
      </c>
      <c r="AN2023" s="57">
        <v>628.96</v>
      </c>
      <c r="AO2023" s="57">
        <v>649.97</v>
      </c>
      <c r="AP2023" s="57">
        <v>1107.68</v>
      </c>
      <c r="AQ2023" s="57">
        <f t="shared" si="162"/>
        <v>1.7042017323876486</v>
      </c>
      <c r="AR2023" s="59"/>
      <c r="AS2023" s="59">
        <f>SUMIFS(HIX_RatingAreas[Silver Enrollments 2018],HIX_RatingAreas[Area],HIX_SLCSP[[#This Row],[Area Code]])</f>
        <v>1393</v>
      </c>
      <c r="AT2023" s="59">
        <f>SUMIFS(HIX_RatingAreas[Silver Enrollments 2019],HIX_RatingAreas[Area],HIX_SLCSP[[#This Row],[Area Code]])</f>
        <v>1393</v>
      </c>
      <c r="AU2023" s="59">
        <f>SUMIFS(HIX_RatingAreas[Silver Enrollments 2020],HIX_RatingAreas[Area],HIX_SLCSP[[#This Row],[Area Code]])</f>
        <v>1291</v>
      </c>
      <c r="AV2023" s="59">
        <f>SUMIFS(HIX_RatingAreas[Silver Enrollments 2021],HIX_RatingAreas[Area],HIX_SLCSP[[#This Row],[Area Code]])</f>
        <v>1154</v>
      </c>
      <c r="AW2023" s="59">
        <f>SUMIFS(HIX_RatingAreas[Silver Enrollments 2022],HIX_RatingAreas[Area],HIX_SLCSP[[#This Row],[Area Code]])</f>
        <v>989</v>
      </c>
      <c r="AX2023" s="59">
        <f>SUMIFS(HIX_RatingAreas[Silver Enrollments 2023],HIX_RatingAreas[Area],HIX_SLCSP[[#This Row],[Area Code]])</f>
        <v>1054</v>
      </c>
      <c r="AY2023" s="59">
        <f>SUMIFS(HIX_RatingAreas[Silver Enrollments 2024],HIX_RatingAreas[Area],HIX_SLCSP[[#This Row],[Area Code]])</f>
        <v>2412</v>
      </c>
      <c r="AZ2023" s="59">
        <v>76002</v>
      </c>
      <c r="BA2023">
        <f t="shared" si="189"/>
        <v>0.16543068527858013</v>
      </c>
      <c r="BB2023">
        <f>SUMIFS(HIX_RatingAreas[QHP Enrollments 2018],HIX_RatingAreas[Area],HIX_SLCSP[[#This Row],[Area Code]])</f>
        <v>2107</v>
      </c>
      <c r="BC2023">
        <f t="shared" si="183"/>
        <v>9.3234213903270052E-2</v>
      </c>
      <c r="BD2023">
        <f>SUMIFS(HIX_RatingAreas[QHP Enrollments 2019],HIX_RatingAreas[Area],HIX_SLCSP[[#This Row],[Area Code]])</f>
        <v>2107</v>
      </c>
      <c r="BE2023">
        <f t="shared" si="184"/>
        <v>9.3234213903270052E-2</v>
      </c>
      <c r="BF2023">
        <f>SUMIFS(HIX_RatingAreas[QHP Enrollments 2020],HIX_RatingAreas[Area],HIX_SLCSP[[#This Row],[Area Code]])</f>
        <v>1930</v>
      </c>
      <c r="BG2023">
        <f t="shared" si="185"/>
        <v>9.6182597428485991E-2</v>
      </c>
      <c r="BH2023">
        <f>SUMIFS(HIX_RatingAreas[QHP Enrollments 2021],HIX_RatingAreas[Area],HIX_SLCSP[[#This Row],[Area Code]])</f>
        <v>1813</v>
      </c>
      <c r="BI2023">
        <f t="shared" si="186"/>
        <v>9.3545224704607605E-2</v>
      </c>
      <c r="BJ2023">
        <f>SUMIFS(HIX_RatingAreas[QHP Enrollments 2022],HIX_RatingAreas[Area],HIX_SLCSP[[#This Row],[Area Code]])</f>
        <v>1959</v>
      </c>
      <c r="BK2023">
        <f t="shared" si="187"/>
        <v>8.5037114207579118E-2</v>
      </c>
      <c r="BL2023">
        <f>SUMIFS(HIX_RatingAreas[QHP Enrollments 2023],HIX_RatingAreas[Area],HIX_SLCSP[[#This Row],[Area Code]])</f>
        <v>2453</v>
      </c>
      <c r="BM2023">
        <f t="shared" si="190"/>
        <v>8.6601941747572811E-2</v>
      </c>
      <c r="BN2023">
        <f>SUMIFS(HIX_RatingAreas[QHP Enrollments 2024],HIX_RatingAreas[Area],HIX_SLCSP[[#This Row],[Area Code]])</f>
        <v>4647</v>
      </c>
      <c r="BO2023">
        <f t="shared" si="188"/>
        <v>9.1035536574854053E-2</v>
      </c>
      <c r="BP2023" s="53">
        <f>ROUND(HIX_SLCSP[[#This Row],[Weighting Factor 2018]]*HIX_SLCSP[[#This Row],[2018]],2)</f>
        <v>39</v>
      </c>
      <c r="BQ2023" s="53">
        <f>ROUND(HIX_SLCSP[[#This Row],[Weighting Factor 2019]]*HIX_SLCSP[[#This Row],[2019]],2)</f>
        <v>43.19</v>
      </c>
      <c r="BR2023" s="53">
        <f>ROUND(HIX_SLCSP[[#This Row],[Weighting Factor 2020]]*HIX_SLCSP[[#This Row],[2020]],2)</f>
        <v>47.35</v>
      </c>
      <c r="BS2023" s="53">
        <f>ROUND(HIX_SLCSP[[#This Row],[Weighting Factor 2021]]*HIX_SLCSP[[#This Row],[2021]],2)</f>
        <v>48.37</v>
      </c>
      <c r="BT2023" s="53">
        <f>ROUND(HIX_SLCSP[[#This Row],[Weighting Factor 2022]]*HIX_SLCSP[[#This Row],[2022]],2)</f>
        <v>51.19</v>
      </c>
      <c r="BU2023" s="53">
        <f>ROUND(HIX_SLCSP[[#This Row],[Weighting Factor 2023]]*HIX_SLCSP[[#This Row],[2023]],2)</f>
        <v>55.3</v>
      </c>
      <c r="BV2023" s="53">
        <f>ROUND(HIX_SLCSP[[#This Row],[Weighting Factor 2024]]*HIX_SLCSP[[#This Row],[2024]],2)</f>
        <v>59.17</v>
      </c>
    </row>
    <row r="2024" spans="3:74" x14ac:dyDescent="0.35">
      <c r="D2024" t="s">
        <v>2469</v>
      </c>
      <c r="E2024" t="s">
        <v>259</v>
      </c>
      <c r="F2024" s="23">
        <v>5</v>
      </c>
      <c r="G2024" s="23" t="s">
        <v>2470</v>
      </c>
      <c r="H2024" s="23" t="s">
        <v>2481</v>
      </c>
      <c r="I2024" s="23">
        <v>40</v>
      </c>
      <c r="J2024" s="53">
        <v>379.78</v>
      </c>
      <c r="K2024" s="53">
        <v>392.16</v>
      </c>
      <c r="L2024" s="53">
        <v>668.32</v>
      </c>
      <c r="M2024" s="54">
        <f t="shared" si="178"/>
        <v>1.704202366381069</v>
      </c>
      <c r="N2024" s="24">
        <v>36</v>
      </c>
      <c r="O2024" s="55">
        <v>418.68</v>
      </c>
      <c r="P2024" s="56">
        <v>435.44</v>
      </c>
      <c r="Q2024" s="56">
        <v>742.08</v>
      </c>
      <c r="R2024" s="57">
        <f t="shared" si="179"/>
        <v>1.7042072386551534</v>
      </c>
      <c r="S2024" s="23">
        <v>32</v>
      </c>
      <c r="T2024" s="53">
        <v>514.01</v>
      </c>
      <c r="U2024" s="53">
        <v>531.77</v>
      </c>
      <c r="V2024" s="53">
        <v>906.24</v>
      </c>
      <c r="W2024" s="57">
        <f t="shared" si="180"/>
        <v>1.7041954228331799</v>
      </c>
      <c r="X2024" s="47">
        <v>36</v>
      </c>
      <c r="Y2024" s="58">
        <v>575.61</v>
      </c>
      <c r="Z2024" s="58">
        <v>592.57000000000005</v>
      </c>
      <c r="AA2024" s="58">
        <v>1009.86</v>
      </c>
      <c r="AB2024" s="57">
        <f t="shared" si="181"/>
        <v>1.7042037227669304</v>
      </c>
      <c r="AC2024" s="47">
        <v>39</v>
      </c>
      <c r="AD2024" s="57">
        <v>655.77</v>
      </c>
      <c r="AE2024" s="57">
        <v>658.8</v>
      </c>
      <c r="AF2024" s="57">
        <v>1122.73</v>
      </c>
      <c r="AG2024" s="57">
        <f t="shared" si="182"/>
        <v>1.7042046144505163</v>
      </c>
      <c r="AH2024" s="47">
        <v>37</v>
      </c>
      <c r="AI2024">
        <v>660.22</v>
      </c>
      <c r="AJ2024">
        <v>685.55</v>
      </c>
      <c r="AK2024">
        <v>1168.31</v>
      </c>
      <c r="AL2024" s="57">
        <f t="shared" si="135"/>
        <v>1.7041937130770914</v>
      </c>
      <c r="AM2024" s="47">
        <v>55</v>
      </c>
      <c r="AN2024" s="57">
        <v>675.3</v>
      </c>
      <c r="AO2024" s="57">
        <v>697.86</v>
      </c>
      <c r="AP2024" s="57">
        <v>1189.3</v>
      </c>
      <c r="AQ2024" s="57">
        <f t="shared" si="162"/>
        <v>1.7042100134697502</v>
      </c>
      <c r="AR2024" s="59"/>
      <c r="AS2024" s="59">
        <f>SUMIFS(HIX_RatingAreas[Silver Enrollments 2018],HIX_RatingAreas[Area],HIX_SLCSP[[#This Row],[Area Code]])</f>
        <v>1569</v>
      </c>
      <c r="AT2024" s="59">
        <f>SUMIFS(HIX_RatingAreas[Silver Enrollments 2019],HIX_RatingAreas[Area],HIX_SLCSP[[#This Row],[Area Code]])</f>
        <v>1569</v>
      </c>
      <c r="AU2024" s="59">
        <f>SUMIFS(HIX_RatingAreas[Silver Enrollments 2020],HIX_RatingAreas[Area],HIX_SLCSP[[#This Row],[Area Code]])</f>
        <v>1263</v>
      </c>
      <c r="AV2024" s="59">
        <f>SUMIFS(HIX_RatingAreas[Silver Enrollments 2021],HIX_RatingAreas[Area],HIX_SLCSP[[#This Row],[Area Code]])</f>
        <v>1181</v>
      </c>
      <c r="AW2024" s="59">
        <f>SUMIFS(HIX_RatingAreas[Silver Enrollments 2022],HIX_RatingAreas[Area],HIX_SLCSP[[#This Row],[Area Code]])</f>
        <v>1113</v>
      </c>
      <c r="AX2024" s="59">
        <f>SUMIFS(HIX_RatingAreas[Silver Enrollments 2023],HIX_RatingAreas[Area],HIX_SLCSP[[#This Row],[Area Code]])</f>
        <v>1025</v>
      </c>
      <c r="AY2024" s="59">
        <f>SUMIFS(HIX_RatingAreas[Silver Enrollments 2024],HIX_RatingAreas[Area],HIX_SLCSP[[#This Row],[Area Code]])</f>
        <v>1983</v>
      </c>
      <c r="AZ2024" s="59">
        <v>18577</v>
      </c>
      <c r="BA2024">
        <f t="shared" si="189"/>
        <v>4.0435854851453686E-2</v>
      </c>
      <c r="BB2024">
        <f>SUMIFS(HIX_RatingAreas[QHP Enrollments 2018],HIX_RatingAreas[Area],HIX_SLCSP[[#This Row],[Area Code]])</f>
        <v>2412</v>
      </c>
      <c r="BC2024">
        <f t="shared" si="183"/>
        <v>0.10673038630027877</v>
      </c>
      <c r="BD2024">
        <f>SUMIFS(HIX_RatingAreas[QHP Enrollments 2019],HIX_RatingAreas[Area],HIX_SLCSP[[#This Row],[Area Code]])</f>
        <v>2412</v>
      </c>
      <c r="BE2024">
        <f t="shared" si="184"/>
        <v>0.10673038630027877</v>
      </c>
      <c r="BF2024">
        <f>SUMIFS(HIX_RatingAreas[QHP Enrollments 2020],HIX_RatingAreas[Area],HIX_SLCSP[[#This Row],[Area Code]])</f>
        <v>2102</v>
      </c>
      <c r="BG2024">
        <f t="shared" si="185"/>
        <v>0.10475431077444433</v>
      </c>
      <c r="BH2024">
        <f>SUMIFS(HIX_RatingAreas[QHP Enrollments 2021],HIX_RatingAreas[Area],HIX_SLCSP[[#This Row],[Area Code]])</f>
        <v>2023</v>
      </c>
      <c r="BI2024">
        <f t="shared" si="186"/>
        <v>0.10438057891749651</v>
      </c>
      <c r="BJ2024">
        <f>SUMIFS(HIX_RatingAreas[QHP Enrollments 2022],HIX_RatingAreas[Area],HIX_SLCSP[[#This Row],[Area Code]])</f>
        <v>2532</v>
      </c>
      <c r="BK2024">
        <f t="shared" si="187"/>
        <v>0.10991014455007163</v>
      </c>
      <c r="BL2024">
        <f>SUMIFS(HIX_RatingAreas[QHP Enrollments 2023],HIX_RatingAreas[Area],HIX_SLCSP[[#This Row],[Area Code]])</f>
        <v>3248</v>
      </c>
      <c r="BM2024">
        <f t="shared" si="190"/>
        <v>0.11466902030008826</v>
      </c>
      <c r="BN2024">
        <f>SUMIFS(HIX_RatingAreas[QHP Enrollments 2024],HIX_RatingAreas[Area],HIX_SLCSP[[#This Row],[Area Code]])</f>
        <v>6122</v>
      </c>
      <c r="BO2024">
        <f t="shared" si="188"/>
        <v>0.11993104258903733</v>
      </c>
      <c r="BP2024" s="53">
        <f>ROUND(HIX_SLCSP[[#This Row],[Weighting Factor 2018]]*HIX_SLCSP[[#This Row],[2018]],2)</f>
        <v>41.86</v>
      </c>
      <c r="BQ2024" s="53">
        <f>ROUND(HIX_SLCSP[[#This Row],[Weighting Factor 2019]]*HIX_SLCSP[[#This Row],[2019]],2)</f>
        <v>46.47</v>
      </c>
      <c r="BR2024" s="53">
        <f>ROUND(HIX_SLCSP[[#This Row],[Weighting Factor 2020]]*HIX_SLCSP[[#This Row],[2020]],2)</f>
        <v>55.71</v>
      </c>
      <c r="BS2024" s="53">
        <f>ROUND(HIX_SLCSP[[#This Row],[Weighting Factor 2021]]*HIX_SLCSP[[#This Row],[2021]],2)</f>
        <v>61.85</v>
      </c>
      <c r="BT2024" s="53">
        <f>ROUND(HIX_SLCSP[[#This Row],[Weighting Factor 2022]]*HIX_SLCSP[[#This Row],[2022]],2)</f>
        <v>72.41</v>
      </c>
      <c r="BU2024" s="53">
        <f>ROUND(HIX_SLCSP[[#This Row],[Weighting Factor 2023]]*HIX_SLCSP[[#This Row],[2023]],2)</f>
        <v>78.61</v>
      </c>
      <c r="BV2024" s="53">
        <f>ROUND(HIX_SLCSP[[#This Row],[Weighting Factor 2024]]*HIX_SLCSP[[#This Row],[2024]],2)</f>
        <v>83.7</v>
      </c>
    </row>
    <row r="2025" spans="3:74" x14ac:dyDescent="0.35">
      <c r="D2025" t="s">
        <v>2469</v>
      </c>
      <c r="E2025" t="s">
        <v>265</v>
      </c>
      <c r="F2025" s="23">
        <v>6</v>
      </c>
      <c r="G2025" s="23" t="s">
        <v>2470</v>
      </c>
      <c r="H2025" s="23" t="s">
        <v>2473</v>
      </c>
      <c r="I2025" s="23">
        <v>16</v>
      </c>
      <c r="J2025" s="53">
        <v>439.35</v>
      </c>
      <c r="K2025" s="53">
        <v>459.01</v>
      </c>
      <c r="L2025" s="53">
        <v>782.25</v>
      </c>
      <c r="M2025" s="54">
        <f t="shared" si="178"/>
        <v>1.7042112372279472</v>
      </c>
      <c r="N2025" s="24">
        <v>12</v>
      </c>
      <c r="O2025" s="55">
        <v>479.36</v>
      </c>
      <c r="P2025" s="56">
        <v>500.29</v>
      </c>
      <c r="Q2025" s="56">
        <v>852.6</v>
      </c>
      <c r="R2025" s="57">
        <f t="shared" si="179"/>
        <v>1.7042115572967678</v>
      </c>
      <c r="S2025" s="23">
        <v>8</v>
      </c>
      <c r="T2025" s="53">
        <v>502.25</v>
      </c>
      <c r="U2025" s="53">
        <v>526.59</v>
      </c>
      <c r="V2025" s="53">
        <v>897.41</v>
      </c>
      <c r="W2025" s="57">
        <f t="shared" si="180"/>
        <v>1.7041911164283408</v>
      </c>
      <c r="X2025" s="47">
        <v>36</v>
      </c>
      <c r="Y2025" s="58">
        <v>507.44</v>
      </c>
      <c r="Z2025" s="58">
        <v>522.39</v>
      </c>
      <c r="AA2025" s="58">
        <v>890.25</v>
      </c>
      <c r="AB2025" s="57">
        <f t="shared" si="181"/>
        <v>1.7041865273071843</v>
      </c>
      <c r="AC2025" s="47">
        <v>39</v>
      </c>
      <c r="AD2025" s="57">
        <v>537.73</v>
      </c>
      <c r="AE2025" s="57">
        <v>540.22</v>
      </c>
      <c r="AF2025" s="57">
        <v>920.65</v>
      </c>
      <c r="AG2025" s="57">
        <f t="shared" si="182"/>
        <v>1.7042130983673316</v>
      </c>
      <c r="AH2025" s="47">
        <v>37</v>
      </c>
      <c r="AI2025">
        <v>530.76</v>
      </c>
      <c r="AJ2025">
        <v>551.12</v>
      </c>
      <c r="AK2025">
        <v>939.22</v>
      </c>
      <c r="AL2025" s="57">
        <f t="shared" si="135"/>
        <v>1.7042023515749747</v>
      </c>
      <c r="AM2025" s="47">
        <v>54</v>
      </c>
      <c r="AN2025" s="57">
        <v>542.88</v>
      </c>
      <c r="AO2025" s="57">
        <v>561.03</v>
      </c>
      <c r="AP2025" s="57">
        <v>956.1</v>
      </c>
      <c r="AQ2025" s="57">
        <f t="shared" si="162"/>
        <v>1.7041869418747662</v>
      </c>
      <c r="AR2025" s="59"/>
      <c r="AS2025" s="59">
        <f>SUMIFS(HIX_RatingAreas[Silver Enrollments 2018],HIX_RatingAreas[Area],HIX_SLCSP[[#This Row],[Area Code]])</f>
        <v>1884</v>
      </c>
      <c r="AT2025" s="59">
        <f>SUMIFS(HIX_RatingAreas[Silver Enrollments 2019],HIX_RatingAreas[Area],HIX_SLCSP[[#This Row],[Area Code]])</f>
        <v>1884</v>
      </c>
      <c r="AU2025" s="59">
        <f>SUMIFS(HIX_RatingAreas[Silver Enrollments 2020],HIX_RatingAreas[Area],HIX_SLCSP[[#This Row],[Area Code]])</f>
        <v>1717</v>
      </c>
      <c r="AV2025" s="59">
        <f>SUMIFS(HIX_RatingAreas[Silver Enrollments 2021],HIX_RatingAreas[Area],HIX_SLCSP[[#This Row],[Area Code]])</f>
        <v>1587</v>
      </c>
      <c r="AW2025" s="59">
        <f>SUMIFS(HIX_RatingAreas[Silver Enrollments 2022],HIX_RatingAreas[Area],HIX_SLCSP[[#This Row],[Area Code]])</f>
        <v>1324</v>
      </c>
      <c r="AX2025" s="59">
        <f>SUMIFS(HIX_RatingAreas[Silver Enrollments 2023],HIX_RatingAreas[Area],HIX_SLCSP[[#This Row],[Area Code]])</f>
        <v>0</v>
      </c>
      <c r="AY2025" s="59">
        <f>SUMIFS(HIX_RatingAreas[Silver Enrollments 2024],HIX_RatingAreas[Area],HIX_SLCSP[[#This Row],[Area Code]])</f>
        <v>1806</v>
      </c>
      <c r="AZ2025" s="59">
        <v>44722</v>
      </c>
      <c r="BA2025">
        <f t="shared" si="189"/>
        <v>9.7344689705911161E-2</v>
      </c>
      <c r="BB2025">
        <f>SUMIFS(HIX_RatingAreas[QHP Enrollments 2018],HIX_RatingAreas[Area],HIX_SLCSP[[#This Row],[Area Code]])</f>
        <v>2780</v>
      </c>
      <c r="BC2025">
        <f t="shared" si="183"/>
        <v>0.12301429266781716</v>
      </c>
      <c r="BD2025">
        <f>SUMIFS(HIX_RatingAreas[QHP Enrollments 2019],HIX_RatingAreas[Area],HIX_SLCSP[[#This Row],[Area Code]])</f>
        <v>2780</v>
      </c>
      <c r="BE2025">
        <f t="shared" si="184"/>
        <v>0.12301429266781716</v>
      </c>
      <c r="BF2025">
        <f>SUMIFS(HIX_RatingAreas[QHP Enrollments 2020],HIX_RatingAreas[Area],HIX_SLCSP[[#This Row],[Area Code]])</f>
        <v>2669</v>
      </c>
      <c r="BG2025">
        <f t="shared" si="185"/>
        <v>0.13301106349048142</v>
      </c>
      <c r="BH2025">
        <f>SUMIFS(HIX_RatingAreas[QHP Enrollments 2021],HIX_RatingAreas[Area],HIX_SLCSP[[#This Row],[Area Code]])</f>
        <v>2774</v>
      </c>
      <c r="BI2025">
        <f t="shared" si="186"/>
        <v>0.14312986945978021</v>
      </c>
      <c r="BJ2025">
        <f>SUMIFS(HIX_RatingAreas[QHP Enrollments 2022],HIX_RatingAreas[Area],HIX_SLCSP[[#This Row],[Area Code]])</f>
        <v>3315</v>
      </c>
      <c r="BK2025">
        <f t="shared" si="187"/>
        <v>0.143898945175153</v>
      </c>
      <c r="BL2025">
        <f>SUMIFS(HIX_RatingAreas[QHP Enrollments 2023],HIX_RatingAreas[Area],HIX_SLCSP[[#This Row],[Area Code]])</f>
        <v>3897</v>
      </c>
      <c r="BM2025">
        <f t="shared" si="190"/>
        <v>0.13758164165931155</v>
      </c>
      <c r="BN2025">
        <f>SUMIFS(HIX_RatingAreas[QHP Enrollments 2024],HIX_RatingAreas[Area],HIX_SLCSP[[#This Row],[Area Code]])</f>
        <v>5755</v>
      </c>
      <c r="BO2025">
        <f t="shared" si="188"/>
        <v>0.11274144888923716</v>
      </c>
      <c r="BP2025" s="53">
        <f>ROUND(HIX_SLCSP[[#This Row],[Weighting Factor 2018]]*HIX_SLCSP[[#This Row],[2018]],2)</f>
        <v>56.46</v>
      </c>
      <c r="BQ2025" s="53">
        <f>ROUND(HIX_SLCSP[[#This Row],[Weighting Factor 2019]]*HIX_SLCSP[[#This Row],[2019]],2)</f>
        <v>61.54</v>
      </c>
      <c r="BR2025" s="53">
        <f>ROUND(HIX_SLCSP[[#This Row],[Weighting Factor 2020]]*HIX_SLCSP[[#This Row],[2020]],2)</f>
        <v>70.040000000000006</v>
      </c>
      <c r="BS2025" s="53">
        <f>ROUND(HIX_SLCSP[[#This Row],[Weighting Factor 2021]]*HIX_SLCSP[[#This Row],[2021]],2)</f>
        <v>74.77</v>
      </c>
      <c r="BT2025" s="53">
        <f>ROUND(HIX_SLCSP[[#This Row],[Weighting Factor 2022]]*HIX_SLCSP[[#This Row],[2022]],2)</f>
        <v>77.739999999999995</v>
      </c>
      <c r="BU2025" s="53">
        <f>ROUND(HIX_SLCSP[[#This Row],[Weighting Factor 2023]]*HIX_SLCSP[[#This Row],[2023]],2)</f>
        <v>75.819999999999993</v>
      </c>
      <c r="BV2025" s="53">
        <f>ROUND(HIX_SLCSP[[#This Row],[Weighting Factor 2024]]*HIX_SLCSP[[#This Row],[2024]],2)</f>
        <v>63.25</v>
      </c>
    </row>
    <row r="2026" spans="3:74" x14ac:dyDescent="0.35">
      <c r="D2026" t="s">
        <v>2469</v>
      </c>
      <c r="E2026" t="s">
        <v>273</v>
      </c>
      <c r="F2026" s="23">
        <v>7</v>
      </c>
      <c r="G2026" s="23" t="s">
        <v>2470</v>
      </c>
      <c r="H2026" s="23" t="s">
        <v>2489</v>
      </c>
      <c r="I2026" s="23">
        <v>16</v>
      </c>
      <c r="J2026" s="53">
        <v>439.35</v>
      </c>
      <c r="K2026" s="53">
        <v>459.01</v>
      </c>
      <c r="L2026" s="53">
        <v>782.25</v>
      </c>
      <c r="M2026" s="54">
        <f t="shared" si="178"/>
        <v>1.7042112372279472</v>
      </c>
      <c r="N2026" s="24">
        <v>12</v>
      </c>
      <c r="O2026" s="55">
        <v>479.36</v>
      </c>
      <c r="P2026" s="56">
        <v>500.29</v>
      </c>
      <c r="Q2026" s="56">
        <v>852.6</v>
      </c>
      <c r="R2026" s="57">
        <f t="shared" si="179"/>
        <v>1.7042115572967678</v>
      </c>
      <c r="S2026" s="23">
        <v>32</v>
      </c>
      <c r="T2026" s="53">
        <v>415.85</v>
      </c>
      <c r="U2026" s="53">
        <v>430.22</v>
      </c>
      <c r="V2026" s="53">
        <v>733.18</v>
      </c>
      <c r="W2026" s="57">
        <f t="shared" si="180"/>
        <v>1.7041978522616335</v>
      </c>
      <c r="X2026" s="47">
        <v>36</v>
      </c>
      <c r="Y2026" s="58">
        <v>452.79</v>
      </c>
      <c r="Z2026" s="58">
        <v>466.13</v>
      </c>
      <c r="AA2026" s="58">
        <v>794.37</v>
      </c>
      <c r="AB2026" s="57">
        <f t="shared" si="181"/>
        <v>1.7041812369939717</v>
      </c>
      <c r="AC2026" s="47">
        <v>39</v>
      </c>
      <c r="AD2026" s="57">
        <v>537.73</v>
      </c>
      <c r="AE2026" s="57">
        <v>540.22</v>
      </c>
      <c r="AF2026" s="57">
        <v>920.65</v>
      </c>
      <c r="AG2026" s="57">
        <f t="shared" si="182"/>
        <v>1.7042130983673316</v>
      </c>
      <c r="AH2026" s="47">
        <v>37</v>
      </c>
      <c r="AI2026">
        <v>530.76</v>
      </c>
      <c r="AJ2026">
        <v>551.12</v>
      </c>
      <c r="AK2026">
        <v>939.22</v>
      </c>
      <c r="AL2026" s="57">
        <f t="shared" si="135"/>
        <v>1.7042023515749747</v>
      </c>
      <c r="AM2026" s="47">
        <v>54</v>
      </c>
      <c r="AN2026" s="57">
        <v>542.88</v>
      </c>
      <c r="AO2026" s="57">
        <v>561.03</v>
      </c>
      <c r="AP2026" s="57">
        <v>956.1</v>
      </c>
      <c r="AQ2026" s="57">
        <f t="shared" si="162"/>
        <v>1.7041869418747662</v>
      </c>
      <c r="AR2026" s="59"/>
      <c r="AS2026" s="59">
        <f>SUMIFS(HIX_RatingAreas[Silver Enrollments 2018],HIX_RatingAreas[Area],HIX_SLCSP[[#This Row],[Area Code]])</f>
        <v>1203</v>
      </c>
      <c r="AT2026" s="59">
        <f>SUMIFS(HIX_RatingAreas[Silver Enrollments 2019],HIX_RatingAreas[Area],HIX_SLCSP[[#This Row],[Area Code]])</f>
        <v>1203</v>
      </c>
      <c r="AU2026" s="59">
        <f>SUMIFS(HIX_RatingAreas[Silver Enrollments 2020],HIX_RatingAreas[Area],HIX_SLCSP[[#This Row],[Area Code]])</f>
        <v>1131</v>
      </c>
      <c r="AV2026" s="59">
        <f>SUMIFS(HIX_RatingAreas[Silver Enrollments 2021],HIX_RatingAreas[Area],HIX_SLCSP[[#This Row],[Area Code]])</f>
        <v>959</v>
      </c>
      <c r="AW2026" s="59">
        <f>SUMIFS(HIX_RatingAreas[Silver Enrollments 2022],HIX_RatingAreas[Area],HIX_SLCSP[[#This Row],[Area Code]])</f>
        <v>647</v>
      </c>
      <c r="AX2026" s="59">
        <f>SUMIFS(HIX_RatingAreas[Silver Enrollments 2023],HIX_RatingAreas[Area],HIX_SLCSP[[#This Row],[Area Code]])</f>
        <v>678</v>
      </c>
      <c r="AY2026" s="59">
        <f>SUMIFS(HIX_RatingAreas[Silver Enrollments 2024],HIX_RatingAreas[Area],HIX_SLCSP[[#This Row],[Area Code]])</f>
        <v>1300</v>
      </c>
      <c r="AZ2026" s="59">
        <v>44723</v>
      </c>
      <c r="BA2026">
        <f t="shared" si="189"/>
        <v>9.7346866368173718E-2</v>
      </c>
      <c r="BB2026">
        <f>SUMIFS(HIX_RatingAreas[QHP Enrollments 2018],HIX_RatingAreas[Area],HIX_SLCSP[[#This Row],[Area Code]])</f>
        <v>1707</v>
      </c>
      <c r="BC2026">
        <f t="shared" si="183"/>
        <v>7.5534315677684857E-2</v>
      </c>
      <c r="BD2026">
        <f>SUMIFS(HIX_RatingAreas[QHP Enrollments 2019],HIX_RatingAreas[Area],HIX_SLCSP[[#This Row],[Area Code]])</f>
        <v>1707</v>
      </c>
      <c r="BE2026">
        <f t="shared" si="184"/>
        <v>7.5534315677684857E-2</v>
      </c>
      <c r="BF2026">
        <f>SUMIFS(HIX_RatingAreas[QHP Enrollments 2020],HIX_RatingAreas[Area],HIX_SLCSP[[#This Row],[Area Code]])</f>
        <v>1605</v>
      </c>
      <c r="BG2026">
        <f t="shared" si="185"/>
        <v>7.9986046048041465E-2</v>
      </c>
      <c r="BH2026">
        <f>SUMIFS(HIX_RatingAreas[QHP Enrollments 2021],HIX_RatingAreas[Area],HIX_SLCSP[[#This Row],[Area Code]])</f>
        <v>1575</v>
      </c>
      <c r="BI2026">
        <f t="shared" si="186"/>
        <v>8.1265156596666832E-2</v>
      </c>
      <c r="BJ2026">
        <f>SUMIFS(HIX_RatingAreas[QHP Enrollments 2022],HIX_RatingAreas[Area],HIX_SLCSP[[#This Row],[Area Code]])</f>
        <v>1578</v>
      </c>
      <c r="BK2026">
        <f t="shared" si="187"/>
        <v>6.8498502409167855E-2</v>
      </c>
      <c r="BL2026">
        <f>SUMIFS(HIX_RatingAreas[QHP Enrollments 2023],HIX_RatingAreas[Area],HIX_SLCSP[[#This Row],[Area Code]])</f>
        <v>1882</v>
      </c>
      <c r="BM2026">
        <f t="shared" si="190"/>
        <v>6.6443071491615185E-2</v>
      </c>
      <c r="BN2026">
        <f>SUMIFS(HIX_RatingAreas[QHP Enrollments 2024],HIX_RatingAreas[Area],HIX_SLCSP[[#This Row],[Area Code]])</f>
        <v>3008</v>
      </c>
      <c r="BO2026">
        <f t="shared" si="188"/>
        <v>5.8927242095364964E-2</v>
      </c>
      <c r="BP2026" s="53">
        <f>ROUND(HIX_SLCSP[[#This Row],[Weighting Factor 2018]]*HIX_SLCSP[[#This Row],[2018]],2)</f>
        <v>34.67</v>
      </c>
      <c r="BQ2026" s="53">
        <f>ROUND(HIX_SLCSP[[#This Row],[Weighting Factor 2019]]*HIX_SLCSP[[#This Row],[2019]],2)</f>
        <v>37.79</v>
      </c>
      <c r="BR2026" s="53">
        <f>ROUND(HIX_SLCSP[[#This Row],[Weighting Factor 2020]]*HIX_SLCSP[[#This Row],[2020]],2)</f>
        <v>34.409999999999997</v>
      </c>
      <c r="BS2026" s="53">
        <f>ROUND(HIX_SLCSP[[#This Row],[Weighting Factor 2021]]*HIX_SLCSP[[#This Row],[2021]],2)</f>
        <v>37.880000000000003</v>
      </c>
      <c r="BT2026" s="53">
        <f>ROUND(HIX_SLCSP[[#This Row],[Weighting Factor 2022]]*HIX_SLCSP[[#This Row],[2022]],2)</f>
        <v>37</v>
      </c>
      <c r="BU2026" s="53">
        <f>ROUND(HIX_SLCSP[[#This Row],[Weighting Factor 2023]]*HIX_SLCSP[[#This Row],[2023]],2)</f>
        <v>36.619999999999997</v>
      </c>
      <c r="BV2026" s="53">
        <f>ROUND(HIX_SLCSP[[#This Row],[Weighting Factor 2024]]*HIX_SLCSP[[#This Row],[2024]],2)</f>
        <v>33.06</v>
      </c>
    </row>
    <row r="2027" spans="3:74" x14ac:dyDescent="0.35">
      <c r="D2027" t="s">
        <v>2469</v>
      </c>
      <c r="E2027" t="s">
        <v>279</v>
      </c>
      <c r="F2027" s="23">
        <v>8</v>
      </c>
      <c r="G2027" s="23" t="s">
        <v>2470</v>
      </c>
      <c r="H2027" s="23" t="s">
        <v>2485</v>
      </c>
      <c r="I2027" s="23">
        <v>40</v>
      </c>
      <c r="J2027" s="53">
        <v>405.85</v>
      </c>
      <c r="K2027" s="53">
        <v>419.08</v>
      </c>
      <c r="L2027" s="53">
        <v>714.19</v>
      </c>
      <c r="M2027" s="54">
        <f t="shared" si="178"/>
        <v>1.7041853584041236</v>
      </c>
      <c r="N2027" s="24">
        <v>36</v>
      </c>
      <c r="O2027" s="55">
        <v>447.6</v>
      </c>
      <c r="P2027" s="56">
        <v>465.52</v>
      </c>
      <c r="Q2027" s="56">
        <v>793.34</v>
      </c>
      <c r="R2027" s="57">
        <f t="shared" si="179"/>
        <v>1.7042017528785016</v>
      </c>
      <c r="S2027" s="23">
        <v>32</v>
      </c>
      <c r="T2027" s="53">
        <v>477.74</v>
      </c>
      <c r="U2027" s="53">
        <v>494.25</v>
      </c>
      <c r="V2027" s="53">
        <v>842.3</v>
      </c>
      <c r="W2027" s="57">
        <f t="shared" si="180"/>
        <v>1.7041982802225593</v>
      </c>
      <c r="X2027" s="47">
        <v>36</v>
      </c>
      <c r="Y2027" s="58">
        <v>504.31</v>
      </c>
      <c r="Z2027" s="58">
        <v>519.16999999999996</v>
      </c>
      <c r="AA2027" s="58">
        <v>884.77</v>
      </c>
      <c r="AB2027" s="57">
        <f t="shared" si="181"/>
        <v>1.7042009361095596</v>
      </c>
      <c r="AC2027" s="47">
        <v>39</v>
      </c>
      <c r="AD2027" s="57">
        <v>617.87</v>
      </c>
      <c r="AE2027" s="57">
        <v>619.70000000000005</v>
      </c>
      <c r="AF2027" s="57">
        <v>1056.0999999999999</v>
      </c>
      <c r="AG2027" s="57">
        <f t="shared" si="182"/>
        <v>1.7042117153461349</v>
      </c>
      <c r="AH2027" s="47">
        <v>37</v>
      </c>
      <c r="AI2027">
        <v>598.73</v>
      </c>
      <c r="AJ2027">
        <v>621.69000000000005</v>
      </c>
      <c r="AK2027">
        <v>1059.49</v>
      </c>
      <c r="AL2027" s="57">
        <f t="shared" si="135"/>
        <v>1.7042094934774565</v>
      </c>
      <c r="AM2027" s="47">
        <v>54</v>
      </c>
      <c r="AN2027" s="57">
        <v>612.41</v>
      </c>
      <c r="AO2027" s="57">
        <v>632.87</v>
      </c>
      <c r="AP2027" s="57">
        <v>1078.53</v>
      </c>
      <c r="AQ2027" s="57">
        <f t="shared" si="162"/>
        <v>1.7041888539510484</v>
      </c>
      <c r="AR2027" s="59"/>
      <c r="AS2027" s="59">
        <f>SUMIFS(HIX_RatingAreas[Silver Enrollments 2018],HIX_RatingAreas[Area],HIX_SLCSP[[#This Row],[Area Code]])</f>
        <v>1421</v>
      </c>
      <c r="AT2027" s="59">
        <f>SUMIFS(HIX_RatingAreas[Silver Enrollments 2019],HIX_RatingAreas[Area],HIX_SLCSP[[#This Row],[Area Code]])</f>
        <v>1421</v>
      </c>
      <c r="AU2027" s="59">
        <f>SUMIFS(HIX_RatingAreas[Silver Enrollments 2020],HIX_RatingAreas[Area],HIX_SLCSP[[#This Row],[Area Code]])</f>
        <v>1233</v>
      </c>
      <c r="AV2027" s="59">
        <f>SUMIFS(HIX_RatingAreas[Silver Enrollments 2021],HIX_RatingAreas[Area],HIX_SLCSP[[#This Row],[Area Code]])</f>
        <v>1173</v>
      </c>
      <c r="AW2027" s="59">
        <f>SUMIFS(HIX_RatingAreas[Silver Enrollments 2022],HIX_RatingAreas[Area],HIX_SLCSP[[#This Row],[Area Code]])</f>
        <v>1106</v>
      </c>
      <c r="AX2027" s="59">
        <f>SUMIFS(HIX_RatingAreas[Silver Enrollments 2023],HIX_RatingAreas[Area],HIX_SLCSP[[#This Row],[Area Code]])</f>
        <v>1151</v>
      </c>
      <c r="AY2027" s="59">
        <f>SUMIFS(HIX_RatingAreas[Silver Enrollments 2024],HIX_RatingAreas[Area],HIX_SLCSP[[#This Row],[Area Code]])</f>
        <v>2366</v>
      </c>
      <c r="AZ2027" s="59">
        <v>44724</v>
      </c>
      <c r="BA2027">
        <f t="shared" si="189"/>
        <v>9.7349043030436275E-2</v>
      </c>
      <c r="BB2027">
        <f>SUMIFS(HIX_RatingAreas[QHP Enrollments 2018],HIX_RatingAreas[Area],HIX_SLCSP[[#This Row],[Area Code]])</f>
        <v>2362</v>
      </c>
      <c r="BC2027">
        <f t="shared" si="183"/>
        <v>0.10451789902208063</v>
      </c>
      <c r="BD2027">
        <f>SUMIFS(HIX_RatingAreas[QHP Enrollments 2019],HIX_RatingAreas[Area],HIX_SLCSP[[#This Row],[Area Code]])</f>
        <v>2362</v>
      </c>
      <c r="BE2027">
        <f t="shared" si="184"/>
        <v>0.10451789902208063</v>
      </c>
      <c r="BF2027">
        <f>SUMIFS(HIX_RatingAreas[QHP Enrollments 2020],HIX_RatingAreas[Area],HIX_SLCSP[[#This Row],[Area Code]])</f>
        <v>2114</v>
      </c>
      <c r="BG2027">
        <f t="shared" si="185"/>
        <v>0.10535233728695305</v>
      </c>
      <c r="BH2027">
        <f>SUMIFS(HIX_RatingAreas[QHP Enrollments 2021],HIX_RatingAreas[Area],HIX_SLCSP[[#This Row],[Area Code]])</f>
        <v>2016</v>
      </c>
      <c r="BI2027">
        <f t="shared" si="186"/>
        <v>0.10401940044373355</v>
      </c>
      <c r="BJ2027">
        <f>SUMIFS(HIX_RatingAreas[QHP Enrollments 2022],HIX_RatingAreas[Area],HIX_SLCSP[[#This Row],[Area Code]])</f>
        <v>2690</v>
      </c>
      <c r="BK2027">
        <f t="shared" si="187"/>
        <v>0.11676867647697182</v>
      </c>
      <c r="BL2027">
        <f>SUMIFS(HIX_RatingAreas[QHP Enrollments 2023],HIX_RatingAreas[Area],HIX_SLCSP[[#This Row],[Area Code]])</f>
        <v>3188</v>
      </c>
      <c r="BM2027">
        <f t="shared" si="190"/>
        <v>0.11255075022065314</v>
      </c>
      <c r="BN2027">
        <f>SUMIFS(HIX_RatingAreas[QHP Enrollments 2024],HIX_RatingAreas[Area],HIX_SLCSP[[#This Row],[Area Code]])</f>
        <v>5473</v>
      </c>
      <c r="BO2027">
        <f t="shared" si="188"/>
        <v>0.1072170199427967</v>
      </c>
      <c r="BP2027" s="53">
        <f>ROUND(HIX_SLCSP[[#This Row],[Weighting Factor 2018]]*HIX_SLCSP[[#This Row],[2018]],2)</f>
        <v>43.8</v>
      </c>
      <c r="BQ2027" s="53">
        <f>ROUND(HIX_SLCSP[[#This Row],[Weighting Factor 2019]]*HIX_SLCSP[[#This Row],[2019]],2)</f>
        <v>48.66</v>
      </c>
      <c r="BR2027" s="53">
        <f>ROUND(HIX_SLCSP[[#This Row],[Weighting Factor 2020]]*HIX_SLCSP[[#This Row],[2020]],2)</f>
        <v>52.07</v>
      </c>
      <c r="BS2027" s="53">
        <f>ROUND(HIX_SLCSP[[#This Row],[Weighting Factor 2021]]*HIX_SLCSP[[#This Row],[2021]],2)</f>
        <v>54</v>
      </c>
      <c r="BT2027" s="53">
        <f>ROUND(HIX_SLCSP[[#This Row],[Weighting Factor 2022]]*HIX_SLCSP[[#This Row],[2022]],2)</f>
        <v>72.36</v>
      </c>
      <c r="BU2027" s="53">
        <f>ROUND(HIX_SLCSP[[#This Row],[Weighting Factor 2023]]*HIX_SLCSP[[#This Row],[2023]],2)</f>
        <v>69.97</v>
      </c>
      <c r="BV2027" s="53">
        <f>ROUND(HIX_SLCSP[[#This Row],[Weighting Factor 2024]]*HIX_SLCSP[[#This Row],[2024]],2)</f>
        <v>67.849999999999994</v>
      </c>
    </row>
    <row r="2028" spans="3:74" x14ac:dyDescent="0.35">
      <c r="D2028" t="s">
        <v>2469</v>
      </c>
      <c r="E2028" t="s">
        <v>283</v>
      </c>
      <c r="F2028" s="23">
        <v>9</v>
      </c>
      <c r="G2028" s="23" t="s">
        <v>2470</v>
      </c>
      <c r="H2028" s="23" t="s">
        <v>2471</v>
      </c>
      <c r="I2028" s="23">
        <v>40</v>
      </c>
      <c r="J2028" s="53">
        <v>455.18</v>
      </c>
      <c r="K2028" s="53">
        <v>470.01</v>
      </c>
      <c r="L2028" s="53">
        <v>800.99</v>
      </c>
      <c r="M2028" s="54">
        <f t="shared" si="178"/>
        <v>1.7041977830258932</v>
      </c>
      <c r="N2028" s="24">
        <v>36</v>
      </c>
      <c r="O2028" s="55">
        <v>503.66</v>
      </c>
      <c r="P2028" s="56">
        <v>523.83000000000004</v>
      </c>
      <c r="Q2028" s="56">
        <v>892.7</v>
      </c>
      <c r="R2028" s="57">
        <f t="shared" si="179"/>
        <v>1.7041788366454766</v>
      </c>
      <c r="S2028" s="23">
        <v>32</v>
      </c>
      <c r="T2028" s="53">
        <v>537.70000000000005</v>
      </c>
      <c r="U2028" s="53">
        <v>556.28</v>
      </c>
      <c r="V2028" s="53">
        <v>948.01</v>
      </c>
      <c r="W2028" s="57">
        <f t="shared" si="180"/>
        <v>1.7041957287696845</v>
      </c>
      <c r="X2028" s="47">
        <v>36</v>
      </c>
      <c r="Y2028" s="58">
        <v>567.80999999999995</v>
      </c>
      <c r="Z2028" s="58">
        <v>584.54</v>
      </c>
      <c r="AA2028" s="58">
        <v>996.16</v>
      </c>
      <c r="AB2028" s="57">
        <f t="shared" si="181"/>
        <v>1.7041776439593528</v>
      </c>
      <c r="AC2028" s="47">
        <v>39</v>
      </c>
      <c r="AD2028" s="57">
        <v>619.70000000000005</v>
      </c>
      <c r="AE2028" s="57">
        <v>622.55999999999995</v>
      </c>
      <c r="AF2028" s="57">
        <v>1060.97</v>
      </c>
      <c r="AG2028" s="57">
        <f t="shared" si="182"/>
        <v>1.7042052171678235</v>
      </c>
      <c r="AH2028" s="47">
        <v>37</v>
      </c>
      <c r="AI2028">
        <v>598.73</v>
      </c>
      <c r="AJ2028">
        <v>621.69000000000005</v>
      </c>
      <c r="AK2028">
        <v>1059.49</v>
      </c>
      <c r="AL2028" s="57">
        <f t="shared" si="135"/>
        <v>1.7042094934774565</v>
      </c>
      <c r="AM2028" s="47">
        <v>54</v>
      </c>
      <c r="AN2028" s="57">
        <v>612.41</v>
      </c>
      <c r="AO2028" s="57">
        <v>632.87</v>
      </c>
      <c r="AP2028" s="57">
        <v>1078.53</v>
      </c>
      <c r="AQ2028" s="57">
        <f t="shared" si="162"/>
        <v>1.7041888539510484</v>
      </c>
      <c r="AR2028" s="59"/>
      <c r="AS2028" s="59">
        <f>SUMIFS(HIX_RatingAreas[Silver Enrollments 2018],HIX_RatingAreas[Area],HIX_SLCSP[[#This Row],[Area Code]])</f>
        <v>1636</v>
      </c>
      <c r="AT2028" s="59">
        <f>SUMIFS(HIX_RatingAreas[Silver Enrollments 2019],HIX_RatingAreas[Area],HIX_SLCSP[[#This Row],[Area Code]])</f>
        <v>1636</v>
      </c>
      <c r="AU2028" s="59">
        <f>SUMIFS(HIX_RatingAreas[Silver Enrollments 2020],HIX_RatingAreas[Area],HIX_SLCSP[[#This Row],[Area Code]])</f>
        <v>1329</v>
      </c>
      <c r="AV2028" s="59">
        <f>SUMIFS(HIX_RatingAreas[Silver Enrollments 2021],HIX_RatingAreas[Area],HIX_SLCSP[[#This Row],[Area Code]])</f>
        <v>1264</v>
      </c>
      <c r="AW2028" s="59">
        <f>SUMIFS(HIX_RatingAreas[Silver Enrollments 2022],HIX_RatingAreas[Area],HIX_SLCSP[[#This Row],[Area Code]])</f>
        <v>1127</v>
      </c>
      <c r="AX2028" s="59">
        <f>SUMIFS(HIX_RatingAreas[Silver Enrollments 2023],HIX_RatingAreas[Area],HIX_SLCSP[[#This Row],[Area Code]])</f>
        <v>813</v>
      </c>
      <c r="AY2028" s="59">
        <f>SUMIFS(HIX_RatingAreas[Silver Enrollments 2024],HIX_RatingAreas[Area],HIX_SLCSP[[#This Row],[Area Code]])</f>
        <v>1786</v>
      </c>
      <c r="AZ2028" s="59">
        <v>44725</v>
      </c>
      <c r="BA2028">
        <f t="shared" si="189"/>
        <v>9.7351219692698818E-2</v>
      </c>
      <c r="BB2028">
        <f>SUMIFS(HIX_RatingAreas[QHP Enrollments 2018],HIX_RatingAreas[Area],HIX_SLCSP[[#This Row],[Area Code]])</f>
        <v>2731</v>
      </c>
      <c r="BC2028">
        <f t="shared" si="183"/>
        <v>0.12084605513518297</v>
      </c>
      <c r="BD2028">
        <f>SUMIFS(HIX_RatingAreas[QHP Enrollments 2019],HIX_RatingAreas[Area],HIX_SLCSP[[#This Row],[Area Code]])</f>
        <v>2731</v>
      </c>
      <c r="BE2028">
        <f t="shared" si="184"/>
        <v>0.12084605513518297</v>
      </c>
      <c r="BF2028">
        <f>SUMIFS(HIX_RatingAreas[QHP Enrollments 2020],HIX_RatingAreas[Area],HIX_SLCSP[[#This Row],[Area Code]])</f>
        <v>2369</v>
      </c>
      <c r="BG2028">
        <f t="shared" si="185"/>
        <v>0.11806040067776338</v>
      </c>
      <c r="BH2028">
        <f>SUMIFS(HIX_RatingAreas[QHP Enrollments 2021],HIX_RatingAreas[Area],HIX_SLCSP[[#This Row],[Area Code]])</f>
        <v>2288</v>
      </c>
      <c r="BI2028">
        <f t="shared" si="186"/>
        <v>0.11805376399566586</v>
      </c>
      <c r="BJ2028">
        <f>SUMIFS(HIX_RatingAreas[QHP Enrollments 2022],HIX_RatingAreas[Area],HIX_SLCSP[[#This Row],[Area Code]])</f>
        <v>2757</v>
      </c>
      <c r="BK2028">
        <f t="shared" si="187"/>
        <v>0.11967704128141685</v>
      </c>
      <c r="BL2028">
        <f>SUMIFS(HIX_RatingAreas[QHP Enrollments 2023],HIX_RatingAreas[Area],HIX_SLCSP[[#This Row],[Area Code]])</f>
        <v>3318</v>
      </c>
      <c r="BM2028">
        <f t="shared" si="190"/>
        <v>0.11714033539276257</v>
      </c>
      <c r="BN2028">
        <f>SUMIFS(HIX_RatingAreas[QHP Enrollments 2024],HIX_RatingAreas[Area],HIX_SLCSP[[#This Row],[Area Code]])</f>
        <v>5980</v>
      </c>
      <c r="BO2028">
        <f t="shared" si="188"/>
        <v>0.11714923794224817</v>
      </c>
      <c r="BP2028" s="53">
        <f>ROUND(HIX_SLCSP[[#This Row],[Weighting Factor 2018]]*HIX_SLCSP[[#This Row],[2018]],2)</f>
        <v>56.8</v>
      </c>
      <c r="BQ2028" s="53">
        <f>ROUND(HIX_SLCSP[[#This Row],[Weighting Factor 2019]]*HIX_SLCSP[[#This Row],[2019]],2)</f>
        <v>63.3</v>
      </c>
      <c r="BR2028" s="53">
        <f>ROUND(HIX_SLCSP[[#This Row],[Weighting Factor 2020]]*HIX_SLCSP[[#This Row],[2020]],2)</f>
        <v>65.67</v>
      </c>
      <c r="BS2028" s="53">
        <f>ROUND(HIX_SLCSP[[#This Row],[Weighting Factor 2021]]*HIX_SLCSP[[#This Row],[2021]],2)</f>
        <v>69.010000000000005</v>
      </c>
      <c r="BT2028" s="53">
        <f>ROUND(HIX_SLCSP[[#This Row],[Weighting Factor 2022]]*HIX_SLCSP[[#This Row],[2022]],2)</f>
        <v>74.510000000000005</v>
      </c>
      <c r="BU2028" s="53">
        <f>ROUND(HIX_SLCSP[[#This Row],[Weighting Factor 2023]]*HIX_SLCSP[[#This Row],[2023]],2)</f>
        <v>72.819999999999993</v>
      </c>
      <c r="BV2028" s="53">
        <f>ROUND(HIX_SLCSP[[#This Row],[Weighting Factor 2024]]*HIX_SLCSP[[#This Row],[2024]],2)</f>
        <v>74.14</v>
      </c>
    </row>
    <row r="2029" spans="3:74" x14ac:dyDescent="0.35">
      <c r="D2029" t="s">
        <v>2469</v>
      </c>
      <c r="E2029" t="s">
        <v>289</v>
      </c>
      <c r="F2029" s="23">
        <v>10</v>
      </c>
      <c r="G2029" s="23" t="s">
        <v>2470</v>
      </c>
      <c r="H2029" s="23" t="s">
        <v>2496</v>
      </c>
      <c r="I2029" s="23">
        <v>40</v>
      </c>
      <c r="J2029" s="53">
        <v>397.03</v>
      </c>
      <c r="K2029" s="53">
        <v>409.97</v>
      </c>
      <c r="L2029" s="53">
        <v>698.66</v>
      </c>
      <c r="M2029" s="54">
        <f t="shared" si="178"/>
        <v>1.7041734761080076</v>
      </c>
      <c r="N2029" s="24">
        <v>36</v>
      </c>
      <c r="O2029" s="55">
        <v>406.22</v>
      </c>
      <c r="P2029" s="56">
        <v>422.49</v>
      </c>
      <c r="Q2029" s="56">
        <v>720</v>
      </c>
      <c r="R2029" s="57">
        <f t="shared" si="179"/>
        <v>1.7041823475111837</v>
      </c>
      <c r="S2029" s="23">
        <v>32</v>
      </c>
      <c r="T2029" s="53">
        <v>433.74</v>
      </c>
      <c r="U2029" s="53">
        <v>448.73</v>
      </c>
      <c r="V2029" s="53">
        <v>764.72</v>
      </c>
      <c r="W2029" s="57">
        <f t="shared" si="180"/>
        <v>1.7041873732534041</v>
      </c>
      <c r="X2029" s="47">
        <v>36</v>
      </c>
      <c r="Y2029" s="58">
        <v>457.99</v>
      </c>
      <c r="Z2029" s="58">
        <v>471.49</v>
      </c>
      <c r="AA2029" s="58">
        <v>803.51</v>
      </c>
      <c r="AB2029" s="57">
        <f t="shared" si="181"/>
        <v>1.704193089991304</v>
      </c>
      <c r="AC2029" s="47">
        <v>39</v>
      </c>
      <c r="AD2029" s="57">
        <v>561.26</v>
      </c>
      <c r="AE2029" s="57">
        <v>567.54999999999995</v>
      </c>
      <c r="AF2029" s="57">
        <v>967.22</v>
      </c>
      <c r="AG2029" s="57">
        <f t="shared" si="182"/>
        <v>1.7042022729274955</v>
      </c>
      <c r="AH2029" s="47">
        <v>37</v>
      </c>
      <c r="AI2029">
        <v>650.51</v>
      </c>
      <c r="AJ2029">
        <v>675.47</v>
      </c>
      <c r="AK2029">
        <v>1151.1300000000001</v>
      </c>
      <c r="AL2029" s="57">
        <f t="shared" si="135"/>
        <v>1.704191155787822</v>
      </c>
      <c r="AM2029" s="47">
        <v>54</v>
      </c>
      <c r="AN2029" s="57">
        <v>665.36</v>
      </c>
      <c r="AO2029" s="57">
        <v>687.6</v>
      </c>
      <c r="AP2029" s="57">
        <v>1171.81</v>
      </c>
      <c r="AQ2029" s="57">
        <f t="shared" si="162"/>
        <v>1.7042030250145432</v>
      </c>
      <c r="AR2029" s="59"/>
      <c r="AS2029" s="59">
        <f>SUMIFS(HIX_RatingAreas[Silver Enrollments 2018],HIX_RatingAreas[Area],HIX_SLCSP[[#This Row],[Area Code]])</f>
        <v>1010</v>
      </c>
      <c r="AT2029" s="59">
        <f>SUMIFS(HIX_RatingAreas[Silver Enrollments 2019],HIX_RatingAreas[Area],HIX_SLCSP[[#This Row],[Area Code]])</f>
        <v>1010</v>
      </c>
      <c r="AU2029" s="59">
        <f>SUMIFS(HIX_RatingAreas[Silver Enrollments 2020],HIX_RatingAreas[Area],HIX_SLCSP[[#This Row],[Area Code]])</f>
        <v>855</v>
      </c>
      <c r="AV2029" s="59">
        <f>SUMIFS(HIX_RatingAreas[Silver Enrollments 2021],HIX_RatingAreas[Area],HIX_SLCSP[[#This Row],[Area Code]])</f>
        <v>759</v>
      </c>
      <c r="AW2029" s="59">
        <f>SUMIFS(HIX_RatingAreas[Silver Enrollments 2022],HIX_RatingAreas[Area],HIX_SLCSP[[#This Row],[Area Code]])</f>
        <v>761</v>
      </c>
      <c r="AX2029" s="59">
        <f>SUMIFS(HIX_RatingAreas[Silver Enrollments 2023],HIX_RatingAreas[Area],HIX_SLCSP[[#This Row],[Area Code]])</f>
        <v>762</v>
      </c>
      <c r="AY2029" s="59">
        <f>SUMIFS(HIX_RatingAreas[Silver Enrollments 2024],HIX_RatingAreas[Area],HIX_SLCSP[[#This Row],[Area Code]])</f>
        <v>1715</v>
      </c>
      <c r="AZ2029" s="59">
        <v>44726</v>
      </c>
      <c r="BA2029">
        <f t="shared" si="189"/>
        <v>9.7353396354961375E-2</v>
      </c>
      <c r="BB2029">
        <f>SUMIFS(HIX_RatingAreas[QHP Enrollments 2018],HIX_RatingAreas[Area],HIX_SLCSP[[#This Row],[Area Code]])</f>
        <v>1601</v>
      </c>
      <c r="BC2029">
        <f t="shared" si="183"/>
        <v>7.0843842647904776E-2</v>
      </c>
      <c r="BD2029">
        <f>SUMIFS(HIX_RatingAreas[QHP Enrollments 2019],HIX_RatingAreas[Area],HIX_SLCSP[[#This Row],[Area Code]])</f>
        <v>1601</v>
      </c>
      <c r="BE2029">
        <f t="shared" si="184"/>
        <v>7.0843842647904776E-2</v>
      </c>
      <c r="BF2029">
        <f>SUMIFS(HIX_RatingAreas[QHP Enrollments 2020],HIX_RatingAreas[Area],HIX_SLCSP[[#This Row],[Area Code]])</f>
        <v>1364</v>
      </c>
      <c r="BG2029">
        <f t="shared" si="185"/>
        <v>6.7975680255157975E-2</v>
      </c>
      <c r="BH2029">
        <f>SUMIFS(HIX_RatingAreas[QHP Enrollments 2021],HIX_RatingAreas[Area],HIX_SLCSP[[#This Row],[Area Code]])</f>
        <v>1305</v>
      </c>
      <c r="BI2029">
        <f t="shared" si="186"/>
        <v>6.7333986894381095E-2</v>
      </c>
      <c r="BJ2029">
        <f>SUMIFS(HIX_RatingAreas[QHP Enrollments 2022],HIX_RatingAreas[Area],HIX_SLCSP[[#This Row],[Area Code]])</f>
        <v>1511</v>
      </c>
      <c r="BK2029">
        <f t="shared" si="187"/>
        <v>6.5590137604722834E-2</v>
      </c>
      <c r="BL2029">
        <f>SUMIFS(HIX_RatingAreas[QHP Enrollments 2023],HIX_RatingAreas[Area],HIX_SLCSP[[#This Row],[Area Code]])</f>
        <v>1800</v>
      </c>
      <c r="BM2029">
        <f t="shared" si="190"/>
        <v>6.3548102383053834E-2</v>
      </c>
      <c r="BN2029">
        <f>SUMIFS(HIX_RatingAreas[QHP Enrollments 2024],HIX_RatingAreas[Area],HIX_SLCSP[[#This Row],[Area Code]])</f>
        <v>3429</v>
      </c>
      <c r="BO2029">
        <f t="shared" si="188"/>
        <v>6.7174705167887788E-2</v>
      </c>
      <c r="BP2029" s="53">
        <f>ROUND(HIX_SLCSP[[#This Row],[Weighting Factor 2018]]*HIX_SLCSP[[#This Row],[2018]],2)</f>
        <v>29.04</v>
      </c>
      <c r="BQ2029" s="53">
        <f>ROUND(HIX_SLCSP[[#This Row],[Weighting Factor 2019]]*HIX_SLCSP[[#This Row],[2019]],2)</f>
        <v>29.93</v>
      </c>
      <c r="BR2029" s="53">
        <f>ROUND(HIX_SLCSP[[#This Row],[Weighting Factor 2020]]*HIX_SLCSP[[#This Row],[2020]],2)</f>
        <v>30.5</v>
      </c>
      <c r="BS2029" s="53">
        <f>ROUND(HIX_SLCSP[[#This Row],[Weighting Factor 2021]]*HIX_SLCSP[[#This Row],[2021]],2)</f>
        <v>31.75</v>
      </c>
      <c r="BT2029" s="53">
        <f>ROUND(HIX_SLCSP[[#This Row],[Weighting Factor 2022]]*HIX_SLCSP[[#This Row],[2022]],2)</f>
        <v>37.229999999999997</v>
      </c>
      <c r="BU2029" s="53">
        <f>ROUND(HIX_SLCSP[[#This Row],[Weighting Factor 2023]]*HIX_SLCSP[[#This Row],[2023]],2)</f>
        <v>42.92</v>
      </c>
      <c r="BV2029" s="53">
        <f>ROUND(HIX_SLCSP[[#This Row],[Weighting Factor 2024]]*HIX_SLCSP[[#This Row],[2024]],2)</f>
        <v>46.19</v>
      </c>
    </row>
    <row r="2030" spans="3:74" x14ac:dyDescent="0.35">
      <c r="D2030" t="s">
        <v>2469</v>
      </c>
      <c r="E2030" t="s">
        <v>293</v>
      </c>
      <c r="F2030" s="23">
        <v>11</v>
      </c>
      <c r="G2030" s="23" t="s">
        <v>2470</v>
      </c>
      <c r="H2030" s="23" t="s">
        <v>2479</v>
      </c>
      <c r="I2030" s="23">
        <v>40</v>
      </c>
      <c r="J2030" s="53">
        <v>364.54</v>
      </c>
      <c r="K2030" s="53">
        <v>376.42</v>
      </c>
      <c r="L2030" s="53">
        <v>641.5</v>
      </c>
      <c r="M2030" s="54">
        <f t="shared" si="178"/>
        <v>1.7042133786727591</v>
      </c>
      <c r="N2030" s="24">
        <v>36</v>
      </c>
      <c r="O2030" s="55">
        <v>380.86</v>
      </c>
      <c r="P2030" s="56">
        <v>396.11</v>
      </c>
      <c r="Q2030" s="56">
        <v>675.05</v>
      </c>
      <c r="R2030" s="57">
        <f t="shared" si="179"/>
        <v>1.704198328747065</v>
      </c>
      <c r="S2030" s="23">
        <v>32</v>
      </c>
      <c r="T2030" s="53">
        <v>386.35</v>
      </c>
      <c r="U2030" s="53">
        <v>399.7</v>
      </c>
      <c r="V2030" s="53">
        <v>681.17</v>
      </c>
      <c r="W2030" s="57">
        <f t="shared" si="180"/>
        <v>1.7042031523642731</v>
      </c>
      <c r="X2030" s="47">
        <v>36</v>
      </c>
      <c r="Y2030" s="58">
        <v>416.36</v>
      </c>
      <c r="Z2030" s="58">
        <v>428.62</v>
      </c>
      <c r="AA2030" s="58">
        <v>730.46</v>
      </c>
      <c r="AB2030" s="57">
        <f t="shared" si="181"/>
        <v>1.7042135224674537</v>
      </c>
      <c r="AC2030" s="47">
        <v>39</v>
      </c>
      <c r="AD2030" s="57">
        <v>499.17</v>
      </c>
      <c r="AE2030" s="57">
        <v>504.76</v>
      </c>
      <c r="AF2030" s="57">
        <v>860.22</v>
      </c>
      <c r="AG2030" s="57">
        <f t="shared" si="182"/>
        <v>1.7042158649655283</v>
      </c>
      <c r="AH2030" s="47">
        <v>37</v>
      </c>
      <c r="AI2030">
        <v>582.54</v>
      </c>
      <c r="AJ2030">
        <v>604.9</v>
      </c>
      <c r="AK2030">
        <v>1030.8599999999999</v>
      </c>
      <c r="AL2030" s="57">
        <f t="shared" si="135"/>
        <v>1.7041825095057033</v>
      </c>
      <c r="AM2030" s="47">
        <v>54</v>
      </c>
      <c r="AN2030" s="57">
        <v>687.6</v>
      </c>
      <c r="AO2030" s="57">
        <v>615.76</v>
      </c>
      <c r="AP2030" s="57">
        <v>1049.3800000000001</v>
      </c>
      <c r="AQ2030" s="57">
        <f t="shared" si="162"/>
        <v>1.7042029362089128</v>
      </c>
      <c r="AR2030" s="59"/>
      <c r="AS2030" s="59">
        <f>SUMIFS(HIX_RatingAreas[Silver Enrollments 2018],HIX_RatingAreas[Area],HIX_SLCSP[[#This Row],[Area Code]])</f>
        <v>968</v>
      </c>
      <c r="AT2030" s="59">
        <f>SUMIFS(HIX_RatingAreas[Silver Enrollments 2019],HIX_RatingAreas[Area],HIX_SLCSP[[#This Row],[Area Code]])</f>
        <v>968</v>
      </c>
      <c r="AU2030" s="59">
        <f>SUMIFS(HIX_RatingAreas[Silver Enrollments 2020],HIX_RatingAreas[Area],HIX_SLCSP[[#This Row],[Area Code]])</f>
        <v>829</v>
      </c>
      <c r="AV2030" s="59">
        <f>SUMIFS(HIX_RatingAreas[Silver Enrollments 2021],HIX_RatingAreas[Area],HIX_SLCSP[[#This Row],[Area Code]])</f>
        <v>793</v>
      </c>
      <c r="AW2030" s="59">
        <f>SUMIFS(HIX_RatingAreas[Silver Enrollments 2022],HIX_RatingAreas[Area],HIX_SLCSP[[#This Row],[Area Code]])</f>
        <v>812</v>
      </c>
      <c r="AX2030" s="59">
        <f>SUMIFS(HIX_RatingAreas[Silver Enrollments 2023],HIX_RatingAreas[Area],HIX_SLCSP[[#This Row],[Area Code]])</f>
        <v>832</v>
      </c>
      <c r="AY2030" s="59">
        <f>SUMIFS(HIX_RatingAreas[Silver Enrollments 2024],HIX_RatingAreas[Area],HIX_SLCSP[[#This Row],[Area Code]])</f>
        <v>1644</v>
      </c>
      <c r="AZ2030" s="59">
        <v>44727</v>
      </c>
      <c r="BA2030">
        <f t="shared" si="189"/>
        <v>9.7355573017223931E-2</v>
      </c>
      <c r="BB2030">
        <f>SUMIFS(HIX_RatingAreas[QHP Enrollments 2018],HIX_RatingAreas[Area],HIX_SLCSP[[#This Row],[Area Code]])</f>
        <v>1454</v>
      </c>
      <c r="BC2030">
        <f t="shared" si="183"/>
        <v>6.4339130050002219E-2</v>
      </c>
      <c r="BD2030">
        <f>SUMIFS(HIX_RatingAreas[QHP Enrollments 2019],HIX_RatingAreas[Area],HIX_SLCSP[[#This Row],[Area Code]])</f>
        <v>1454</v>
      </c>
      <c r="BE2030">
        <f t="shared" si="184"/>
        <v>6.4339130050002219E-2</v>
      </c>
      <c r="BF2030">
        <f>SUMIFS(HIX_RatingAreas[QHP Enrollments 2020],HIX_RatingAreas[Area],HIX_SLCSP[[#This Row],[Area Code]])</f>
        <v>1251</v>
      </c>
      <c r="BG2030">
        <f t="shared" si="185"/>
        <v>6.2344263929034187E-2</v>
      </c>
      <c r="BH2030">
        <f>SUMIFS(HIX_RatingAreas[QHP Enrollments 2021],HIX_RatingAreas[Area],HIX_SLCSP[[#This Row],[Area Code]])</f>
        <v>1232</v>
      </c>
      <c r="BI2030">
        <f t="shared" si="186"/>
        <v>6.3567411382281613E-2</v>
      </c>
      <c r="BJ2030">
        <f>SUMIFS(HIX_RatingAreas[QHP Enrollments 2022],HIX_RatingAreas[Area],HIX_SLCSP[[#This Row],[Area Code]])</f>
        <v>1522</v>
      </c>
      <c r="BK2030">
        <f t="shared" si="187"/>
        <v>6.6067630333810828E-2</v>
      </c>
      <c r="BL2030">
        <f>SUMIFS(HIX_RatingAreas[QHP Enrollments 2023],HIX_RatingAreas[Area],HIX_SLCSP[[#This Row],[Area Code]])</f>
        <v>1871</v>
      </c>
      <c r="BM2030">
        <f t="shared" si="190"/>
        <v>6.6054721977052075E-2</v>
      </c>
      <c r="BN2030">
        <f>SUMIFS(HIX_RatingAreas[QHP Enrollments 2024],HIX_RatingAreas[Area],HIX_SLCSP[[#This Row],[Area Code]])</f>
        <v>3291</v>
      </c>
      <c r="BO2030">
        <f t="shared" si="188"/>
        <v>6.4471261215374373E-2</v>
      </c>
      <c r="BP2030" s="53">
        <f>ROUND(HIX_SLCSP[[#This Row],[Weighting Factor 2018]]*HIX_SLCSP[[#This Row],[2018]],2)</f>
        <v>24.22</v>
      </c>
      <c r="BQ2030" s="53">
        <f>ROUND(HIX_SLCSP[[#This Row],[Weighting Factor 2019]]*HIX_SLCSP[[#This Row],[2019]],2)</f>
        <v>25.49</v>
      </c>
      <c r="BR2030" s="53">
        <f>ROUND(HIX_SLCSP[[#This Row],[Weighting Factor 2020]]*HIX_SLCSP[[#This Row],[2020]],2)</f>
        <v>24.92</v>
      </c>
      <c r="BS2030" s="53">
        <f>ROUND(HIX_SLCSP[[#This Row],[Weighting Factor 2021]]*HIX_SLCSP[[#This Row],[2021]],2)</f>
        <v>27.25</v>
      </c>
      <c r="BT2030" s="53">
        <f>ROUND(HIX_SLCSP[[#This Row],[Weighting Factor 2022]]*HIX_SLCSP[[#This Row],[2022]],2)</f>
        <v>33.35</v>
      </c>
      <c r="BU2030" s="53">
        <f>ROUND(HIX_SLCSP[[#This Row],[Weighting Factor 2023]]*HIX_SLCSP[[#This Row],[2023]],2)</f>
        <v>39.96</v>
      </c>
      <c r="BV2030" s="53">
        <f>ROUND(HIX_SLCSP[[#This Row],[Weighting Factor 2024]]*HIX_SLCSP[[#This Row],[2024]],2)</f>
        <v>39.700000000000003</v>
      </c>
    </row>
    <row r="2031" spans="3:74" x14ac:dyDescent="0.35">
      <c r="D2031" t="s">
        <v>4044</v>
      </c>
      <c r="E2031" t="s">
        <v>4047</v>
      </c>
      <c r="F2031" s="23"/>
      <c r="G2031" s="23" t="s">
        <v>4045</v>
      </c>
      <c r="H2031" s="23" t="s">
        <v>4046</v>
      </c>
      <c r="I2031" s="23"/>
      <c r="J2031" s="53">
        <v>334.62</v>
      </c>
      <c r="K2031" s="53">
        <v>345.3</v>
      </c>
      <c r="L2031" s="53">
        <v>574.23</v>
      </c>
      <c r="M2031" s="54">
        <v>1.6639018589948087</v>
      </c>
      <c r="O2031" s="55">
        <v>332.26</v>
      </c>
      <c r="P2031" s="56">
        <v>343.23</v>
      </c>
      <c r="Q2031" s="56">
        <v>570.01</v>
      </c>
      <c r="R2031" s="57">
        <v>1.661050053931143</v>
      </c>
      <c r="S2031" s="23"/>
      <c r="T2031" s="53">
        <v>316.77999999999997</v>
      </c>
      <c r="U2031" s="53">
        <v>325.47000000000003</v>
      </c>
      <c r="V2031" s="53">
        <v>539.1</v>
      </c>
      <c r="W2031" s="57">
        <v>1.677976831043869</v>
      </c>
      <c r="X2031" s="47"/>
      <c r="Y2031" s="58">
        <v>306.43</v>
      </c>
      <c r="Z2031" s="58">
        <v>314.79000000000002</v>
      </c>
      <c r="AA2031" s="58">
        <v>521.58000000000004</v>
      </c>
      <c r="AB2031" s="57">
        <v>1.6537976678222501</v>
      </c>
      <c r="AC2031" s="47"/>
      <c r="AD2031" s="57">
        <v>303.08</v>
      </c>
      <c r="AE2031" s="57">
        <v>312.52999999999997</v>
      </c>
      <c r="AF2031" s="57">
        <v>515.73</v>
      </c>
      <c r="AG2031" s="57">
        <v>1.6504122877930476</v>
      </c>
      <c r="AH2031" s="47"/>
      <c r="AI2031" s="54">
        <v>325.39</v>
      </c>
      <c r="AJ2031" s="54">
        <v>332.34</v>
      </c>
      <c r="AK2031" s="54">
        <v>548.42999999999995</v>
      </c>
      <c r="AL2031" s="57">
        <v>1.6502076187037371</v>
      </c>
      <c r="AM2031" s="57"/>
      <c r="AN2031" s="57">
        <v>339.72</v>
      </c>
      <c r="AO2031" s="57">
        <v>347.2</v>
      </c>
      <c r="AP2031" s="57">
        <v>571.89</v>
      </c>
      <c r="AQ2031" s="57">
        <f t="shared" si="162"/>
        <v>1.6471486175115209</v>
      </c>
      <c r="AR2031" s="59"/>
      <c r="AS2031" s="59">
        <f>SUMIFS(HIX_RatingAreas[Silver Enrollments 2018],HIX_RatingAreas[Area],HIX_SLCSP[[#This Row],[Area Code]])</f>
        <v>5165232</v>
      </c>
      <c r="AT2031" s="59">
        <f>SUMIFS(HIX_RatingAreas[Silver Enrollments 2019],HIX_RatingAreas[Area],HIX_SLCSP[[#This Row],[Area Code]])</f>
        <v>5165232</v>
      </c>
      <c r="AU2031" s="59">
        <f>SUMIFS(HIX_RatingAreas[Silver Enrollments 2020],HIX_RatingAreas[Area],HIX_SLCSP[[#This Row],[Area Code]])</f>
        <v>4874045</v>
      </c>
      <c r="AV2031" s="59">
        <f>SUMIFS(HIX_RatingAreas[Silver Enrollments 2021],HIX_RatingAreas[Area],HIX_SLCSP[[#This Row],[Area Code]])</f>
        <v>4600587</v>
      </c>
      <c r="AW2031" s="59">
        <f>SUMIFS(HIX_RatingAreas[Silver Enrollments 2022],HIX_RatingAreas[Area],HIX_SLCSP[[#This Row],[Area Code]])</f>
        <v>5935531</v>
      </c>
      <c r="AX2031" s="59">
        <f>SUMIFS(HIX_RatingAreas[Silver Enrollments 2023],HIX_RatingAreas[Area],HIX_SLCSP[[#This Row],[Area Code]])</f>
        <v>6795674</v>
      </c>
      <c r="AY2031" s="59">
        <f>SUMIFS(HIX_RatingAreas[Silver Enrollments 2024],HIX_RatingAreas[Area],HIX_SLCSP[[#This Row],[Area Code]])</f>
        <v>9043201</v>
      </c>
      <c r="AZ2031" s="59">
        <v>44728</v>
      </c>
      <c r="BA2031">
        <f t="shared" ref="BA2031" si="191">AZ2031/AZ$2019</f>
        <v>9.7357749679486488E-2</v>
      </c>
      <c r="BB2031">
        <f>SUMIFS(HIX_RatingAreas[QHP Enrollments 2018],HIX_RatingAreas[Area],HIX_SLCSP[[#This Row],[Area Code]])</f>
        <v>8411614</v>
      </c>
      <c r="BC2031">
        <f t="shared" ref="BC2031" si="192">BB2031/BB$2019</f>
        <v>372.21177928226911</v>
      </c>
      <c r="BD2031">
        <f>SUMIFS(HIX_RatingAreas[QHP Enrollments 2019],HIX_RatingAreas[Area],HIX_SLCSP[[#This Row],[Area Code]])</f>
        <v>8411614</v>
      </c>
      <c r="BE2031">
        <f t="shared" ref="BE2031" si="193">BD2031/BD$2019</f>
        <v>372.21177928226911</v>
      </c>
      <c r="BF2031">
        <f>SUMIFS(HIX_RatingAreas[QHP Enrollments 2020],HIX_RatingAreas[Area],HIX_SLCSP[[#This Row],[Area Code]])</f>
        <v>8286871</v>
      </c>
      <c r="BG2031">
        <f t="shared" ref="BG2031" si="194">BF2031/BF$2019</f>
        <v>412.98071364497162</v>
      </c>
      <c r="BH2031">
        <f>SUMIFS(HIX_RatingAreas[QHP Enrollments 2021],HIX_RatingAreas[Area],HIX_SLCSP[[#This Row],[Area Code]])</f>
        <v>8251703</v>
      </c>
      <c r="BI2031">
        <f t="shared" ref="BI2031" si="195">BH2031/BH$2019</f>
        <v>425.76249935503841</v>
      </c>
      <c r="BJ2031">
        <f>SUMIFS(HIX_RatingAreas[QHP Enrollments 2022],HIX_RatingAreas[Area],HIX_SLCSP[[#This Row],[Area Code]])</f>
        <v>10255636</v>
      </c>
      <c r="BK2031">
        <f t="shared" ref="BK2031" si="196">BJ2031/BJ$2019</f>
        <v>445.18105656118416</v>
      </c>
      <c r="BL2031">
        <f>SUMIFS(HIX_RatingAreas[QHP Enrollments 2023],HIX_RatingAreas[Area],HIX_SLCSP[[#This Row],[Area Code]])</f>
        <v>12203622</v>
      </c>
      <c r="BM2031">
        <f t="shared" ref="BM2031" si="197">BL2031/BL$2019</f>
        <v>430.84278905560461</v>
      </c>
      <c r="BN2031">
        <f>SUMIFS(HIX_RatingAreas[QHP Enrollments 2024],HIX_RatingAreas[Area],HIX_SLCSP[[#This Row],[Area Code]])</f>
        <v>16363133</v>
      </c>
      <c r="BO2031">
        <f t="shared" ref="BO2031" si="198">BN2031/BN$2019</f>
        <v>320.55661560161423</v>
      </c>
      <c r="BP2031" s="53">
        <f>ROUND(HIX_SLCSP[[#This Row],[Weighting Factor 2018]]*HIX_SLCSP[[#This Row],[2018]],2)</f>
        <v>128524.73</v>
      </c>
      <c r="BQ2031" s="53">
        <f>ROUND(HIX_SLCSP[[#This Row],[Weighting Factor 2019]]*HIX_SLCSP[[#This Row],[2019]],2)</f>
        <v>127754.25</v>
      </c>
      <c r="BR2031" s="53">
        <f>ROUND(HIX_SLCSP[[#This Row],[Weighting Factor 2020]]*HIX_SLCSP[[#This Row],[2020]],2)</f>
        <v>134412.82999999999</v>
      </c>
      <c r="BS2031" s="53">
        <f>ROUND(HIX_SLCSP[[#This Row],[Weighting Factor 2021]]*HIX_SLCSP[[#This Row],[2021]],2)</f>
        <v>134025.78</v>
      </c>
      <c r="BT2031" s="53">
        <f>ROUND(HIX_SLCSP[[#This Row],[Weighting Factor 2022]]*HIX_SLCSP[[#This Row],[2022]],2)</f>
        <v>139132.44</v>
      </c>
      <c r="BU2031" s="53">
        <f>ROUND(HIX_SLCSP[[#This Row],[Weighting Factor 2023]]*HIX_SLCSP[[#This Row],[2023]],2)</f>
        <v>143186.29</v>
      </c>
      <c r="BV2031" s="53">
        <f>ROUND(HIX_SLCSP[[#This Row],[Weighting Factor 2024]]*HIX_SLCSP[[#This Row],[2024]],2)</f>
        <v>111297.26</v>
      </c>
    </row>
    <row r="2032" spans="3:74" x14ac:dyDescent="0.35">
      <c r="C2032" s="2"/>
      <c r="F2032" s="23"/>
      <c r="G2032" s="23"/>
      <c r="H2032" s="23"/>
      <c r="I2032" s="23"/>
      <c r="J2032" s="53"/>
      <c r="K2032" s="53"/>
      <c r="L2032" s="53"/>
      <c r="M2032" s="54"/>
      <c r="O2032" s="55"/>
      <c r="P2032" s="55"/>
      <c r="Q2032" s="53"/>
      <c r="R2032" s="57"/>
      <c r="S2032" s="23"/>
      <c r="T2032" s="53"/>
      <c r="U2032" s="53"/>
      <c r="V2032" s="53"/>
      <c r="W2032" s="57"/>
      <c r="X2032" s="47"/>
      <c r="Y2032" s="58"/>
      <c r="Z2032" s="58"/>
      <c r="AA2032" s="58"/>
      <c r="AB2032" s="57"/>
      <c r="AC2032" s="47"/>
      <c r="AD2032" s="57"/>
      <c r="AE2032" s="57"/>
      <c r="AF2032" s="57"/>
      <c r="AG2032" s="57"/>
      <c r="AH2032" s="59"/>
      <c r="AI2032" s="59"/>
      <c r="AJ2032" s="59"/>
      <c r="AK2032" s="59"/>
      <c r="AL2032" s="59"/>
      <c r="AM2032" s="59"/>
      <c r="AN2032" s="59"/>
      <c r="AZ2032" s="53"/>
      <c r="BA2032" s="53"/>
      <c r="BB2032" s="53"/>
      <c r="BC2032" s="53"/>
      <c r="BD2032" s="53"/>
    </row>
    <row r="2033" spans="3:56" x14ac:dyDescent="0.35">
      <c r="C2033" s="2" t="s">
        <v>2598</v>
      </c>
      <c r="F2033" s="23"/>
      <c r="G2033" s="23"/>
      <c r="H2033" s="23"/>
      <c r="I2033" s="23"/>
      <c r="J2033" s="53"/>
      <c r="K2033" s="53"/>
      <c r="L2033" s="53"/>
      <c r="M2033" s="54"/>
      <c r="O2033" s="55"/>
      <c r="P2033" s="55"/>
      <c r="Q2033" s="53"/>
      <c r="R2033" s="57"/>
      <c r="S2033" s="23"/>
      <c r="T2033" s="53"/>
      <c r="U2033" s="53"/>
      <c r="V2033" s="53"/>
      <c r="W2033" s="57"/>
      <c r="X2033" s="47"/>
      <c r="Y2033" s="58"/>
      <c r="Z2033" s="58"/>
      <c r="AA2033" s="58"/>
      <c r="AB2033" s="57"/>
      <c r="AC2033" s="47"/>
      <c r="AD2033" s="57"/>
      <c r="AE2033" s="57"/>
      <c r="AF2033" s="57"/>
      <c r="AG2033" s="57"/>
      <c r="AH2033" s="59"/>
      <c r="AI2033" s="59"/>
      <c r="AJ2033" s="59"/>
      <c r="AK2033" s="59"/>
      <c r="AL2033" s="59"/>
      <c r="AM2033" s="59"/>
      <c r="AN2033" s="59"/>
      <c r="AZ2033" s="53"/>
      <c r="BA2033" s="53"/>
      <c r="BB2033" s="53"/>
      <c r="BC2033" s="53"/>
      <c r="BD2033" s="53"/>
    </row>
    <row r="2034" spans="3:56" x14ac:dyDescent="0.35">
      <c r="F2034" s="23"/>
      <c r="G2034" s="23"/>
      <c r="H2034" s="23"/>
      <c r="I2034" s="23"/>
      <c r="J2034" s="53"/>
      <c r="K2034" s="53"/>
      <c r="L2034" s="53"/>
      <c r="M2034" s="54"/>
      <c r="O2034" s="55"/>
      <c r="P2034" s="55"/>
      <c r="Q2034" s="53"/>
      <c r="R2034" s="57"/>
      <c r="S2034" s="23"/>
      <c r="T2034" s="53"/>
      <c r="U2034" s="53"/>
      <c r="V2034" s="53"/>
      <c r="W2034" s="57"/>
      <c r="X2034" s="47"/>
      <c r="Y2034" s="58"/>
      <c r="Z2034" s="58"/>
      <c r="AA2034" s="58"/>
      <c r="AB2034" s="57"/>
      <c r="AC2034" s="47"/>
      <c r="AD2034" s="57"/>
      <c r="AE2034" s="57"/>
      <c r="AF2034" s="57"/>
      <c r="AG2034" s="57"/>
      <c r="AH2034" s="59"/>
      <c r="AI2034" s="59"/>
      <c r="AJ2034" s="59"/>
      <c r="AK2034" s="59"/>
      <c r="AL2034" s="59"/>
      <c r="AM2034" s="59"/>
      <c r="AN2034" s="59"/>
      <c r="AZ2034" s="53"/>
      <c r="BA2034" s="53"/>
      <c r="BB2034" s="53"/>
      <c r="BC2034" s="53"/>
      <c r="BD2034" s="53"/>
    </row>
    <row r="2035" spans="3:56" x14ac:dyDescent="0.35">
      <c r="F2035" s="23"/>
      <c r="G2035" s="23"/>
      <c r="H2035" s="23"/>
      <c r="I2035" s="23"/>
      <c r="J2035" s="53"/>
      <c r="K2035" s="53"/>
      <c r="L2035" s="53"/>
      <c r="M2035" s="54"/>
      <c r="O2035" s="55"/>
      <c r="P2035" s="55"/>
      <c r="Q2035" s="53"/>
      <c r="R2035" s="57"/>
      <c r="S2035" s="23"/>
      <c r="T2035" s="53"/>
      <c r="U2035" s="53"/>
      <c r="V2035" s="53"/>
      <c r="W2035" s="57"/>
      <c r="X2035" s="47"/>
      <c r="Y2035" s="58"/>
      <c r="Z2035" s="58"/>
      <c r="AA2035" s="58"/>
      <c r="AB2035" s="57"/>
      <c r="AC2035" s="47"/>
      <c r="AD2035" s="57"/>
      <c r="AE2035" s="57"/>
      <c r="AF2035" s="57"/>
      <c r="AG2035" s="57"/>
      <c r="AH2035" s="59"/>
      <c r="AI2035" s="59"/>
      <c r="AJ2035" s="59"/>
      <c r="AK2035" s="59"/>
      <c r="AL2035" s="59"/>
      <c r="AM2035" s="59"/>
      <c r="AN2035" s="59"/>
      <c r="AZ2035" s="53"/>
      <c r="BA2035" s="53"/>
      <c r="BB2035" s="53"/>
      <c r="BC2035" s="53"/>
      <c r="BD2035" s="53"/>
    </row>
    <row r="2036" spans="3:56" x14ac:dyDescent="0.35">
      <c r="F2036" s="23"/>
      <c r="G2036" s="23"/>
      <c r="H2036" s="23"/>
      <c r="I2036" s="23"/>
      <c r="J2036" s="53"/>
      <c r="K2036" s="53"/>
      <c r="L2036" s="53"/>
      <c r="M2036" s="54"/>
      <c r="O2036" s="55"/>
      <c r="P2036" s="55"/>
      <c r="Q2036" s="53"/>
      <c r="R2036" s="57"/>
      <c r="S2036" s="23"/>
      <c r="T2036" s="53"/>
      <c r="U2036" s="53"/>
      <c r="V2036" s="53"/>
      <c r="W2036" s="57"/>
      <c r="X2036" s="47"/>
      <c r="Y2036" s="58"/>
      <c r="Z2036" s="58"/>
      <c r="AA2036" s="58"/>
      <c r="AB2036" s="57"/>
      <c r="AC2036" s="47"/>
      <c r="AD2036" s="57"/>
      <c r="AE2036" s="57"/>
      <c r="AF2036" s="57"/>
      <c r="AG2036" s="57"/>
      <c r="AH2036" s="59"/>
      <c r="AI2036" s="59"/>
      <c r="AJ2036" s="59"/>
      <c r="AK2036" s="59"/>
      <c r="AL2036" s="59"/>
      <c r="AM2036" s="59"/>
      <c r="AN2036" s="59"/>
      <c r="AZ2036" s="53"/>
      <c r="BA2036" s="53"/>
      <c r="BB2036" s="53"/>
      <c r="BC2036" s="53"/>
      <c r="BD2036" s="53"/>
    </row>
    <row r="2037" spans="3:56" x14ac:dyDescent="0.35">
      <c r="F2037" s="23"/>
      <c r="G2037" s="23"/>
      <c r="H2037" s="23"/>
      <c r="I2037" s="23"/>
      <c r="J2037" s="53"/>
      <c r="K2037" s="53"/>
      <c r="L2037" s="53"/>
      <c r="M2037" s="54"/>
      <c r="O2037" s="55"/>
      <c r="P2037" s="55"/>
      <c r="Q2037" s="53"/>
      <c r="R2037" s="57"/>
      <c r="S2037" s="23"/>
      <c r="T2037" s="53"/>
      <c r="U2037" s="53"/>
      <c r="V2037" s="53"/>
      <c r="W2037" s="57"/>
      <c r="X2037" s="47"/>
      <c r="Y2037" s="58"/>
      <c r="Z2037" s="58"/>
      <c r="AA2037" s="58"/>
      <c r="AB2037" s="57"/>
      <c r="AC2037" s="47"/>
      <c r="AD2037" s="57"/>
      <c r="AE2037" s="57"/>
      <c r="AF2037" s="57"/>
      <c r="AG2037" s="57"/>
      <c r="AH2037" s="59"/>
      <c r="AI2037" s="59"/>
      <c r="AJ2037" s="59"/>
      <c r="AK2037" s="59"/>
      <c r="AL2037" s="59"/>
      <c r="AM2037" s="59"/>
      <c r="AN2037" s="59"/>
      <c r="AZ2037" s="53"/>
      <c r="BA2037" s="53"/>
      <c r="BB2037" s="53"/>
      <c r="BC2037" s="53"/>
      <c r="BD2037" s="53"/>
    </row>
    <row r="2038" spans="3:56" x14ac:dyDescent="0.35">
      <c r="F2038" s="23"/>
      <c r="G2038" s="23"/>
      <c r="H2038" s="23"/>
      <c r="I2038" s="23"/>
      <c r="J2038" s="53"/>
      <c r="K2038" s="53"/>
      <c r="L2038" s="53"/>
      <c r="M2038" s="54"/>
      <c r="O2038" s="55"/>
      <c r="P2038" s="55"/>
      <c r="Q2038" s="53"/>
      <c r="R2038" s="57"/>
      <c r="S2038" s="23"/>
      <c r="T2038" s="53"/>
      <c r="U2038" s="53"/>
      <c r="V2038" s="53"/>
      <c r="W2038" s="57"/>
      <c r="X2038" s="47"/>
      <c r="Y2038" s="58"/>
      <c r="Z2038" s="58"/>
      <c r="AA2038" s="58"/>
      <c r="AB2038" s="57"/>
      <c r="AC2038" s="47"/>
      <c r="AD2038" s="57"/>
      <c r="AE2038" s="57"/>
      <c r="AF2038" s="57"/>
      <c r="AG2038" s="57"/>
      <c r="AH2038" s="59"/>
      <c r="AI2038" s="59"/>
      <c r="AJ2038" s="59"/>
      <c r="AK2038" s="59"/>
      <c r="AL2038" s="59"/>
      <c r="AM2038" s="59"/>
      <c r="AN2038" s="59"/>
      <c r="AZ2038" s="53"/>
      <c r="BA2038" s="53"/>
      <c r="BB2038" s="53"/>
      <c r="BC2038" s="53"/>
      <c r="BD2038" s="53"/>
    </row>
    <row r="2039" spans="3:56" x14ac:dyDescent="0.35">
      <c r="F2039" s="23"/>
      <c r="G2039" s="23"/>
      <c r="H2039" s="23"/>
      <c r="I2039" s="23"/>
      <c r="J2039" s="53"/>
      <c r="K2039" s="53"/>
      <c r="L2039" s="53"/>
      <c r="M2039" s="54"/>
      <c r="O2039" s="55"/>
      <c r="P2039" s="55"/>
      <c r="Q2039" s="53"/>
      <c r="R2039" s="57"/>
      <c r="S2039" s="23"/>
      <c r="T2039" s="53"/>
      <c r="U2039" s="53"/>
      <c r="V2039" s="53"/>
      <c r="W2039" s="57"/>
      <c r="X2039" s="47"/>
      <c r="Y2039" s="58"/>
      <c r="Z2039" s="58"/>
      <c r="AA2039" s="58"/>
      <c r="AB2039" s="57"/>
      <c r="AC2039" s="47"/>
      <c r="AD2039" s="57"/>
      <c r="AE2039" s="57"/>
      <c r="AF2039" s="57"/>
      <c r="AG2039" s="57"/>
      <c r="AH2039" s="59"/>
      <c r="AI2039" s="59"/>
      <c r="AJ2039" s="59"/>
      <c r="AK2039" s="59"/>
      <c r="AL2039" s="59"/>
      <c r="AM2039" s="59"/>
      <c r="AN2039" s="59"/>
      <c r="AZ2039" s="53"/>
      <c r="BA2039" s="53"/>
      <c r="BB2039" s="53"/>
      <c r="BC2039" s="53"/>
      <c r="BD2039" s="53"/>
    </row>
    <row r="2040" spans="3:56" x14ac:dyDescent="0.35">
      <c r="F2040" s="23"/>
      <c r="G2040" s="23"/>
      <c r="H2040" s="23"/>
      <c r="I2040" s="23"/>
      <c r="J2040" s="53"/>
      <c r="K2040" s="53"/>
      <c r="L2040" s="53"/>
      <c r="M2040" s="54"/>
      <c r="O2040" s="55"/>
      <c r="P2040" s="55"/>
      <c r="Q2040" s="53"/>
      <c r="R2040" s="57"/>
      <c r="S2040" s="23"/>
      <c r="T2040" s="53"/>
      <c r="U2040" s="53"/>
      <c r="V2040" s="53"/>
      <c r="W2040" s="57"/>
      <c r="X2040" s="47"/>
      <c r="Y2040" s="58"/>
      <c r="Z2040" s="58"/>
      <c r="AA2040" s="58"/>
      <c r="AB2040" s="57"/>
      <c r="AC2040" s="47"/>
      <c r="AD2040" s="57"/>
      <c r="AE2040" s="57"/>
      <c r="AF2040" s="57"/>
      <c r="AG2040" s="57"/>
      <c r="AH2040" s="59"/>
      <c r="AI2040" s="59"/>
      <c r="AJ2040" s="59"/>
      <c r="AK2040" s="59"/>
      <c r="AL2040" s="59"/>
      <c r="AM2040" s="59"/>
      <c r="AN2040" s="59"/>
      <c r="AZ2040" s="53"/>
      <c r="BA2040" s="53"/>
      <c r="BB2040" s="53"/>
      <c r="BC2040" s="53"/>
      <c r="BD2040" s="53"/>
    </row>
    <row r="2041" spans="3:56" x14ac:dyDescent="0.35">
      <c r="F2041" s="23"/>
      <c r="G2041" s="23"/>
      <c r="H2041" s="23"/>
      <c r="I2041" s="23"/>
      <c r="J2041" s="53"/>
      <c r="K2041" s="53"/>
      <c r="L2041" s="53"/>
      <c r="M2041" s="54"/>
      <c r="O2041" s="55"/>
      <c r="P2041" s="55"/>
      <c r="Q2041" s="53"/>
      <c r="R2041" s="57"/>
      <c r="S2041" s="23"/>
      <c r="T2041" s="53"/>
      <c r="U2041" s="53"/>
      <c r="V2041" s="53"/>
      <c r="W2041" s="57"/>
      <c r="X2041" s="47"/>
      <c r="Y2041" s="58"/>
      <c r="Z2041" s="58"/>
      <c r="AA2041" s="58"/>
      <c r="AB2041" s="57"/>
      <c r="AC2041" s="47"/>
      <c r="AD2041" s="57"/>
      <c r="AE2041" s="57"/>
      <c r="AF2041" s="57"/>
      <c r="AG2041" s="57"/>
      <c r="AH2041" s="59"/>
      <c r="AI2041" s="59"/>
      <c r="AJ2041" s="59"/>
      <c r="AK2041" s="59"/>
      <c r="AL2041" s="59"/>
      <c r="AM2041" s="59"/>
      <c r="AN2041" s="59"/>
      <c r="AZ2041" s="53"/>
      <c r="BA2041" s="53"/>
      <c r="BB2041" s="53"/>
      <c r="BC2041" s="53"/>
      <c r="BD2041" s="53"/>
    </row>
    <row r="2042" spans="3:56" x14ac:dyDescent="0.35">
      <c r="F2042" s="23"/>
      <c r="G2042" s="23"/>
      <c r="H2042" s="23"/>
      <c r="I2042" s="23"/>
      <c r="J2042" s="53"/>
      <c r="K2042" s="53"/>
      <c r="L2042" s="53"/>
      <c r="M2042" s="54"/>
      <c r="O2042" s="55"/>
      <c r="P2042" s="55"/>
      <c r="Q2042" s="53"/>
      <c r="R2042" s="57"/>
      <c r="S2042" s="23"/>
      <c r="T2042" s="53"/>
      <c r="U2042" s="53"/>
      <c r="V2042" s="53"/>
      <c r="W2042" s="57"/>
      <c r="X2042" s="47"/>
      <c r="Y2042" s="58"/>
      <c r="Z2042" s="58"/>
      <c r="AA2042" s="58"/>
      <c r="AB2042" s="57"/>
      <c r="AC2042" s="47"/>
      <c r="AD2042" s="57"/>
      <c r="AE2042" s="57"/>
      <c r="AF2042" s="57"/>
      <c r="AG2042" s="57"/>
      <c r="AH2042" s="59"/>
      <c r="AI2042" s="59"/>
      <c r="AJ2042" s="59"/>
      <c r="AK2042" s="59"/>
      <c r="AL2042" s="59"/>
      <c r="AM2042" s="59"/>
      <c r="AN2042" s="59"/>
      <c r="AZ2042" s="53"/>
      <c r="BA2042" s="53"/>
      <c r="BB2042" s="53"/>
      <c r="BC2042" s="53"/>
      <c r="BD2042" s="53"/>
    </row>
    <row r="2043" spans="3:56" x14ac:dyDescent="0.35">
      <c r="F2043" s="23"/>
      <c r="G2043" s="23"/>
      <c r="H2043" s="23"/>
      <c r="I2043" s="23"/>
      <c r="J2043" s="53"/>
      <c r="K2043" s="53"/>
      <c r="L2043" s="53"/>
      <c r="M2043" s="54"/>
      <c r="O2043" s="55"/>
      <c r="P2043" s="55"/>
      <c r="Q2043" s="53"/>
      <c r="R2043" s="57"/>
      <c r="S2043" s="23"/>
      <c r="T2043" s="53"/>
      <c r="U2043" s="53"/>
      <c r="V2043" s="53"/>
      <c r="W2043" s="57"/>
      <c r="X2043" s="47"/>
      <c r="Y2043" s="58"/>
      <c r="Z2043" s="58"/>
      <c r="AA2043" s="58"/>
      <c r="AB2043" s="57"/>
      <c r="AC2043" s="47"/>
      <c r="AD2043" s="57"/>
      <c r="AE2043" s="57"/>
      <c r="AF2043" s="57"/>
      <c r="AG2043" s="57"/>
      <c r="AH2043" s="59"/>
      <c r="AI2043" s="59"/>
      <c r="AJ2043" s="59"/>
      <c r="AK2043" s="59"/>
      <c r="AL2043" s="59"/>
      <c r="AM2043" s="59"/>
      <c r="AN2043" s="59"/>
      <c r="AZ2043" s="53"/>
      <c r="BA2043" s="53"/>
      <c r="BB2043" s="53"/>
      <c r="BC2043" s="53"/>
      <c r="BD2043" s="53"/>
    </row>
    <row r="2044" spans="3:56" x14ac:dyDescent="0.35">
      <c r="C2044" s="2" t="s">
        <v>175</v>
      </c>
      <c r="F2044" s="23"/>
      <c r="G2044" s="23"/>
      <c r="H2044" s="23"/>
      <c r="I2044" s="23"/>
      <c r="J2044" s="53"/>
      <c r="K2044" s="53"/>
      <c r="L2044" s="53"/>
      <c r="M2044" s="54"/>
      <c r="O2044" s="55"/>
      <c r="P2044" s="55"/>
      <c r="Q2044" s="53"/>
      <c r="R2044" s="57"/>
      <c r="S2044" s="23"/>
      <c r="T2044" s="53"/>
      <c r="U2044" s="53"/>
      <c r="V2044" s="53"/>
      <c r="W2044" s="57"/>
      <c r="X2044" s="47"/>
      <c r="Y2044" s="58"/>
      <c r="Z2044" s="58"/>
      <c r="AA2044" s="58"/>
      <c r="AB2044" s="57"/>
      <c r="AC2044" s="47"/>
      <c r="AD2044" s="57"/>
      <c r="AE2044" s="57"/>
      <c r="AF2044" s="57"/>
      <c r="AG2044" s="57"/>
      <c r="AH2044" s="59"/>
      <c r="AI2044" s="59"/>
      <c r="AJ2044" s="59"/>
      <c r="AK2044" s="59"/>
      <c r="AL2044" s="59"/>
      <c r="AM2044" s="59"/>
      <c r="AN2044" s="59"/>
      <c r="AZ2044" s="53"/>
      <c r="BA2044" s="53"/>
      <c r="BB2044" s="53"/>
      <c r="BC2044" s="53"/>
      <c r="BD2044" s="53"/>
    </row>
    <row r="2045" spans="3:56" x14ac:dyDescent="0.35">
      <c r="F2045" s="23"/>
      <c r="G2045" s="23"/>
      <c r="H2045" s="23"/>
      <c r="I2045" s="23"/>
      <c r="J2045" s="53"/>
      <c r="K2045" s="53"/>
      <c r="L2045" s="53"/>
      <c r="M2045" s="54"/>
      <c r="O2045" s="55"/>
      <c r="P2045" s="55"/>
      <c r="Q2045" s="53"/>
      <c r="R2045" s="57"/>
      <c r="S2045" s="23"/>
      <c r="T2045" s="53"/>
      <c r="U2045" s="53"/>
      <c r="V2045" s="53"/>
      <c r="W2045" s="57"/>
      <c r="X2045" s="47"/>
      <c r="Y2045" s="58"/>
      <c r="Z2045" s="58"/>
      <c r="AA2045" s="58"/>
      <c r="AB2045" s="57"/>
      <c r="AC2045" s="47"/>
      <c r="AD2045" s="57"/>
      <c r="AE2045" s="57"/>
      <c r="AF2045" s="57"/>
      <c r="AG2045" s="57"/>
      <c r="AH2045" s="59"/>
      <c r="AI2045" s="59"/>
      <c r="AJ2045" s="59"/>
      <c r="AK2045" s="59"/>
      <c r="AL2045" s="59"/>
      <c r="AM2045" s="59"/>
      <c r="AN2045" s="59"/>
      <c r="AZ2045" s="53"/>
      <c r="BA2045" s="53"/>
      <c r="BB2045" s="53"/>
      <c r="BC2045" s="53"/>
      <c r="BD2045" s="53"/>
    </row>
    <row r="2046" spans="3:56" x14ac:dyDescent="0.35">
      <c r="F2046" s="23"/>
      <c r="G2046" s="23"/>
      <c r="H2046" s="23"/>
      <c r="I2046" s="23"/>
      <c r="J2046" s="53"/>
      <c r="K2046" s="53"/>
      <c r="L2046" s="53"/>
      <c r="M2046" s="54"/>
      <c r="O2046" s="55"/>
      <c r="P2046" s="55"/>
      <c r="Q2046" s="53"/>
      <c r="R2046" s="57"/>
      <c r="S2046" s="23"/>
      <c r="T2046" s="53"/>
      <c r="U2046" s="53"/>
      <c r="V2046" s="53"/>
      <c r="W2046" s="57"/>
      <c r="X2046" s="47"/>
      <c r="Y2046" s="58"/>
      <c r="Z2046" s="58"/>
      <c r="AA2046" s="58"/>
      <c r="AB2046" s="57"/>
      <c r="AC2046" s="47"/>
      <c r="AD2046" s="57"/>
      <c r="AE2046" s="57"/>
      <c r="AF2046" s="57"/>
      <c r="AG2046" s="57"/>
      <c r="AH2046" s="59"/>
      <c r="AI2046" s="59"/>
      <c r="AJ2046" s="59"/>
      <c r="AK2046" s="59"/>
      <c r="AL2046" s="59"/>
      <c r="AM2046" s="59"/>
      <c r="AN2046" s="59"/>
      <c r="AZ2046" s="53"/>
      <c r="BA2046" s="53"/>
      <c r="BB2046" s="53"/>
      <c r="BC2046" s="53"/>
      <c r="BD2046" s="53"/>
    </row>
    <row r="2047" spans="3:56" x14ac:dyDescent="0.35">
      <c r="F2047" s="23"/>
      <c r="G2047" s="23"/>
      <c r="H2047" s="23"/>
      <c r="I2047" s="23"/>
      <c r="J2047" s="53"/>
      <c r="K2047" s="53"/>
      <c r="L2047" s="53"/>
      <c r="M2047" s="54"/>
      <c r="O2047" s="55"/>
      <c r="P2047" s="55"/>
      <c r="Q2047" s="53"/>
      <c r="R2047" s="57"/>
      <c r="S2047" s="23"/>
      <c r="T2047" s="53"/>
      <c r="U2047" s="53"/>
      <c r="V2047" s="53"/>
      <c r="W2047" s="57"/>
      <c r="X2047" s="47"/>
      <c r="Y2047" s="58"/>
      <c r="Z2047" s="58"/>
      <c r="AA2047" s="58"/>
      <c r="AB2047" s="57"/>
      <c r="AC2047" s="47"/>
      <c r="AD2047" s="57"/>
      <c r="AE2047" s="57"/>
      <c r="AF2047" s="57"/>
      <c r="AG2047" s="57"/>
      <c r="AH2047" s="59"/>
      <c r="AI2047" s="59"/>
      <c r="AJ2047" s="59"/>
      <c r="AK2047" s="59"/>
      <c r="AL2047" s="59"/>
      <c r="AM2047" s="59"/>
      <c r="AN2047" s="59"/>
      <c r="AZ2047" s="53"/>
      <c r="BA2047" s="53"/>
      <c r="BB2047" s="53"/>
      <c r="BC2047" s="53"/>
      <c r="BD2047" s="53"/>
    </row>
    <row r="2048" spans="3:56" x14ac:dyDescent="0.35">
      <c r="F2048" s="23"/>
      <c r="G2048" s="23"/>
      <c r="H2048" s="23"/>
      <c r="I2048" s="23"/>
      <c r="J2048" s="53"/>
      <c r="K2048" s="53"/>
      <c r="L2048" s="53"/>
      <c r="M2048" s="54"/>
      <c r="O2048" s="55"/>
      <c r="P2048" s="55"/>
      <c r="Q2048" s="53"/>
      <c r="R2048" s="57"/>
      <c r="S2048" s="23"/>
      <c r="T2048" s="53"/>
      <c r="U2048" s="53"/>
      <c r="V2048" s="53"/>
      <c r="W2048" s="57"/>
      <c r="X2048" s="47"/>
      <c r="Y2048" s="58"/>
      <c r="Z2048" s="58"/>
      <c r="AA2048" s="58"/>
      <c r="AB2048" s="57"/>
      <c r="AC2048" s="47"/>
      <c r="AD2048" s="57"/>
      <c r="AE2048" s="57"/>
      <c r="AF2048" s="57"/>
      <c r="AG2048" s="57"/>
      <c r="AH2048" s="59"/>
      <c r="AI2048" s="59"/>
      <c r="AJ2048" s="59"/>
      <c r="AK2048" s="59"/>
      <c r="AL2048" s="59"/>
      <c r="AM2048" s="59"/>
      <c r="AN2048" s="59"/>
      <c r="AZ2048" s="53"/>
      <c r="BA2048" s="53"/>
      <c r="BB2048" s="53"/>
      <c r="BC2048" s="53"/>
      <c r="BD2048" s="53"/>
    </row>
    <row r="2049" spans="3:56" x14ac:dyDescent="0.35">
      <c r="F2049" s="23"/>
      <c r="G2049" s="23"/>
      <c r="H2049" s="23"/>
      <c r="I2049" s="23"/>
      <c r="J2049" s="53"/>
      <c r="K2049" s="53"/>
      <c r="L2049" s="53"/>
      <c r="M2049" s="54"/>
      <c r="O2049" s="55"/>
      <c r="P2049" s="55"/>
      <c r="Q2049" s="53"/>
      <c r="R2049" s="57"/>
      <c r="S2049" s="23"/>
      <c r="T2049" s="53"/>
      <c r="U2049" s="53"/>
      <c r="V2049" s="53"/>
      <c r="W2049" s="57"/>
      <c r="X2049" s="47"/>
      <c r="Y2049" s="58"/>
      <c r="Z2049" s="58"/>
      <c r="AA2049" s="58"/>
      <c r="AB2049" s="57"/>
      <c r="AC2049" s="47"/>
      <c r="AD2049" s="57"/>
      <c r="AE2049" s="57"/>
      <c r="AF2049" s="57"/>
      <c r="AG2049" s="57"/>
      <c r="AH2049" s="59"/>
      <c r="AI2049" s="59"/>
      <c r="AJ2049" s="59"/>
      <c r="AK2049" s="59"/>
      <c r="AL2049" s="59"/>
      <c r="AM2049" s="59"/>
      <c r="AN2049" s="59"/>
      <c r="AZ2049" s="53"/>
      <c r="BA2049" s="53"/>
      <c r="BB2049" s="53"/>
      <c r="BC2049" s="53"/>
      <c r="BD2049" s="53"/>
    </row>
    <row r="2052" spans="3:56" x14ac:dyDescent="0.35">
      <c r="C2052" s="2" t="s">
        <v>2542</v>
      </c>
      <c r="D2052" t="s">
        <v>2599</v>
      </c>
    </row>
    <row r="2053" spans="3:56" x14ac:dyDescent="0.35">
      <c r="D2053" t="s">
        <v>2600</v>
      </c>
    </row>
    <row r="2054" spans="3:56" x14ac:dyDescent="0.35">
      <c r="D2054" t="s">
        <v>2601</v>
      </c>
    </row>
    <row r="2055" spans="3:56" x14ac:dyDescent="0.35">
      <c r="D2055" s="61" t="s">
        <v>2602</v>
      </c>
    </row>
    <row r="2057" spans="3:56" x14ac:dyDescent="0.35">
      <c r="D2057" t="s">
        <v>2603</v>
      </c>
      <c r="E2057" t="s">
        <v>2604</v>
      </c>
    </row>
    <row r="2058" spans="3:56" x14ac:dyDescent="0.35">
      <c r="D2058" t="s">
        <v>2605</v>
      </c>
      <c r="E2058" t="s">
        <v>2606</v>
      </c>
    </row>
    <row r="2059" spans="3:56" x14ac:dyDescent="0.35">
      <c r="D2059" t="s">
        <v>2607</v>
      </c>
      <c r="E2059" t="s">
        <v>2608</v>
      </c>
    </row>
    <row r="2060" spans="3:56" x14ac:dyDescent="0.35">
      <c r="D2060" t="s">
        <v>2609</v>
      </c>
      <c r="E2060" t="s">
        <v>2610</v>
      </c>
    </row>
    <row r="2064" spans="3:56" x14ac:dyDescent="0.35">
      <c r="D2064" t="s">
        <v>175</v>
      </c>
      <c r="E2064" t="s">
        <v>2611</v>
      </c>
    </row>
    <row r="2065" spans="3:6" x14ac:dyDescent="0.35">
      <c r="E2065" t="s">
        <v>2612</v>
      </c>
    </row>
    <row r="2066" spans="3:6" x14ac:dyDescent="0.35">
      <c r="C2066" s="2" t="s">
        <v>2614</v>
      </c>
      <c r="E2066" s="37" t="s">
        <v>2613</v>
      </c>
      <c r="F2066" t="s">
        <v>1460</v>
      </c>
    </row>
    <row r="2067" spans="3:6" x14ac:dyDescent="0.35">
      <c r="C2067" s="2" t="s">
        <v>2616</v>
      </c>
      <c r="E2067" s="37" t="s">
        <v>2615</v>
      </c>
      <c r="F2067" t="s">
        <v>623</v>
      </c>
    </row>
    <row r="2068" spans="3:6" x14ac:dyDescent="0.35">
      <c r="C2068" t="s">
        <v>2617</v>
      </c>
      <c r="E2068" s="37" t="s">
        <v>180</v>
      </c>
      <c r="F2068">
        <v>2019</v>
      </c>
    </row>
    <row r="2069" spans="3:6" x14ac:dyDescent="0.35">
      <c r="E2069" s="38" t="s">
        <v>2618</v>
      </c>
      <c r="F2069" t="e">
        <f t="array" ref="F2069">INDEX(#REF!,MATCH(1,(#REF!=F2066)*(#REF!=F2067),0),MATCH(F2068,VALUE(#REF!),0))</f>
        <v>#REF!</v>
      </c>
    </row>
    <row r="2070" spans="3:6" x14ac:dyDescent="0.35">
      <c r="E2070" s="37"/>
    </row>
    <row r="2072" spans="3:6" x14ac:dyDescent="0.35">
      <c r="D2072" t="s">
        <v>2619</v>
      </c>
    </row>
    <row r="2073" spans="3:6" x14ac:dyDescent="0.35">
      <c r="D2073" t="s">
        <v>2620</v>
      </c>
    </row>
    <row r="2074" spans="3:6" x14ac:dyDescent="0.35">
      <c r="D2074" t="s">
        <v>2621</v>
      </c>
    </row>
    <row r="2075" spans="3:6" x14ac:dyDescent="0.35">
      <c r="D2075" t="s">
        <v>2622</v>
      </c>
    </row>
    <row r="2076" spans="3:6" x14ac:dyDescent="0.35">
      <c r="D2076">
        <v>2020</v>
      </c>
      <c r="E2076" t="s">
        <v>2623</v>
      </c>
    </row>
    <row r="2077" spans="3:6" x14ac:dyDescent="0.35">
      <c r="D2077">
        <v>2018</v>
      </c>
      <c r="E2077" t="s">
        <v>2624</v>
      </c>
    </row>
    <row r="2078" spans="3:6" x14ac:dyDescent="0.35">
      <c r="D2078">
        <v>2019</v>
      </c>
      <c r="E2078" t="s">
        <v>2625</v>
      </c>
    </row>
    <row r="2079" spans="3:6" x14ac:dyDescent="0.35">
      <c r="C2079" s="2" t="s">
        <v>2536</v>
      </c>
      <c r="D2079">
        <v>2020</v>
      </c>
      <c r="E2079" t="s">
        <v>2626</v>
      </c>
    </row>
    <row r="2080" spans="3:6" x14ac:dyDescent="0.35">
      <c r="C2080" s="2"/>
    </row>
    <row r="2082" spans="3:56" x14ac:dyDescent="0.35">
      <c r="C2082" s="2" t="s">
        <v>175</v>
      </c>
      <c r="D2082" t="s">
        <v>2627</v>
      </c>
    </row>
    <row r="2083" spans="3:56" x14ac:dyDescent="0.35">
      <c r="E2083" t="s">
        <v>2628</v>
      </c>
    </row>
    <row r="2088" spans="3:56" x14ac:dyDescent="0.35">
      <c r="D2088" t="s">
        <v>2629</v>
      </c>
      <c r="E2088" t="s">
        <v>148</v>
      </c>
      <c r="F2088" s="23" t="s">
        <v>2630</v>
      </c>
      <c r="G2088" s="23" t="s">
        <v>2191</v>
      </c>
      <c r="H2088" s="23" t="s">
        <v>2198</v>
      </c>
      <c r="I2088" s="23" t="s">
        <v>2230</v>
      </c>
      <c r="J2088" s="23" t="s">
        <v>2257</v>
      </c>
      <c r="K2088" s="23" t="s">
        <v>2300</v>
      </c>
      <c r="L2088" s="23" t="s">
        <v>2307</v>
      </c>
      <c r="M2088" s="24" t="s">
        <v>2327</v>
      </c>
      <c r="N2088" s="24" t="s">
        <v>2339</v>
      </c>
      <c r="O2088" s="24" t="s">
        <v>2353</v>
      </c>
      <c r="P2088" s="24" t="s">
        <v>2366</v>
      </c>
      <c r="Q2088" s="23" t="s">
        <v>2391</v>
      </c>
      <c r="R2088" s="23" t="s">
        <v>2410</v>
      </c>
      <c r="S2088" s="23" t="s">
        <v>2426</v>
      </c>
      <c r="T2088" s="23" t="s">
        <v>2631</v>
      </c>
      <c r="U2088" s="23" t="s">
        <v>2632</v>
      </c>
      <c r="V2088" s="23" t="s">
        <v>2633</v>
      </c>
      <c r="W2088" s="23" t="s">
        <v>2634</v>
      </c>
      <c r="X2088" s="23" t="s">
        <v>2635</v>
      </c>
      <c r="Y2088" s="23" t="s">
        <v>2636</v>
      </c>
      <c r="Z2088" s="23" t="s">
        <v>2637</v>
      </c>
      <c r="AA2088" s="23" t="s">
        <v>2638</v>
      </c>
      <c r="AB2088" s="23" t="s">
        <v>2639</v>
      </c>
      <c r="AC2088" s="23" t="s">
        <v>2640</v>
      </c>
      <c r="AD2088" s="23" t="s">
        <v>2641</v>
      </c>
      <c r="AE2088" s="23" t="s">
        <v>2642</v>
      </c>
      <c r="AF2088" s="23" t="s">
        <v>2643</v>
      </c>
      <c r="AG2088" s="23" t="s">
        <v>2644</v>
      </c>
      <c r="AH2088" s="23" t="s">
        <v>2645</v>
      </c>
      <c r="AI2088" s="23" t="s">
        <v>2646</v>
      </c>
      <c r="AJ2088" s="23" t="s">
        <v>2647</v>
      </c>
      <c r="AK2088" s="23" t="s">
        <v>2648</v>
      </c>
      <c r="AL2088" s="23" t="s">
        <v>2649</v>
      </c>
      <c r="AM2088" s="23" t="s">
        <v>2650</v>
      </c>
      <c r="AN2088" s="23" t="s">
        <v>2651</v>
      </c>
      <c r="AO2088" s="23" t="s">
        <v>2652</v>
      </c>
      <c r="AP2088" s="23" t="s">
        <v>2653</v>
      </c>
      <c r="AQ2088" s="23" t="s">
        <v>2654</v>
      </c>
      <c r="AR2088" s="23" t="s">
        <v>2655</v>
      </c>
      <c r="AS2088" s="23" t="s">
        <v>2656</v>
      </c>
      <c r="AT2088" s="23" t="s">
        <v>2657</v>
      </c>
      <c r="AU2088" s="23" t="s">
        <v>2658</v>
      </c>
      <c r="AV2088" s="23" t="s">
        <v>2659</v>
      </c>
      <c r="AW2088" s="23" t="s">
        <v>2660</v>
      </c>
      <c r="AX2088" s="23" t="s">
        <v>2661</v>
      </c>
      <c r="AY2088" s="23" t="s">
        <v>2662</v>
      </c>
      <c r="AZ2088" s="23" t="s">
        <v>2663</v>
      </c>
      <c r="BA2088" s="23" t="s">
        <v>2664</v>
      </c>
      <c r="BB2088" s="23" t="s">
        <v>2665</v>
      </c>
      <c r="BC2088" s="23" t="s">
        <v>2666</v>
      </c>
      <c r="BD2088" s="23" t="s">
        <v>2667</v>
      </c>
    </row>
    <row r="2089" spans="3:56" x14ac:dyDescent="0.35">
      <c r="D2089" t="s">
        <v>2668</v>
      </c>
      <c r="E2089" t="s">
        <v>2669</v>
      </c>
      <c r="F2089" s="23">
        <v>0.76500000000000001</v>
      </c>
      <c r="G2089" s="23">
        <v>0.83299999999999996</v>
      </c>
      <c r="H2089" s="23">
        <v>0.85899999999999999</v>
      </c>
      <c r="I2089" s="23">
        <v>0.88500000000000001</v>
      </c>
      <c r="J2089" s="23">
        <v>0.91300000000000003</v>
      </c>
      <c r="K2089" s="23">
        <v>0.94099999999999995</v>
      </c>
      <c r="L2089" s="23">
        <v>0.97</v>
      </c>
      <c r="M2089" s="62">
        <v>1</v>
      </c>
      <c r="N2089" s="62">
        <v>1</v>
      </c>
      <c r="O2089" s="62">
        <v>1</v>
      </c>
      <c r="P2089" s="62">
        <v>1</v>
      </c>
      <c r="Q2089" s="63">
        <v>1.004</v>
      </c>
      <c r="R2089" s="63">
        <v>1.024</v>
      </c>
      <c r="S2089" s="63">
        <v>1.048</v>
      </c>
      <c r="T2089" s="63">
        <v>1.087</v>
      </c>
      <c r="U2089" s="63">
        <v>1.119</v>
      </c>
      <c r="V2089" s="63">
        <v>1.135</v>
      </c>
      <c r="W2089" s="63">
        <v>1.159</v>
      </c>
      <c r="X2089" s="63">
        <v>1.1830000000000001</v>
      </c>
      <c r="Y2089" s="63">
        <v>1.198</v>
      </c>
      <c r="Z2089" s="63">
        <v>1.214</v>
      </c>
      <c r="AA2089" s="63">
        <v>1.222</v>
      </c>
      <c r="AB2089" s="63">
        <v>1.23</v>
      </c>
      <c r="AC2089" s="63">
        <v>1.238</v>
      </c>
      <c r="AD2089" s="63">
        <v>1.246</v>
      </c>
      <c r="AE2089" s="63">
        <v>1.262</v>
      </c>
      <c r="AF2089" s="63">
        <v>1.278</v>
      </c>
      <c r="AG2089" s="63">
        <v>1.302</v>
      </c>
      <c r="AH2089" s="63">
        <v>1.325</v>
      </c>
      <c r="AI2089" s="63">
        <v>1.357</v>
      </c>
      <c r="AJ2089" s="63">
        <v>1.397</v>
      </c>
      <c r="AK2089" s="63">
        <v>1.444</v>
      </c>
      <c r="AL2089" s="63">
        <v>1.5</v>
      </c>
      <c r="AM2089" s="63">
        <v>1.5629999999999999</v>
      </c>
      <c r="AN2089" s="63">
        <v>1.635</v>
      </c>
      <c r="AO2089" s="63">
        <v>1.706</v>
      </c>
      <c r="AP2089" s="63">
        <v>1.786</v>
      </c>
      <c r="AQ2089" s="63">
        <v>1.865</v>
      </c>
      <c r="AR2089" s="63">
        <v>1.952</v>
      </c>
      <c r="AS2089" s="63">
        <v>2.04</v>
      </c>
      <c r="AT2089" s="63">
        <v>2.1349999999999998</v>
      </c>
      <c r="AU2089" s="63">
        <v>2.23</v>
      </c>
      <c r="AV2089" s="63">
        <v>2.3330000000000002</v>
      </c>
      <c r="AW2089" s="63">
        <v>2.4369999999999998</v>
      </c>
      <c r="AX2089" s="63">
        <v>2.548</v>
      </c>
      <c r="AY2089" s="63">
        <v>2.6030000000000002</v>
      </c>
      <c r="AZ2089" s="63">
        <v>2.714</v>
      </c>
      <c r="BA2089" s="63">
        <v>2.81</v>
      </c>
      <c r="BB2089" s="63">
        <v>2.8730000000000002</v>
      </c>
      <c r="BC2089" s="63">
        <v>2.952</v>
      </c>
      <c r="BD2089" s="63">
        <v>3</v>
      </c>
    </row>
    <row r="2090" spans="3:56" x14ac:dyDescent="0.35">
      <c r="C2090" t="s">
        <v>2670</v>
      </c>
      <c r="D2090" t="s">
        <v>229</v>
      </c>
      <c r="E2090" t="s">
        <v>2669</v>
      </c>
      <c r="F2090" s="23">
        <v>0.63500000000000001</v>
      </c>
      <c r="G2090" s="23">
        <v>0.63500000000000001</v>
      </c>
      <c r="H2090" s="23">
        <v>0.63500000000000001</v>
      </c>
      <c r="I2090" s="23">
        <v>0.63500000000000001</v>
      </c>
      <c r="J2090" s="23">
        <v>0.63500000000000001</v>
      </c>
      <c r="K2090" s="23">
        <v>0.63500000000000001</v>
      </c>
      <c r="L2090" s="23">
        <v>0.63500000000000001</v>
      </c>
      <c r="M2090" s="62">
        <v>1</v>
      </c>
      <c r="N2090" s="62">
        <v>1</v>
      </c>
      <c r="O2090" s="62">
        <v>1</v>
      </c>
      <c r="P2090" s="62">
        <v>1</v>
      </c>
      <c r="Q2090" s="63">
        <v>1.004</v>
      </c>
      <c r="R2090" s="63">
        <v>1.024</v>
      </c>
      <c r="S2090" s="63">
        <v>1.048</v>
      </c>
      <c r="T2090" s="63">
        <v>1.087</v>
      </c>
      <c r="U2090" s="63">
        <v>1.119</v>
      </c>
      <c r="V2090" s="63">
        <v>1.135</v>
      </c>
      <c r="W2090" s="63">
        <v>1.159</v>
      </c>
      <c r="X2090" s="63">
        <v>1.1830000000000001</v>
      </c>
      <c r="Y2090" s="63">
        <v>1.198</v>
      </c>
      <c r="Z2090" s="63">
        <v>1.214</v>
      </c>
      <c r="AA2090" s="63">
        <v>1.222</v>
      </c>
      <c r="AB2090" s="63">
        <v>1.23</v>
      </c>
      <c r="AC2090" s="63">
        <v>1.238</v>
      </c>
      <c r="AD2090" s="63">
        <v>1.246</v>
      </c>
      <c r="AE2090" s="63">
        <v>1.262</v>
      </c>
      <c r="AF2090" s="63">
        <v>1.278</v>
      </c>
      <c r="AG2090" s="63">
        <v>1.302</v>
      </c>
      <c r="AH2090" s="63">
        <v>1.325</v>
      </c>
      <c r="AI2090" s="63">
        <v>1.357</v>
      </c>
      <c r="AJ2090" s="63">
        <v>1.397</v>
      </c>
      <c r="AK2090" s="63">
        <v>1.444</v>
      </c>
      <c r="AL2090" s="63">
        <v>1.5</v>
      </c>
      <c r="AM2090" s="63">
        <v>1.5629999999999999</v>
      </c>
      <c r="AN2090" s="63">
        <v>1.635</v>
      </c>
      <c r="AO2090" s="63">
        <v>1.706</v>
      </c>
      <c r="AP2090" s="63">
        <v>1.786</v>
      </c>
      <c r="AQ2090" s="63">
        <v>1.865</v>
      </c>
      <c r="AR2090" s="63">
        <v>1.952</v>
      </c>
      <c r="AS2090" s="63">
        <v>2.04</v>
      </c>
      <c r="AT2090" s="63">
        <v>2.1349999999999998</v>
      </c>
      <c r="AU2090" s="63">
        <v>2.23</v>
      </c>
      <c r="AV2090" s="63">
        <v>2.3330000000000002</v>
      </c>
      <c r="AW2090" s="63">
        <v>2.4369999999999998</v>
      </c>
      <c r="AX2090" s="63">
        <v>2.548</v>
      </c>
      <c r="AY2090" s="63">
        <v>2.6030000000000002</v>
      </c>
      <c r="AZ2090" s="63">
        <v>2.714</v>
      </c>
      <c r="BA2090" s="63">
        <v>2.81</v>
      </c>
      <c r="BB2090" s="63">
        <v>2.8730000000000002</v>
      </c>
      <c r="BC2090" s="63">
        <v>2.952</v>
      </c>
      <c r="BD2090" s="63">
        <v>3</v>
      </c>
    </row>
    <row r="2091" spans="3:56" x14ac:dyDescent="0.35">
      <c r="D2091" t="s">
        <v>2671</v>
      </c>
      <c r="E2091" t="s">
        <v>2669</v>
      </c>
      <c r="F2091" s="23">
        <v>0.65400000000000003</v>
      </c>
      <c r="G2091" s="23">
        <v>0.65400000000000003</v>
      </c>
      <c r="H2091" s="23">
        <v>0.65400000000000003</v>
      </c>
      <c r="I2091" s="23">
        <v>0.65400000000000003</v>
      </c>
      <c r="J2091" s="23">
        <v>0.65400000000000003</v>
      </c>
      <c r="K2091" s="23">
        <v>0.65400000000000003</v>
      </c>
      <c r="L2091" s="23">
        <v>0.65400000000000003</v>
      </c>
      <c r="M2091" s="62">
        <v>0.72699999999999998</v>
      </c>
      <c r="N2091" s="62">
        <v>0.72699999999999998</v>
      </c>
      <c r="O2091" s="62">
        <v>0.72699999999999998</v>
      </c>
      <c r="P2091" s="62">
        <v>0.72699999999999998</v>
      </c>
      <c r="Q2091" s="63">
        <v>0.72699999999999998</v>
      </c>
      <c r="R2091" s="63">
        <v>0.72699999999999998</v>
      </c>
      <c r="S2091" s="63">
        <v>0.72699999999999998</v>
      </c>
      <c r="T2091" s="63">
        <v>0.74399999999999999</v>
      </c>
      <c r="U2091" s="63">
        <v>0.76</v>
      </c>
      <c r="V2091" s="63">
        <v>0.77900000000000003</v>
      </c>
      <c r="W2091" s="63">
        <v>0.79900000000000004</v>
      </c>
      <c r="X2091" s="63">
        <v>0.81699999999999995</v>
      </c>
      <c r="Y2091" s="63">
        <v>0.83599999999999997</v>
      </c>
      <c r="Z2091" s="63">
        <v>0.85599999999999998</v>
      </c>
      <c r="AA2091" s="63">
        <v>0.876</v>
      </c>
      <c r="AB2091" s="63">
        <v>0.89600000000000002</v>
      </c>
      <c r="AC2091" s="63">
        <v>0.91600000000000004</v>
      </c>
      <c r="AD2091" s="63">
        <v>0.92700000000000005</v>
      </c>
      <c r="AE2091" s="63">
        <v>0.93799999999999994</v>
      </c>
      <c r="AF2091" s="63">
        <v>0.97499999999999998</v>
      </c>
      <c r="AG2091" s="63">
        <v>1.0129999999999999</v>
      </c>
      <c r="AH2091" s="63">
        <v>1.0529999999999999</v>
      </c>
      <c r="AI2091" s="63">
        <v>1.0940000000000001</v>
      </c>
      <c r="AJ2091" s="63">
        <v>1.137</v>
      </c>
      <c r="AK2091" s="63">
        <v>1.181</v>
      </c>
      <c r="AL2091" s="63">
        <v>1.2270000000000001</v>
      </c>
      <c r="AM2091" s="63">
        <v>1.2749999999999999</v>
      </c>
      <c r="AN2091" s="63">
        <v>1.325</v>
      </c>
      <c r="AO2091" s="63">
        <v>1.377</v>
      </c>
      <c r="AP2091" s="63">
        <v>1.431</v>
      </c>
      <c r="AQ2091" s="63">
        <v>1.4870000000000001</v>
      </c>
      <c r="AR2091" s="63">
        <v>1.5449999999999999</v>
      </c>
      <c r="AS2091" s="63">
        <v>1.605</v>
      </c>
      <c r="AT2091" s="63">
        <v>1.6679999999999999</v>
      </c>
      <c r="AU2091" s="63">
        <v>1.7330000000000001</v>
      </c>
      <c r="AV2091" s="63">
        <v>1.8009999999999999</v>
      </c>
      <c r="AW2091" s="63">
        <v>1.871</v>
      </c>
      <c r="AX2091" s="63">
        <v>1.944</v>
      </c>
      <c r="AY2091" s="63">
        <v>2.02</v>
      </c>
      <c r="AZ2091" s="63">
        <v>2.0990000000000002</v>
      </c>
      <c r="BA2091" s="63">
        <v>2.181</v>
      </c>
      <c r="BB2091" s="63">
        <v>2.181</v>
      </c>
      <c r="BC2091" s="63">
        <v>2.181</v>
      </c>
      <c r="BD2091" s="63">
        <v>2.181</v>
      </c>
    </row>
    <row r="2092" spans="3:56" x14ac:dyDescent="0.35">
      <c r="D2092" t="s">
        <v>2672</v>
      </c>
      <c r="E2092" t="s">
        <v>2669</v>
      </c>
      <c r="F2092" s="23">
        <v>0.751</v>
      </c>
      <c r="G2092" s="23">
        <v>0.751</v>
      </c>
      <c r="H2092" s="23">
        <v>0.751</v>
      </c>
      <c r="I2092" s="23">
        <v>0.751</v>
      </c>
      <c r="J2092" s="23">
        <v>0.751</v>
      </c>
      <c r="K2092" s="23">
        <v>0.751</v>
      </c>
      <c r="L2092" s="23">
        <v>0.751</v>
      </c>
      <c r="M2092" s="62">
        <v>1.1830000000000001</v>
      </c>
      <c r="N2092" s="62">
        <v>1.1830000000000001</v>
      </c>
      <c r="O2092" s="62">
        <v>1.1830000000000001</v>
      </c>
      <c r="P2092" s="62">
        <v>1.1830000000000001</v>
      </c>
      <c r="Q2092" s="63">
        <v>1.1830000000000001</v>
      </c>
      <c r="R2092" s="63">
        <v>1.1830000000000001</v>
      </c>
      <c r="S2092" s="63">
        <v>1.22</v>
      </c>
      <c r="T2092" s="63">
        <v>1.25</v>
      </c>
      <c r="U2092" s="63">
        <v>1.2749999999999999</v>
      </c>
      <c r="V2092" s="63">
        <v>1.2869999999999999</v>
      </c>
      <c r="W2092" s="63">
        <v>1.3049999999999999</v>
      </c>
      <c r="X2092" s="63">
        <v>1.323</v>
      </c>
      <c r="Y2092" s="63">
        <v>1.3340000000000001</v>
      </c>
      <c r="Z2092" s="63">
        <v>1.3460000000000001</v>
      </c>
      <c r="AA2092" s="63">
        <v>1.3520000000000001</v>
      </c>
      <c r="AB2092" s="63">
        <v>1.3580000000000001</v>
      </c>
      <c r="AC2092" s="63">
        <v>1.363</v>
      </c>
      <c r="AD2092" s="63">
        <v>1.369</v>
      </c>
      <c r="AE2092" s="63">
        <v>1.381</v>
      </c>
      <c r="AF2092" s="63">
        <v>1.393</v>
      </c>
      <c r="AG2092" s="63">
        <v>1.41</v>
      </c>
      <c r="AH2092" s="63">
        <v>1.427</v>
      </c>
      <c r="AI2092" s="63">
        <v>1.45</v>
      </c>
      <c r="AJ2092" s="63">
        <v>1.478</v>
      </c>
      <c r="AK2092" s="63">
        <v>1.5109999999999999</v>
      </c>
      <c r="AL2092" s="63">
        <v>1.55</v>
      </c>
      <c r="AM2092" s="63">
        <v>1.593</v>
      </c>
      <c r="AN2092" s="63">
        <v>1.641</v>
      </c>
      <c r="AO2092" s="63">
        <v>1.6879999999999999</v>
      </c>
      <c r="AP2092" s="63">
        <v>1.7410000000000001</v>
      </c>
      <c r="AQ2092" s="63">
        <v>1.792</v>
      </c>
      <c r="AR2092" s="63">
        <v>1.847</v>
      </c>
      <c r="AS2092" s="63">
        <v>1.9019999999999999</v>
      </c>
      <c r="AT2092" s="63">
        <v>1.9610000000000001</v>
      </c>
      <c r="AU2092" s="63">
        <v>2.0190000000000001</v>
      </c>
      <c r="AV2092" s="63">
        <v>2.08</v>
      </c>
      <c r="AW2092" s="63">
        <v>2.1419999999999999</v>
      </c>
      <c r="AX2092" s="63">
        <v>2.206</v>
      </c>
      <c r="AY2092" s="63">
        <v>2.2799999999999998</v>
      </c>
      <c r="AZ2092" s="63">
        <v>2.3650000000000002</v>
      </c>
      <c r="BA2092" s="63">
        <v>2.3650000000000002</v>
      </c>
      <c r="BB2092" s="63">
        <v>2.3650000000000002</v>
      </c>
      <c r="BC2092" s="63">
        <v>2.3650000000000002</v>
      </c>
      <c r="BD2092" s="63">
        <v>2.3650000000000002</v>
      </c>
    </row>
    <row r="2093" spans="3:56" x14ac:dyDescent="0.35">
      <c r="D2093" t="s">
        <v>2673</v>
      </c>
      <c r="E2093" t="s">
        <v>2669</v>
      </c>
      <c r="F2093" s="23">
        <v>0.89</v>
      </c>
      <c r="G2093" s="23">
        <v>0.89</v>
      </c>
      <c r="H2093" s="23">
        <v>0.89</v>
      </c>
      <c r="I2093" s="23">
        <v>0.89</v>
      </c>
      <c r="J2093" s="23">
        <v>0.89</v>
      </c>
      <c r="K2093" s="23">
        <v>0.89</v>
      </c>
      <c r="L2093" s="23">
        <v>0.89</v>
      </c>
      <c r="M2093" s="62">
        <v>1</v>
      </c>
      <c r="N2093" s="62">
        <v>1</v>
      </c>
      <c r="O2093" s="62">
        <v>1</v>
      </c>
      <c r="P2093" s="62">
        <v>1</v>
      </c>
      <c r="Q2093" s="63">
        <v>1.004</v>
      </c>
      <c r="R2093" s="63">
        <v>1.024</v>
      </c>
      <c r="S2093" s="63">
        <v>1.048</v>
      </c>
      <c r="T2093" s="63">
        <v>1.087</v>
      </c>
      <c r="U2093" s="63">
        <v>1.119</v>
      </c>
      <c r="V2093" s="63">
        <v>1.135</v>
      </c>
      <c r="W2093" s="63">
        <v>1.159</v>
      </c>
      <c r="X2093" s="63">
        <v>1.1830000000000001</v>
      </c>
      <c r="Y2093" s="63">
        <v>1.198</v>
      </c>
      <c r="Z2093" s="63">
        <v>1.214</v>
      </c>
      <c r="AA2093" s="63">
        <v>1.222</v>
      </c>
      <c r="AB2093" s="63">
        <v>1.23</v>
      </c>
      <c r="AC2093" s="63">
        <v>1.238</v>
      </c>
      <c r="AD2093" s="63">
        <v>1.246</v>
      </c>
      <c r="AE2093" s="63">
        <v>1.262</v>
      </c>
      <c r="AF2093" s="63">
        <v>1.278</v>
      </c>
      <c r="AG2093" s="63">
        <v>1.302</v>
      </c>
      <c r="AH2093" s="63">
        <v>1.325</v>
      </c>
      <c r="AI2093" s="63">
        <v>1.357</v>
      </c>
      <c r="AJ2093" s="63">
        <v>1.397</v>
      </c>
      <c r="AK2093" s="63">
        <v>1.444</v>
      </c>
      <c r="AL2093" s="63">
        <v>1.5</v>
      </c>
      <c r="AM2093" s="63">
        <v>1.5629999999999999</v>
      </c>
      <c r="AN2093" s="63">
        <v>1.635</v>
      </c>
      <c r="AO2093" s="63">
        <v>1.706</v>
      </c>
      <c r="AP2093" s="63">
        <v>1.786</v>
      </c>
      <c r="AQ2093" s="63">
        <v>1.865</v>
      </c>
      <c r="AR2093" s="63">
        <v>1.952</v>
      </c>
      <c r="AS2093" s="63">
        <v>2.04</v>
      </c>
      <c r="AT2093" s="63">
        <v>2.1349999999999998</v>
      </c>
      <c r="AU2093" s="63">
        <v>2.23</v>
      </c>
      <c r="AV2093" s="63">
        <v>2.3330000000000002</v>
      </c>
      <c r="AW2093" s="63">
        <v>2.4369999999999998</v>
      </c>
      <c r="AX2093" s="63">
        <v>2.548</v>
      </c>
      <c r="AY2093" s="63">
        <v>2.6030000000000002</v>
      </c>
      <c r="AZ2093" s="63">
        <v>2.714</v>
      </c>
      <c r="BA2093" s="63">
        <v>2.81</v>
      </c>
      <c r="BB2093" s="63">
        <v>2.8730000000000002</v>
      </c>
      <c r="BC2093" s="63">
        <v>2.952</v>
      </c>
      <c r="BD2093" s="63">
        <v>3</v>
      </c>
    </row>
    <row r="2094" spans="3:56" x14ac:dyDescent="0.35">
      <c r="D2094" t="s">
        <v>1206</v>
      </c>
      <c r="E2094" t="s">
        <v>2669</v>
      </c>
      <c r="F2094" s="23">
        <v>0.63500000000000001</v>
      </c>
      <c r="G2094" s="23">
        <v>0.63500000000000001</v>
      </c>
      <c r="H2094" s="23">
        <v>0.63500000000000001</v>
      </c>
      <c r="I2094" s="23">
        <v>0.63500000000000001</v>
      </c>
      <c r="J2094" s="23">
        <v>0.63500000000000001</v>
      </c>
      <c r="K2094" s="23">
        <v>0.63500000000000001</v>
      </c>
      <c r="L2094" s="23">
        <v>0.63500000000000001</v>
      </c>
      <c r="M2094" s="62">
        <v>1</v>
      </c>
      <c r="N2094" s="62">
        <v>1</v>
      </c>
      <c r="O2094" s="62">
        <v>1</v>
      </c>
      <c r="P2094" s="62">
        <v>1</v>
      </c>
      <c r="Q2094" s="63">
        <v>1.004</v>
      </c>
      <c r="R2094" s="63">
        <v>1.024</v>
      </c>
      <c r="S2094" s="63">
        <v>1.048</v>
      </c>
      <c r="T2094" s="63">
        <v>1.087</v>
      </c>
      <c r="U2094" s="63">
        <v>1.119</v>
      </c>
      <c r="V2094" s="63">
        <v>1.135</v>
      </c>
      <c r="W2094" s="63">
        <v>1.159</v>
      </c>
      <c r="X2094" s="63">
        <v>1.1830000000000001</v>
      </c>
      <c r="Y2094" s="63">
        <v>1.198</v>
      </c>
      <c r="Z2094" s="63">
        <v>1.214</v>
      </c>
      <c r="AA2094" s="63">
        <v>1.222</v>
      </c>
      <c r="AB2094" s="63">
        <v>1.23</v>
      </c>
      <c r="AC2094" s="63">
        <v>1.238</v>
      </c>
      <c r="AD2094" s="63">
        <v>1.246</v>
      </c>
      <c r="AE2094" s="63">
        <v>1.262</v>
      </c>
      <c r="AF2094" s="63">
        <v>1.278</v>
      </c>
      <c r="AG2094" s="63">
        <v>1.302</v>
      </c>
      <c r="AH2094" s="63">
        <v>1.325</v>
      </c>
      <c r="AI2094" s="63">
        <v>1.357</v>
      </c>
      <c r="AJ2094" s="63">
        <v>1.397</v>
      </c>
      <c r="AK2094" s="63">
        <v>1.444</v>
      </c>
      <c r="AL2094" s="63">
        <v>1.5</v>
      </c>
      <c r="AM2094" s="63">
        <v>1.5629999999999999</v>
      </c>
      <c r="AN2094" s="63">
        <v>1.635</v>
      </c>
      <c r="AO2094" s="63">
        <v>1.706</v>
      </c>
      <c r="AP2094" s="63">
        <v>1.786</v>
      </c>
      <c r="AQ2094" s="63">
        <v>1.865</v>
      </c>
      <c r="AR2094" s="63">
        <v>1.952</v>
      </c>
      <c r="AS2094" s="63">
        <v>2.04</v>
      </c>
      <c r="AT2094" s="63">
        <v>2.1349999999999998</v>
      </c>
      <c r="AU2094" s="63">
        <v>2.23</v>
      </c>
      <c r="AV2094" s="63">
        <v>2.3330000000000002</v>
      </c>
      <c r="AW2094" s="63">
        <v>2.4369999999999998</v>
      </c>
      <c r="AX2094" s="63">
        <v>2.548</v>
      </c>
      <c r="AY2094" s="63">
        <v>2.6030000000000002</v>
      </c>
      <c r="AZ2094" s="63">
        <v>2.714</v>
      </c>
      <c r="BA2094" s="63">
        <v>2.81</v>
      </c>
      <c r="BB2094" s="63">
        <v>2.8730000000000002</v>
      </c>
      <c r="BC2094" s="63">
        <v>2.952</v>
      </c>
      <c r="BD2094" s="63">
        <v>3</v>
      </c>
    </row>
    <row r="2095" spans="3:56" x14ac:dyDescent="0.35">
      <c r="D2095" t="s">
        <v>1427</v>
      </c>
      <c r="E2095" t="s">
        <v>2669</v>
      </c>
      <c r="F2095" s="23">
        <v>0.63500000000000001</v>
      </c>
      <c r="G2095" s="23">
        <v>0.63500000000000001</v>
      </c>
      <c r="H2095" s="23">
        <v>0.63500000000000001</v>
      </c>
      <c r="I2095" s="23">
        <v>0.63500000000000001</v>
      </c>
      <c r="J2095" s="23">
        <v>0.63500000000000001</v>
      </c>
      <c r="K2095" s="23">
        <v>0.63500000000000001</v>
      </c>
      <c r="L2095" s="23">
        <v>0.63500000000000001</v>
      </c>
      <c r="M2095" s="62">
        <v>1</v>
      </c>
      <c r="N2095" s="62">
        <v>1</v>
      </c>
      <c r="O2095" s="62">
        <v>1</v>
      </c>
      <c r="P2095" s="62">
        <v>1</v>
      </c>
      <c r="Q2095" s="63">
        <v>1.004</v>
      </c>
      <c r="R2095" s="63">
        <v>1.024</v>
      </c>
      <c r="S2095" s="63">
        <v>1.048</v>
      </c>
      <c r="T2095" s="63">
        <v>1.087</v>
      </c>
      <c r="U2095" s="63">
        <v>1.119</v>
      </c>
      <c r="V2095" s="63">
        <v>1.135</v>
      </c>
      <c r="W2095" s="63">
        <v>1.159</v>
      </c>
      <c r="X2095" s="63">
        <v>1.1830000000000001</v>
      </c>
      <c r="Y2095" s="63">
        <v>1.198</v>
      </c>
      <c r="Z2095" s="63">
        <v>1.214</v>
      </c>
      <c r="AA2095" s="63">
        <v>1.222</v>
      </c>
      <c r="AB2095" s="63">
        <v>1.23</v>
      </c>
      <c r="AC2095" s="63">
        <v>1.238</v>
      </c>
      <c r="AD2095" s="63">
        <v>1.246</v>
      </c>
      <c r="AE2095" s="63">
        <v>1.262</v>
      </c>
      <c r="AF2095" s="63">
        <v>1.278</v>
      </c>
      <c r="AG2095" s="63">
        <v>1.302</v>
      </c>
      <c r="AH2095" s="63">
        <v>1.325</v>
      </c>
      <c r="AI2095" s="63">
        <v>1.357</v>
      </c>
      <c r="AJ2095" s="63">
        <v>1.397</v>
      </c>
      <c r="AK2095" s="63">
        <v>1.444</v>
      </c>
      <c r="AL2095" s="63">
        <v>1.5</v>
      </c>
      <c r="AM2095" s="63">
        <v>1.5629999999999999</v>
      </c>
      <c r="AN2095" s="63">
        <v>1.635</v>
      </c>
      <c r="AO2095" s="63">
        <v>1.706</v>
      </c>
      <c r="AP2095" s="63">
        <v>1.786</v>
      </c>
      <c r="AQ2095" s="63">
        <v>1.865</v>
      </c>
      <c r="AR2095" s="63">
        <v>1.952</v>
      </c>
      <c r="AS2095" s="63">
        <v>2.04</v>
      </c>
      <c r="AT2095" s="63">
        <v>2.1349999999999998</v>
      </c>
      <c r="AU2095" s="63">
        <v>2.23</v>
      </c>
      <c r="AV2095" s="63">
        <v>2.3330000000000002</v>
      </c>
      <c r="AW2095" s="63">
        <v>2.4369999999999998</v>
      </c>
      <c r="AX2095" s="63">
        <v>2.548</v>
      </c>
      <c r="AY2095" s="63">
        <v>2.6030000000000002</v>
      </c>
      <c r="AZ2095" s="63">
        <v>2.714</v>
      </c>
      <c r="BA2095" s="63">
        <v>2.81</v>
      </c>
      <c r="BB2095" s="63">
        <v>2.8730000000000002</v>
      </c>
      <c r="BC2095" s="63">
        <v>2.952</v>
      </c>
      <c r="BD2095" s="63">
        <v>3</v>
      </c>
    </row>
    <row r="2096" spans="3:56" x14ac:dyDescent="0.35">
      <c r="D2096" t="s">
        <v>2432</v>
      </c>
      <c r="E2096" t="s">
        <v>2669</v>
      </c>
      <c r="F2096" s="23">
        <v>0.79300000000000004</v>
      </c>
      <c r="G2096" s="23">
        <v>0.79300000000000004</v>
      </c>
      <c r="H2096" s="23">
        <v>0.79300000000000004</v>
      </c>
      <c r="I2096" s="23">
        <v>0.79300000000000004</v>
      </c>
      <c r="J2096" s="23">
        <v>0.79300000000000004</v>
      </c>
      <c r="K2096" s="23">
        <v>0.79300000000000004</v>
      </c>
      <c r="L2096" s="23">
        <v>0.79300000000000004</v>
      </c>
      <c r="M2096" s="62">
        <v>1</v>
      </c>
      <c r="N2096" s="62">
        <v>1.05</v>
      </c>
      <c r="O2096" s="62">
        <v>1.113</v>
      </c>
      <c r="P2096" s="62">
        <v>1.1910000000000001</v>
      </c>
      <c r="Q2096" s="63">
        <v>1.298</v>
      </c>
      <c r="R2096" s="63">
        <v>1.363</v>
      </c>
      <c r="S2096" s="63">
        <v>1.39</v>
      </c>
      <c r="T2096" s="63">
        <v>1.39</v>
      </c>
      <c r="U2096" s="63">
        <v>1.39</v>
      </c>
      <c r="V2096" s="63">
        <v>1.39</v>
      </c>
      <c r="W2096" s="63">
        <v>1.39</v>
      </c>
      <c r="X2096" s="63">
        <v>1.39</v>
      </c>
      <c r="Y2096" s="63">
        <v>1.39</v>
      </c>
      <c r="Z2096" s="63">
        <v>1.39</v>
      </c>
      <c r="AA2096" s="63">
        <v>1.39</v>
      </c>
      <c r="AB2096" s="63">
        <v>1.39</v>
      </c>
      <c r="AC2096" s="63">
        <v>1.4039999999999999</v>
      </c>
      <c r="AD2096" s="63">
        <v>1.425</v>
      </c>
      <c r="AE2096" s="63">
        <v>1.45</v>
      </c>
      <c r="AF2096" s="63">
        <v>1.4790000000000001</v>
      </c>
      <c r="AG2096" s="63">
        <v>1.516</v>
      </c>
      <c r="AH2096" s="63">
        <v>1.5620000000000001</v>
      </c>
      <c r="AI2096" s="63">
        <v>1.6160000000000001</v>
      </c>
      <c r="AJ2096" s="63">
        <v>1.681</v>
      </c>
      <c r="AK2096" s="63">
        <v>1.748</v>
      </c>
      <c r="AL2096" s="63">
        <v>1.8180000000000001</v>
      </c>
      <c r="AM2096" s="63">
        <v>1.891</v>
      </c>
      <c r="AN2096" s="63">
        <v>1.966</v>
      </c>
      <c r="AO2096" s="63">
        <v>2.0449999999999999</v>
      </c>
      <c r="AP2096" s="63">
        <v>2.1269999999999998</v>
      </c>
      <c r="AQ2096" s="63">
        <v>2.2120000000000002</v>
      </c>
      <c r="AR2096" s="63">
        <v>2.2999999999999998</v>
      </c>
      <c r="AS2096" s="63">
        <v>2.3919999999999999</v>
      </c>
      <c r="AT2096" s="63">
        <v>2.488</v>
      </c>
      <c r="AU2096" s="63">
        <v>2.5880000000000001</v>
      </c>
      <c r="AV2096" s="63">
        <v>2.6909999999999998</v>
      </c>
      <c r="AW2096" s="63">
        <v>2.7989999999999999</v>
      </c>
      <c r="AX2096" s="63">
        <v>2.911</v>
      </c>
      <c r="AY2096" s="63">
        <v>3</v>
      </c>
      <c r="AZ2096" s="63">
        <v>3</v>
      </c>
      <c r="BA2096" s="63">
        <v>3</v>
      </c>
      <c r="BB2096" s="63">
        <v>3</v>
      </c>
      <c r="BC2096" s="63">
        <v>3</v>
      </c>
      <c r="BD2096" s="63">
        <v>3</v>
      </c>
    </row>
    <row r="2099" spans="3:16" x14ac:dyDescent="0.35">
      <c r="D2099" t="s">
        <v>2674</v>
      </c>
    </row>
    <row r="2101" spans="3:16" x14ac:dyDescent="0.35">
      <c r="C2101" s="2" t="s">
        <v>2542</v>
      </c>
    </row>
    <row r="2102" spans="3:16" x14ac:dyDescent="0.35">
      <c r="D2102" t="s">
        <v>176</v>
      </c>
      <c r="E2102" t="s">
        <v>2675</v>
      </c>
      <c r="F2102" t="s">
        <v>2676</v>
      </c>
    </row>
    <row r="2103" spans="3:16" x14ac:dyDescent="0.35">
      <c r="E2103" t="s">
        <v>2677</v>
      </c>
      <c r="F2103" t="s">
        <v>2678</v>
      </c>
    </row>
    <row r="2104" spans="3:16" x14ac:dyDescent="0.35">
      <c r="E2104" t="s">
        <v>2679</v>
      </c>
      <c r="F2104" t="s">
        <v>2680</v>
      </c>
    </row>
    <row r="2105" spans="3:16" x14ac:dyDescent="0.35">
      <c r="E2105" s="37" t="s">
        <v>2681</v>
      </c>
      <c r="F2105" t="s">
        <v>2668</v>
      </c>
    </row>
    <row r="2106" spans="3:16" x14ac:dyDescent="0.35">
      <c r="E2106" s="37" t="s">
        <v>2682</v>
      </c>
      <c r="F2106">
        <v>1</v>
      </c>
      <c r="G2106" t="s">
        <v>2683</v>
      </c>
    </row>
    <row r="2107" spans="3:16" x14ac:dyDescent="0.35">
      <c r="E2107" s="38" t="s">
        <v>2618</v>
      </c>
      <c r="F2107">
        <f>INDEX(HIX_AgeAdjuster[],MATCH(F2105,HIX_AgeAdjuster[State Classification],0),MATCH(IF(F2106&lt;14,"0-14",IF(F2106&gt;63,"64 &amp; Older",TEXT(F2106,0))),HIX_AgeAdjuster[#Headers],0))</f>
        <v>0.76500000000000001</v>
      </c>
    </row>
    <row r="2110" spans="3:16" x14ac:dyDescent="0.35">
      <c r="E2110" s="64" t="s">
        <v>2629</v>
      </c>
      <c r="F2110" s="65" t="s">
        <v>2684</v>
      </c>
      <c r="G2110" s="65" t="s">
        <v>2685</v>
      </c>
      <c r="M2110" s="24" t="s">
        <v>2686</v>
      </c>
    </row>
    <row r="2111" spans="3:16" x14ac:dyDescent="0.35">
      <c r="E2111" s="66" t="s">
        <v>2668</v>
      </c>
      <c r="F2111" s="67">
        <v>1.024</v>
      </c>
      <c r="G2111" s="67">
        <v>1.786</v>
      </c>
      <c r="H2111">
        <f>G2111/F2111</f>
        <v>1.744140625</v>
      </c>
      <c r="I2111" t="s">
        <v>2687</v>
      </c>
      <c r="N2111" s="68">
        <v>27</v>
      </c>
      <c r="O2111" s="68">
        <v>50</v>
      </c>
    </row>
    <row r="2112" spans="3:16" x14ac:dyDescent="0.35">
      <c r="E2112" s="69" t="s">
        <v>229</v>
      </c>
      <c r="F2112" s="70">
        <v>1.024</v>
      </c>
      <c r="G2112" s="70">
        <v>1.786</v>
      </c>
      <c r="H2112">
        <f t="shared" ref="H2112:H2118" si="199">G2112/F2112</f>
        <v>1.744140625</v>
      </c>
      <c r="M2112" s="71" t="s">
        <v>2688</v>
      </c>
      <c r="N2112" s="72">
        <v>1.048</v>
      </c>
      <c r="O2112" s="72">
        <v>1.786</v>
      </c>
      <c r="P2112" s="24">
        <f t="shared" ref="P2112:P2117" si="200">O2112/N2112</f>
        <v>1.7041984732824427</v>
      </c>
    </row>
    <row r="2113" spans="4:16" x14ac:dyDescent="0.35">
      <c r="E2113" s="66" t="s">
        <v>2671</v>
      </c>
      <c r="F2113" s="67">
        <v>0.72699999999999998</v>
      </c>
      <c r="G2113" s="67">
        <v>1.431</v>
      </c>
      <c r="H2113">
        <f t="shared" si="199"/>
        <v>1.9683631361760661</v>
      </c>
      <c r="M2113" s="71" t="s">
        <v>2671</v>
      </c>
      <c r="N2113" s="72">
        <v>0.72699999999999998</v>
      </c>
      <c r="O2113" s="72">
        <v>1.431</v>
      </c>
      <c r="P2113" s="24">
        <f t="shared" si="200"/>
        <v>1.9683631361760661</v>
      </c>
    </row>
    <row r="2114" spans="4:16" x14ac:dyDescent="0.35">
      <c r="E2114" s="69" t="s">
        <v>2672</v>
      </c>
      <c r="F2114" s="70">
        <v>1.1830000000000001</v>
      </c>
      <c r="G2114" s="70">
        <v>1.7410000000000001</v>
      </c>
      <c r="H2114">
        <f t="shared" si="199"/>
        <v>1.4716821639898563</v>
      </c>
      <c r="M2114" s="71" t="s">
        <v>2672</v>
      </c>
      <c r="N2114" s="72">
        <v>1.22</v>
      </c>
      <c r="O2114" s="72">
        <v>1.7410000000000001</v>
      </c>
      <c r="P2114" s="24">
        <f t="shared" si="200"/>
        <v>1.4270491803278689</v>
      </c>
    </row>
    <row r="2115" spans="4:16" x14ac:dyDescent="0.35">
      <c r="E2115" s="66" t="s">
        <v>2673</v>
      </c>
      <c r="F2115" s="67">
        <v>1.024</v>
      </c>
      <c r="G2115" s="67">
        <v>1.786</v>
      </c>
      <c r="H2115">
        <f t="shared" si="199"/>
        <v>1.744140625</v>
      </c>
      <c r="M2115" s="71" t="s">
        <v>2673</v>
      </c>
      <c r="N2115" s="72">
        <v>1.048</v>
      </c>
      <c r="O2115" s="72">
        <v>1.786</v>
      </c>
      <c r="P2115" s="24">
        <f t="shared" si="200"/>
        <v>1.7041984732824427</v>
      </c>
    </row>
    <row r="2116" spans="4:16" x14ac:dyDescent="0.35">
      <c r="E2116" s="69" t="s">
        <v>1206</v>
      </c>
      <c r="F2116" s="70">
        <v>1.024</v>
      </c>
      <c r="G2116" s="70">
        <v>1.786</v>
      </c>
      <c r="H2116">
        <f t="shared" si="199"/>
        <v>1.744140625</v>
      </c>
      <c r="M2116" s="71" t="s">
        <v>2689</v>
      </c>
      <c r="N2116" s="73">
        <v>1.25</v>
      </c>
      <c r="O2116" s="72">
        <v>1.7410000000000001</v>
      </c>
      <c r="P2116" s="24">
        <f t="shared" si="200"/>
        <v>1.3928</v>
      </c>
    </row>
    <row r="2117" spans="4:16" x14ac:dyDescent="0.35">
      <c r="E2117" s="66" t="s">
        <v>1427</v>
      </c>
      <c r="F2117" s="67">
        <v>1.024</v>
      </c>
      <c r="G2117" s="67">
        <v>1.786</v>
      </c>
      <c r="H2117">
        <f t="shared" si="199"/>
        <v>1.744140625</v>
      </c>
      <c r="M2117" s="71" t="s">
        <v>2432</v>
      </c>
      <c r="N2117" s="72">
        <v>1.39</v>
      </c>
      <c r="O2117" s="72">
        <v>2.1269999999999998</v>
      </c>
      <c r="P2117" s="24">
        <f t="shared" si="200"/>
        <v>1.5302158273381294</v>
      </c>
    </row>
    <row r="2118" spans="4:16" x14ac:dyDescent="0.35">
      <c r="E2118" s="69" t="s">
        <v>2432</v>
      </c>
      <c r="F2118" s="70">
        <v>1.363</v>
      </c>
      <c r="G2118" s="70">
        <v>2.1269999999999998</v>
      </c>
      <c r="H2118">
        <f t="shared" si="199"/>
        <v>1.5605282465150403</v>
      </c>
    </row>
    <row r="2121" spans="4:16" x14ac:dyDescent="0.35">
      <c r="D2121" s="1" t="s">
        <v>2690</v>
      </c>
    </row>
    <row r="2122" spans="4:16" x14ac:dyDescent="0.35">
      <c r="D2122" s="43" t="s">
        <v>2690</v>
      </c>
    </row>
    <row r="2123" spans="4:16" x14ac:dyDescent="0.35">
      <c r="D2123" t="s">
        <v>2691</v>
      </c>
    </row>
    <row r="2124" spans="4:16" x14ac:dyDescent="0.35">
      <c r="D2124" t="s">
        <v>2692</v>
      </c>
    </row>
    <row r="2125" spans="4:16" x14ac:dyDescent="0.35">
      <c r="D2125" t="s">
        <v>2693</v>
      </c>
    </row>
    <row r="2126" spans="4:16" x14ac:dyDescent="0.35">
      <c r="D2126" s="1" t="s">
        <v>2694</v>
      </c>
    </row>
    <row r="2127" spans="4:16" x14ac:dyDescent="0.35">
      <c r="D2127" s="1" t="s">
        <v>2695</v>
      </c>
    </row>
    <row r="2128" spans="4:16" x14ac:dyDescent="0.35">
      <c r="D2128" t="s">
        <v>2696</v>
      </c>
    </row>
    <row r="2129" spans="4:4" x14ac:dyDescent="0.35">
      <c r="D2129" t="s">
        <v>2697</v>
      </c>
    </row>
    <row r="2130" spans="4:4" x14ac:dyDescent="0.35">
      <c r="D2130" t="s">
        <v>2698</v>
      </c>
    </row>
    <row r="2131" spans="4:4" x14ac:dyDescent="0.35">
      <c r="D2131" t="s">
        <v>2699</v>
      </c>
    </row>
  </sheetData>
  <phoneticPr fontId="15" type="noConversion"/>
  <hyperlinks>
    <hyperlink ref="G538" r:id="rId1" xr:uid="{560AA6F7-02A0-4320-BBAE-4470E4F136DA}"/>
    <hyperlink ref="G541" r:id="rId2" location="REV-PROC-2019-29" xr:uid="{6F9CF07F-E6F1-4761-BEDD-59607C207E64}"/>
    <hyperlink ref="D1772" r:id="rId3" xr:uid="{77ED094C-EBC2-41D9-8829-6ACB18839405}"/>
    <hyperlink ref="D2122" r:id="rId4" location="age" display="https://www.cms.gov/CCIIO/Programs-and-Initiatives/Health-Insurance-Market-Reforms/state-rating#age" xr:uid="{B9FFEAB7-2A9C-4133-866F-782A7A963938}"/>
  </hyperlinks>
  <pageMargins left="0.7" right="0.7" top="0.75" bottom="0.75" header="0.3" footer="0.3"/>
  <pageSetup orientation="portrait" r:id="rId5"/>
  <tableParts count="6">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278C-D3DE-48A4-9DD6-46427382B434}">
  <sheetPr codeName="Sheet1"/>
  <dimension ref="A1:BV2130"/>
  <sheetViews>
    <sheetView topLeftCell="Z2027" zoomScale="75" zoomScaleNormal="75" workbookViewId="0">
      <selection activeCell="D2031" sqref="D2031:AP2031"/>
    </sheetView>
  </sheetViews>
  <sheetFormatPr defaultRowHeight="14.5" x14ac:dyDescent="0.35"/>
  <cols>
    <col min="4" max="4" width="21" customWidth="1"/>
    <col min="5" max="5" width="26.1796875" customWidth="1"/>
    <col min="6" max="6" width="14.54296875" customWidth="1"/>
    <col min="7" max="7" width="25.81640625" customWidth="1"/>
    <col min="8" max="8" width="12.453125" customWidth="1"/>
    <col min="9" max="9" width="18.453125" customWidth="1"/>
    <col min="10" max="10" width="22.453125" customWidth="1"/>
    <col min="11" max="11" width="8.81640625" customWidth="1"/>
    <col min="12" max="12" width="13.54296875" customWidth="1"/>
    <col min="13" max="16" width="13.54296875" style="24" customWidth="1"/>
    <col min="17" max="18" width="13.54296875" customWidth="1"/>
    <col min="19" max="19" width="19.1796875" customWidth="1"/>
    <col min="20" max="20" width="12.54296875" customWidth="1"/>
    <col min="21" max="21" width="12.26953125" customWidth="1"/>
    <col min="22" max="23" width="13.54296875" customWidth="1"/>
    <col min="24" max="24" width="15.81640625" bestFit="1" customWidth="1"/>
    <col min="25" max="25" width="19.54296875" bestFit="1" customWidth="1"/>
    <col min="26" max="26" width="7" bestFit="1" customWidth="1"/>
    <col min="27" max="28" width="11.453125" bestFit="1" customWidth="1"/>
    <col min="34" max="35" width="9.453125" customWidth="1"/>
    <col min="36" max="37" width="9.54296875" customWidth="1"/>
    <col min="38" max="38" width="8.453125" customWidth="1"/>
    <col min="39" max="39" width="10.453125" customWidth="1"/>
    <col min="40" max="40" width="10.1796875" customWidth="1"/>
    <col min="41" max="43" width="9.54296875" customWidth="1"/>
    <col min="44" max="44" width="10.81640625" customWidth="1"/>
    <col min="45" max="46" width="9.453125" customWidth="1"/>
    <col min="48" max="48" width="9.453125" customWidth="1"/>
    <col min="49" max="49" width="13.453125" bestFit="1" customWidth="1"/>
    <col min="50" max="50" width="12.453125" customWidth="1"/>
    <col min="52" max="52" width="9.453125" customWidth="1"/>
    <col min="54" max="54" width="9.54296875" customWidth="1"/>
    <col min="56" max="56" width="9.7265625" customWidth="1"/>
    <col min="58" max="58" width="10.54296875" customWidth="1"/>
    <col min="59" max="59" width="10.81640625" customWidth="1"/>
  </cols>
  <sheetData>
    <row r="1" spans="2:4" x14ac:dyDescent="0.35">
      <c r="B1" s="1" t="s">
        <v>0</v>
      </c>
      <c r="C1" s="1" t="s">
        <v>1</v>
      </c>
    </row>
    <row r="3" spans="2:4" x14ac:dyDescent="0.35">
      <c r="C3" s="2" t="s">
        <v>2</v>
      </c>
    </row>
    <row r="4" spans="2:4" x14ac:dyDescent="0.35">
      <c r="D4" t="s">
        <v>3</v>
      </c>
    </row>
    <row r="5" spans="2:4" x14ac:dyDescent="0.35">
      <c r="D5" t="s">
        <v>4</v>
      </c>
    </row>
    <row r="6" spans="2:4" x14ac:dyDescent="0.35">
      <c r="D6" t="s">
        <v>5</v>
      </c>
    </row>
    <row r="7" spans="2:4" x14ac:dyDescent="0.35">
      <c r="D7" t="s">
        <v>6</v>
      </c>
    </row>
    <row r="8" spans="2:4" x14ac:dyDescent="0.35">
      <c r="D8" t="s">
        <v>7</v>
      </c>
    </row>
    <row r="10" spans="2:4" x14ac:dyDescent="0.35">
      <c r="D10" t="s">
        <v>8</v>
      </c>
    </row>
    <row r="11" spans="2:4" x14ac:dyDescent="0.35">
      <c r="D11" t="s">
        <v>9</v>
      </c>
    </row>
    <row r="12" spans="2:4" x14ac:dyDescent="0.35">
      <c r="D12" s="3" t="s">
        <v>10</v>
      </c>
    </row>
    <row r="13" spans="2:4" x14ac:dyDescent="0.35">
      <c r="D13" t="s">
        <v>11</v>
      </c>
    </row>
    <row r="14" spans="2:4" x14ac:dyDescent="0.35">
      <c r="D14" s="4" t="s">
        <v>12</v>
      </c>
    </row>
    <row r="15" spans="2:4" x14ac:dyDescent="0.35">
      <c r="D15" s="5" t="s">
        <v>13</v>
      </c>
    </row>
    <row r="16" spans="2:4" x14ac:dyDescent="0.35">
      <c r="D16" s="4" t="s">
        <v>14</v>
      </c>
    </row>
    <row r="17" spans="4:7" x14ac:dyDescent="0.35">
      <c r="D17" s="3" t="s">
        <v>15</v>
      </c>
    </row>
    <row r="18" spans="4:7" x14ac:dyDescent="0.35">
      <c r="D18" s="3" t="s">
        <v>16</v>
      </c>
    </row>
    <row r="19" spans="4:7" x14ac:dyDescent="0.35">
      <c r="D19" s="5" t="s">
        <v>17</v>
      </c>
    </row>
    <row r="20" spans="4:7" x14ac:dyDescent="0.35">
      <c r="D20" s="5" t="s">
        <v>18</v>
      </c>
    </row>
    <row r="21" spans="4:7" x14ac:dyDescent="0.35">
      <c r="D21" s="4" t="s">
        <v>19</v>
      </c>
    </row>
    <row r="22" spans="4:7" x14ac:dyDescent="0.35">
      <c r="D22" s="3" t="s">
        <v>20</v>
      </c>
    </row>
    <row r="23" spans="4:7" x14ac:dyDescent="0.35">
      <c r="D23" s="5" t="s">
        <v>21</v>
      </c>
    </row>
    <row r="24" spans="4:7" ht="15" thickBot="1" x14ac:dyDescent="0.4">
      <c r="D24" s="6" t="s">
        <v>22</v>
      </c>
    </row>
    <row r="25" spans="4:7" ht="58" thickBot="1" x14ac:dyDescent="0.4">
      <c r="D25" s="3"/>
      <c r="E25" s="7" t="s">
        <v>23</v>
      </c>
      <c r="F25" s="7" t="s">
        <v>24</v>
      </c>
      <c r="G25" s="7" t="s">
        <v>25</v>
      </c>
    </row>
    <row r="26" spans="4:7" ht="15" thickBot="1" x14ac:dyDescent="0.4">
      <c r="D26" s="3"/>
      <c r="E26" s="8" t="s">
        <v>26</v>
      </c>
      <c r="F26" s="9">
        <v>0.02</v>
      </c>
      <c r="G26" s="10">
        <v>0.02</v>
      </c>
    </row>
    <row r="27" spans="4:7" ht="15" thickBot="1" x14ac:dyDescent="0.4">
      <c r="D27" s="3"/>
      <c r="E27" s="11" t="s">
        <v>27</v>
      </c>
      <c r="F27" s="12">
        <v>0.03</v>
      </c>
      <c r="G27" s="13">
        <v>0.04</v>
      </c>
    </row>
    <row r="28" spans="4:7" ht="15" thickBot="1" x14ac:dyDescent="0.4">
      <c r="D28" s="3"/>
      <c r="E28" s="8" t="s">
        <v>28</v>
      </c>
      <c r="F28" s="9">
        <v>0.04</v>
      </c>
      <c r="G28" s="10">
        <v>6.3E-2</v>
      </c>
    </row>
    <row r="29" spans="4:7" ht="15" thickBot="1" x14ac:dyDescent="0.4">
      <c r="D29" s="3"/>
      <c r="E29" s="11" t="s">
        <v>29</v>
      </c>
      <c r="F29" s="12">
        <v>6.3E-2</v>
      </c>
      <c r="G29" s="13">
        <v>8.0500000000000002E-2</v>
      </c>
    </row>
    <row r="30" spans="4:7" ht="15" thickBot="1" x14ac:dyDescent="0.4">
      <c r="D30" s="3"/>
      <c r="E30" s="8" t="s">
        <v>30</v>
      </c>
      <c r="F30" s="9">
        <v>8.0500000000000002E-2</v>
      </c>
      <c r="G30" s="10">
        <v>9.5000000000000001E-2</v>
      </c>
    </row>
    <row r="31" spans="4:7" ht="15" thickBot="1" x14ac:dyDescent="0.4">
      <c r="D31" s="3"/>
      <c r="E31" s="11" t="s">
        <v>31</v>
      </c>
      <c r="F31" s="12">
        <v>9.5000000000000001E-2</v>
      </c>
      <c r="G31" s="14" t="s">
        <v>32</v>
      </c>
    </row>
    <row r="32" spans="4:7" x14ac:dyDescent="0.35">
      <c r="D32" s="3" t="s">
        <v>33</v>
      </c>
    </row>
    <row r="33" spans="3:4" x14ac:dyDescent="0.35">
      <c r="D33" s="15" t="s">
        <v>34</v>
      </c>
    </row>
    <row r="34" spans="3:4" x14ac:dyDescent="0.35">
      <c r="D34" s="6" t="s">
        <v>35</v>
      </c>
    </row>
    <row r="35" spans="3:4" x14ac:dyDescent="0.35">
      <c r="D35" s="3" t="s">
        <v>36</v>
      </c>
    </row>
    <row r="36" spans="3:4" x14ac:dyDescent="0.35">
      <c r="D36" s="6" t="s">
        <v>37</v>
      </c>
    </row>
    <row r="37" spans="3:4" x14ac:dyDescent="0.35">
      <c r="D37" s="3" t="s">
        <v>38</v>
      </c>
    </row>
    <row r="38" spans="3:4" x14ac:dyDescent="0.35">
      <c r="D38" s="6" t="s">
        <v>39</v>
      </c>
    </row>
    <row r="39" spans="3:4" x14ac:dyDescent="0.35">
      <c r="D39" s="4" t="s">
        <v>40</v>
      </c>
    </row>
    <row r="40" spans="3:4" x14ac:dyDescent="0.35">
      <c r="D40" s="3" t="s">
        <v>41</v>
      </c>
    </row>
    <row r="41" spans="3:4" x14ac:dyDescent="0.35">
      <c r="D41" s="3" t="s">
        <v>42</v>
      </c>
    </row>
    <row r="42" spans="3:4" x14ac:dyDescent="0.35">
      <c r="D42" s="5" t="s">
        <v>43</v>
      </c>
    </row>
    <row r="43" spans="3:4" x14ac:dyDescent="0.35">
      <c r="D43" s="16" t="s">
        <v>44</v>
      </c>
    </row>
    <row r="44" spans="3:4" x14ac:dyDescent="0.35">
      <c r="D44" s="16" t="s">
        <v>45</v>
      </c>
    </row>
    <row r="45" spans="3:4" x14ac:dyDescent="0.35">
      <c r="D45" s="3" t="s">
        <v>46</v>
      </c>
    </row>
    <row r="46" spans="3:4" x14ac:dyDescent="0.35">
      <c r="D46" s="16" t="s">
        <v>47</v>
      </c>
    </row>
    <row r="47" spans="3:4" x14ac:dyDescent="0.35">
      <c r="D47" s="17" t="s">
        <v>48</v>
      </c>
    </row>
    <row r="48" spans="3:4" x14ac:dyDescent="0.35">
      <c r="C48" s="2" t="s">
        <v>49</v>
      </c>
      <c r="D48" s="3"/>
    </row>
    <row r="49" spans="3:7" x14ac:dyDescent="0.35">
      <c r="C49" s="2"/>
      <c r="D49" s="18" t="s">
        <v>50</v>
      </c>
    </row>
    <row r="50" spans="3:7" x14ac:dyDescent="0.35">
      <c r="C50" s="2"/>
      <c r="D50" t="s">
        <v>51</v>
      </c>
    </row>
    <row r="51" spans="3:7" x14ac:dyDescent="0.35">
      <c r="C51" s="2"/>
      <c r="D51" s="18" t="s">
        <v>52</v>
      </c>
    </row>
    <row r="52" spans="3:7" x14ac:dyDescent="0.35">
      <c r="C52" s="2"/>
      <c r="D52" s="18" t="s">
        <v>53</v>
      </c>
    </row>
    <row r="53" spans="3:7" x14ac:dyDescent="0.35">
      <c r="C53" s="2"/>
      <c r="D53" s="18" t="s">
        <v>54</v>
      </c>
    </row>
    <row r="54" spans="3:7" x14ac:dyDescent="0.35">
      <c r="C54" s="2"/>
      <c r="D54" s="3"/>
    </row>
    <row r="55" spans="3:7" x14ac:dyDescent="0.35">
      <c r="C55" s="2"/>
      <c r="D55" s="19" t="s">
        <v>55</v>
      </c>
      <c r="F55" t="s">
        <v>56</v>
      </c>
      <c r="G55" t="s">
        <v>57</v>
      </c>
    </row>
    <row r="56" spans="3:7" x14ac:dyDescent="0.35">
      <c r="C56" s="2"/>
      <c r="D56" s="18" t="s">
        <v>58</v>
      </c>
      <c r="E56" t="s">
        <v>59</v>
      </c>
      <c r="F56">
        <v>3</v>
      </c>
      <c r="G56" t="s">
        <v>60</v>
      </c>
    </row>
    <row r="57" spans="3:7" x14ac:dyDescent="0.35">
      <c r="C57" s="2"/>
      <c r="D57" s="18" t="s">
        <v>61</v>
      </c>
      <c r="E57" t="s">
        <v>62</v>
      </c>
      <c r="F57" s="20">
        <v>50200</v>
      </c>
    </row>
    <row r="58" spans="3:7" x14ac:dyDescent="0.35">
      <c r="C58" s="2"/>
      <c r="D58" s="3" t="s">
        <v>63</v>
      </c>
      <c r="E58" t="s">
        <v>64</v>
      </c>
      <c r="F58" s="20">
        <v>0</v>
      </c>
      <c r="G58" t="s">
        <v>65</v>
      </c>
    </row>
    <row r="59" spans="3:7" x14ac:dyDescent="0.35">
      <c r="C59" s="2"/>
      <c r="D59" s="18" t="s">
        <v>66</v>
      </c>
      <c r="E59" t="s">
        <v>67</v>
      </c>
      <c r="F59" s="20">
        <f>SUM(F57:F58)</f>
        <v>50200</v>
      </c>
    </row>
    <row r="60" spans="3:7" x14ac:dyDescent="0.35">
      <c r="C60" s="2"/>
      <c r="D60" s="18" t="s">
        <v>68</v>
      </c>
      <c r="E60" t="s">
        <v>69</v>
      </c>
      <c r="F60" s="20">
        <v>25100</v>
      </c>
      <c r="G60" s="1" t="s">
        <v>70</v>
      </c>
    </row>
    <row r="61" spans="3:7" x14ac:dyDescent="0.35">
      <c r="C61" s="2"/>
      <c r="D61" s="18" t="s">
        <v>71</v>
      </c>
      <c r="E61" t="s">
        <v>72</v>
      </c>
      <c r="F61" s="21">
        <f>F59/F60</f>
        <v>2</v>
      </c>
    </row>
    <row r="62" spans="3:7" x14ac:dyDescent="0.35">
      <c r="C62" s="2"/>
      <c r="D62" s="18" t="s">
        <v>73</v>
      </c>
      <c r="E62" t="s">
        <v>74</v>
      </c>
      <c r="F62" s="21"/>
      <c r="G62" t="s">
        <v>75</v>
      </c>
    </row>
    <row r="63" spans="3:7" x14ac:dyDescent="0.35">
      <c r="C63" s="2"/>
      <c r="D63" s="18" t="s">
        <v>76</v>
      </c>
      <c r="F63" s="21"/>
    </row>
    <row r="64" spans="3:7" x14ac:dyDescent="0.35">
      <c r="C64" s="2"/>
      <c r="D64" s="22" t="s">
        <v>77</v>
      </c>
      <c r="F64" s="21"/>
    </row>
    <row r="65" spans="3:7" x14ac:dyDescent="0.35">
      <c r="C65" s="2"/>
      <c r="D65" s="4" t="s">
        <v>78</v>
      </c>
      <c r="F65" s="21"/>
    </row>
    <row r="66" spans="3:7" x14ac:dyDescent="0.35">
      <c r="C66" s="2"/>
      <c r="D66" s="4" t="s">
        <v>79</v>
      </c>
      <c r="F66" s="21"/>
    </row>
    <row r="67" spans="3:7" x14ac:dyDescent="0.35">
      <c r="C67" s="2"/>
      <c r="D67" s="4" t="s">
        <v>80</v>
      </c>
      <c r="F67" s="21"/>
    </row>
    <row r="68" spans="3:7" x14ac:dyDescent="0.35">
      <c r="C68" s="2"/>
      <c r="D68" s="4" t="s">
        <v>81</v>
      </c>
      <c r="F68" s="21"/>
    </row>
    <row r="69" spans="3:7" x14ac:dyDescent="0.35">
      <c r="C69" s="2"/>
      <c r="D69" s="4" t="s">
        <v>82</v>
      </c>
      <c r="F69" s="21"/>
    </row>
    <row r="70" spans="3:7" x14ac:dyDescent="0.35">
      <c r="C70" s="2"/>
      <c r="D70" s="4" t="s">
        <v>83</v>
      </c>
      <c r="F70" s="21"/>
    </row>
    <row r="71" spans="3:7" x14ac:dyDescent="0.35">
      <c r="C71" s="2"/>
      <c r="D71" s="18" t="s">
        <v>84</v>
      </c>
      <c r="E71" t="s">
        <v>85</v>
      </c>
      <c r="F71" s="23">
        <v>6.54E-2</v>
      </c>
      <c r="G71" t="s">
        <v>86</v>
      </c>
    </row>
    <row r="72" spans="3:7" x14ac:dyDescent="0.35">
      <c r="C72" s="2"/>
      <c r="D72" s="18" t="s">
        <v>87</v>
      </c>
    </row>
    <row r="73" spans="3:7" x14ac:dyDescent="0.35">
      <c r="C73" s="2"/>
      <c r="D73" s="4" t="s">
        <v>88</v>
      </c>
      <c r="E73" t="s">
        <v>89</v>
      </c>
      <c r="F73" s="20">
        <f>ROUND(F71*F59,0)</f>
        <v>3283</v>
      </c>
      <c r="G73" t="s">
        <v>90</v>
      </c>
    </row>
    <row r="74" spans="3:7" x14ac:dyDescent="0.35">
      <c r="C74" s="2"/>
      <c r="D74" s="4" t="s">
        <v>91</v>
      </c>
      <c r="E74" t="s">
        <v>92</v>
      </c>
      <c r="F74" s="20">
        <f>ROUND(F73/12,0)</f>
        <v>274</v>
      </c>
      <c r="G74" t="s">
        <v>93</v>
      </c>
    </row>
    <row r="75" spans="3:7" x14ac:dyDescent="0.35">
      <c r="C75" s="2"/>
      <c r="D75" s="18" t="s">
        <v>94</v>
      </c>
      <c r="E75" t="s">
        <v>95</v>
      </c>
    </row>
    <row r="76" spans="3:7" x14ac:dyDescent="0.35">
      <c r="C76" s="2"/>
      <c r="D76" s="18" t="s">
        <v>96</v>
      </c>
      <c r="E76" t="s">
        <v>97</v>
      </c>
    </row>
    <row r="77" spans="3:7" x14ac:dyDescent="0.35">
      <c r="C77" s="2"/>
      <c r="D77" s="22" t="s">
        <v>98</v>
      </c>
    </row>
    <row r="78" spans="3:7" x14ac:dyDescent="0.35">
      <c r="C78" s="2"/>
      <c r="D78" s="4" t="s">
        <v>99</v>
      </c>
    </row>
    <row r="79" spans="3:7" x14ac:dyDescent="0.35">
      <c r="C79" s="2"/>
      <c r="D79" s="4" t="s">
        <v>100</v>
      </c>
    </row>
    <row r="80" spans="3:7" x14ac:dyDescent="0.35">
      <c r="C80" s="2"/>
      <c r="D80" s="4" t="s">
        <v>101</v>
      </c>
    </row>
    <row r="81" spans="3:7" x14ac:dyDescent="0.35">
      <c r="C81" s="2"/>
      <c r="D81" s="4" t="s">
        <v>102</v>
      </c>
    </row>
    <row r="82" spans="3:7" x14ac:dyDescent="0.35">
      <c r="C82" s="2"/>
      <c r="D82" s="18" t="s">
        <v>103</v>
      </c>
    </row>
    <row r="83" spans="3:7" x14ac:dyDescent="0.35">
      <c r="C83" s="2"/>
      <c r="D83" s="18" t="s">
        <v>104</v>
      </c>
      <c r="E83" t="s">
        <v>105</v>
      </c>
      <c r="F83" s="20">
        <f>1500*12</f>
        <v>18000</v>
      </c>
    </row>
    <row r="84" spans="3:7" x14ac:dyDescent="0.35">
      <c r="C84" s="2"/>
      <c r="D84" s="18" t="s">
        <v>106</v>
      </c>
      <c r="E84" t="s">
        <v>107</v>
      </c>
      <c r="F84" s="20">
        <f>1266*12</f>
        <v>15192</v>
      </c>
      <c r="G84" t="s">
        <v>108</v>
      </c>
    </row>
    <row r="85" spans="3:7" x14ac:dyDescent="0.35">
      <c r="C85" s="2"/>
      <c r="D85" s="18" t="s">
        <v>109</v>
      </c>
      <c r="E85" t="s">
        <v>110</v>
      </c>
      <c r="F85" s="20">
        <f>F73</f>
        <v>3283</v>
      </c>
      <c r="G85" t="s">
        <v>111</v>
      </c>
    </row>
    <row r="86" spans="3:7" x14ac:dyDescent="0.35">
      <c r="C86" s="2"/>
      <c r="D86" s="18" t="s">
        <v>112</v>
      </c>
      <c r="E86" t="s">
        <v>113</v>
      </c>
      <c r="F86" s="20">
        <f>F84-F85</f>
        <v>11909</v>
      </c>
      <c r="G86" t="s">
        <v>114</v>
      </c>
    </row>
    <row r="87" spans="3:7" x14ac:dyDescent="0.35">
      <c r="D87" s="18" t="s">
        <v>115</v>
      </c>
      <c r="E87" t="s">
        <v>116</v>
      </c>
      <c r="F87" s="20">
        <f>MIN(F86,F83)</f>
        <v>11909</v>
      </c>
      <c r="G87" t="s">
        <v>117</v>
      </c>
    </row>
    <row r="88" spans="3:7" x14ac:dyDescent="0.35">
      <c r="D88" s="18" t="s">
        <v>118</v>
      </c>
      <c r="E88" t="s">
        <v>119</v>
      </c>
      <c r="F88" s="20">
        <f>794*12</f>
        <v>9528</v>
      </c>
    </row>
    <row r="89" spans="3:7" x14ac:dyDescent="0.35">
      <c r="D89" s="18" t="s">
        <v>120</v>
      </c>
    </row>
    <row r="90" spans="3:7" x14ac:dyDescent="0.35">
      <c r="D90" s="18" t="s">
        <v>121</v>
      </c>
      <c r="E90" t="s">
        <v>122</v>
      </c>
      <c r="F90" s="20">
        <f>F87</f>
        <v>11909</v>
      </c>
      <c r="G90" t="s">
        <v>123</v>
      </c>
    </row>
    <row r="91" spans="3:7" x14ac:dyDescent="0.35">
      <c r="D91" s="18" t="s">
        <v>124</v>
      </c>
      <c r="E91" t="s">
        <v>125</v>
      </c>
      <c r="F91" s="20">
        <f>F88</f>
        <v>9528</v>
      </c>
      <c r="G91" t="s">
        <v>126</v>
      </c>
    </row>
    <row r="92" spans="3:7" x14ac:dyDescent="0.35">
      <c r="D92" s="18" t="s">
        <v>127</v>
      </c>
      <c r="F92" s="20">
        <f>F90-F91</f>
        <v>2381</v>
      </c>
      <c r="G92" t="s">
        <v>128</v>
      </c>
    </row>
    <row r="94" spans="3:7" x14ac:dyDescent="0.35">
      <c r="D94" s="19" t="s">
        <v>129</v>
      </c>
    </row>
    <row r="95" spans="3:7" x14ac:dyDescent="0.35">
      <c r="D95" s="18" t="s">
        <v>130</v>
      </c>
    </row>
    <row r="96" spans="3:7" x14ac:dyDescent="0.35">
      <c r="D96" s="18" t="s">
        <v>131</v>
      </c>
    </row>
    <row r="97" spans="3:18" x14ac:dyDescent="0.35">
      <c r="D97" t="s">
        <v>132</v>
      </c>
    </row>
    <row r="98" spans="3:18" x14ac:dyDescent="0.35">
      <c r="D98" t="s">
        <v>133</v>
      </c>
    </row>
    <row r="99" spans="3:18" x14ac:dyDescent="0.35">
      <c r="D99" t="s">
        <v>134</v>
      </c>
    </row>
    <row r="100" spans="3:18" x14ac:dyDescent="0.35">
      <c r="D100" t="s">
        <v>135</v>
      </c>
    </row>
    <row r="102" spans="3:18" x14ac:dyDescent="0.35">
      <c r="D102" s="1" t="s">
        <v>136</v>
      </c>
    </row>
    <row r="104" spans="3:18" x14ac:dyDescent="0.35">
      <c r="D104" t="s">
        <v>137</v>
      </c>
    </row>
    <row r="106" spans="3:18" x14ac:dyDescent="0.35">
      <c r="D106" s="1" t="s">
        <v>138</v>
      </c>
    </row>
    <row r="107" spans="3:18" x14ac:dyDescent="0.35">
      <c r="D107" t="s">
        <v>139</v>
      </c>
    </row>
    <row r="108" spans="3:18" x14ac:dyDescent="0.35">
      <c r="D108" t="s">
        <v>140</v>
      </c>
    </row>
    <row r="110" spans="3:18" x14ac:dyDescent="0.35">
      <c r="D110" t="s">
        <v>141</v>
      </c>
    </row>
    <row r="112" spans="3:18" x14ac:dyDescent="0.35">
      <c r="C112" s="2" t="s">
        <v>142</v>
      </c>
      <c r="L112" s="2" t="s">
        <v>143</v>
      </c>
      <c r="O112" s="25"/>
      <c r="P112" s="25"/>
      <c r="Q112" s="2"/>
      <c r="R112" s="2" t="s">
        <v>144</v>
      </c>
    </row>
    <row r="113" spans="4:22" ht="29" x14ac:dyDescent="0.35">
      <c r="D113" s="26" t="s">
        <v>145</v>
      </c>
      <c r="E113" s="26" t="s">
        <v>146</v>
      </c>
      <c r="F113" s="27" t="s">
        <v>147</v>
      </c>
      <c r="G113" s="28" t="s">
        <v>148</v>
      </c>
      <c r="H113" s="28" t="s">
        <v>149</v>
      </c>
      <c r="I113" s="28" t="s">
        <v>150</v>
      </c>
      <c r="J113" s="26" t="s">
        <v>151</v>
      </c>
      <c r="L113" s="26" t="s">
        <v>152</v>
      </c>
      <c r="M113" s="29" t="s">
        <v>153</v>
      </c>
      <c r="N113" s="29" t="s">
        <v>154</v>
      </c>
      <c r="O113" s="29" t="s">
        <v>155</v>
      </c>
      <c r="P113" s="29" t="s">
        <v>156</v>
      </c>
      <c r="Q113" s="26" t="s">
        <v>2701</v>
      </c>
      <c r="S113" s="23" t="s">
        <v>148</v>
      </c>
      <c r="T113" s="23" t="s">
        <v>149</v>
      </c>
      <c r="U113" s="23" t="s">
        <v>157</v>
      </c>
      <c r="V113" s="23" t="s">
        <v>158</v>
      </c>
    </row>
    <row r="114" spans="4:22" x14ac:dyDescent="0.35">
      <c r="D114" s="23" t="s">
        <v>159</v>
      </c>
      <c r="E114" s="23" t="s">
        <v>160</v>
      </c>
      <c r="F114" s="23" t="s">
        <v>161</v>
      </c>
      <c r="G114" s="23">
        <v>2018</v>
      </c>
      <c r="H114" s="30" t="s">
        <v>162</v>
      </c>
      <c r="I114" s="30">
        <v>0</v>
      </c>
      <c r="J114" s="31">
        <v>0</v>
      </c>
      <c r="L114" s="32">
        <v>0</v>
      </c>
      <c r="M114" s="33">
        <v>0</v>
      </c>
      <c r="N114" s="33">
        <v>0</v>
      </c>
      <c r="O114" s="33">
        <v>0</v>
      </c>
      <c r="P114" s="33">
        <v>0</v>
      </c>
      <c r="Q114" s="74">
        <v>0</v>
      </c>
      <c r="S114" s="23">
        <v>2019</v>
      </c>
      <c r="T114" s="23" t="s">
        <v>163</v>
      </c>
      <c r="U114" s="30">
        <f>_xlfn.MAXIFS(HIX_ApplicablePercentages10[Threshold],HIX_ApplicablePercentages10[Year],HIX_PTC_MAGI_Max13[[#This Row],[Year]],HIX_ApplicablePercentages10[Premium Percentage Group],"Final")</f>
        <v>4</v>
      </c>
      <c r="V114" s="34" cm="1">
        <f t="array" ref="V114">INDEX(PTC_ApplicablePercentage12[],MATCH(HIX_PTC_MAGI_Max13[[#This Row],[MAGI Max]],PTC_ApplicablePercentage12[MAGI FPIG Range],0),MATCH(HIX_PTC_MAGI_Max13[[#This Row],[Year]],VALUE(PTC_ApplicablePercentage12[#Headers])))</f>
        <v>9.8599999999999993E-2</v>
      </c>
    </row>
    <row r="115" spans="4:22" x14ac:dyDescent="0.35">
      <c r="D115" s="23" t="s">
        <v>159</v>
      </c>
      <c r="E115" s="23" t="s">
        <v>164</v>
      </c>
      <c r="F115" s="23" t="s">
        <v>165</v>
      </c>
      <c r="G115" s="23">
        <v>2018</v>
      </c>
      <c r="H115" s="30" t="s">
        <v>162</v>
      </c>
      <c r="I115" s="30">
        <v>1</v>
      </c>
      <c r="J115" s="31">
        <v>2.01E-2</v>
      </c>
      <c r="L115" s="32">
        <v>0.01</v>
      </c>
      <c r="M115" s="33">
        <v>0</v>
      </c>
      <c r="N115" s="33">
        <v>0</v>
      </c>
      <c r="O115" s="33">
        <v>0</v>
      </c>
      <c r="P115" s="33">
        <v>0</v>
      </c>
      <c r="Q115" s="74">
        <v>1E-4</v>
      </c>
      <c r="S115" s="23">
        <v>2020</v>
      </c>
      <c r="T115" s="23" t="s">
        <v>163</v>
      </c>
      <c r="U115" s="30">
        <f t="array" ref="U115">_xlfn.MAXIFS(HIX_ApplicablePercentages10[Threshold],HIX_ApplicablePercentages10[Year],HIX_PTC_MAGI_Max13[[#This Row],[Year]],HIX_ApplicablePercentages10[Premium Percentage Group],"Final")</f>
        <v>4</v>
      </c>
      <c r="V115" s="34" cm="1">
        <f t="array" ref="V115">INDEX(PTC_ApplicablePercentage12[],MATCH(HIX_PTC_MAGI_Max13[[#This Row],[MAGI Max]],PTC_ApplicablePercentage12[MAGI FPIG Range],0),MATCH(HIX_PTC_MAGI_Max13[[#This Row],[Year]],VALUE(PTC_ApplicablePercentage12[#Headers])))</f>
        <v>9.7799999999999998E-2</v>
      </c>
    </row>
    <row r="116" spans="4:22" x14ac:dyDescent="0.35">
      <c r="D116" s="23" t="s">
        <v>159</v>
      </c>
      <c r="E116" s="23" t="s">
        <v>27</v>
      </c>
      <c r="F116" s="23" t="s">
        <v>166</v>
      </c>
      <c r="G116" s="23">
        <v>2018</v>
      </c>
      <c r="H116" s="30" t="s">
        <v>162</v>
      </c>
      <c r="I116" s="30">
        <v>1.33</v>
      </c>
      <c r="J116" s="31">
        <v>3.0200000000000001E-2</v>
      </c>
      <c r="L116" s="32">
        <v>0.02</v>
      </c>
      <c r="M116" s="33">
        <v>0</v>
      </c>
      <c r="N116" s="33">
        <v>0</v>
      </c>
      <c r="O116" s="33">
        <v>0</v>
      </c>
      <c r="P116" s="33">
        <v>0</v>
      </c>
      <c r="Q116" s="74">
        <v>2.9999999999999997E-4</v>
      </c>
      <c r="S116" s="23">
        <v>2021</v>
      </c>
      <c r="T116" s="23" t="s">
        <v>167</v>
      </c>
      <c r="U116" s="30">
        <f t="array" ref="U116">_xlfn.MAXIFS(HIX_ApplicablePercentages10[Threshold],HIX_ApplicablePercentages10[Year],HIX_PTC_MAGI_Max13[[#This Row],[Year]],HIX_ApplicablePercentages10[Premium Percentage Group],"Final")</f>
        <v>4</v>
      </c>
      <c r="V116" s="34" cm="1">
        <f t="array" ref="V116">INDEX(PTC_ApplicablePercentage12[],MATCH(HIX_PTC_MAGI_Max13[[#This Row],[MAGI Max]],PTC_ApplicablePercentage12[MAGI FPIG Range],0),MATCH(HIX_PTC_MAGI_Max13[[#This Row],[Year]],VALUE(PTC_ApplicablePercentage12[#Headers])))</f>
        <v>8.5000000000000006E-2</v>
      </c>
    </row>
    <row r="117" spans="4:22" x14ac:dyDescent="0.35">
      <c r="D117" s="23" t="s">
        <v>159</v>
      </c>
      <c r="E117" s="23" t="s">
        <v>28</v>
      </c>
      <c r="F117" s="23" t="s">
        <v>168</v>
      </c>
      <c r="G117" s="23">
        <v>2018</v>
      </c>
      <c r="H117" s="30" t="s">
        <v>162</v>
      </c>
      <c r="I117" s="30">
        <v>1.5</v>
      </c>
      <c r="J117" s="31">
        <v>4.0300000000000002E-2</v>
      </c>
      <c r="L117" s="32">
        <v>0.03</v>
      </c>
      <c r="M117" s="33">
        <v>0</v>
      </c>
      <c r="N117" s="33">
        <v>0</v>
      </c>
      <c r="O117" s="33">
        <v>0</v>
      </c>
      <c r="P117" s="33">
        <v>0</v>
      </c>
      <c r="Q117" s="74">
        <v>4.0000000000000002E-4</v>
      </c>
      <c r="S117" s="23">
        <v>2022</v>
      </c>
      <c r="T117" s="23" t="s">
        <v>167</v>
      </c>
      <c r="U117" s="30">
        <f t="array" ref="U117">_xlfn.MAXIFS(HIX_ApplicablePercentages10[Threshold],HIX_ApplicablePercentages10[Year],HIX_PTC_MAGI_Max13[[#This Row],[Year]],HIX_ApplicablePercentages10[Premium Percentage Group],"Final")</f>
        <v>4</v>
      </c>
      <c r="V117" s="34" cm="1">
        <f t="array" ref="V117">INDEX(PTC_ApplicablePercentage12[],MATCH(HIX_PTC_MAGI_Max13[[#This Row],[MAGI Max]],PTC_ApplicablePercentage12[MAGI FPIG Range],0),MATCH(HIX_PTC_MAGI_Max13[[#This Row],[Year]],VALUE(PTC_ApplicablePercentage12[#Headers])))</f>
        <v>8.5000000000000006E-2</v>
      </c>
    </row>
    <row r="118" spans="4:22" x14ac:dyDescent="0.35">
      <c r="D118" s="23" t="s">
        <v>159</v>
      </c>
      <c r="E118" s="23" t="s">
        <v>29</v>
      </c>
      <c r="F118" s="23" t="s">
        <v>169</v>
      </c>
      <c r="G118" s="23">
        <v>2018</v>
      </c>
      <c r="H118" s="30" t="s">
        <v>162</v>
      </c>
      <c r="I118" s="30">
        <v>2</v>
      </c>
      <c r="J118" s="31">
        <v>6.3399999999999998E-2</v>
      </c>
      <c r="L118" s="32">
        <v>0.04</v>
      </c>
      <c r="M118" s="33">
        <v>0</v>
      </c>
      <c r="N118" s="33">
        <v>0</v>
      </c>
      <c r="O118" s="33">
        <v>0</v>
      </c>
      <c r="P118" s="33">
        <v>0</v>
      </c>
      <c r="Q118" s="74">
        <v>5.9999999999999995E-4</v>
      </c>
      <c r="S118" s="23">
        <v>2023</v>
      </c>
      <c r="T118" s="23" t="str">
        <f t="array" ref="T118">INDEX(HIX_ApplicablePercentages10[Comment],MATCH(_xlfn.MAXIFS(HIX_ApplicablePercentages10[Threshold],HIX_ApplicablePercentages10[Year],HIX_PTC_MAGI_Max13[[#This Row],[Year]],HIX_ApplicablePercentages10[Premium Percentage Group],"Final"),HIX_ApplicablePercentages10[Threshold],0))</f>
        <v>Equal to or Less Than</v>
      </c>
      <c r="U118" s="30">
        <f t="array" ref="U118">_xlfn.MAXIFS(HIX_ApplicablePercentages10[Threshold],HIX_ApplicablePercentages10[Year],HIX_PTC_MAGI_Max13[[#This Row],[Year]],HIX_ApplicablePercentages10[Premium Percentage Group],"Final")</f>
        <v>4</v>
      </c>
      <c r="V118" s="34">
        <f t="array" ref="V118">INDEX(PTC_ApplicablePercentage12[],MATCH(HIX_PTC_MAGI_Max13[[#This Row],[MAGI Max]],PTC_ApplicablePercentage12[MAGI FPIG Range],0),MATCH(HIX_PTC_MAGI_Max13[[#This Row],[Year]],VALUE(PTC_ApplicablePercentage12[#Headers])))</f>
        <v>9.1200000000000003E-2</v>
      </c>
    </row>
    <row r="119" spans="4:22" x14ac:dyDescent="0.35">
      <c r="D119" s="23" t="s">
        <v>159</v>
      </c>
      <c r="E119" s="23" t="s">
        <v>30</v>
      </c>
      <c r="F119" s="23" t="s">
        <v>170</v>
      </c>
      <c r="G119" s="23">
        <v>2018</v>
      </c>
      <c r="H119" s="30" t="s">
        <v>162</v>
      </c>
      <c r="I119" s="30">
        <v>2.5</v>
      </c>
      <c r="J119" s="31">
        <v>8.1000000000000003E-2</v>
      </c>
      <c r="L119" s="32">
        <v>0.05</v>
      </c>
      <c r="M119" s="33">
        <v>0</v>
      </c>
      <c r="N119" s="33">
        <v>0</v>
      </c>
      <c r="O119" s="33">
        <v>0</v>
      </c>
      <c r="P119" s="33">
        <v>0</v>
      </c>
      <c r="Q119" s="74">
        <v>6.9999999999999999E-4</v>
      </c>
    </row>
    <row r="120" spans="4:22" x14ac:dyDescent="0.35">
      <c r="D120" s="23" t="s">
        <v>159</v>
      </c>
      <c r="E120" s="23" t="s">
        <v>31</v>
      </c>
      <c r="F120" s="23" t="s">
        <v>171</v>
      </c>
      <c r="G120" s="23">
        <v>2018</v>
      </c>
      <c r="H120" s="30" t="s">
        <v>162</v>
      </c>
      <c r="I120" s="30">
        <v>3</v>
      </c>
      <c r="J120" s="31">
        <v>9.5600000000000004E-2</v>
      </c>
      <c r="L120" s="32">
        <v>0.06</v>
      </c>
      <c r="M120" s="33">
        <v>0</v>
      </c>
      <c r="N120" s="33">
        <v>0</v>
      </c>
      <c r="O120" s="33">
        <v>0</v>
      </c>
      <c r="P120" s="33">
        <v>0</v>
      </c>
      <c r="Q120" s="74">
        <v>8.9999999999999998E-4</v>
      </c>
    </row>
    <row r="121" spans="4:22" x14ac:dyDescent="0.35">
      <c r="D121" s="23" t="s">
        <v>172</v>
      </c>
      <c r="E121" s="23" t="s">
        <v>160</v>
      </c>
      <c r="F121" s="23" t="s">
        <v>161</v>
      </c>
      <c r="G121" s="23">
        <v>2018</v>
      </c>
      <c r="H121" s="30" t="s">
        <v>173</v>
      </c>
      <c r="I121" s="30">
        <v>1</v>
      </c>
      <c r="J121" s="31">
        <v>0</v>
      </c>
      <c r="L121" s="32">
        <v>7.0000000000000007E-2</v>
      </c>
      <c r="M121" s="33">
        <v>0</v>
      </c>
      <c r="N121" s="33">
        <v>0</v>
      </c>
      <c r="O121" s="33">
        <v>0</v>
      </c>
      <c r="P121" s="33">
        <v>0</v>
      </c>
      <c r="Q121" s="74">
        <v>1E-3</v>
      </c>
    </row>
    <row r="122" spans="4:22" x14ac:dyDescent="0.35">
      <c r="D122" s="23" t="s">
        <v>172</v>
      </c>
      <c r="E122" s="23" t="s">
        <v>164</v>
      </c>
      <c r="F122" s="23" t="s">
        <v>165</v>
      </c>
      <c r="G122" s="23">
        <v>2018</v>
      </c>
      <c r="H122" s="30" t="s">
        <v>173</v>
      </c>
      <c r="I122" s="30">
        <v>1.33</v>
      </c>
      <c r="J122" s="31">
        <v>2.01E-2</v>
      </c>
      <c r="L122" s="32">
        <v>0.08</v>
      </c>
      <c r="M122" s="33">
        <v>0</v>
      </c>
      <c r="N122" s="33">
        <v>0</v>
      </c>
      <c r="O122" s="33">
        <v>0</v>
      </c>
      <c r="P122" s="33">
        <v>0</v>
      </c>
      <c r="Q122" s="74">
        <v>1.1999999999999999E-3</v>
      </c>
    </row>
    <row r="123" spans="4:22" x14ac:dyDescent="0.35">
      <c r="D123" s="23" t="s">
        <v>172</v>
      </c>
      <c r="E123" s="23" t="s">
        <v>27</v>
      </c>
      <c r="F123" s="23" t="s">
        <v>166</v>
      </c>
      <c r="G123" s="23">
        <v>2018</v>
      </c>
      <c r="H123" s="30" t="s">
        <v>173</v>
      </c>
      <c r="I123" s="30">
        <v>1.5</v>
      </c>
      <c r="J123" s="31">
        <v>4.0300000000000002E-2</v>
      </c>
      <c r="L123" s="32">
        <v>0.09</v>
      </c>
      <c r="M123" s="33">
        <v>0</v>
      </c>
      <c r="N123" s="33">
        <v>0</v>
      </c>
      <c r="O123" s="33">
        <v>0</v>
      </c>
      <c r="P123" s="33">
        <v>0</v>
      </c>
      <c r="Q123" s="74">
        <v>1.2999999999999999E-3</v>
      </c>
    </row>
    <row r="124" spans="4:22" x14ac:dyDescent="0.35">
      <c r="D124" s="23" t="s">
        <v>172</v>
      </c>
      <c r="E124" s="23" t="s">
        <v>28</v>
      </c>
      <c r="F124" s="23" t="s">
        <v>168</v>
      </c>
      <c r="G124" s="23">
        <v>2018</v>
      </c>
      <c r="H124" s="30" t="s">
        <v>173</v>
      </c>
      <c r="I124" s="30">
        <v>0.09</v>
      </c>
      <c r="J124" s="31">
        <v>6.3399999999999998E-2</v>
      </c>
      <c r="L124" s="32">
        <v>0.1</v>
      </c>
      <c r="M124" s="33">
        <v>0</v>
      </c>
      <c r="N124" s="33">
        <v>0</v>
      </c>
      <c r="O124" s="33">
        <v>0</v>
      </c>
      <c r="P124" s="33">
        <v>0</v>
      </c>
      <c r="Q124" s="74">
        <v>1.4E-3</v>
      </c>
    </row>
    <row r="125" spans="4:22" x14ac:dyDescent="0.35">
      <c r="D125" s="23" t="s">
        <v>172</v>
      </c>
      <c r="E125" s="23" t="s">
        <v>29</v>
      </c>
      <c r="F125" s="23" t="s">
        <v>169</v>
      </c>
      <c r="G125" s="23">
        <v>2018</v>
      </c>
      <c r="H125" s="30" t="s">
        <v>173</v>
      </c>
      <c r="I125" s="30">
        <v>2.5</v>
      </c>
      <c r="J125" s="31">
        <v>8.1000000000000003E-2</v>
      </c>
      <c r="L125" s="32">
        <v>0.11</v>
      </c>
      <c r="M125" s="33">
        <v>0</v>
      </c>
      <c r="N125" s="33">
        <v>0</v>
      </c>
      <c r="O125" s="33">
        <v>0</v>
      </c>
      <c r="P125" s="33">
        <v>0</v>
      </c>
      <c r="Q125" s="74">
        <v>1.6000000000000001E-3</v>
      </c>
    </row>
    <row r="126" spans="4:22" x14ac:dyDescent="0.35">
      <c r="D126" s="23" t="s">
        <v>172</v>
      </c>
      <c r="E126" s="30" t="s">
        <v>30</v>
      </c>
      <c r="F126" s="30" t="s">
        <v>170</v>
      </c>
      <c r="G126" s="23">
        <v>2018</v>
      </c>
      <c r="H126" s="30" t="s">
        <v>173</v>
      </c>
      <c r="I126" s="30">
        <v>3</v>
      </c>
      <c r="J126" s="31">
        <v>9.5600000000000004E-2</v>
      </c>
      <c r="L126" s="32">
        <v>0.12</v>
      </c>
      <c r="M126" s="33">
        <v>0</v>
      </c>
      <c r="N126" s="33">
        <v>0</v>
      </c>
      <c r="O126" s="33">
        <v>0</v>
      </c>
      <c r="P126" s="33">
        <v>0</v>
      </c>
      <c r="Q126" s="74">
        <v>1.6999999999999999E-3</v>
      </c>
    </row>
    <row r="127" spans="4:22" x14ac:dyDescent="0.35">
      <c r="D127" s="23" t="s">
        <v>172</v>
      </c>
      <c r="E127" s="30" t="s">
        <v>31</v>
      </c>
      <c r="F127" s="30" t="s">
        <v>171</v>
      </c>
      <c r="G127" s="23">
        <v>2018</v>
      </c>
      <c r="H127" s="30" t="s">
        <v>163</v>
      </c>
      <c r="I127" s="30">
        <v>4</v>
      </c>
      <c r="J127" s="31">
        <v>9.5600000000000004E-2</v>
      </c>
      <c r="L127" s="32">
        <v>0.13</v>
      </c>
      <c r="M127" s="33">
        <v>0</v>
      </c>
      <c r="N127" s="33">
        <v>0</v>
      </c>
      <c r="O127" s="33">
        <v>0</v>
      </c>
      <c r="P127" s="33">
        <v>0</v>
      </c>
      <c r="Q127" s="74">
        <v>1.9E-3</v>
      </c>
    </row>
    <row r="128" spans="4:22" x14ac:dyDescent="0.35">
      <c r="D128" s="23" t="s">
        <v>159</v>
      </c>
      <c r="E128" s="30" t="s">
        <v>160</v>
      </c>
      <c r="F128" s="30" t="s">
        <v>161</v>
      </c>
      <c r="G128" s="23">
        <v>2019</v>
      </c>
      <c r="H128" s="30" t="s">
        <v>162</v>
      </c>
      <c r="I128" s="30">
        <v>0</v>
      </c>
      <c r="J128" s="31">
        <v>0</v>
      </c>
      <c r="L128" s="32">
        <v>0.14000000000000001</v>
      </c>
      <c r="M128" s="33">
        <v>0</v>
      </c>
      <c r="N128" s="33">
        <v>0</v>
      </c>
      <c r="O128" s="33">
        <v>0</v>
      </c>
      <c r="P128" s="33">
        <v>0</v>
      </c>
      <c r="Q128" s="74">
        <v>2E-3</v>
      </c>
    </row>
    <row r="129" spans="4:17" x14ac:dyDescent="0.35">
      <c r="D129" s="23" t="s">
        <v>159</v>
      </c>
      <c r="E129" s="30" t="s">
        <v>164</v>
      </c>
      <c r="F129" s="30" t="s">
        <v>165</v>
      </c>
      <c r="G129" s="23">
        <v>2019</v>
      </c>
      <c r="H129" s="30" t="s">
        <v>162</v>
      </c>
      <c r="I129" s="30">
        <v>1</v>
      </c>
      <c r="J129" s="31">
        <v>2.0799999999999999E-2</v>
      </c>
      <c r="L129" s="32">
        <v>0.15</v>
      </c>
      <c r="M129" s="33">
        <v>0</v>
      </c>
      <c r="N129" s="33">
        <v>0</v>
      </c>
      <c r="O129" s="33">
        <v>0</v>
      </c>
      <c r="P129" s="33">
        <v>0</v>
      </c>
      <c r="Q129" s="74">
        <v>2.2000000000000001E-3</v>
      </c>
    </row>
    <row r="130" spans="4:17" x14ac:dyDescent="0.35">
      <c r="D130" s="23" t="s">
        <v>159</v>
      </c>
      <c r="E130" s="30" t="s">
        <v>27</v>
      </c>
      <c r="F130" s="30" t="s">
        <v>166</v>
      </c>
      <c r="G130" s="23">
        <v>2019</v>
      </c>
      <c r="H130" s="30" t="s">
        <v>162</v>
      </c>
      <c r="I130" s="30">
        <v>1.33</v>
      </c>
      <c r="J130" s="31">
        <v>3.1099999999999999E-2</v>
      </c>
      <c r="L130" s="32">
        <v>0.16</v>
      </c>
      <c r="M130" s="33">
        <v>0</v>
      </c>
      <c r="N130" s="33">
        <v>0</v>
      </c>
      <c r="O130" s="33">
        <v>0</v>
      </c>
      <c r="P130" s="33">
        <v>0</v>
      </c>
      <c r="Q130" s="74">
        <v>2.3E-3</v>
      </c>
    </row>
    <row r="131" spans="4:17" x14ac:dyDescent="0.35">
      <c r="D131" s="23" t="s">
        <v>159</v>
      </c>
      <c r="E131" s="30" t="s">
        <v>28</v>
      </c>
      <c r="F131" s="30" t="s">
        <v>168</v>
      </c>
      <c r="G131" s="23">
        <v>2019</v>
      </c>
      <c r="H131" s="30" t="s">
        <v>162</v>
      </c>
      <c r="I131" s="30">
        <v>1.5</v>
      </c>
      <c r="J131" s="31">
        <v>4.1500000000000002E-2</v>
      </c>
      <c r="L131" s="32">
        <v>0.17</v>
      </c>
      <c r="M131" s="33">
        <v>0</v>
      </c>
      <c r="N131" s="33">
        <v>0</v>
      </c>
      <c r="O131" s="33">
        <v>0</v>
      </c>
      <c r="P131" s="33">
        <v>0</v>
      </c>
      <c r="Q131" s="74">
        <v>2.5000000000000001E-3</v>
      </c>
    </row>
    <row r="132" spans="4:17" x14ac:dyDescent="0.35">
      <c r="D132" s="23" t="s">
        <v>159</v>
      </c>
      <c r="E132" s="30" t="s">
        <v>29</v>
      </c>
      <c r="F132" s="30" t="s">
        <v>169</v>
      </c>
      <c r="G132" s="23">
        <v>2019</v>
      </c>
      <c r="H132" s="30" t="s">
        <v>162</v>
      </c>
      <c r="I132" s="30">
        <v>2</v>
      </c>
      <c r="J132" s="31">
        <v>6.54E-2</v>
      </c>
      <c r="L132" s="32">
        <v>0.18</v>
      </c>
      <c r="M132" s="33">
        <v>0</v>
      </c>
      <c r="N132" s="33">
        <v>0</v>
      </c>
      <c r="O132" s="33">
        <v>0</v>
      </c>
      <c r="P132" s="33">
        <v>0</v>
      </c>
      <c r="Q132" s="74">
        <v>2.5999999999999999E-3</v>
      </c>
    </row>
    <row r="133" spans="4:17" x14ac:dyDescent="0.35">
      <c r="D133" s="23" t="s">
        <v>159</v>
      </c>
      <c r="E133" s="30" t="s">
        <v>30</v>
      </c>
      <c r="F133" s="30" t="s">
        <v>170</v>
      </c>
      <c r="G133" s="23">
        <v>2019</v>
      </c>
      <c r="H133" s="30" t="s">
        <v>162</v>
      </c>
      <c r="I133" s="30">
        <v>2.5</v>
      </c>
      <c r="J133" s="31">
        <v>8.3599999999999994E-2</v>
      </c>
      <c r="L133" s="32">
        <v>0.19</v>
      </c>
      <c r="M133" s="33">
        <v>0</v>
      </c>
      <c r="N133" s="33">
        <v>0</v>
      </c>
      <c r="O133" s="33">
        <v>0</v>
      </c>
      <c r="P133" s="33">
        <v>0</v>
      </c>
      <c r="Q133" s="74">
        <v>2.7000000000000001E-3</v>
      </c>
    </row>
    <row r="134" spans="4:17" x14ac:dyDescent="0.35">
      <c r="D134" s="23" t="s">
        <v>159</v>
      </c>
      <c r="E134" s="30" t="s">
        <v>31</v>
      </c>
      <c r="F134" s="30" t="s">
        <v>171</v>
      </c>
      <c r="G134" s="23">
        <v>2019</v>
      </c>
      <c r="H134" s="30" t="s">
        <v>162</v>
      </c>
      <c r="I134" s="30">
        <v>3</v>
      </c>
      <c r="J134" s="31">
        <v>9.8599999999999993E-2</v>
      </c>
      <c r="L134" s="32">
        <v>0.2</v>
      </c>
      <c r="M134" s="33">
        <v>0</v>
      </c>
      <c r="N134" s="33">
        <v>0</v>
      </c>
      <c r="O134" s="33">
        <v>0</v>
      </c>
      <c r="P134" s="33">
        <v>0</v>
      </c>
      <c r="Q134" s="74">
        <v>2.8999999999999998E-3</v>
      </c>
    </row>
    <row r="135" spans="4:17" x14ac:dyDescent="0.35">
      <c r="D135" s="23" t="s">
        <v>172</v>
      </c>
      <c r="E135" s="30" t="s">
        <v>160</v>
      </c>
      <c r="F135" s="30" t="s">
        <v>161</v>
      </c>
      <c r="G135" s="23">
        <v>2019</v>
      </c>
      <c r="H135" s="30" t="s">
        <v>173</v>
      </c>
      <c r="I135" s="30">
        <v>1</v>
      </c>
      <c r="J135" s="31">
        <v>0</v>
      </c>
      <c r="L135" s="32">
        <v>0.21</v>
      </c>
      <c r="M135" s="33">
        <v>0</v>
      </c>
      <c r="N135" s="33">
        <v>0</v>
      </c>
      <c r="O135" s="33">
        <v>0</v>
      </c>
      <c r="P135" s="33">
        <v>0</v>
      </c>
      <c r="Q135" s="74">
        <v>3.0000000000000001E-3</v>
      </c>
    </row>
    <row r="136" spans="4:17" x14ac:dyDescent="0.35">
      <c r="D136" s="23" t="s">
        <v>172</v>
      </c>
      <c r="E136" s="30" t="s">
        <v>164</v>
      </c>
      <c r="F136" s="30" t="s">
        <v>165</v>
      </c>
      <c r="G136" s="23">
        <v>2019</v>
      </c>
      <c r="H136" s="30" t="s">
        <v>173</v>
      </c>
      <c r="I136" s="30">
        <v>1.33</v>
      </c>
      <c r="J136" s="31">
        <v>2.0799999999999999E-2</v>
      </c>
      <c r="L136" s="32">
        <v>0.22</v>
      </c>
      <c r="M136" s="33">
        <v>0</v>
      </c>
      <c r="N136" s="33">
        <v>0</v>
      </c>
      <c r="O136" s="33">
        <v>0</v>
      </c>
      <c r="P136" s="33">
        <v>0</v>
      </c>
      <c r="Q136" s="74">
        <v>3.2000000000000002E-3</v>
      </c>
    </row>
    <row r="137" spans="4:17" x14ac:dyDescent="0.35">
      <c r="D137" s="23" t="s">
        <v>172</v>
      </c>
      <c r="E137" s="30" t="s">
        <v>27</v>
      </c>
      <c r="F137" s="30" t="s">
        <v>166</v>
      </c>
      <c r="G137" s="23">
        <v>2019</v>
      </c>
      <c r="H137" s="30" t="s">
        <v>173</v>
      </c>
      <c r="I137" s="30">
        <v>1.5</v>
      </c>
      <c r="J137" s="31">
        <v>4.1500000000000002E-2</v>
      </c>
      <c r="L137" s="32">
        <v>0.23</v>
      </c>
      <c r="M137" s="33">
        <v>0</v>
      </c>
      <c r="N137" s="33">
        <v>0</v>
      </c>
      <c r="O137" s="33">
        <v>0</v>
      </c>
      <c r="P137" s="33">
        <v>0</v>
      </c>
      <c r="Q137" s="74">
        <v>3.3E-3</v>
      </c>
    </row>
    <row r="138" spans="4:17" x14ac:dyDescent="0.35">
      <c r="D138" s="23" t="s">
        <v>172</v>
      </c>
      <c r="E138" s="30" t="s">
        <v>28</v>
      </c>
      <c r="F138" s="30" t="s">
        <v>168</v>
      </c>
      <c r="G138" s="23">
        <v>2019</v>
      </c>
      <c r="H138" s="30" t="s">
        <v>173</v>
      </c>
      <c r="I138" s="30">
        <v>2</v>
      </c>
      <c r="J138" s="31">
        <v>6.54E-2</v>
      </c>
      <c r="L138" s="32">
        <v>0.24</v>
      </c>
      <c r="M138" s="33">
        <v>0</v>
      </c>
      <c r="N138" s="33">
        <v>0</v>
      </c>
      <c r="O138" s="33">
        <v>0</v>
      </c>
      <c r="P138" s="33">
        <v>0</v>
      </c>
      <c r="Q138" s="74">
        <v>3.5000000000000001E-3</v>
      </c>
    </row>
    <row r="139" spans="4:17" x14ac:dyDescent="0.35">
      <c r="D139" s="23" t="s">
        <v>172</v>
      </c>
      <c r="E139" s="30" t="s">
        <v>29</v>
      </c>
      <c r="F139" s="30" t="s">
        <v>169</v>
      </c>
      <c r="G139" s="23">
        <v>2019</v>
      </c>
      <c r="H139" s="30" t="s">
        <v>173</v>
      </c>
      <c r="I139" s="30">
        <v>2.5</v>
      </c>
      <c r="J139" s="31">
        <v>8.3599999999999994E-2</v>
      </c>
      <c r="L139" s="32">
        <v>0.25</v>
      </c>
      <c r="M139" s="33">
        <v>0</v>
      </c>
      <c r="N139" s="33">
        <v>0</v>
      </c>
      <c r="O139" s="33">
        <v>0</v>
      </c>
      <c r="P139" s="33">
        <v>0</v>
      </c>
      <c r="Q139" s="74">
        <v>3.5999999999999999E-3</v>
      </c>
    </row>
    <row r="140" spans="4:17" x14ac:dyDescent="0.35">
      <c r="D140" s="23" t="s">
        <v>172</v>
      </c>
      <c r="E140" s="30" t="s">
        <v>30</v>
      </c>
      <c r="F140" s="30" t="s">
        <v>170</v>
      </c>
      <c r="G140" s="23">
        <v>2019</v>
      </c>
      <c r="H140" s="30" t="s">
        <v>173</v>
      </c>
      <c r="I140" s="30">
        <v>3</v>
      </c>
      <c r="J140" s="31">
        <v>9.8599999999999993E-2</v>
      </c>
      <c r="L140" s="32">
        <v>0.26</v>
      </c>
      <c r="M140" s="33">
        <v>0</v>
      </c>
      <c r="N140" s="33">
        <v>0</v>
      </c>
      <c r="O140" s="33">
        <v>0</v>
      </c>
      <c r="P140" s="33">
        <v>0</v>
      </c>
      <c r="Q140" s="74">
        <v>3.8E-3</v>
      </c>
    </row>
    <row r="141" spans="4:17" x14ac:dyDescent="0.35">
      <c r="D141" s="23" t="s">
        <v>172</v>
      </c>
      <c r="E141" s="30" t="s">
        <v>31</v>
      </c>
      <c r="F141" s="30" t="s">
        <v>171</v>
      </c>
      <c r="G141" s="23">
        <v>2019</v>
      </c>
      <c r="H141" s="30" t="s">
        <v>163</v>
      </c>
      <c r="I141" s="30">
        <v>4</v>
      </c>
      <c r="J141" s="31">
        <v>9.8599999999999993E-2</v>
      </c>
      <c r="L141" s="32">
        <v>0.27</v>
      </c>
      <c r="M141" s="33">
        <v>0</v>
      </c>
      <c r="N141" s="33">
        <v>0</v>
      </c>
      <c r="O141" s="33">
        <v>0</v>
      </c>
      <c r="P141" s="33">
        <v>0</v>
      </c>
      <c r="Q141" s="74">
        <v>3.8999999999999998E-3</v>
      </c>
    </row>
    <row r="142" spans="4:17" x14ac:dyDescent="0.35">
      <c r="D142" s="23" t="s">
        <v>159</v>
      </c>
      <c r="E142" s="30" t="s">
        <v>160</v>
      </c>
      <c r="F142" s="30" t="s">
        <v>161</v>
      </c>
      <c r="G142" s="23">
        <v>2020</v>
      </c>
      <c r="H142" s="30" t="s">
        <v>162</v>
      </c>
      <c r="I142" s="30">
        <v>0</v>
      </c>
      <c r="J142" s="31">
        <v>0</v>
      </c>
      <c r="L142" s="32">
        <v>0.28000000000000003</v>
      </c>
      <c r="M142" s="33">
        <v>0</v>
      </c>
      <c r="N142" s="33">
        <v>0</v>
      </c>
      <c r="O142" s="33">
        <v>0</v>
      </c>
      <c r="P142" s="33">
        <v>0</v>
      </c>
      <c r="Q142" s="74">
        <v>4.0000000000000001E-3</v>
      </c>
    </row>
    <row r="143" spans="4:17" x14ac:dyDescent="0.35">
      <c r="D143" s="23" t="s">
        <v>159</v>
      </c>
      <c r="E143" s="30" t="s">
        <v>164</v>
      </c>
      <c r="F143" s="30" t="s">
        <v>165</v>
      </c>
      <c r="G143" s="23">
        <v>2020</v>
      </c>
      <c r="H143" s="30" t="s">
        <v>162</v>
      </c>
      <c r="I143" s="30">
        <v>1</v>
      </c>
      <c r="J143" s="31">
        <v>2.06E-2</v>
      </c>
      <c r="L143" s="32">
        <v>0.28999999999999998</v>
      </c>
      <c r="M143" s="33">
        <v>0</v>
      </c>
      <c r="N143" s="33">
        <v>0</v>
      </c>
      <c r="O143" s="33">
        <v>0</v>
      </c>
      <c r="P143" s="33">
        <v>0</v>
      </c>
      <c r="Q143" s="74">
        <v>4.1999999999999997E-3</v>
      </c>
    </row>
    <row r="144" spans="4:17" x14ac:dyDescent="0.35">
      <c r="D144" s="23" t="s">
        <v>159</v>
      </c>
      <c r="E144" s="30" t="s">
        <v>27</v>
      </c>
      <c r="F144" s="30" t="s">
        <v>166</v>
      </c>
      <c r="G144" s="23">
        <v>2020</v>
      </c>
      <c r="H144" s="30" t="s">
        <v>162</v>
      </c>
      <c r="I144" s="30">
        <v>1.33</v>
      </c>
      <c r="J144" s="31">
        <v>3.09E-2</v>
      </c>
      <c r="L144" s="32">
        <v>0.3</v>
      </c>
      <c r="M144" s="33">
        <v>0</v>
      </c>
      <c r="N144" s="33">
        <v>0</v>
      </c>
      <c r="O144" s="33">
        <v>0</v>
      </c>
      <c r="P144" s="33">
        <v>0</v>
      </c>
      <c r="Q144" s="74">
        <v>4.3E-3</v>
      </c>
    </row>
    <row r="145" spans="4:17" x14ac:dyDescent="0.35">
      <c r="D145" s="23" t="s">
        <v>159</v>
      </c>
      <c r="E145" s="30" t="s">
        <v>28</v>
      </c>
      <c r="F145" s="30" t="s">
        <v>168</v>
      </c>
      <c r="G145" s="23">
        <v>2020</v>
      </c>
      <c r="H145" s="30" t="s">
        <v>162</v>
      </c>
      <c r="I145" s="30">
        <v>1.5</v>
      </c>
      <c r="J145" s="31">
        <v>4.1200000000000001E-2</v>
      </c>
      <c r="L145" s="32">
        <v>0.31</v>
      </c>
      <c r="M145" s="33">
        <v>0</v>
      </c>
      <c r="N145" s="33">
        <v>0</v>
      </c>
      <c r="O145" s="33">
        <v>0</v>
      </c>
      <c r="P145" s="33">
        <v>0</v>
      </c>
      <c r="Q145" s="74">
        <v>4.4999999999999997E-3</v>
      </c>
    </row>
    <row r="146" spans="4:17" x14ac:dyDescent="0.35">
      <c r="D146" s="23" t="s">
        <v>159</v>
      </c>
      <c r="E146" s="30" t="s">
        <v>29</v>
      </c>
      <c r="F146" s="30" t="s">
        <v>169</v>
      </c>
      <c r="G146" s="23">
        <v>2020</v>
      </c>
      <c r="H146" s="30" t="s">
        <v>162</v>
      </c>
      <c r="I146" s="30">
        <v>2</v>
      </c>
      <c r="J146" s="31">
        <v>6.4899999999999999E-2</v>
      </c>
      <c r="L146" s="32">
        <v>0.32</v>
      </c>
      <c r="M146" s="33">
        <v>0</v>
      </c>
      <c r="N146" s="33">
        <v>0</v>
      </c>
      <c r="O146" s="33">
        <v>0</v>
      </c>
      <c r="P146" s="33">
        <v>0</v>
      </c>
      <c r="Q146" s="74">
        <v>4.5999999999999999E-3</v>
      </c>
    </row>
    <row r="147" spans="4:17" x14ac:dyDescent="0.35">
      <c r="D147" s="23" t="s">
        <v>159</v>
      </c>
      <c r="E147" s="30" t="s">
        <v>30</v>
      </c>
      <c r="F147" s="30" t="s">
        <v>170</v>
      </c>
      <c r="G147" s="23">
        <v>2020</v>
      </c>
      <c r="H147" s="30" t="s">
        <v>162</v>
      </c>
      <c r="I147" s="30">
        <v>2.5</v>
      </c>
      <c r="J147" s="31">
        <v>8.2900000000000001E-2</v>
      </c>
      <c r="L147" s="32">
        <v>0.33</v>
      </c>
      <c r="M147" s="33">
        <v>0</v>
      </c>
      <c r="N147" s="33">
        <v>0</v>
      </c>
      <c r="O147" s="33">
        <v>0</v>
      </c>
      <c r="P147" s="33">
        <v>0</v>
      </c>
      <c r="Q147" s="74">
        <v>4.7999999999999996E-3</v>
      </c>
    </row>
    <row r="148" spans="4:17" x14ac:dyDescent="0.35">
      <c r="D148" s="23" t="s">
        <v>159</v>
      </c>
      <c r="E148" s="30" t="s">
        <v>31</v>
      </c>
      <c r="F148" s="30" t="s">
        <v>171</v>
      </c>
      <c r="G148" s="23">
        <v>2020</v>
      </c>
      <c r="H148" s="30" t="s">
        <v>162</v>
      </c>
      <c r="I148" s="30">
        <v>3</v>
      </c>
      <c r="J148" s="31">
        <v>9.7799999999999998E-2</v>
      </c>
      <c r="L148" s="32">
        <v>0.34</v>
      </c>
      <c r="M148" s="33">
        <v>0</v>
      </c>
      <c r="N148" s="33">
        <v>0</v>
      </c>
      <c r="O148" s="33">
        <v>0</v>
      </c>
      <c r="P148" s="33">
        <v>0</v>
      </c>
      <c r="Q148" s="74">
        <v>4.8999999999999998E-3</v>
      </c>
    </row>
    <row r="149" spans="4:17" x14ac:dyDescent="0.35">
      <c r="D149" s="23" t="s">
        <v>172</v>
      </c>
      <c r="E149" s="30" t="s">
        <v>160</v>
      </c>
      <c r="F149" s="30" t="s">
        <v>161</v>
      </c>
      <c r="G149" s="23">
        <v>2020</v>
      </c>
      <c r="H149" s="30" t="s">
        <v>173</v>
      </c>
      <c r="I149" s="30">
        <v>1</v>
      </c>
      <c r="J149" s="31">
        <v>0</v>
      </c>
      <c r="L149" s="32">
        <v>0.35</v>
      </c>
      <c r="M149" s="33">
        <v>0</v>
      </c>
      <c r="N149" s="33">
        <v>0</v>
      </c>
      <c r="O149" s="33">
        <v>0</v>
      </c>
      <c r="P149" s="33">
        <v>0</v>
      </c>
      <c r="Q149" s="74">
        <v>5.1000000000000004E-3</v>
      </c>
    </row>
    <row r="150" spans="4:17" x14ac:dyDescent="0.35">
      <c r="D150" s="23" t="s">
        <v>172</v>
      </c>
      <c r="E150" s="30" t="s">
        <v>164</v>
      </c>
      <c r="F150" s="30" t="s">
        <v>165</v>
      </c>
      <c r="G150" s="23">
        <v>2020</v>
      </c>
      <c r="H150" s="30" t="s">
        <v>173</v>
      </c>
      <c r="I150" s="30">
        <v>1.33</v>
      </c>
      <c r="J150" s="31">
        <v>2.06E-2</v>
      </c>
      <c r="L150" s="32">
        <v>0.36</v>
      </c>
      <c r="M150" s="33">
        <v>0</v>
      </c>
      <c r="N150" s="33">
        <v>0</v>
      </c>
      <c r="O150" s="33">
        <v>0</v>
      </c>
      <c r="P150" s="33">
        <v>0</v>
      </c>
      <c r="Q150" s="74">
        <v>5.1999999999999998E-3</v>
      </c>
    </row>
    <row r="151" spans="4:17" x14ac:dyDescent="0.35">
      <c r="D151" s="23" t="s">
        <v>172</v>
      </c>
      <c r="E151" s="30" t="s">
        <v>27</v>
      </c>
      <c r="F151" s="30" t="s">
        <v>166</v>
      </c>
      <c r="G151" s="23">
        <v>2020</v>
      </c>
      <c r="H151" s="30" t="s">
        <v>173</v>
      </c>
      <c r="I151" s="30">
        <v>1.5</v>
      </c>
      <c r="J151" s="31">
        <v>4.1200000000000001E-2</v>
      </c>
      <c r="L151" s="32">
        <v>0.37</v>
      </c>
      <c r="M151" s="33">
        <v>0</v>
      </c>
      <c r="N151" s="33">
        <v>0</v>
      </c>
      <c r="O151" s="33">
        <v>0</v>
      </c>
      <c r="P151" s="33">
        <v>0</v>
      </c>
      <c r="Q151" s="74">
        <v>5.3E-3</v>
      </c>
    </row>
    <row r="152" spans="4:17" x14ac:dyDescent="0.35">
      <c r="D152" s="23" t="s">
        <v>172</v>
      </c>
      <c r="E152" s="30" t="s">
        <v>28</v>
      </c>
      <c r="F152" s="30" t="s">
        <v>168</v>
      </c>
      <c r="G152" s="23">
        <v>2020</v>
      </c>
      <c r="H152" s="30" t="s">
        <v>173</v>
      </c>
      <c r="I152" s="30">
        <v>2</v>
      </c>
      <c r="J152" s="31">
        <v>6.4899999999999999E-2</v>
      </c>
      <c r="L152" s="32">
        <v>0.38</v>
      </c>
      <c r="M152" s="33">
        <v>0</v>
      </c>
      <c r="N152" s="33">
        <v>0</v>
      </c>
      <c r="O152" s="33">
        <v>0</v>
      </c>
      <c r="P152" s="33">
        <v>0</v>
      </c>
      <c r="Q152" s="74">
        <v>5.4999999999999997E-3</v>
      </c>
    </row>
    <row r="153" spans="4:17" x14ac:dyDescent="0.35">
      <c r="D153" s="23" t="s">
        <v>172</v>
      </c>
      <c r="E153" s="30" t="s">
        <v>29</v>
      </c>
      <c r="F153" s="30" t="s">
        <v>169</v>
      </c>
      <c r="G153" s="23">
        <v>2020</v>
      </c>
      <c r="H153" s="30" t="s">
        <v>173</v>
      </c>
      <c r="I153" s="30">
        <v>2.5</v>
      </c>
      <c r="J153" s="31">
        <v>8.2900000000000001E-2</v>
      </c>
      <c r="L153" s="32">
        <v>0.39</v>
      </c>
      <c r="M153" s="33">
        <v>0</v>
      </c>
      <c r="N153" s="33">
        <v>0</v>
      </c>
      <c r="O153" s="33">
        <v>0</v>
      </c>
      <c r="P153" s="33">
        <v>0</v>
      </c>
      <c r="Q153" s="74">
        <v>5.5999999999999999E-3</v>
      </c>
    </row>
    <row r="154" spans="4:17" x14ac:dyDescent="0.35">
      <c r="D154" s="23" t="s">
        <v>172</v>
      </c>
      <c r="E154" s="30" t="s">
        <v>30</v>
      </c>
      <c r="F154" s="30" t="s">
        <v>170</v>
      </c>
      <c r="G154" s="23">
        <v>2020</v>
      </c>
      <c r="H154" s="30" t="s">
        <v>173</v>
      </c>
      <c r="I154" s="30">
        <v>3</v>
      </c>
      <c r="J154" s="31">
        <v>9.7799999999999998E-2</v>
      </c>
      <c r="L154" s="32">
        <v>0.4</v>
      </c>
      <c r="M154" s="33">
        <v>0</v>
      </c>
      <c r="N154" s="33">
        <v>0</v>
      </c>
      <c r="O154" s="33">
        <v>0</v>
      </c>
      <c r="P154" s="33">
        <v>0</v>
      </c>
      <c r="Q154" s="74">
        <v>5.7999999999999996E-3</v>
      </c>
    </row>
    <row r="155" spans="4:17" x14ac:dyDescent="0.35">
      <c r="D155" s="23" t="s">
        <v>172</v>
      </c>
      <c r="E155" s="30" t="s">
        <v>31</v>
      </c>
      <c r="F155" s="30" t="s">
        <v>171</v>
      </c>
      <c r="G155" s="23">
        <v>2020</v>
      </c>
      <c r="H155" s="30" t="s">
        <v>163</v>
      </c>
      <c r="I155" s="30">
        <v>4</v>
      </c>
      <c r="J155" s="31">
        <v>9.7799999999999998E-2</v>
      </c>
      <c r="L155" s="32">
        <v>0.41</v>
      </c>
      <c r="M155" s="33">
        <v>0</v>
      </c>
      <c r="N155" s="33">
        <v>0</v>
      </c>
      <c r="O155" s="33">
        <v>0</v>
      </c>
      <c r="P155" s="33">
        <v>0</v>
      </c>
      <c r="Q155" s="74">
        <v>5.8999999999999999E-3</v>
      </c>
    </row>
    <row r="156" spans="4:17" x14ac:dyDescent="0.35">
      <c r="D156" s="23" t="s">
        <v>159</v>
      </c>
      <c r="E156" s="30" t="s">
        <v>160</v>
      </c>
      <c r="F156" s="30" t="s">
        <v>161</v>
      </c>
      <c r="G156" s="23">
        <v>2021</v>
      </c>
      <c r="H156" s="30" t="s">
        <v>162</v>
      </c>
      <c r="I156" s="30">
        <v>0</v>
      </c>
      <c r="J156" s="31">
        <v>0</v>
      </c>
      <c r="L156" s="32">
        <v>0.42</v>
      </c>
      <c r="M156" s="33">
        <v>0</v>
      </c>
      <c r="N156" s="33">
        <v>0</v>
      </c>
      <c r="O156" s="33">
        <v>0</v>
      </c>
      <c r="P156" s="33">
        <v>0</v>
      </c>
      <c r="Q156" s="74">
        <v>6.1000000000000004E-3</v>
      </c>
    </row>
    <row r="157" spans="4:17" x14ac:dyDescent="0.35">
      <c r="D157" s="23" t="s">
        <v>159</v>
      </c>
      <c r="E157" s="30" t="s">
        <v>174</v>
      </c>
      <c r="F157" s="30" t="s">
        <v>165</v>
      </c>
      <c r="G157" s="23">
        <v>2021</v>
      </c>
      <c r="H157" s="30" t="s">
        <v>162</v>
      </c>
      <c r="I157" s="30">
        <v>1</v>
      </c>
      <c r="J157" s="31">
        <v>0</v>
      </c>
      <c r="L157" s="32">
        <v>0.43</v>
      </c>
      <c r="M157" s="33">
        <v>0</v>
      </c>
      <c r="N157" s="33">
        <v>0</v>
      </c>
      <c r="O157" s="33">
        <v>0</v>
      </c>
      <c r="P157" s="33">
        <v>0</v>
      </c>
      <c r="Q157" s="74">
        <v>6.1999999999999998E-3</v>
      </c>
    </row>
    <row r="158" spans="4:17" x14ac:dyDescent="0.35">
      <c r="D158" s="23" t="s">
        <v>159</v>
      </c>
      <c r="E158" s="30" t="s">
        <v>28</v>
      </c>
      <c r="F158" s="30" t="s">
        <v>166</v>
      </c>
      <c r="G158" s="23">
        <v>2021</v>
      </c>
      <c r="H158" s="30" t="s">
        <v>162</v>
      </c>
      <c r="I158" s="30">
        <v>1.5</v>
      </c>
      <c r="J158" s="31">
        <v>0.02</v>
      </c>
      <c r="L158" s="32">
        <v>0.44</v>
      </c>
      <c r="M158" s="33">
        <v>0</v>
      </c>
      <c r="N158" s="33">
        <v>0</v>
      </c>
      <c r="O158" s="33">
        <v>0</v>
      </c>
      <c r="P158" s="33">
        <v>0</v>
      </c>
      <c r="Q158" s="74">
        <v>6.4000000000000003E-3</v>
      </c>
    </row>
    <row r="159" spans="4:17" x14ac:dyDescent="0.35">
      <c r="D159" s="23" t="s">
        <v>159</v>
      </c>
      <c r="E159" s="30" t="s">
        <v>29</v>
      </c>
      <c r="F159" s="30" t="s">
        <v>168</v>
      </c>
      <c r="G159" s="23">
        <v>2021</v>
      </c>
      <c r="H159" s="30" t="s">
        <v>162</v>
      </c>
      <c r="I159" s="30">
        <v>2</v>
      </c>
      <c r="J159" s="31">
        <v>0.04</v>
      </c>
      <c r="L159" s="32">
        <v>0.45</v>
      </c>
      <c r="M159" s="33">
        <v>0</v>
      </c>
      <c r="N159" s="33">
        <v>0</v>
      </c>
      <c r="O159" s="33">
        <v>0</v>
      </c>
      <c r="P159" s="33">
        <v>0</v>
      </c>
      <c r="Q159" s="74">
        <v>6.4999999999999997E-3</v>
      </c>
    </row>
    <row r="160" spans="4:17" x14ac:dyDescent="0.35">
      <c r="D160" s="23" t="s">
        <v>159</v>
      </c>
      <c r="E160" s="30" t="s">
        <v>30</v>
      </c>
      <c r="F160" s="30" t="s">
        <v>169</v>
      </c>
      <c r="G160" s="23">
        <v>2021</v>
      </c>
      <c r="H160" s="30" t="s">
        <v>162</v>
      </c>
      <c r="I160" s="30">
        <v>2.5</v>
      </c>
      <c r="J160" s="31">
        <v>0.06</v>
      </c>
      <c r="L160" s="32">
        <v>0.46</v>
      </c>
      <c r="M160" s="33">
        <v>0</v>
      </c>
      <c r="N160" s="33">
        <v>0</v>
      </c>
      <c r="O160" s="33">
        <v>0</v>
      </c>
      <c r="P160" s="33">
        <v>0</v>
      </c>
      <c r="Q160" s="74">
        <v>6.6E-3</v>
      </c>
    </row>
    <row r="161" spans="4:17" x14ac:dyDescent="0.35">
      <c r="D161" s="23" t="s">
        <v>159</v>
      </c>
      <c r="E161" s="30" t="s">
        <v>31</v>
      </c>
      <c r="F161" s="30" t="s">
        <v>170</v>
      </c>
      <c r="G161" s="23">
        <v>2021</v>
      </c>
      <c r="H161" s="30" t="s">
        <v>162</v>
      </c>
      <c r="I161" s="30">
        <v>3</v>
      </c>
      <c r="J161" s="31">
        <v>8.5000000000000006E-2</v>
      </c>
      <c r="L161" s="32">
        <v>0.47</v>
      </c>
      <c r="M161" s="33">
        <v>0</v>
      </c>
      <c r="N161" s="33">
        <v>0</v>
      </c>
      <c r="O161" s="33">
        <v>0</v>
      </c>
      <c r="P161" s="33">
        <v>0</v>
      </c>
      <c r="Q161" s="74">
        <v>6.7999999999999996E-3</v>
      </c>
    </row>
    <row r="162" spans="4:17" x14ac:dyDescent="0.35">
      <c r="D162" s="23" t="s">
        <v>159</v>
      </c>
      <c r="E162" s="30" t="s">
        <v>167</v>
      </c>
      <c r="F162" s="30" t="s">
        <v>171</v>
      </c>
      <c r="G162" s="23">
        <v>2021</v>
      </c>
      <c r="H162" s="30" t="s">
        <v>167</v>
      </c>
      <c r="I162" s="30">
        <v>4</v>
      </c>
      <c r="J162" s="31">
        <v>8.5000000000000006E-2</v>
      </c>
      <c r="L162" s="32">
        <v>0.48</v>
      </c>
      <c r="M162" s="33">
        <v>0</v>
      </c>
      <c r="N162" s="33">
        <v>0</v>
      </c>
      <c r="O162" s="33">
        <v>0</v>
      </c>
      <c r="P162" s="33">
        <v>0</v>
      </c>
      <c r="Q162" s="74">
        <v>6.8999999999999999E-3</v>
      </c>
    </row>
    <row r="163" spans="4:17" x14ac:dyDescent="0.35">
      <c r="D163" s="23" t="s">
        <v>172</v>
      </c>
      <c r="E163" s="30" t="s">
        <v>160</v>
      </c>
      <c r="F163" s="30" t="s">
        <v>161</v>
      </c>
      <c r="G163" s="23">
        <v>2021</v>
      </c>
      <c r="H163" s="30" t="s">
        <v>173</v>
      </c>
      <c r="I163" s="30">
        <v>1</v>
      </c>
      <c r="J163" s="31">
        <v>0</v>
      </c>
      <c r="L163" s="32">
        <v>0.49</v>
      </c>
      <c r="M163" s="33">
        <v>0</v>
      </c>
      <c r="N163" s="33">
        <v>0</v>
      </c>
      <c r="O163" s="33">
        <v>0</v>
      </c>
      <c r="P163" s="33">
        <v>0</v>
      </c>
      <c r="Q163" s="74">
        <v>7.1000000000000004E-3</v>
      </c>
    </row>
    <row r="164" spans="4:17" x14ac:dyDescent="0.35">
      <c r="D164" s="23" t="s">
        <v>172</v>
      </c>
      <c r="E164" s="30" t="s">
        <v>174</v>
      </c>
      <c r="F164" s="30" t="s">
        <v>165</v>
      </c>
      <c r="G164" s="23">
        <v>2021</v>
      </c>
      <c r="H164" s="30" t="s">
        <v>173</v>
      </c>
      <c r="I164" s="30">
        <v>1.5</v>
      </c>
      <c r="J164" s="31">
        <v>0</v>
      </c>
      <c r="L164" s="32">
        <v>0.5</v>
      </c>
      <c r="M164" s="33">
        <v>0</v>
      </c>
      <c r="N164" s="33">
        <v>0</v>
      </c>
      <c r="O164" s="33">
        <v>0</v>
      </c>
      <c r="P164" s="33">
        <v>0</v>
      </c>
      <c r="Q164" s="74">
        <v>7.1999999999999998E-3</v>
      </c>
    </row>
    <row r="165" spans="4:17" x14ac:dyDescent="0.35">
      <c r="D165" s="23" t="s">
        <v>172</v>
      </c>
      <c r="E165" s="30" t="s">
        <v>28</v>
      </c>
      <c r="F165" s="30" t="s">
        <v>166</v>
      </c>
      <c r="G165" s="23">
        <v>2021</v>
      </c>
      <c r="H165" s="30" t="s">
        <v>173</v>
      </c>
      <c r="I165" s="30">
        <v>2</v>
      </c>
      <c r="J165" s="31">
        <v>0.02</v>
      </c>
      <c r="L165" s="32">
        <v>0.51</v>
      </c>
      <c r="M165" s="33">
        <v>0</v>
      </c>
      <c r="N165" s="33">
        <v>0</v>
      </c>
      <c r="O165" s="33">
        <v>0</v>
      </c>
      <c r="P165" s="33">
        <v>0</v>
      </c>
      <c r="Q165" s="74">
        <v>7.4000000000000003E-3</v>
      </c>
    </row>
    <row r="166" spans="4:17" x14ac:dyDescent="0.35">
      <c r="D166" s="23" t="s">
        <v>172</v>
      </c>
      <c r="E166" s="30" t="s">
        <v>29</v>
      </c>
      <c r="F166" s="30" t="s">
        <v>168</v>
      </c>
      <c r="G166" s="23">
        <v>2021</v>
      </c>
      <c r="H166" s="30" t="s">
        <v>173</v>
      </c>
      <c r="I166" s="30">
        <v>2.5</v>
      </c>
      <c r="J166" s="31">
        <v>0.04</v>
      </c>
      <c r="L166" s="32">
        <v>0.52</v>
      </c>
      <c r="M166" s="33">
        <v>0</v>
      </c>
      <c r="N166" s="33">
        <v>0</v>
      </c>
      <c r="O166" s="33">
        <v>0</v>
      </c>
      <c r="P166" s="33">
        <v>0</v>
      </c>
      <c r="Q166" s="74">
        <v>7.4999999999999997E-3</v>
      </c>
    </row>
    <row r="167" spans="4:17" x14ac:dyDescent="0.35">
      <c r="D167" s="23" t="s">
        <v>172</v>
      </c>
      <c r="E167" s="30" t="s">
        <v>30</v>
      </c>
      <c r="F167" s="30" t="s">
        <v>169</v>
      </c>
      <c r="G167" s="23">
        <v>2021</v>
      </c>
      <c r="H167" s="30" t="s">
        <v>173</v>
      </c>
      <c r="I167" s="30">
        <v>3</v>
      </c>
      <c r="J167" s="31">
        <v>0.06</v>
      </c>
      <c r="L167" s="32">
        <v>0.53</v>
      </c>
      <c r="M167" s="33">
        <v>0</v>
      </c>
      <c r="N167" s="33">
        <v>0</v>
      </c>
      <c r="O167" s="33">
        <v>0</v>
      </c>
      <c r="P167" s="33">
        <v>0</v>
      </c>
      <c r="Q167" s="74">
        <v>7.7000000000000002E-3</v>
      </c>
    </row>
    <row r="168" spans="4:17" x14ac:dyDescent="0.35">
      <c r="D168" s="23" t="s">
        <v>172</v>
      </c>
      <c r="E168" s="30" t="s">
        <v>31</v>
      </c>
      <c r="F168" s="30" t="s">
        <v>170</v>
      </c>
      <c r="G168" s="23">
        <v>2021</v>
      </c>
      <c r="H168" s="30" t="s">
        <v>173</v>
      </c>
      <c r="I168" s="30">
        <v>4</v>
      </c>
      <c r="J168" s="31">
        <v>8.5000000000000006E-2</v>
      </c>
      <c r="L168" s="32">
        <v>0.54</v>
      </c>
      <c r="M168" s="33">
        <v>0</v>
      </c>
      <c r="N168" s="33">
        <v>0</v>
      </c>
      <c r="O168" s="33">
        <v>0</v>
      </c>
      <c r="P168" s="33">
        <v>0</v>
      </c>
      <c r="Q168" s="74">
        <v>7.7999999999999996E-3</v>
      </c>
    </row>
    <row r="169" spans="4:17" x14ac:dyDescent="0.35">
      <c r="D169" s="23" t="s">
        <v>172</v>
      </c>
      <c r="E169" s="30" t="s">
        <v>167</v>
      </c>
      <c r="F169" s="30" t="s">
        <v>171</v>
      </c>
      <c r="G169" s="23">
        <v>2021</v>
      </c>
      <c r="H169" s="30" t="s">
        <v>167</v>
      </c>
      <c r="I169" s="30">
        <v>4</v>
      </c>
      <c r="J169" s="31">
        <v>8.5000000000000006E-2</v>
      </c>
      <c r="L169" s="32">
        <v>0.55000000000000004</v>
      </c>
      <c r="M169" s="33">
        <v>0</v>
      </c>
      <c r="N169" s="33">
        <v>0</v>
      </c>
      <c r="O169" s="33">
        <v>0</v>
      </c>
      <c r="P169" s="33">
        <v>0</v>
      </c>
      <c r="Q169" s="74">
        <v>7.9000000000000008E-3</v>
      </c>
    </row>
    <row r="170" spans="4:17" x14ac:dyDescent="0.35">
      <c r="D170" s="23" t="s">
        <v>159</v>
      </c>
      <c r="E170" s="30" t="s">
        <v>160</v>
      </c>
      <c r="F170" s="30" t="s">
        <v>161</v>
      </c>
      <c r="G170" s="23">
        <v>2022</v>
      </c>
      <c r="H170" s="30" t="s">
        <v>162</v>
      </c>
      <c r="I170" s="30">
        <v>0</v>
      </c>
      <c r="J170" s="31">
        <v>0</v>
      </c>
      <c r="L170" s="32">
        <v>0.56000000000000005</v>
      </c>
      <c r="M170" s="33">
        <v>0</v>
      </c>
      <c r="N170" s="33">
        <v>0</v>
      </c>
      <c r="O170" s="33">
        <v>0</v>
      </c>
      <c r="P170" s="33">
        <v>0</v>
      </c>
      <c r="Q170" s="74">
        <v>8.0999999999999996E-3</v>
      </c>
    </row>
    <row r="171" spans="4:17" x14ac:dyDescent="0.35">
      <c r="D171" s="23" t="s">
        <v>159</v>
      </c>
      <c r="E171" s="30" t="s">
        <v>174</v>
      </c>
      <c r="F171" s="30" t="s">
        <v>165</v>
      </c>
      <c r="G171" s="23">
        <v>2022</v>
      </c>
      <c r="H171" s="30" t="s">
        <v>162</v>
      </c>
      <c r="I171" s="30">
        <v>1</v>
      </c>
      <c r="J171" s="31">
        <v>0</v>
      </c>
      <c r="L171" s="32">
        <v>0.56999999999999995</v>
      </c>
      <c r="M171" s="33">
        <v>0</v>
      </c>
      <c r="N171" s="33">
        <v>0</v>
      </c>
      <c r="O171" s="33">
        <v>0</v>
      </c>
      <c r="P171" s="33">
        <v>0</v>
      </c>
      <c r="Q171" s="74">
        <v>8.2000000000000007E-3</v>
      </c>
    </row>
    <row r="172" spans="4:17" x14ac:dyDescent="0.35">
      <c r="D172" s="23" t="s">
        <v>159</v>
      </c>
      <c r="E172" s="30" t="s">
        <v>28</v>
      </c>
      <c r="F172" s="30" t="s">
        <v>166</v>
      </c>
      <c r="G172" s="23">
        <v>2022</v>
      </c>
      <c r="H172" s="30" t="s">
        <v>162</v>
      </c>
      <c r="I172" s="30">
        <v>1.5</v>
      </c>
      <c r="J172" s="31">
        <v>0.02</v>
      </c>
      <c r="L172" s="32">
        <v>0.57999999999999996</v>
      </c>
      <c r="M172" s="33">
        <v>0</v>
      </c>
      <c r="N172" s="33">
        <v>0</v>
      </c>
      <c r="O172" s="33">
        <v>0</v>
      </c>
      <c r="P172" s="33">
        <v>0</v>
      </c>
      <c r="Q172" s="74">
        <v>8.3999999999999995E-3</v>
      </c>
    </row>
    <row r="173" spans="4:17" x14ac:dyDescent="0.35">
      <c r="D173" s="23" t="s">
        <v>159</v>
      </c>
      <c r="E173" s="30" t="s">
        <v>29</v>
      </c>
      <c r="F173" s="30" t="s">
        <v>168</v>
      </c>
      <c r="G173" s="23">
        <v>2022</v>
      </c>
      <c r="H173" s="30" t="s">
        <v>162</v>
      </c>
      <c r="I173" s="30">
        <v>2</v>
      </c>
      <c r="J173" s="31">
        <v>0.04</v>
      </c>
      <c r="L173" s="32">
        <v>0.59</v>
      </c>
      <c r="M173" s="33">
        <v>0</v>
      </c>
      <c r="N173" s="33">
        <v>0</v>
      </c>
      <c r="O173" s="33">
        <v>0</v>
      </c>
      <c r="P173" s="33">
        <v>0</v>
      </c>
      <c r="Q173" s="74">
        <v>8.5000000000000006E-3</v>
      </c>
    </row>
    <row r="174" spans="4:17" x14ac:dyDescent="0.35">
      <c r="D174" s="23" t="s">
        <v>159</v>
      </c>
      <c r="E174" s="30" t="s">
        <v>30</v>
      </c>
      <c r="F174" s="30" t="s">
        <v>169</v>
      </c>
      <c r="G174" s="23">
        <v>2022</v>
      </c>
      <c r="H174" s="30" t="s">
        <v>162</v>
      </c>
      <c r="I174" s="30">
        <v>2.5</v>
      </c>
      <c r="J174" s="31">
        <v>0.06</v>
      </c>
      <c r="L174" s="32">
        <v>0.6</v>
      </c>
      <c r="M174" s="33">
        <v>0</v>
      </c>
      <c r="N174" s="33">
        <v>0</v>
      </c>
      <c r="O174" s="33">
        <v>0</v>
      </c>
      <c r="P174" s="33">
        <v>0</v>
      </c>
      <c r="Q174" s="74">
        <v>8.6999999999999994E-3</v>
      </c>
    </row>
    <row r="175" spans="4:17" x14ac:dyDescent="0.35">
      <c r="D175" s="23" t="s">
        <v>159</v>
      </c>
      <c r="E175" s="30" t="s">
        <v>31</v>
      </c>
      <c r="F175" s="30" t="s">
        <v>170</v>
      </c>
      <c r="G175" s="23">
        <v>2022</v>
      </c>
      <c r="H175" s="30" t="s">
        <v>162</v>
      </c>
      <c r="I175" s="30">
        <v>3</v>
      </c>
      <c r="J175" s="31">
        <v>8.5000000000000006E-2</v>
      </c>
      <c r="L175" s="32">
        <v>0.61</v>
      </c>
      <c r="M175" s="33">
        <v>0</v>
      </c>
      <c r="N175" s="33">
        <v>0</v>
      </c>
      <c r="O175" s="33">
        <v>0</v>
      </c>
      <c r="P175" s="33">
        <v>0</v>
      </c>
      <c r="Q175" s="74">
        <v>8.8000000000000005E-3</v>
      </c>
    </row>
    <row r="176" spans="4:17" x14ac:dyDescent="0.35">
      <c r="D176" s="23" t="s">
        <v>159</v>
      </c>
      <c r="E176" s="30" t="s">
        <v>167</v>
      </c>
      <c r="F176" s="30" t="s">
        <v>171</v>
      </c>
      <c r="G176" s="23">
        <v>2022</v>
      </c>
      <c r="H176" s="30" t="s">
        <v>162</v>
      </c>
      <c r="I176" s="30">
        <v>4</v>
      </c>
      <c r="J176" s="31">
        <v>8.5000000000000006E-2</v>
      </c>
      <c r="L176" s="32">
        <v>0.62</v>
      </c>
      <c r="M176" s="33">
        <v>0</v>
      </c>
      <c r="N176" s="33">
        <v>0</v>
      </c>
      <c r="O176" s="33">
        <v>0</v>
      </c>
      <c r="P176" s="33">
        <v>0</v>
      </c>
      <c r="Q176" s="74">
        <v>8.9999999999999993E-3</v>
      </c>
    </row>
    <row r="177" spans="4:17" x14ac:dyDescent="0.35">
      <c r="D177" s="23" t="s">
        <v>172</v>
      </c>
      <c r="E177" s="30" t="s">
        <v>160</v>
      </c>
      <c r="F177" s="30" t="s">
        <v>161</v>
      </c>
      <c r="G177" s="23">
        <v>2022</v>
      </c>
      <c r="H177" s="30" t="s">
        <v>173</v>
      </c>
      <c r="I177" s="30">
        <v>1</v>
      </c>
      <c r="J177" s="31">
        <v>0</v>
      </c>
      <c r="L177" s="32">
        <v>0.63</v>
      </c>
      <c r="M177" s="33">
        <v>0</v>
      </c>
      <c r="N177" s="33">
        <v>0</v>
      </c>
      <c r="O177" s="33">
        <v>0</v>
      </c>
      <c r="P177" s="33">
        <v>0</v>
      </c>
      <c r="Q177" s="74">
        <v>9.1000000000000004E-3</v>
      </c>
    </row>
    <row r="178" spans="4:17" x14ac:dyDescent="0.35">
      <c r="D178" s="23" t="s">
        <v>172</v>
      </c>
      <c r="E178" s="30" t="s">
        <v>174</v>
      </c>
      <c r="F178" s="30" t="s">
        <v>165</v>
      </c>
      <c r="G178" s="23">
        <v>2022</v>
      </c>
      <c r="H178" s="30" t="s">
        <v>173</v>
      </c>
      <c r="I178" s="30">
        <v>1.5</v>
      </c>
      <c r="J178" s="31">
        <v>0</v>
      </c>
      <c r="L178" s="32">
        <v>0.64</v>
      </c>
      <c r="M178" s="33">
        <v>0</v>
      </c>
      <c r="N178" s="33">
        <v>0</v>
      </c>
      <c r="O178" s="33">
        <v>0</v>
      </c>
      <c r="P178" s="33">
        <v>0</v>
      </c>
      <c r="Q178" s="74">
        <v>9.1999999999999998E-3</v>
      </c>
    </row>
    <row r="179" spans="4:17" x14ac:dyDescent="0.35">
      <c r="D179" s="23" t="s">
        <v>172</v>
      </c>
      <c r="E179" s="30" t="s">
        <v>28</v>
      </c>
      <c r="F179" s="30" t="s">
        <v>166</v>
      </c>
      <c r="G179" s="23">
        <v>2022</v>
      </c>
      <c r="H179" s="30" t="s">
        <v>173</v>
      </c>
      <c r="I179" s="30">
        <v>2</v>
      </c>
      <c r="J179" s="31">
        <v>0.02</v>
      </c>
      <c r="L179" s="32">
        <v>0.65</v>
      </c>
      <c r="M179" s="33">
        <v>0</v>
      </c>
      <c r="N179" s="33">
        <v>0</v>
      </c>
      <c r="O179" s="33">
        <v>0</v>
      </c>
      <c r="P179" s="33">
        <v>0</v>
      </c>
      <c r="Q179" s="74">
        <v>9.4000000000000004E-3</v>
      </c>
    </row>
    <row r="180" spans="4:17" x14ac:dyDescent="0.35">
      <c r="D180" s="23" t="s">
        <v>172</v>
      </c>
      <c r="E180" s="30" t="s">
        <v>29</v>
      </c>
      <c r="F180" s="30" t="s">
        <v>168</v>
      </c>
      <c r="G180" s="23">
        <v>2022</v>
      </c>
      <c r="H180" s="30" t="s">
        <v>173</v>
      </c>
      <c r="I180" s="30">
        <v>2.5</v>
      </c>
      <c r="J180" s="31">
        <v>0.04</v>
      </c>
      <c r="L180" s="32">
        <v>0.66</v>
      </c>
      <c r="M180" s="33">
        <v>0</v>
      </c>
      <c r="N180" s="33">
        <v>0</v>
      </c>
      <c r="O180" s="33">
        <v>0</v>
      </c>
      <c r="P180" s="33">
        <v>0</v>
      </c>
      <c r="Q180" s="74">
        <v>9.4999999999999998E-3</v>
      </c>
    </row>
    <row r="181" spans="4:17" x14ac:dyDescent="0.35">
      <c r="D181" s="23" t="s">
        <v>172</v>
      </c>
      <c r="E181" s="30" t="s">
        <v>30</v>
      </c>
      <c r="F181" s="30" t="s">
        <v>169</v>
      </c>
      <c r="G181" s="23">
        <v>2022</v>
      </c>
      <c r="H181" s="30" t="s">
        <v>173</v>
      </c>
      <c r="I181" s="30">
        <v>3</v>
      </c>
      <c r="J181" s="31">
        <v>0.06</v>
      </c>
      <c r="L181" s="32">
        <v>0.67</v>
      </c>
      <c r="M181" s="33">
        <v>0</v>
      </c>
      <c r="N181" s="33">
        <v>0</v>
      </c>
      <c r="O181" s="33">
        <v>0</v>
      </c>
      <c r="P181" s="33">
        <v>0</v>
      </c>
      <c r="Q181" s="74">
        <v>9.7000000000000003E-3</v>
      </c>
    </row>
    <row r="182" spans="4:17" x14ac:dyDescent="0.35">
      <c r="D182" s="23" t="s">
        <v>172</v>
      </c>
      <c r="E182" s="30" t="s">
        <v>31</v>
      </c>
      <c r="F182" s="30" t="s">
        <v>170</v>
      </c>
      <c r="G182" s="23">
        <v>2022</v>
      </c>
      <c r="H182" s="30" t="s">
        <v>173</v>
      </c>
      <c r="I182" s="30">
        <v>4</v>
      </c>
      <c r="J182" s="31">
        <v>8.5000000000000006E-2</v>
      </c>
      <c r="L182" s="32">
        <v>0.68</v>
      </c>
      <c r="M182" s="33">
        <v>0</v>
      </c>
      <c r="N182" s="33">
        <v>0</v>
      </c>
      <c r="O182" s="33">
        <v>0</v>
      </c>
      <c r="P182" s="33">
        <v>0</v>
      </c>
      <c r="Q182" s="74">
        <v>9.7999999999999997E-3</v>
      </c>
    </row>
    <row r="183" spans="4:17" x14ac:dyDescent="0.35">
      <c r="D183" s="23" t="s">
        <v>172</v>
      </c>
      <c r="E183" s="30" t="s">
        <v>167</v>
      </c>
      <c r="F183" s="30" t="s">
        <v>171</v>
      </c>
      <c r="G183" s="23">
        <v>2022</v>
      </c>
      <c r="H183" s="30" t="s">
        <v>167</v>
      </c>
      <c r="I183" s="30">
        <v>4</v>
      </c>
      <c r="J183" s="31">
        <v>8.5000000000000006E-2</v>
      </c>
      <c r="L183" s="32">
        <v>0.69</v>
      </c>
      <c r="M183" s="33">
        <v>0</v>
      </c>
      <c r="N183" s="33">
        <v>0</v>
      </c>
      <c r="O183" s="33">
        <v>0</v>
      </c>
      <c r="P183" s="33">
        <v>0</v>
      </c>
      <c r="Q183" s="74">
        <v>0.01</v>
      </c>
    </row>
    <row r="184" spans="4:17" x14ac:dyDescent="0.35">
      <c r="D184" s="23" t="s">
        <v>159</v>
      </c>
      <c r="E184" s="30" t="s">
        <v>2700</v>
      </c>
      <c r="F184" s="30" t="s">
        <v>161</v>
      </c>
      <c r="G184" s="23">
        <v>2023</v>
      </c>
      <c r="H184" s="30" t="s">
        <v>162</v>
      </c>
      <c r="I184" s="30">
        <v>0</v>
      </c>
      <c r="J184" s="31">
        <v>1.9199999999999998E-2</v>
      </c>
      <c r="L184" s="32">
        <v>0.7</v>
      </c>
      <c r="M184" s="33">
        <v>0</v>
      </c>
      <c r="N184" s="33">
        <v>0</v>
      </c>
      <c r="O184" s="33">
        <v>0</v>
      </c>
      <c r="P184" s="33">
        <v>0</v>
      </c>
      <c r="Q184" s="74">
        <v>1.01E-2</v>
      </c>
    </row>
    <row r="185" spans="4:17" x14ac:dyDescent="0.35">
      <c r="D185" s="23" t="s">
        <v>159</v>
      </c>
      <c r="E185" s="30" t="s">
        <v>27</v>
      </c>
      <c r="F185" s="30" t="s">
        <v>165</v>
      </c>
      <c r="G185" s="23">
        <v>2023</v>
      </c>
      <c r="H185" s="30" t="s">
        <v>162</v>
      </c>
      <c r="I185" s="30">
        <v>1.33</v>
      </c>
      <c r="J185" s="31">
        <v>2.8799999999999999E-2</v>
      </c>
      <c r="L185" s="32">
        <v>0.71</v>
      </c>
      <c r="M185" s="33">
        <v>0</v>
      </c>
      <c r="N185" s="33">
        <v>0</v>
      </c>
      <c r="O185" s="33">
        <v>0</v>
      </c>
      <c r="P185" s="33">
        <v>0</v>
      </c>
      <c r="Q185" s="74">
        <v>1.0200000000000001E-2</v>
      </c>
    </row>
    <row r="186" spans="4:17" x14ac:dyDescent="0.35">
      <c r="D186" s="23" t="s">
        <v>159</v>
      </c>
      <c r="E186" s="30" t="s">
        <v>28</v>
      </c>
      <c r="F186" s="30" t="s">
        <v>166</v>
      </c>
      <c r="G186" s="23">
        <v>2023</v>
      </c>
      <c r="H186" s="30" t="s">
        <v>162</v>
      </c>
      <c r="I186" s="30">
        <v>1.5</v>
      </c>
      <c r="J186" s="31">
        <v>3.8399999999999997E-2</v>
      </c>
      <c r="L186" s="32">
        <v>0.72</v>
      </c>
      <c r="M186" s="33">
        <v>0</v>
      </c>
      <c r="N186" s="33">
        <v>0</v>
      </c>
      <c r="O186" s="33">
        <v>0</v>
      </c>
      <c r="P186" s="33">
        <v>0</v>
      </c>
      <c r="Q186" s="74">
        <v>1.04E-2</v>
      </c>
    </row>
    <row r="187" spans="4:17" x14ac:dyDescent="0.35">
      <c r="D187" s="23" t="s">
        <v>159</v>
      </c>
      <c r="E187" s="30" t="s">
        <v>29</v>
      </c>
      <c r="F187" s="30" t="s">
        <v>168</v>
      </c>
      <c r="G187" s="23">
        <v>2023</v>
      </c>
      <c r="H187" s="30" t="s">
        <v>162</v>
      </c>
      <c r="I187" s="30">
        <v>2</v>
      </c>
      <c r="J187" s="31">
        <v>6.0499999999999998E-2</v>
      </c>
      <c r="L187" s="32">
        <v>0.73</v>
      </c>
      <c r="M187" s="33">
        <v>0</v>
      </c>
      <c r="N187" s="33">
        <v>0</v>
      </c>
      <c r="O187" s="33">
        <v>0</v>
      </c>
      <c r="P187" s="33">
        <v>0</v>
      </c>
      <c r="Q187" s="74">
        <v>1.0500000000000001E-2</v>
      </c>
    </row>
    <row r="188" spans="4:17" x14ac:dyDescent="0.35">
      <c r="D188" s="23" t="s">
        <v>159</v>
      </c>
      <c r="E188" s="30" t="s">
        <v>30</v>
      </c>
      <c r="F188" s="30" t="s">
        <v>169</v>
      </c>
      <c r="G188" s="23">
        <v>2023</v>
      </c>
      <c r="H188" s="30" t="s">
        <v>162</v>
      </c>
      <c r="I188" s="30">
        <v>2.5</v>
      </c>
      <c r="J188" s="31">
        <v>7.7299999999999994E-2</v>
      </c>
      <c r="L188" s="32">
        <v>0.74</v>
      </c>
      <c r="M188" s="33">
        <v>0</v>
      </c>
      <c r="N188" s="33">
        <v>0</v>
      </c>
      <c r="O188" s="33">
        <v>0</v>
      </c>
      <c r="P188" s="33">
        <v>0</v>
      </c>
      <c r="Q188" s="74">
        <v>1.0699999999999999E-2</v>
      </c>
    </row>
    <row r="189" spans="4:17" x14ac:dyDescent="0.35">
      <c r="D189" s="23" t="s">
        <v>159</v>
      </c>
      <c r="E189" s="30" t="s">
        <v>31</v>
      </c>
      <c r="F189" s="30" t="s">
        <v>170</v>
      </c>
      <c r="G189" s="23">
        <v>2023</v>
      </c>
      <c r="H189" s="30" t="s">
        <v>162</v>
      </c>
      <c r="I189" s="30">
        <v>3</v>
      </c>
      <c r="J189" s="31">
        <v>9.1200000000000003E-2</v>
      </c>
      <c r="L189" s="32">
        <v>0.75</v>
      </c>
      <c r="M189" s="33">
        <v>0</v>
      </c>
      <c r="N189" s="33">
        <v>0</v>
      </c>
      <c r="O189" s="33">
        <v>0</v>
      </c>
      <c r="P189" s="33">
        <v>0</v>
      </c>
      <c r="Q189" s="74">
        <v>1.0800000000000001E-2</v>
      </c>
    </row>
    <row r="190" spans="4:17" x14ac:dyDescent="0.35">
      <c r="D190" s="23" t="s">
        <v>159</v>
      </c>
      <c r="E190" s="30" t="s">
        <v>167</v>
      </c>
      <c r="F190" s="30" t="s">
        <v>171</v>
      </c>
      <c r="G190" s="23">
        <v>2023</v>
      </c>
      <c r="H190" s="30" t="s">
        <v>162</v>
      </c>
      <c r="I190" s="30">
        <v>4</v>
      </c>
      <c r="J190" s="31">
        <v>9.1200000000000003E-2</v>
      </c>
      <c r="L190" s="32">
        <v>0.76</v>
      </c>
      <c r="M190" s="33">
        <v>0</v>
      </c>
      <c r="N190" s="33">
        <v>0</v>
      </c>
      <c r="O190" s="33">
        <v>0</v>
      </c>
      <c r="P190" s="33">
        <v>0</v>
      </c>
      <c r="Q190" s="74">
        <v>1.0999999999999999E-2</v>
      </c>
    </row>
    <row r="191" spans="4:17" x14ac:dyDescent="0.35">
      <c r="D191" s="23" t="s">
        <v>172</v>
      </c>
      <c r="E191" s="30" t="s">
        <v>2700</v>
      </c>
      <c r="F191" s="30" t="s">
        <v>161</v>
      </c>
      <c r="G191" s="23">
        <v>2023</v>
      </c>
      <c r="H191" s="30" t="s">
        <v>173</v>
      </c>
      <c r="I191" s="30">
        <v>1.33</v>
      </c>
      <c r="J191" s="31">
        <v>1.9199999999999998E-2</v>
      </c>
      <c r="L191" s="32">
        <v>0.77</v>
      </c>
      <c r="M191" s="33">
        <v>0</v>
      </c>
      <c r="N191" s="33">
        <v>0</v>
      </c>
      <c r="O191" s="33">
        <v>0</v>
      </c>
      <c r="P191" s="33">
        <v>0</v>
      </c>
      <c r="Q191" s="74">
        <v>1.11E-2</v>
      </c>
    </row>
    <row r="192" spans="4:17" x14ac:dyDescent="0.35">
      <c r="D192" s="23" t="s">
        <v>172</v>
      </c>
      <c r="E192" s="30" t="s">
        <v>27</v>
      </c>
      <c r="F192" s="30" t="s">
        <v>165</v>
      </c>
      <c r="G192" s="23">
        <v>2023</v>
      </c>
      <c r="H192" s="30" t="s">
        <v>173</v>
      </c>
      <c r="I192" s="30">
        <v>1.5</v>
      </c>
      <c r="J192" s="31">
        <v>2.8799999999999999E-2</v>
      </c>
      <c r="L192" s="32">
        <v>0.78</v>
      </c>
      <c r="M192" s="33">
        <v>0</v>
      </c>
      <c r="N192" s="33">
        <v>0</v>
      </c>
      <c r="O192" s="33">
        <v>0</v>
      </c>
      <c r="P192" s="33">
        <v>0</v>
      </c>
      <c r="Q192" s="74">
        <v>1.1299999999999999E-2</v>
      </c>
    </row>
    <row r="193" spans="4:17" x14ac:dyDescent="0.35">
      <c r="D193" s="23" t="s">
        <v>172</v>
      </c>
      <c r="E193" s="30" t="s">
        <v>28</v>
      </c>
      <c r="F193" s="30" t="s">
        <v>166</v>
      </c>
      <c r="G193" s="23">
        <v>2023</v>
      </c>
      <c r="H193" s="30" t="s">
        <v>173</v>
      </c>
      <c r="I193" s="30">
        <v>2</v>
      </c>
      <c r="J193" s="31">
        <v>3.8399999999999997E-2</v>
      </c>
      <c r="L193" s="32">
        <v>0.79</v>
      </c>
      <c r="M193" s="33">
        <v>0</v>
      </c>
      <c r="N193" s="33">
        <v>0</v>
      </c>
      <c r="O193" s="33">
        <v>0</v>
      </c>
      <c r="P193" s="33">
        <v>0</v>
      </c>
      <c r="Q193" s="74">
        <v>1.14E-2</v>
      </c>
    </row>
    <row r="194" spans="4:17" x14ac:dyDescent="0.35">
      <c r="D194" s="23" t="s">
        <v>172</v>
      </c>
      <c r="E194" s="30" t="s">
        <v>29</v>
      </c>
      <c r="F194" s="30" t="s">
        <v>168</v>
      </c>
      <c r="G194" s="23">
        <v>2023</v>
      </c>
      <c r="H194" s="30" t="s">
        <v>173</v>
      </c>
      <c r="I194" s="30">
        <v>2.5</v>
      </c>
      <c r="J194" s="31">
        <v>6.0499999999999998E-2</v>
      </c>
      <c r="L194" s="32">
        <v>0.8</v>
      </c>
      <c r="M194" s="33">
        <v>0</v>
      </c>
      <c r="N194" s="33">
        <v>0</v>
      </c>
      <c r="O194" s="33">
        <v>0</v>
      </c>
      <c r="P194" s="33">
        <v>0</v>
      </c>
      <c r="Q194" s="74">
        <v>1.15E-2</v>
      </c>
    </row>
    <row r="195" spans="4:17" x14ac:dyDescent="0.35">
      <c r="D195" s="23" t="s">
        <v>172</v>
      </c>
      <c r="E195" s="30" t="s">
        <v>30</v>
      </c>
      <c r="F195" s="30" t="s">
        <v>169</v>
      </c>
      <c r="G195" s="23">
        <v>2023</v>
      </c>
      <c r="H195" s="30" t="s">
        <v>173</v>
      </c>
      <c r="I195" s="30">
        <v>3</v>
      </c>
      <c r="J195" s="31">
        <v>7.7299999999999994E-2</v>
      </c>
      <c r="L195" s="32">
        <v>0.81</v>
      </c>
      <c r="M195" s="33">
        <v>0</v>
      </c>
      <c r="N195" s="33">
        <v>0</v>
      </c>
      <c r="O195" s="33">
        <v>0</v>
      </c>
      <c r="P195" s="33">
        <v>0</v>
      </c>
      <c r="Q195" s="74">
        <v>1.17E-2</v>
      </c>
    </row>
    <row r="196" spans="4:17" x14ac:dyDescent="0.35">
      <c r="D196" s="23" t="s">
        <v>172</v>
      </c>
      <c r="E196" s="30" t="s">
        <v>31</v>
      </c>
      <c r="F196" s="30" t="s">
        <v>170</v>
      </c>
      <c r="G196" s="23">
        <v>2023</v>
      </c>
      <c r="H196" s="30" t="s">
        <v>173</v>
      </c>
      <c r="I196" s="30">
        <v>4</v>
      </c>
      <c r="J196" s="31">
        <v>9.1200000000000003E-2</v>
      </c>
      <c r="L196" s="32">
        <v>0.82</v>
      </c>
      <c r="M196" s="33">
        <v>0</v>
      </c>
      <c r="N196" s="33">
        <v>0</v>
      </c>
      <c r="O196" s="33">
        <v>0</v>
      </c>
      <c r="P196" s="33">
        <v>0</v>
      </c>
      <c r="Q196" s="74">
        <v>1.18E-2</v>
      </c>
    </row>
    <row r="197" spans="4:17" x14ac:dyDescent="0.35">
      <c r="D197" s="23" t="s">
        <v>172</v>
      </c>
      <c r="E197" s="30" t="s">
        <v>167</v>
      </c>
      <c r="F197" s="30" t="s">
        <v>171</v>
      </c>
      <c r="G197" s="23">
        <v>2023</v>
      </c>
      <c r="H197" s="30" t="s">
        <v>167</v>
      </c>
      <c r="I197" s="30">
        <v>4</v>
      </c>
      <c r="J197" s="31">
        <v>9.1200000000000003E-2</v>
      </c>
      <c r="L197" s="32">
        <v>0.83</v>
      </c>
      <c r="M197" s="33">
        <v>0</v>
      </c>
      <c r="N197" s="33">
        <v>0</v>
      </c>
      <c r="O197" s="33">
        <v>0</v>
      </c>
      <c r="P197" s="33">
        <v>0</v>
      </c>
      <c r="Q197" s="74">
        <v>1.2E-2</v>
      </c>
    </row>
    <row r="198" spans="4:17" x14ac:dyDescent="0.35">
      <c r="D198" s="23"/>
      <c r="E198" s="30"/>
      <c r="F198" s="30"/>
      <c r="G198" s="23"/>
      <c r="H198" s="30"/>
      <c r="I198" s="30"/>
      <c r="J198" s="31"/>
      <c r="L198" s="32">
        <v>0.84</v>
      </c>
      <c r="M198" s="33">
        <v>0</v>
      </c>
      <c r="N198" s="33">
        <v>0</v>
      </c>
      <c r="O198" s="33">
        <v>0</v>
      </c>
      <c r="P198" s="33">
        <v>0</v>
      </c>
      <c r="Q198" s="74">
        <v>1.21E-2</v>
      </c>
    </row>
    <row r="199" spans="4:17" x14ac:dyDescent="0.35">
      <c r="D199" s="23"/>
      <c r="E199" s="30"/>
      <c r="F199" s="30"/>
      <c r="G199" s="23"/>
      <c r="H199" s="30"/>
      <c r="I199" s="30"/>
      <c r="J199" s="31"/>
      <c r="L199" s="32">
        <v>0.85</v>
      </c>
      <c r="M199" s="33">
        <v>0</v>
      </c>
      <c r="N199" s="33">
        <v>0</v>
      </c>
      <c r="O199" s="33">
        <v>0</v>
      </c>
      <c r="P199" s="33">
        <v>0</v>
      </c>
      <c r="Q199" s="74">
        <v>1.23E-2</v>
      </c>
    </row>
    <row r="200" spans="4:17" x14ac:dyDescent="0.35">
      <c r="D200" s="23"/>
      <c r="E200" s="30"/>
      <c r="F200" s="30"/>
      <c r="G200" s="23"/>
      <c r="H200" s="30"/>
      <c r="I200" s="30"/>
      <c r="J200" s="31"/>
      <c r="L200" s="32">
        <v>0.86</v>
      </c>
      <c r="M200" s="33">
        <v>0</v>
      </c>
      <c r="N200" s="33">
        <v>0</v>
      </c>
      <c r="O200" s="33">
        <v>0</v>
      </c>
      <c r="P200" s="33">
        <v>0</v>
      </c>
      <c r="Q200" s="74">
        <v>1.24E-2</v>
      </c>
    </row>
    <row r="201" spans="4:17" x14ac:dyDescent="0.35">
      <c r="D201" s="23"/>
      <c r="E201" s="30"/>
      <c r="F201" s="30"/>
      <c r="G201" s="23"/>
      <c r="H201" s="30"/>
      <c r="I201" s="30"/>
      <c r="J201" s="31"/>
      <c r="L201" s="32">
        <v>0.87</v>
      </c>
      <c r="M201" s="33">
        <v>0</v>
      </c>
      <c r="N201" s="33">
        <v>0</v>
      </c>
      <c r="O201" s="33">
        <v>0</v>
      </c>
      <c r="P201" s="33">
        <v>0</v>
      </c>
      <c r="Q201" s="74">
        <v>1.26E-2</v>
      </c>
    </row>
    <row r="202" spans="4:17" x14ac:dyDescent="0.35">
      <c r="D202" s="23"/>
      <c r="E202" s="30"/>
      <c r="F202" s="30"/>
      <c r="G202" s="23"/>
      <c r="H202" s="30"/>
      <c r="I202" s="30"/>
      <c r="J202" s="31"/>
      <c r="L202" s="32">
        <v>0.88</v>
      </c>
      <c r="M202" s="33">
        <v>0</v>
      </c>
      <c r="N202" s="33">
        <v>0</v>
      </c>
      <c r="O202" s="33">
        <v>0</v>
      </c>
      <c r="P202" s="33">
        <v>0</v>
      </c>
      <c r="Q202" s="74">
        <v>1.2699999999999999E-2</v>
      </c>
    </row>
    <row r="203" spans="4:17" x14ac:dyDescent="0.35">
      <c r="D203" s="23"/>
      <c r="E203" s="30"/>
      <c r="F203" s="30"/>
      <c r="G203" s="23"/>
      <c r="H203" s="30"/>
      <c r="I203" s="30"/>
      <c r="J203" s="31"/>
      <c r="L203" s="32">
        <v>0.89</v>
      </c>
      <c r="M203" s="33">
        <v>0</v>
      </c>
      <c r="N203" s="33">
        <v>0</v>
      </c>
      <c r="O203" s="33">
        <v>0</v>
      </c>
      <c r="P203" s="33">
        <v>0</v>
      </c>
      <c r="Q203" s="74">
        <v>1.2800000000000001E-2</v>
      </c>
    </row>
    <row r="204" spans="4:17" x14ac:dyDescent="0.35">
      <c r="D204" s="23"/>
      <c r="E204" s="30"/>
      <c r="F204" s="30"/>
      <c r="G204" s="23"/>
      <c r="H204" s="30"/>
      <c r="I204" s="30"/>
      <c r="J204" s="31"/>
      <c r="L204" s="32">
        <v>0.9</v>
      </c>
      <c r="M204" s="33">
        <v>0</v>
      </c>
      <c r="N204" s="33">
        <v>0</v>
      </c>
      <c r="O204" s="33">
        <v>0</v>
      </c>
      <c r="P204" s="33">
        <v>0</v>
      </c>
      <c r="Q204" s="74">
        <v>1.2999999999999999E-2</v>
      </c>
    </row>
    <row r="205" spans="4:17" x14ac:dyDescent="0.35">
      <c r="D205" s="23"/>
      <c r="E205" s="30"/>
      <c r="F205" s="30"/>
      <c r="G205" s="23"/>
      <c r="H205" s="30"/>
      <c r="I205" s="30"/>
      <c r="J205" s="31"/>
      <c r="L205" s="32">
        <v>0.91</v>
      </c>
      <c r="M205" s="33">
        <v>0</v>
      </c>
      <c r="N205" s="33">
        <v>0</v>
      </c>
      <c r="O205" s="33">
        <v>0</v>
      </c>
      <c r="P205" s="33">
        <v>0</v>
      </c>
      <c r="Q205" s="74">
        <v>1.3100000000000001E-2</v>
      </c>
    </row>
    <row r="206" spans="4:17" x14ac:dyDescent="0.35">
      <c r="D206" s="23"/>
      <c r="E206" s="30"/>
      <c r="F206" s="30"/>
      <c r="G206" s="23"/>
      <c r="H206" s="30"/>
      <c r="I206" s="30"/>
      <c r="J206" s="31"/>
      <c r="L206" s="32">
        <v>0.92</v>
      </c>
      <c r="M206" s="33">
        <v>0</v>
      </c>
      <c r="N206" s="33">
        <v>0</v>
      </c>
      <c r="O206" s="33">
        <v>0</v>
      </c>
      <c r="P206" s="33">
        <v>0</v>
      </c>
      <c r="Q206" s="74">
        <v>1.3299999999999999E-2</v>
      </c>
    </row>
    <row r="207" spans="4:17" x14ac:dyDescent="0.35">
      <c r="D207" s="23"/>
      <c r="E207" s="30"/>
      <c r="F207" s="30"/>
      <c r="G207" s="23"/>
      <c r="H207" s="30"/>
      <c r="I207" s="30"/>
      <c r="J207" s="31"/>
      <c r="L207" s="32">
        <v>0.93</v>
      </c>
      <c r="M207" s="33">
        <v>0</v>
      </c>
      <c r="N207" s="33">
        <v>0</v>
      </c>
      <c r="O207" s="33">
        <v>0</v>
      </c>
      <c r="P207" s="33">
        <v>0</v>
      </c>
      <c r="Q207" s="74">
        <v>1.34E-2</v>
      </c>
    </row>
    <row r="208" spans="4:17" x14ac:dyDescent="0.35">
      <c r="D208" s="23"/>
      <c r="E208" s="30"/>
      <c r="F208" s="30"/>
      <c r="G208" s="23"/>
      <c r="H208" s="30"/>
      <c r="I208" s="30"/>
      <c r="J208" s="31"/>
      <c r="L208" s="32">
        <v>0.94</v>
      </c>
      <c r="M208" s="33">
        <v>0</v>
      </c>
      <c r="N208" s="33">
        <v>0</v>
      </c>
      <c r="O208" s="33">
        <v>0</v>
      </c>
      <c r="P208" s="33">
        <v>0</v>
      </c>
      <c r="Q208" s="74">
        <v>1.3599999999999999E-2</v>
      </c>
    </row>
    <row r="209" spans="4:17" x14ac:dyDescent="0.35">
      <c r="D209" s="23"/>
      <c r="E209" s="30"/>
      <c r="F209" s="30"/>
      <c r="G209" s="23"/>
      <c r="H209" s="30"/>
      <c r="I209" s="30"/>
      <c r="J209" s="31"/>
      <c r="L209" s="32">
        <v>0.95</v>
      </c>
      <c r="M209" s="33">
        <v>0</v>
      </c>
      <c r="N209" s="33">
        <v>0</v>
      </c>
      <c r="O209" s="33">
        <v>0</v>
      </c>
      <c r="P209" s="33">
        <v>0</v>
      </c>
      <c r="Q209" s="74">
        <v>1.37E-2</v>
      </c>
    </row>
    <row r="210" spans="4:17" x14ac:dyDescent="0.35">
      <c r="D210" s="23"/>
      <c r="E210" s="30"/>
      <c r="F210" s="30"/>
      <c r="G210" s="23"/>
      <c r="H210" s="30"/>
      <c r="I210" s="30"/>
      <c r="J210" s="31"/>
      <c r="L210" s="32">
        <v>0.96</v>
      </c>
      <c r="M210" s="33">
        <v>0</v>
      </c>
      <c r="N210" s="33">
        <v>0</v>
      </c>
      <c r="O210" s="33">
        <v>0</v>
      </c>
      <c r="P210" s="33">
        <v>0</v>
      </c>
      <c r="Q210" s="74">
        <v>1.3899999999999999E-2</v>
      </c>
    </row>
    <row r="211" spans="4:17" x14ac:dyDescent="0.35">
      <c r="D211" s="23"/>
      <c r="E211" s="30"/>
      <c r="F211" s="30"/>
      <c r="G211" s="23"/>
      <c r="H211" s="30"/>
      <c r="I211" s="30"/>
      <c r="J211" s="31"/>
      <c r="L211" s="32">
        <v>0.97</v>
      </c>
      <c r="M211" s="33">
        <v>0</v>
      </c>
      <c r="N211" s="33">
        <v>0</v>
      </c>
      <c r="O211" s="33">
        <v>0</v>
      </c>
      <c r="P211" s="33">
        <v>0</v>
      </c>
      <c r="Q211" s="74">
        <v>1.4E-2</v>
      </c>
    </row>
    <row r="212" spans="4:17" x14ac:dyDescent="0.35">
      <c r="D212" s="23"/>
      <c r="E212" s="30"/>
      <c r="F212" s="30"/>
      <c r="G212" s="23"/>
      <c r="H212" s="30"/>
      <c r="I212" s="30"/>
      <c r="J212" s="31"/>
      <c r="L212" s="32">
        <v>0.98</v>
      </c>
      <c r="M212" s="33">
        <v>0</v>
      </c>
      <c r="N212" s="33">
        <v>0</v>
      </c>
      <c r="O212" s="33">
        <v>0</v>
      </c>
      <c r="P212" s="33">
        <v>0</v>
      </c>
      <c r="Q212" s="74">
        <v>1.41E-2</v>
      </c>
    </row>
    <row r="213" spans="4:17" x14ac:dyDescent="0.35">
      <c r="D213" s="23"/>
      <c r="E213" s="30"/>
      <c r="F213" s="30"/>
      <c r="G213" s="23"/>
      <c r="H213" s="30"/>
      <c r="I213" s="30"/>
      <c r="J213" s="31"/>
      <c r="L213" s="32">
        <v>0.99</v>
      </c>
      <c r="M213" s="33">
        <v>0</v>
      </c>
      <c r="N213" s="33">
        <v>0</v>
      </c>
      <c r="O213" s="33">
        <v>0</v>
      </c>
      <c r="P213" s="33">
        <v>0</v>
      </c>
      <c r="Q213" s="74">
        <v>1.43E-2</v>
      </c>
    </row>
    <row r="214" spans="4:17" x14ac:dyDescent="0.35">
      <c r="D214" s="23"/>
      <c r="E214" s="30"/>
      <c r="F214" s="30"/>
      <c r="G214" s="23"/>
      <c r="H214" s="30"/>
      <c r="I214" s="30"/>
      <c r="J214" s="31"/>
      <c r="L214" s="32">
        <v>1</v>
      </c>
      <c r="M214" s="33">
        <v>0</v>
      </c>
      <c r="N214" s="33">
        <v>0</v>
      </c>
      <c r="O214" s="33">
        <v>0</v>
      </c>
      <c r="P214" s="33">
        <v>0</v>
      </c>
      <c r="Q214" s="74">
        <v>1.44E-2</v>
      </c>
    </row>
    <row r="215" spans="4:17" x14ac:dyDescent="0.35">
      <c r="D215" s="23"/>
      <c r="E215" s="30"/>
      <c r="F215" s="30"/>
      <c r="G215" s="23"/>
      <c r="H215" s="30"/>
      <c r="I215" s="30"/>
      <c r="J215" s="31"/>
      <c r="L215" s="32">
        <v>1.01</v>
      </c>
      <c r="M215" s="33">
        <v>5.9999999999999995E-4</v>
      </c>
      <c r="N215" s="33">
        <v>5.9999999999999995E-4</v>
      </c>
      <c r="O215" s="33">
        <v>0</v>
      </c>
      <c r="P215" s="33">
        <v>0</v>
      </c>
      <c r="Q215" s="74">
        <v>1.46E-2</v>
      </c>
    </row>
    <row r="216" spans="4:17" x14ac:dyDescent="0.35">
      <c r="D216" s="23"/>
      <c r="E216" s="30"/>
      <c r="F216" s="30"/>
      <c r="G216" s="23"/>
      <c r="H216" s="30"/>
      <c r="I216" s="30"/>
      <c r="J216" s="31"/>
      <c r="L216" s="32">
        <v>1.02</v>
      </c>
      <c r="M216" s="33">
        <v>1.2999999999999999E-3</v>
      </c>
      <c r="N216" s="33">
        <v>1.1999999999999999E-3</v>
      </c>
      <c r="O216" s="33">
        <v>0</v>
      </c>
      <c r="P216" s="33">
        <v>0</v>
      </c>
      <c r="Q216" s="74">
        <v>1.47E-2</v>
      </c>
    </row>
    <row r="217" spans="4:17" x14ac:dyDescent="0.35">
      <c r="D217" s="23"/>
      <c r="E217" s="30"/>
      <c r="F217" s="30"/>
      <c r="G217" s="23"/>
      <c r="H217" s="30"/>
      <c r="I217" s="30"/>
      <c r="J217" s="31"/>
      <c r="L217" s="32">
        <v>1.03</v>
      </c>
      <c r="M217" s="33">
        <v>1.9E-3</v>
      </c>
      <c r="N217" s="33">
        <v>1.9E-3</v>
      </c>
      <c r="O217" s="33">
        <v>0</v>
      </c>
      <c r="P217" s="33">
        <v>0</v>
      </c>
      <c r="Q217" s="74">
        <v>1.49E-2</v>
      </c>
    </row>
    <row r="218" spans="4:17" x14ac:dyDescent="0.35">
      <c r="D218" s="23"/>
      <c r="E218" s="30"/>
      <c r="F218" s="30"/>
      <c r="G218" s="23"/>
      <c r="H218" s="30"/>
      <c r="I218" s="30"/>
      <c r="J218" s="31"/>
      <c r="L218" s="32">
        <v>1.04</v>
      </c>
      <c r="M218" s="33">
        <v>2.5000000000000001E-3</v>
      </c>
      <c r="N218" s="33">
        <v>2.5000000000000001E-3</v>
      </c>
      <c r="O218" s="33">
        <v>0</v>
      </c>
      <c r="P218" s="33">
        <v>0</v>
      </c>
      <c r="Q218" s="74">
        <v>1.4999999999999999E-2</v>
      </c>
    </row>
    <row r="219" spans="4:17" x14ac:dyDescent="0.35">
      <c r="D219" s="23"/>
      <c r="E219" s="30"/>
      <c r="F219" s="30"/>
      <c r="G219" s="23"/>
      <c r="H219" s="30"/>
      <c r="I219" s="30"/>
      <c r="J219" s="31"/>
      <c r="L219" s="32">
        <v>1.05</v>
      </c>
      <c r="M219" s="33">
        <v>3.2000000000000002E-3</v>
      </c>
      <c r="N219" s="33">
        <v>3.0999999999999999E-3</v>
      </c>
      <c r="O219" s="33">
        <v>0</v>
      </c>
      <c r="P219" s="33">
        <v>0</v>
      </c>
      <c r="Q219" s="74">
        <v>1.52E-2</v>
      </c>
    </row>
    <row r="220" spans="4:17" x14ac:dyDescent="0.35">
      <c r="D220" s="23"/>
      <c r="E220" s="30"/>
      <c r="F220" s="30"/>
      <c r="G220" s="23"/>
      <c r="H220" s="30"/>
      <c r="I220" s="30"/>
      <c r="J220" s="31"/>
      <c r="L220" s="32">
        <v>1.06</v>
      </c>
      <c r="M220" s="33">
        <v>3.8E-3</v>
      </c>
      <c r="N220" s="33">
        <v>3.7000000000000002E-3</v>
      </c>
      <c r="O220" s="33">
        <v>0</v>
      </c>
      <c r="P220" s="33">
        <v>0</v>
      </c>
      <c r="Q220" s="74">
        <v>1.5299999999999999E-2</v>
      </c>
    </row>
    <row r="221" spans="4:17" x14ac:dyDescent="0.35">
      <c r="D221" s="23"/>
      <c r="E221" s="30"/>
      <c r="F221" s="30"/>
      <c r="G221" s="23"/>
      <c r="H221" s="30"/>
      <c r="I221" s="30"/>
      <c r="J221" s="31"/>
      <c r="L221" s="32">
        <v>1.07</v>
      </c>
      <c r="M221" s="33">
        <v>4.4000000000000003E-3</v>
      </c>
      <c r="N221" s="33">
        <v>4.4000000000000003E-3</v>
      </c>
      <c r="O221" s="33">
        <v>0</v>
      </c>
      <c r="P221" s="33">
        <v>0</v>
      </c>
      <c r="Q221" s="74">
        <v>1.54E-2</v>
      </c>
    </row>
    <row r="222" spans="4:17" x14ac:dyDescent="0.35">
      <c r="D222" s="23"/>
      <c r="E222" s="30"/>
      <c r="F222" s="30"/>
      <c r="G222" s="23"/>
      <c r="H222" s="30"/>
      <c r="I222" s="30"/>
      <c r="J222" s="31"/>
      <c r="L222" s="32">
        <v>1.08</v>
      </c>
      <c r="M222" s="33">
        <v>5.0000000000000001E-3</v>
      </c>
      <c r="N222" s="33">
        <v>5.0000000000000001E-3</v>
      </c>
      <c r="O222" s="33">
        <v>0</v>
      </c>
      <c r="P222" s="33">
        <v>0</v>
      </c>
      <c r="Q222" s="74">
        <v>1.5599999999999999E-2</v>
      </c>
    </row>
    <row r="223" spans="4:17" x14ac:dyDescent="0.35">
      <c r="D223" s="23"/>
      <c r="E223" s="30"/>
      <c r="F223" s="30"/>
      <c r="G223" s="23"/>
      <c r="H223" s="30"/>
      <c r="I223" s="30"/>
      <c r="J223" s="31"/>
      <c r="L223" s="32">
        <v>1.0900000000000001</v>
      </c>
      <c r="M223" s="33">
        <v>5.7000000000000002E-3</v>
      </c>
      <c r="N223" s="33">
        <v>5.5999999999999999E-3</v>
      </c>
      <c r="O223" s="33">
        <v>0</v>
      </c>
      <c r="P223" s="33">
        <v>0</v>
      </c>
      <c r="Q223" s="74">
        <v>1.5699999999999999E-2</v>
      </c>
    </row>
    <row r="224" spans="4:17" x14ac:dyDescent="0.35">
      <c r="D224" s="23"/>
      <c r="E224" s="30"/>
      <c r="F224" s="30"/>
      <c r="G224" s="23"/>
      <c r="H224" s="30"/>
      <c r="I224" s="30"/>
      <c r="J224" s="31"/>
      <c r="L224" s="32">
        <v>1.1000000000000001</v>
      </c>
      <c r="M224" s="33">
        <v>6.3E-3</v>
      </c>
      <c r="N224" s="33">
        <v>6.1999999999999998E-3</v>
      </c>
      <c r="O224" s="33">
        <v>0</v>
      </c>
      <c r="P224" s="33">
        <v>0</v>
      </c>
      <c r="Q224" s="74">
        <v>1.5900000000000001E-2</v>
      </c>
    </row>
    <row r="225" spans="4:17" x14ac:dyDescent="0.35">
      <c r="D225" s="23"/>
      <c r="E225" s="30"/>
      <c r="F225" s="30"/>
      <c r="G225" s="23"/>
      <c r="H225" s="30"/>
      <c r="I225" s="30"/>
      <c r="J225" s="31"/>
      <c r="L225" s="32">
        <v>1.1100000000000001</v>
      </c>
      <c r="M225" s="33">
        <v>6.8999999999999999E-3</v>
      </c>
      <c r="N225" s="33">
        <v>6.8999999999999999E-3</v>
      </c>
      <c r="O225" s="33">
        <v>0</v>
      </c>
      <c r="P225" s="33">
        <v>0</v>
      </c>
      <c r="Q225" s="74">
        <v>1.6E-2</v>
      </c>
    </row>
    <row r="226" spans="4:17" x14ac:dyDescent="0.35">
      <c r="D226" s="23"/>
      <c r="E226" s="30"/>
      <c r="F226" s="30"/>
      <c r="G226" s="23"/>
      <c r="H226" s="30"/>
      <c r="I226" s="30"/>
      <c r="J226" s="31"/>
      <c r="L226" s="32">
        <v>1.1200000000000001</v>
      </c>
      <c r="M226" s="33">
        <v>7.6E-3</v>
      </c>
      <c r="N226" s="33">
        <v>7.4999999999999997E-3</v>
      </c>
      <c r="O226" s="33">
        <v>0</v>
      </c>
      <c r="P226" s="33">
        <v>0</v>
      </c>
      <c r="Q226" s="74">
        <v>1.6199999999999999E-2</v>
      </c>
    </row>
    <row r="227" spans="4:17" x14ac:dyDescent="0.35">
      <c r="D227" s="23"/>
      <c r="E227" s="30"/>
      <c r="F227" s="30"/>
      <c r="G227" s="23"/>
      <c r="H227" s="30"/>
      <c r="I227" s="30"/>
      <c r="J227" s="31"/>
      <c r="L227" s="32">
        <v>1.1299999999999999</v>
      </c>
      <c r="M227" s="33">
        <v>8.2000000000000007E-3</v>
      </c>
      <c r="N227" s="33">
        <v>8.0999999999999996E-3</v>
      </c>
      <c r="O227" s="33">
        <v>0</v>
      </c>
      <c r="P227" s="33">
        <v>0</v>
      </c>
      <c r="Q227" s="74">
        <v>1.6299999999999999E-2</v>
      </c>
    </row>
    <row r="228" spans="4:17" x14ac:dyDescent="0.35">
      <c r="D228" s="23"/>
      <c r="E228" s="30"/>
      <c r="F228" s="30"/>
      <c r="G228" s="23"/>
      <c r="H228" s="30"/>
      <c r="I228" s="30"/>
      <c r="J228" s="31"/>
      <c r="L228" s="32">
        <v>1.1399999999999999</v>
      </c>
      <c r="M228" s="33">
        <v>8.8000000000000005E-3</v>
      </c>
      <c r="N228" s="33">
        <v>8.6999999999999994E-3</v>
      </c>
      <c r="O228" s="33">
        <v>0</v>
      </c>
      <c r="P228" s="33">
        <v>0</v>
      </c>
      <c r="Q228" s="74">
        <v>1.6500000000000001E-2</v>
      </c>
    </row>
    <row r="229" spans="4:17" x14ac:dyDescent="0.35">
      <c r="D229" s="23"/>
      <c r="E229" s="30"/>
      <c r="F229" s="30"/>
      <c r="G229" s="23"/>
      <c r="H229" s="30"/>
      <c r="I229" s="30"/>
      <c r="J229" s="31"/>
      <c r="L229" s="32">
        <v>1.1499999999999999</v>
      </c>
      <c r="M229" s="33">
        <v>9.4999999999999998E-3</v>
      </c>
      <c r="N229" s="33">
        <v>9.4000000000000004E-3</v>
      </c>
      <c r="O229" s="33">
        <v>0</v>
      </c>
      <c r="P229" s="33">
        <v>0</v>
      </c>
      <c r="Q229" s="74">
        <v>1.66E-2</v>
      </c>
    </row>
    <row r="230" spans="4:17" x14ac:dyDescent="0.35">
      <c r="D230" s="23"/>
      <c r="E230" s="30"/>
      <c r="F230" s="30"/>
      <c r="G230" s="23"/>
      <c r="H230" s="30"/>
      <c r="I230" s="30"/>
      <c r="J230" s="31"/>
      <c r="L230" s="32">
        <v>1.1599999999999999</v>
      </c>
      <c r="M230" s="33">
        <v>1.01E-2</v>
      </c>
      <c r="N230" s="33">
        <v>0.01</v>
      </c>
      <c r="O230" s="33">
        <v>0</v>
      </c>
      <c r="P230" s="33">
        <v>0</v>
      </c>
      <c r="Q230" s="74">
        <v>1.67E-2</v>
      </c>
    </row>
    <row r="231" spans="4:17" x14ac:dyDescent="0.35">
      <c r="D231" s="23"/>
      <c r="E231" s="30"/>
      <c r="F231" s="30"/>
      <c r="G231" s="23"/>
      <c r="H231" s="30"/>
      <c r="I231" s="30"/>
      <c r="J231" s="31"/>
      <c r="L231" s="32">
        <v>1.17</v>
      </c>
      <c r="M231" s="33">
        <v>1.0699999999999999E-2</v>
      </c>
      <c r="N231" s="33">
        <v>1.06E-2</v>
      </c>
      <c r="O231" s="33">
        <v>0</v>
      </c>
      <c r="P231" s="33">
        <v>0</v>
      </c>
      <c r="Q231" s="74">
        <v>1.6899999999999998E-2</v>
      </c>
    </row>
    <row r="232" spans="4:17" x14ac:dyDescent="0.35">
      <c r="D232" s="23"/>
      <c r="E232" s="30"/>
      <c r="F232" s="30"/>
      <c r="G232" s="23"/>
      <c r="H232" s="30"/>
      <c r="I232" s="30"/>
      <c r="J232" s="31"/>
      <c r="L232" s="32">
        <v>1.18</v>
      </c>
      <c r="M232" s="33">
        <v>1.1299999999999999E-2</v>
      </c>
      <c r="N232" s="33">
        <v>1.12E-2</v>
      </c>
      <c r="O232" s="33">
        <v>0</v>
      </c>
      <c r="P232" s="33">
        <v>0</v>
      </c>
      <c r="Q232" s="74">
        <v>1.7000000000000001E-2</v>
      </c>
    </row>
    <row r="233" spans="4:17" x14ac:dyDescent="0.35">
      <c r="D233" s="23"/>
      <c r="E233" s="30"/>
      <c r="F233" s="30"/>
      <c r="G233" s="23"/>
      <c r="H233" s="30"/>
      <c r="I233" s="30"/>
      <c r="J233" s="31"/>
      <c r="L233" s="32">
        <v>1.19</v>
      </c>
      <c r="M233" s="33">
        <v>1.2E-2</v>
      </c>
      <c r="N233" s="33">
        <v>1.1900000000000001E-2</v>
      </c>
      <c r="O233" s="33">
        <v>0</v>
      </c>
      <c r="P233" s="33">
        <v>0</v>
      </c>
      <c r="Q233" s="74">
        <v>1.72E-2</v>
      </c>
    </row>
    <row r="234" spans="4:17" x14ac:dyDescent="0.35">
      <c r="D234" s="23"/>
      <c r="E234" s="30"/>
      <c r="F234" s="30"/>
      <c r="G234" s="23"/>
      <c r="H234" s="30"/>
      <c r="I234" s="30"/>
      <c r="J234" s="31"/>
      <c r="L234" s="32">
        <v>1.2</v>
      </c>
      <c r="M234" s="33">
        <v>1.26E-2</v>
      </c>
      <c r="N234" s="33">
        <v>1.2500000000000001E-2</v>
      </c>
      <c r="O234" s="33">
        <v>0</v>
      </c>
      <c r="P234" s="33">
        <v>0</v>
      </c>
      <c r="Q234" s="74">
        <v>1.7299999999999999E-2</v>
      </c>
    </row>
    <row r="235" spans="4:17" x14ac:dyDescent="0.35">
      <c r="D235" s="23"/>
      <c r="E235" s="30"/>
      <c r="F235" s="30"/>
      <c r="G235" s="23"/>
      <c r="H235" s="30"/>
      <c r="I235" s="30"/>
      <c r="J235" s="31"/>
      <c r="L235" s="32">
        <v>1.21</v>
      </c>
      <c r="M235" s="33">
        <v>1.32E-2</v>
      </c>
      <c r="N235" s="33">
        <v>1.3100000000000001E-2</v>
      </c>
      <c r="O235" s="33">
        <v>0</v>
      </c>
      <c r="P235" s="33">
        <v>0</v>
      </c>
      <c r="Q235" s="74">
        <v>1.7500000000000002E-2</v>
      </c>
    </row>
    <row r="236" spans="4:17" x14ac:dyDescent="0.35">
      <c r="D236" s="23"/>
      <c r="E236" s="30"/>
      <c r="F236" s="30"/>
      <c r="G236" s="23"/>
      <c r="H236" s="30"/>
      <c r="I236" s="30"/>
      <c r="J236" s="31"/>
      <c r="L236" s="32">
        <v>1.22</v>
      </c>
      <c r="M236" s="33">
        <v>1.3899999999999999E-2</v>
      </c>
      <c r="N236" s="33">
        <v>1.37E-2</v>
      </c>
      <c r="O236" s="33">
        <v>0</v>
      </c>
      <c r="P236" s="33">
        <v>0</v>
      </c>
      <c r="Q236" s="74">
        <v>1.7600000000000001E-2</v>
      </c>
    </row>
    <row r="237" spans="4:17" x14ac:dyDescent="0.35">
      <c r="D237" s="23"/>
      <c r="E237" s="30"/>
      <c r="F237" s="30"/>
      <c r="G237" s="23"/>
      <c r="H237" s="30"/>
      <c r="I237" s="30"/>
      <c r="J237" s="31"/>
      <c r="L237" s="32">
        <v>1.23</v>
      </c>
      <c r="M237" s="33">
        <v>1.4500000000000001E-2</v>
      </c>
      <c r="N237" s="33">
        <v>1.44E-2</v>
      </c>
      <c r="O237" s="33">
        <v>0</v>
      </c>
      <c r="P237" s="33">
        <v>0</v>
      </c>
      <c r="Q237" s="74">
        <v>1.78E-2</v>
      </c>
    </row>
    <row r="238" spans="4:17" x14ac:dyDescent="0.35">
      <c r="D238" s="23"/>
      <c r="E238" s="30"/>
      <c r="F238" s="30"/>
      <c r="G238" s="23"/>
      <c r="H238" s="30"/>
      <c r="I238" s="30"/>
      <c r="J238" s="31"/>
      <c r="L238" s="32">
        <v>1.24</v>
      </c>
      <c r="M238" s="33">
        <v>1.5100000000000001E-2</v>
      </c>
      <c r="N238" s="33">
        <v>1.4999999999999999E-2</v>
      </c>
      <c r="O238" s="33">
        <v>0</v>
      </c>
      <c r="P238" s="33">
        <v>0</v>
      </c>
      <c r="Q238" s="74">
        <v>1.7899999999999999E-2</v>
      </c>
    </row>
    <row r="239" spans="4:17" x14ac:dyDescent="0.35">
      <c r="D239" s="23"/>
      <c r="E239" s="30"/>
      <c r="F239" s="30"/>
      <c r="G239" s="23"/>
      <c r="H239" s="30"/>
      <c r="I239" s="30"/>
      <c r="J239" s="31"/>
      <c r="L239" s="32">
        <v>1.25</v>
      </c>
      <c r="M239" s="33">
        <v>1.5800000000000002E-2</v>
      </c>
      <c r="N239" s="33">
        <v>1.5599999999999999E-2</v>
      </c>
      <c r="O239" s="33">
        <v>0</v>
      </c>
      <c r="P239" s="33">
        <v>0</v>
      </c>
      <c r="Q239" s="74">
        <v>1.7999999999999999E-2</v>
      </c>
    </row>
    <row r="240" spans="4:17" x14ac:dyDescent="0.35">
      <c r="D240" s="23"/>
      <c r="E240" s="30"/>
      <c r="F240" s="30"/>
      <c r="G240" s="23"/>
      <c r="H240" s="30"/>
      <c r="I240" s="30"/>
      <c r="J240" s="31"/>
      <c r="L240" s="32">
        <v>1.26</v>
      </c>
      <c r="M240" s="33">
        <v>1.6400000000000001E-2</v>
      </c>
      <c r="N240" s="33">
        <v>1.6199999999999999E-2</v>
      </c>
      <c r="O240" s="33">
        <v>0</v>
      </c>
      <c r="P240" s="33">
        <v>0</v>
      </c>
      <c r="Q240" s="74">
        <v>1.8200000000000001E-2</v>
      </c>
    </row>
    <row r="241" spans="4:17" x14ac:dyDescent="0.35">
      <c r="D241" s="23"/>
      <c r="E241" s="30"/>
      <c r="F241" s="30"/>
      <c r="G241" s="23"/>
      <c r="H241" s="30"/>
      <c r="I241" s="30"/>
      <c r="J241" s="31"/>
      <c r="L241" s="32">
        <v>1.27</v>
      </c>
      <c r="M241" s="33">
        <v>1.7000000000000001E-2</v>
      </c>
      <c r="N241" s="33">
        <v>1.6899999999999998E-2</v>
      </c>
      <c r="O241" s="33">
        <v>0</v>
      </c>
      <c r="P241" s="33">
        <v>0</v>
      </c>
      <c r="Q241" s="74">
        <v>1.83E-2</v>
      </c>
    </row>
    <row r="242" spans="4:17" x14ac:dyDescent="0.35">
      <c r="D242" s="23"/>
      <c r="E242" s="30"/>
      <c r="F242" s="30"/>
      <c r="G242" s="23"/>
      <c r="H242" s="30"/>
      <c r="I242" s="30"/>
      <c r="J242" s="31"/>
      <c r="L242" s="32">
        <v>1.28</v>
      </c>
      <c r="M242" s="33">
        <v>1.7600000000000001E-2</v>
      </c>
      <c r="N242" s="33">
        <v>1.7500000000000002E-2</v>
      </c>
      <c r="O242" s="33">
        <v>0</v>
      </c>
      <c r="P242" s="33">
        <v>0</v>
      </c>
      <c r="Q242" s="74">
        <v>1.8499999999999999E-2</v>
      </c>
    </row>
    <row r="243" spans="4:17" x14ac:dyDescent="0.35">
      <c r="D243" s="23"/>
      <c r="E243" s="30"/>
      <c r="F243" s="30"/>
      <c r="G243" s="23"/>
      <c r="H243" s="30"/>
      <c r="I243" s="30"/>
      <c r="J243" s="31"/>
      <c r="L243" s="32">
        <v>1.29</v>
      </c>
      <c r="M243" s="33">
        <v>1.83E-2</v>
      </c>
      <c r="N243" s="33">
        <v>1.8100000000000002E-2</v>
      </c>
      <c r="O243" s="33">
        <v>0</v>
      </c>
      <c r="P243" s="33">
        <v>0</v>
      </c>
      <c r="Q243" s="74">
        <v>1.8599999999999998E-2</v>
      </c>
    </row>
    <row r="244" spans="4:17" x14ac:dyDescent="0.35">
      <c r="D244" s="23"/>
      <c r="E244" s="30"/>
      <c r="F244" s="30"/>
      <c r="G244" s="23"/>
      <c r="H244" s="30"/>
      <c r="I244" s="30"/>
      <c r="J244" s="31"/>
      <c r="L244" s="32">
        <v>1.3</v>
      </c>
      <c r="M244" s="33">
        <v>1.89E-2</v>
      </c>
      <c r="N244" s="33">
        <v>1.8700000000000001E-2</v>
      </c>
      <c r="O244" s="33">
        <v>0</v>
      </c>
      <c r="P244" s="33">
        <v>0</v>
      </c>
      <c r="Q244" s="74">
        <v>1.8800000000000001E-2</v>
      </c>
    </row>
    <row r="245" spans="4:17" x14ac:dyDescent="0.35">
      <c r="D245" s="23"/>
      <c r="E245" s="30"/>
      <c r="F245" s="30"/>
      <c r="G245" s="23"/>
      <c r="H245" s="30"/>
      <c r="I245" s="30"/>
      <c r="J245" s="31"/>
      <c r="L245" s="32">
        <v>1.31</v>
      </c>
      <c r="M245" s="33">
        <v>1.95E-2</v>
      </c>
      <c r="N245" s="33">
        <v>1.9400000000000001E-2</v>
      </c>
      <c r="O245" s="33">
        <v>0</v>
      </c>
      <c r="P245" s="33">
        <v>0</v>
      </c>
      <c r="Q245" s="74">
        <v>1.89E-2</v>
      </c>
    </row>
    <row r="246" spans="4:17" x14ac:dyDescent="0.35">
      <c r="D246" s="23"/>
      <c r="E246" s="30"/>
      <c r="F246" s="30"/>
      <c r="G246" s="23"/>
      <c r="H246" s="30"/>
      <c r="I246" s="30"/>
      <c r="J246" s="31"/>
      <c r="L246" s="32">
        <v>1.32</v>
      </c>
      <c r="M246" s="33">
        <v>2.0199999999999999E-2</v>
      </c>
      <c r="N246" s="33">
        <v>0.02</v>
      </c>
      <c r="O246" s="33">
        <v>0</v>
      </c>
      <c r="P246" s="33">
        <v>0</v>
      </c>
      <c r="Q246" s="74">
        <v>1.9199999999999998E-2</v>
      </c>
    </row>
    <row r="247" spans="4:17" x14ac:dyDescent="0.35">
      <c r="D247" s="23"/>
      <c r="E247" s="30"/>
      <c r="F247" s="30"/>
      <c r="G247" s="23"/>
      <c r="H247" s="30"/>
      <c r="I247" s="30"/>
      <c r="J247" s="31"/>
      <c r="L247" s="32">
        <v>1.33</v>
      </c>
      <c r="M247" s="33">
        <v>2.0799999999999999E-2</v>
      </c>
      <c r="N247" s="35">
        <v>2.06E-2</v>
      </c>
      <c r="O247" s="33">
        <v>0</v>
      </c>
      <c r="P247" s="33">
        <v>0</v>
      </c>
      <c r="Q247" s="74">
        <v>2.8799999999999999E-2</v>
      </c>
    </row>
    <row r="248" spans="4:17" x14ac:dyDescent="0.35">
      <c r="D248" s="23"/>
      <c r="E248" s="30"/>
      <c r="F248" s="30"/>
      <c r="G248" s="23"/>
      <c r="H248" s="30"/>
      <c r="I248" s="30"/>
      <c r="J248" s="31"/>
      <c r="L248" s="32">
        <v>1.34</v>
      </c>
      <c r="M248" s="33">
        <v>2.1399999999999999E-2</v>
      </c>
      <c r="N248" s="33">
        <v>2.12E-2</v>
      </c>
      <c r="O248" s="33">
        <v>0</v>
      </c>
      <c r="P248" s="33">
        <v>0</v>
      </c>
      <c r="Q248" s="74">
        <v>2.9399999999999999E-2</v>
      </c>
    </row>
    <row r="249" spans="4:17" x14ac:dyDescent="0.35">
      <c r="D249" s="23"/>
      <c r="E249" s="30"/>
      <c r="F249" s="30"/>
      <c r="G249" s="23"/>
      <c r="H249" s="30"/>
      <c r="I249" s="30"/>
      <c r="J249" s="31"/>
      <c r="L249" s="32">
        <v>1.35</v>
      </c>
      <c r="M249" s="33">
        <v>2.1999999999999999E-2</v>
      </c>
      <c r="N249" s="33">
        <v>2.18E-2</v>
      </c>
      <c r="O249" s="33">
        <v>0</v>
      </c>
      <c r="P249" s="33">
        <v>0</v>
      </c>
      <c r="Q249" s="74">
        <v>2.9899999999999999E-2</v>
      </c>
    </row>
    <row r="250" spans="4:17" x14ac:dyDescent="0.35">
      <c r="D250" s="23"/>
      <c r="E250" s="30"/>
      <c r="F250" s="30"/>
      <c r="G250" s="23"/>
      <c r="H250" s="30"/>
      <c r="I250" s="30"/>
      <c r="J250" s="31"/>
      <c r="L250" s="32">
        <v>1.36</v>
      </c>
      <c r="M250" s="33">
        <v>2.2599999999999999E-2</v>
      </c>
      <c r="N250" s="33">
        <v>2.24E-2</v>
      </c>
      <c r="O250" s="33">
        <v>0</v>
      </c>
      <c r="P250" s="33">
        <v>0</v>
      </c>
      <c r="Q250" s="74">
        <v>3.0499999999999999E-2</v>
      </c>
    </row>
    <row r="251" spans="4:17" x14ac:dyDescent="0.35">
      <c r="D251" s="23"/>
      <c r="E251" s="30"/>
      <c r="F251" s="30"/>
      <c r="G251" s="23"/>
      <c r="H251" s="30"/>
      <c r="I251" s="30"/>
      <c r="J251" s="31"/>
      <c r="L251" s="32">
        <v>1.37</v>
      </c>
      <c r="M251" s="33">
        <v>2.3199999999999998E-2</v>
      </c>
      <c r="N251" s="33">
        <v>2.3E-2</v>
      </c>
      <c r="O251" s="33">
        <v>0</v>
      </c>
      <c r="P251" s="33">
        <v>0</v>
      </c>
      <c r="Q251" s="74">
        <v>3.1099999999999999E-2</v>
      </c>
    </row>
    <row r="252" spans="4:17" x14ac:dyDescent="0.35">
      <c r="D252" s="23"/>
      <c r="E252" s="30"/>
      <c r="F252" s="30"/>
      <c r="G252" s="23"/>
      <c r="H252" s="30"/>
      <c r="I252" s="30"/>
      <c r="J252" s="31"/>
      <c r="L252" s="32">
        <v>1.38</v>
      </c>
      <c r="M252" s="33">
        <v>2.3800000000000002E-2</v>
      </c>
      <c r="N252" s="33">
        <v>2.3599999999999999E-2</v>
      </c>
      <c r="O252" s="33">
        <v>0</v>
      </c>
      <c r="P252" s="33">
        <v>0</v>
      </c>
      <c r="Q252" s="74">
        <v>3.1600000000000003E-2</v>
      </c>
    </row>
    <row r="253" spans="4:17" x14ac:dyDescent="0.35">
      <c r="D253" s="23"/>
      <c r="E253" s="30"/>
      <c r="F253" s="30"/>
      <c r="G253" s="23"/>
      <c r="H253" s="30"/>
      <c r="I253" s="30"/>
      <c r="J253" s="31"/>
      <c r="L253" s="32">
        <v>1.39</v>
      </c>
      <c r="M253" s="33">
        <v>2.4400000000000002E-2</v>
      </c>
      <c r="N253" s="33">
        <v>2.4199999999999999E-2</v>
      </c>
      <c r="O253" s="33">
        <v>0</v>
      </c>
      <c r="P253" s="33">
        <v>0</v>
      </c>
      <c r="Q253" s="74">
        <v>3.2199999999999999E-2</v>
      </c>
    </row>
    <row r="254" spans="4:17" x14ac:dyDescent="0.35">
      <c r="D254" s="23"/>
      <c r="E254" s="30"/>
      <c r="F254" s="30"/>
      <c r="G254" s="23"/>
      <c r="H254" s="30"/>
      <c r="I254" s="30"/>
      <c r="J254" s="31"/>
      <c r="L254" s="32">
        <v>1.4</v>
      </c>
      <c r="M254" s="33">
        <v>2.5000000000000001E-2</v>
      </c>
      <c r="N254" s="33">
        <v>2.4799999999999999E-2</v>
      </c>
      <c r="O254" s="33">
        <v>0</v>
      </c>
      <c r="P254" s="33">
        <v>0</v>
      </c>
      <c r="Q254" s="74">
        <v>3.2800000000000003E-2</v>
      </c>
    </row>
    <row r="255" spans="4:17" x14ac:dyDescent="0.35">
      <c r="D255" s="23"/>
      <c r="E255" s="30"/>
      <c r="F255" s="30"/>
      <c r="G255" s="23"/>
      <c r="H255" s="30"/>
      <c r="I255" s="30"/>
      <c r="J255" s="31"/>
      <c r="L255" s="32">
        <v>1.41</v>
      </c>
      <c r="M255" s="33">
        <v>2.5600000000000001E-2</v>
      </c>
      <c r="N255" s="33">
        <v>2.5399999999999999E-2</v>
      </c>
      <c r="O255" s="33">
        <v>0</v>
      </c>
      <c r="P255" s="33">
        <v>0</v>
      </c>
      <c r="Q255" s="74">
        <v>3.3300000000000003E-2</v>
      </c>
    </row>
    <row r="256" spans="4:17" x14ac:dyDescent="0.35">
      <c r="D256" s="23"/>
      <c r="E256" s="30"/>
      <c r="F256" s="30"/>
      <c r="G256" s="23"/>
      <c r="H256" s="30"/>
      <c r="I256" s="30"/>
      <c r="J256" s="31"/>
      <c r="L256" s="32">
        <v>1.42</v>
      </c>
      <c r="M256" s="33">
        <v>2.63E-2</v>
      </c>
      <c r="N256" s="33">
        <v>2.6100000000000002E-2</v>
      </c>
      <c r="O256" s="33">
        <v>0</v>
      </c>
      <c r="P256" s="33">
        <v>0</v>
      </c>
      <c r="Q256" s="74">
        <v>3.39E-2</v>
      </c>
    </row>
    <row r="257" spans="4:17" x14ac:dyDescent="0.35">
      <c r="D257" s="23"/>
      <c r="E257" s="30"/>
      <c r="F257" s="30"/>
      <c r="G257" s="23"/>
      <c r="H257" s="30"/>
      <c r="I257" s="30"/>
      <c r="J257" s="31"/>
      <c r="L257" s="32">
        <v>1.43</v>
      </c>
      <c r="M257" s="33">
        <v>2.69E-2</v>
      </c>
      <c r="N257" s="33">
        <v>2.6700000000000002E-2</v>
      </c>
      <c r="O257" s="33">
        <v>0</v>
      </c>
      <c r="P257" s="33">
        <v>0</v>
      </c>
      <c r="Q257" s="74">
        <v>3.44E-2</v>
      </c>
    </row>
    <row r="258" spans="4:17" x14ac:dyDescent="0.35">
      <c r="D258" s="23"/>
      <c r="E258" s="30"/>
      <c r="F258" s="30"/>
      <c r="G258" s="23"/>
      <c r="H258" s="30"/>
      <c r="I258" s="30"/>
      <c r="J258" s="31"/>
      <c r="L258" s="32">
        <v>1.44</v>
      </c>
      <c r="M258" s="33">
        <v>2.75E-2</v>
      </c>
      <c r="N258" s="33">
        <v>2.7300000000000001E-2</v>
      </c>
      <c r="O258" s="33">
        <v>0</v>
      </c>
      <c r="P258" s="33">
        <v>0</v>
      </c>
      <c r="Q258" s="74">
        <v>3.5000000000000003E-2</v>
      </c>
    </row>
    <row r="259" spans="4:17" x14ac:dyDescent="0.35">
      <c r="D259" s="23"/>
      <c r="E259" s="30"/>
      <c r="F259" s="30"/>
      <c r="G259" s="23"/>
      <c r="H259" s="30"/>
      <c r="I259" s="30"/>
      <c r="J259" s="31"/>
      <c r="L259" s="32">
        <v>1.45</v>
      </c>
      <c r="M259" s="33">
        <v>2.81E-2</v>
      </c>
      <c r="N259" s="33">
        <v>2.7900000000000001E-2</v>
      </c>
      <c r="O259" s="33">
        <v>0</v>
      </c>
      <c r="P259" s="33">
        <v>0</v>
      </c>
      <c r="Q259" s="74">
        <v>3.56E-2</v>
      </c>
    </row>
    <row r="260" spans="4:17" x14ac:dyDescent="0.35">
      <c r="D260" s="23"/>
      <c r="E260" s="30"/>
      <c r="F260" s="30"/>
      <c r="G260" s="23"/>
      <c r="H260" s="30"/>
      <c r="I260" s="30"/>
      <c r="J260" s="31"/>
      <c r="L260" s="32">
        <v>1.46</v>
      </c>
      <c r="M260" s="33">
        <v>2.87E-2</v>
      </c>
      <c r="N260" s="33">
        <v>2.8500000000000001E-2</v>
      </c>
      <c r="O260" s="33">
        <v>0</v>
      </c>
      <c r="P260" s="33">
        <v>0</v>
      </c>
      <c r="Q260" s="74">
        <v>3.61E-2</v>
      </c>
    </row>
    <row r="261" spans="4:17" x14ac:dyDescent="0.35">
      <c r="D261" s="23"/>
      <c r="E261" s="30"/>
      <c r="F261" s="30"/>
      <c r="G261" s="23"/>
      <c r="H261" s="30"/>
      <c r="I261" s="30"/>
      <c r="J261" s="31"/>
      <c r="L261" s="32">
        <v>1.47</v>
      </c>
      <c r="M261" s="33">
        <v>2.93E-2</v>
      </c>
      <c r="N261" s="33">
        <v>2.9100000000000001E-2</v>
      </c>
      <c r="O261" s="33">
        <v>0</v>
      </c>
      <c r="P261" s="33">
        <v>0</v>
      </c>
      <c r="Q261" s="74">
        <v>3.6700000000000003E-2</v>
      </c>
    </row>
    <row r="262" spans="4:17" x14ac:dyDescent="0.35">
      <c r="D262" s="23"/>
      <c r="E262" s="30"/>
      <c r="F262" s="30"/>
      <c r="G262" s="23"/>
      <c r="H262" s="30"/>
      <c r="I262" s="30"/>
      <c r="J262" s="31"/>
      <c r="L262" s="32">
        <v>1.48</v>
      </c>
      <c r="M262" s="33">
        <v>2.9899999999999999E-2</v>
      </c>
      <c r="N262" s="33">
        <v>2.9700000000000001E-2</v>
      </c>
      <c r="O262" s="33">
        <v>0</v>
      </c>
      <c r="P262" s="33">
        <v>0</v>
      </c>
      <c r="Q262" s="74">
        <v>3.73E-2</v>
      </c>
    </row>
    <row r="263" spans="4:17" x14ac:dyDescent="0.35">
      <c r="D263" s="23"/>
      <c r="E263" s="30"/>
      <c r="F263" s="30"/>
      <c r="G263" s="23"/>
      <c r="H263" s="30"/>
      <c r="I263" s="30"/>
      <c r="J263" s="31"/>
      <c r="L263" s="32">
        <v>1.49</v>
      </c>
      <c r="M263" s="33">
        <v>3.0499999999999999E-2</v>
      </c>
      <c r="N263" s="33">
        <v>3.0300000000000001E-2</v>
      </c>
      <c r="O263" s="33">
        <v>0</v>
      </c>
      <c r="P263" s="33">
        <v>0</v>
      </c>
      <c r="Q263" s="74">
        <v>3.78E-2</v>
      </c>
    </row>
    <row r="264" spans="4:17" x14ac:dyDescent="0.35">
      <c r="D264" s="23"/>
      <c r="E264" s="30"/>
      <c r="F264" s="30"/>
      <c r="G264" s="23"/>
      <c r="H264" s="30"/>
      <c r="I264" s="30"/>
      <c r="J264" s="31"/>
      <c r="L264" s="32">
        <v>1.5</v>
      </c>
      <c r="M264" s="36">
        <v>3.1099999999999999E-2</v>
      </c>
      <c r="N264" s="36">
        <v>3.09E-2</v>
      </c>
      <c r="O264" s="33">
        <v>0</v>
      </c>
      <c r="P264" s="33">
        <v>0</v>
      </c>
      <c r="Q264" s="74">
        <v>3.8399999999999997E-2</v>
      </c>
    </row>
    <row r="265" spans="4:17" x14ac:dyDescent="0.35">
      <c r="D265" s="23"/>
      <c r="E265" s="30"/>
      <c r="F265" s="30"/>
      <c r="G265" s="23"/>
      <c r="H265" s="30"/>
      <c r="I265" s="30"/>
      <c r="J265" s="31"/>
      <c r="L265" s="32">
        <v>1.51</v>
      </c>
      <c r="M265" s="33">
        <v>3.1300000000000001E-2</v>
      </c>
      <c r="N265" s="33">
        <v>3.1099999999999999E-2</v>
      </c>
      <c r="O265" s="33">
        <v>4.0000000000000002E-4</v>
      </c>
      <c r="P265" s="33">
        <v>4.0000000000000002E-4</v>
      </c>
      <c r="Q265" s="74">
        <v>3.8800000000000001E-2</v>
      </c>
    </row>
    <row r="266" spans="4:17" x14ac:dyDescent="0.35">
      <c r="D266" s="23"/>
      <c r="E266" s="30"/>
      <c r="F266" s="30"/>
      <c r="G266" s="23"/>
      <c r="H266" s="30"/>
      <c r="I266" s="30"/>
      <c r="J266" s="31"/>
      <c r="L266" s="32">
        <v>1.52</v>
      </c>
      <c r="M266" s="33">
        <v>3.15E-2</v>
      </c>
      <c r="N266" s="33">
        <v>3.1300000000000001E-2</v>
      </c>
      <c r="O266" s="33">
        <v>8.0000000000000004E-4</v>
      </c>
      <c r="P266" s="33">
        <v>8.0000000000000004E-4</v>
      </c>
      <c r="Q266" s="74">
        <v>3.9300000000000002E-2</v>
      </c>
    </row>
    <row r="267" spans="4:17" x14ac:dyDescent="0.35">
      <c r="D267" s="23"/>
      <c r="E267" s="30"/>
      <c r="F267" s="30"/>
      <c r="G267" s="23"/>
      <c r="H267" s="30"/>
      <c r="I267" s="30"/>
      <c r="J267" s="31"/>
      <c r="L267" s="32">
        <v>1.53</v>
      </c>
      <c r="M267" s="33">
        <v>3.1699999999999999E-2</v>
      </c>
      <c r="N267" s="33">
        <v>3.15E-2</v>
      </c>
      <c r="O267" s="33">
        <v>1.1999999999999999E-3</v>
      </c>
      <c r="P267" s="33">
        <v>1.1999999999999999E-3</v>
      </c>
      <c r="Q267" s="74">
        <v>3.9699999999999999E-2</v>
      </c>
    </row>
    <row r="268" spans="4:17" x14ac:dyDescent="0.35">
      <c r="D268" s="23"/>
      <c r="E268" s="30"/>
      <c r="F268" s="30"/>
      <c r="G268" s="23"/>
      <c r="H268" s="30"/>
      <c r="I268" s="30"/>
      <c r="J268" s="31"/>
      <c r="L268" s="32">
        <v>1.54</v>
      </c>
      <c r="M268" s="33">
        <v>3.1899999999999998E-2</v>
      </c>
      <c r="N268" s="33">
        <v>3.1699999999999999E-2</v>
      </c>
      <c r="O268" s="33">
        <v>1.6000000000000001E-3</v>
      </c>
      <c r="P268" s="33">
        <v>1.6000000000000001E-3</v>
      </c>
      <c r="Q268" s="74">
        <v>4.02E-2</v>
      </c>
    </row>
    <row r="269" spans="4:17" x14ac:dyDescent="0.35">
      <c r="D269" s="23"/>
      <c r="E269" s="30"/>
      <c r="F269" s="30"/>
      <c r="G269" s="23"/>
      <c r="H269" s="30"/>
      <c r="I269" s="30"/>
      <c r="J269" s="31"/>
      <c r="L269" s="32">
        <v>1.55</v>
      </c>
      <c r="M269" s="33">
        <v>3.2099999999999997E-2</v>
      </c>
      <c r="N269" s="33">
        <v>3.1899999999999998E-2</v>
      </c>
      <c r="O269" s="33">
        <v>2E-3</v>
      </c>
      <c r="P269" s="33">
        <v>2E-3</v>
      </c>
      <c r="Q269" s="74">
        <v>4.0599999999999997E-2</v>
      </c>
    </row>
    <row r="270" spans="4:17" x14ac:dyDescent="0.35">
      <c r="D270" s="23"/>
      <c r="E270" s="30"/>
      <c r="F270" s="30"/>
      <c r="G270" s="23"/>
      <c r="H270" s="30"/>
      <c r="I270" s="30"/>
      <c r="J270" s="31"/>
      <c r="L270" s="32">
        <v>1.56</v>
      </c>
      <c r="M270" s="33">
        <v>3.2300000000000002E-2</v>
      </c>
      <c r="N270" s="33">
        <v>3.2099999999999997E-2</v>
      </c>
      <c r="O270" s="33">
        <v>2.3999999999999998E-3</v>
      </c>
      <c r="P270" s="33">
        <v>2.3999999999999998E-3</v>
      </c>
      <c r="Q270" s="74">
        <v>4.1099999999999998E-2</v>
      </c>
    </row>
    <row r="271" spans="4:17" x14ac:dyDescent="0.35">
      <c r="D271" s="23"/>
      <c r="E271" s="30"/>
      <c r="F271" s="30"/>
      <c r="G271" s="23"/>
      <c r="H271" s="30"/>
      <c r="I271" s="30"/>
      <c r="J271" s="31"/>
      <c r="L271" s="32">
        <v>1.57</v>
      </c>
      <c r="M271" s="33">
        <v>3.2599999999999997E-2</v>
      </c>
      <c r="N271" s="33">
        <v>3.2300000000000002E-2</v>
      </c>
      <c r="O271" s="33">
        <v>2.8E-3</v>
      </c>
      <c r="P271" s="33">
        <v>2.8E-3</v>
      </c>
      <c r="Q271" s="74">
        <v>4.1500000000000002E-2</v>
      </c>
    </row>
    <row r="272" spans="4:17" x14ac:dyDescent="0.35">
      <c r="D272" s="23"/>
      <c r="E272" s="30"/>
      <c r="F272" s="30"/>
      <c r="G272" s="23"/>
      <c r="H272" s="30"/>
      <c r="I272" s="30"/>
      <c r="J272" s="31"/>
      <c r="L272" s="32">
        <v>1.58</v>
      </c>
      <c r="M272" s="33">
        <v>3.2800000000000003E-2</v>
      </c>
      <c r="N272" s="33">
        <v>3.2500000000000001E-2</v>
      </c>
      <c r="O272" s="33">
        <v>3.2000000000000002E-3</v>
      </c>
      <c r="P272" s="33">
        <v>3.2000000000000002E-3</v>
      </c>
      <c r="Q272" s="74">
        <v>4.19E-2</v>
      </c>
    </row>
    <row r="273" spans="4:17" x14ac:dyDescent="0.35">
      <c r="D273" s="23"/>
      <c r="E273" s="30"/>
      <c r="F273" s="30"/>
      <c r="G273" s="23"/>
      <c r="H273" s="30"/>
      <c r="I273" s="30"/>
      <c r="J273" s="31"/>
      <c r="L273" s="32">
        <v>1.59</v>
      </c>
      <c r="M273" s="33">
        <v>3.3000000000000002E-2</v>
      </c>
      <c r="N273" s="33">
        <v>3.2800000000000003E-2</v>
      </c>
      <c r="O273" s="33">
        <v>3.5999999999999999E-3</v>
      </c>
      <c r="P273" s="33">
        <v>3.5999999999999999E-3</v>
      </c>
      <c r="Q273" s="74">
        <v>4.24E-2</v>
      </c>
    </row>
    <row r="274" spans="4:17" x14ac:dyDescent="0.35">
      <c r="D274" s="23"/>
      <c r="E274" s="30"/>
      <c r="F274" s="30"/>
      <c r="G274" s="23"/>
      <c r="H274" s="30"/>
      <c r="I274" s="30"/>
      <c r="J274" s="31"/>
      <c r="L274" s="32">
        <v>1.6</v>
      </c>
      <c r="M274" s="33">
        <v>3.32E-2</v>
      </c>
      <c r="N274" s="33">
        <v>3.3000000000000002E-2</v>
      </c>
      <c r="O274" s="33">
        <v>4.0000000000000001E-3</v>
      </c>
      <c r="P274" s="33">
        <v>4.0000000000000001E-3</v>
      </c>
      <c r="Q274" s="74">
        <v>4.2799999999999998E-2</v>
      </c>
    </row>
    <row r="275" spans="4:17" x14ac:dyDescent="0.35">
      <c r="D275" s="23"/>
      <c r="E275" s="30"/>
      <c r="F275" s="30"/>
      <c r="G275" s="23"/>
      <c r="H275" s="30"/>
      <c r="I275" s="30"/>
      <c r="J275" s="31"/>
      <c r="L275" s="32">
        <v>1.61</v>
      </c>
      <c r="M275" s="33">
        <v>3.3399999999999999E-2</v>
      </c>
      <c r="N275" s="33">
        <v>3.32E-2</v>
      </c>
      <c r="O275" s="33">
        <v>4.4000000000000003E-3</v>
      </c>
      <c r="P275" s="33">
        <v>4.4000000000000003E-3</v>
      </c>
      <c r="Q275" s="74">
        <v>4.3299999999999998E-2</v>
      </c>
    </row>
    <row r="276" spans="4:17" x14ac:dyDescent="0.35">
      <c r="D276" s="23"/>
      <c r="E276" s="30"/>
      <c r="F276" s="30"/>
      <c r="G276" s="23"/>
      <c r="H276" s="30"/>
      <c r="I276" s="30"/>
      <c r="J276" s="31"/>
      <c r="L276" s="32">
        <v>1.62</v>
      </c>
      <c r="M276" s="33">
        <v>3.3599999999999998E-2</v>
      </c>
      <c r="N276" s="33">
        <v>3.3399999999999999E-2</v>
      </c>
      <c r="O276" s="33">
        <v>4.7999999999999996E-3</v>
      </c>
      <c r="P276" s="33">
        <v>4.7999999999999996E-3</v>
      </c>
      <c r="Q276" s="74">
        <v>4.3700000000000003E-2</v>
      </c>
    </row>
    <row r="277" spans="4:17" x14ac:dyDescent="0.35">
      <c r="D277" s="23"/>
      <c r="E277" s="30"/>
      <c r="F277" s="30"/>
      <c r="G277" s="23"/>
      <c r="H277" s="30"/>
      <c r="I277" s="30"/>
      <c r="J277" s="31"/>
      <c r="L277" s="32">
        <v>1.63</v>
      </c>
      <c r="M277" s="33">
        <v>3.3799999999999997E-2</v>
      </c>
      <c r="N277" s="33">
        <v>3.3599999999999998E-2</v>
      </c>
      <c r="O277" s="33">
        <v>5.1999999999999998E-3</v>
      </c>
      <c r="P277" s="33">
        <v>5.1999999999999998E-3</v>
      </c>
      <c r="Q277" s="74">
        <v>4.41E-2</v>
      </c>
    </row>
    <row r="278" spans="4:17" x14ac:dyDescent="0.35">
      <c r="D278" s="23"/>
      <c r="E278" s="30"/>
      <c r="F278" s="30"/>
      <c r="G278" s="23"/>
      <c r="H278" s="30"/>
      <c r="I278" s="30"/>
      <c r="J278" s="31"/>
      <c r="L278" s="32">
        <v>1.64</v>
      </c>
      <c r="M278" s="33">
        <v>3.4000000000000002E-2</v>
      </c>
      <c r="N278" s="33">
        <v>3.3799999999999997E-2</v>
      </c>
      <c r="O278" s="33">
        <v>5.5999999999999999E-3</v>
      </c>
      <c r="P278" s="33">
        <v>5.5999999999999999E-3</v>
      </c>
      <c r="Q278" s="74">
        <v>4.4600000000000001E-2</v>
      </c>
    </row>
    <row r="279" spans="4:17" x14ac:dyDescent="0.35">
      <c r="D279" s="23"/>
      <c r="E279" s="30"/>
      <c r="F279" s="30"/>
      <c r="G279" s="23"/>
      <c r="H279" s="30"/>
      <c r="I279" s="30"/>
      <c r="J279" s="31"/>
      <c r="L279" s="32">
        <v>1.65</v>
      </c>
      <c r="M279" s="33">
        <v>3.4200000000000001E-2</v>
      </c>
      <c r="N279" s="33">
        <v>3.4000000000000002E-2</v>
      </c>
      <c r="O279" s="33">
        <v>6.0000000000000001E-3</v>
      </c>
      <c r="P279" s="33">
        <v>6.0000000000000001E-3</v>
      </c>
      <c r="Q279" s="74">
        <v>4.4999999999999998E-2</v>
      </c>
    </row>
    <row r="280" spans="4:17" x14ac:dyDescent="0.35">
      <c r="D280" s="23"/>
      <c r="E280" s="30"/>
      <c r="F280" s="30"/>
      <c r="G280" s="23"/>
      <c r="H280" s="30"/>
      <c r="I280" s="30"/>
      <c r="J280" s="31"/>
      <c r="L280" s="32">
        <v>1.66</v>
      </c>
      <c r="M280" s="33">
        <v>3.44E-2</v>
      </c>
      <c r="N280" s="33">
        <v>3.4200000000000001E-2</v>
      </c>
      <c r="O280" s="33">
        <v>6.4000000000000003E-3</v>
      </c>
      <c r="P280" s="33">
        <v>6.4000000000000003E-3</v>
      </c>
      <c r="Q280" s="74">
        <v>4.5499999999999999E-2</v>
      </c>
    </row>
    <row r="281" spans="4:17" x14ac:dyDescent="0.35">
      <c r="D281" s="23"/>
      <c r="E281" s="30"/>
      <c r="F281" s="30"/>
      <c r="G281" s="23"/>
      <c r="H281" s="30"/>
      <c r="I281" s="30"/>
      <c r="J281" s="31"/>
      <c r="L281" s="32">
        <v>1.67</v>
      </c>
      <c r="M281" s="33">
        <v>3.4599999999999999E-2</v>
      </c>
      <c r="N281" s="33">
        <v>3.44E-2</v>
      </c>
      <c r="O281" s="33">
        <v>6.7999999999999996E-3</v>
      </c>
      <c r="P281" s="33">
        <v>6.7999999999999996E-3</v>
      </c>
      <c r="Q281" s="74">
        <v>4.5900000000000003E-2</v>
      </c>
    </row>
    <row r="282" spans="4:17" x14ac:dyDescent="0.35">
      <c r="D282" s="23"/>
      <c r="E282" s="30"/>
      <c r="F282" s="30"/>
      <c r="G282" s="23"/>
      <c r="H282" s="30"/>
      <c r="I282" s="30"/>
      <c r="J282" s="31"/>
      <c r="L282" s="32">
        <v>1.68</v>
      </c>
      <c r="M282" s="33">
        <v>3.4799999999999998E-2</v>
      </c>
      <c r="N282" s="33">
        <v>3.4599999999999999E-2</v>
      </c>
      <c r="O282" s="33">
        <v>7.1999999999999998E-3</v>
      </c>
      <c r="P282" s="33">
        <v>7.1999999999999998E-3</v>
      </c>
      <c r="Q282" s="74">
        <v>4.6399999999999997E-2</v>
      </c>
    </row>
    <row r="283" spans="4:17" x14ac:dyDescent="0.35">
      <c r="D283" s="23"/>
      <c r="E283" s="30"/>
      <c r="F283" s="30"/>
      <c r="G283" s="23"/>
      <c r="H283" s="30"/>
      <c r="I283" s="30"/>
      <c r="J283" s="31"/>
      <c r="L283" s="32">
        <v>1.69</v>
      </c>
      <c r="M283" s="33">
        <v>3.5099999999999999E-2</v>
      </c>
      <c r="N283" s="33">
        <v>3.4799999999999998E-2</v>
      </c>
      <c r="O283" s="33">
        <v>7.6E-3</v>
      </c>
      <c r="P283" s="33">
        <v>7.6E-3</v>
      </c>
      <c r="Q283" s="74">
        <v>4.6800000000000001E-2</v>
      </c>
    </row>
    <row r="284" spans="4:17" x14ac:dyDescent="0.35">
      <c r="D284" s="23"/>
      <c r="E284" s="30"/>
      <c r="F284" s="30"/>
      <c r="G284" s="23"/>
      <c r="H284" s="30"/>
      <c r="I284" s="30"/>
      <c r="J284" s="31"/>
      <c r="L284" s="32">
        <v>1.7</v>
      </c>
      <c r="M284" s="33">
        <v>3.5299999999999998E-2</v>
      </c>
      <c r="N284" s="33">
        <v>3.5000000000000003E-2</v>
      </c>
      <c r="O284" s="33">
        <v>8.0000000000000002E-3</v>
      </c>
      <c r="P284" s="33">
        <v>8.0000000000000002E-3</v>
      </c>
      <c r="Q284" s="74">
        <v>4.7199999999999999E-2</v>
      </c>
    </row>
    <row r="285" spans="4:17" x14ac:dyDescent="0.35">
      <c r="D285" s="23"/>
      <c r="E285" s="30"/>
      <c r="F285" s="30"/>
      <c r="G285" s="23"/>
      <c r="H285" s="30"/>
      <c r="I285" s="30"/>
      <c r="J285" s="31"/>
      <c r="L285" s="32">
        <v>1.71</v>
      </c>
      <c r="M285" s="33">
        <v>3.5499999999999997E-2</v>
      </c>
      <c r="N285" s="33">
        <v>3.5200000000000002E-2</v>
      </c>
      <c r="O285" s="33">
        <v>8.3999999999999995E-3</v>
      </c>
      <c r="P285" s="33">
        <v>8.3999999999999995E-3</v>
      </c>
      <c r="Q285" s="74">
        <v>4.7699999999999999E-2</v>
      </c>
    </row>
    <row r="286" spans="4:17" x14ac:dyDescent="0.35">
      <c r="D286" s="23"/>
      <c r="E286" s="30"/>
      <c r="F286" s="30"/>
      <c r="G286" s="23"/>
      <c r="H286" s="30"/>
      <c r="I286" s="30"/>
      <c r="J286" s="31"/>
      <c r="L286" s="32">
        <v>1.72</v>
      </c>
      <c r="M286" s="33">
        <v>3.5700000000000003E-2</v>
      </c>
      <c r="N286" s="33">
        <v>3.5400000000000001E-2</v>
      </c>
      <c r="O286" s="33">
        <v>8.8000000000000005E-3</v>
      </c>
      <c r="P286" s="33">
        <v>8.8000000000000005E-3</v>
      </c>
      <c r="Q286" s="74">
        <v>4.8099999999999997E-2</v>
      </c>
    </row>
    <row r="287" spans="4:17" x14ac:dyDescent="0.35">
      <c r="D287" s="23"/>
      <c r="E287" s="30"/>
      <c r="F287" s="30"/>
      <c r="G287" s="23"/>
      <c r="H287" s="30"/>
      <c r="I287" s="30"/>
      <c r="J287" s="31"/>
      <c r="L287" s="32">
        <v>1.73</v>
      </c>
      <c r="M287" s="33">
        <v>3.5900000000000001E-2</v>
      </c>
      <c r="N287" s="33">
        <v>3.56E-2</v>
      </c>
      <c r="O287" s="33">
        <v>9.1999999999999998E-3</v>
      </c>
      <c r="P287" s="33">
        <v>9.1999999999999998E-3</v>
      </c>
      <c r="Q287" s="74">
        <v>4.8599999999999997E-2</v>
      </c>
    </row>
    <row r="288" spans="4:17" x14ac:dyDescent="0.35">
      <c r="D288" s="23"/>
      <c r="E288" s="30"/>
      <c r="F288" s="30"/>
      <c r="G288" s="23"/>
      <c r="H288" s="30"/>
      <c r="I288" s="30"/>
      <c r="J288" s="31"/>
      <c r="L288" s="32">
        <v>1.74</v>
      </c>
      <c r="M288" s="33">
        <v>3.61E-2</v>
      </c>
      <c r="N288" s="33">
        <v>3.5799999999999998E-2</v>
      </c>
      <c r="O288" s="33">
        <v>9.5999999999999992E-3</v>
      </c>
      <c r="P288" s="33">
        <v>9.5999999999999992E-3</v>
      </c>
      <c r="Q288" s="74">
        <v>4.9000000000000002E-2</v>
      </c>
    </row>
    <row r="289" spans="4:17" x14ac:dyDescent="0.35">
      <c r="D289" s="23"/>
      <c r="E289" s="30"/>
      <c r="F289" s="30"/>
      <c r="G289" s="23"/>
      <c r="H289" s="30"/>
      <c r="I289" s="30"/>
      <c r="J289" s="31"/>
      <c r="L289" s="32">
        <v>1.75</v>
      </c>
      <c r="M289" s="33">
        <v>3.6299999999999999E-2</v>
      </c>
      <c r="N289" s="33">
        <v>3.61E-2</v>
      </c>
      <c r="O289" s="33">
        <v>0.01</v>
      </c>
      <c r="P289" s="33">
        <v>0.01</v>
      </c>
      <c r="Q289" s="74">
        <v>4.9399999999999999E-2</v>
      </c>
    </row>
    <row r="290" spans="4:17" x14ac:dyDescent="0.35">
      <c r="D290" s="23"/>
      <c r="E290" s="30"/>
      <c r="F290" s="30"/>
      <c r="G290" s="23"/>
      <c r="H290" s="30"/>
      <c r="I290" s="30"/>
      <c r="J290" s="31"/>
      <c r="L290" s="32">
        <v>1.76</v>
      </c>
      <c r="M290" s="33">
        <v>3.6499999999999998E-2</v>
      </c>
      <c r="N290" s="33">
        <v>3.6299999999999999E-2</v>
      </c>
      <c r="O290" s="33">
        <v>1.04E-2</v>
      </c>
      <c r="P290" s="33">
        <v>1.04E-2</v>
      </c>
      <c r="Q290" s="74">
        <v>4.99E-2</v>
      </c>
    </row>
    <row r="291" spans="4:17" x14ac:dyDescent="0.35">
      <c r="D291" s="23"/>
      <c r="E291" s="30"/>
      <c r="F291" s="30"/>
      <c r="G291" s="23"/>
      <c r="H291" s="30"/>
      <c r="I291" s="30"/>
      <c r="J291" s="31"/>
      <c r="L291" s="32">
        <v>1.77</v>
      </c>
      <c r="M291" s="33">
        <v>3.6700000000000003E-2</v>
      </c>
      <c r="N291" s="33">
        <v>3.6499999999999998E-2</v>
      </c>
      <c r="O291" s="33">
        <v>1.0800000000000001E-2</v>
      </c>
      <c r="P291" s="33">
        <v>1.0800000000000001E-2</v>
      </c>
      <c r="Q291" s="74">
        <v>5.0299999999999997E-2</v>
      </c>
    </row>
    <row r="292" spans="4:17" x14ac:dyDescent="0.35">
      <c r="D292" s="23"/>
      <c r="E292" s="30"/>
      <c r="F292" s="30"/>
      <c r="G292" s="23"/>
      <c r="H292" s="30"/>
      <c r="I292" s="30"/>
      <c r="J292" s="31"/>
      <c r="L292" s="32">
        <v>1.78</v>
      </c>
      <c r="M292" s="33">
        <v>3.6900000000000002E-2</v>
      </c>
      <c r="N292" s="33">
        <v>3.6700000000000003E-2</v>
      </c>
      <c r="O292" s="33">
        <v>1.12E-2</v>
      </c>
      <c r="P292" s="33">
        <v>1.12E-2</v>
      </c>
      <c r="Q292" s="74">
        <v>5.0799999999999998E-2</v>
      </c>
    </row>
    <row r="293" spans="4:17" x14ac:dyDescent="0.35">
      <c r="D293" s="23"/>
      <c r="E293" s="30"/>
      <c r="F293" s="30"/>
      <c r="G293" s="23"/>
      <c r="H293" s="30"/>
      <c r="I293" s="30"/>
      <c r="J293" s="31"/>
      <c r="L293" s="32">
        <v>1.79</v>
      </c>
      <c r="M293" s="33">
        <v>3.7100000000000001E-2</v>
      </c>
      <c r="N293" s="33">
        <v>3.6900000000000002E-2</v>
      </c>
      <c r="O293" s="33">
        <v>1.1599999999999999E-2</v>
      </c>
      <c r="P293" s="33">
        <v>1.1599999999999999E-2</v>
      </c>
      <c r="Q293" s="74">
        <v>5.1200000000000002E-2</v>
      </c>
    </row>
    <row r="294" spans="4:17" x14ac:dyDescent="0.35">
      <c r="D294" s="23"/>
      <c r="E294" s="30"/>
      <c r="F294" s="30"/>
      <c r="G294" s="23"/>
      <c r="H294" s="30"/>
      <c r="I294" s="30"/>
      <c r="J294" s="31"/>
      <c r="L294" s="32">
        <v>1.8</v>
      </c>
      <c r="M294" s="33">
        <v>3.73E-2</v>
      </c>
      <c r="N294" s="33">
        <v>3.7100000000000001E-2</v>
      </c>
      <c r="O294" s="33">
        <v>1.2E-2</v>
      </c>
      <c r="P294" s="33">
        <v>1.2E-2</v>
      </c>
      <c r="Q294" s="74">
        <v>5.1700000000000003E-2</v>
      </c>
    </row>
    <row r="295" spans="4:17" x14ac:dyDescent="0.35">
      <c r="D295" s="23"/>
      <c r="E295" s="30"/>
      <c r="F295" s="30"/>
      <c r="G295" s="23"/>
      <c r="H295" s="30"/>
      <c r="I295" s="30"/>
      <c r="J295" s="31"/>
      <c r="L295" s="32">
        <v>1.81</v>
      </c>
      <c r="M295" s="33">
        <v>3.7499999999999999E-2</v>
      </c>
      <c r="N295" s="33">
        <v>3.73E-2</v>
      </c>
      <c r="O295" s="33">
        <v>1.24E-2</v>
      </c>
      <c r="P295" s="33">
        <v>1.24E-2</v>
      </c>
      <c r="Q295" s="74">
        <v>5.21E-2</v>
      </c>
    </row>
    <row r="296" spans="4:17" x14ac:dyDescent="0.35">
      <c r="D296" s="23"/>
      <c r="E296" s="30"/>
      <c r="F296" s="30"/>
      <c r="G296" s="23"/>
      <c r="H296" s="30"/>
      <c r="I296" s="30"/>
      <c r="J296" s="31"/>
      <c r="L296" s="32">
        <v>1.82</v>
      </c>
      <c r="M296" s="33">
        <v>3.78E-2</v>
      </c>
      <c r="N296" s="33">
        <v>3.7499999999999999E-2</v>
      </c>
      <c r="O296" s="33">
        <v>1.2800000000000001E-2</v>
      </c>
      <c r="P296" s="33">
        <v>1.2800000000000001E-2</v>
      </c>
      <c r="Q296" s="74">
        <v>5.2499999999999998E-2</v>
      </c>
    </row>
    <row r="297" spans="4:17" x14ac:dyDescent="0.35">
      <c r="D297" s="23"/>
      <c r="E297" s="30"/>
      <c r="F297" s="30"/>
      <c r="G297" s="23"/>
      <c r="H297" s="30"/>
      <c r="I297" s="30"/>
      <c r="J297" s="31"/>
      <c r="L297" s="32">
        <v>1.83</v>
      </c>
      <c r="M297" s="33">
        <v>3.7999999999999999E-2</v>
      </c>
      <c r="N297" s="33">
        <v>3.7699999999999997E-2</v>
      </c>
      <c r="O297" s="33">
        <v>1.32E-2</v>
      </c>
      <c r="P297" s="33">
        <v>1.32E-2</v>
      </c>
      <c r="Q297" s="74">
        <v>5.2999999999999999E-2</v>
      </c>
    </row>
    <row r="298" spans="4:17" x14ac:dyDescent="0.35">
      <c r="D298" s="23"/>
      <c r="E298" s="30"/>
      <c r="F298" s="30"/>
      <c r="G298" s="23"/>
      <c r="H298" s="30"/>
      <c r="I298" s="30"/>
      <c r="J298" s="31"/>
      <c r="L298" s="32">
        <v>1.84</v>
      </c>
      <c r="M298" s="33">
        <v>3.8199999999999998E-2</v>
      </c>
      <c r="N298" s="33">
        <v>3.7900000000000003E-2</v>
      </c>
      <c r="O298" s="33">
        <v>1.3599999999999999E-2</v>
      </c>
      <c r="P298" s="33">
        <v>1.3599999999999999E-2</v>
      </c>
      <c r="Q298" s="74">
        <v>5.3400000000000003E-2</v>
      </c>
    </row>
    <row r="299" spans="4:17" x14ac:dyDescent="0.35">
      <c r="D299" s="23"/>
      <c r="E299" s="30"/>
      <c r="F299" s="30"/>
      <c r="G299" s="23"/>
      <c r="H299" s="30"/>
      <c r="I299" s="30"/>
      <c r="J299" s="31"/>
      <c r="L299" s="32">
        <v>1.85</v>
      </c>
      <c r="M299" s="33">
        <v>3.8399999999999997E-2</v>
      </c>
      <c r="N299" s="33">
        <v>3.8100000000000002E-2</v>
      </c>
      <c r="O299" s="33">
        <v>1.4E-2</v>
      </c>
      <c r="P299" s="33">
        <v>1.4E-2</v>
      </c>
      <c r="Q299" s="74">
        <v>5.3900000000000003E-2</v>
      </c>
    </row>
    <row r="300" spans="4:17" x14ac:dyDescent="0.35">
      <c r="D300" s="23"/>
      <c r="E300" s="30"/>
      <c r="F300" s="30"/>
      <c r="G300" s="23"/>
      <c r="H300" s="30"/>
      <c r="I300" s="30"/>
      <c r="J300" s="31"/>
      <c r="L300" s="32">
        <v>1.86</v>
      </c>
      <c r="M300" s="33">
        <v>3.8600000000000002E-2</v>
      </c>
      <c r="N300" s="33">
        <v>3.8300000000000001E-2</v>
      </c>
      <c r="O300" s="33">
        <v>1.44E-2</v>
      </c>
      <c r="P300" s="33">
        <v>1.44E-2</v>
      </c>
      <c r="Q300" s="74">
        <v>5.4300000000000001E-2</v>
      </c>
    </row>
    <row r="301" spans="4:17" x14ac:dyDescent="0.35">
      <c r="D301" s="23"/>
      <c r="E301" s="30"/>
      <c r="F301" s="30"/>
      <c r="G301" s="23"/>
      <c r="H301" s="30"/>
      <c r="I301" s="30"/>
      <c r="J301" s="31"/>
      <c r="L301" s="32">
        <v>1.87</v>
      </c>
      <c r="M301" s="33">
        <v>3.8800000000000001E-2</v>
      </c>
      <c r="N301" s="33">
        <v>3.85E-2</v>
      </c>
      <c r="O301" s="33">
        <v>1.4800000000000001E-2</v>
      </c>
      <c r="P301" s="33">
        <v>1.4800000000000001E-2</v>
      </c>
      <c r="Q301" s="74">
        <v>5.4800000000000001E-2</v>
      </c>
    </row>
    <row r="302" spans="4:17" x14ac:dyDescent="0.35">
      <c r="D302" s="23"/>
      <c r="E302" s="30"/>
      <c r="F302" s="30"/>
      <c r="G302" s="23"/>
      <c r="H302" s="30"/>
      <c r="I302" s="30"/>
      <c r="J302" s="31"/>
      <c r="L302" s="32">
        <v>1.88</v>
      </c>
      <c r="M302" s="33">
        <v>3.9E-2</v>
      </c>
      <c r="N302" s="33">
        <v>3.8699999999999998E-2</v>
      </c>
      <c r="O302" s="33">
        <v>1.52E-2</v>
      </c>
      <c r="P302" s="33">
        <v>1.52E-2</v>
      </c>
      <c r="Q302" s="74">
        <v>5.5199999999999999E-2</v>
      </c>
    </row>
    <row r="303" spans="4:17" x14ac:dyDescent="0.35">
      <c r="D303" s="23"/>
      <c r="E303" s="30"/>
      <c r="F303" s="30"/>
      <c r="G303" s="23"/>
      <c r="H303" s="30"/>
      <c r="I303" s="30"/>
      <c r="J303" s="31"/>
      <c r="L303" s="32">
        <v>1.89</v>
      </c>
      <c r="M303" s="33">
        <v>3.9199999999999999E-2</v>
      </c>
      <c r="N303" s="33">
        <v>3.8899999999999997E-2</v>
      </c>
      <c r="O303" s="33">
        <v>1.5599999999999999E-2</v>
      </c>
      <c r="P303" s="33">
        <v>1.5599999999999999E-2</v>
      </c>
      <c r="Q303" s="74">
        <v>5.5599999999999997E-2</v>
      </c>
    </row>
    <row r="304" spans="4:17" x14ac:dyDescent="0.35">
      <c r="D304" s="23"/>
      <c r="E304" s="30"/>
      <c r="F304" s="30"/>
      <c r="G304" s="23"/>
      <c r="H304" s="30"/>
      <c r="I304" s="30"/>
      <c r="J304" s="31"/>
      <c r="L304" s="32">
        <v>1.9</v>
      </c>
      <c r="M304" s="33">
        <v>3.9399999999999998E-2</v>
      </c>
      <c r="N304" s="33">
        <v>3.9100000000000003E-2</v>
      </c>
      <c r="O304" s="33">
        <v>1.6E-2</v>
      </c>
      <c r="P304" s="33">
        <v>1.6E-2</v>
      </c>
      <c r="Q304" s="74">
        <v>5.6099999999999997E-2</v>
      </c>
    </row>
    <row r="305" spans="4:17" x14ac:dyDescent="0.35">
      <c r="D305" s="23"/>
      <c r="E305" s="30"/>
      <c r="F305" s="30"/>
      <c r="G305" s="23"/>
      <c r="H305" s="30"/>
      <c r="I305" s="30"/>
      <c r="J305" s="31"/>
      <c r="L305" s="32">
        <v>1.91</v>
      </c>
      <c r="M305" s="33">
        <v>3.9600000000000003E-2</v>
      </c>
      <c r="N305" s="33">
        <v>3.9300000000000002E-2</v>
      </c>
      <c r="O305" s="33">
        <v>1.6400000000000001E-2</v>
      </c>
      <c r="P305" s="33">
        <v>1.6400000000000001E-2</v>
      </c>
      <c r="Q305" s="74">
        <v>5.6500000000000002E-2</v>
      </c>
    </row>
    <row r="306" spans="4:17" x14ac:dyDescent="0.35">
      <c r="D306" s="23"/>
      <c r="E306" s="30"/>
      <c r="F306" s="30"/>
      <c r="G306" s="23"/>
      <c r="H306" s="30"/>
      <c r="I306" s="30"/>
      <c r="J306" s="31"/>
      <c r="L306" s="32">
        <v>1.92</v>
      </c>
      <c r="M306" s="33">
        <v>3.9800000000000002E-2</v>
      </c>
      <c r="N306" s="33">
        <v>3.9600000000000003E-2</v>
      </c>
      <c r="O306" s="33">
        <v>1.6799999999999999E-2</v>
      </c>
      <c r="P306" s="33">
        <v>1.6799999999999999E-2</v>
      </c>
      <c r="Q306" s="74">
        <v>5.7000000000000002E-2</v>
      </c>
    </row>
    <row r="307" spans="4:17" x14ac:dyDescent="0.35">
      <c r="D307" s="23"/>
      <c r="E307" s="30"/>
      <c r="F307" s="30"/>
      <c r="G307" s="23"/>
      <c r="H307" s="30"/>
      <c r="I307" s="30"/>
      <c r="J307" s="31"/>
      <c r="L307" s="32">
        <v>1.93</v>
      </c>
      <c r="M307" s="33">
        <v>0.04</v>
      </c>
      <c r="N307" s="33">
        <v>3.9800000000000002E-2</v>
      </c>
      <c r="O307" s="33">
        <v>1.72E-2</v>
      </c>
      <c r="P307" s="33">
        <v>1.72E-2</v>
      </c>
      <c r="Q307" s="74">
        <v>5.74E-2</v>
      </c>
    </row>
    <row r="308" spans="4:17" x14ac:dyDescent="0.35">
      <c r="D308" s="23"/>
      <c r="E308" s="30"/>
      <c r="F308" s="30"/>
      <c r="G308" s="23"/>
      <c r="H308" s="30"/>
      <c r="I308" s="30"/>
      <c r="J308" s="31"/>
      <c r="L308" s="32">
        <v>1.94</v>
      </c>
      <c r="M308" s="33">
        <v>4.0300000000000002E-2</v>
      </c>
      <c r="N308" s="33">
        <v>0.04</v>
      </c>
      <c r="O308" s="33">
        <v>1.7600000000000001E-2</v>
      </c>
      <c r="P308" s="33">
        <v>1.7600000000000001E-2</v>
      </c>
      <c r="Q308" s="74">
        <v>5.7799999999999997E-2</v>
      </c>
    </row>
    <row r="309" spans="4:17" x14ac:dyDescent="0.35">
      <c r="D309" s="23"/>
      <c r="E309" s="30"/>
      <c r="F309" s="30"/>
      <c r="G309" s="23"/>
      <c r="H309" s="30"/>
      <c r="I309" s="30"/>
      <c r="J309" s="31"/>
      <c r="L309" s="32">
        <v>1.95</v>
      </c>
      <c r="M309" s="33">
        <v>4.0500000000000001E-2</v>
      </c>
      <c r="N309" s="33">
        <v>4.02E-2</v>
      </c>
      <c r="O309" s="33">
        <v>1.7999999999999999E-2</v>
      </c>
      <c r="P309" s="33">
        <v>1.7999999999999999E-2</v>
      </c>
      <c r="Q309" s="74">
        <v>5.8299999999999998E-2</v>
      </c>
    </row>
    <row r="310" spans="4:17" x14ac:dyDescent="0.35">
      <c r="D310" s="23"/>
      <c r="E310" s="30"/>
      <c r="F310" s="30"/>
      <c r="G310" s="23"/>
      <c r="H310" s="30"/>
      <c r="I310" s="30"/>
      <c r="J310" s="31"/>
      <c r="L310" s="32">
        <v>1.96</v>
      </c>
      <c r="M310" s="33">
        <v>4.07E-2</v>
      </c>
      <c r="N310" s="33">
        <v>4.0399999999999998E-2</v>
      </c>
      <c r="O310" s="33">
        <v>1.84E-2</v>
      </c>
      <c r="P310" s="33">
        <v>1.84E-2</v>
      </c>
      <c r="Q310" s="74">
        <v>5.8700000000000002E-2</v>
      </c>
    </row>
    <row r="311" spans="4:17" x14ac:dyDescent="0.35">
      <c r="D311" s="23"/>
      <c r="E311" s="30"/>
      <c r="F311" s="30"/>
      <c r="G311" s="23"/>
      <c r="H311" s="30"/>
      <c r="I311" s="30"/>
      <c r="J311" s="31"/>
      <c r="L311" s="32">
        <v>1.97</v>
      </c>
      <c r="M311" s="33">
        <v>4.0899999999999999E-2</v>
      </c>
      <c r="N311" s="33">
        <v>4.0599999999999997E-2</v>
      </c>
      <c r="O311" s="33">
        <v>1.8800000000000001E-2</v>
      </c>
      <c r="P311" s="33">
        <v>1.8800000000000001E-2</v>
      </c>
      <c r="Q311" s="74">
        <v>5.9200000000000003E-2</v>
      </c>
    </row>
    <row r="312" spans="4:17" x14ac:dyDescent="0.35">
      <c r="D312" s="23"/>
      <c r="E312" s="30"/>
      <c r="F312" s="30"/>
      <c r="G312" s="23"/>
      <c r="H312" s="30"/>
      <c r="I312" s="30"/>
      <c r="J312" s="31"/>
      <c r="L312" s="32">
        <v>1.98</v>
      </c>
      <c r="M312" s="33">
        <v>4.1099999999999998E-2</v>
      </c>
      <c r="N312" s="33">
        <v>4.0800000000000003E-2</v>
      </c>
      <c r="O312" s="33">
        <v>1.9199999999999998E-2</v>
      </c>
      <c r="P312" s="33">
        <v>1.9199999999999998E-2</v>
      </c>
      <c r="Q312" s="74">
        <v>5.96E-2</v>
      </c>
    </row>
    <row r="313" spans="4:17" x14ac:dyDescent="0.35">
      <c r="D313" s="23"/>
      <c r="E313" s="30"/>
      <c r="F313" s="30"/>
      <c r="G313" s="23"/>
      <c r="H313" s="30"/>
      <c r="I313" s="30"/>
      <c r="J313" s="31"/>
      <c r="L313" s="32">
        <v>1.99</v>
      </c>
      <c r="M313" s="33">
        <v>4.1300000000000003E-2</v>
      </c>
      <c r="N313" s="33">
        <v>4.1000000000000002E-2</v>
      </c>
      <c r="O313" s="33">
        <v>1.9599999999999999E-2</v>
      </c>
      <c r="P313" s="33">
        <v>1.9599999999999999E-2</v>
      </c>
      <c r="Q313" s="74">
        <v>6.0100000000000001E-2</v>
      </c>
    </row>
    <row r="314" spans="4:17" x14ac:dyDescent="0.35">
      <c r="D314" s="23"/>
      <c r="E314" s="30"/>
      <c r="F314" s="30"/>
      <c r="G314" s="23"/>
      <c r="H314" s="30"/>
      <c r="I314" s="30"/>
      <c r="J314" s="31"/>
      <c r="L314" s="32">
        <v>2</v>
      </c>
      <c r="M314" s="35">
        <v>4.1500000000000002E-2</v>
      </c>
      <c r="N314" s="35">
        <v>4.1200000000000001E-2</v>
      </c>
      <c r="O314" s="33">
        <v>0.02</v>
      </c>
      <c r="P314" s="33">
        <v>0.02</v>
      </c>
      <c r="Q314" s="74">
        <v>6.0499999999999998E-2</v>
      </c>
    </row>
    <row r="315" spans="4:17" x14ac:dyDescent="0.35">
      <c r="D315" s="23"/>
      <c r="E315" s="30"/>
      <c r="F315" s="30"/>
      <c r="G315" s="23"/>
      <c r="H315" s="30"/>
      <c r="I315" s="30"/>
      <c r="J315" s="31"/>
      <c r="L315" s="32">
        <v>2.0099999999999998</v>
      </c>
      <c r="M315" s="33">
        <v>4.2000000000000003E-2</v>
      </c>
      <c r="N315" s="33">
        <v>4.1700000000000001E-2</v>
      </c>
      <c r="O315" s="33">
        <v>2.0400000000000001E-2</v>
      </c>
      <c r="P315" s="33">
        <v>2.0400000000000001E-2</v>
      </c>
      <c r="Q315" s="74">
        <v>6.08E-2</v>
      </c>
    </row>
    <row r="316" spans="4:17" x14ac:dyDescent="0.35">
      <c r="D316" s="23"/>
      <c r="E316" s="30"/>
      <c r="F316" s="30"/>
      <c r="G316" s="23"/>
      <c r="H316" s="30"/>
      <c r="I316" s="30"/>
      <c r="J316" s="31"/>
      <c r="L316" s="32">
        <v>2.02</v>
      </c>
      <c r="M316" s="33">
        <v>4.2500000000000003E-2</v>
      </c>
      <c r="N316" s="33">
        <v>4.2099999999999999E-2</v>
      </c>
      <c r="O316" s="33">
        <v>2.0799999999999999E-2</v>
      </c>
      <c r="P316" s="33">
        <v>2.0799999999999999E-2</v>
      </c>
      <c r="Q316" s="74">
        <v>6.1199999999999997E-2</v>
      </c>
    </row>
    <row r="317" spans="4:17" x14ac:dyDescent="0.35">
      <c r="D317" s="23"/>
      <c r="E317" s="30"/>
      <c r="F317" s="30"/>
      <c r="G317" s="23"/>
      <c r="H317" s="30"/>
      <c r="I317" s="30"/>
      <c r="J317" s="31"/>
      <c r="L317" s="32">
        <v>2.0299999999999998</v>
      </c>
      <c r="M317" s="33">
        <v>4.2900000000000001E-2</v>
      </c>
      <c r="N317" s="33">
        <v>4.2599999999999999E-2</v>
      </c>
      <c r="O317" s="33">
        <v>2.12E-2</v>
      </c>
      <c r="P317" s="33">
        <v>2.12E-2</v>
      </c>
      <c r="Q317" s="74">
        <v>6.1499999999999999E-2</v>
      </c>
    </row>
    <row r="318" spans="4:17" x14ac:dyDescent="0.35">
      <c r="D318" s="23"/>
      <c r="E318" s="30"/>
      <c r="F318" s="30"/>
      <c r="G318" s="23"/>
      <c r="H318" s="30"/>
      <c r="I318" s="30"/>
      <c r="J318" s="31"/>
      <c r="L318" s="32">
        <v>2.04</v>
      </c>
      <c r="M318" s="33">
        <v>4.3400000000000001E-2</v>
      </c>
      <c r="N318" s="33">
        <v>4.3099999999999999E-2</v>
      </c>
      <c r="O318" s="33">
        <v>2.1600000000000001E-2</v>
      </c>
      <c r="P318" s="33">
        <v>2.1600000000000001E-2</v>
      </c>
      <c r="Q318" s="74">
        <v>6.1800000000000001E-2</v>
      </c>
    </row>
    <row r="319" spans="4:17" x14ac:dyDescent="0.35">
      <c r="D319" s="23"/>
      <c r="E319" s="30"/>
      <c r="F319" s="30"/>
      <c r="G319" s="23"/>
      <c r="H319" s="30"/>
      <c r="I319" s="30"/>
      <c r="J319" s="31"/>
      <c r="L319" s="32">
        <v>2.0499999999999998</v>
      </c>
      <c r="M319" s="33">
        <v>4.3900000000000002E-2</v>
      </c>
      <c r="N319" s="33">
        <v>4.36E-2</v>
      </c>
      <c r="O319" s="33">
        <v>2.1999999999999999E-2</v>
      </c>
      <c r="P319" s="33">
        <v>2.1999999999999999E-2</v>
      </c>
      <c r="Q319" s="74">
        <v>6.2199999999999998E-2</v>
      </c>
    </row>
    <row r="320" spans="4:17" x14ac:dyDescent="0.35">
      <c r="D320" s="23"/>
      <c r="E320" s="30"/>
      <c r="F320" s="30"/>
      <c r="G320" s="23"/>
      <c r="H320" s="30"/>
      <c r="I320" s="30"/>
      <c r="J320" s="31"/>
      <c r="L320" s="32">
        <v>2.06</v>
      </c>
      <c r="M320" s="33">
        <v>4.4400000000000002E-2</v>
      </c>
      <c r="N320" s="33">
        <v>4.3999999999999997E-2</v>
      </c>
      <c r="O320" s="33">
        <v>2.24E-2</v>
      </c>
      <c r="P320" s="33">
        <v>2.24E-2</v>
      </c>
      <c r="Q320" s="74">
        <v>6.25E-2</v>
      </c>
    </row>
    <row r="321" spans="4:17" x14ac:dyDescent="0.35">
      <c r="D321" s="23"/>
      <c r="E321" s="30"/>
      <c r="F321" s="30"/>
      <c r="G321" s="23"/>
      <c r="H321" s="30"/>
      <c r="I321" s="30"/>
      <c r="J321" s="31"/>
      <c r="L321" s="32">
        <v>2.0699999999999998</v>
      </c>
      <c r="M321" s="33">
        <v>4.48E-2</v>
      </c>
      <c r="N321" s="33">
        <v>4.4499999999999998E-2</v>
      </c>
      <c r="O321" s="33">
        <v>2.2800000000000001E-2</v>
      </c>
      <c r="P321" s="33">
        <v>2.2800000000000001E-2</v>
      </c>
      <c r="Q321" s="74">
        <v>6.2899999999999998E-2</v>
      </c>
    </row>
    <row r="322" spans="4:17" x14ac:dyDescent="0.35">
      <c r="D322" s="23"/>
      <c r="E322" s="30"/>
      <c r="F322" s="30"/>
      <c r="G322" s="23"/>
      <c r="H322" s="30"/>
      <c r="I322" s="30"/>
      <c r="J322" s="31"/>
      <c r="L322" s="32">
        <v>2.08</v>
      </c>
      <c r="M322" s="33">
        <v>4.53E-2</v>
      </c>
      <c r="N322" s="33">
        <v>4.4999999999999998E-2</v>
      </c>
      <c r="O322" s="33">
        <v>2.3199999999999998E-2</v>
      </c>
      <c r="P322" s="33">
        <v>2.3199999999999998E-2</v>
      </c>
      <c r="Q322" s="74">
        <v>6.3200000000000006E-2</v>
      </c>
    </row>
    <row r="323" spans="4:17" x14ac:dyDescent="0.35">
      <c r="D323" s="23"/>
      <c r="E323" s="30"/>
      <c r="F323" s="30"/>
      <c r="G323" s="23"/>
      <c r="H323" s="30"/>
      <c r="I323" s="30"/>
      <c r="J323" s="31"/>
      <c r="L323" s="32">
        <v>2.09</v>
      </c>
      <c r="M323" s="33">
        <v>4.58E-2</v>
      </c>
      <c r="N323" s="33">
        <v>4.5499999999999999E-2</v>
      </c>
      <c r="O323" s="33">
        <v>2.3599999999999999E-2</v>
      </c>
      <c r="P323" s="33">
        <v>2.3599999999999999E-2</v>
      </c>
      <c r="Q323" s="74">
        <v>6.3500000000000001E-2</v>
      </c>
    </row>
    <row r="324" spans="4:17" x14ac:dyDescent="0.35">
      <c r="D324" s="23"/>
      <c r="E324" s="30"/>
      <c r="F324" s="30"/>
      <c r="G324" s="23"/>
      <c r="H324" s="30"/>
      <c r="I324" s="30"/>
      <c r="J324" s="31"/>
      <c r="L324" s="32">
        <v>2.1</v>
      </c>
      <c r="M324" s="33">
        <v>4.6300000000000001E-2</v>
      </c>
      <c r="N324" s="33">
        <v>4.5900000000000003E-2</v>
      </c>
      <c r="O324" s="33">
        <v>2.4E-2</v>
      </c>
      <c r="P324" s="33">
        <v>2.4E-2</v>
      </c>
      <c r="Q324" s="74">
        <v>6.3899999999999998E-2</v>
      </c>
    </row>
    <row r="325" spans="4:17" x14ac:dyDescent="0.35">
      <c r="D325" s="23"/>
      <c r="E325" s="30"/>
      <c r="F325" s="30"/>
      <c r="G325" s="23"/>
      <c r="H325" s="30"/>
      <c r="I325" s="30"/>
      <c r="J325" s="31"/>
      <c r="L325" s="32">
        <v>2.11</v>
      </c>
      <c r="M325" s="33">
        <v>4.6800000000000001E-2</v>
      </c>
      <c r="N325" s="33">
        <v>4.6399999999999997E-2</v>
      </c>
      <c r="O325" s="33">
        <v>2.4400000000000002E-2</v>
      </c>
      <c r="P325" s="33">
        <v>2.4400000000000002E-2</v>
      </c>
      <c r="Q325" s="74">
        <v>6.4199999999999993E-2</v>
      </c>
    </row>
    <row r="326" spans="4:17" x14ac:dyDescent="0.35">
      <c r="D326" s="23"/>
      <c r="E326" s="30"/>
      <c r="F326" s="30"/>
      <c r="G326" s="23"/>
      <c r="H326" s="30"/>
      <c r="I326" s="30"/>
      <c r="J326" s="31"/>
      <c r="L326" s="32">
        <v>2.12</v>
      </c>
      <c r="M326" s="33">
        <v>4.7199999999999999E-2</v>
      </c>
      <c r="N326" s="33">
        <v>4.6899999999999997E-2</v>
      </c>
      <c r="O326" s="33">
        <v>2.4799999999999999E-2</v>
      </c>
      <c r="P326" s="33">
        <v>2.4799999999999999E-2</v>
      </c>
      <c r="Q326" s="74">
        <v>6.4500000000000002E-2</v>
      </c>
    </row>
    <row r="327" spans="4:17" x14ac:dyDescent="0.35">
      <c r="D327" s="23"/>
      <c r="E327" s="30"/>
      <c r="F327" s="30"/>
      <c r="G327" s="23"/>
      <c r="H327" s="30"/>
      <c r="I327" s="30"/>
      <c r="J327" s="31"/>
      <c r="L327" s="32">
        <v>2.13</v>
      </c>
      <c r="M327" s="33">
        <v>4.7699999999999999E-2</v>
      </c>
      <c r="N327" s="33">
        <v>4.7399999999999998E-2</v>
      </c>
      <c r="O327" s="33">
        <v>2.52E-2</v>
      </c>
      <c r="P327" s="33">
        <v>2.52E-2</v>
      </c>
      <c r="Q327" s="74">
        <v>6.4899999999999999E-2</v>
      </c>
    </row>
    <row r="328" spans="4:17" x14ac:dyDescent="0.35">
      <c r="D328" s="23"/>
      <c r="E328" s="30"/>
      <c r="F328" s="30"/>
      <c r="G328" s="23"/>
      <c r="H328" s="30"/>
      <c r="I328" s="30"/>
      <c r="J328" s="31"/>
      <c r="L328" s="32">
        <v>2.14</v>
      </c>
      <c r="M328" s="33">
        <v>4.82E-2</v>
      </c>
      <c r="N328" s="33">
        <v>4.7800000000000002E-2</v>
      </c>
      <c r="O328" s="33">
        <v>2.5600000000000001E-2</v>
      </c>
      <c r="P328" s="33">
        <v>2.5600000000000001E-2</v>
      </c>
      <c r="Q328" s="74">
        <v>6.5199999999999994E-2</v>
      </c>
    </row>
    <row r="329" spans="4:17" x14ac:dyDescent="0.35">
      <c r="D329" s="23"/>
      <c r="E329" s="30"/>
      <c r="F329" s="30"/>
      <c r="G329" s="23"/>
      <c r="H329" s="30"/>
      <c r="I329" s="30"/>
      <c r="J329" s="31"/>
      <c r="L329" s="32">
        <v>2.15</v>
      </c>
      <c r="M329" s="33">
        <v>4.87E-2</v>
      </c>
      <c r="N329" s="33">
        <v>4.8300000000000003E-2</v>
      </c>
      <c r="O329" s="33">
        <v>2.5999999999999999E-2</v>
      </c>
      <c r="P329" s="33">
        <v>2.5999999999999999E-2</v>
      </c>
      <c r="Q329" s="74">
        <v>6.5500000000000003E-2</v>
      </c>
    </row>
    <row r="330" spans="4:17" x14ac:dyDescent="0.35">
      <c r="D330" s="23"/>
      <c r="E330" s="30"/>
      <c r="F330" s="30"/>
      <c r="G330" s="23"/>
      <c r="H330" s="30"/>
      <c r="I330" s="30"/>
      <c r="J330" s="31"/>
      <c r="L330" s="32">
        <v>2.16</v>
      </c>
      <c r="M330" s="33">
        <v>4.9099999999999998E-2</v>
      </c>
      <c r="N330" s="33">
        <v>4.8800000000000003E-2</v>
      </c>
      <c r="O330" s="33">
        <v>2.64E-2</v>
      </c>
      <c r="P330" s="33">
        <v>2.64E-2</v>
      </c>
      <c r="Q330" s="74">
        <v>6.59E-2</v>
      </c>
    </row>
    <row r="331" spans="4:17" x14ac:dyDescent="0.35">
      <c r="D331" s="23"/>
      <c r="E331" s="30"/>
      <c r="F331" s="30"/>
      <c r="G331" s="23"/>
      <c r="H331" s="30"/>
      <c r="I331" s="30"/>
      <c r="J331" s="31"/>
      <c r="L331" s="32">
        <v>2.17</v>
      </c>
      <c r="M331" s="33">
        <v>4.9599999999999998E-2</v>
      </c>
      <c r="N331" s="33">
        <v>4.9299999999999997E-2</v>
      </c>
      <c r="O331" s="33">
        <v>2.6800000000000001E-2</v>
      </c>
      <c r="P331" s="33">
        <v>2.6800000000000001E-2</v>
      </c>
      <c r="Q331" s="74">
        <v>6.6199999999999995E-2</v>
      </c>
    </row>
    <row r="332" spans="4:17" x14ac:dyDescent="0.35">
      <c r="D332" s="23"/>
      <c r="E332" s="30"/>
      <c r="F332" s="30"/>
      <c r="G332" s="23"/>
      <c r="H332" s="30"/>
      <c r="I332" s="30"/>
      <c r="J332" s="31"/>
      <c r="L332" s="32">
        <v>2.1800000000000002</v>
      </c>
      <c r="M332" s="33">
        <v>5.0099999999999999E-2</v>
      </c>
      <c r="N332" s="33">
        <v>4.9700000000000001E-2</v>
      </c>
      <c r="O332" s="33">
        <v>2.7199999999999998E-2</v>
      </c>
      <c r="P332" s="33">
        <v>2.7199999999999998E-2</v>
      </c>
      <c r="Q332" s="74">
        <v>6.6500000000000004E-2</v>
      </c>
    </row>
    <row r="333" spans="4:17" x14ac:dyDescent="0.35">
      <c r="D333" s="23"/>
      <c r="E333" s="30"/>
      <c r="F333" s="30"/>
      <c r="G333" s="23"/>
      <c r="H333" s="30"/>
      <c r="I333" s="30"/>
      <c r="J333" s="31"/>
      <c r="L333" s="32">
        <v>2.19</v>
      </c>
      <c r="M333" s="33">
        <v>5.0599999999999999E-2</v>
      </c>
      <c r="N333" s="33">
        <v>5.0200000000000002E-2</v>
      </c>
      <c r="O333" s="33">
        <v>2.76E-2</v>
      </c>
      <c r="P333" s="33">
        <v>2.76E-2</v>
      </c>
      <c r="Q333" s="74">
        <v>6.6900000000000001E-2</v>
      </c>
    </row>
    <row r="334" spans="4:17" x14ac:dyDescent="0.35">
      <c r="D334" s="23"/>
      <c r="E334" s="30"/>
      <c r="F334" s="30"/>
      <c r="G334" s="23"/>
      <c r="H334" s="30"/>
      <c r="I334" s="30"/>
      <c r="J334" s="31"/>
      <c r="L334" s="32">
        <v>2.2000000000000002</v>
      </c>
      <c r="M334" s="33">
        <v>5.11E-2</v>
      </c>
      <c r="N334" s="33">
        <v>5.0700000000000002E-2</v>
      </c>
      <c r="O334" s="33">
        <v>2.8000000000000001E-2</v>
      </c>
      <c r="P334" s="33">
        <v>2.8000000000000001E-2</v>
      </c>
      <c r="Q334" s="74">
        <v>6.7199999999999996E-2</v>
      </c>
    </row>
    <row r="335" spans="4:17" x14ac:dyDescent="0.35">
      <c r="D335" s="23"/>
      <c r="E335" s="30"/>
      <c r="F335" s="30"/>
      <c r="G335" s="23"/>
      <c r="H335" s="30"/>
      <c r="I335" s="30"/>
      <c r="J335" s="31"/>
      <c r="L335" s="32">
        <v>2.21</v>
      </c>
      <c r="M335" s="33">
        <v>5.1499999999999997E-2</v>
      </c>
      <c r="N335" s="33">
        <v>5.1200000000000002E-2</v>
      </c>
      <c r="O335" s="33">
        <v>2.8400000000000002E-2</v>
      </c>
      <c r="P335" s="33">
        <v>2.8400000000000002E-2</v>
      </c>
      <c r="Q335" s="74">
        <v>6.7599999999999993E-2</v>
      </c>
    </row>
    <row r="336" spans="4:17" x14ac:dyDescent="0.35">
      <c r="D336" s="23"/>
      <c r="E336" s="30"/>
      <c r="F336" s="30"/>
      <c r="G336" s="23"/>
      <c r="H336" s="30"/>
      <c r="I336" s="30"/>
      <c r="J336" s="31"/>
      <c r="L336" s="32">
        <v>2.2200000000000002</v>
      </c>
      <c r="M336" s="33">
        <v>5.1999999999999998E-2</v>
      </c>
      <c r="N336" s="33">
        <v>5.16E-2</v>
      </c>
      <c r="O336" s="33">
        <v>2.8799999999999999E-2</v>
      </c>
      <c r="P336" s="33">
        <v>2.8799999999999999E-2</v>
      </c>
      <c r="Q336" s="74">
        <v>6.7900000000000002E-2</v>
      </c>
    </row>
    <row r="337" spans="4:17" x14ac:dyDescent="0.35">
      <c r="D337" s="23"/>
      <c r="E337" s="30"/>
      <c r="F337" s="30"/>
      <c r="G337" s="23"/>
      <c r="H337" s="30"/>
      <c r="I337" s="30"/>
      <c r="J337" s="31"/>
      <c r="L337" s="32">
        <v>2.23</v>
      </c>
      <c r="M337" s="33">
        <v>5.2499999999999998E-2</v>
      </c>
      <c r="N337" s="33">
        <v>5.21E-2</v>
      </c>
      <c r="O337" s="33">
        <v>2.92E-2</v>
      </c>
      <c r="P337" s="33">
        <v>2.92E-2</v>
      </c>
      <c r="Q337" s="74">
        <v>6.8199999999999997E-2</v>
      </c>
    </row>
    <row r="338" spans="4:17" x14ac:dyDescent="0.35">
      <c r="D338" s="23"/>
      <c r="E338" s="30"/>
      <c r="F338" s="30"/>
      <c r="G338" s="23"/>
      <c r="H338" s="30"/>
      <c r="I338" s="30"/>
      <c r="J338" s="31"/>
      <c r="L338" s="32">
        <v>2.2400000000000002</v>
      </c>
      <c r="M338" s="33">
        <v>5.2999999999999999E-2</v>
      </c>
      <c r="N338" s="33">
        <v>5.2600000000000001E-2</v>
      </c>
      <c r="O338" s="33">
        <v>2.9600000000000001E-2</v>
      </c>
      <c r="P338" s="33">
        <v>2.9600000000000001E-2</v>
      </c>
      <c r="Q338" s="74">
        <v>6.8599999999999994E-2</v>
      </c>
    </row>
    <row r="339" spans="4:17" x14ac:dyDescent="0.35">
      <c r="D339" s="23"/>
      <c r="E339" s="30"/>
      <c r="F339" s="30"/>
      <c r="G339" s="23"/>
      <c r="H339" s="30"/>
      <c r="I339" s="30"/>
      <c r="J339" s="31"/>
      <c r="L339" s="32">
        <v>2.25</v>
      </c>
      <c r="M339" s="33">
        <v>5.3499999999999999E-2</v>
      </c>
      <c r="N339" s="33">
        <v>5.3100000000000001E-2</v>
      </c>
      <c r="O339" s="33">
        <v>0.03</v>
      </c>
      <c r="P339" s="33">
        <v>0.03</v>
      </c>
      <c r="Q339" s="74">
        <v>6.8900000000000003E-2</v>
      </c>
    </row>
    <row r="340" spans="4:17" x14ac:dyDescent="0.35">
      <c r="D340" s="23"/>
      <c r="E340" s="30"/>
      <c r="F340" s="30"/>
      <c r="G340" s="23"/>
      <c r="H340" s="30"/>
      <c r="I340" s="30"/>
      <c r="J340" s="31"/>
      <c r="L340" s="32">
        <v>2.2599999999999998</v>
      </c>
      <c r="M340" s="33">
        <v>5.3900000000000003E-2</v>
      </c>
      <c r="N340" s="33">
        <v>5.3499999999999999E-2</v>
      </c>
      <c r="O340" s="33">
        <v>3.04E-2</v>
      </c>
      <c r="P340" s="33">
        <v>3.04E-2</v>
      </c>
      <c r="Q340" s="74">
        <v>6.9199999999999998E-2</v>
      </c>
    </row>
    <row r="341" spans="4:17" x14ac:dyDescent="0.35">
      <c r="D341" s="23"/>
      <c r="E341" s="30"/>
      <c r="F341" s="30"/>
      <c r="G341" s="23"/>
      <c r="H341" s="30"/>
      <c r="I341" s="30"/>
      <c r="J341" s="31"/>
      <c r="L341" s="32">
        <v>2.27</v>
      </c>
      <c r="M341" s="33">
        <v>5.4399999999999997E-2</v>
      </c>
      <c r="N341" s="33">
        <v>5.3999999999999999E-2</v>
      </c>
      <c r="O341" s="33">
        <v>3.0800000000000001E-2</v>
      </c>
      <c r="P341" s="33">
        <v>3.0800000000000001E-2</v>
      </c>
      <c r="Q341" s="74">
        <v>6.9599999999999995E-2</v>
      </c>
    </row>
    <row r="342" spans="4:17" x14ac:dyDescent="0.35">
      <c r="D342" s="23"/>
      <c r="E342" s="30"/>
      <c r="F342" s="30"/>
      <c r="G342" s="23"/>
      <c r="H342" s="30"/>
      <c r="I342" s="30"/>
      <c r="J342" s="31"/>
      <c r="L342" s="32">
        <v>2.2799999999999998</v>
      </c>
      <c r="M342" s="33">
        <v>5.4899999999999997E-2</v>
      </c>
      <c r="N342" s="33">
        <v>5.45E-2</v>
      </c>
      <c r="O342" s="33">
        <v>3.1199999999999999E-2</v>
      </c>
      <c r="P342" s="33">
        <v>3.1199999999999999E-2</v>
      </c>
      <c r="Q342" s="74">
        <v>6.9900000000000004E-2</v>
      </c>
    </row>
    <row r="343" spans="4:17" x14ac:dyDescent="0.35">
      <c r="D343" s="23"/>
      <c r="E343" s="30"/>
      <c r="F343" s="30"/>
      <c r="G343" s="23"/>
      <c r="H343" s="30"/>
      <c r="I343" s="30"/>
      <c r="J343" s="31"/>
      <c r="L343" s="32">
        <v>2.29</v>
      </c>
      <c r="M343" s="33">
        <v>5.5399999999999998E-2</v>
      </c>
      <c r="N343" s="33">
        <v>5.4899999999999997E-2</v>
      </c>
      <c r="O343" s="33">
        <v>3.1600000000000003E-2</v>
      </c>
      <c r="P343" s="33">
        <v>3.1600000000000003E-2</v>
      </c>
      <c r="Q343" s="74">
        <v>7.0199999999999999E-2</v>
      </c>
    </row>
    <row r="344" spans="4:17" x14ac:dyDescent="0.35">
      <c r="D344" s="23"/>
      <c r="E344" s="30"/>
      <c r="F344" s="30"/>
      <c r="G344" s="23"/>
      <c r="H344" s="30"/>
      <c r="I344" s="30"/>
      <c r="J344" s="31"/>
      <c r="L344" s="32">
        <v>2.2999999999999998</v>
      </c>
      <c r="M344" s="33">
        <v>5.5800000000000002E-2</v>
      </c>
      <c r="N344" s="33">
        <v>5.5399999999999998E-2</v>
      </c>
      <c r="O344" s="33">
        <v>3.2000000000000001E-2</v>
      </c>
      <c r="P344" s="33">
        <v>3.2000000000000001E-2</v>
      </c>
      <c r="Q344" s="74">
        <v>7.0599999999999996E-2</v>
      </c>
    </row>
    <row r="345" spans="4:17" x14ac:dyDescent="0.35">
      <c r="D345" s="23"/>
      <c r="E345" s="30"/>
      <c r="F345" s="30"/>
      <c r="G345" s="23"/>
      <c r="H345" s="30"/>
      <c r="I345" s="30"/>
      <c r="J345" s="31"/>
      <c r="L345" s="32">
        <v>2.31</v>
      </c>
      <c r="M345" s="33">
        <v>5.6300000000000003E-2</v>
      </c>
      <c r="N345" s="33">
        <v>5.5899999999999998E-2</v>
      </c>
      <c r="O345" s="33">
        <v>3.2399999999999998E-2</v>
      </c>
      <c r="P345" s="33">
        <v>3.2399999999999998E-2</v>
      </c>
      <c r="Q345" s="74">
        <v>7.0900000000000005E-2</v>
      </c>
    </row>
    <row r="346" spans="4:17" x14ac:dyDescent="0.35">
      <c r="D346" s="23"/>
      <c r="E346" s="30"/>
      <c r="F346" s="30"/>
      <c r="G346" s="23"/>
      <c r="H346" s="30"/>
      <c r="I346" s="30"/>
      <c r="J346" s="31"/>
      <c r="L346" s="32">
        <v>2.3199999999999998</v>
      </c>
      <c r="M346" s="33">
        <v>5.6800000000000003E-2</v>
      </c>
      <c r="N346" s="33">
        <v>5.6399999999999999E-2</v>
      </c>
      <c r="O346" s="33">
        <v>3.2800000000000003E-2</v>
      </c>
      <c r="P346" s="33">
        <v>3.2800000000000003E-2</v>
      </c>
      <c r="Q346" s="74">
        <v>7.1300000000000002E-2</v>
      </c>
    </row>
    <row r="347" spans="4:17" x14ac:dyDescent="0.35">
      <c r="D347" s="23"/>
      <c r="E347" s="30"/>
      <c r="F347" s="30"/>
      <c r="G347" s="23"/>
      <c r="H347" s="30"/>
      <c r="I347" s="30"/>
      <c r="J347" s="31"/>
      <c r="L347" s="32">
        <v>2.33</v>
      </c>
      <c r="M347" s="33">
        <v>5.7299999999999997E-2</v>
      </c>
      <c r="N347" s="33">
        <v>5.6800000000000003E-2</v>
      </c>
      <c r="O347" s="33">
        <v>3.32E-2</v>
      </c>
      <c r="P347" s="33">
        <v>3.32E-2</v>
      </c>
      <c r="Q347" s="74">
        <v>7.1599999999999997E-2</v>
      </c>
    </row>
    <row r="348" spans="4:17" x14ac:dyDescent="0.35">
      <c r="D348" s="23"/>
      <c r="E348" s="30"/>
      <c r="F348" s="30"/>
      <c r="G348" s="23"/>
      <c r="H348" s="30"/>
      <c r="I348" s="30"/>
      <c r="J348" s="31"/>
      <c r="L348" s="32">
        <v>2.34</v>
      </c>
      <c r="M348" s="33">
        <v>5.7799999999999997E-2</v>
      </c>
      <c r="N348" s="33">
        <v>5.7299999999999997E-2</v>
      </c>
      <c r="O348" s="33">
        <v>3.3599999999999998E-2</v>
      </c>
      <c r="P348" s="33">
        <v>3.3599999999999998E-2</v>
      </c>
      <c r="Q348" s="74">
        <v>7.1900000000000006E-2</v>
      </c>
    </row>
    <row r="349" spans="4:17" x14ac:dyDescent="0.35">
      <c r="D349" s="23"/>
      <c r="E349" s="30"/>
      <c r="F349" s="30"/>
      <c r="G349" s="23"/>
      <c r="H349" s="30"/>
      <c r="I349" s="30"/>
      <c r="J349" s="31"/>
      <c r="L349" s="32">
        <v>2.35</v>
      </c>
      <c r="M349" s="33">
        <v>5.8200000000000002E-2</v>
      </c>
      <c r="N349" s="33">
        <v>5.7799999999999997E-2</v>
      </c>
      <c r="O349" s="33">
        <v>3.4000000000000002E-2</v>
      </c>
      <c r="P349" s="33">
        <v>3.4000000000000002E-2</v>
      </c>
      <c r="Q349" s="74">
        <v>7.2300000000000003E-2</v>
      </c>
    </row>
    <row r="350" spans="4:17" x14ac:dyDescent="0.35">
      <c r="D350" s="23"/>
      <c r="E350" s="30"/>
      <c r="F350" s="30"/>
      <c r="G350" s="23"/>
      <c r="H350" s="30"/>
      <c r="I350" s="30"/>
      <c r="J350" s="31"/>
      <c r="L350" s="32">
        <v>2.36</v>
      </c>
      <c r="M350" s="33">
        <v>5.8700000000000002E-2</v>
      </c>
      <c r="N350" s="33">
        <v>5.8299999999999998E-2</v>
      </c>
      <c r="O350" s="33">
        <v>3.44E-2</v>
      </c>
      <c r="P350" s="33">
        <v>3.44E-2</v>
      </c>
      <c r="Q350" s="74">
        <v>7.2599999999999998E-2</v>
      </c>
    </row>
    <row r="351" spans="4:17" x14ac:dyDescent="0.35">
      <c r="D351" s="23"/>
      <c r="E351" s="30"/>
      <c r="F351" s="30"/>
      <c r="G351" s="23"/>
      <c r="H351" s="30"/>
      <c r="I351" s="30"/>
      <c r="J351" s="31"/>
      <c r="L351" s="32">
        <v>2.37</v>
      </c>
      <c r="M351" s="33">
        <v>5.9200000000000003E-2</v>
      </c>
      <c r="N351" s="33">
        <v>5.8700000000000002E-2</v>
      </c>
      <c r="O351" s="33">
        <v>3.4799999999999998E-2</v>
      </c>
      <c r="P351" s="33">
        <v>3.4799999999999998E-2</v>
      </c>
      <c r="Q351" s="74">
        <v>7.2900000000000006E-2</v>
      </c>
    </row>
    <row r="352" spans="4:17" x14ac:dyDescent="0.35">
      <c r="D352" s="23"/>
      <c r="E352" s="30"/>
      <c r="F352" s="30"/>
      <c r="G352" s="23"/>
      <c r="H352" s="30"/>
      <c r="I352" s="30"/>
      <c r="J352" s="31"/>
      <c r="L352" s="32">
        <v>2.38</v>
      </c>
      <c r="M352" s="33">
        <v>5.9700000000000003E-2</v>
      </c>
      <c r="N352" s="33">
        <v>5.9200000000000003E-2</v>
      </c>
      <c r="O352" s="33">
        <v>3.5200000000000002E-2</v>
      </c>
      <c r="P352" s="33">
        <v>3.5200000000000002E-2</v>
      </c>
      <c r="Q352" s="74">
        <v>7.3300000000000004E-2</v>
      </c>
    </row>
    <row r="353" spans="4:17" x14ac:dyDescent="0.35">
      <c r="D353" s="23"/>
      <c r="E353" s="30"/>
      <c r="F353" s="30"/>
      <c r="G353" s="23"/>
      <c r="H353" s="30"/>
      <c r="I353" s="30"/>
      <c r="J353" s="31"/>
      <c r="L353" s="32">
        <v>2.39</v>
      </c>
      <c r="M353" s="33">
        <v>6.0100000000000001E-2</v>
      </c>
      <c r="N353" s="33">
        <v>5.9700000000000003E-2</v>
      </c>
      <c r="O353" s="33">
        <v>3.56E-2</v>
      </c>
      <c r="P353" s="33">
        <v>3.56E-2</v>
      </c>
      <c r="Q353" s="74">
        <v>7.3599999999999999E-2</v>
      </c>
    </row>
    <row r="354" spans="4:17" x14ac:dyDescent="0.35">
      <c r="D354" s="23"/>
      <c r="E354" s="30"/>
      <c r="F354" s="30"/>
      <c r="G354" s="23"/>
      <c r="H354" s="30"/>
      <c r="I354" s="30"/>
      <c r="J354" s="31"/>
      <c r="L354" s="32">
        <v>2.4</v>
      </c>
      <c r="M354" s="33">
        <v>6.0600000000000001E-2</v>
      </c>
      <c r="N354" s="33">
        <v>6.0199999999999997E-2</v>
      </c>
      <c r="O354" s="33">
        <v>3.5999999999999997E-2</v>
      </c>
      <c r="P354" s="33">
        <v>3.5999999999999997E-2</v>
      </c>
      <c r="Q354" s="74">
        <v>7.3899999999999993E-2</v>
      </c>
    </row>
    <row r="355" spans="4:17" x14ac:dyDescent="0.35">
      <c r="D355" s="23"/>
      <c r="E355" s="30"/>
      <c r="F355" s="30"/>
      <c r="G355" s="23"/>
      <c r="H355" s="30"/>
      <c r="I355" s="30"/>
      <c r="J355" s="31"/>
      <c r="L355" s="32">
        <v>2.41</v>
      </c>
      <c r="M355" s="33">
        <v>6.1100000000000002E-2</v>
      </c>
      <c r="N355" s="33">
        <v>6.0600000000000001E-2</v>
      </c>
      <c r="O355" s="33">
        <v>3.6400000000000002E-2</v>
      </c>
      <c r="P355" s="33">
        <v>3.6400000000000002E-2</v>
      </c>
      <c r="Q355" s="74">
        <v>7.4300000000000005E-2</v>
      </c>
    </row>
    <row r="356" spans="4:17" x14ac:dyDescent="0.35">
      <c r="D356" s="23"/>
      <c r="E356" s="30"/>
      <c r="F356" s="30"/>
      <c r="G356" s="23"/>
      <c r="H356" s="30"/>
      <c r="I356" s="30"/>
      <c r="J356" s="31"/>
      <c r="L356" s="32">
        <v>2.42</v>
      </c>
      <c r="M356" s="33">
        <v>6.1600000000000002E-2</v>
      </c>
      <c r="N356" s="33">
        <v>6.1100000000000002E-2</v>
      </c>
      <c r="O356" s="33">
        <v>3.6799999999999999E-2</v>
      </c>
      <c r="P356" s="33">
        <v>3.6799999999999999E-2</v>
      </c>
      <c r="Q356" s="74">
        <v>7.46E-2</v>
      </c>
    </row>
    <row r="357" spans="4:17" x14ac:dyDescent="0.35">
      <c r="D357" s="23"/>
      <c r="E357" s="30"/>
      <c r="F357" s="30"/>
      <c r="G357" s="23"/>
      <c r="H357" s="30"/>
      <c r="I357" s="30"/>
      <c r="J357" s="31"/>
      <c r="L357" s="32">
        <v>2.4300000000000002</v>
      </c>
      <c r="M357" s="33">
        <v>6.2100000000000002E-2</v>
      </c>
      <c r="N357" s="33">
        <v>6.1600000000000002E-2</v>
      </c>
      <c r="O357" s="33">
        <v>3.7199999999999997E-2</v>
      </c>
      <c r="P357" s="33">
        <v>3.7199999999999997E-2</v>
      </c>
      <c r="Q357" s="74">
        <v>7.4899999999999994E-2</v>
      </c>
    </row>
    <row r="358" spans="4:17" x14ac:dyDescent="0.35">
      <c r="D358" s="23"/>
      <c r="E358" s="30"/>
      <c r="F358" s="30"/>
      <c r="G358" s="23"/>
      <c r="H358" s="30"/>
      <c r="I358" s="30"/>
      <c r="J358" s="31"/>
      <c r="L358" s="32">
        <v>2.44</v>
      </c>
      <c r="M358" s="33">
        <v>6.25E-2</v>
      </c>
      <c r="N358" s="33">
        <v>6.2100000000000002E-2</v>
      </c>
      <c r="O358" s="33">
        <v>3.7600000000000001E-2</v>
      </c>
      <c r="P358" s="33">
        <v>3.7600000000000001E-2</v>
      </c>
      <c r="Q358" s="74">
        <v>7.5300000000000006E-2</v>
      </c>
    </row>
    <row r="359" spans="4:17" x14ac:dyDescent="0.35">
      <c r="D359" s="23"/>
      <c r="E359" s="30"/>
      <c r="F359" s="30"/>
      <c r="G359" s="23"/>
      <c r="H359" s="30"/>
      <c r="I359" s="30"/>
      <c r="J359" s="31"/>
      <c r="L359" s="32">
        <v>2.4500000000000002</v>
      </c>
      <c r="M359" s="33">
        <v>6.3E-2</v>
      </c>
      <c r="N359" s="33">
        <v>6.25E-2</v>
      </c>
      <c r="O359" s="33">
        <v>3.7999999999999999E-2</v>
      </c>
      <c r="P359" s="33">
        <v>3.7999999999999999E-2</v>
      </c>
      <c r="Q359" s="74">
        <v>7.5600000000000001E-2</v>
      </c>
    </row>
    <row r="360" spans="4:17" x14ac:dyDescent="0.35">
      <c r="D360" s="23"/>
      <c r="E360" s="30"/>
      <c r="F360" s="30"/>
      <c r="G360" s="23"/>
      <c r="H360" s="30"/>
      <c r="I360" s="30"/>
      <c r="J360" s="31"/>
      <c r="L360" s="32">
        <v>2.46</v>
      </c>
      <c r="M360" s="33">
        <v>6.3500000000000001E-2</v>
      </c>
      <c r="N360" s="33">
        <v>6.3E-2</v>
      </c>
      <c r="O360" s="33">
        <v>3.8399999999999997E-2</v>
      </c>
      <c r="P360" s="33">
        <v>3.8399999999999997E-2</v>
      </c>
      <c r="Q360" s="74">
        <v>7.5999999999999998E-2</v>
      </c>
    </row>
    <row r="361" spans="4:17" x14ac:dyDescent="0.35">
      <c r="D361" s="23"/>
      <c r="E361" s="30"/>
      <c r="F361" s="30"/>
      <c r="G361" s="23"/>
      <c r="H361" s="30"/>
      <c r="I361" s="30"/>
      <c r="J361" s="31"/>
      <c r="L361" s="32">
        <v>2.4700000000000002</v>
      </c>
      <c r="M361" s="33">
        <v>6.4000000000000001E-2</v>
      </c>
      <c r="N361" s="33">
        <v>6.3500000000000001E-2</v>
      </c>
      <c r="O361" s="33">
        <v>3.8800000000000001E-2</v>
      </c>
      <c r="P361" s="33">
        <v>3.8800000000000001E-2</v>
      </c>
      <c r="Q361" s="74">
        <v>7.6300000000000007E-2</v>
      </c>
    </row>
    <row r="362" spans="4:17" x14ac:dyDescent="0.35">
      <c r="D362" s="23"/>
      <c r="E362" s="30"/>
      <c r="F362" s="30"/>
      <c r="G362" s="23"/>
      <c r="H362" s="30"/>
      <c r="I362" s="30"/>
      <c r="J362" s="31"/>
      <c r="L362" s="32">
        <v>2.48</v>
      </c>
      <c r="M362" s="33">
        <v>6.4399999999999999E-2</v>
      </c>
      <c r="N362" s="33">
        <v>6.4000000000000001E-2</v>
      </c>
      <c r="O362" s="33">
        <v>3.9199999999999999E-2</v>
      </c>
      <c r="P362" s="33">
        <v>3.9199999999999999E-2</v>
      </c>
      <c r="Q362" s="74">
        <v>7.6600000000000001E-2</v>
      </c>
    </row>
    <row r="363" spans="4:17" x14ac:dyDescent="0.35">
      <c r="D363" s="23"/>
      <c r="E363" s="30"/>
      <c r="F363" s="30"/>
      <c r="G363" s="23"/>
      <c r="H363" s="30"/>
      <c r="I363" s="30"/>
      <c r="J363" s="31"/>
      <c r="L363" s="32">
        <v>2.4900000000000002</v>
      </c>
      <c r="M363" s="33">
        <v>6.4899999999999999E-2</v>
      </c>
      <c r="N363" s="33">
        <v>6.4399999999999999E-2</v>
      </c>
      <c r="O363" s="33">
        <v>3.9600000000000003E-2</v>
      </c>
      <c r="P363" s="33">
        <v>3.9600000000000003E-2</v>
      </c>
      <c r="Q363" s="74">
        <v>7.6999999999999999E-2</v>
      </c>
    </row>
    <row r="364" spans="4:17" x14ac:dyDescent="0.35">
      <c r="D364" s="23"/>
      <c r="E364" s="30"/>
      <c r="F364" s="30"/>
      <c r="G364" s="23"/>
      <c r="H364" s="30"/>
      <c r="I364" s="30"/>
      <c r="J364" s="31"/>
      <c r="L364" s="32">
        <v>2.5</v>
      </c>
      <c r="M364" s="36">
        <v>6.54E-2</v>
      </c>
      <c r="N364" s="36">
        <v>6.4899999999999999E-2</v>
      </c>
      <c r="O364" s="33">
        <v>0.04</v>
      </c>
      <c r="P364" s="33">
        <v>0.04</v>
      </c>
      <c r="Q364" s="74">
        <v>7.7299999999999994E-2</v>
      </c>
    </row>
    <row r="365" spans="4:17" x14ac:dyDescent="0.35">
      <c r="D365" s="23"/>
      <c r="E365" s="30"/>
      <c r="F365" s="30"/>
      <c r="G365" s="23"/>
      <c r="H365" s="30"/>
      <c r="I365" s="30"/>
      <c r="J365" s="31"/>
      <c r="L365" s="32">
        <v>2.5099999999999998</v>
      </c>
      <c r="M365" s="33">
        <v>6.5799999999999997E-2</v>
      </c>
      <c r="N365" s="33">
        <v>6.5299999999999997E-2</v>
      </c>
      <c r="O365" s="33">
        <v>4.0399999999999998E-2</v>
      </c>
      <c r="P365" s="33">
        <v>4.0399999999999998E-2</v>
      </c>
      <c r="Q365" s="74">
        <v>7.7600000000000002E-2</v>
      </c>
    </row>
    <row r="366" spans="4:17" x14ac:dyDescent="0.35">
      <c r="D366" s="23"/>
      <c r="E366" s="30"/>
      <c r="F366" s="30"/>
      <c r="G366" s="23"/>
      <c r="H366" s="30"/>
      <c r="I366" s="30"/>
      <c r="J366" s="31"/>
      <c r="L366" s="32">
        <v>2.52</v>
      </c>
      <c r="M366" s="33">
        <v>6.6100000000000006E-2</v>
      </c>
      <c r="N366" s="33">
        <v>6.5600000000000006E-2</v>
      </c>
      <c r="O366" s="33">
        <v>4.0800000000000003E-2</v>
      </c>
      <c r="P366" s="33">
        <v>4.0800000000000003E-2</v>
      </c>
      <c r="Q366" s="74">
        <v>7.7899999999999997E-2</v>
      </c>
    </row>
    <row r="367" spans="4:17" x14ac:dyDescent="0.35">
      <c r="D367" s="23"/>
      <c r="E367" s="30"/>
      <c r="F367" s="30"/>
      <c r="G367" s="23"/>
      <c r="H367" s="30"/>
      <c r="I367" s="30"/>
      <c r="J367" s="31"/>
      <c r="L367" s="32">
        <v>2.5299999999999998</v>
      </c>
      <c r="M367" s="33">
        <v>6.6500000000000004E-2</v>
      </c>
      <c r="N367" s="33">
        <v>6.6000000000000003E-2</v>
      </c>
      <c r="O367" s="33">
        <v>4.1200000000000001E-2</v>
      </c>
      <c r="P367" s="33">
        <v>4.1200000000000001E-2</v>
      </c>
      <c r="Q367" s="74">
        <v>7.8100000000000003E-2</v>
      </c>
    </row>
    <row r="368" spans="4:17" x14ac:dyDescent="0.35">
      <c r="D368" s="23"/>
      <c r="E368" s="30"/>
      <c r="F368" s="30"/>
      <c r="G368" s="23"/>
      <c r="H368" s="30"/>
      <c r="I368" s="30"/>
      <c r="J368" s="31"/>
      <c r="L368" s="32">
        <v>2.54</v>
      </c>
      <c r="M368" s="33">
        <v>6.6900000000000001E-2</v>
      </c>
      <c r="N368" s="33">
        <v>6.6299999999999998E-2</v>
      </c>
      <c r="O368" s="33">
        <v>4.1599999999999998E-2</v>
      </c>
      <c r="P368" s="33">
        <v>4.1599999999999998E-2</v>
      </c>
      <c r="Q368" s="74">
        <v>7.8399999999999997E-2</v>
      </c>
    </row>
    <row r="369" spans="4:17" x14ac:dyDescent="0.35">
      <c r="D369" s="23"/>
      <c r="E369" s="30"/>
      <c r="F369" s="30"/>
      <c r="G369" s="23"/>
      <c r="H369" s="30"/>
      <c r="I369" s="30"/>
      <c r="J369" s="31"/>
      <c r="L369" s="32">
        <v>2.5499999999999998</v>
      </c>
      <c r="M369" s="33">
        <v>6.7199999999999996E-2</v>
      </c>
      <c r="N369" s="33">
        <v>6.6699999999999995E-2</v>
      </c>
      <c r="O369" s="33">
        <v>4.2000000000000003E-2</v>
      </c>
      <c r="P369" s="33">
        <v>4.2000000000000003E-2</v>
      </c>
      <c r="Q369" s="74">
        <v>7.8700000000000006E-2</v>
      </c>
    </row>
    <row r="370" spans="4:17" x14ac:dyDescent="0.35">
      <c r="D370" s="23"/>
      <c r="E370" s="30"/>
      <c r="F370" s="30"/>
      <c r="G370" s="23"/>
      <c r="H370" s="30"/>
      <c r="I370" s="30"/>
      <c r="J370" s="31"/>
      <c r="L370" s="32">
        <v>2.56</v>
      </c>
      <c r="M370" s="33">
        <v>6.7599999999999993E-2</v>
      </c>
      <c r="N370" s="33">
        <v>6.7100000000000007E-2</v>
      </c>
      <c r="O370" s="33">
        <v>4.24E-2</v>
      </c>
      <c r="P370" s="33">
        <v>4.24E-2</v>
      </c>
      <c r="Q370" s="74">
        <v>7.9000000000000001E-2</v>
      </c>
    </row>
    <row r="371" spans="4:17" x14ac:dyDescent="0.35">
      <c r="D371" s="23"/>
      <c r="E371" s="30"/>
      <c r="F371" s="30"/>
      <c r="G371" s="23"/>
      <c r="H371" s="30"/>
      <c r="I371" s="30"/>
      <c r="J371" s="31"/>
      <c r="L371" s="32">
        <v>2.57</v>
      </c>
      <c r="M371" s="33">
        <v>6.7900000000000002E-2</v>
      </c>
      <c r="N371" s="33">
        <v>6.7400000000000002E-2</v>
      </c>
      <c r="O371" s="33">
        <v>4.2799999999999998E-2</v>
      </c>
      <c r="P371" s="33">
        <v>4.2799999999999998E-2</v>
      </c>
      <c r="Q371" s="74">
        <v>7.9200000000000007E-2</v>
      </c>
    </row>
    <row r="372" spans="4:17" x14ac:dyDescent="0.35">
      <c r="D372" s="23"/>
      <c r="E372" s="30"/>
      <c r="F372" s="30"/>
      <c r="G372" s="23"/>
      <c r="H372" s="30"/>
      <c r="I372" s="30"/>
      <c r="J372" s="31"/>
      <c r="L372" s="32">
        <v>2.58</v>
      </c>
      <c r="M372" s="33">
        <v>6.83E-2</v>
      </c>
      <c r="N372" s="33">
        <v>6.7799999999999999E-2</v>
      </c>
      <c r="O372" s="33">
        <v>4.3200000000000002E-2</v>
      </c>
      <c r="P372" s="33">
        <v>4.3200000000000002E-2</v>
      </c>
      <c r="Q372" s="74">
        <v>7.9500000000000001E-2</v>
      </c>
    </row>
    <row r="373" spans="4:17" x14ac:dyDescent="0.35">
      <c r="D373" s="23"/>
      <c r="E373" s="30"/>
      <c r="F373" s="30"/>
      <c r="G373" s="23"/>
      <c r="H373" s="30"/>
      <c r="I373" s="30"/>
      <c r="J373" s="31"/>
      <c r="L373" s="32">
        <v>2.59</v>
      </c>
      <c r="M373" s="33">
        <v>6.8699999999999997E-2</v>
      </c>
      <c r="N373" s="33">
        <v>6.8099999999999994E-2</v>
      </c>
      <c r="O373" s="33">
        <v>4.36E-2</v>
      </c>
      <c r="P373" s="33">
        <v>4.36E-2</v>
      </c>
      <c r="Q373" s="74">
        <v>7.9799999999999996E-2</v>
      </c>
    </row>
    <row r="374" spans="4:17" x14ac:dyDescent="0.35">
      <c r="D374" s="23"/>
      <c r="E374" s="30"/>
      <c r="F374" s="30"/>
      <c r="G374" s="23"/>
      <c r="H374" s="30"/>
      <c r="I374" s="30"/>
      <c r="J374" s="31"/>
      <c r="L374" s="32">
        <v>2.6</v>
      </c>
      <c r="M374" s="33">
        <v>6.9000000000000006E-2</v>
      </c>
      <c r="N374" s="33">
        <v>6.8500000000000005E-2</v>
      </c>
      <c r="O374" s="33">
        <v>4.3999999999999997E-2</v>
      </c>
      <c r="P374" s="33">
        <v>4.3999999999999997E-2</v>
      </c>
      <c r="Q374" s="74">
        <v>8.0100000000000005E-2</v>
      </c>
    </row>
    <row r="375" spans="4:17" x14ac:dyDescent="0.35">
      <c r="D375" s="23"/>
      <c r="E375" s="30"/>
      <c r="F375" s="30"/>
      <c r="G375" s="23"/>
      <c r="H375" s="30"/>
      <c r="I375" s="30"/>
      <c r="J375" s="31"/>
      <c r="L375" s="32">
        <v>2.61</v>
      </c>
      <c r="M375" s="33">
        <v>6.9400000000000003E-2</v>
      </c>
      <c r="N375" s="33">
        <v>6.8900000000000003E-2</v>
      </c>
      <c r="O375" s="33">
        <v>4.4400000000000002E-2</v>
      </c>
      <c r="P375" s="33">
        <v>4.4400000000000002E-2</v>
      </c>
      <c r="Q375" s="74">
        <v>8.0399999999999999E-2</v>
      </c>
    </row>
    <row r="376" spans="4:17" x14ac:dyDescent="0.35">
      <c r="D376" s="23"/>
      <c r="E376" s="30"/>
      <c r="F376" s="30"/>
      <c r="G376" s="23"/>
      <c r="H376" s="30"/>
      <c r="I376" s="30"/>
      <c r="J376" s="31"/>
      <c r="L376" s="32">
        <v>2.62</v>
      </c>
      <c r="M376" s="33">
        <v>6.9800000000000001E-2</v>
      </c>
      <c r="N376" s="33">
        <v>6.9199999999999998E-2</v>
      </c>
      <c r="O376" s="33">
        <v>4.48E-2</v>
      </c>
      <c r="P376" s="33">
        <v>4.48E-2</v>
      </c>
      <c r="Q376" s="74">
        <v>8.0600000000000005E-2</v>
      </c>
    </row>
    <row r="377" spans="4:17" x14ac:dyDescent="0.35">
      <c r="D377" s="23"/>
      <c r="E377" s="30"/>
      <c r="F377" s="30"/>
      <c r="G377" s="23"/>
      <c r="H377" s="30"/>
      <c r="I377" s="30"/>
      <c r="J377" s="31"/>
      <c r="L377" s="32">
        <v>2.63</v>
      </c>
      <c r="M377" s="33">
        <v>7.0099999999999996E-2</v>
      </c>
      <c r="N377" s="33">
        <v>6.9599999999999995E-2</v>
      </c>
      <c r="O377" s="33">
        <v>4.5199999999999997E-2</v>
      </c>
      <c r="P377" s="33">
        <v>4.5199999999999997E-2</v>
      </c>
      <c r="Q377" s="74">
        <v>8.09E-2</v>
      </c>
    </row>
    <row r="378" spans="4:17" x14ac:dyDescent="0.35">
      <c r="D378" s="23"/>
      <c r="E378" s="30"/>
      <c r="F378" s="30"/>
      <c r="G378" s="23"/>
      <c r="H378" s="30"/>
      <c r="I378" s="30"/>
      <c r="J378" s="31"/>
      <c r="L378" s="32">
        <v>2.64</v>
      </c>
      <c r="M378" s="33">
        <v>7.0499999999999993E-2</v>
      </c>
      <c r="N378" s="33">
        <v>6.9900000000000004E-2</v>
      </c>
      <c r="O378" s="33">
        <v>4.5600000000000002E-2</v>
      </c>
      <c r="P378" s="33">
        <v>4.5600000000000002E-2</v>
      </c>
      <c r="Q378" s="74">
        <v>8.1199999999999994E-2</v>
      </c>
    </row>
    <row r="379" spans="4:17" x14ac:dyDescent="0.35">
      <c r="D379" s="23"/>
      <c r="E379" s="30"/>
      <c r="F379" s="30"/>
      <c r="G379" s="23"/>
      <c r="H379" s="30"/>
      <c r="I379" s="30"/>
      <c r="J379" s="31"/>
      <c r="L379" s="32">
        <v>2.65</v>
      </c>
      <c r="M379" s="33">
        <v>7.0900000000000005E-2</v>
      </c>
      <c r="N379" s="33">
        <v>7.0300000000000001E-2</v>
      </c>
      <c r="O379" s="33">
        <v>4.5999999999999999E-2</v>
      </c>
      <c r="P379" s="33">
        <v>4.5999999999999999E-2</v>
      </c>
      <c r="Q379" s="74">
        <v>8.1500000000000003E-2</v>
      </c>
    </row>
    <row r="380" spans="4:17" x14ac:dyDescent="0.35">
      <c r="D380" s="23"/>
      <c r="E380" s="30"/>
      <c r="F380" s="30"/>
      <c r="G380" s="23"/>
      <c r="H380" s="30"/>
      <c r="I380" s="30"/>
      <c r="J380" s="31"/>
      <c r="L380" s="32">
        <v>2.66</v>
      </c>
      <c r="M380" s="33">
        <v>7.1199999999999999E-2</v>
      </c>
      <c r="N380" s="33">
        <v>7.0699999999999999E-2</v>
      </c>
      <c r="O380" s="33">
        <v>4.6399999999999997E-2</v>
      </c>
      <c r="P380" s="33">
        <v>4.6399999999999997E-2</v>
      </c>
      <c r="Q380" s="74">
        <v>8.1699999999999995E-2</v>
      </c>
    </row>
    <row r="381" spans="4:17" x14ac:dyDescent="0.35">
      <c r="D381" s="23"/>
      <c r="E381" s="30"/>
      <c r="F381" s="30"/>
      <c r="G381" s="23"/>
      <c r="H381" s="30"/>
      <c r="I381" s="30"/>
      <c r="J381" s="31"/>
      <c r="L381" s="32">
        <v>2.67</v>
      </c>
      <c r="M381" s="33">
        <v>7.1599999999999997E-2</v>
      </c>
      <c r="N381" s="33">
        <v>7.0999999999999994E-2</v>
      </c>
      <c r="O381" s="33">
        <v>4.6800000000000001E-2</v>
      </c>
      <c r="P381" s="33">
        <v>4.6800000000000001E-2</v>
      </c>
      <c r="Q381" s="74">
        <v>8.2000000000000003E-2</v>
      </c>
    </row>
    <row r="382" spans="4:17" x14ac:dyDescent="0.35">
      <c r="D382" s="23"/>
      <c r="E382" s="30"/>
      <c r="F382" s="30"/>
      <c r="G382" s="23"/>
      <c r="H382" s="30"/>
      <c r="I382" s="30"/>
      <c r="J382" s="31"/>
      <c r="L382" s="32">
        <v>2.68</v>
      </c>
      <c r="M382" s="33">
        <v>7.1999999999999995E-2</v>
      </c>
      <c r="N382" s="33">
        <v>7.1400000000000005E-2</v>
      </c>
      <c r="O382" s="33">
        <v>4.7199999999999999E-2</v>
      </c>
      <c r="P382" s="33">
        <v>4.7199999999999999E-2</v>
      </c>
      <c r="Q382" s="74">
        <v>8.2299999999999998E-2</v>
      </c>
    </row>
    <row r="383" spans="4:17" x14ac:dyDescent="0.35">
      <c r="D383" s="23"/>
      <c r="E383" s="30"/>
      <c r="F383" s="30"/>
      <c r="G383" s="23"/>
      <c r="H383" s="30"/>
      <c r="I383" s="30"/>
      <c r="J383" s="31"/>
      <c r="L383" s="32">
        <v>2.69</v>
      </c>
      <c r="M383" s="33">
        <v>7.2300000000000003E-2</v>
      </c>
      <c r="N383" s="33">
        <v>7.17E-2</v>
      </c>
      <c r="O383" s="33">
        <v>4.7600000000000003E-2</v>
      </c>
      <c r="P383" s="33">
        <v>4.7600000000000003E-2</v>
      </c>
      <c r="Q383" s="74">
        <v>8.2600000000000007E-2</v>
      </c>
    </row>
    <row r="384" spans="4:17" x14ac:dyDescent="0.35">
      <c r="D384" s="23"/>
      <c r="E384" s="30"/>
      <c r="F384" s="30"/>
      <c r="G384" s="23"/>
      <c r="H384" s="30"/>
      <c r="I384" s="30"/>
      <c r="J384" s="31"/>
      <c r="L384" s="32">
        <v>2.7</v>
      </c>
      <c r="M384" s="33">
        <v>7.2700000000000001E-2</v>
      </c>
      <c r="N384" s="33">
        <v>7.2099999999999997E-2</v>
      </c>
      <c r="O384" s="33">
        <v>4.8000000000000001E-2</v>
      </c>
      <c r="P384" s="33">
        <v>4.8000000000000001E-2</v>
      </c>
      <c r="Q384" s="74">
        <v>8.2900000000000001E-2</v>
      </c>
    </row>
    <row r="385" spans="4:17" x14ac:dyDescent="0.35">
      <c r="D385" s="23"/>
      <c r="E385" s="30"/>
      <c r="F385" s="30"/>
      <c r="G385" s="23"/>
      <c r="H385" s="30"/>
      <c r="I385" s="30"/>
      <c r="J385" s="31"/>
      <c r="L385" s="32">
        <v>2.71</v>
      </c>
      <c r="M385" s="33">
        <v>7.2999999999999995E-2</v>
      </c>
      <c r="N385" s="33">
        <v>7.2499999999999995E-2</v>
      </c>
      <c r="O385" s="33">
        <v>4.8399999999999999E-2</v>
      </c>
      <c r="P385" s="33">
        <v>4.8399999999999999E-2</v>
      </c>
      <c r="Q385" s="74">
        <v>8.3099999999999993E-2</v>
      </c>
    </row>
    <row r="386" spans="4:17" x14ac:dyDescent="0.35">
      <c r="D386" s="23"/>
      <c r="E386" s="30"/>
      <c r="F386" s="30"/>
      <c r="G386" s="23"/>
      <c r="H386" s="30"/>
      <c r="I386" s="30"/>
      <c r="J386" s="31"/>
      <c r="L386" s="32">
        <v>2.72</v>
      </c>
      <c r="M386" s="33">
        <v>7.3400000000000007E-2</v>
      </c>
      <c r="N386" s="33">
        <v>7.2800000000000004E-2</v>
      </c>
      <c r="O386" s="33">
        <v>4.8800000000000003E-2</v>
      </c>
      <c r="P386" s="33">
        <v>4.8800000000000003E-2</v>
      </c>
      <c r="Q386" s="74">
        <v>8.3400000000000002E-2</v>
      </c>
    </row>
    <row r="387" spans="4:17" x14ac:dyDescent="0.35">
      <c r="D387" s="23"/>
      <c r="E387" s="30"/>
      <c r="F387" s="30"/>
      <c r="G387" s="23"/>
      <c r="H387" s="30"/>
      <c r="I387" s="30"/>
      <c r="J387" s="31"/>
      <c r="L387" s="32">
        <v>2.73</v>
      </c>
      <c r="M387" s="33">
        <v>7.3800000000000004E-2</v>
      </c>
      <c r="N387" s="33">
        <v>7.3200000000000001E-2</v>
      </c>
      <c r="O387" s="33">
        <v>4.9200000000000001E-2</v>
      </c>
      <c r="P387" s="33">
        <v>4.9200000000000001E-2</v>
      </c>
      <c r="Q387" s="74">
        <v>8.3699999999999997E-2</v>
      </c>
    </row>
    <row r="388" spans="4:17" x14ac:dyDescent="0.35">
      <c r="D388" s="23"/>
      <c r="E388" s="30"/>
      <c r="F388" s="30"/>
      <c r="G388" s="23"/>
      <c r="H388" s="30"/>
      <c r="I388" s="30"/>
      <c r="J388" s="31"/>
      <c r="L388" s="32">
        <v>2.74</v>
      </c>
      <c r="M388" s="33">
        <v>7.4099999999999999E-2</v>
      </c>
      <c r="N388" s="33">
        <v>7.3499999999999996E-2</v>
      </c>
      <c r="O388" s="33">
        <v>4.9599999999999998E-2</v>
      </c>
      <c r="P388" s="33">
        <v>4.9599999999999998E-2</v>
      </c>
      <c r="Q388" s="74">
        <v>8.4000000000000005E-2</v>
      </c>
    </row>
    <row r="389" spans="4:17" x14ac:dyDescent="0.35">
      <c r="D389" s="23"/>
      <c r="E389" s="30"/>
      <c r="F389" s="30"/>
      <c r="G389" s="23"/>
      <c r="H389" s="30"/>
      <c r="I389" s="30"/>
      <c r="J389" s="31"/>
      <c r="L389" s="32">
        <v>2.75</v>
      </c>
      <c r="M389" s="33">
        <v>7.4499999999999997E-2</v>
      </c>
      <c r="N389" s="33">
        <v>7.3899999999999993E-2</v>
      </c>
      <c r="O389" s="33">
        <v>0.05</v>
      </c>
      <c r="P389" s="33">
        <v>0.05</v>
      </c>
      <c r="Q389" s="74">
        <v>8.43E-2</v>
      </c>
    </row>
    <row r="390" spans="4:17" x14ac:dyDescent="0.35">
      <c r="D390" s="23"/>
      <c r="E390" s="30"/>
      <c r="F390" s="30"/>
      <c r="G390" s="23"/>
      <c r="H390" s="30"/>
      <c r="I390" s="30"/>
      <c r="J390" s="31"/>
      <c r="L390" s="32">
        <v>2.76</v>
      </c>
      <c r="M390" s="33">
        <v>7.4899999999999994E-2</v>
      </c>
      <c r="N390" s="33">
        <v>7.4300000000000005E-2</v>
      </c>
      <c r="O390" s="33">
        <v>5.04E-2</v>
      </c>
      <c r="P390" s="33">
        <v>5.04E-2</v>
      </c>
      <c r="Q390" s="74">
        <v>8.4500000000000006E-2</v>
      </c>
    </row>
    <row r="391" spans="4:17" x14ac:dyDescent="0.35">
      <c r="D391" s="23"/>
      <c r="E391" s="30"/>
      <c r="F391" s="30"/>
      <c r="G391" s="23"/>
      <c r="H391" s="30"/>
      <c r="I391" s="30"/>
      <c r="J391" s="31"/>
      <c r="L391" s="32">
        <v>2.77</v>
      </c>
      <c r="M391" s="33">
        <v>7.5200000000000003E-2</v>
      </c>
      <c r="N391" s="33">
        <v>7.46E-2</v>
      </c>
      <c r="O391" s="33">
        <v>5.0799999999999998E-2</v>
      </c>
      <c r="P391" s="33">
        <v>5.0799999999999998E-2</v>
      </c>
      <c r="Q391" s="74">
        <v>8.48E-2</v>
      </c>
    </row>
    <row r="392" spans="4:17" x14ac:dyDescent="0.35">
      <c r="D392" s="23"/>
      <c r="E392" s="30"/>
      <c r="F392" s="30"/>
      <c r="G392" s="23"/>
      <c r="H392" s="30"/>
      <c r="I392" s="30"/>
      <c r="J392" s="31"/>
      <c r="L392" s="32">
        <v>2.78</v>
      </c>
      <c r="M392" s="33">
        <v>7.5600000000000001E-2</v>
      </c>
      <c r="N392" s="33">
        <v>7.4999999999999997E-2</v>
      </c>
      <c r="O392" s="33">
        <v>5.1200000000000002E-2</v>
      </c>
      <c r="P392" s="33">
        <v>5.1200000000000002E-2</v>
      </c>
      <c r="Q392" s="74">
        <v>8.5099999999999995E-2</v>
      </c>
    </row>
    <row r="393" spans="4:17" x14ac:dyDescent="0.35">
      <c r="D393" s="23"/>
      <c r="E393" s="30"/>
      <c r="F393" s="30"/>
      <c r="G393" s="23"/>
      <c r="H393" s="30"/>
      <c r="I393" s="30"/>
      <c r="J393" s="31"/>
      <c r="L393" s="32">
        <v>2.79</v>
      </c>
      <c r="M393" s="33">
        <v>7.5999999999999998E-2</v>
      </c>
      <c r="N393" s="33">
        <v>7.5300000000000006E-2</v>
      </c>
      <c r="O393" s="33">
        <v>5.16E-2</v>
      </c>
      <c r="P393" s="33">
        <v>5.16E-2</v>
      </c>
      <c r="Q393" s="74">
        <v>8.5400000000000004E-2</v>
      </c>
    </row>
    <row r="394" spans="4:17" x14ac:dyDescent="0.35">
      <c r="D394" s="23"/>
      <c r="E394" s="30"/>
      <c r="F394" s="30"/>
      <c r="G394" s="23"/>
      <c r="H394" s="30"/>
      <c r="I394" s="30"/>
      <c r="J394" s="31"/>
      <c r="L394" s="32">
        <v>2.8</v>
      </c>
      <c r="M394" s="33">
        <v>7.6300000000000007E-2</v>
      </c>
      <c r="N394" s="33">
        <v>7.5700000000000003E-2</v>
      </c>
      <c r="O394" s="33">
        <v>5.1999999999999998E-2</v>
      </c>
      <c r="P394" s="33">
        <v>5.1999999999999998E-2</v>
      </c>
      <c r="Q394" s="74">
        <v>8.5599999999999996E-2</v>
      </c>
    </row>
    <row r="395" spans="4:17" x14ac:dyDescent="0.35">
      <c r="D395" s="23"/>
      <c r="E395" s="30"/>
      <c r="F395" s="30"/>
      <c r="G395" s="23"/>
      <c r="H395" s="30"/>
      <c r="I395" s="30"/>
      <c r="J395" s="31"/>
      <c r="L395" s="32">
        <v>2.81</v>
      </c>
      <c r="M395" s="33">
        <v>7.6700000000000004E-2</v>
      </c>
      <c r="N395" s="33">
        <v>7.6100000000000001E-2</v>
      </c>
      <c r="O395" s="33">
        <v>5.2400000000000002E-2</v>
      </c>
      <c r="P395" s="33">
        <v>5.2400000000000002E-2</v>
      </c>
      <c r="Q395" s="74">
        <v>8.5900000000000004E-2</v>
      </c>
    </row>
    <row r="396" spans="4:17" x14ac:dyDescent="0.35">
      <c r="D396" s="23"/>
      <c r="E396" s="30"/>
      <c r="F396" s="30"/>
      <c r="G396" s="23"/>
      <c r="H396" s="30"/>
      <c r="I396" s="30"/>
      <c r="J396" s="31"/>
      <c r="L396" s="32">
        <v>2.82</v>
      </c>
      <c r="M396" s="33">
        <v>7.6999999999999999E-2</v>
      </c>
      <c r="N396" s="33">
        <v>7.6399999999999996E-2</v>
      </c>
      <c r="O396" s="33">
        <v>5.28E-2</v>
      </c>
      <c r="P396" s="33">
        <v>5.28E-2</v>
      </c>
      <c r="Q396" s="74">
        <v>8.6199999999999999E-2</v>
      </c>
    </row>
    <row r="397" spans="4:17" x14ac:dyDescent="0.35">
      <c r="D397" s="23"/>
      <c r="E397" s="30"/>
      <c r="F397" s="30"/>
      <c r="G397" s="23"/>
      <c r="H397" s="30"/>
      <c r="I397" s="30"/>
      <c r="J397" s="31"/>
      <c r="L397" s="32">
        <v>2.83</v>
      </c>
      <c r="M397" s="33">
        <v>7.7399999999999997E-2</v>
      </c>
      <c r="N397" s="33">
        <v>7.6799999999999993E-2</v>
      </c>
      <c r="O397" s="33">
        <v>5.3199999999999997E-2</v>
      </c>
      <c r="P397" s="33">
        <v>5.3199999999999997E-2</v>
      </c>
      <c r="Q397" s="74">
        <v>8.6499999999999994E-2</v>
      </c>
    </row>
    <row r="398" spans="4:17" x14ac:dyDescent="0.35">
      <c r="D398" s="23"/>
      <c r="E398" s="30"/>
      <c r="F398" s="30"/>
      <c r="G398" s="23"/>
      <c r="H398" s="30"/>
      <c r="I398" s="30"/>
      <c r="J398" s="31"/>
      <c r="L398" s="32">
        <v>2.84</v>
      </c>
      <c r="M398" s="33">
        <v>7.7799999999999994E-2</v>
      </c>
      <c r="N398" s="33">
        <v>7.7100000000000002E-2</v>
      </c>
      <c r="O398" s="33">
        <v>5.3600000000000002E-2</v>
      </c>
      <c r="P398" s="33">
        <v>5.3600000000000002E-2</v>
      </c>
      <c r="Q398" s="74">
        <v>8.6800000000000002E-2</v>
      </c>
    </row>
    <row r="399" spans="4:17" x14ac:dyDescent="0.35">
      <c r="D399" s="23"/>
      <c r="E399" s="30"/>
      <c r="F399" s="30"/>
      <c r="G399" s="23"/>
      <c r="H399" s="30"/>
      <c r="I399" s="30"/>
      <c r="J399" s="31"/>
      <c r="L399" s="32">
        <v>2.85</v>
      </c>
      <c r="M399" s="33">
        <v>7.8100000000000003E-2</v>
      </c>
      <c r="N399" s="33">
        <v>7.7499999999999999E-2</v>
      </c>
      <c r="O399" s="33">
        <v>5.3999999999999999E-2</v>
      </c>
      <c r="P399" s="33">
        <v>5.3999999999999999E-2</v>
      </c>
      <c r="Q399" s="74">
        <v>8.6999999999999994E-2</v>
      </c>
    </row>
    <row r="400" spans="4:17" x14ac:dyDescent="0.35">
      <c r="D400" s="23"/>
      <c r="E400" s="30"/>
      <c r="F400" s="30"/>
      <c r="G400" s="23"/>
      <c r="H400" s="30"/>
      <c r="I400" s="30"/>
      <c r="J400" s="31"/>
      <c r="L400" s="32">
        <v>2.86</v>
      </c>
      <c r="M400" s="33">
        <v>7.85E-2</v>
      </c>
      <c r="N400" s="33">
        <v>7.7899999999999997E-2</v>
      </c>
      <c r="O400" s="33">
        <v>5.4399999999999997E-2</v>
      </c>
      <c r="P400" s="33">
        <v>5.4399999999999997E-2</v>
      </c>
      <c r="Q400" s="74">
        <v>8.7300000000000003E-2</v>
      </c>
    </row>
    <row r="401" spans="4:17" x14ac:dyDescent="0.35">
      <c r="D401" s="23"/>
      <c r="E401" s="30"/>
      <c r="F401" s="30"/>
      <c r="G401" s="23"/>
      <c r="H401" s="30"/>
      <c r="I401" s="30"/>
      <c r="J401" s="31"/>
      <c r="L401" s="32">
        <v>2.87</v>
      </c>
      <c r="M401" s="33">
        <v>7.8899999999999998E-2</v>
      </c>
      <c r="N401" s="33">
        <v>7.8200000000000006E-2</v>
      </c>
      <c r="O401" s="33">
        <v>5.4800000000000001E-2</v>
      </c>
      <c r="P401" s="33">
        <v>5.4800000000000001E-2</v>
      </c>
      <c r="Q401" s="74">
        <v>8.7599999999999997E-2</v>
      </c>
    </row>
    <row r="402" spans="4:17" x14ac:dyDescent="0.35">
      <c r="D402" s="23"/>
      <c r="E402" s="30"/>
      <c r="F402" s="30"/>
      <c r="G402" s="23"/>
      <c r="H402" s="30"/>
      <c r="I402" s="30"/>
      <c r="J402" s="31"/>
      <c r="L402" s="32">
        <v>2.88</v>
      </c>
      <c r="M402" s="33">
        <v>7.9200000000000007E-2</v>
      </c>
      <c r="N402" s="33">
        <v>7.8600000000000003E-2</v>
      </c>
      <c r="O402" s="33">
        <v>5.5199999999999999E-2</v>
      </c>
      <c r="P402" s="33">
        <v>5.5199999999999999E-2</v>
      </c>
      <c r="Q402" s="74">
        <v>8.7900000000000006E-2</v>
      </c>
    </row>
    <row r="403" spans="4:17" x14ac:dyDescent="0.35">
      <c r="D403" s="23"/>
      <c r="E403" s="30"/>
      <c r="F403" s="30"/>
      <c r="G403" s="23"/>
      <c r="H403" s="30"/>
      <c r="I403" s="30"/>
      <c r="J403" s="31"/>
      <c r="L403" s="32">
        <v>2.89</v>
      </c>
      <c r="M403" s="33">
        <v>7.9600000000000004E-2</v>
      </c>
      <c r="N403" s="33">
        <v>7.8899999999999998E-2</v>
      </c>
      <c r="O403" s="33">
        <v>5.5599999999999997E-2</v>
      </c>
      <c r="P403" s="33">
        <v>5.5599999999999997E-2</v>
      </c>
      <c r="Q403" s="74">
        <v>8.8099999999999998E-2</v>
      </c>
    </row>
    <row r="404" spans="4:17" x14ac:dyDescent="0.35">
      <c r="D404" s="23"/>
      <c r="E404" s="30"/>
      <c r="F404" s="30"/>
      <c r="G404" s="23"/>
      <c r="H404" s="30"/>
      <c r="I404" s="30"/>
      <c r="J404" s="31"/>
      <c r="L404" s="32">
        <v>2.9</v>
      </c>
      <c r="M404" s="33">
        <v>0.08</v>
      </c>
      <c r="N404" s="33">
        <v>7.9299999999999995E-2</v>
      </c>
      <c r="O404" s="33">
        <v>5.6000000000000001E-2</v>
      </c>
      <c r="P404" s="33">
        <v>5.6000000000000001E-2</v>
      </c>
      <c r="Q404" s="74">
        <v>8.8400000000000006E-2</v>
      </c>
    </row>
    <row r="405" spans="4:17" x14ac:dyDescent="0.35">
      <c r="D405" s="23"/>
      <c r="E405" s="30"/>
      <c r="F405" s="30"/>
      <c r="G405" s="23"/>
      <c r="H405" s="30"/>
      <c r="I405" s="30"/>
      <c r="J405" s="31"/>
      <c r="L405" s="32">
        <v>2.91</v>
      </c>
      <c r="M405" s="33">
        <v>8.0299999999999996E-2</v>
      </c>
      <c r="N405" s="33">
        <v>7.9699999999999993E-2</v>
      </c>
      <c r="O405" s="33">
        <v>5.6399999999999999E-2</v>
      </c>
      <c r="P405" s="33">
        <v>5.6399999999999999E-2</v>
      </c>
      <c r="Q405" s="74">
        <v>8.8700000000000001E-2</v>
      </c>
    </row>
    <row r="406" spans="4:17" x14ac:dyDescent="0.35">
      <c r="D406" s="23"/>
      <c r="E406" s="30"/>
      <c r="F406" s="30"/>
      <c r="G406" s="23"/>
      <c r="H406" s="30"/>
      <c r="I406" s="30"/>
      <c r="J406" s="31"/>
      <c r="L406" s="32">
        <v>2.92</v>
      </c>
      <c r="M406" s="33">
        <v>8.0699999999999994E-2</v>
      </c>
      <c r="N406" s="33">
        <v>0.08</v>
      </c>
      <c r="O406" s="33">
        <v>5.6800000000000003E-2</v>
      </c>
      <c r="P406" s="33">
        <v>5.6800000000000003E-2</v>
      </c>
      <c r="Q406" s="74">
        <v>8.8999999999999996E-2</v>
      </c>
    </row>
    <row r="407" spans="4:17" x14ac:dyDescent="0.35">
      <c r="D407" s="23"/>
      <c r="E407" s="30"/>
      <c r="F407" s="30"/>
      <c r="G407" s="23"/>
      <c r="H407" s="30"/>
      <c r="I407" s="30"/>
      <c r="J407" s="31"/>
      <c r="L407" s="32">
        <v>2.93</v>
      </c>
      <c r="M407" s="33">
        <v>8.1100000000000005E-2</v>
      </c>
      <c r="N407" s="33">
        <v>8.0399999999999999E-2</v>
      </c>
      <c r="O407" s="33">
        <v>5.7200000000000001E-2</v>
      </c>
      <c r="P407" s="33">
        <v>5.7200000000000001E-2</v>
      </c>
      <c r="Q407" s="74">
        <v>8.9300000000000004E-2</v>
      </c>
    </row>
    <row r="408" spans="4:17" x14ac:dyDescent="0.35">
      <c r="D408" s="23"/>
      <c r="E408" s="30"/>
      <c r="F408" s="30"/>
      <c r="G408" s="23"/>
      <c r="H408" s="30"/>
      <c r="I408" s="30"/>
      <c r="J408" s="31"/>
      <c r="L408" s="32">
        <v>2.94</v>
      </c>
      <c r="M408" s="33">
        <v>8.14E-2</v>
      </c>
      <c r="N408" s="33">
        <v>8.0699999999999994E-2</v>
      </c>
      <c r="O408" s="33">
        <v>5.7599999999999998E-2</v>
      </c>
      <c r="P408" s="33">
        <v>5.7599999999999998E-2</v>
      </c>
      <c r="Q408" s="74">
        <v>8.9499999999999996E-2</v>
      </c>
    </row>
    <row r="409" spans="4:17" x14ac:dyDescent="0.35">
      <c r="D409" s="23"/>
      <c r="E409" s="30"/>
      <c r="F409" s="30"/>
      <c r="G409" s="23"/>
      <c r="H409" s="30"/>
      <c r="I409" s="30"/>
      <c r="J409" s="31"/>
      <c r="L409" s="32">
        <v>2.95</v>
      </c>
      <c r="M409" s="33">
        <v>8.1799999999999998E-2</v>
      </c>
      <c r="N409" s="33">
        <v>8.1100000000000005E-2</v>
      </c>
      <c r="O409" s="33">
        <v>5.8000000000000003E-2</v>
      </c>
      <c r="P409" s="33">
        <v>5.8000000000000003E-2</v>
      </c>
      <c r="Q409" s="74">
        <v>8.9800000000000005E-2</v>
      </c>
    </row>
    <row r="410" spans="4:17" x14ac:dyDescent="0.35">
      <c r="D410" s="23"/>
      <c r="E410" s="30"/>
      <c r="F410" s="30"/>
      <c r="G410" s="23"/>
      <c r="H410" s="30"/>
      <c r="I410" s="30"/>
      <c r="J410" s="31"/>
      <c r="L410" s="32">
        <v>2.96</v>
      </c>
      <c r="M410" s="33">
        <v>8.2100000000000006E-2</v>
      </c>
      <c r="N410" s="33">
        <v>8.1500000000000003E-2</v>
      </c>
      <c r="O410" s="33">
        <v>5.8400000000000001E-2</v>
      </c>
      <c r="P410" s="33">
        <v>5.8400000000000001E-2</v>
      </c>
      <c r="Q410" s="74">
        <v>9.01E-2</v>
      </c>
    </row>
    <row r="411" spans="4:17" x14ac:dyDescent="0.35">
      <c r="D411" s="23"/>
      <c r="E411" s="30"/>
      <c r="F411" s="30"/>
      <c r="G411" s="23"/>
      <c r="H411" s="30"/>
      <c r="I411" s="30"/>
      <c r="J411" s="31"/>
      <c r="L411" s="32">
        <v>2.97</v>
      </c>
      <c r="M411" s="33">
        <v>8.2500000000000004E-2</v>
      </c>
      <c r="N411" s="33">
        <v>8.1799999999999998E-2</v>
      </c>
      <c r="O411" s="33">
        <v>5.8799999999999998E-2</v>
      </c>
      <c r="P411" s="33">
        <v>5.8799999999999998E-2</v>
      </c>
      <c r="Q411" s="74">
        <v>9.0399999999999994E-2</v>
      </c>
    </row>
    <row r="412" spans="4:17" x14ac:dyDescent="0.35">
      <c r="D412" s="23"/>
      <c r="E412" s="30"/>
      <c r="F412" s="30"/>
      <c r="G412" s="23"/>
      <c r="H412" s="30"/>
      <c r="I412" s="30"/>
      <c r="J412" s="31"/>
      <c r="L412" s="32">
        <v>2.98</v>
      </c>
      <c r="M412" s="33">
        <v>8.2900000000000001E-2</v>
      </c>
      <c r="N412" s="33">
        <v>8.2199999999999995E-2</v>
      </c>
      <c r="O412" s="33">
        <v>5.9200000000000003E-2</v>
      </c>
      <c r="P412" s="33">
        <v>5.9200000000000003E-2</v>
      </c>
      <c r="Q412" s="74">
        <v>9.06E-2</v>
      </c>
    </row>
    <row r="413" spans="4:17" x14ac:dyDescent="0.35">
      <c r="D413" s="23"/>
      <c r="E413" s="30"/>
      <c r="F413" s="30"/>
      <c r="G413" s="23"/>
      <c r="H413" s="30"/>
      <c r="I413" s="30"/>
      <c r="J413" s="31"/>
      <c r="L413" s="32">
        <v>2.99</v>
      </c>
      <c r="M413" s="33">
        <v>8.3199999999999996E-2</v>
      </c>
      <c r="N413" s="33">
        <v>8.2500000000000004E-2</v>
      </c>
      <c r="O413" s="33">
        <v>5.96E-2</v>
      </c>
      <c r="P413" s="33">
        <v>5.96E-2</v>
      </c>
      <c r="Q413" s="74">
        <v>9.0899999999999995E-2</v>
      </c>
    </row>
    <row r="414" spans="4:17" x14ac:dyDescent="0.35">
      <c r="D414" s="23"/>
      <c r="E414" s="30"/>
      <c r="F414" s="30"/>
      <c r="G414" s="23"/>
      <c r="H414" s="30"/>
      <c r="I414" s="30"/>
      <c r="J414" s="31"/>
      <c r="L414" s="32">
        <v>3</v>
      </c>
      <c r="M414" s="35">
        <v>8.3599999999999994E-2</v>
      </c>
      <c r="N414" s="35">
        <v>8.2900000000000001E-2</v>
      </c>
      <c r="O414" s="33">
        <v>0.06</v>
      </c>
      <c r="P414" s="33">
        <v>0.06</v>
      </c>
      <c r="Q414" s="74">
        <v>9.1200000000000003E-2</v>
      </c>
    </row>
    <row r="415" spans="4:17" x14ac:dyDescent="0.35">
      <c r="D415" s="23"/>
      <c r="E415" s="30"/>
      <c r="F415" s="30"/>
      <c r="G415" s="23"/>
      <c r="H415" s="30"/>
      <c r="I415" s="30"/>
      <c r="J415" s="31"/>
      <c r="L415" s="32">
        <v>3.01</v>
      </c>
      <c r="M415" s="33">
        <v>8.3799999999999999E-2</v>
      </c>
      <c r="N415" s="33">
        <v>8.3000000000000004E-2</v>
      </c>
      <c r="O415" s="33">
        <v>6.0299999999999999E-2</v>
      </c>
      <c r="P415" s="33">
        <v>6.0299999999999999E-2</v>
      </c>
      <c r="Q415" s="74">
        <v>9.1200000000000003E-2</v>
      </c>
    </row>
    <row r="416" spans="4:17" x14ac:dyDescent="0.35">
      <c r="D416" s="23"/>
      <c r="E416" s="30"/>
      <c r="F416" s="30"/>
      <c r="G416" s="23"/>
      <c r="H416" s="30"/>
      <c r="I416" s="30"/>
      <c r="J416" s="31"/>
      <c r="L416" s="32">
        <v>3.02</v>
      </c>
      <c r="M416" s="33">
        <v>8.3900000000000002E-2</v>
      </c>
      <c r="N416" s="33">
        <v>8.3199999999999996E-2</v>
      </c>
      <c r="O416" s="33">
        <v>6.0499999999999998E-2</v>
      </c>
      <c r="P416" s="33">
        <v>6.0499999999999998E-2</v>
      </c>
      <c r="Q416" s="74">
        <v>9.1200000000000003E-2</v>
      </c>
    </row>
    <row r="417" spans="4:17" x14ac:dyDescent="0.35">
      <c r="D417" s="23"/>
      <c r="E417" s="30"/>
      <c r="F417" s="30"/>
      <c r="G417" s="23"/>
      <c r="H417" s="30"/>
      <c r="I417" s="30"/>
      <c r="J417" s="31"/>
      <c r="L417" s="32">
        <v>3.03</v>
      </c>
      <c r="M417" s="33">
        <v>8.4099999999999994E-2</v>
      </c>
      <c r="N417" s="33">
        <v>8.3299999999999999E-2</v>
      </c>
      <c r="O417" s="33">
        <v>6.08E-2</v>
      </c>
      <c r="P417" s="33">
        <v>6.08E-2</v>
      </c>
      <c r="Q417" s="74">
        <v>9.1200000000000003E-2</v>
      </c>
    </row>
    <row r="418" spans="4:17" x14ac:dyDescent="0.35">
      <c r="D418" s="23"/>
      <c r="E418" s="30"/>
      <c r="F418" s="30"/>
      <c r="G418" s="23"/>
      <c r="H418" s="30"/>
      <c r="I418" s="30"/>
      <c r="J418" s="31"/>
      <c r="L418" s="32">
        <v>3.04</v>
      </c>
      <c r="M418" s="33">
        <v>8.4199999999999997E-2</v>
      </c>
      <c r="N418" s="33">
        <v>8.3500000000000005E-2</v>
      </c>
      <c r="O418" s="33">
        <v>6.0999999999999999E-2</v>
      </c>
      <c r="P418" s="33">
        <v>6.0999999999999999E-2</v>
      </c>
      <c r="Q418" s="74">
        <v>9.1200000000000003E-2</v>
      </c>
    </row>
    <row r="419" spans="4:17" x14ac:dyDescent="0.35">
      <c r="D419" s="23"/>
      <c r="E419" s="30"/>
      <c r="F419" s="30"/>
      <c r="G419" s="23"/>
      <c r="H419" s="30"/>
      <c r="I419" s="30"/>
      <c r="J419" s="31"/>
      <c r="L419" s="32">
        <v>3.05</v>
      </c>
      <c r="M419" s="33">
        <v>8.4400000000000003E-2</v>
      </c>
      <c r="N419" s="33">
        <v>8.3599999999999994E-2</v>
      </c>
      <c r="O419" s="33">
        <v>6.13E-2</v>
      </c>
      <c r="P419" s="33">
        <v>6.13E-2</v>
      </c>
      <c r="Q419" s="74">
        <v>9.1200000000000003E-2</v>
      </c>
    </row>
    <row r="420" spans="4:17" x14ac:dyDescent="0.35">
      <c r="D420" s="23"/>
      <c r="E420" s="30"/>
      <c r="F420" s="30"/>
      <c r="G420" s="23"/>
      <c r="H420" s="30"/>
      <c r="I420" s="30"/>
      <c r="J420" s="31"/>
      <c r="L420" s="32">
        <v>3.06</v>
      </c>
      <c r="M420" s="33">
        <v>8.4500000000000006E-2</v>
      </c>
      <c r="N420" s="33">
        <v>8.3799999999999999E-2</v>
      </c>
      <c r="O420" s="33">
        <v>6.1499999999999999E-2</v>
      </c>
      <c r="P420" s="33">
        <v>6.1499999999999999E-2</v>
      </c>
      <c r="Q420" s="74">
        <v>9.1200000000000003E-2</v>
      </c>
    </row>
    <row r="421" spans="4:17" x14ac:dyDescent="0.35">
      <c r="D421" s="23"/>
      <c r="E421" s="30"/>
      <c r="F421" s="30"/>
      <c r="G421" s="23"/>
      <c r="H421" s="30"/>
      <c r="I421" s="30"/>
      <c r="J421" s="31"/>
      <c r="L421" s="32">
        <v>3.07</v>
      </c>
      <c r="M421" s="33">
        <v>8.4699999999999998E-2</v>
      </c>
      <c r="N421" s="33">
        <v>8.3900000000000002E-2</v>
      </c>
      <c r="O421" s="33">
        <v>6.1800000000000001E-2</v>
      </c>
      <c r="P421" s="33">
        <v>6.1800000000000001E-2</v>
      </c>
      <c r="Q421" s="74">
        <v>9.1200000000000003E-2</v>
      </c>
    </row>
    <row r="422" spans="4:17" x14ac:dyDescent="0.35">
      <c r="D422" s="23"/>
      <c r="E422" s="30"/>
      <c r="F422" s="30"/>
      <c r="G422" s="23"/>
      <c r="H422" s="30"/>
      <c r="I422" s="30"/>
      <c r="J422" s="31"/>
      <c r="L422" s="32">
        <v>3.08</v>
      </c>
      <c r="M422" s="33">
        <v>8.48E-2</v>
      </c>
      <c r="N422" s="33">
        <v>8.4099999999999994E-2</v>
      </c>
      <c r="O422" s="33">
        <v>6.2E-2</v>
      </c>
      <c r="P422" s="33">
        <v>6.2E-2</v>
      </c>
      <c r="Q422" s="74">
        <v>9.1200000000000003E-2</v>
      </c>
    </row>
    <row r="423" spans="4:17" x14ac:dyDescent="0.35">
      <c r="D423" s="23"/>
      <c r="E423" s="30"/>
      <c r="F423" s="30"/>
      <c r="G423" s="23"/>
      <c r="H423" s="30"/>
      <c r="I423" s="30"/>
      <c r="J423" s="31"/>
      <c r="L423" s="32">
        <v>3.09</v>
      </c>
      <c r="M423" s="33">
        <v>8.5000000000000006E-2</v>
      </c>
      <c r="N423" s="33">
        <v>8.4199999999999997E-2</v>
      </c>
      <c r="O423" s="33">
        <v>6.2300000000000001E-2</v>
      </c>
      <c r="P423" s="33">
        <v>6.2300000000000001E-2</v>
      </c>
      <c r="Q423" s="74">
        <v>9.1200000000000003E-2</v>
      </c>
    </row>
    <row r="424" spans="4:17" x14ac:dyDescent="0.35">
      <c r="D424" s="23"/>
      <c r="E424" s="30"/>
      <c r="F424" s="30"/>
      <c r="G424" s="23"/>
      <c r="H424" s="30"/>
      <c r="I424" s="30"/>
      <c r="J424" s="31"/>
      <c r="L424" s="32">
        <v>3.1</v>
      </c>
      <c r="M424" s="33">
        <v>8.5099999999999995E-2</v>
      </c>
      <c r="N424" s="33">
        <v>8.4400000000000003E-2</v>
      </c>
      <c r="O424" s="33">
        <v>6.25E-2</v>
      </c>
      <c r="P424" s="33">
        <v>6.25E-2</v>
      </c>
      <c r="Q424" s="74">
        <v>9.1200000000000003E-2</v>
      </c>
    </row>
    <row r="425" spans="4:17" x14ac:dyDescent="0.35">
      <c r="D425" s="23"/>
      <c r="E425" s="30"/>
      <c r="F425" s="30"/>
      <c r="G425" s="23"/>
      <c r="H425" s="30"/>
      <c r="I425" s="30"/>
      <c r="J425" s="31"/>
      <c r="L425" s="32">
        <v>3.11</v>
      </c>
      <c r="M425" s="33">
        <v>8.5300000000000001E-2</v>
      </c>
      <c r="N425" s="33">
        <v>8.4500000000000006E-2</v>
      </c>
      <c r="O425" s="33">
        <v>6.2799999999999995E-2</v>
      </c>
      <c r="P425" s="33">
        <v>6.2799999999999995E-2</v>
      </c>
      <c r="Q425" s="74">
        <v>9.1200000000000003E-2</v>
      </c>
    </row>
    <row r="426" spans="4:17" x14ac:dyDescent="0.35">
      <c r="D426" s="23"/>
      <c r="E426" s="30"/>
      <c r="F426" s="30"/>
      <c r="G426" s="23"/>
      <c r="H426" s="30"/>
      <c r="I426" s="30"/>
      <c r="J426" s="31"/>
      <c r="L426" s="32">
        <v>3.12</v>
      </c>
      <c r="M426" s="33">
        <v>8.5400000000000004E-2</v>
      </c>
      <c r="N426" s="33">
        <v>8.4699999999999998E-2</v>
      </c>
      <c r="O426" s="33">
        <v>6.3E-2</v>
      </c>
      <c r="P426" s="33">
        <v>6.3E-2</v>
      </c>
      <c r="Q426" s="74">
        <v>9.1200000000000003E-2</v>
      </c>
    </row>
    <row r="427" spans="4:17" x14ac:dyDescent="0.35">
      <c r="D427" s="23"/>
      <c r="E427" s="30"/>
      <c r="F427" s="30"/>
      <c r="G427" s="23"/>
      <c r="H427" s="30"/>
      <c r="I427" s="30"/>
      <c r="J427" s="31"/>
      <c r="L427" s="32">
        <v>3.13</v>
      </c>
      <c r="M427" s="33">
        <v>8.5599999999999996E-2</v>
      </c>
      <c r="N427" s="33">
        <v>8.48E-2</v>
      </c>
      <c r="O427" s="33">
        <v>6.3299999999999995E-2</v>
      </c>
      <c r="P427" s="33">
        <v>6.3299999999999995E-2</v>
      </c>
      <c r="Q427" s="74">
        <v>9.1200000000000003E-2</v>
      </c>
    </row>
    <row r="428" spans="4:17" x14ac:dyDescent="0.35">
      <c r="D428" s="23"/>
      <c r="E428" s="30"/>
      <c r="F428" s="30"/>
      <c r="G428" s="23"/>
      <c r="H428" s="30"/>
      <c r="I428" s="30"/>
      <c r="J428" s="31"/>
      <c r="L428" s="32">
        <v>3.14</v>
      </c>
      <c r="M428" s="33">
        <v>8.5699999999999998E-2</v>
      </c>
      <c r="N428" s="33">
        <v>8.5000000000000006E-2</v>
      </c>
      <c r="O428" s="33">
        <v>6.3500000000000001E-2</v>
      </c>
      <c r="P428" s="33">
        <v>6.3500000000000001E-2</v>
      </c>
      <c r="Q428" s="74">
        <v>9.1200000000000003E-2</v>
      </c>
    </row>
    <row r="429" spans="4:17" x14ac:dyDescent="0.35">
      <c r="D429" s="23"/>
      <c r="E429" s="30"/>
      <c r="F429" s="30"/>
      <c r="G429" s="23"/>
      <c r="H429" s="30"/>
      <c r="I429" s="30"/>
      <c r="J429" s="31"/>
      <c r="L429" s="32">
        <v>3.15</v>
      </c>
      <c r="M429" s="33">
        <v>8.5900000000000004E-2</v>
      </c>
      <c r="N429" s="33">
        <v>8.5099999999999995E-2</v>
      </c>
      <c r="O429" s="33">
        <v>6.3799999999999996E-2</v>
      </c>
      <c r="P429" s="33">
        <v>6.3799999999999996E-2</v>
      </c>
      <c r="Q429" s="74">
        <v>9.1200000000000003E-2</v>
      </c>
    </row>
    <row r="430" spans="4:17" x14ac:dyDescent="0.35">
      <c r="D430" s="23"/>
      <c r="E430" s="30"/>
      <c r="F430" s="30"/>
      <c r="G430" s="23"/>
      <c r="H430" s="30"/>
      <c r="I430" s="30"/>
      <c r="J430" s="31"/>
      <c r="L430" s="32">
        <v>3.16</v>
      </c>
      <c r="M430" s="33">
        <v>8.5999999999999993E-2</v>
      </c>
      <c r="N430" s="33">
        <v>8.5300000000000001E-2</v>
      </c>
      <c r="O430" s="33">
        <v>6.4000000000000001E-2</v>
      </c>
      <c r="P430" s="33">
        <v>6.4000000000000001E-2</v>
      </c>
      <c r="Q430" s="74">
        <v>9.1200000000000003E-2</v>
      </c>
    </row>
    <row r="431" spans="4:17" x14ac:dyDescent="0.35">
      <c r="D431" s="23"/>
      <c r="E431" s="30"/>
      <c r="F431" s="30"/>
      <c r="G431" s="23"/>
      <c r="H431" s="30"/>
      <c r="I431" s="30"/>
      <c r="J431" s="31"/>
      <c r="L431" s="32">
        <v>3.17</v>
      </c>
      <c r="M431" s="33">
        <v>8.6099999999999996E-2</v>
      </c>
      <c r="N431" s="33">
        <v>8.5400000000000004E-2</v>
      </c>
      <c r="O431" s="33">
        <v>6.4299999999999996E-2</v>
      </c>
      <c r="P431" s="33">
        <v>6.4299999999999996E-2</v>
      </c>
      <c r="Q431" s="74">
        <v>9.1200000000000003E-2</v>
      </c>
    </row>
    <row r="432" spans="4:17" x14ac:dyDescent="0.35">
      <c r="D432" s="23"/>
      <c r="E432" s="30"/>
      <c r="F432" s="30"/>
      <c r="G432" s="23"/>
      <c r="H432" s="30"/>
      <c r="I432" s="30"/>
      <c r="J432" s="31"/>
      <c r="L432" s="32">
        <v>3.18</v>
      </c>
      <c r="M432" s="33">
        <v>8.6300000000000002E-2</v>
      </c>
      <c r="N432" s="33">
        <v>8.5599999999999996E-2</v>
      </c>
      <c r="O432" s="33">
        <v>6.4500000000000002E-2</v>
      </c>
      <c r="P432" s="33">
        <v>6.4500000000000002E-2</v>
      </c>
      <c r="Q432" s="74">
        <v>9.1200000000000003E-2</v>
      </c>
    </row>
    <row r="433" spans="4:17" x14ac:dyDescent="0.35">
      <c r="D433" s="23"/>
      <c r="E433" s="30"/>
      <c r="F433" s="30"/>
      <c r="G433" s="23"/>
      <c r="H433" s="30"/>
      <c r="I433" s="30"/>
      <c r="J433" s="31"/>
      <c r="L433" s="32">
        <v>3.19</v>
      </c>
      <c r="M433" s="33">
        <v>8.6400000000000005E-2</v>
      </c>
      <c r="N433" s="33">
        <v>8.5699999999999998E-2</v>
      </c>
      <c r="O433" s="33">
        <v>6.4799999999999996E-2</v>
      </c>
      <c r="P433" s="33">
        <v>6.4799999999999996E-2</v>
      </c>
      <c r="Q433" s="74">
        <v>9.1200000000000003E-2</v>
      </c>
    </row>
    <row r="434" spans="4:17" x14ac:dyDescent="0.35">
      <c r="D434" s="23"/>
      <c r="E434" s="30"/>
      <c r="F434" s="30"/>
      <c r="G434" s="23"/>
      <c r="H434" s="30"/>
      <c r="I434" s="30"/>
      <c r="J434" s="31"/>
      <c r="L434" s="32">
        <v>3.2</v>
      </c>
      <c r="M434" s="33">
        <v>8.6599999999999996E-2</v>
      </c>
      <c r="N434" s="33">
        <v>8.5900000000000004E-2</v>
      </c>
      <c r="O434" s="33">
        <v>6.5000000000000002E-2</v>
      </c>
      <c r="P434" s="33">
        <v>6.5000000000000002E-2</v>
      </c>
      <c r="Q434" s="74">
        <v>9.1200000000000003E-2</v>
      </c>
    </row>
    <row r="435" spans="4:17" x14ac:dyDescent="0.35">
      <c r="D435" s="23"/>
      <c r="E435" s="30"/>
      <c r="F435" s="30"/>
      <c r="G435" s="23"/>
      <c r="H435" s="30"/>
      <c r="I435" s="30"/>
      <c r="J435" s="31"/>
      <c r="L435" s="32">
        <v>3.21</v>
      </c>
      <c r="M435" s="33">
        <v>8.6699999999999999E-2</v>
      </c>
      <c r="N435" s="33">
        <v>8.5999999999999993E-2</v>
      </c>
      <c r="O435" s="33">
        <v>6.5299999999999997E-2</v>
      </c>
      <c r="P435" s="33">
        <v>6.5299999999999997E-2</v>
      </c>
      <c r="Q435" s="74">
        <v>9.1200000000000003E-2</v>
      </c>
    </row>
    <row r="436" spans="4:17" x14ac:dyDescent="0.35">
      <c r="D436" s="23"/>
      <c r="E436" s="30"/>
      <c r="F436" s="30"/>
      <c r="G436" s="23"/>
      <c r="H436" s="30"/>
      <c r="I436" s="30"/>
      <c r="J436" s="31"/>
      <c r="L436" s="32">
        <v>3.22</v>
      </c>
      <c r="M436" s="33">
        <v>8.6900000000000005E-2</v>
      </c>
      <c r="N436" s="33">
        <v>8.6199999999999999E-2</v>
      </c>
      <c r="O436" s="33">
        <v>6.5500000000000003E-2</v>
      </c>
      <c r="P436" s="33">
        <v>6.5500000000000003E-2</v>
      </c>
      <c r="Q436" s="74">
        <v>9.1200000000000003E-2</v>
      </c>
    </row>
    <row r="437" spans="4:17" x14ac:dyDescent="0.35">
      <c r="D437" s="23"/>
      <c r="E437" s="30"/>
      <c r="F437" s="30"/>
      <c r="G437" s="23"/>
      <c r="H437" s="30"/>
      <c r="I437" s="30"/>
      <c r="J437" s="31"/>
      <c r="L437" s="32">
        <v>3.23</v>
      </c>
      <c r="M437" s="33">
        <v>8.6999999999999994E-2</v>
      </c>
      <c r="N437" s="33">
        <v>8.6300000000000002E-2</v>
      </c>
      <c r="O437" s="33">
        <v>6.5799999999999997E-2</v>
      </c>
      <c r="P437" s="33">
        <v>6.5799999999999997E-2</v>
      </c>
      <c r="Q437" s="74">
        <v>9.1200000000000003E-2</v>
      </c>
    </row>
    <row r="438" spans="4:17" x14ac:dyDescent="0.35">
      <c r="D438" s="23"/>
      <c r="E438" s="30"/>
      <c r="F438" s="30"/>
      <c r="G438" s="23"/>
      <c r="H438" s="30"/>
      <c r="I438" s="30"/>
      <c r="J438" s="31"/>
      <c r="L438" s="32">
        <v>3.24</v>
      </c>
      <c r="M438" s="33">
        <v>8.72E-2</v>
      </c>
      <c r="N438" s="33">
        <v>8.6499999999999994E-2</v>
      </c>
      <c r="O438" s="33">
        <v>6.6000000000000003E-2</v>
      </c>
      <c r="P438" s="33">
        <v>6.6000000000000003E-2</v>
      </c>
      <c r="Q438" s="74">
        <v>9.1200000000000003E-2</v>
      </c>
    </row>
    <row r="439" spans="4:17" x14ac:dyDescent="0.35">
      <c r="D439" s="23"/>
      <c r="E439" s="30"/>
      <c r="F439" s="30"/>
      <c r="G439" s="23"/>
      <c r="H439" s="30"/>
      <c r="I439" s="30"/>
      <c r="J439" s="31"/>
      <c r="L439" s="32">
        <v>3.25</v>
      </c>
      <c r="M439" s="33">
        <v>8.7300000000000003E-2</v>
      </c>
      <c r="N439" s="33">
        <v>8.6599999999999996E-2</v>
      </c>
      <c r="O439" s="33">
        <v>6.6299999999999998E-2</v>
      </c>
      <c r="P439" s="33">
        <v>6.6299999999999998E-2</v>
      </c>
      <c r="Q439" s="74">
        <v>9.1200000000000003E-2</v>
      </c>
    </row>
    <row r="440" spans="4:17" x14ac:dyDescent="0.35">
      <c r="D440" s="23"/>
      <c r="E440" s="30"/>
      <c r="F440" s="30"/>
      <c r="G440" s="23"/>
      <c r="H440" s="30"/>
      <c r="I440" s="30"/>
      <c r="J440" s="31"/>
      <c r="L440" s="32">
        <v>3.26</v>
      </c>
      <c r="M440" s="33">
        <v>8.7499999999999994E-2</v>
      </c>
      <c r="N440" s="33">
        <v>8.6800000000000002E-2</v>
      </c>
      <c r="O440" s="33">
        <v>6.6500000000000004E-2</v>
      </c>
      <c r="P440" s="33">
        <v>6.6500000000000004E-2</v>
      </c>
      <c r="Q440" s="74">
        <v>9.1200000000000003E-2</v>
      </c>
    </row>
    <row r="441" spans="4:17" x14ac:dyDescent="0.35">
      <c r="D441" s="23"/>
      <c r="E441" s="30"/>
      <c r="F441" s="30"/>
      <c r="G441" s="23"/>
      <c r="H441" s="30"/>
      <c r="I441" s="30"/>
      <c r="J441" s="31"/>
      <c r="L441" s="32">
        <v>3.27</v>
      </c>
      <c r="M441" s="33">
        <v>8.7599999999999997E-2</v>
      </c>
      <c r="N441" s="33">
        <v>8.6900000000000005E-2</v>
      </c>
      <c r="O441" s="33">
        <v>6.6799999999999998E-2</v>
      </c>
      <c r="P441" s="33">
        <v>6.6799999999999998E-2</v>
      </c>
      <c r="Q441" s="74">
        <v>9.1200000000000003E-2</v>
      </c>
    </row>
    <row r="442" spans="4:17" x14ac:dyDescent="0.35">
      <c r="D442" s="23"/>
      <c r="E442" s="30"/>
      <c r="F442" s="30"/>
      <c r="G442" s="23"/>
      <c r="H442" s="30"/>
      <c r="I442" s="30"/>
      <c r="J442" s="31"/>
      <c r="L442" s="32">
        <v>3.28</v>
      </c>
      <c r="M442" s="33">
        <v>8.7800000000000003E-2</v>
      </c>
      <c r="N442" s="33">
        <v>8.7099999999999997E-2</v>
      </c>
      <c r="O442" s="33">
        <v>6.7000000000000004E-2</v>
      </c>
      <c r="P442" s="33">
        <v>6.7000000000000004E-2</v>
      </c>
      <c r="Q442" s="74">
        <v>9.1200000000000003E-2</v>
      </c>
    </row>
    <row r="443" spans="4:17" x14ac:dyDescent="0.35">
      <c r="D443" s="23"/>
      <c r="E443" s="30"/>
      <c r="F443" s="30"/>
      <c r="G443" s="23"/>
      <c r="H443" s="30"/>
      <c r="I443" s="30"/>
      <c r="J443" s="31"/>
      <c r="L443" s="32">
        <v>3.29</v>
      </c>
      <c r="M443" s="33">
        <v>8.7900000000000006E-2</v>
      </c>
      <c r="N443" s="33">
        <v>8.72E-2</v>
      </c>
      <c r="O443" s="33">
        <v>6.7299999999999999E-2</v>
      </c>
      <c r="P443" s="33">
        <v>6.7299999999999999E-2</v>
      </c>
      <c r="Q443" s="74">
        <v>9.1200000000000003E-2</v>
      </c>
    </row>
    <row r="444" spans="4:17" x14ac:dyDescent="0.35">
      <c r="D444" s="23"/>
      <c r="E444" s="30"/>
      <c r="F444" s="30"/>
      <c r="G444" s="23"/>
      <c r="H444" s="30"/>
      <c r="I444" s="30"/>
      <c r="J444" s="31"/>
      <c r="L444" s="32">
        <v>3.3</v>
      </c>
      <c r="M444" s="33">
        <v>8.8099999999999998E-2</v>
      </c>
      <c r="N444" s="33">
        <v>8.7400000000000005E-2</v>
      </c>
      <c r="O444" s="33">
        <v>6.7500000000000004E-2</v>
      </c>
      <c r="P444" s="33">
        <v>6.7500000000000004E-2</v>
      </c>
      <c r="Q444" s="74">
        <v>9.1200000000000003E-2</v>
      </c>
    </row>
    <row r="445" spans="4:17" x14ac:dyDescent="0.35">
      <c r="D445" s="23"/>
      <c r="E445" s="30"/>
      <c r="F445" s="30"/>
      <c r="G445" s="23"/>
      <c r="H445" s="30"/>
      <c r="I445" s="30"/>
      <c r="J445" s="31"/>
      <c r="L445" s="32">
        <v>3.31</v>
      </c>
      <c r="M445" s="33">
        <v>8.8200000000000001E-2</v>
      </c>
      <c r="N445" s="33">
        <v>8.7499999999999994E-2</v>
      </c>
      <c r="O445" s="33">
        <v>6.7799999999999999E-2</v>
      </c>
      <c r="P445" s="33">
        <v>6.7799999999999999E-2</v>
      </c>
      <c r="Q445" s="74">
        <v>9.1200000000000003E-2</v>
      </c>
    </row>
    <row r="446" spans="4:17" x14ac:dyDescent="0.35">
      <c r="D446" s="23"/>
      <c r="E446" s="30"/>
      <c r="F446" s="30"/>
      <c r="G446" s="23"/>
      <c r="H446" s="30"/>
      <c r="I446" s="30"/>
      <c r="J446" s="31"/>
      <c r="L446" s="32">
        <v>3.32</v>
      </c>
      <c r="M446" s="33">
        <v>8.8400000000000006E-2</v>
      </c>
      <c r="N446" s="33">
        <v>8.77E-2</v>
      </c>
      <c r="O446" s="33">
        <v>6.8000000000000005E-2</v>
      </c>
      <c r="P446" s="33">
        <v>6.8000000000000005E-2</v>
      </c>
      <c r="Q446" s="74">
        <v>9.1200000000000003E-2</v>
      </c>
    </row>
    <row r="447" spans="4:17" x14ac:dyDescent="0.35">
      <c r="D447" s="23"/>
      <c r="E447" s="30"/>
      <c r="F447" s="30"/>
      <c r="G447" s="23"/>
      <c r="H447" s="30"/>
      <c r="I447" s="30"/>
      <c r="J447" s="31"/>
      <c r="L447" s="32">
        <v>3.33</v>
      </c>
      <c r="M447" s="33">
        <v>8.8499999999999995E-2</v>
      </c>
      <c r="N447" s="33">
        <v>8.7800000000000003E-2</v>
      </c>
      <c r="O447" s="33">
        <v>6.83E-2</v>
      </c>
      <c r="P447" s="33">
        <v>6.83E-2</v>
      </c>
      <c r="Q447" s="74">
        <v>9.1200000000000003E-2</v>
      </c>
    </row>
    <row r="448" spans="4:17" x14ac:dyDescent="0.35">
      <c r="D448" s="23"/>
      <c r="E448" s="30"/>
      <c r="F448" s="30"/>
      <c r="G448" s="23"/>
      <c r="H448" s="30"/>
      <c r="I448" s="30"/>
      <c r="J448" s="31"/>
      <c r="L448" s="32">
        <v>3.34</v>
      </c>
      <c r="M448" s="33">
        <v>8.8700000000000001E-2</v>
      </c>
      <c r="N448" s="33">
        <v>8.7999999999999995E-2</v>
      </c>
      <c r="O448" s="33">
        <v>6.8500000000000005E-2</v>
      </c>
      <c r="P448" s="33">
        <v>6.8500000000000005E-2</v>
      </c>
      <c r="Q448" s="74">
        <v>9.1200000000000003E-2</v>
      </c>
    </row>
    <row r="449" spans="4:17" x14ac:dyDescent="0.35">
      <c r="D449" s="23"/>
      <c r="E449" s="30"/>
      <c r="F449" s="30"/>
      <c r="G449" s="23"/>
      <c r="H449" s="30"/>
      <c r="I449" s="30"/>
      <c r="J449" s="31"/>
      <c r="L449" s="32">
        <v>3.35</v>
      </c>
      <c r="M449" s="33">
        <v>8.8800000000000004E-2</v>
      </c>
      <c r="N449" s="33">
        <v>8.8099999999999998E-2</v>
      </c>
      <c r="O449" s="33">
        <v>6.88E-2</v>
      </c>
      <c r="P449" s="33">
        <v>6.88E-2</v>
      </c>
      <c r="Q449" s="74">
        <v>9.1200000000000003E-2</v>
      </c>
    </row>
    <row r="450" spans="4:17" x14ac:dyDescent="0.35">
      <c r="D450" s="23"/>
      <c r="E450" s="30"/>
      <c r="F450" s="30"/>
      <c r="G450" s="23"/>
      <c r="H450" s="30"/>
      <c r="I450" s="30"/>
      <c r="J450" s="31"/>
      <c r="L450" s="32">
        <v>3.36</v>
      </c>
      <c r="M450" s="33">
        <v>8.8999999999999996E-2</v>
      </c>
      <c r="N450" s="33">
        <v>8.8300000000000003E-2</v>
      </c>
      <c r="O450" s="33">
        <v>6.9000000000000006E-2</v>
      </c>
      <c r="P450" s="33">
        <v>6.9000000000000006E-2</v>
      </c>
      <c r="Q450" s="74">
        <v>9.1200000000000003E-2</v>
      </c>
    </row>
    <row r="451" spans="4:17" x14ac:dyDescent="0.35">
      <c r="D451" s="23"/>
      <c r="E451" s="30"/>
      <c r="F451" s="30"/>
      <c r="G451" s="23"/>
      <c r="H451" s="30"/>
      <c r="I451" s="30"/>
      <c r="J451" s="31"/>
      <c r="L451" s="32">
        <v>3.37</v>
      </c>
      <c r="M451" s="33">
        <v>8.9099999999999999E-2</v>
      </c>
      <c r="N451" s="33">
        <v>8.8400000000000006E-2</v>
      </c>
      <c r="O451" s="33">
        <v>6.93E-2</v>
      </c>
      <c r="P451" s="33">
        <v>6.93E-2</v>
      </c>
      <c r="Q451" s="74">
        <v>9.1200000000000003E-2</v>
      </c>
    </row>
    <row r="452" spans="4:17" x14ac:dyDescent="0.35">
      <c r="D452" s="23"/>
      <c r="E452" s="30"/>
      <c r="F452" s="30"/>
      <c r="G452" s="23"/>
      <c r="H452" s="30"/>
      <c r="I452" s="30"/>
      <c r="J452" s="31"/>
      <c r="L452" s="32">
        <v>3.38</v>
      </c>
      <c r="M452" s="33">
        <v>8.9300000000000004E-2</v>
      </c>
      <c r="N452" s="33">
        <v>8.8599999999999998E-2</v>
      </c>
      <c r="O452" s="33">
        <v>6.9500000000000006E-2</v>
      </c>
      <c r="P452" s="33">
        <v>6.9500000000000006E-2</v>
      </c>
      <c r="Q452" s="74">
        <v>9.1200000000000003E-2</v>
      </c>
    </row>
    <row r="453" spans="4:17" x14ac:dyDescent="0.35">
      <c r="D453" s="23"/>
      <c r="E453" s="30"/>
      <c r="F453" s="30"/>
      <c r="G453" s="23"/>
      <c r="H453" s="30"/>
      <c r="I453" s="30"/>
      <c r="J453" s="31"/>
      <c r="L453" s="32">
        <v>3.39</v>
      </c>
      <c r="M453" s="33">
        <v>8.9399999999999993E-2</v>
      </c>
      <c r="N453" s="33">
        <v>8.8700000000000001E-2</v>
      </c>
      <c r="O453" s="33">
        <v>6.9800000000000001E-2</v>
      </c>
      <c r="P453" s="33">
        <v>6.9800000000000001E-2</v>
      </c>
      <c r="Q453" s="74">
        <v>9.1200000000000003E-2</v>
      </c>
    </row>
    <row r="454" spans="4:17" x14ac:dyDescent="0.35">
      <c r="D454" s="23"/>
      <c r="E454" s="30"/>
      <c r="F454" s="30"/>
      <c r="G454" s="23"/>
      <c r="H454" s="30"/>
      <c r="I454" s="30"/>
      <c r="J454" s="31"/>
      <c r="L454" s="32">
        <v>3.4</v>
      </c>
      <c r="M454" s="33">
        <v>8.9599999999999999E-2</v>
      </c>
      <c r="N454" s="33">
        <v>8.8900000000000007E-2</v>
      </c>
      <c r="O454" s="33">
        <v>7.0000000000000007E-2</v>
      </c>
      <c r="P454" s="33">
        <v>7.0000000000000007E-2</v>
      </c>
      <c r="Q454" s="74">
        <v>9.1200000000000003E-2</v>
      </c>
    </row>
    <row r="455" spans="4:17" x14ac:dyDescent="0.35">
      <c r="D455" s="23"/>
      <c r="E455" s="30"/>
      <c r="F455" s="30"/>
      <c r="G455" s="23"/>
      <c r="H455" s="30"/>
      <c r="I455" s="30"/>
      <c r="J455" s="31"/>
      <c r="L455" s="32">
        <v>3.41</v>
      </c>
      <c r="M455" s="33">
        <v>8.9700000000000002E-2</v>
      </c>
      <c r="N455" s="33">
        <v>8.8999999999999996E-2</v>
      </c>
      <c r="O455" s="33">
        <v>7.0300000000000001E-2</v>
      </c>
      <c r="P455" s="33">
        <v>7.0300000000000001E-2</v>
      </c>
      <c r="Q455" s="74">
        <v>9.1200000000000003E-2</v>
      </c>
    </row>
    <row r="456" spans="4:17" x14ac:dyDescent="0.35">
      <c r="D456" s="23"/>
      <c r="E456" s="30"/>
      <c r="F456" s="30"/>
      <c r="G456" s="23"/>
      <c r="H456" s="30"/>
      <c r="I456" s="30"/>
      <c r="J456" s="31"/>
      <c r="L456" s="32">
        <v>3.42</v>
      </c>
      <c r="M456" s="33">
        <v>8.9899999999999994E-2</v>
      </c>
      <c r="N456" s="33">
        <v>8.9200000000000002E-2</v>
      </c>
      <c r="O456" s="33">
        <v>7.0499999999999993E-2</v>
      </c>
      <c r="P456" s="33">
        <v>7.0499999999999993E-2</v>
      </c>
      <c r="Q456" s="74">
        <v>9.1200000000000003E-2</v>
      </c>
    </row>
    <row r="457" spans="4:17" x14ac:dyDescent="0.35">
      <c r="D457" s="23"/>
      <c r="E457" s="30"/>
      <c r="F457" s="30"/>
      <c r="G457" s="23"/>
      <c r="H457" s="30"/>
      <c r="I457" s="30"/>
      <c r="J457" s="31"/>
      <c r="L457" s="32">
        <v>3.43</v>
      </c>
      <c r="M457" s="33">
        <v>0.09</v>
      </c>
      <c r="N457" s="33">
        <v>8.9300000000000004E-2</v>
      </c>
      <c r="O457" s="33">
        <v>7.0800000000000002E-2</v>
      </c>
      <c r="P457" s="33">
        <v>7.0800000000000002E-2</v>
      </c>
      <c r="Q457" s="74">
        <v>9.1200000000000003E-2</v>
      </c>
    </row>
    <row r="458" spans="4:17" x14ac:dyDescent="0.35">
      <c r="D458" s="23"/>
      <c r="E458" s="30"/>
      <c r="F458" s="30"/>
      <c r="G458" s="23"/>
      <c r="H458" s="30"/>
      <c r="I458" s="30"/>
      <c r="J458" s="31"/>
      <c r="L458" s="32">
        <v>3.44</v>
      </c>
      <c r="M458" s="33">
        <v>9.0200000000000002E-2</v>
      </c>
      <c r="N458" s="33">
        <v>8.9499999999999996E-2</v>
      </c>
      <c r="O458" s="33">
        <v>7.0999999999999994E-2</v>
      </c>
      <c r="P458" s="33">
        <v>7.0999999999999994E-2</v>
      </c>
      <c r="Q458" s="74">
        <v>9.1200000000000003E-2</v>
      </c>
    </row>
    <row r="459" spans="4:17" x14ac:dyDescent="0.35">
      <c r="D459" s="23"/>
      <c r="E459" s="30"/>
      <c r="F459" s="30"/>
      <c r="G459" s="23"/>
      <c r="H459" s="30"/>
      <c r="I459" s="30"/>
      <c r="J459" s="31"/>
      <c r="L459" s="32">
        <v>3.45</v>
      </c>
      <c r="M459" s="33">
        <v>9.0300000000000005E-2</v>
      </c>
      <c r="N459" s="33">
        <v>8.9599999999999999E-2</v>
      </c>
      <c r="O459" s="33">
        <v>7.1300000000000002E-2</v>
      </c>
      <c r="P459" s="33">
        <v>7.1300000000000002E-2</v>
      </c>
      <c r="Q459" s="74">
        <v>9.1200000000000003E-2</v>
      </c>
    </row>
    <row r="460" spans="4:17" x14ac:dyDescent="0.35">
      <c r="D460" s="23"/>
      <c r="E460" s="30"/>
      <c r="F460" s="30"/>
      <c r="G460" s="23"/>
      <c r="H460" s="30"/>
      <c r="I460" s="30"/>
      <c r="J460" s="31"/>
      <c r="L460" s="32">
        <v>3.46</v>
      </c>
      <c r="M460" s="33">
        <v>9.0499999999999997E-2</v>
      </c>
      <c r="N460" s="33">
        <v>8.9800000000000005E-2</v>
      </c>
      <c r="O460" s="33">
        <v>7.1499999999999994E-2</v>
      </c>
      <c r="P460" s="33">
        <v>7.1499999999999994E-2</v>
      </c>
      <c r="Q460" s="74">
        <v>9.1200000000000003E-2</v>
      </c>
    </row>
    <row r="461" spans="4:17" x14ac:dyDescent="0.35">
      <c r="D461" s="23"/>
      <c r="E461" s="30"/>
      <c r="F461" s="30"/>
      <c r="G461" s="23"/>
      <c r="H461" s="30"/>
      <c r="I461" s="30"/>
      <c r="J461" s="31"/>
      <c r="L461" s="32">
        <v>3.47</v>
      </c>
      <c r="M461" s="33">
        <v>9.06E-2</v>
      </c>
      <c r="N461" s="33">
        <v>8.9899999999999994E-2</v>
      </c>
      <c r="O461" s="33">
        <v>7.1800000000000003E-2</v>
      </c>
      <c r="P461" s="33">
        <v>7.1800000000000003E-2</v>
      </c>
      <c r="Q461" s="74">
        <v>9.1200000000000003E-2</v>
      </c>
    </row>
    <row r="462" spans="4:17" x14ac:dyDescent="0.35">
      <c r="D462" s="23"/>
      <c r="E462" s="30"/>
      <c r="F462" s="30"/>
      <c r="G462" s="23"/>
      <c r="H462" s="30"/>
      <c r="I462" s="30"/>
      <c r="J462" s="31"/>
      <c r="L462" s="32">
        <v>3.48</v>
      </c>
      <c r="M462" s="33">
        <v>9.0800000000000006E-2</v>
      </c>
      <c r="N462" s="33">
        <v>9.01E-2</v>
      </c>
      <c r="O462" s="33">
        <v>7.1999999999999995E-2</v>
      </c>
      <c r="P462" s="33">
        <v>7.1999999999999995E-2</v>
      </c>
      <c r="Q462" s="74">
        <v>9.1200000000000003E-2</v>
      </c>
    </row>
    <row r="463" spans="4:17" x14ac:dyDescent="0.35">
      <c r="D463" s="23"/>
      <c r="E463" s="30"/>
      <c r="F463" s="30"/>
      <c r="G463" s="23"/>
      <c r="H463" s="30"/>
      <c r="I463" s="30"/>
      <c r="J463" s="31"/>
      <c r="L463" s="32">
        <v>3.49</v>
      </c>
      <c r="M463" s="33">
        <v>9.0899999999999995E-2</v>
      </c>
      <c r="N463" s="33">
        <v>9.0200000000000002E-2</v>
      </c>
      <c r="O463" s="33">
        <v>7.2300000000000003E-2</v>
      </c>
      <c r="P463" s="33">
        <v>7.2300000000000003E-2</v>
      </c>
      <c r="Q463" s="74">
        <v>9.1200000000000003E-2</v>
      </c>
    </row>
    <row r="464" spans="4:17" x14ac:dyDescent="0.35">
      <c r="D464" s="23"/>
      <c r="E464" s="30"/>
      <c r="F464" s="30"/>
      <c r="G464" s="23"/>
      <c r="H464" s="30"/>
      <c r="I464" s="30"/>
      <c r="J464" s="31"/>
      <c r="L464" s="32">
        <v>3.5</v>
      </c>
      <c r="M464" s="33">
        <v>9.11E-2</v>
      </c>
      <c r="N464" s="33">
        <v>9.0300000000000005E-2</v>
      </c>
      <c r="O464" s="33">
        <v>7.2499999999999995E-2</v>
      </c>
      <c r="P464" s="33">
        <v>7.2499999999999995E-2</v>
      </c>
      <c r="Q464" s="74">
        <v>9.1200000000000003E-2</v>
      </c>
    </row>
    <row r="465" spans="4:17" x14ac:dyDescent="0.35">
      <c r="D465" s="23"/>
      <c r="E465" s="30"/>
      <c r="F465" s="30"/>
      <c r="G465" s="23"/>
      <c r="H465" s="30"/>
      <c r="I465" s="30"/>
      <c r="J465" s="31"/>
      <c r="L465" s="32">
        <v>3.51</v>
      </c>
      <c r="M465" s="33">
        <v>9.1200000000000003E-2</v>
      </c>
      <c r="N465" s="33">
        <v>9.0499999999999997E-2</v>
      </c>
      <c r="O465" s="33">
        <v>7.2800000000000004E-2</v>
      </c>
      <c r="P465" s="33">
        <v>7.2800000000000004E-2</v>
      </c>
      <c r="Q465" s="74">
        <v>9.1200000000000003E-2</v>
      </c>
    </row>
    <row r="466" spans="4:17" x14ac:dyDescent="0.35">
      <c r="D466" s="23"/>
      <c r="E466" s="30"/>
      <c r="F466" s="30"/>
      <c r="G466" s="23"/>
      <c r="H466" s="30"/>
      <c r="I466" s="30"/>
      <c r="J466" s="31"/>
      <c r="L466" s="32">
        <v>3.52</v>
      </c>
      <c r="M466" s="33">
        <v>9.1399999999999995E-2</v>
      </c>
      <c r="N466" s="33">
        <v>9.06E-2</v>
      </c>
      <c r="O466" s="33">
        <v>7.2999999999999995E-2</v>
      </c>
      <c r="P466" s="33">
        <v>7.2999999999999995E-2</v>
      </c>
      <c r="Q466" s="74">
        <v>9.1200000000000003E-2</v>
      </c>
    </row>
    <row r="467" spans="4:17" x14ac:dyDescent="0.35">
      <c r="D467" s="23"/>
      <c r="E467" s="30"/>
      <c r="F467" s="30"/>
      <c r="G467" s="23"/>
      <c r="H467" s="30"/>
      <c r="I467" s="30"/>
      <c r="J467" s="31"/>
      <c r="L467" s="32">
        <v>3.53</v>
      </c>
      <c r="M467" s="33">
        <v>9.1499999999999998E-2</v>
      </c>
      <c r="N467" s="33">
        <v>9.0800000000000006E-2</v>
      </c>
      <c r="O467" s="33">
        <v>7.3300000000000004E-2</v>
      </c>
      <c r="P467" s="33">
        <v>7.3300000000000004E-2</v>
      </c>
      <c r="Q467" s="74">
        <v>9.1200000000000003E-2</v>
      </c>
    </row>
    <row r="468" spans="4:17" x14ac:dyDescent="0.35">
      <c r="D468" s="23"/>
      <c r="E468" s="30"/>
      <c r="F468" s="30"/>
      <c r="G468" s="23"/>
      <c r="H468" s="30"/>
      <c r="I468" s="30"/>
      <c r="J468" s="31"/>
      <c r="L468" s="32">
        <v>3.54</v>
      </c>
      <c r="M468" s="33">
        <v>9.1700000000000004E-2</v>
      </c>
      <c r="N468" s="33">
        <v>9.0899999999999995E-2</v>
      </c>
      <c r="O468" s="33">
        <v>7.3499999999999996E-2</v>
      </c>
      <c r="P468" s="33">
        <v>7.3499999999999996E-2</v>
      </c>
      <c r="Q468" s="74">
        <v>9.1200000000000003E-2</v>
      </c>
    </row>
    <row r="469" spans="4:17" x14ac:dyDescent="0.35">
      <c r="D469" s="23"/>
      <c r="E469" s="30"/>
      <c r="F469" s="30"/>
      <c r="G469" s="23"/>
      <c r="H469" s="30"/>
      <c r="I469" s="30"/>
      <c r="J469" s="31"/>
      <c r="L469" s="32">
        <v>3.55</v>
      </c>
      <c r="M469" s="33">
        <v>9.1800000000000007E-2</v>
      </c>
      <c r="N469" s="33">
        <v>9.11E-2</v>
      </c>
      <c r="O469" s="33">
        <v>7.3800000000000004E-2</v>
      </c>
      <c r="P469" s="33">
        <v>7.3800000000000004E-2</v>
      </c>
      <c r="Q469" s="74">
        <v>9.1200000000000003E-2</v>
      </c>
    </row>
    <row r="470" spans="4:17" x14ac:dyDescent="0.35">
      <c r="D470" s="23"/>
      <c r="E470" s="30"/>
      <c r="F470" s="30"/>
      <c r="G470" s="23"/>
      <c r="H470" s="30"/>
      <c r="I470" s="30"/>
      <c r="J470" s="31"/>
      <c r="L470" s="32">
        <v>3.56</v>
      </c>
      <c r="M470" s="33">
        <v>9.1999999999999998E-2</v>
      </c>
      <c r="N470" s="33">
        <v>9.1200000000000003E-2</v>
      </c>
      <c r="O470" s="33">
        <v>7.3999999999999996E-2</v>
      </c>
      <c r="P470" s="33">
        <v>7.3999999999999996E-2</v>
      </c>
      <c r="Q470" s="74">
        <v>9.1200000000000003E-2</v>
      </c>
    </row>
    <row r="471" spans="4:17" x14ac:dyDescent="0.35">
      <c r="D471" s="23"/>
      <c r="E471" s="30"/>
      <c r="F471" s="30"/>
      <c r="G471" s="23"/>
      <c r="H471" s="30"/>
      <c r="I471" s="30"/>
      <c r="J471" s="31"/>
      <c r="L471" s="32">
        <v>3.57</v>
      </c>
      <c r="M471" s="33">
        <v>9.2100000000000001E-2</v>
      </c>
      <c r="N471" s="33">
        <v>9.1399999999999995E-2</v>
      </c>
      <c r="O471" s="33">
        <v>7.4300000000000005E-2</v>
      </c>
      <c r="P471" s="33">
        <v>7.4300000000000005E-2</v>
      </c>
      <c r="Q471" s="74">
        <v>9.1200000000000003E-2</v>
      </c>
    </row>
    <row r="472" spans="4:17" x14ac:dyDescent="0.35">
      <c r="D472" s="23"/>
      <c r="E472" s="30"/>
      <c r="F472" s="30"/>
      <c r="G472" s="23"/>
      <c r="H472" s="30"/>
      <c r="I472" s="30"/>
      <c r="J472" s="31"/>
      <c r="L472" s="32">
        <v>3.58</v>
      </c>
      <c r="M472" s="33">
        <v>9.2299999999999993E-2</v>
      </c>
      <c r="N472" s="33">
        <v>9.1499999999999998E-2</v>
      </c>
      <c r="O472" s="33">
        <v>7.4499999999999997E-2</v>
      </c>
      <c r="P472" s="33">
        <v>7.4499999999999997E-2</v>
      </c>
      <c r="Q472" s="74">
        <v>9.1200000000000003E-2</v>
      </c>
    </row>
    <row r="473" spans="4:17" x14ac:dyDescent="0.35">
      <c r="D473" s="23"/>
      <c r="E473" s="30"/>
      <c r="F473" s="30"/>
      <c r="G473" s="23"/>
      <c r="H473" s="30"/>
      <c r="I473" s="30"/>
      <c r="J473" s="31"/>
      <c r="L473" s="32">
        <v>3.59</v>
      </c>
      <c r="M473" s="33">
        <v>9.2399999999999996E-2</v>
      </c>
      <c r="N473" s="33">
        <v>9.1700000000000004E-2</v>
      </c>
      <c r="O473" s="33">
        <v>7.4800000000000005E-2</v>
      </c>
      <c r="P473" s="33">
        <v>7.4800000000000005E-2</v>
      </c>
      <c r="Q473" s="74">
        <v>9.1200000000000003E-2</v>
      </c>
    </row>
    <row r="474" spans="4:17" x14ac:dyDescent="0.35">
      <c r="D474" s="23"/>
      <c r="E474" s="30"/>
      <c r="F474" s="30"/>
      <c r="G474" s="23"/>
      <c r="H474" s="30"/>
      <c r="I474" s="30"/>
      <c r="J474" s="31"/>
      <c r="L474" s="32">
        <v>3.6</v>
      </c>
      <c r="M474" s="33">
        <v>9.2600000000000002E-2</v>
      </c>
      <c r="N474" s="33">
        <v>9.1800000000000007E-2</v>
      </c>
      <c r="O474" s="33">
        <v>7.4999999999999997E-2</v>
      </c>
      <c r="P474" s="33">
        <v>7.4999999999999997E-2</v>
      </c>
      <c r="Q474" s="74">
        <v>9.1200000000000003E-2</v>
      </c>
    </row>
    <row r="475" spans="4:17" x14ac:dyDescent="0.35">
      <c r="D475" s="23"/>
      <c r="E475" s="30"/>
      <c r="F475" s="30"/>
      <c r="G475" s="23"/>
      <c r="H475" s="30"/>
      <c r="I475" s="30"/>
      <c r="J475" s="31"/>
      <c r="L475" s="32">
        <v>3.61</v>
      </c>
      <c r="M475" s="33">
        <v>9.2700000000000005E-2</v>
      </c>
      <c r="N475" s="33">
        <v>9.1999999999999998E-2</v>
      </c>
      <c r="O475" s="33">
        <v>7.5300000000000006E-2</v>
      </c>
      <c r="P475" s="33">
        <v>7.5300000000000006E-2</v>
      </c>
      <c r="Q475" s="74">
        <v>9.1200000000000003E-2</v>
      </c>
    </row>
    <row r="476" spans="4:17" x14ac:dyDescent="0.35">
      <c r="D476" s="23"/>
      <c r="E476" s="30"/>
      <c r="F476" s="30"/>
      <c r="G476" s="23"/>
      <c r="H476" s="30"/>
      <c r="I476" s="30"/>
      <c r="J476" s="31"/>
      <c r="L476" s="32">
        <v>3.62</v>
      </c>
      <c r="M476" s="33">
        <v>9.2899999999999996E-2</v>
      </c>
      <c r="N476" s="33">
        <v>9.2100000000000001E-2</v>
      </c>
      <c r="O476" s="33">
        <v>7.5499999999999998E-2</v>
      </c>
      <c r="P476" s="33">
        <v>7.5499999999999998E-2</v>
      </c>
      <c r="Q476" s="74">
        <v>9.1200000000000003E-2</v>
      </c>
    </row>
    <row r="477" spans="4:17" x14ac:dyDescent="0.35">
      <c r="D477" s="23"/>
      <c r="E477" s="30"/>
      <c r="F477" s="30"/>
      <c r="G477" s="23"/>
      <c r="H477" s="30"/>
      <c r="I477" s="30"/>
      <c r="J477" s="31"/>
      <c r="L477" s="32">
        <v>3.63</v>
      </c>
      <c r="M477" s="33">
        <v>9.2999999999999999E-2</v>
      </c>
      <c r="N477" s="33">
        <v>9.2299999999999993E-2</v>
      </c>
      <c r="O477" s="33">
        <v>7.5800000000000006E-2</v>
      </c>
      <c r="P477" s="33">
        <v>7.5800000000000006E-2</v>
      </c>
      <c r="Q477" s="74">
        <v>9.1200000000000003E-2</v>
      </c>
    </row>
    <row r="478" spans="4:17" x14ac:dyDescent="0.35">
      <c r="D478" s="23"/>
      <c r="E478" s="30"/>
      <c r="F478" s="30"/>
      <c r="G478" s="23"/>
      <c r="H478" s="30"/>
      <c r="I478" s="30"/>
      <c r="J478" s="31"/>
      <c r="L478" s="32">
        <v>3.64</v>
      </c>
      <c r="M478" s="33">
        <v>9.3200000000000005E-2</v>
      </c>
      <c r="N478" s="33">
        <v>9.2399999999999996E-2</v>
      </c>
      <c r="O478" s="33">
        <v>7.5999999999999998E-2</v>
      </c>
      <c r="P478" s="33">
        <v>7.5999999999999998E-2</v>
      </c>
      <c r="Q478" s="74">
        <v>9.1200000000000003E-2</v>
      </c>
    </row>
    <row r="479" spans="4:17" x14ac:dyDescent="0.35">
      <c r="D479" s="23"/>
      <c r="E479" s="30"/>
      <c r="F479" s="30"/>
      <c r="G479" s="23"/>
      <c r="H479" s="30"/>
      <c r="I479" s="30"/>
      <c r="J479" s="31"/>
      <c r="L479" s="32">
        <v>3.65</v>
      </c>
      <c r="M479" s="33">
        <v>9.3299999999999994E-2</v>
      </c>
      <c r="N479" s="33">
        <v>9.2600000000000002E-2</v>
      </c>
      <c r="O479" s="33">
        <v>7.6300000000000007E-2</v>
      </c>
      <c r="P479" s="33">
        <v>7.6300000000000007E-2</v>
      </c>
      <c r="Q479" s="74">
        <v>9.1200000000000003E-2</v>
      </c>
    </row>
    <row r="480" spans="4:17" x14ac:dyDescent="0.35">
      <c r="D480" s="23"/>
      <c r="E480" s="30"/>
      <c r="F480" s="30"/>
      <c r="G480" s="23"/>
      <c r="H480" s="30"/>
      <c r="I480" s="30"/>
      <c r="J480" s="31"/>
      <c r="L480" s="32">
        <v>3.66</v>
      </c>
      <c r="M480" s="33">
        <v>9.35E-2</v>
      </c>
      <c r="N480" s="33">
        <v>9.2700000000000005E-2</v>
      </c>
      <c r="O480" s="33">
        <v>7.6499999999999999E-2</v>
      </c>
      <c r="P480" s="33">
        <v>7.6499999999999999E-2</v>
      </c>
      <c r="Q480" s="74">
        <v>9.1200000000000003E-2</v>
      </c>
    </row>
    <row r="481" spans="4:17" x14ac:dyDescent="0.35">
      <c r="D481" s="23"/>
      <c r="E481" s="30"/>
      <c r="F481" s="30"/>
      <c r="G481" s="23"/>
      <c r="H481" s="30"/>
      <c r="I481" s="30"/>
      <c r="J481" s="31"/>
      <c r="L481" s="32">
        <v>3.67</v>
      </c>
      <c r="M481" s="33">
        <v>9.3600000000000003E-2</v>
      </c>
      <c r="N481" s="33">
        <v>9.2899999999999996E-2</v>
      </c>
      <c r="O481" s="33">
        <v>7.6799999999999993E-2</v>
      </c>
      <c r="P481" s="33">
        <v>7.6799999999999993E-2</v>
      </c>
      <c r="Q481" s="74">
        <v>9.1200000000000003E-2</v>
      </c>
    </row>
    <row r="482" spans="4:17" x14ac:dyDescent="0.35">
      <c r="D482" s="23"/>
      <c r="E482" s="30"/>
      <c r="F482" s="30"/>
      <c r="G482" s="23"/>
      <c r="H482" s="30"/>
      <c r="I482" s="30"/>
      <c r="J482" s="31"/>
      <c r="L482" s="32">
        <v>3.68</v>
      </c>
      <c r="M482" s="33">
        <v>9.3799999999999994E-2</v>
      </c>
      <c r="N482" s="33">
        <v>9.2999999999999999E-2</v>
      </c>
      <c r="O482" s="33">
        <v>7.6999999999999999E-2</v>
      </c>
      <c r="P482" s="33">
        <v>7.6999999999999999E-2</v>
      </c>
      <c r="Q482" s="74">
        <v>9.1200000000000003E-2</v>
      </c>
    </row>
    <row r="483" spans="4:17" x14ac:dyDescent="0.35">
      <c r="D483" s="23"/>
      <c r="E483" s="30"/>
      <c r="F483" s="30"/>
      <c r="G483" s="23"/>
      <c r="H483" s="30"/>
      <c r="I483" s="30"/>
      <c r="J483" s="31"/>
      <c r="L483" s="32">
        <v>3.69</v>
      </c>
      <c r="M483" s="33">
        <v>9.3899999999999997E-2</v>
      </c>
      <c r="N483" s="33">
        <v>9.3200000000000005E-2</v>
      </c>
      <c r="O483" s="33">
        <v>7.7299999999999994E-2</v>
      </c>
      <c r="P483" s="33">
        <v>7.7299999999999994E-2</v>
      </c>
      <c r="Q483" s="74">
        <v>9.1200000000000003E-2</v>
      </c>
    </row>
    <row r="484" spans="4:17" x14ac:dyDescent="0.35">
      <c r="D484" s="23"/>
      <c r="E484" s="30"/>
      <c r="F484" s="30"/>
      <c r="G484" s="23"/>
      <c r="H484" s="30"/>
      <c r="I484" s="30"/>
      <c r="J484" s="31"/>
      <c r="L484" s="32">
        <v>3.7</v>
      </c>
      <c r="M484" s="33">
        <v>9.4100000000000003E-2</v>
      </c>
      <c r="N484" s="33">
        <v>9.3299999999999994E-2</v>
      </c>
      <c r="O484" s="33">
        <v>7.7499999999999999E-2</v>
      </c>
      <c r="P484" s="33">
        <v>7.7499999999999999E-2</v>
      </c>
      <c r="Q484" s="74">
        <v>9.1200000000000003E-2</v>
      </c>
    </row>
    <row r="485" spans="4:17" x14ac:dyDescent="0.35">
      <c r="D485" s="23"/>
      <c r="E485" s="30"/>
      <c r="F485" s="30"/>
      <c r="G485" s="23"/>
      <c r="H485" s="30"/>
      <c r="I485" s="30"/>
      <c r="J485" s="31"/>
      <c r="L485" s="32">
        <v>3.71</v>
      </c>
      <c r="M485" s="33">
        <v>9.4200000000000006E-2</v>
      </c>
      <c r="N485" s="33">
        <v>9.35E-2</v>
      </c>
      <c r="O485" s="33">
        <v>7.7799999999999994E-2</v>
      </c>
      <c r="P485" s="33">
        <v>7.7799999999999994E-2</v>
      </c>
      <c r="Q485" s="74">
        <v>9.1200000000000003E-2</v>
      </c>
    </row>
    <row r="486" spans="4:17" x14ac:dyDescent="0.35">
      <c r="D486" s="23"/>
      <c r="E486" s="30"/>
      <c r="F486" s="30"/>
      <c r="G486" s="23"/>
      <c r="H486" s="30"/>
      <c r="I486" s="30"/>
      <c r="J486" s="31"/>
      <c r="L486" s="32">
        <v>3.72</v>
      </c>
      <c r="M486" s="33">
        <v>9.4399999999999998E-2</v>
      </c>
      <c r="N486" s="33">
        <v>9.3600000000000003E-2</v>
      </c>
      <c r="O486" s="33">
        <v>7.8E-2</v>
      </c>
      <c r="P486" s="33">
        <v>7.8E-2</v>
      </c>
      <c r="Q486" s="74">
        <v>9.1200000000000003E-2</v>
      </c>
    </row>
    <row r="487" spans="4:17" x14ac:dyDescent="0.35">
      <c r="D487" s="23"/>
      <c r="E487" s="30"/>
      <c r="F487" s="30"/>
      <c r="G487" s="23"/>
      <c r="H487" s="30"/>
      <c r="I487" s="30"/>
      <c r="J487" s="31"/>
      <c r="L487" s="32">
        <v>3.73</v>
      </c>
      <c r="M487" s="33">
        <v>9.4500000000000001E-2</v>
      </c>
      <c r="N487" s="33">
        <v>9.3799999999999994E-2</v>
      </c>
      <c r="O487" s="33">
        <v>7.8299999999999995E-2</v>
      </c>
      <c r="P487" s="33">
        <v>7.8299999999999995E-2</v>
      </c>
      <c r="Q487" s="74">
        <v>9.1200000000000003E-2</v>
      </c>
    </row>
    <row r="488" spans="4:17" x14ac:dyDescent="0.35">
      <c r="D488" s="23"/>
      <c r="E488" s="30"/>
      <c r="F488" s="30"/>
      <c r="G488" s="23"/>
      <c r="H488" s="30"/>
      <c r="I488" s="30"/>
      <c r="J488" s="31"/>
      <c r="L488" s="32">
        <v>3.74</v>
      </c>
      <c r="M488" s="33">
        <v>9.4700000000000006E-2</v>
      </c>
      <c r="N488" s="33">
        <v>9.3899999999999997E-2</v>
      </c>
      <c r="O488" s="33">
        <v>7.85E-2</v>
      </c>
      <c r="P488" s="33">
        <v>7.85E-2</v>
      </c>
      <c r="Q488" s="74">
        <v>9.1200000000000003E-2</v>
      </c>
    </row>
    <row r="489" spans="4:17" x14ac:dyDescent="0.35">
      <c r="D489" s="23"/>
      <c r="E489" s="30"/>
      <c r="F489" s="30"/>
      <c r="G489" s="23"/>
      <c r="H489" s="30"/>
      <c r="I489" s="30"/>
      <c r="J489" s="31"/>
      <c r="L489" s="32">
        <v>3.75</v>
      </c>
      <c r="M489" s="33">
        <v>9.4799999999999995E-2</v>
      </c>
      <c r="N489" s="33">
        <v>9.4100000000000003E-2</v>
      </c>
      <c r="O489" s="33">
        <v>7.8799999999999995E-2</v>
      </c>
      <c r="P489" s="33">
        <v>7.8799999999999995E-2</v>
      </c>
      <c r="Q489" s="74">
        <v>9.1200000000000003E-2</v>
      </c>
    </row>
    <row r="490" spans="4:17" x14ac:dyDescent="0.35">
      <c r="D490" s="23"/>
      <c r="E490" s="30"/>
      <c r="F490" s="30"/>
      <c r="G490" s="23"/>
      <c r="H490" s="30"/>
      <c r="I490" s="30"/>
      <c r="J490" s="31"/>
      <c r="L490" s="32">
        <v>3.76</v>
      </c>
      <c r="M490" s="33">
        <v>9.5000000000000001E-2</v>
      </c>
      <c r="N490" s="33">
        <v>9.4200000000000006E-2</v>
      </c>
      <c r="O490" s="33">
        <v>7.9000000000000001E-2</v>
      </c>
      <c r="P490" s="33">
        <v>7.9000000000000001E-2</v>
      </c>
      <c r="Q490" s="74">
        <v>9.1200000000000003E-2</v>
      </c>
    </row>
    <row r="491" spans="4:17" x14ac:dyDescent="0.35">
      <c r="D491" s="23"/>
      <c r="E491" s="30"/>
      <c r="F491" s="30"/>
      <c r="G491" s="23"/>
      <c r="H491" s="30"/>
      <c r="I491" s="30"/>
      <c r="J491" s="31"/>
      <c r="L491" s="32">
        <v>3.77</v>
      </c>
      <c r="M491" s="33">
        <v>9.5100000000000004E-2</v>
      </c>
      <c r="N491" s="33">
        <v>9.4399999999999998E-2</v>
      </c>
      <c r="O491" s="33">
        <v>7.9299999999999995E-2</v>
      </c>
      <c r="P491" s="33">
        <v>7.9299999999999995E-2</v>
      </c>
      <c r="Q491" s="74">
        <v>9.1200000000000003E-2</v>
      </c>
    </row>
    <row r="492" spans="4:17" x14ac:dyDescent="0.35">
      <c r="D492" s="23"/>
      <c r="E492" s="30"/>
      <c r="F492" s="30"/>
      <c r="G492" s="23"/>
      <c r="H492" s="30"/>
      <c r="I492" s="30"/>
      <c r="J492" s="31"/>
      <c r="L492" s="32">
        <v>3.78</v>
      </c>
      <c r="M492" s="33">
        <v>9.5299999999999996E-2</v>
      </c>
      <c r="N492" s="33">
        <v>9.4500000000000001E-2</v>
      </c>
      <c r="O492" s="33">
        <v>7.9500000000000001E-2</v>
      </c>
      <c r="P492" s="33">
        <v>7.9500000000000001E-2</v>
      </c>
      <c r="Q492" s="74">
        <v>9.1200000000000003E-2</v>
      </c>
    </row>
    <row r="493" spans="4:17" x14ac:dyDescent="0.35">
      <c r="D493" s="23"/>
      <c r="E493" s="30"/>
      <c r="F493" s="30"/>
      <c r="G493" s="23"/>
      <c r="H493" s="30"/>
      <c r="I493" s="30"/>
      <c r="J493" s="31"/>
      <c r="L493" s="32">
        <v>3.79</v>
      </c>
      <c r="M493" s="33">
        <v>9.5399999999999999E-2</v>
      </c>
      <c r="N493" s="33">
        <v>9.4700000000000006E-2</v>
      </c>
      <c r="O493" s="33">
        <v>7.9799999999999996E-2</v>
      </c>
      <c r="P493" s="33">
        <v>7.9799999999999996E-2</v>
      </c>
      <c r="Q493" s="74">
        <v>9.1200000000000003E-2</v>
      </c>
    </row>
    <row r="494" spans="4:17" x14ac:dyDescent="0.35">
      <c r="D494" s="23"/>
      <c r="E494" s="30"/>
      <c r="F494" s="30"/>
      <c r="G494" s="23"/>
      <c r="H494" s="30"/>
      <c r="I494" s="30"/>
      <c r="J494" s="31"/>
      <c r="L494" s="32">
        <v>3.8</v>
      </c>
      <c r="M494" s="33">
        <v>9.5600000000000004E-2</v>
      </c>
      <c r="N494" s="33">
        <v>9.4799999999999995E-2</v>
      </c>
      <c r="O494" s="33">
        <v>0.08</v>
      </c>
      <c r="P494" s="33">
        <v>0.08</v>
      </c>
      <c r="Q494" s="74">
        <v>9.1200000000000003E-2</v>
      </c>
    </row>
    <row r="495" spans="4:17" x14ac:dyDescent="0.35">
      <c r="D495" s="23"/>
      <c r="E495" s="30"/>
      <c r="F495" s="30"/>
      <c r="G495" s="23"/>
      <c r="H495" s="30"/>
      <c r="I495" s="30"/>
      <c r="J495" s="31"/>
      <c r="L495" s="32">
        <v>3.81</v>
      </c>
      <c r="M495" s="33">
        <v>9.5699999999999993E-2</v>
      </c>
      <c r="N495" s="33">
        <v>9.5000000000000001E-2</v>
      </c>
      <c r="O495" s="33">
        <v>8.0299999999999996E-2</v>
      </c>
      <c r="P495" s="33">
        <v>8.0299999999999996E-2</v>
      </c>
      <c r="Q495" s="74">
        <v>9.1200000000000003E-2</v>
      </c>
    </row>
    <row r="496" spans="4:17" x14ac:dyDescent="0.35">
      <c r="D496" s="23"/>
      <c r="E496" s="30"/>
      <c r="F496" s="30"/>
      <c r="G496" s="23"/>
      <c r="H496" s="30"/>
      <c r="I496" s="30"/>
      <c r="J496" s="31"/>
      <c r="L496" s="32">
        <v>3.82</v>
      </c>
      <c r="M496" s="33">
        <v>9.5899999999999999E-2</v>
      </c>
      <c r="N496" s="33">
        <v>9.5100000000000004E-2</v>
      </c>
      <c r="O496" s="33">
        <v>8.0500000000000002E-2</v>
      </c>
      <c r="P496" s="33">
        <v>8.0500000000000002E-2</v>
      </c>
      <c r="Q496" s="74">
        <v>9.1200000000000003E-2</v>
      </c>
    </row>
    <row r="497" spans="4:17" x14ac:dyDescent="0.35">
      <c r="D497" s="23"/>
      <c r="E497" s="30"/>
      <c r="F497" s="30"/>
      <c r="G497" s="23"/>
      <c r="H497" s="30"/>
      <c r="I497" s="30"/>
      <c r="J497" s="31"/>
      <c r="L497" s="32">
        <v>3.83</v>
      </c>
      <c r="M497" s="33">
        <v>9.6000000000000002E-2</v>
      </c>
      <c r="N497" s="33">
        <v>9.5299999999999996E-2</v>
      </c>
      <c r="O497" s="33">
        <v>8.0799999999999997E-2</v>
      </c>
      <c r="P497" s="33">
        <v>8.0799999999999997E-2</v>
      </c>
      <c r="Q497" s="74">
        <v>9.1200000000000003E-2</v>
      </c>
    </row>
    <row r="498" spans="4:17" x14ac:dyDescent="0.35">
      <c r="D498" s="23"/>
      <c r="E498" s="30"/>
      <c r="F498" s="30"/>
      <c r="G498" s="23"/>
      <c r="H498" s="30"/>
      <c r="I498" s="30"/>
      <c r="J498" s="31"/>
      <c r="L498" s="32">
        <v>3.84</v>
      </c>
      <c r="M498" s="33">
        <v>9.6199999999999994E-2</v>
      </c>
      <c r="N498" s="33">
        <v>9.5399999999999999E-2</v>
      </c>
      <c r="O498" s="33">
        <v>8.1000000000000003E-2</v>
      </c>
      <c r="P498" s="33">
        <v>8.1000000000000003E-2</v>
      </c>
      <c r="Q498" s="74">
        <v>9.1200000000000003E-2</v>
      </c>
    </row>
    <row r="499" spans="4:17" x14ac:dyDescent="0.35">
      <c r="D499" s="23"/>
      <c r="E499" s="30"/>
      <c r="F499" s="30"/>
      <c r="G499" s="23"/>
      <c r="H499" s="30"/>
      <c r="I499" s="30"/>
      <c r="J499" s="31"/>
      <c r="L499" s="32">
        <v>3.85</v>
      </c>
      <c r="M499" s="33">
        <v>9.6299999999999997E-2</v>
      </c>
      <c r="N499" s="33">
        <v>9.5600000000000004E-2</v>
      </c>
      <c r="O499" s="33">
        <v>8.1299999999999997E-2</v>
      </c>
      <c r="P499" s="33">
        <v>8.1299999999999997E-2</v>
      </c>
      <c r="Q499" s="74">
        <v>9.1200000000000003E-2</v>
      </c>
    </row>
    <row r="500" spans="4:17" x14ac:dyDescent="0.35">
      <c r="D500" s="23"/>
      <c r="E500" s="30"/>
      <c r="F500" s="30"/>
      <c r="G500" s="23"/>
      <c r="H500" s="30"/>
      <c r="I500" s="30"/>
      <c r="J500" s="31"/>
      <c r="L500" s="32">
        <v>3.86</v>
      </c>
      <c r="M500" s="33">
        <v>9.6500000000000002E-2</v>
      </c>
      <c r="N500" s="33">
        <v>9.5699999999999993E-2</v>
      </c>
      <c r="O500" s="33">
        <v>8.1500000000000003E-2</v>
      </c>
      <c r="P500" s="33">
        <v>8.1500000000000003E-2</v>
      </c>
      <c r="Q500" s="74">
        <v>9.1200000000000003E-2</v>
      </c>
    </row>
    <row r="501" spans="4:17" x14ac:dyDescent="0.35">
      <c r="D501" s="23"/>
      <c r="E501" s="30"/>
      <c r="F501" s="30"/>
      <c r="G501" s="23"/>
      <c r="H501" s="30"/>
      <c r="I501" s="30"/>
      <c r="J501" s="31"/>
      <c r="L501" s="32">
        <v>3.87</v>
      </c>
      <c r="M501" s="33">
        <v>9.6600000000000005E-2</v>
      </c>
      <c r="N501" s="33">
        <v>9.5899999999999999E-2</v>
      </c>
      <c r="O501" s="33">
        <v>8.1799999999999998E-2</v>
      </c>
      <c r="P501" s="33">
        <v>8.1799999999999998E-2</v>
      </c>
      <c r="Q501" s="74">
        <v>9.1200000000000003E-2</v>
      </c>
    </row>
    <row r="502" spans="4:17" x14ac:dyDescent="0.35">
      <c r="D502" s="23"/>
      <c r="E502" s="30"/>
      <c r="F502" s="30"/>
      <c r="G502" s="23"/>
      <c r="H502" s="30"/>
      <c r="I502" s="30"/>
      <c r="J502" s="31"/>
      <c r="L502" s="32">
        <v>3.88</v>
      </c>
      <c r="M502" s="33">
        <v>9.6799999999999997E-2</v>
      </c>
      <c r="N502" s="33">
        <v>9.6000000000000002E-2</v>
      </c>
      <c r="O502" s="33">
        <v>8.2000000000000003E-2</v>
      </c>
      <c r="P502" s="33">
        <v>8.2000000000000003E-2</v>
      </c>
      <c r="Q502" s="74">
        <v>9.1200000000000003E-2</v>
      </c>
    </row>
    <row r="503" spans="4:17" x14ac:dyDescent="0.35">
      <c r="D503" s="23"/>
      <c r="E503" s="30"/>
      <c r="F503" s="30"/>
      <c r="G503" s="23"/>
      <c r="H503" s="30"/>
      <c r="I503" s="30"/>
      <c r="J503" s="31"/>
      <c r="L503" s="32">
        <v>3.89</v>
      </c>
      <c r="M503" s="33">
        <v>9.69E-2</v>
      </c>
      <c r="N503" s="33">
        <v>9.6199999999999994E-2</v>
      </c>
      <c r="O503" s="33">
        <v>8.2299999999999998E-2</v>
      </c>
      <c r="P503" s="33">
        <v>8.2299999999999998E-2</v>
      </c>
      <c r="Q503" s="74">
        <v>9.1200000000000003E-2</v>
      </c>
    </row>
    <row r="504" spans="4:17" x14ac:dyDescent="0.35">
      <c r="D504" s="23"/>
      <c r="E504" s="30"/>
      <c r="F504" s="30"/>
      <c r="G504" s="23"/>
      <c r="H504" s="30"/>
      <c r="I504" s="30"/>
      <c r="J504" s="31"/>
      <c r="L504" s="32">
        <v>3.9</v>
      </c>
      <c r="M504" s="33">
        <v>9.7100000000000006E-2</v>
      </c>
      <c r="N504" s="33">
        <v>9.6299999999999997E-2</v>
      </c>
      <c r="O504" s="33">
        <v>8.2500000000000004E-2</v>
      </c>
      <c r="P504" s="33">
        <v>8.2500000000000004E-2</v>
      </c>
      <c r="Q504" s="74">
        <v>9.1200000000000003E-2</v>
      </c>
    </row>
    <row r="505" spans="4:17" x14ac:dyDescent="0.35">
      <c r="D505" s="23"/>
      <c r="E505" s="30"/>
      <c r="F505" s="30"/>
      <c r="G505" s="23"/>
      <c r="H505" s="30"/>
      <c r="I505" s="30"/>
      <c r="J505" s="31"/>
      <c r="L505" s="32">
        <v>3.91</v>
      </c>
      <c r="M505" s="33">
        <v>9.7199999999999995E-2</v>
      </c>
      <c r="N505" s="33">
        <v>9.6500000000000002E-2</v>
      </c>
      <c r="O505" s="33">
        <v>8.2799999999999999E-2</v>
      </c>
      <c r="P505" s="33">
        <v>8.2799999999999999E-2</v>
      </c>
      <c r="Q505" s="74">
        <v>9.1200000000000003E-2</v>
      </c>
    </row>
    <row r="506" spans="4:17" x14ac:dyDescent="0.35">
      <c r="D506" s="23"/>
      <c r="E506" s="30"/>
      <c r="F506" s="30"/>
      <c r="G506" s="23"/>
      <c r="H506" s="30"/>
      <c r="I506" s="30"/>
      <c r="J506" s="31"/>
      <c r="L506" s="32">
        <v>3.92</v>
      </c>
      <c r="M506" s="33">
        <v>9.74E-2</v>
      </c>
      <c r="N506" s="33">
        <v>9.6600000000000005E-2</v>
      </c>
      <c r="O506" s="33">
        <v>8.3000000000000004E-2</v>
      </c>
      <c r="P506" s="33">
        <v>8.3000000000000004E-2</v>
      </c>
      <c r="Q506" s="74">
        <v>9.1200000000000003E-2</v>
      </c>
    </row>
    <row r="507" spans="4:17" x14ac:dyDescent="0.35">
      <c r="D507" s="23"/>
      <c r="E507" s="30"/>
      <c r="F507" s="30"/>
      <c r="G507" s="23"/>
      <c r="H507" s="30"/>
      <c r="I507" s="30"/>
      <c r="J507" s="31"/>
      <c r="L507" s="32">
        <v>3.93</v>
      </c>
      <c r="M507" s="33">
        <v>9.7500000000000003E-2</v>
      </c>
      <c r="N507" s="33">
        <v>9.6799999999999997E-2</v>
      </c>
      <c r="O507" s="33">
        <v>8.3299999999999999E-2</v>
      </c>
      <c r="P507" s="33">
        <v>8.3299999999999999E-2</v>
      </c>
      <c r="Q507" s="74">
        <v>9.1200000000000003E-2</v>
      </c>
    </row>
    <row r="508" spans="4:17" x14ac:dyDescent="0.35">
      <c r="D508" s="23"/>
      <c r="E508" s="30"/>
      <c r="F508" s="30"/>
      <c r="G508" s="23"/>
      <c r="H508" s="30"/>
      <c r="I508" s="30"/>
      <c r="J508" s="31"/>
      <c r="L508" s="32">
        <v>3.94</v>
      </c>
      <c r="M508" s="33">
        <v>9.7699999999999995E-2</v>
      </c>
      <c r="N508" s="33">
        <v>9.69E-2</v>
      </c>
      <c r="O508" s="33">
        <v>8.3500000000000005E-2</v>
      </c>
      <c r="P508" s="33">
        <v>8.3500000000000005E-2</v>
      </c>
      <c r="Q508" s="74">
        <v>9.1200000000000003E-2</v>
      </c>
    </row>
    <row r="509" spans="4:17" x14ac:dyDescent="0.35">
      <c r="D509" s="23"/>
      <c r="E509" s="30"/>
      <c r="F509" s="30"/>
      <c r="G509" s="23"/>
      <c r="H509" s="30"/>
      <c r="I509" s="30"/>
      <c r="J509" s="31"/>
      <c r="L509" s="32">
        <v>3.95</v>
      </c>
      <c r="M509" s="33">
        <v>9.7799999999999998E-2</v>
      </c>
      <c r="N509" s="33">
        <v>9.7100000000000006E-2</v>
      </c>
      <c r="O509" s="33">
        <v>8.3799999999999999E-2</v>
      </c>
      <c r="P509" s="33">
        <v>8.3799999999999999E-2</v>
      </c>
      <c r="Q509" s="74">
        <v>9.1200000000000003E-2</v>
      </c>
    </row>
    <row r="510" spans="4:17" x14ac:dyDescent="0.35">
      <c r="D510" s="23"/>
      <c r="E510" s="30"/>
      <c r="F510" s="30"/>
      <c r="G510" s="23"/>
      <c r="H510" s="30"/>
      <c r="I510" s="30"/>
      <c r="J510" s="31"/>
      <c r="L510" s="32">
        <v>3.96</v>
      </c>
      <c r="M510" s="33">
        <v>9.8000000000000004E-2</v>
      </c>
      <c r="N510" s="33">
        <v>9.7199999999999995E-2</v>
      </c>
      <c r="O510" s="33">
        <v>8.4000000000000005E-2</v>
      </c>
      <c r="P510" s="33">
        <v>8.4000000000000005E-2</v>
      </c>
      <c r="Q510" s="74">
        <v>9.1200000000000003E-2</v>
      </c>
    </row>
    <row r="511" spans="4:17" x14ac:dyDescent="0.35">
      <c r="D511" s="23"/>
      <c r="E511" s="30"/>
      <c r="F511" s="30"/>
      <c r="G511" s="23"/>
      <c r="H511" s="30"/>
      <c r="I511" s="30"/>
      <c r="J511" s="31"/>
      <c r="L511" s="32">
        <v>3.97</v>
      </c>
      <c r="M511" s="33">
        <v>9.8100000000000007E-2</v>
      </c>
      <c r="N511" s="33">
        <v>9.74E-2</v>
      </c>
      <c r="O511" s="33">
        <v>8.43E-2</v>
      </c>
      <c r="P511" s="33">
        <v>8.43E-2</v>
      </c>
      <c r="Q511" s="74">
        <v>9.1200000000000003E-2</v>
      </c>
    </row>
    <row r="512" spans="4:17" x14ac:dyDescent="0.35">
      <c r="D512" s="23"/>
      <c r="E512" s="30"/>
      <c r="F512" s="30"/>
      <c r="G512" s="23"/>
      <c r="H512" s="30"/>
      <c r="I512" s="30"/>
      <c r="J512" s="31"/>
      <c r="L512" s="32">
        <v>3.98</v>
      </c>
      <c r="M512" s="33">
        <v>9.8299999999999998E-2</v>
      </c>
      <c r="N512" s="33">
        <v>9.7500000000000003E-2</v>
      </c>
      <c r="O512" s="33">
        <v>8.4500000000000006E-2</v>
      </c>
      <c r="P512" s="33">
        <v>8.4500000000000006E-2</v>
      </c>
      <c r="Q512" s="74">
        <v>9.1200000000000003E-2</v>
      </c>
    </row>
    <row r="513" spans="3:17" x14ac:dyDescent="0.35">
      <c r="D513" s="23"/>
      <c r="E513" s="30"/>
      <c r="F513" s="30"/>
      <c r="G513" s="23"/>
      <c r="H513" s="30"/>
      <c r="I513" s="30"/>
      <c r="J513" s="31"/>
      <c r="L513" s="32">
        <v>3.99</v>
      </c>
      <c r="M513" s="33">
        <v>9.8400000000000001E-2</v>
      </c>
      <c r="N513" s="33">
        <v>9.7699999999999995E-2</v>
      </c>
      <c r="O513" s="33">
        <v>8.48E-2</v>
      </c>
      <c r="P513" s="33">
        <v>8.48E-2</v>
      </c>
      <c r="Q513" s="74">
        <v>9.1200000000000003E-2</v>
      </c>
    </row>
    <row r="514" spans="3:17" x14ac:dyDescent="0.35">
      <c r="D514" s="23"/>
      <c r="E514" s="30"/>
      <c r="F514" s="30"/>
      <c r="G514" s="23"/>
      <c r="H514" s="30"/>
      <c r="I514" s="30"/>
      <c r="J514" s="31"/>
      <c r="L514" s="32">
        <v>4</v>
      </c>
      <c r="M514" s="36">
        <v>9.8599999999999993E-2</v>
      </c>
      <c r="N514" s="36">
        <v>9.7799999999999998E-2</v>
      </c>
      <c r="O514" s="33">
        <v>8.5000000000000006E-2</v>
      </c>
      <c r="P514" s="33">
        <v>8.5000000000000006E-2</v>
      </c>
      <c r="Q514" s="74">
        <v>9.1200000000000003E-2</v>
      </c>
    </row>
    <row r="515" spans="3:17" x14ac:dyDescent="0.35">
      <c r="D515" s="23"/>
      <c r="E515" s="30"/>
      <c r="F515" s="30"/>
      <c r="G515" s="23"/>
      <c r="H515" s="30"/>
      <c r="I515" s="30"/>
      <c r="J515" s="31"/>
    </row>
    <row r="516" spans="3:17" x14ac:dyDescent="0.35">
      <c r="C516" s="2" t="s">
        <v>175</v>
      </c>
    </row>
    <row r="517" spans="3:17" x14ac:dyDescent="0.35">
      <c r="D517" t="s">
        <v>176</v>
      </c>
      <c r="E517" t="s">
        <v>177</v>
      </c>
    </row>
    <row r="518" spans="3:17" x14ac:dyDescent="0.35">
      <c r="E518" s="37" t="s">
        <v>178</v>
      </c>
      <c r="F518" s="23" t="s">
        <v>159</v>
      </c>
    </row>
    <row r="519" spans="3:17" x14ac:dyDescent="0.35">
      <c r="E519" s="37" t="s">
        <v>179</v>
      </c>
      <c r="F519" s="32">
        <v>3</v>
      </c>
    </row>
    <row r="520" spans="3:17" x14ac:dyDescent="0.35">
      <c r="E520" s="37" t="s">
        <v>180</v>
      </c>
      <c r="F520">
        <v>2022</v>
      </c>
    </row>
    <row r="521" spans="3:17" x14ac:dyDescent="0.35">
      <c r="E521" s="38" t="s">
        <v>181</v>
      </c>
      <c r="F521" s="39">
        <f t="array" ref="F521">INDEX(HIX_ApplicablePercentages10[Premium Tax Credit Applicable Percentage],MATCH(1,(HIX_ApplicablePercentages10[Premium Percentage Group]=$F$518)*(HIX_ApplicablePercentages10[Threshold]=$F$519)*(HIX_ApplicablePercentages10[Year]=$F$520),0))</f>
        <v>8.5000000000000006E-2</v>
      </c>
    </row>
    <row r="522" spans="3:17" x14ac:dyDescent="0.35">
      <c r="E522" s="38"/>
    </row>
    <row r="523" spans="3:17" x14ac:dyDescent="0.35">
      <c r="C523" s="2" t="s">
        <v>182</v>
      </c>
      <c r="E523" s="38"/>
    </row>
    <row r="524" spans="3:17" x14ac:dyDescent="0.35">
      <c r="D524" t="s">
        <v>183</v>
      </c>
      <c r="E524" s="38"/>
    </row>
    <row r="525" spans="3:17" x14ac:dyDescent="0.35">
      <c r="F525" s="30" t="s">
        <v>184</v>
      </c>
      <c r="G525" t="s">
        <v>185</v>
      </c>
      <c r="H525" t="s">
        <v>186</v>
      </c>
      <c r="J525" t="s">
        <v>185</v>
      </c>
      <c r="K525" t="s">
        <v>186</v>
      </c>
    </row>
    <row r="526" spans="3:17" x14ac:dyDescent="0.35">
      <c r="E526" t="s">
        <v>187</v>
      </c>
      <c r="F526" s="30">
        <v>1.33</v>
      </c>
      <c r="G526" s="31">
        <v>3.1099999999999999E-2</v>
      </c>
      <c r="I526" s="32">
        <v>1.5</v>
      </c>
      <c r="J526" s="31">
        <v>4.1500000000000002E-2</v>
      </c>
    </row>
    <row r="527" spans="3:17" x14ac:dyDescent="0.35">
      <c r="E527" t="s">
        <v>188</v>
      </c>
      <c r="F527" s="30">
        <v>1.5</v>
      </c>
      <c r="G527" s="31">
        <v>4.1500000000000002E-2</v>
      </c>
      <c r="I527" s="32">
        <v>2</v>
      </c>
      <c r="J527" s="31">
        <v>6.54E-2</v>
      </c>
    </row>
    <row r="528" spans="3:17" x14ac:dyDescent="0.35">
      <c r="E528" t="s">
        <v>189</v>
      </c>
      <c r="F528" s="40">
        <f>(F527-F526)*100</f>
        <v>16.999999999999993</v>
      </c>
      <c r="G528" s="31">
        <f>G527-G526</f>
        <v>1.0400000000000003E-2</v>
      </c>
      <c r="H528" s="41">
        <f>G528/F528</f>
        <v>6.1176470588235332E-4</v>
      </c>
      <c r="I528" s="40">
        <f>(I527-I526)*100</f>
        <v>50</v>
      </c>
      <c r="J528" s="31">
        <f>J527-J526</f>
        <v>2.3899999999999998E-2</v>
      </c>
      <c r="K528" s="41">
        <f>J528/I528</f>
        <v>4.7799999999999996E-4</v>
      </c>
    </row>
    <row r="530" spans="3:17" x14ac:dyDescent="0.35">
      <c r="F530" s="30">
        <v>1.33</v>
      </c>
      <c r="G530" s="23">
        <v>0</v>
      </c>
      <c r="H530" s="42">
        <f>ROUND(G$39+G530*H$41,4)</f>
        <v>0</v>
      </c>
      <c r="I530" s="32">
        <v>1.5</v>
      </c>
      <c r="J530" s="23">
        <f t="shared" ref="J530:J535" si="0">I530*100-150</f>
        <v>0</v>
      </c>
      <c r="K530" s="42">
        <f t="shared" ref="K530:K535" si="1">ROUND(J$39+J530*K$41,4)</f>
        <v>0</v>
      </c>
    </row>
    <row r="531" spans="3:17" x14ac:dyDescent="0.35">
      <c r="F531" s="30">
        <v>1.34</v>
      </c>
      <c r="G531" s="23">
        <v>1</v>
      </c>
      <c r="H531" s="42">
        <f>ROUND($E$39+G531*H$41,4)</f>
        <v>0</v>
      </c>
      <c r="I531" s="32">
        <v>1.51</v>
      </c>
      <c r="J531" s="23">
        <f t="shared" si="0"/>
        <v>1</v>
      </c>
      <c r="K531" s="42">
        <f t="shared" si="1"/>
        <v>0</v>
      </c>
    </row>
    <row r="532" spans="3:17" x14ac:dyDescent="0.35">
      <c r="F532" s="30">
        <v>1.35</v>
      </c>
      <c r="G532" s="23">
        <v>2</v>
      </c>
      <c r="H532" s="42">
        <f>ROUND($E$39+G532*H$41,4)</f>
        <v>0</v>
      </c>
      <c r="I532" s="32">
        <v>1.52</v>
      </c>
      <c r="J532" s="23">
        <f t="shared" si="0"/>
        <v>2</v>
      </c>
      <c r="K532" s="42">
        <f t="shared" si="1"/>
        <v>0</v>
      </c>
    </row>
    <row r="533" spans="3:17" x14ac:dyDescent="0.35">
      <c r="F533" s="30">
        <v>1.36</v>
      </c>
      <c r="G533" s="23">
        <v>3</v>
      </c>
      <c r="H533" s="42">
        <f>ROUND($E$39+G533*H$41,4)</f>
        <v>0</v>
      </c>
      <c r="I533" s="32">
        <v>1.53</v>
      </c>
      <c r="J533" s="23">
        <f t="shared" si="0"/>
        <v>3</v>
      </c>
      <c r="K533" s="42">
        <f t="shared" si="1"/>
        <v>0</v>
      </c>
    </row>
    <row r="534" spans="3:17" x14ac:dyDescent="0.35">
      <c r="F534" s="30">
        <v>1.37</v>
      </c>
      <c r="G534" s="23">
        <v>4</v>
      </c>
      <c r="H534" s="42">
        <f>ROUND($E$39+G534*H$41,4)</f>
        <v>0</v>
      </c>
      <c r="I534" s="32">
        <v>1.54</v>
      </c>
      <c r="J534" s="23">
        <f t="shared" si="0"/>
        <v>4</v>
      </c>
      <c r="K534" s="42">
        <f t="shared" si="1"/>
        <v>0</v>
      </c>
    </row>
    <row r="535" spans="3:17" x14ac:dyDescent="0.35">
      <c r="F535" s="30">
        <v>1.38</v>
      </c>
      <c r="G535" s="23">
        <v>5</v>
      </c>
      <c r="H535" s="42">
        <f>ROUND($E$39+G535*H$41,4)</f>
        <v>0</v>
      </c>
      <c r="I535" s="32">
        <v>1.55</v>
      </c>
      <c r="J535" s="23">
        <f t="shared" si="0"/>
        <v>5</v>
      </c>
      <c r="K535" s="42">
        <f t="shared" si="1"/>
        <v>0</v>
      </c>
    </row>
    <row r="536" spans="3:17" x14ac:dyDescent="0.35">
      <c r="F536" s="30"/>
      <c r="G536" s="23"/>
      <c r="H536" s="42"/>
      <c r="I536" s="32"/>
      <c r="J536" s="23"/>
      <c r="K536" s="42"/>
    </row>
    <row r="537" spans="3:17" x14ac:dyDescent="0.35">
      <c r="C537" s="2" t="s">
        <v>190</v>
      </c>
    </row>
    <row r="538" spans="3:17" x14ac:dyDescent="0.35">
      <c r="E538" t="s">
        <v>191</v>
      </c>
      <c r="F538" t="s">
        <v>192</v>
      </c>
      <c r="G538" s="43" t="s">
        <v>193</v>
      </c>
      <c r="L538" t="s">
        <v>192</v>
      </c>
      <c r="Q538" t="s">
        <v>194</v>
      </c>
    </row>
    <row r="539" spans="3:17" x14ac:dyDescent="0.35">
      <c r="D539">
        <v>2018</v>
      </c>
      <c r="E539" t="s">
        <v>195</v>
      </c>
      <c r="F539" t="s">
        <v>196</v>
      </c>
      <c r="G539" t="s">
        <v>197</v>
      </c>
      <c r="L539" t="s">
        <v>198</v>
      </c>
      <c r="Q539" t="s">
        <v>199</v>
      </c>
    </row>
    <row r="540" spans="3:17" x14ac:dyDescent="0.35">
      <c r="D540">
        <v>2019</v>
      </c>
      <c r="E540" t="s">
        <v>200</v>
      </c>
      <c r="F540" t="s">
        <v>201</v>
      </c>
      <c r="G540" t="s">
        <v>202</v>
      </c>
      <c r="L540" t="s">
        <v>203</v>
      </c>
      <c r="Q540" t="s">
        <v>204</v>
      </c>
    </row>
    <row r="541" spans="3:17" x14ac:dyDescent="0.35">
      <c r="D541">
        <v>2020</v>
      </c>
      <c r="E541" t="s">
        <v>205</v>
      </c>
      <c r="F541" t="s">
        <v>206</v>
      </c>
      <c r="G541" s="43" t="s">
        <v>207</v>
      </c>
      <c r="L541" t="s">
        <v>208</v>
      </c>
      <c r="Q541" t="s">
        <v>209</v>
      </c>
    </row>
    <row r="542" spans="3:17" x14ac:dyDescent="0.35">
      <c r="F542" s="30"/>
      <c r="G542" s="23"/>
      <c r="H542" s="42"/>
      <c r="I542" s="32"/>
      <c r="J542" s="23"/>
      <c r="K542" s="42"/>
    </row>
    <row r="543" spans="3:17" x14ac:dyDescent="0.35">
      <c r="F543" s="30"/>
      <c r="G543" s="23"/>
      <c r="H543" s="42"/>
      <c r="I543" s="32"/>
      <c r="J543" s="23"/>
      <c r="K543" s="42"/>
    </row>
    <row r="545" spans="2:22" x14ac:dyDescent="0.35">
      <c r="C545" s="2" t="s">
        <v>210</v>
      </c>
      <c r="U545" t="s">
        <v>2712</v>
      </c>
    </row>
    <row r="546" spans="2:22" ht="43.5" x14ac:dyDescent="0.35">
      <c r="B546" s="23" t="s">
        <v>211</v>
      </c>
      <c r="D546" t="s">
        <v>212</v>
      </c>
      <c r="E546" t="s">
        <v>213</v>
      </c>
      <c r="F546" t="s">
        <v>211</v>
      </c>
      <c r="G546" t="s">
        <v>214</v>
      </c>
      <c r="H546" t="s">
        <v>215</v>
      </c>
      <c r="I546" t="s">
        <v>216</v>
      </c>
      <c r="J546" t="s">
        <v>217</v>
      </c>
      <c r="K546" s="44" t="s">
        <v>218</v>
      </c>
      <c r="L546" s="44" t="s">
        <v>219</v>
      </c>
      <c r="M546" s="45" t="s">
        <v>220</v>
      </c>
      <c r="N546" s="45" t="s">
        <v>221</v>
      </c>
      <c r="O546" s="45" t="s">
        <v>222</v>
      </c>
      <c r="P546" s="45" t="s">
        <v>223</v>
      </c>
      <c r="Q546" s="44" t="s">
        <v>224</v>
      </c>
      <c r="R546" s="44" t="s">
        <v>225</v>
      </c>
      <c r="S546" s="44" t="s">
        <v>226</v>
      </c>
      <c r="T546" s="44" t="s">
        <v>227</v>
      </c>
      <c r="U546" s="75" t="s">
        <v>2703</v>
      </c>
      <c r="V546" s="75" t="s">
        <v>2702</v>
      </c>
    </row>
    <row r="547" spans="2:22" x14ac:dyDescent="0.35">
      <c r="B547" s="46" t="s">
        <v>228</v>
      </c>
      <c r="D547" t="s">
        <v>229</v>
      </c>
      <c r="E547" t="s">
        <v>230</v>
      </c>
      <c r="F547" s="46" t="s">
        <v>228</v>
      </c>
      <c r="G547" t="s">
        <v>231</v>
      </c>
      <c r="H547" s="23">
        <v>1</v>
      </c>
      <c r="I547" s="23" t="s">
        <v>232</v>
      </c>
      <c r="J547" t="s">
        <v>233</v>
      </c>
      <c r="K547">
        <v>2854</v>
      </c>
      <c r="L547">
        <v>3445</v>
      </c>
      <c r="M547" s="24">
        <v>2881</v>
      </c>
      <c r="N547" s="24">
        <v>3472</v>
      </c>
      <c r="O547" s="24">
        <v>2831</v>
      </c>
      <c r="P547" s="24">
        <v>3375</v>
      </c>
      <c r="Q547">
        <v>2946</v>
      </c>
      <c r="R547">
        <v>3565</v>
      </c>
      <c r="S547">
        <v>3839</v>
      </c>
      <c r="T547">
        <v>4537</v>
      </c>
      <c r="U547">
        <v>3839</v>
      </c>
      <c r="V547">
        <v>4537</v>
      </c>
    </row>
    <row r="548" spans="2:22" x14ac:dyDescent="0.35">
      <c r="B548" s="23" t="s">
        <v>234</v>
      </c>
      <c r="D548" t="s">
        <v>229</v>
      </c>
      <c r="E548" t="s">
        <v>230</v>
      </c>
      <c r="F548" s="46" t="s">
        <v>234</v>
      </c>
      <c r="G548" t="s">
        <v>235</v>
      </c>
      <c r="H548" s="23">
        <v>2</v>
      </c>
      <c r="I548" s="23" t="s">
        <v>236</v>
      </c>
      <c r="J548" t="s">
        <v>237</v>
      </c>
      <c r="K548">
        <v>4049</v>
      </c>
      <c r="L548">
        <v>4998</v>
      </c>
      <c r="M548" s="24">
        <v>4108</v>
      </c>
      <c r="N548" s="24">
        <v>5051</v>
      </c>
      <c r="O548" s="24">
        <v>4009</v>
      </c>
      <c r="P548" s="24">
        <v>4929</v>
      </c>
      <c r="Q548">
        <v>4321</v>
      </c>
      <c r="R548">
        <v>5318</v>
      </c>
      <c r="S548">
        <v>5630</v>
      </c>
      <c r="T548">
        <v>6844</v>
      </c>
      <c r="U548">
        <v>5630</v>
      </c>
      <c r="V548">
        <v>6844</v>
      </c>
    </row>
    <row r="549" spans="2:22" x14ac:dyDescent="0.35">
      <c r="B549" s="23" t="s">
        <v>238</v>
      </c>
      <c r="D549" t="s">
        <v>229</v>
      </c>
      <c r="E549" t="s">
        <v>230</v>
      </c>
      <c r="F549" s="46" t="s">
        <v>238</v>
      </c>
      <c r="G549" t="s">
        <v>239</v>
      </c>
      <c r="H549" s="23">
        <v>3</v>
      </c>
      <c r="I549" s="23" t="s">
        <v>240</v>
      </c>
      <c r="J549" t="s">
        <v>241</v>
      </c>
      <c r="K549">
        <v>411</v>
      </c>
      <c r="L549">
        <v>473</v>
      </c>
      <c r="M549" s="24">
        <v>411</v>
      </c>
      <c r="N549" s="24">
        <v>475</v>
      </c>
      <c r="O549" s="24">
        <v>409</v>
      </c>
      <c r="P549" s="24">
        <v>487</v>
      </c>
      <c r="Q549">
        <v>406</v>
      </c>
      <c r="R549">
        <v>479</v>
      </c>
      <c r="S549">
        <v>530</v>
      </c>
      <c r="T549">
        <v>628</v>
      </c>
      <c r="U549">
        <v>530</v>
      </c>
      <c r="V549">
        <v>628</v>
      </c>
    </row>
    <row r="550" spans="2:22" x14ac:dyDescent="0.35">
      <c r="B550" s="23" t="s">
        <v>242</v>
      </c>
      <c r="D550" t="s">
        <v>229</v>
      </c>
      <c r="E550" t="s">
        <v>230</v>
      </c>
      <c r="F550" s="46" t="s">
        <v>242</v>
      </c>
      <c r="G550" t="s">
        <v>239</v>
      </c>
      <c r="H550" s="23">
        <v>3</v>
      </c>
      <c r="I550" s="23" t="s">
        <v>240</v>
      </c>
      <c r="J550" t="s">
        <v>243</v>
      </c>
      <c r="K550">
        <v>1736</v>
      </c>
      <c r="L550">
        <v>2005</v>
      </c>
      <c r="M550" s="24">
        <v>1630</v>
      </c>
      <c r="N550" s="24">
        <v>1939</v>
      </c>
      <c r="O550" s="24">
        <v>1604</v>
      </c>
      <c r="P550" s="24">
        <v>1871</v>
      </c>
      <c r="Q550">
        <v>1627</v>
      </c>
      <c r="R550">
        <v>1917</v>
      </c>
      <c r="S550">
        <v>1909</v>
      </c>
      <c r="T550">
        <v>2403</v>
      </c>
      <c r="U550">
        <v>1909</v>
      </c>
      <c r="V550">
        <v>2403</v>
      </c>
    </row>
    <row r="551" spans="2:22" x14ac:dyDescent="0.35">
      <c r="B551" s="23" t="s">
        <v>244</v>
      </c>
      <c r="D551" t="s">
        <v>229</v>
      </c>
      <c r="E551" t="s">
        <v>230</v>
      </c>
      <c r="F551" s="46" t="s">
        <v>244</v>
      </c>
      <c r="G551" t="s">
        <v>239</v>
      </c>
      <c r="H551" s="23">
        <v>3</v>
      </c>
      <c r="I551" s="23" t="s">
        <v>240</v>
      </c>
      <c r="J551" t="s">
        <v>245</v>
      </c>
      <c r="K551">
        <v>1379</v>
      </c>
      <c r="L551">
        <v>1609</v>
      </c>
      <c r="M551" s="24">
        <v>1318</v>
      </c>
      <c r="N551" s="24">
        <v>1557</v>
      </c>
      <c r="O551" s="24">
        <v>1267</v>
      </c>
      <c r="P551" s="24">
        <v>1524</v>
      </c>
      <c r="Q551">
        <v>1203</v>
      </c>
      <c r="R551">
        <v>1494</v>
      </c>
      <c r="S551">
        <v>1537</v>
      </c>
      <c r="T551">
        <v>1979</v>
      </c>
      <c r="U551">
        <v>1537</v>
      </c>
      <c r="V551">
        <v>1979</v>
      </c>
    </row>
    <row r="552" spans="2:22" x14ac:dyDescent="0.35">
      <c r="B552" s="23" t="s">
        <v>246</v>
      </c>
      <c r="D552" t="s">
        <v>229</v>
      </c>
      <c r="E552" t="s">
        <v>230</v>
      </c>
      <c r="F552" s="46" t="s">
        <v>246</v>
      </c>
      <c r="G552" t="s">
        <v>239</v>
      </c>
      <c r="H552" s="23">
        <v>3</v>
      </c>
      <c r="I552" s="23" t="s">
        <v>240</v>
      </c>
      <c r="J552" t="s">
        <v>247</v>
      </c>
      <c r="K552">
        <v>16942</v>
      </c>
      <c r="L552">
        <v>21799</v>
      </c>
      <c r="M552" s="24">
        <v>15230</v>
      </c>
      <c r="N552" s="24">
        <v>20070</v>
      </c>
      <c r="O552" s="24">
        <v>13944</v>
      </c>
      <c r="P552" s="24">
        <v>18879</v>
      </c>
      <c r="Q552">
        <v>14917</v>
      </c>
      <c r="R552">
        <v>20036</v>
      </c>
      <c r="S552">
        <v>19655</v>
      </c>
      <c r="T552">
        <v>26662</v>
      </c>
      <c r="U552">
        <v>19655</v>
      </c>
      <c r="V552">
        <v>26662</v>
      </c>
    </row>
    <row r="553" spans="2:22" x14ac:dyDescent="0.35">
      <c r="B553" s="23" t="s">
        <v>248</v>
      </c>
      <c r="D553" t="s">
        <v>229</v>
      </c>
      <c r="E553" t="s">
        <v>230</v>
      </c>
      <c r="F553" s="46" t="s">
        <v>248</v>
      </c>
      <c r="G553" t="s">
        <v>239</v>
      </c>
      <c r="H553" s="23">
        <v>3</v>
      </c>
      <c r="I553" s="23" t="s">
        <v>240</v>
      </c>
      <c r="J553" t="s">
        <v>249</v>
      </c>
      <c r="K553">
        <v>6112</v>
      </c>
      <c r="L553">
        <v>7950</v>
      </c>
      <c r="M553" s="24">
        <v>5715</v>
      </c>
      <c r="N553" s="24">
        <v>7741</v>
      </c>
      <c r="O553" s="24">
        <v>5383</v>
      </c>
      <c r="P553" s="24">
        <v>7288</v>
      </c>
      <c r="Q553">
        <v>5754</v>
      </c>
      <c r="R553">
        <v>7725</v>
      </c>
      <c r="S553">
        <v>7081</v>
      </c>
      <c r="T553">
        <v>9771</v>
      </c>
      <c r="U553">
        <v>7081</v>
      </c>
      <c r="V553">
        <v>9771</v>
      </c>
    </row>
    <row r="554" spans="2:22" x14ac:dyDescent="0.35">
      <c r="B554" s="23" t="s">
        <v>250</v>
      </c>
      <c r="D554" t="s">
        <v>229</v>
      </c>
      <c r="E554" t="s">
        <v>230</v>
      </c>
      <c r="F554" s="46" t="s">
        <v>250</v>
      </c>
      <c r="G554" t="s">
        <v>239</v>
      </c>
      <c r="H554" s="23">
        <v>3</v>
      </c>
      <c r="I554" s="23" t="s">
        <v>240</v>
      </c>
      <c r="J554" t="s">
        <v>251</v>
      </c>
      <c r="K554">
        <v>2457</v>
      </c>
      <c r="L554">
        <v>2939</v>
      </c>
      <c r="M554" s="24">
        <v>2503</v>
      </c>
      <c r="N554" s="24">
        <v>3040</v>
      </c>
      <c r="O554" s="24">
        <v>2411</v>
      </c>
      <c r="P554" s="24">
        <v>2886</v>
      </c>
      <c r="Q554">
        <v>2599</v>
      </c>
      <c r="R554">
        <v>3110</v>
      </c>
      <c r="S554">
        <v>3165</v>
      </c>
      <c r="T554">
        <v>4007</v>
      </c>
      <c r="U554">
        <v>3165</v>
      </c>
      <c r="V554">
        <v>4007</v>
      </c>
    </row>
    <row r="555" spans="2:22" x14ac:dyDescent="0.35">
      <c r="B555" s="23" t="s">
        <v>252</v>
      </c>
      <c r="D555" t="s">
        <v>229</v>
      </c>
      <c r="E555" t="s">
        <v>230</v>
      </c>
      <c r="F555" s="46" t="s">
        <v>252</v>
      </c>
      <c r="G555" t="s">
        <v>239</v>
      </c>
      <c r="H555" s="23">
        <v>3</v>
      </c>
      <c r="I555" s="23" t="s">
        <v>240</v>
      </c>
      <c r="J555" t="s">
        <v>253</v>
      </c>
      <c r="K555">
        <v>1578</v>
      </c>
      <c r="L555">
        <v>1873</v>
      </c>
      <c r="M555" s="24">
        <v>1461</v>
      </c>
      <c r="N555" s="24">
        <v>1782</v>
      </c>
      <c r="O555" s="24">
        <v>1297</v>
      </c>
      <c r="P555" s="24">
        <v>1661</v>
      </c>
      <c r="Q555">
        <v>1421</v>
      </c>
      <c r="R555">
        <v>1791</v>
      </c>
      <c r="S555">
        <v>1830</v>
      </c>
      <c r="T555">
        <v>2364</v>
      </c>
      <c r="U555">
        <v>1830</v>
      </c>
      <c r="V555">
        <v>2364</v>
      </c>
    </row>
    <row r="556" spans="2:22" x14ac:dyDescent="0.35">
      <c r="B556" s="23" t="s">
        <v>254</v>
      </c>
      <c r="D556" t="s">
        <v>229</v>
      </c>
      <c r="E556" t="s">
        <v>230</v>
      </c>
      <c r="F556" s="46" t="s">
        <v>254</v>
      </c>
      <c r="G556" t="s">
        <v>255</v>
      </c>
      <c r="H556" s="23">
        <v>4</v>
      </c>
      <c r="I556" s="23" t="s">
        <v>256</v>
      </c>
      <c r="J556" t="s">
        <v>257</v>
      </c>
      <c r="K556">
        <v>1408</v>
      </c>
      <c r="L556">
        <v>1628</v>
      </c>
      <c r="M556" s="24">
        <v>1350</v>
      </c>
      <c r="N556" s="24">
        <v>1567</v>
      </c>
      <c r="O556" s="24">
        <v>1299</v>
      </c>
      <c r="P556" s="24">
        <v>1507</v>
      </c>
      <c r="Q556">
        <v>1334</v>
      </c>
      <c r="R556">
        <v>1540</v>
      </c>
      <c r="S556">
        <v>1871</v>
      </c>
      <c r="T556">
        <v>2118</v>
      </c>
      <c r="U556">
        <v>1871</v>
      </c>
      <c r="V556">
        <v>2118</v>
      </c>
    </row>
    <row r="557" spans="2:22" x14ac:dyDescent="0.35">
      <c r="B557" s="23" t="s">
        <v>258</v>
      </c>
      <c r="D557" t="s">
        <v>229</v>
      </c>
      <c r="E557" t="s">
        <v>230</v>
      </c>
      <c r="F557" s="46" t="s">
        <v>258</v>
      </c>
      <c r="G557" t="s">
        <v>259</v>
      </c>
      <c r="H557" s="23">
        <v>5</v>
      </c>
      <c r="I557" s="23" t="s">
        <v>260</v>
      </c>
      <c r="J557" t="s">
        <v>261</v>
      </c>
      <c r="K557">
        <v>1118</v>
      </c>
      <c r="L557">
        <v>1323</v>
      </c>
      <c r="M557" s="24">
        <v>1082</v>
      </c>
      <c r="N557" s="24">
        <v>1260</v>
      </c>
      <c r="O557" s="24">
        <v>1022</v>
      </c>
      <c r="P557" s="24">
        <v>1211</v>
      </c>
      <c r="Q557">
        <v>992</v>
      </c>
      <c r="R557">
        <v>1207</v>
      </c>
      <c r="S557">
        <v>1198</v>
      </c>
      <c r="T557">
        <v>1433</v>
      </c>
      <c r="U557">
        <v>1198</v>
      </c>
      <c r="V557">
        <v>1433</v>
      </c>
    </row>
    <row r="558" spans="2:22" x14ac:dyDescent="0.35">
      <c r="B558" s="23" t="s">
        <v>262</v>
      </c>
      <c r="D558" t="s">
        <v>229</v>
      </c>
      <c r="E558" t="s">
        <v>230</v>
      </c>
      <c r="F558" s="46" t="s">
        <v>262</v>
      </c>
      <c r="G558" t="s">
        <v>259</v>
      </c>
      <c r="H558" s="23">
        <v>5</v>
      </c>
      <c r="I558" s="23" t="s">
        <v>260</v>
      </c>
      <c r="J558" t="s">
        <v>263</v>
      </c>
      <c r="K558">
        <v>3935</v>
      </c>
      <c r="L558">
        <v>4686</v>
      </c>
      <c r="M558" s="24">
        <v>3711</v>
      </c>
      <c r="N558" s="24">
        <v>4470</v>
      </c>
      <c r="O558" s="24">
        <v>3527</v>
      </c>
      <c r="P558" s="24">
        <v>4233</v>
      </c>
      <c r="Q558">
        <v>3534</v>
      </c>
      <c r="R558">
        <v>4286</v>
      </c>
      <c r="S558">
        <v>4596</v>
      </c>
      <c r="T558">
        <v>5451</v>
      </c>
      <c r="U558">
        <v>4596</v>
      </c>
      <c r="V558">
        <v>5451</v>
      </c>
    </row>
    <row r="559" spans="2:22" x14ac:dyDescent="0.35">
      <c r="B559" s="23" t="s">
        <v>264</v>
      </c>
      <c r="D559" t="s">
        <v>229</v>
      </c>
      <c r="E559" t="s">
        <v>230</v>
      </c>
      <c r="F559" s="46" t="s">
        <v>264</v>
      </c>
      <c r="G559" t="s">
        <v>265</v>
      </c>
      <c r="H559" s="23">
        <v>6</v>
      </c>
      <c r="I559" s="23" t="s">
        <v>266</v>
      </c>
      <c r="J559" t="s">
        <v>267</v>
      </c>
      <c r="K559">
        <v>705</v>
      </c>
      <c r="L559">
        <v>794</v>
      </c>
      <c r="M559" s="24">
        <v>712</v>
      </c>
      <c r="N559" s="24">
        <v>823</v>
      </c>
      <c r="O559" s="24">
        <v>685</v>
      </c>
      <c r="P559" s="24">
        <v>804</v>
      </c>
      <c r="Q559">
        <v>735</v>
      </c>
      <c r="R559">
        <v>863</v>
      </c>
      <c r="S559">
        <v>1014</v>
      </c>
      <c r="T559">
        <v>1172</v>
      </c>
      <c r="U559">
        <v>1014</v>
      </c>
      <c r="V559">
        <v>1172</v>
      </c>
    </row>
    <row r="560" spans="2:22" x14ac:dyDescent="0.35">
      <c r="B560" s="23" t="s">
        <v>268</v>
      </c>
      <c r="D560" t="s">
        <v>229</v>
      </c>
      <c r="E560" t="s">
        <v>230</v>
      </c>
      <c r="F560" s="46" t="s">
        <v>268</v>
      </c>
      <c r="G560" t="s">
        <v>265</v>
      </c>
      <c r="H560" s="23">
        <v>6</v>
      </c>
      <c r="I560" s="23" t="s">
        <v>266</v>
      </c>
      <c r="J560" t="s">
        <v>269</v>
      </c>
      <c r="K560">
        <v>503</v>
      </c>
      <c r="L560">
        <v>596</v>
      </c>
      <c r="M560" s="24">
        <v>506</v>
      </c>
      <c r="N560" s="24">
        <v>615</v>
      </c>
      <c r="O560" s="24">
        <v>508</v>
      </c>
      <c r="P560" s="24">
        <v>605</v>
      </c>
      <c r="Q560">
        <v>512</v>
      </c>
      <c r="R560">
        <v>601</v>
      </c>
      <c r="S560">
        <v>682</v>
      </c>
      <c r="T560">
        <v>824</v>
      </c>
      <c r="U560">
        <v>682</v>
      </c>
      <c r="V560">
        <v>824</v>
      </c>
    </row>
    <row r="561" spans="2:22" x14ac:dyDescent="0.35">
      <c r="B561" s="23" t="s">
        <v>270</v>
      </c>
      <c r="D561" t="s">
        <v>229</v>
      </c>
      <c r="E561" t="s">
        <v>230</v>
      </c>
      <c r="F561" s="46" t="s">
        <v>270</v>
      </c>
      <c r="G561" t="s">
        <v>265</v>
      </c>
      <c r="H561" s="23">
        <v>6</v>
      </c>
      <c r="I561" s="23" t="s">
        <v>266</v>
      </c>
      <c r="J561" t="s">
        <v>271</v>
      </c>
      <c r="K561">
        <v>3024</v>
      </c>
      <c r="L561">
        <v>3628</v>
      </c>
      <c r="M561" s="24">
        <v>3000</v>
      </c>
      <c r="N561" s="24">
        <v>3642</v>
      </c>
      <c r="O561" s="24">
        <v>2919</v>
      </c>
      <c r="P561" s="24">
        <v>3561</v>
      </c>
      <c r="Q561">
        <v>3050</v>
      </c>
      <c r="R561">
        <v>3711</v>
      </c>
      <c r="S561">
        <v>4185</v>
      </c>
      <c r="T561">
        <v>5027</v>
      </c>
      <c r="U561">
        <v>4185</v>
      </c>
      <c r="V561">
        <v>5027</v>
      </c>
    </row>
    <row r="562" spans="2:22" x14ac:dyDescent="0.35">
      <c r="B562" s="23" t="s">
        <v>272</v>
      </c>
      <c r="D562" t="s">
        <v>229</v>
      </c>
      <c r="E562" t="s">
        <v>230</v>
      </c>
      <c r="F562" s="46" t="s">
        <v>272</v>
      </c>
      <c r="G562" t="s">
        <v>273</v>
      </c>
      <c r="H562" s="23">
        <v>7</v>
      </c>
      <c r="I562" s="23" t="s">
        <v>274</v>
      </c>
      <c r="J562" t="s">
        <v>275</v>
      </c>
      <c r="K562">
        <v>1709</v>
      </c>
      <c r="L562">
        <v>1988</v>
      </c>
      <c r="M562" s="24">
        <v>1565</v>
      </c>
      <c r="N562" s="24">
        <v>1870</v>
      </c>
      <c r="O562" s="24">
        <v>1535</v>
      </c>
      <c r="P562" s="24">
        <v>1834</v>
      </c>
      <c r="Q562">
        <v>1607</v>
      </c>
      <c r="R562">
        <v>1912</v>
      </c>
      <c r="S562">
        <v>2178</v>
      </c>
      <c r="T562">
        <v>2524</v>
      </c>
      <c r="U562">
        <v>2178</v>
      </c>
      <c r="V562">
        <v>2524</v>
      </c>
    </row>
    <row r="563" spans="2:22" x14ac:dyDescent="0.35">
      <c r="B563" s="23" t="s">
        <v>276</v>
      </c>
      <c r="D563" t="s">
        <v>229</v>
      </c>
      <c r="E563" t="s">
        <v>230</v>
      </c>
      <c r="F563" s="46" t="s">
        <v>276</v>
      </c>
      <c r="G563" t="s">
        <v>273</v>
      </c>
      <c r="H563" s="23">
        <v>7</v>
      </c>
      <c r="I563" s="23" t="s">
        <v>274</v>
      </c>
      <c r="J563" t="s">
        <v>277</v>
      </c>
      <c r="K563">
        <v>3041</v>
      </c>
      <c r="L563">
        <v>3696</v>
      </c>
      <c r="M563" s="24">
        <v>2943</v>
      </c>
      <c r="N563" s="24">
        <v>3554</v>
      </c>
      <c r="O563" s="24">
        <v>2878</v>
      </c>
      <c r="P563" s="24">
        <v>3435</v>
      </c>
      <c r="Q563">
        <v>2933</v>
      </c>
      <c r="R563">
        <v>3540</v>
      </c>
      <c r="S563">
        <v>3726</v>
      </c>
      <c r="T563">
        <v>4473</v>
      </c>
      <c r="U563">
        <v>3726</v>
      </c>
      <c r="V563">
        <v>4473</v>
      </c>
    </row>
    <row r="564" spans="2:22" x14ac:dyDescent="0.35">
      <c r="B564" s="23" t="s">
        <v>278</v>
      </c>
      <c r="D564" t="s">
        <v>229</v>
      </c>
      <c r="E564" t="s">
        <v>230</v>
      </c>
      <c r="F564" s="46" t="s">
        <v>278</v>
      </c>
      <c r="G564" t="s">
        <v>279</v>
      </c>
      <c r="H564" s="23">
        <v>8</v>
      </c>
      <c r="I564" s="23" t="s">
        <v>280</v>
      </c>
      <c r="J564" t="s">
        <v>281</v>
      </c>
      <c r="K564">
        <v>3617</v>
      </c>
      <c r="L564">
        <v>4127</v>
      </c>
      <c r="M564" s="24">
        <v>3474</v>
      </c>
      <c r="N564" s="24">
        <v>4026</v>
      </c>
      <c r="O564" s="24">
        <v>3415</v>
      </c>
      <c r="P564" s="24">
        <v>3932</v>
      </c>
      <c r="Q564">
        <v>3617</v>
      </c>
      <c r="R564">
        <v>4183</v>
      </c>
      <c r="S564">
        <v>4338</v>
      </c>
      <c r="T564">
        <v>5042</v>
      </c>
      <c r="U564">
        <v>4338</v>
      </c>
      <c r="V564">
        <v>5042</v>
      </c>
    </row>
    <row r="565" spans="2:22" x14ac:dyDescent="0.35">
      <c r="B565" s="23" t="s">
        <v>282</v>
      </c>
      <c r="D565" t="s">
        <v>229</v>
      </c>
      <c r="E565" t="s">
        <v>230</v>
      </c>
      <c r="F565" s="46" t="s">
        <v>282</v>
      </c>
      <c r="G565" t="s">
        <v>283</v>
      </c>
      <c r="H565" s="23">
        <v>9</v>
      </c>
      <c r="I565" s="23" t="s">
        <v>284</v>
      </c>
      <c r="J565" t="s">
        <v>285</v>
      </c>
      <c r="K565">
        <v>2308</v>
      </c>
      <c r="L565">
        <v>2840</v>
      </c>
      <c r="M565" s="24">
        <v>2341</v>
      </c>
      <c r="N565" s="24">
        <v>2920</v>
      </c>
      <c r="O565" s="24">
        <v>2336</v>
      </c>
      <c r="P565" s="24">
        <v>2831</v>
      </c>
      <c r="Q565">
        <v>2522</v>
      </c>
      <c r="R565">
        <v>3097</v>
      </c>
      <c r="S565">
        <v>3336</v>
      </c>
      <c r="T565">
        <v>4059</v>
      </c>
      <c r="U565">
        <v>3336</v>
      </c>
      <c r="V565">
        <v>4059</v>
      </c>
    </row>
    <row r="566" spans="2:22" x14ac:dyDescent="0.35">
      <c r="B566" s="23" t="s">
        <v>286</v>
      </c>
      <c r="D566" t="s">
        <v>229</v>
      </c>
      <c r="E566" t="s">
        <v>230</v>
      </c>
      <c r="F566" s="46" t="s">
        <v>286</v>
      </c>
      <c r="G566" t="s">
        <v>283</v>
      </c>
      <c r="H566" s="23">
        <v>9</v>
      </c>
      <c r="I566" s="23" t="s">
        <v>284</v>
      </c>
      <c r="J566" t="s">
        <v>287</v>
      </c>
      <c r="K566">
        <v>11367</v>
      </c>
      <c r="L566">
        <v>14152</v>
      </c>
      <c r="M566" s="24">
        <v>11398</v>
      </c>
      <c r="N566" s="24">
        <v>14195</v>
      </c>
      <c r="O566" s="24">
        <v>11035</v>
      </c>
      <c r="P566" s="24">
        <v>13668</v>
      </c>
      <c r="Q566">
        <v>11462</v>
      </c>
      <c r="R566">
        <v>14418</v>
      </c>
      <c r="S566">
        <v>14614</v>
      </c>
      <c r="T566">
        <v>18060</v>
      </c>
      <c r="U566">
        <v>14614</v>
      </c>
      <c r="V566">
        <v>18060</v>
      </c>
    </row>
    <row r="567" spans="2:22" x14ac:dyDescent="0.35">
      <c r="B567" s="23" t="s">
        <v>288</v>
      </c>
      <c r="D567" t="s">
        <v>229</v>
      </c>
      <c r="E567" t="s">
        <v>230</v>
      </c>
      <c r="F567" s="46" t="s">
        <v>288</v>
      </c>
      <c r="G567" t="s">
        <v>289</v>
      </c>
      <c r="H567" s="23">
        <v>10</v>
      </c>
      <c r="I567" s="23" t="s">
        <v>290</v>
      </c>
      <c r="J567" t="s">
        <v>291</v>
      </c>
      <c r="K567">
        <v>14278</v>
      </c>
      <c r="L567">
        <v>16813</v>
      </c>
      <c r="M567" s="24">
        <v>14277</v>
      </c>
      <c r="N567" s="24">
        <v>16833</v>
      </c>
      <c r="O567" s="24">
        <v>14195</v>
      </c>
      <c r="P567" s="24">
        <v>16676</v>
      </c>
      <c r="Q567">
        <v>15137</v>
      </c>
      <c r="R567">
        <v>17855</v>
      </c>
      <c r="S567">
        <v>20110</v>
      </c>
      <c r="T567">
        <v>23642</v>
      </c>
      <c r="U567">
        <v>20110</v>
      </c>
      <c r="V567">
        <v>23642</v>
      </c>
    </row>
    <row r="568" spans="2:22" x14ac:dyDescent="0.35">
      <c r="B568" s="23" t="s">
        <v>292</v>
      </c>
      <c r="D568" t="s">
        <v>229</v>
      </c>
      <c r="E568" t="s">
        <v>230</v>
      </c>
      <c r="F568" s="46" t="s">
        <v>292</v>
      </c>
      <c r="G568" t="s">
        <v>293</v>
      </c>
      <c r="H568" s="23">
        <v>11</v>
      </c>
      <c r="I568" s="23" t="s">
        <v>294</v>
      </c>
      <c r="J568" t="s">
        <v>295</v>
      </c>
      <c r="K568">
        <v>1399</v>
      </c>
      <c r="L568">
        <v>1681</v>
      </c>
      <c r="M568" s="24">
        <v>1424</v>
      </c>
      <c r="N568" s="24">
        <v>1722</v>
      </c>
      <c r="O568" s="24">
        <v>1367</v>
      </c>
      <c r="P568" s="24">
        <v>1658</v>
      </c>
      <c r="Q568">
        <v>1519</v>
      </c>
      <c r="R568">
        <v>1830</v>
      </c>
      <c r="S568">
        <v>1928</v>
      </c>
      <c r="T568">
        <v>2333</v>
      </c>
      <c r="U568">
        <v>1928</v>
      </c>
      <c r="V568">
        <v>2333</v>
      </c>
    </row>
    <row r="569" spans="2:22" x14ac:dyDescent="0.35">
      <c r="B569" s="23" t="s">
        <v>296</v>
      </c>
      <c r="D569" t="s">
        <v>229</v>
      </c>
      <c r="E569" t="s">
        <v>230</v>
      </c>
      <c r="F569" s="46" t="s">
        <v>296</v>
      </c>
      <c r="G569" t="s">
        <v>293</v>
      </c>
      <c r="H569" s="23">
        <v>11</v>
      </c>
      <c r="I569" s="23" t="s">
        <v>294</v>
      </c>
      <c r="J569" t="s">
        <v>297</v>
      </c>
      <c r="K569">
        <v>1965</v>
      </c>
      <c r="L569">
        <v>2400</v>
      </c>
      <c r="M569" s="24">
        <v>1949</v>
      </c>
      <c r="N569" s="24">
        <v>2385</v>
      </c>
      <c r="O569" s="24">
        <v>1938</v>
      </c>
      <c r="P569" s="24">
        <v>2381</v>
      </c>
      <c r="Q569">
        <v>2078</v>
      </c>
      <c r="R569">
        <v>2547</v>
      </c>
      <c r="S569">
        <v>2769</v>
      </c>
      <c r="T569">
        <v>3297</v>
      </c>
      <c r="U569">
        <v>2769</v>
      </c>
      <c r="V569">
        <v>3297</v>
      </c>
    </row>
    <row r="570" spans="2:22" x14ac:dyDescent="0.35">
      <c r="B570" s="23" t="s">
        <v>298</v>
      </c>
      <c r="D570" t="s">
        <v>229</v>
      </c>
      <c r="E570" t="s">
        <v>230</v>
      </c>
      <c r="F570" s="46" t="s">
        <v>298</v>
      </c>
      <c r="G570" t="s">
        <v>293</v>
      </c>
      <c r="H570" s="23">
        <v>11</v>
      </c>
      <c r="I570" s="23" t="s">
        <v>294</v>
      </c>
      <c r="J570" t="s">
        <v>299</v>
      </c>
      <c r="K570">
        <v>287</v>
      </c>
      <c r="L570">
        <v>330</v>
      </c>
      <c r="M570" s="24">
        <v>281</v>
      </c>
      <c r="N570" s="24">
        <v>321</v>
      </c>
      <c r="O570" s="24">
        <v>266</v>
      </c>
      <c r="P570" s="24">
        <v>307</v>
      </c>
      <c r="Q570">
        <v>276</v>
      </c>
      <c r="R570">
        <v>334</v>
      </c>
      <c r="S570">
        <v>378</v>
      </c>
      <c r="T570">
        <v>439</v>
      </c>
      <c r="U570">
        <v>378</v>
      </c>
      <c r="V570">
        <v>439</v>
      </c>
    </row>
    <row r="571" spans="2:22" x14ac:dyDescent="0.35">
      <c r="B571" s="23" t="s">
        <v>300</v>
      </c>
      <c r="D571" t="s">
        <v>229</v>
      </c>
      <c r="E571" t="s">
        <v>230</v>
      </c>
      <c r="F571" s="46" t="s">
        <v>300</v>
      </c>
      <c r="G571" t="s">
        <v>293</v>
      </c>
      <c r="H571" s="23">
        <v>11</v>
      </c>
      <c r="I571" s="23" t="s">
        <v>294</v>
      </c>
      <c r="J571" t="s">
        <v>301</v>
      </c>
      <c r="K571">
        <v>5885</v>
      </c>
      <c r="L571">
        <v>7095</v>
      </c>
      <c r="M571" s="24">
        <v>5719</v>
      </c>
      <c r="N571" s="24">
        <v>6987</v>
      </c>
      <c r="O571" s="24">
        <v>5651</v>
      </c>
      <c r="P571" s="24">
        <v>6771</v>
      </c>
      <c r="Q571">
        <v>5995</v>
      </c>
      <c r="R571">
        <v>7227</v>
      </c>
      <c r="S571">
        <v>8280</v>
      </c>
      <c r="T571">
        <v>9708</v>
      </c>
      <c r="U571">
        <v>8280</v>
      </c>
      <c r="V571">
        <v>9708</v>
      </c>
    </row>
    <row r="572" spans="2:22" x14ac:dyDescent="0.35">
      <c r="B572" s="23" t="s">
        <v>302</v>
      </c>
      <c r="D572" t="s">
        <v>229</v>
      </c>
      <c r="E572" t="s">
        <v>230</v>
      </c>
      <c r="F572" s="46" t="s">
        <v>302</v>
      </c>
      <c r="G572" t="s">
        <v>303</v>
      </c>
      <c r="H572" s="23">
        <v>12</v>
      </c>
      <c r="I572" s="23" t="s">
        <v>304</v>
      </c>
      <c r="J572" t="s">
        <v>305</v>
      </c>
      <c r="K572">
        <v>228</v>
      </c>
      <c r="L572">
        <v>260</v>
      </c>
      <c r="M572" s="24">
        <v>227</v>
      </c>
      <c r="N572" s="24">
        <v>255</v>
      </c>
      <c r="O572" s="24">
        <v>202</v>
      </c>
      <c r="P572" s="24">
        <v>223</v>
      </c>
      <c r="Q572">
        <v>199</v>
      </c>
      <c r="R572">
        <v>226</v>
      </c>
      <c r="S572">
        <v>256</v>
      </c>
      <c r="T572">
        <v>293</v>
      </c>
      <c r="U572">
        <v>256</v>
      </c>
      <c r="V572">
        <v>293</v>
      </c>
    </row>
    <row r="573" spans="2:22" x14ac:dyDescent="0.35">
      <c r="B573" s="23" t="s">
        <v>306</v>
      </c>
      <c r="D573" t="s">
        <v>229</v>
      </c>
      <c r="E573" t="s">
        <v>230</v>
      </c>
      <c r="F573" s="46" t="s">
        <v>306</v>
      </c>
      <c r="G573" t="s">
        <v>303</v>
      </c>
      <c r="H573" s="23">
        <v>12</v>
      </c>
      <c r="I573" s="23" t="s">
        <v>304</v>
      </c>
      <c r="J573" t="s">
        <v>307</v>
      </c>
      <c r="K573">
        <v>392</v>
      </c>
      <c r="L573">
        <v>461</v>
      </c>
      <c r="M573" s="24">
        <v>366</v>
      </c>
      <c r="N573" s="24">
        <v>420</v>
      </c>
      <c r="O573" s="24">
        <v>391</v>
      </c>
      <c r="P573" s="24">
        <v>442</v>
      </c>
      <c r="Q573">
        <v>411</v>
      </c>
      <c r="R573">
        <v>483</v>
      </c>
      <c r="S573">
        <v>545</v>
      </c>
      <c r="T573">
        <v>620</v>
      </c>
      <c r="U573">
        <v>545</v>
      </c>
      <c r="V573">
        <v>620</v>
      </c>
    </row>
    <row r="574" spans="2:22" x14ac:dyDescent="0.35">
      <c r="B574" s="23" t="s">
        <v>308</v>
      </c>
      <c r="D574" t="s">
        <v>229</v>
      </c>
      <c r="E574" t="s">
        <v>230</v>
      </c>
      <c r="F574" s="46" t="s">
        <v>308</v>
      </c>
      <c r="G574" t="s">
        <v>303</v>
      </c>
      <c r="H574" s="23">
        <v>12</v>
      </c>
      <c r="I574" s="23" t="s">
        <v>304</v>
      </c>
      <c r="J574" t="s">
        <v>309</v>
      </c>
      <c r="K574">
        <v>4647</v>
      </c>
      <c r="L574">
        <v>5734</v>
      </c>
      <c r="M574" s="24">
        <v>4318</v>
      </c>
      <c r="N574" s="24">
        <v>5367</v>
      </c>
      <c r="O574" s="24">
        <v>4145</v>
      </c>
      <c r="P574" s="24">
        <v>5142</v>
      </c>
      <c r="Q574">
        <v>4284</v>
      </c>
      <c r="R574">
        <v>5346</v>
      </c>
      <c r="S574">
        <v>5734</v>
      </c>
      <c r="T574">
        <v>7064</v>
      </c>
      <c r="U574">
        <v>5734</v>
      </c>
      <c r="V574">
        <v>7064</v>
      </c>
    </row>
    <row r="575" spans="2:22" x14ac:dyDescent="0.35">
      <c r="B575" s="23" t="s">
        <v>310</v>
      </c>
      <c r="D575" t="s">
        <v>229</v>
      </c>
      <c r="E575" t="s">
        <v>230</v>
      </c>
      <c r="F575" s="46" t="s">
        <v>310</v>
      </c>
      <c r="G575" t="s">
        <v>311</v>
      </c>
      <c r="H575" s="23">
        <v>13</v>
      </c>
      <c r="I575" s="23" t="s">
        <v>312</v>
      </c>
      <c r="J575" t="s">
        <v>313</v>
      </c>
      <c r="K575">
        <v>8956</v>
      </c>
      <c r="L575">
        <v>11173</v>
      </c>
      <c r="M575" s="24">
        <v>8746</v>
      </c>
      <c r="N575" s="24">
        <v>10989</v>
      </c>
      <c r="O575" s="24">
        <v>8570</v>
      </c>
      <c r="P575" s="24">
        <v>10765</v>
      </c>
      <c r="Q575">
        <v>9320</v>
      </c>
      <c r="R575">
        <v>11716</v>
      </c>
      <c r="S575">
        <v>12347</v>
      </c>
      <c r="T575">
        <v>15550</v>
      </c>
      <c r="U575">
        <v>12347</v>
      </c>
      <c r="V575">
        <v>15550</v>
      </c>
    </row>
    <row r="576" spans="2:22" x14ac:dyDescent="0.35">
      <c r="B576" s="23" t="s">
        <v>314</v>
      </c>
      <c r="D576" t="s">
        <v>229</v>
      </c>
      <c r="E576" t="s">
        <v>230</v>
      </c>
      <c r="F576" s="46" t="s">
        <v>314</v>
      </c>
      <c r="G576" t="s">
        <v>311</v>
      </c>
      <c r="H576" s="23">
        <v>13</v>
      </c>
      <c r="I576" s="23" t="s">
        <v>312</v>
      </c>
      <c r="J576" t="s">
        <v>315</v>
      </c>
      <c r="K576">
        <v>596</v>
      </c>
      <c r="L576">
        <v>702</v>
      </c>
      <c r="M576" s="24">
        <v>544</v>
      </c>
      <c r="N576" s="24">
        <v>660</v>
      </c>
      <c r="O576" s="24">
        <v>527</v>
      </c>
      <c r="P576" s="24">
        <v>642</v>
      </c>
      <c r="Q576">
        <v>523</v>
      </c>
      <c r="R576">
        <v>634</v>
      </c>
      <c r="S576">
        <v>703</v>
      </c>
      <c r="T576">
        <v>845</v>
      </c>
      <c r="U576">
        <v>703</v>
      </c>
      <c r="V576">
        <v>845</v>
      </c>
    </row>
    <row r="577" spans="2:22" x14ac:dyDescent="0.35">
      <c r="B577" s="23" t="s">
        <v>316</v>
      </c>
      <c r="D577" t="s">
        <v>229</v>
      </c>
      <c r="E577" t="s">
        <v>230</v>
      </c>
      <c r="F577" s="46" t="s">
        <v>316</v>
      </c>
      <c r="G577" t="s">
        <v>311</v>
      </c>
      <c r="H577" s="23">
        <v>13</v>
      </c>
      <c r="I577" s="23" t="s">
        <v>312</v>
      </c>
      <c r="J577" t="s">
        <v>317</v>
      </c>
      <c r="K577">
        <v>269</v>
      </c>
      <c r="L577">
        <v>304</v>
      </c>
      <c r="M577" s="24">
        <v>255</v>
      </c>
      <c r="N577" s="24">
        <v>280</v>
      </c>
      <c r="O577" s="24">
        <v>258</v>
      </c>
      <c r="P577" s="24">
        <v>286</v>
      </c>
      <c r="Q577">
        <v>266</v>
      </c>
      <c r="R577">
        <v>296</v>
      </c>
      <c r="S577">
        <v>360</v>
      </c>
      <c r="T577">
        <v>401</v>
      </c>
      <c r="U577">
        <v>360</v>
      </c>
      <c r="V577">
        <v>401</v>
      </c>
    </row>
    <row r="578" spans="2:22" x14ac:dyDescent="0.35">
      <c r="B578" s="23" t="s">
        <v>318</v>
      </c>
      <c r="D578" t="s">
        <v>229</v>
      </c>
      <c r="E578" t="s">
        <v>230</v>
      </c>
      <c r="F578" s="46" t="s">
        <v>318</v>
      </c>
      <c r="G578" t="s">
        <v>311</v>
      </c>
      <c r="H578" s="23">
        <v>13</v>
      </c>
      <c r="I578" s="23" t="s">
        <v>312</v>
      </c>
      <c r="J578" t="s">
        <v>319</v>
      </c>
      <c r="K578">
        <v>589</v>
      </c>
      <c r="L578">
        <v>690</v>
      </c>
      <c r="M578" s="24">
        <v>560</v>
      </c>
      <c r="N578" s="24">
        <v>635</v>
      </c>
      <c r="O578" s="24">
        <v>523</v>
      </c>
      <c r="P578" s="24">
        <v>614</v>
      </c>
      <c r="Q578">
        <v>553</v>
      </c>
      <c r="R578">
        <v>636</v>
      </c>
      <c r="S578">
        <v>695</v>
      </c>
      <c r="T578">
        <v>781</v>
      </c>
      <c r="U578">
        <v>695</v>
      </c>
      <c r="V578">
        <v>781</v>
      </c>
    </row>
    <row r="579" spans="2:22" x14ac:dyDescent="0.35">
      <c r="B579" s="23" t="s">
        <v>320</v>
      </c>
      <c r="D579" t="s">
        <v>229</v>
      </c>
      <c r="E579" t="s">
        <v>230</v>
      </c>
      <c r="F579" s="46" t="s">
        <v>320</v>
      </c>
      <c r="G579" t="s">
        <v>311</v>
      </c>
      <c r="H579" s="23">
        <v>13</v>
      </c>
      <c r="I579" s="23" t="s">
        <v>312</v>
      </c>
      <c r="J579" t="s">
        <v>321</v>
      </c>
      <c r="K579">
        <v>852</v>
      </c>
      <c r="L579">
        <v>973</v>
      </c>
      <c r="M579" s="24">
        <v>831</v>
      </c>
      <c r="N579" s="24">
        <v>963</v>
      </c>
      <c r="O579" s="24">
        <v>785</v>
      </c>
      <c r="P579" s="24">
        <v>937</v>
      </c>
      <c r="Q579">
        <v>855</v>
      </c>
      <c r="R579">
        <v>1003</v>
      </c>
      <c r="S579">
        <v>1301</v>
      </c>
      <c r="T579">
        <v>1486</v>
      </c>
      <c r="U579">
        <v>1301</v>
      </c>
      <c r="V579">
        <v>1486</v>
      </c>
    </row>
    <row r="580" spans="2:22" x14ac:dyDescent="0.35">
      <c r="B580" s="23" t="s">
        <v>322</v>
      </c>
      <c r="D580" t="s">
        <v>229</v>
      </c>
      <c r="E580" t="s">
        <v>230</v>
      </c>
      <c r="F580" s="46" t="s">
        <v>322</v>
      </c>
      <c r="G580" t="s">
        <v>311</v>
      </c>
      <c r="H580" s="23">
        <v>13</v>
      </c>
      <c r="I580" s="23" t="s">
        <v>312</v>
      </c>
      <c r="J580" t="s">
        <v>323</v>
      </c>
      <c r="K580">
        <v>705</v>
      </c>
      <c r="L580">
        <v>827</v>
      </c>
      <c r="M580" s="24">
        <v>723</v>
      </c>
      <c r="N580" s="24">
        <v>831</v>
      </c>
      <c r="O580" s="24">
        <v>712</v>
      </c>
      <c r="P580" s="24">
        <v>821</v>
      </c>
      <c r="Q580">
        <v>783</v>
      </c>
      <c r="R580">
        <v>914</v>
      </c>
      <c r="S580">
        <v>1046</v>
      </c>
      <c r="T580">
        <v>1204</v>
      </c>
      <c r="U580">
        <v>1046</v>
      </c>
      <c r="V580">
        <v>1204</v>
      </c>
    </row>
    <row r="581" spans="2:22" x14ac:dyDescent="0.35">
      <c r="B581" s="23" t="s">
        <v>324</v>
      </c>
      <c r="D581" t="s">
        <v>229</v>
      </c>
      <c r="E581" t="s">
        <v>230</v>
      </c>
      <c r="F581" s="46" t="s">
        <v>324</v>
      </c>
      <c r="G581" t="s">
        <v>311</v>
      </c>
      <c r="H581" s="23">
        <v>13</v>
      </c>
      <c r="I581" s="23" t="s">
        <v>312</v>
      </c>
      <c r="J581" t="s">
        <v>325</v>
      </c>
      <c r="K581">
        <v>453</v>
      </c>
      <c r="L581">
        <v>531</v>
      </c>
      <c r="M581" s="24">
        <v>438</v>
      </c>
      <c r="N581" s="24">
        <v>504</v>
      </c>
      <c r="O581" s="24">
        <v>384</v>
      </c>
      <c r="P581" s="24">
        <v>435</v>
      </c>
      <c r="Q581">
        <v>392</v>
      </c>
      <c r="R581">
        <v>443</v>
      </c>
      <c r="S581">
        <v>501</v>
      </c>
      <c r="T581">
        <v>581</v>
      </c>
      <c r="U581">
        <v>501</v>
      </c>
      <c r="V581">
        <v>581</v>
      </c>
    </row>
    <row r="582" spans="2:22" x14ac:dyDescent="0.35">
      <c r="B582" s="23" t="s">
        <v>326</v>
      </c>
      <c r="D582" t="s">
        <v>229</v>
      </c>
      <c r="E582" t="s">
        <v>230</v>
      </c>
      <c r="F582" s="46" t="s">
        <v>326</v>
      </c>
      <c r="G582" t="s">
        <v>311</v>
      </c>
      <c r="H582" s="23">
        <v>13</v>
      </c>
      <c r="I582" s="23" t="s">
        <v>312</v>
      </c>
      <c r="J582" t="s">
        <v>327</v>
      </c>
      <c r="K582">
        <v>905</v>
      </c>
      <c r="L582">
        <v>1054</v>
      </c>
      <c r="M582" s="24">
        <v>852</v>
      </c>
      <c r="N582" s="24">
        <v>982</v>
      </c>
      <c r="O582" s="24">
        <v>786</v>
      </c>
      <c r="P582" s="24">
        <v>898</v>
      </c>
      <c r="Q582">
        <v>752</v>
      </c>
      <c r="R582">
        <v>901</v>
      </c>
      <c r="S582">
        <v>993</v>
      </c>
      <c r="T582">
        <v>1152</v>
      </c>
      <c r="U582">
        <v>993</v>
      </c>
      <c r="V582">
        <v>1152</v>
      </c>
    </row>
    <row r="583" spans="2:22" x14ac:dyDescent="0.35">
      <c r="B583" s="23" t="s">
        <v>328</v>
      </c>
      <c r="D583" t="s">
        <v>229</v>
      </c>
      <c r="E583" t="s">
        <v>230</v>
      </c>
      <c r="F583" s="46" t="s">
        <v>328</v>
      </c>
      <c r="G583" t="s">
        <v>311</v>
      </c>
      <c r="H583" s="23">
        <v>13</v>
      </c>
      <c r="I583" s="23" t="s">
        <v>312</v>
      </c>
      <c r="J583" t="s">
        <v>329</v>
      </c>
      <c r="K583">
        <v>329</v>
      </c>
      <c r="L583">
        <v>409</v>
      </c>
      <c r="M583" s="24">
        <v>326</v>
      </c>
      <c r="N583" s="24">
        <v>404</v>
      </c>
      <c r="O583" s="24">
        <v>348</v>
      </c>
      <c r="P583" s="24">
        <v>417</v>
      </c>
      <c r="Q583">
        <v>328</v>
      </c>
      <c r="R583">
        <v>393</v>
      </c>
      <c r="S583">
        <v>428</v>
      </c>
      <c r="T583">
        <v>502</v>
      </c>
      <c r="U583">
        <v>428</v>
      </c>
      <c r="V583">
        <v>502</v>
      </c>
    </row>
    <row r="584" spans="2:22" x14ac:dyDescent="0.35">
      <c r="B584" s="23" t="s">
        <v>330</v>
      </c>
      <c r="D584" t="s">
        <v>229</v>
      </c>
      <c r="E584" t="s">
        <v>230</v>
      </c>
      <c r="F584" s="46" t="s">
        <v>330</v>
      </c>
      <c r="G584" t="s">
        <v>311</v>
      </c>
      <c r="H584" s="23">
        <v>13</v>
      </c>
      <c r="I584" s="23" t="s">
        <v>312</v>
      </c>
      <c r="J584" t="s">
        <v>331</v>
      </c>
      <c r="K584">
        <v>434</v>
      </c>
      <c r="L584">
        <v>522</v>
      </c>
      <c r="M584" s="24">
        <v>407</v>
      </c>
      <c r="N584" s="24">
        <v>497</v>
      </c>
      <c r="O584" s="24">
        <v>384</v>
      </c>
      <c r="P584" s="24">
        <v>461</v>
      </c>
      <c r="Q584">
        <v>381</v>
      </c>
      <c r="R584">
        <v>480</v>
      </c>
      <c r="S584">
        <v>513</v>
      </c>
      <c r="T584">
        <v>633</v>
      </c>
      <c r="U584">
        <v>513</v>
      </c>
      <c r="V584">
        <v>633</v>
      </c>
    </row>
    <row r="585" spans="2:22" x14ac:dyDescent="0.35">
      <c r="B585" s="23" t="s">
        <v>332</v>
      </c>
      <c r="D585" t="s">
        <v>229</v>
      </c>
      <c r="E585" t="s">
        <v>230</v>
      </c>
      <c r="F585" s="46" t="s">
        <v>332</v>
      </c>
      <c r="G585" t="s">
        <v>311</v>
      </c>
      <c r="H585" s="23">
        <v>13</v>
      </c>
      <c r="I585" s="23" t="s">
        <v>312</v>
      </c>
      <c r="J585" t="s">
        <v>333</v>
      </c>
      <c r="K585">
        <v>1110</v>
      </c>
      <c r="L585">
        <v>1340</v>
      </c>
      <c r="M585" s="24">
        <v>1067</v>
      </c>
      <c r="N585" s="24">
        <v>1293</v>
      </c>
      <c r="O585" s="24">
        <v>1039</v>
      </c>
      <c r="P585" s="24">
        <v>1260</v>
      </c>
      <c r="Q585">
        <v>1149</v>
      </c>
      <c r="R585">
        <v>1385</v>
      </c>
      <c r="S585">
        <v>1505</v>
      </c>
      <c r="T585">
        <v>1825</v>
      </c>
      <c r="U585">
        <v>1505</v>
      </c>
      <c r="V585">
        <v>1825</v>
      </c>
    </row>
    <row r="586" spans="2:22" x14ac:dyDescent="0.35">
      <c r="B586" s="23" t="s">
        <v>334</v>
      </c>
      <c r="D586" t="s">
        <v>229</v>
      </c>
      <c r="E586" t="s">
        <v>230</v>
      </c>
      <c r="F586" s="46" t="s">
        <v>334</v>
      </c>
      <c r="G586" t="s">
        <v>311</v>
      </c>
      <c r="H586" s="23">
        <v>13</v>
      </c>
      <c r="I586" s="23" t="s">
        <v>312</v>
      </c>
      <c r="J586" t="s">
        <v>335</v>
      </c>
      <c r="K586">
        <v>395</v>
      </c>
      <c r="L586">
        <v>444</v>
      </c>
      <c r="M586" s="24">
        <v>369</v>
      </c>
      <c r="N586" s="24">
        <v>445</v>
      </c>
      <c r="O586" s="24">
        <v>342</v>
      </c>
      <c r="P586" s="24">
        <v>406</v>
      </c>
      <c r="Q586">
        <v>376</v>
      </c>
      <c r="R586">
        <v>422</v>
      </c>
      <c r="S586">
        <v>423</v>
      </c>
      <c r="T586">
        <v>487</v>
      </c>
      <c r="U586">
        <v>423</v>
      </c>
      <c r="V586">
        <v>487</v>
      </c>
    </row>
    <row r="587" spans="2:22" x14ac:dyDescent="0.35">
      <c r="B587" s="23" t="s">
        <v>336</v>
      </c>
      <c r="D587" t="s">
        <v>229</v>
      </c>
      <c r="E587" t="s">
        <v>230</v>
      </c>
      <c r="F587" s="46" t="s">
        <v>336</v>
      </c>
      <c r="G587" t="s">
        <v>311</v>
      </c>
      <c r="H587" s="23">
        <v>13</v>
      </c>
      <c r="I587" s="23" t="s">
        <v>312</v>
      </c>
      <c r="J587" t="s">
        <v>337</v>
      </c>
      <c r="K587">
        <v>249</v>
      </c>
      <c r="L587">
        <v>296</v>
      </c>
      <c r="M587" s="24">
        <v>233</v>
      </c>
      <c r="N587" s="24">
        <v>273</v>
      </c>
      <c r="O587" s="24">
        <v>218</v>
      </c>
      <c r="P587" s="24">
        <v>259</v>
      </c>
      <c r="Q587">
        <v>255</v>
      </c>
      <c r="R587">
        <v>296</v>
      </c>
      <c r="S587">
        <v>373</v>
      </c>
      <c r="T587">
        <v>434</v>
      </c>
      <c r="U587">
        <v>373</v>
      </c>
      <c r="V587">
        <v>434</v>
      </c>
    </row>
    <row r="588" spans="2:22" x14ac:dyDescent="0.35">
      <c r="B588" s="23" t="s">
        <v>338</v>
      </c>
      <c r="D588" t="s">
        <v>229</v>
      </c>
      <c r="E588" t="s">
        <v>230</v>
      </c>
      <c r="F588" s="46" t="s">
        <v>338</v>
      </c>
      <c r="G588" t="s">
        <v>311</v>
      </c>
      <c r="H588" s="23">
        <v>13</v>
      </c>
      <c r="I588" s="23" t="s">
        <v>312</v>
      </c>
      <c r="J588" t="s">
        <v>339</v>
      </c>
      <c r="K588">
        <v>1112</v>
      </c>
      <c r="L588">
        <v>1283</v>
      </c>
      <c r="M588" s="24">
        <v>1134</v>
      </c>
      <c r="N588" s="24">
        <v>1326</v>
      </c>
      <c r="O588" s="24">
        <v>1038</v>
      </c>
      <c r="P588" s="24">
        <v>1225</v>
      </c>
      <c r="Q588">
        <v>1053</v>
      </c>
      <c r="R588">
        <v>1259</v>
      </c>
      <c r="S588">
        <v>1417</v>
      </c>
      <c r="T588">
        <v>1634</v>
      </c>
      <c r="U588">
        <v>1417</v>
      </c>
      <c r="V588">
        <v>1634</v>
      </c>
    </row>
    <row r="589" spans="2:22" x14ac:dyDescent="0.35">
      <c r="B589" s="23" t="s">
        <v>340</v>
      </c>
      <c r="D589" t="s">
        <v>229</v>
      </c>
      <c r="E589" t="s">
        <v>230</v>
      </c>
      <c r="F589" s="46" t="s">
        <v>340</v>
      </c>
      <c r="G589" t="s">
        <v>311</v>
      </c>
      <c r="H589" s="23">
        <v>13</v>
      </c>
      <c r="I589" s="23" t="s">
        <v>312</v>
      </c>
      <c r="J589" t="s">
        <v>341</v>
      </c>
      <c r="K589">
        <v>389</v>
      </c>
      <c r="L589">
        <v>432</v>
      </c>
      <c r="M589" s="24">
        <v>390</v>
      </c>
      <c r="N589" s="24">
        <v>452</v>
      </c>
      <c r="O589" s="24">
        <v>372</v>
      </c>
      <c r="P589" s="24">
        <v>437</v>
      </c>
      <c r="Q589">
        <v>370</v>
      </c>
      <c r="R589">
        <v>440</v>
      </c>
      <c r="S589">
        <v>450</v>
      </c>
      <c r="T589">
        <v>523</v>
      </c>
      <c r="U589">
        <v>450</v>
      </c>
      <c r="V589">
        <v>523</v>
      </c>
    </row>
    <row r="590" spans="2:22" x14ac:dyDescent="0.35">
      <c r="B590" s="23" t="s">
        <v>342</v>
      </c>
      <c r="D590" t="s">
        <v>229</v>
      </c>
      <c r="E590" t="s">
        <v>230</v>
      </c>
      <c r="F590" s="46" t="s">
        <v>342</v>
      </c>
      <c r="G590" t="s">
        <v>311</v>
      </c>
      <c r="H590" s="23">
        <v>13</v>
      </c>
      <c r="I590" s="23" t="s">
        <v>312</v>
      </c>
      <c r="J590" t="s">
        <v>343</v>
      </c>
      <c r="K590">
        <v>2634</v>
      </c>
      <c r="L590">
        <v>3127</v>
      </c>
      <c r="M590" s="24">
        <v>2651</v>
      </c>
      <c r="N590" s="24">
        <v>3159</v>
      </c>
      <c r="O590" s="24">
        <v>2546</v>
      </c>
      <c r="P590" s="24">
        <v>3059</v>
      </c>
      <c r="Q590">
        <v>2620</v>
      </c>
      <c r="R590">
        <v>3138</v>
      </c>
      <c r="S590">
        <v>3270</v>
      </c>
      <c r="T590">
        <v>3914</v>
      </c>
      <c r="U590">
        <v>3270</v>
      </c>
      <c r="V590">
        <v>3914</v>
      </c>
    </row>
    <row r="591" spans="2:22" x14ac:dyDescent="0.35">
      <c r="B591" s="23" t="s">
        <v>344</v>
      </c>
      <c r="D591" t="s">
        <v>229</v>
      </c>
      <c r="E591" t="s">
        <v>230</v>
      </c>
      <c r="F591" s="46" t="s">
        <v>344</v>
      </c>
      <c r="G591" t="s">
        <v>311</v>
      </c>
      <c r="H591" s="23">
        <v>13</v>
      </c>
      <c r="I591" s="23" t="s">
        <v>312</v>
      </c>
      <c r="J591" t="s">
        <v>345</v>
      </c>
      <c r="K591">
        <v>1106</v>
      </c>
      <c r="L591">
        <v>1277</v>
      </c>
      <c r="M591" s="24">
        <v>1020</v>
      </c>
      <c r="N591" s="24">
        <v>1188</v>
      </c>
      <c r="O591" s="24">
        <v>1034</v>
      </c>
      <c r="P591" s="24">
        <v>1218</v>
      </c>
      <c r="Q591">
        <v>1057</v>
      </c>
      <c r="R591">
        <v>1278</v>
      </c>
      <c r="S591">
        <v>1488</v>
      </c>
      <c r="T591">
        <v>1730</v>
      </c>
      <c r="U591">
        <v>1488</v>
      </c>
      <c r="V591">
        <v>1730</v>
      </c>
    </row>
    <row r="592" spans="2:22" x14ac:dyDescent="0.35">
      <c r="B592" s="23" t="s">
        <v>346</v>
      </c>
      <c r="D592" t="s">
        <v>229</v>
      </c>
      <c r="E592" t="s">
        <v>230</v>
      </c>
      <c r="F592" s="46" t="s">
        <v>346</v>
      </c>
      <c r="G592" t="s">
        <v>311</v>
      </c>
      <c r="H592" s="23">
        <v>13</v>
      </c>
      <c r="I592" s="23" t="s">
        <v>312</v>
      </c>
      <c r="J592" t="s">
        <v>347</v>
      </c>
      <c r="K592">
        <v>1054</v>
      </c>
      <c r="L592">
        <v>1214</v>
      </c>
      <c r="M592" s="24">
        <v>1058</v>
      </c>
      <c r="N592" s="24">
        <v>1204</v>
      </c>
      <c r="O592" s="24">
        <v>997</v>
      </c>
      <c r="P592" s="24">
        <v>1131</v>
      </c>
      <c r="Q592">
        <v>1040</v>
      </c>
      <c r="R592">
        <v>1191</v>
      </c>
      <c r="S592">
        <v>1293</v>
      </c>
      <c r="T592">
        <v>1478</v>
      </c>
      <c r="U592">
        <v>1293</v>
      </c>
      <c r="V592">
        <v>1478</v>
      </c>
    </row>
    <row r="593" spans="2:22" x14ac:dyDescent="0.35">
      <c r="B593" s="23" t="s">
        <v>348</v>
      </c>
      <c r="D593" t="s">
        <v>229</v>
      </c>
      <c r="E593" t="s">
        <v>230</v>
      </c>
      <c r="F593" s="46" t="s">
        <v>348</v>
      </c>
      <c r="G593" t="s">
        <v>311</v>
      </c>
      <c r="H593" s="23">
        <v>13</v>
      </c>
      <c r="I593" s="23" t="s">
        <v>312</v>
      </c>
      <c r="J593" t="s">
        <v>349</v>
      </c>
      <c r="K593">
        <v>2389</v>
      </c>
      <c r="L593">
        <v>2755</v>
      </c>
      <c r="M593" s="24">
        <v>2348</v>
      </c>
      <c r="N593" s="24">
        <v>2717</v>
      </c>
      <c r="O593" s="24">
        <v>2336</v>
      </c>
      <c r="P593" s="24">
        <v>2681</v>
      </c>
      <c r="Q593">
        <v>2407</v>
      </c>
      <c r="R593">
        <v>2780</v>
      </c>
      <c r="S593">
        <v>2841</v>
      </c>
      <c r="T593">
        <v>3277</v>
      </c>
      <c r="U593">
        <v>2841</v>
      </c>
      <c r="V593">
        <v>3277</v>
      </c>
    </row>
    <row r="594" spans="2:22" x14ac:dyDescent="0.35">
      <c r="B594" s="23" t="s">
        <v>350</v>
      </c>
      <c r="D594" t="s">
        <v>229</v>
      </c>
      <c r="E594" t="s">
        <v>230</v>
      </c>
      <c r="F594" s="46" t="s">
        <v>350</v>
      </c>
      <c r="G594" t="s">
        <v>311</v>
      </c>
      <c r="H594" s="23">
        <v>13</v>
      </c>
      <c r="I594" s="23" t="s">
        <v>312</v>
      </c>
      <c r="J594" t="s">
        <v>351</v>
      </c>
      <c r="K594">
        <v>911</v>
      </c>
      <c r="L594">
        <v>1172</v>
      </c>
      <c r="M594" s="24">
        <v>864</v>
      </c>
      <c r="N594" s="24">
        <v>1117</v>
      </c>
      <c r="O594" s="24">
        <v>817</v>
      </c>
      <c r="P594" s="24">
        <v>1078</v>
      </c>
      <c r="Q594">
        <v>824</v>
      </c>
      <c r="R594">
        <v>1113</v>
      </c>
      <c r="S594">
        <v>1159</v>
      </c>
      <c r="T594">
        <v>1461</v>
      </c>
      <c r="U594">
        <v>1159</v>
      </c>
      <c r="V594">
        <v>1461</v>
      </c>
    </row>
    <row r="595" spans="2:22" x14ac:dyDescent="0.35">
      <c r="B595" s="23" t="s">
        <v>352</v>
      </c>
      <c r="D595" t="s">
        <v>229</v>
      </c>
      <c r="E595" t="s">
        <v>230</v>
      </c>
      <c r="F595" s="46" t="s">
        <v>352</v>
      </c>
      <c r="G595" t="s">
        <v>311</v>
      </c>
      <c r="H595" s="23">
        <v>13</v>
      </c>
      <c r="I595" s="23" t="s">
        <v>312</v>
      </c>
      <c r="J595" t="s">
        <v>353</v>
      </c>
      <c r="K595">
        <v>398</v>
      </c>
      <c r="L595">
        <v>463</v>
      </c>
      <c r="M595" s="24">
        <v>378</v>
      </c>
      <c r="N595" s="24">
        <v>447</v>
      </c>
      <c r="O595" s="24">
        <v>384</v>
      </c>
      <c r="P595" s="24">
        <v>457</v>
      </c>
      <c r="Q595">
        <v>383</v>
      </c>
      <c r="R595">
        <v>448</v>
      </c>
      <c r="S595">
        <v>447</v>
      </c>
      <c r="T595">
        <v>541</v>
      </c>
      <c r="U595">
        <v>447</v>
      </c>
      <c r="V595">
        <v>541</v>
      </c>
    </row>
    <row r="596" spans="2:22" x14ac:dyDescent="0.35">
      <c r="B596" s="23" t="s">
        <v>354</v>
      </c>
      <c r="D596" t="s">
        <v>229</v>
      </c>
      <c r="E596" t="s">
        <v>230</v>
      </c>
      <c r="F596" s="46" t="s">
        <v>354</v>
      </c>
      <c r="G596" t="s">
        <v>311</v>
      </c>
      <c r="H596" s="23">
        <v>13</v>
      </c>
      <c r="I596" s="23" t="s">
        <v>312</v>
      </c>
      <c r="J596" t="s">
        <v>355</v>
      </c>
      <c r="K596">
        <v>794</v>
      </c>
      <c r="L596">
        <v>933</v>
      </c>
      <c r="M596" s="24">
        <v>718</v>
      </c>
      <c r="N596" s="24">
        <v>859</v>
      </c>
      <c r="O596" s="24">
        <v>726</v>
      </c>
      <c r="P596" s="24">
        <v>825</v>
      </c>
      <c r="Q596">
        <v>776</v>
      </c>
      <c r="R596">
        <v>880</v>
      </c>
      <c r="S596">
        <v>961</v>
      </c>
      <c r="T596">
        <v>1103</v>
      </c>
      <c r="U596">
        <v>961</v>
      </c>
      <c r="V596">
        <v>1103</v>
      </c>
    </row>
    <row r="597" spans="2:22" x14ac:dyDescent="0.35">
      <c r="B597" s="23" t="s">
        <v>356</v>
      </c>
      <c r="D597" t="s">
        <v>229</v>
      </c>
      <c r="E597" t="s">
        <v>230</v>
      </c>
      <c r="F597" s="46" t="s">
        <v>356</v>
      </c>
      <c r="G597" t="s">
        <v>311</v>
      </c>
      <c r="H597" s="23">
        <v>13</v>
      </c>
      <c r="I597" s="23" t="s">
        <v>312</v>
      </c>
      <c r="J597" t="s">
        <v>357</v>
      </c>
      <c r="K597">
        <v>1523</v>
      </c>
      <c r="L597">
        <v>1831</v>
      </c>
      <c r="M597" s="24">
        <v>1476</v>
      </c>
      <c r="N597" s="24">
        <v>1758</v>
      </c>
      <c r="O597" s="24">
        <v>1428</v>
      </c>
      <c r="P597" s="24">
        <v>1725</v>
      </c>
      <c r="Q597">
        <v>1462</v>
      </c>
      <c r="R597">
        <v>1766</v>
      </c>
      <c r="S597">
        <v>1901</v>
      </c>
      <c r="T597">
        <v>2261</v>
      </c>
      <c r="U597">
        <v>1901</v>
      </c>
      <c r="V597">
        <v>2261</v>
      </c>
    </row>
    <row r="598" spans="2:22" x14ac:dyDescent="0.35">
      <c r="B598" s="23" t="s">
        <v>358</v>
      </c>
      <c r="D598" t="s">
        <v>229</v>
      </c>
      <c r="E598" t="s">
        <v>230</v>
      </c>
      <c r="F598" s="46" t="s">
        <v>358</v>
      </c>
      <c r="G598" t="s">
        <v>311</v>
      </c>
      <c r="H598" s="23">
        <v>13</v>
      </c>
      <c r="I598" s="23" t="s">
        <v>312</v>
      </c>
      <c r="J598" t="s">
        <v>359</v>
      </c>
      <c r="K598">
        <v>359</v>
      </c>
      <c r="L598">
        <v>411</v>
      </c>
      <c r="M598" s="24">
        <v>365</v>
      </c>
      <c r="N598" s="24">
        <v>425</v>
      </c>
      <c r="O598" s="24">
        <v>366</v>
      </c>
      <c r="P598" s="24">
        <v>421</v>
      </c>
      <c r="Q598">
        <v>359</v>
      </c>
      <c r="R598">
        <v>420</v>
      </c>
      <c r="S598">
        <v>483</v>
      </c>
      <c r="T598">
        <v>540</v>
      </c>
      <c r="U598">
        <v>483</v>
      </c>
      <c r="V598">
        <v>540</v>
      </c>
    </row>
    <row r="599" spans="2:22" x14ac:dyDescent="0.35">
      <c r="B599" s="23" t="s">
        <v>360</v>
      </c>
      <c r="D599" t="s">
        <v>229</v>
      </c>
      <c r="E599" t="s">
        <v>230</v>
      </c>
      <c r="F599" s="46" t="s">
        <v>360</v>
      </c>
      <c r="G599" t="s">
        <v>311</v>
      </c>
      <c r="H599" s="23">
        <v>13</v>
      </c>
      <c r="I599" s="23" t="s">
        <v>312</v>
      </c>
      <c r="J599" t="s">
        <v>361</v>
      </c>
      <c r="K599">
        <v>462</v>
      </c>
      <c r="L599">
        <v>526</v>
      </c>
      <c r="M599" s="24">
        <v>452</v>
      </c>
      <c r="N599" s="24">
        <v>519</v>
      </c>
      <c r="O599" s="24">
        <v>420</v>
      </c>
      <c r="P599" s="24">
        <v>479</v>
      </c>
      <c r="Q599">
        <v>424</v>
      </c>
      <c r="R599">
        <v>500</v>
      </c>
      <c r="S599">
        <v>605</v>
      </c>
      <c r="T599">
        <v>697</v>
      </c>
      <c r="U599">
        <v>605</v>
      </c>
      <c r="V599">
        <v>697</v>
      </c>
    </row>
    <row r="600" spans="2:22" x14ac:dyDescent="0.35">
      <c r="B600" s="23" t="s">
        <v>362</v>
      </c>
      <c r="D600" t="s">
        <v>229</v>
      </c>
      <c r="E600" t="s">
        <v>230</v>
      </c>
      <c r="F600" s="46" t="s">
        <v>362</v>
      </c>
      <c r="G600" t="s">
        <v>311</v>
      </c>
      <c r="H600" s="23">
        <v>13</v>
      </c>
      <c r="I600" s="23" t="s">
        <v>312</v>
      </c>
      <c r="J600" t="s">
        <v>363</v>
      </c>
      <c r="K600">
        <v>590</v>
      </c>
      <c r="L600">
        <v>686</v>
      </c>
      <c r="M600" s="24">
        <v>545</v>
      </c>
      <c r="N600" s="24">
        <v>639</v>
      </c>
      <c r="O600" s="24">
        <v>509</v>
      </c>
      <c r="P600" s="24">
        <v>595</v>
      </c>
      <c r="Q600">
        <v>496</v>
      </c>
      <c r="R600">
        <v>577</v>
      </c>
      <c r="S600">
        <v>626</v>
      </c>
      <c r="T600">
        <v>731</v>
      </c>
      <c r="U600">
        <v>626</v>
      </c>
      <c r="V600">
        <v>731</v>
      </c>
    </row>
    <row r="601" spans="2:22" x14ac:dyDescent="0.35">
      <c r="B601" s="23" t="s">
        <v>364</v>
      </c>
      <c r="D601" t="s">
        <v>229</v>
      </c>
      <c r="E601" t="s">
        <v>230</v>
      </c>
      <c r="F601" s="46" t="s">
        <v>364</v>
      </c>
      <c r="G601" t="s">
        <v>311</v>
      </c>
      <c r="H601" s="23">
        <v>13</v>
      </c>
      <c r="I601" s="23" t="s">
        <v>312</v>
      </c>
      <c r="J601" t="s">
        <v>365</v>
      </c>
      <c r="K601">
        <v>828</v>
      </c>
      <c r="L601">
        <v>957</v>
      </c>
      <c r="M601" s="24">
        <v>766</v>
      </c>
      <c r="N601" s="24">
        <v>902</v>
      </c>
      <c r="O601" s="24">
        <v>795</v>
      </c>
      <c r="P601" s="24">
        <v>939</v>
      </c>
      <c r="Q601">
        <v>798</v>
      </c>
      <c r="R601">
        <v>953</v>
      </c>
      <c r="S601">
        <v>1012</v>
      </c>
      <c r="T601">
        <v>1154</v>
      </c>
      <c r="U601">
        <v>1012</v>
      </c>
      <c r="V601">
        <v>1154</v>
      </c>
    </row>
    <row r="602" spans="2:22" x14ac:dyDescent="0.35">
      <c r="B602" s="23" t="s">
        <v>366</v>
      </c>
      <c r="D602" t="s">
        <v>229</v>
      </c>
      <c r="E602" t="s">
        <v>230</v>
      </c>
      <c r="F602" s="46" t="s">
        <v>366</v>
      </c>
      <c r="G602" t="s">
        <v>311</v>
      </c>
      <c r="H602" s="23">
        <v>13</v>
      </c>
      <c r="I602" s="23" t="s">
        <v>312</v>
      </c>
      <c r="J602" t="s">
        <v>367</v>
      </c>
      <c r="K602">
        <v>2890</v>
      </c>
      <c r="L602">
        <v>3428</v>
      </c>
      <c r="M602" s="24">
        <v>2908</v>
      </c>
      <c r="N602" s="24">
        <v>3480</v>
      </c>
      <c r="O602" s="24">
        <v>2911</v>
      </c>
      <c r="P602" s="24">
        <v>3460</v>
      </c>
      <c r="Q602">
        <v>2901</v>
      </c>
      <c r="R602">
        <v>3512</v>
      </c>
      <c r="S602">
        <v>3701</v>
      </c>
      <c r="T602">
        <v>4425</v>
      </c>
      <c r="U602">
        <v>3701</v>
      </c>
      <c r="V602">
        <v>4425</v>
      </c>
    </row>
    <row r="603" spans="2:22" x14ac:dyDescent="0.35">
      <c r="B603" s="23" t="s">
        <v>368</v>
      </c>
      <c r="D603" t="s">
        <v>229</v>
      </c>
      <c r="E603" t="s">
        <v>230</v>
      </c>
      <c r="F603" s="46" t="s">
        <v>368</v>
      </c>
      <c r="G603" t="s">
        <v>311</v>
      </c>
      <c r="H603" s="23">
        <v>13</v>
      </c>
      <c r="I603" s="23" t="s">
        <v>312</v>
      </c>
      <c r="J603" t="s">
        <v>369</v>
      </c>
      <c r="K603">
        <v>715</v>
      </c>
      <c r="L603">
        <v>815</v>
      </c>
      <c r="M603" s="24">
        <v>648</v>
      </c>
      <c r="N603" s="24">
        <v>765</v>
      </c>
      <c r="O603" s="24">
        <v>650</v>
      </c>
      <c r="P603" s="24">
        <v>750</v>
      </c>
      <c r="Q603">
        <v>713</v>
      </c>
      <c r="R603">
        <v>817</v>
      </c>
      <c r="S603">
        <v>917</v>
      </c>
      <c r="T603">
        <v>1043</v>
      </c>
      <c r="U603">
        <v>917</v>
      </c>
      <c r="V603">
        <v>1043</v>
      </c>
    </row>
    <row r="604" spans="2:22" x14ac:dyDescent="0.35">
      <c r="B604" s="23" t="s">
        <v>370</v>
      </c>
      <c r="D604" t="s">
        <v>229</v>
      </c>
      <c r="E604" t="s">
        <v>230</v>
      </c>
      <c r="F604" s="46" t="s">
        <v>370</v>
      </c>
      <c r="G604" t="s">
        <v>311</v>
      </c>
      <c r="H604" s="23">
        <v>13</v>
      </c>
      <c r="I604" s="23" t="s">
        <v>312</v>
      </c>
      <c r="J604" t="s">
        <v>371</v>
      </c>
      <c r="K604">
        <v>223</v>
      </c>
      <c r="L604">
        <v>249</v>
      </c>
      <c r="M604" s="24">
        <v>192</v>
      </c>
      <c r="N604" s="24">
        <v>224</v>
      </c>
      <c r="O604" s="24">
        <v>184</v>
      </c>
      <c r="P604" s="24">
        <v>212</v>
      </c>
      <c r="Q604">
        <v>191</v>
      </c>
      <c r="R604">
        <v>218</v>
      </c>
      <c r="S604">
        <v>250</v>
      </c>
      <c r="T604">
        <v>285</v>
      </c>
      <c r="U604">
        <v>250</v>
      </c>
      <c r="V604">
        <v>285</v>
      </c>
    </row>
    <row r="605" spans="2:22" x14ac:dyDescent="0.35">
      <c r="B605" s="23" t="s">
        <v>372</v>
      </c>
      <c r="D605" t="s">
        <v>229</v>
      </c>
      <c r="E605" t="s">
        <v>230</v>
      </c>
      <c r="F605" s="46" t="s">
        <v>372</v>
      </c>
      <c r="G605" t="s">
        <v>311</v>
      </c>
      <c r="H605" s="23">
        <v>13</v>
      </c>
      <c r="I605" s="23" t="s">
        <v>312</v>
      </c>
      <c r="J605" t="s">
        <v>373</v>
      </c>
      <c r="K605">
        <v>462</v>
      </c>
      <c r="L605">
        <v>558</v>
      </c>
      <c r="M605" s="24">
        <v>443</v>
      </c>
      <c r="N605" s="24">
        <v>524</v>
      </c>
      <c r="O605" s="24">
        <v>437</v>
      </c>
      <c r="P605" s="24">
        <v>503</v>
      </c>
      <c r="Q605">
        <v>416</v>
      </c>
      <c r="R605">
        <v>476</v>
      </c>
      <c r="S605">
        <v>568</v>
      </c>
      <c r="T605">
        <v>651</v>
      </c>
      <c r="U605">
        <v>568</v>
      </c>
      <c r="V605">
        <v>651</v>
      </c>
    </row>
    <row r="606" spans="2:22" x14ac:dyDescent="0.35">
      <c r="B606" s="23" t="s">
        <v>374</v>
      </c>
      <c r="D606" t="s">
        <v>229</v>
      </c>
      <c r="E606" t="s">
        <v>230</v>
      </c>
      <c r="F606" s="46" t="s">
        <v>374</v>
      </c>
      <c r="G606" t="s">
        <v>311</v>
      </c>
      <c r="H606" s="23">
        <v>13</v>
      </c>
      <c r="I606" s="23" t="s">
        <v>312</v>
      </c>
      <c r="J606" t="s">
        <v>375</v>
      </c>
      <c r="K606">
        <v>755</v>
      </c>
      <c r="L606">
        <v>946</v>
      </c>
      <c r="M606" s="24">
        <v>762</v>
      </c>
      <c r="N606" s="24">
        <v>938</v>
      </c>
      <c r="O606" s="24">
        <v>719</v>
      </c>
      <c r="P606" s="24">
        <v>864</v>
      </c>
      <c r="Q606">
        <v>721</v>
      </c>
      <c r="R606">
        <v>861</v>
      </c>
      <c r="S606">
        <v>924</v>
      </c>
      <c r="T606">
        <v>1109</v>
      </c>
      <c r="U606">
        <v>924</v>
      </c>
      <c r="V606">
        <v>1109</v>
      </c>
    </row>
    <row r="607" spans="2:22" x14ac:dyDescent="0.35">
      <c r="B607" s="23" t="s">
        <v>376</v>
      </c>
      <c r="D607" t="s">
        <v>229</v>
      </c>
      <c r="E607" t="s">
        <v>230</v>
      </c>
      <c r="F607" s="46" t="s">
        <v>376</v>
      </c>
      <c r="G607" t="s">
        <v>311</v>
      </c>
      <c r="H607" s="23">
        <v>13</v>
      </c>
      <c r="I607" s="23" t="s">
        <v>312</v>
      </c>
      <c r="J607" t="s">
        <v>377</v>
      </c>
      <c r="K607">
        <v>668</v>
      </c>
      <c r="L607">
        <v>778</v>
      </c>
      <c r="M607" s="24">
        <v>686</v>
      </c>
      <c r="N607" s="24">
        <v>800</v>
      </c>
      <c r="O607" s="24">
        <v>620</v>
      </c>
      <c r="P607" s="24">
        <v>732</v>
      </c>
      <c r="Q607">
        <v>651</v>
      </c>
      <c r="R607">
        <v>758</v>
      </c>
      <c r="S607">
        <v>784</v>
      </c>
      <c r="T607">
        <v>910</v>
      </c>
      <c r="U607">
        <v>784</v>
      </c>
      <c r="V607">
        <v>910</v>
      </c>
    </row>
    <row r="608" spans="2:22" x14ac:dyDescent="0.35">
      <c r="B608" s="23" t="s">
        <v>378</v>
      </c>
      <c r="D608" t="s">
        <v>229</v>
      </c>
      <c r="E608" t="s">
        <v>230</v>
      </c>
      <c r="F608" s="46" t="s">
        <v>378</v>
      </c>
      <c r="G608" t="s">
        <v>311</v>
      </c>
      <c r="H608" s="23">
        <v>13</v>
      </c>
      <c r="I608" s="23" t="s">
        <v>312</v>
      </c>
      <c r="J608" t="s">
        <v>379</v>
      </c>
      <c r="K608">
        <v>337</v>
      </c>
      <c r="L608">
        <v>383</v>
      </c>
      <c r="M608" s="24">
        <v>322</v>
      </c>
      <c r="N608" s="24">
        <v>355</v>
      </c>
      <c r="O608" s="24">
        <v>308</v>
      </c>
      <c r="P608" s="24">
        <v>346</v>
      </c>
      <c r="Q608">
        <v>298</v>
      </c>
      <c r="R608">
        <v>335</v>
      </c>
      <c r="S608">
        <v>373</v>
      </c>
      <c r="T608">
        <v>424</v>
      </c>
      <c r="U608">
        <v>373</v>
      </c>
      <c r="V608">
        <v>424</v>
      </c>
    </row>
    <row r="609" spans="2:22" x14ac:dyDescent="0.35">
      <c r="B609" s="23" t="s">
        <v>380</v>
      </c>
      <c r="D609" t="s">
        <v>229</v>
      </c>
      <c r="E609" t="s">
        <v>230</v>
      </c>
      <c r="F609" s="46" t="s">
        <v>380</v>
      </c>
      <c r="G609" t="s">
        <v>311</v>
      </c>
      <c r="H609" s="23">
        <v>13</v>
      </c>
      <c r="I609" s="23" t="s">
        <v>312</v>
      </c>
      <c r="J609" t="s">
        <v>381</v>
      </c>
      <c r="K609">
        <v>1826</v>
      </c>
      <c r="L609">
        <v>2160</v>
      </c>
      <c r="M609" s="24">
        <v>1804</v>
      </c>
      <c r="N609" s="24">
        <v>2162</v>
      </c>
      <c r="O609" s="24">
        <v>1738</v>
      </c>
      <c r="P609" s="24">
        <v>2051</v>
      </c>
      <c r="Q609">
        <v>1805</v>
      </c>
      <c r="R609">
        <v>2158</v>
      </c>
      <c r="S609">
        <v>2402</v>
      </c>
      <c r="T609">
        <v>2822</v>
      </c>
      <c r="U609">
        <v>2402</v>
      </c>
      <c r="V609">
        <v>2822</v>
      </c>
    </row>
    <row r="610" spans="2:22" x14ac:dyDescent="0.35">
      <c r="B610" s="23" t="s">
        <v>382</v>
      </c>
      <c r="D610" t="s">
        <v>229</v>
      </c>
      <c r="E610" t="s">
        <v>230</v>
      </c>
      <c r="F610" s="46" t="s">
        <v>382</v>
      </c>
      <c r="G610" t="s">
        <v>311</v>
      </c>
      <c r="H610" s="23">
        <v>13</v>
      </c>
      <c r="I610" s="23" t="s">
        <v>312</v>
      </c>
      <c r="J610" t="s">
        <v>383</v>
      </c>
      <c r="K610">
        <v>1212</v>
      </c>
      <c r="L610">
        <v>1427</v>
      </c>
      <c r="M610" s="24">
        <v>1122</v>
      </c>
      <c r="N610" s="24">
        <v>1331</v>
      </c>
      <c r="O610" s="24">
        <v>1052</v>
      </c>
      <c r="P610" s="24">
        <v>1234</v>
      </c>
      <c r="Q610">
        <v>1111</v>
      </c>
      <c r="R610">
        <v>1305</v>
      </c>
      <c r="S610">
        <v>1435</v>
      </c>
      <c r="T610">
        <v>1708</v>
      </c>
      <c r="U610">
        <v>1435</v>
      </c>
      <c r="V610">
        <v>1708</v>
      </c>
    </row>
    <row r="611" spans="2:22" x14ac:dyDescent="0.35">
      <c r="B611" s="23" t="s">
        <v>384</v>
      </c>
      <c r="D611" t="s">
        <v>229</v>
      </c>
      <c r="E611" t="s">
        <v>230</v>
      </c>
      <c r="F611" s="46" t="s">
        <v>384</v>
      </c>
      <c r="G611" t="s">
        <v>311</v>
      </c>
      <c r="H611" s="23">
        <v>13</v>
      </c>
      <c r="I611" s="23" t="s">
        <v>312</v>
      </c>
      <c r="J611" t="s">
        <v>385</v>
      </c>
      <c r="K611">
        <v>513</v>
      </c>
      <c r="L611">
        <v>604</v>
      </c>
      <c r="M611" s="24">
        <v>506</v>
      </c>
      <c r="N611" s="24">
        <v>578</v>
      </c>
      <c r="O611" s="24">
        <v>488</v>
      </c>
      <c r="P611" s="24">
        <v>570</v>
      </c>
      <c r="Q611">
        <v>529</v>
      </c>
      <c r="R611">
        <v>611</v>
      </c>
      <c r="S611">
        <v>661</v>
      </c>
      <c r="T611">
        <v>760</v>
      </c>
      <c r="U611">
        <v>661</v>
      </c>
      <c r="V611">
        <v>760</v>
      </c>
    </row>
    <row r="612" spans="2:22" x14ac:dyDescent="0.35">
      <c r="B612" s="23" t="s">
        <v>386</v>
      </c>
      <c r="D612" t="s">
        <v>229</v>
      </c>
      <c r="E612" t="s">
        <v>230</v>
      </c>
      <c r="F612" s="46" t="s">
        <v>386</v>
      </c>
      <c r="G612" t="s">
        <v>311</v>
      </c>
      <c r="H612" s="23">
        <v>13</v>
      </c>
      <c r="I612" s="23" t="s">
        <v>312</v>
      </c>
      <c r="J612" t="s">
        <v>387</v>
      </c>
      <c r="K612">
        <v>303</v>
      </c>
      <c r="L612">
        <v>361</v>
      </c>
      <c r="M612" s="24">
        <v>299</v>
      </c>
      <c r="N612" s="24">
        <v>349</v>
      </c>
      <c r="O612" s="24">
        <v>292</v>
      </c>
      <c r="P612" s="24">
        <v>324</v>
      </c>
      <c r="Q612">
        <v>298</v>
      </c>
      <c r="R612">
        <v>335</v>
      </c>
      <c r="S612">
        <v>378</v>
      </c>
      <c r="T612">
        <v>428</v>
      </c>
      <c r="U612">
        <v>378</v>
      </c>
      <c r="V612">
        <v>428</v>
      </c>
    </row>
    <row r="613" spans="2:22" x14ac:dyDescent="0.35">
      <c r="B613" s="23" t="s">
        <v>388</v>
      </c>
      <c r="D613" t="s">
        <v>229</v>
      </c>
      <c r="E613" t="s">
        <v>230</v>
      </c>
      <c r="F613" s="46" t="s">
        <v>388</v>
      </c>
      <c r="G613" t="s">
        <v>311</v>
      </c>
      <c r="H613" s="23">
        <v>13</v>
      </c>
      <c r="I613" s="23" t="s">
        <v>312</v>
      </c>
      <c r="J613" t="s">
        <v>389</v>
      </c>
      <c r="K613">
        <v>721</v>
      </c>
      <c r="L613">
        <v>847</v>
      </c>
      <c r="M613" s="24">
        <v>690</v>
      </c>
      <c r="N613" s="24">
        <v>795</v>
      </c>
      <c r="O613" s="24">
        <v>682</v>
      </c>
      <c r="P613" s="24">
        <v>791</v>
      </c>
      <c r="Q613">
        <v>707</v>
      </c>
      <c r="R613">
        <v>830</v>
      </c>
      <c r="S613">
        <v>883</v>
      </c>
      <c r="T613">
        <v>1050</v>
      </c>
      <c r="U613">
        <v>883</v>
      </c>
      <c r="V613">
        <v>1050</v>
      </c>
    </row>
    <row r="614" spans="2:22" x14ac:dyDescent="0.35">
      <c r="B614" s="23" t="s">
        <v>390</v>
      </c>
      <c r="D614" t="s">
        <v>391</v>
      </c>
      <c r="E614" t="s">
        <v>392</v>
      </c>
      <c r="F614" s="46" t="s">
        <v>390</v>
      </c>
      <c r="G614" t="s">
        <v>231</v>
      </c>
      <c r="H614" s="47" t="s">
        <v>393</v>
      </c>
      <c r="I614" s="47" t="s">
        <v>394</v>
      </c>
      <c r="J614" t="s">
        <v>331</v>
      </c>
      <c r="K614">
        <v>580</v>
      </c>
      <c r="L614">
        <v>807</v>
      </c>
      <c r="M614" s="24">
        <v>592</v>
      </c>
      <c r="N614" s="24">
        <v>775</v>
      </c>
      <c r="O614" s="24">
        <v>530</v>
      </c>
      <c r="P614" s="24">
        <v>710</v>
      </c>
      <c r="Q614">
        <v>535</v>
      </c>
      <c r="R614">
        <v>750</v>
      </c>
      <c r="S614">
        <v>681</v>
      </c>
      <c r="T614">
        <v>967</v>
      </c>
      <c r="U614">
        <v>681</v>
      </c>
      <c r="V614">
        <v>967</v>
      </c>
    </row>
    <row r="615" spans="2:22" x14ac:dyDescent="0.35">
      <c r="B615" s="23" t="s">
        <v>395</v>
      </c>
      <c r="D615" t="s">
        <v>391</v>
      </c>
      <c r="E615" t="s">
        <v>392</v>
      </c>
      <c r="F615" s="46" t="s">
        <v>395</v>
      </c>
      <c r="G615" t="s">
        <v>231</v>
      </c>
      <c r="H615" s="47" t="s">
        <v>393</v>
      </c>
      <c r="I615" s="47" t="s">
        <v>394</v>
      </c>
      <c r="J615" t="s">
        <v>396</v>
      </c>
      <c r="K615">
        <v>1083</v>
      </c>
      <c r="L615">
        <v>1429</v>
      </c>
      <c r="M615" s="24">
        <v>1153</v>
      </c>
      <c r="N615" s="24">
        <v>1471</v>
      </c>
      <c r="O615" s="24">
        <v>988</v>
      </c>
      <c r="P615" s="24">
        <v>1369</v>
      </c>
      <c r="Q615">
        <v>974</v>
      </c>
      <c r="R615">
        <v>1397</v>
      </c>
      <c r="S615">
        <v>1298</v>
      </c>
      <c r="T615">
        <v>1906</v>
      </c>
      <c r="U615">
        <v>1298</v>
      </c>
      <c r="V615">
        <v>1906</v>
      </c>
    </row>
    <row r="616" spans="2:22" x14ac:dyDescent="0.35">
      <c r="B616" s="23" t="s">
        <v>397</v>
      </c>
      <c r="D616" t="s">
        <v>391</v>
      </c>
      <c r="E616" t="s">
        <v>392</v>
      </c>
      <c r="F616" s="46" t="s">
        <v>397</v>
      </c>
      <c r="G616" t="s">
        <v>231</v>
      </c>
      <c r="H616" s="47" t="s">
        <v>393</v>
      </c>
      <c r="I616" s="47" t="s">
        <v>394</v>
      </c>
      <c r="J616" t="s">
        <v>398</v>
      </c>
      <c r="K616">
        <v>6235</v>
      </c>
      <c r="L616">
        <v>8870</v>
      </c>
      <c r="M616" s="24">
        <v>6552</v>
      </c>
      <c r="N616" s="24">
        <v>8831</v>
      </c>
      <c r="O616" s="24">
        <v>5992</v>
      </c>
      <c r="P616" s="24">
        <v>8345</v>
      </c>
      <c r="Q616">
        <v>5781</v>
      </c>
      <c r="R616">
        <v>8421</v>
      </c>
      <c r="S616">
        <v>7784</v>
      </c>
      <c r="T616">
        <v>11422</v>
      </c>
      <c r="U616">
        <v>7784</v>
      </c>
      <c r="V616">
        <v>11422</v>
      </c>
    </row>
    <row r="617" spans="2:22" x14ac:dyDescent="0.35">
      <c r="B617" s="23" t="s">
        <v>399</v>
      </c>
      <c r="D617" t="s">
        <v>391</v>
      </c>
      <c r="E617" t="s">
        <v>392</v>
      </c>
      <c r="F617" s="46" t="s">
        <v>399</v>
      </c>
      <c r="G617" t="s">
        <v>231</v>
      </c>
      <c r="H617" s="47" t="s">
        <v>393</v>
      </c>
      <c r="I617" s="47" t="s">
        <v>394</v>
      </c>
      <c r="J617" t="s">
        <v>400</v>
      </c>
      <c r="K617">
        <v>312</v>
      </c>
      <c r="L617">
        <v>404</v>
      </c>
      <c r="M617" s="24">
        <v>273</v>
      </c>
      <c r="N617" s="24">
        <v>362</v>
      </c>
      <c r="O617" s="24">
        <v>226</v>
      </c>
      <c r="P617" s="24">
        <v>341</v>
      </c>
      <c r="Q617">
        <v>206</v>
      </c>
      <c r="R617">
        <v>331</v>
      </c>
      <c r="S617">
        <v>309</v>
      </c>
      <c r="T617">
        <v>472</v>
      </c>
      <c r="U617">
        <v>309</v>
      </c>
      <c r="V617">
        <v>472</v>
      </c>
    </row>
    <row r="618" spans="2:22" x14ac:dyDescent="0.35">
      <c r="B618" s="23" t="s">
        <v>401</v>
      </c>
      <c r="D618" t="s">
        <v>391</v>
      </c>
      <c r="E618" t="s">
        <v>392</v>
      </c>
      <c r="F618" s="46" t="s">
        <v>401</v>
      </c>
      <c r="G618" t="s">
        <v>231</v>
      </c>
      <c r="H618" s="47" t="s">
        <v>393</v>
      </c>
      <c r="I618" s="47" t="s">
        <v>394</v>
      </c>
      <c r="J618" t="s">
        <v>402</v>
      </c>
      <c r="K618">
        <v>335</v>
      </c>
      <c r="L618">
        <v>452</v>
      </c>
      <c r="M618" s="24">
        <v>299</v>
      </c>
      <c r="N618" s="24">
        <v>412</v>
      </c>
      <c r="O618" s="24">
        <v>310</v>
      </c>
      <c r="P618" s="24">
        <v>412</v>
      </c>
      <c r="Q618">
        <v>311</v>
      </c>
      <c r="R618">
        <v>441</v>
      </c>
      <c r="S618">
        <v>434</v>
      </c>
      <c r="T618">
        <v>586</v>
      </c>
      <c r="U618">
        <v>434</v>
      </c>
      <c r="V618">
        <v>586</v>
      </c>
    </row>
    <row r="619" spans="2:22" x14ac:dyDescent="0.35">
      <c r="B619" s="23" t="s">
        <v>403</v>
      </c>
      <c r="D619" t="s">
        <v>391</v>
      </c>
      <c r="E619" t="s">
        <v>392</v>
      </c>
      <c r="F619" s="46" t="s">
        <v>403</v>
      </c>
      <c r="G619" t="s">
        <v>231</v>
      </c>
      <c r="H619" s="47" t="s">
        <v>393</v>
      </c>
      <c r="I619" s="47" t="s">
        <v>394</v>
      </c>
      <c r="J619" t="s">
        <v>371</v>
      </c>
      <c r="K619">
        <v>175</v>
      </c>
      <c r="L619">
        <v>214</v>
      </c>
      <c r="M619" s="24">
        <v>161</v>
      </c>
      <c r="N619" s="24">
        <v>196</v>
      </c>
      <c r="O619" s="24">
        <v>158</v>
      </c>
      <c r="P619" s="24">
        <v>198</v>
      </c>
      <c r="Q619">
        <v>161</v>
      </c>
      <c r="R619">
        <v>208</v>
      </c>
      <c r="S619">
        <v>213</v>
      </c>
      <c r="T619">
        <v>288</v>
      </c>
      <c r="U619">
        <v>213</v>
      </c>
      <c r="V619">
        <v>288</v>
      </c>
    </row>
    <row r="620" spans="2:22" x14ac:dyDescent="0.35">
      <c r="B620" s="23" t="s">
        <v>404</v>
      </c>
      <c r="D620" t="s">
        <v>391</v>
      </c>
      <c r="E620" t="s">
        <v>392</v>
      </c>
      <c r="F620" s="46" t="s">
        <v>404</v>
      </c>
      <c r="G620" t="s">
        <v>231</v>
      </c>
      <c r="H620" s="47" t="s">
        <v>393</v>
      </c>
      <c r="I620" s="47" t="s">
        <v>394</v>
      </c>
      <c r="J620" t="s">
        <v>405</v>
      </c>
      <c r="K620">
        <v>1931</v>
      </c>
      <c r="L620">
        <v>2643</v>
      </c>
      <c r="M620" s="24">
        <v>2011</v>
      </c>
      <c r="N620" s="24">
        <v>2695</v>
      </c>
      <c r="O620" s="24">
        <v>1976</v>
      </c>
      <c r="P620" s="24">
        <v>2679</v>
      </c>
      <c r="Q620">
        <v>1987</v>
      </c>
      <c r="R620">
        <v>2704</v>
      </c>
      <c r="S620">
        <v>2314</v>
      </c>
      <c r="T620">
        <v>3454</v>
      </c>
      <c r="U620">
        <v>2314</v>
      </c>
      <c r="V620">
        <v>3454</v>
      </c>
    </row>
    <row r="621" spans="2:22" x14ac:dyDescent="0.35">
      <c r="B621" s="23" t="s">
        <v>406</v>
      </c>
      <c r="D621" t="s">
        <v>391</v>
      </c>
      <c r="E621" t="s">
        <v>392</v>
      </c>
      <c r="F621" s="46" t="s">
        <v>406</v>
      </c>
      <c r="G621" t="s">
        <v>231</v>
      </c>
      <c r="H621" s="47" t="s">
        <v>393</v>
      </c>
      <c r="I621" s="47" t="s">
        <v>394</v>
      </c>
      <c r="J621" t="s">
        <v>407</v>
      </c>
      <c r="K621">
        <v>1914</v>
      </c>
      <c r="L621">
        <v>2672</v>
      </c>
      <c r="M621" s="24">
        <v>2045</v>
      </c>
      <c r="N621" s="24">
        <v>2752</v>
      </c>
      <c r="O621" s="24">
        <v>1963</v>
      </c>
      <c r="P621" s="24">
        <v>2716</v>
      </c>
      <c r="Q621">
        <v>1980</v>
      </c>
      <c r="R621">
        <v>2838</v>
      </c>
      <c r="S621">
        <v>2672</v>
      </c>
      <c r="T621">
        <v>3997</v>
      </c>
      <c r="U621">
        <v>2672</v>
      </c>
      <c r="V621">
        <v>3997</v>
      </c>
    </row>
    <row r="622" spans="2:22" x14ac:dyDescent="0.35">
      <c r="B622" s="23" t="s">
        <v>408</v>
      </c>
      <c r="D622" t="s">
        <v>391</v>
      </c>
      <c r="E622" t="s">
        <v>392</v>
      </c>
      <c r="F622" s="46" t="s">
        <v>408</v>
      </c>
      <c r="G622" t="s">
        <v>231</v>
      </c>
      <c r="H622" s="47" t="s">
        <v>393</v>
      </c>
      <c r="I622" s="47" t="s">
        <v>394</v>
      </c>
      <c r="J622" t="s">
        <v>409</v>
      </c>
      <c r="K622">
        <v>973</v>
      </c>
      <c r="L622">
        <v>1305</v>
      </c>
      <c r="M622" s="24">
        <v>992</v>
      </c>
      <c r="N622" s="24">
        <v>1343</v>
      </c>
      <c r="O622" s="24">
        <v>915</v>
      </c>
      <c r="P622" s="24">
        <v>1243</v>
      </c>
      <c r="Q622">
        <v>948</v>
      </c>
      <c r="R622">
        <v>1339</v>
      </c>
      <c r="S622">
        <v>1206</v>
      </c>
      <c r="T622">
        <v>1728</v>
      </c>
      <c r="U622">
        <v>1206</v>
      </c>
      <c r="V622">
        <v>1728</v>
      </c>
    </row>
    <row r="623" spans="2:22" x14ac:dyDescent="0.35">
      <c r="B623" s="23" t="s">
        <v>410</v>
      </c>
      <c r="D623" t="s">
        <v>391</v>
      </c>
      <c r="E623" t="s">
        <v>392</v>
      </c>
      <c r="F623" s="46" t="s">
        <v>410</v>
      </c>
      <c r="G623" t="s">
        <v>231</v>
      </c>
      <c r="H623" s="47" t="s">
        <v>393</v>
      </c>
      <c r="I623" s="47" t="s">
        <v>394</v>
      </c>
      <c r="J623" t="s">
        <v>411</v>
      </c>
      <c r="K623">
        <v>301</v>
      </c>
      <c r="L623">
        <v>399</v>
      </c>
      <c r="M623" s="24">
        <v>299</v>
      </c>
      <c r="N623" s="24">
        <v>405</v>
      </c>
      <c r="O623" s="24">
        <v>298</v>
      </c>
      <c r="P623" s="24">
        <v>386</v>
      </c>
      <c r="Q623">
        <v>291</v>
      </c>
      <c r="R623">
        <v>394</v>
      </c>
      <c r="S623">
        <v>357</v>
      </c>
      <c r="T623">
        <v>491</v>
      </c>
      <c r="U623">
        <v>357</v>
      </c>
      <c r="V623">
        <v>491</v>
      </c>
    </row>
    <row r="624" spans="2:22" x14ac:dyDescent="0.35">
      <c r="B624" s="23" t="s">
        <v>412</v>
      </c>
      <c r="D624" t="s">
        <v>391</v>
      </c>
      <c r="E624" t="s">
        <v>392</v>
      </c>
      <c r="F624" s="46" t="s">
        <v>412</v>
      </c>
      <c r="G624" t="s">
        <v>231</v>
      </c>
      <c r="H624" s="47" t="s">
        <v>393</v>
      </c>
      <c r="I624" s="47" t="s">
        <v>394</v>
      </c>
      <c r="J624" t="s">
        <v>413</v>
      </c>
      <c r="K624">
        <v>275</v>
      </c>
      <c r="L624">
        <v>386</v>
      </c>
      <c r="M624" s="24">
        <v>277</v>
      </c>
      <c r="N624" s="24">
        <v>383</v>
      </c>
      <c r="O624" s="24">
        <v>266</v>
      </c>
      <c r="P624" s="24">
        <v>355</v>
      </c>
      <c r="Q624">
        <v>270</v>
      </c>
      <c r="R624">
        <v>382</v>
      </c>
      <c r="S624">
        <v>355</v>
      </c>
      <c r="T624">
        <v>531</v>
      </c>
      <c r="U624">
        <v>355</v>
      </c>
      <c r="V624">
        <v>531</v>
      </c>
    </row>
    <row r="625" spans="2:22" x14ac:dyDescent="0.35">
      <c r="B625" s="23" t="s">
        <v>414</v>
      </c>
      <c r="D625" t="s">
        <v>391</v>
      </c>
      <c r="E625" t="s">
        <v>392</v>
      </c>
      <c r="F625" s="46" t="s">
        <v>414</v>
      </c>
      <c r="G625" t="s">
        <v>231</v>
      </c>
      <c r="H625" s="47" t="s">
        <v>393</v>
      </c>
      <c r="I625" s="47" t="s">
        <v>394</v>
      </c>
      <c r="J625" t="s">
        <v>415</v>
      </c>
      <c r="K625">
        <v>152</v>
      </c>
      <c r="L625">
        <v>222</v>
      </c>
      <c r="M625" s="24">
        <v>149</v>
      </c>
      <c r="N625" s="24">
        <v>218</v>
      </c>
      <c r="O625" s="24">
        <v>131</v>
      </c>
      <c r="P625" s="24">
        <v>201</v>
      </c>
      <c r="Q625">
        <v>126</v>
      </c>
      <c r="R625">
        <v>191</v>
      </c>
      <c r="S625">
        <v>189</v>
      </c>
      <c r="T625">
        <v>263</v>
      </c>
      <c r="U625">
        <v>189</v>
      </c>
      <c r="V625">
        <v>263</v>
      </c>
    </row>
    <row r="626" spans="2:22" x14ac:dyDescent="0.35">
      <c r="B626" s="23" t="s">
        <v>416</v>
      </c>
      <c r="D626" t="s">
        <v>391</v>
      </c>
      <c r="E626" t="s">
        <v>392</v>
      </c>
      <c r="F626" s="46" t="s">
        <v>416</v>
      </c>
      <c r="G626" t="s">
        <v>231</v>
      </c>
      <c r="H626" s="47" t="s">
        <v>393</v>
      </c>
      <c r="I626" s="47" t="s">
        <v>394</v>
      </c>
      <c r="J626" t="s">
        <v>417</v>
      </c>
      <c r="K626">
        <v>1242</v>
      </c>
      <c r="L626">
        <v>1721</v>
      </c>
      <c r="M626" s="24">
        <v>1282</v>
      </c>
      <c r="N626" s="24">
        <v>1679</v>
      </c>
      <c r="O626" s="24">
        <v>1231</v>
      </c>
      <c r="P626" s="24">
        <v>1624</v>
      </c>
      <c r="Q626">
        <v>1218</v>
      </c>
      <c r="R626">
        <v>1678</v>
      </c>
      <c r="S626">
        <v>1484</v>
      </c>
      <c r="T626">
        <v>2140</v>
      </c>
      <c r="U626">
        <v>1484</v>
      </c>
      <c r="V626">
        <v>2140</v>
      </c>
    </row>
    <row r="627" spans="2:22" x14ac:dyDescent="0.35">
      <c r="B627" s="23" t="s">
        <v>418</v>
      </c>
      <c r="D627" t="s">
        <v>391</v>
      </c>
      <c r="E627" t="s">
        <v>392</v>
      </c>
      <c r="F627" s="46" t="s">
        <v>418</v>
      </c>
      <c r="G627" t="s">
        <v>235</v>
      </c>
      <c r="H627" s="47" t="s">
        <v>419</v>
      </c>
      <c r="I627" s="47" t="s">
        <v>420</v>
      </c>
      <c r="J627" t="s">
        <v>329</v>
      </c>
      <c r="K627">
        <v>266</v>
      </c>
      <c r="L627">
        <v>324</v>
      </c>
      <c r="M627" s="24">
        <v>256</v>
      </c>
      <c r="N627" s="24">
        <v>314</v>
      </c>
      <c r="O627" s="24">
        <v>249</v>
      </c>
      <c r="P627" s="24">
        <v>304</v>
      </c>
      <c r="Q627">
        <v>238</v>
      </c>
      <c r="R627">
        <v>319</v>
      </c>
      <c r="S627">
        <v>318</v>
      </c>
      <c r="T627">
        <v>419</v>
      </c>
      <c r="U627">
        <v>318</v>
      </c>
      <c r="V627">
        <v>419</v>
      </c>
    </row>
    <row r="628" spans="2:22" x14ac:dyDescent="0.35">
      <c r="B628" s="23" t="s">
        <v>421</v>
      </c>
      <c r="D628" t="s">
        <v>391</v>
      </c>
      <c r="E628" t="s">
        <v>392</v>
      </c>
      <c r="F628" s="46" t="s">
        <v>421</v>
      </c>
      <c r="G628" t="s">
        <v>235</v>
      </c>
      <c r="H628" s="47" t="s">
        <v>419</v>
      </c>
      <c r="I628" s="47" t="s">
        <v>420</v>
      </c>
      <c r="J628" t="s">
        <v>422</v>
      </c>
      <c r="K628">
        <v>164</v>
      </c>
      <c r="L628">
        <v>240</v>
      </c>
      <c r="M628" s="24">
        <v>181</v>
      </c>
      <c r="N628" s="24">
        <v>250</v>
      </c>
      <c r="O628" s="24">
        <v>131</v>
      </c>
      <c r="P628" s="24">
        <v>191</v>
      </c>
      <c r="Q628">
        <v>124</v>
      </c>
      <c r="R628">
        <v>203</v>
      </c>
      <c r="S628">
        <v>185</v>
      </c>
      <c r="T628">
        <v>262</v>
      </c>
      <c r="U628">
        <v>185</v>
      </c>
      <c r="V628">
        <v>262</v>
      </c>
    </row>
    <row r="629" spans="2:22" x14ac:dyDescent="0.35">
      <c r="B629" s="23" t="s">
        <v>423</v>
      </c>
      <c r="D629" t="s">
        <v>391</v>
      </c>
      <c r="E629" t="s">
        <v>392</v>
      </c>
      <c r="F629" s="46" t="s">
        <v>423</v>
      </c>
      <c r="G629" t="s">
        <v>235</v>
      </c>
      <c r="H629" s="47" t="s">
        <v>419</v>
      </c>
      <c r="I629" s="47" t="s">
        <v>420</v>
      </c>
      <c r="J629" t="s">
        <v>357</v>
      </c>
      <c r="K629">
        <v>216</v>
      </c>
      <c r="L629">
        <v>303</v>
      </c>
      <c r="M629" s="24">
        <v>227</v>
      </c>
      <c r="N629" s="24">
        <v>301</v>
      </c>
      <c r="O629" s="24">
        <v>171</v>
      </c>
      <c r="P629" s="24">
        <v>247</v>
      </c>
      <c r="Q629">
        <v>171</v>
      </c>
      <c r="R629">
        <v>234</v>
      </c>
      <c r="S629">
        <v>206</v>
      </c>
      <c r="T629">
        <v>286</v>
      </c>
      <c r="U629">
        <v>206</v>
      </c>
      <c r="V629">
        <v>286</v>
      </c>
    </row>
    <row r="630" spans="2:22" x14ac:dyDescent="0.35">
      <c r="B630" s="23" t="s">
        <v>424</v>
      </c>
      <c r="D630" t="s">
        <v>391</v>
      </c>
      <c r="E630" t="s">
        <v>392</v>
      </c>
      <c r="F630" s="46" t="s">
        <v>424</v>
      </c>
      <c r="G630" t="s">
        <v>235</v>
      </c>
      <c r="H630" s="47" t="s">
        <v>419</v>
      </c>
      <c r="I630" s="47" t="s">
        <v>420</v>
      </c>
      <c r="J630" t="s">
        <v>377</v>
      </c>
      <c r="K630">
        <v>321</v>
      </c>
      <c r="L630">
        <v>411</v>
      </c>
      <c r="M630" s="24">
        <v>295</v>
      </c>
      <c r="N630" s="24">
        <v>374</v>
      </c>
      <c r="O630" s="24">
        <v>256</v>
      </c>
      <c r="P630" s="24">
        <v>350</v>
      </c>
      <c r="Q630">
        <v>246</v>
      </c>
      <c r="R630">
        <v>338</v>
      </c>
      <c r="S630">
        <v>309</v>
      </c>
      <c r="T630">
        <v>426</v>
      </c>
      <c r="U630">
        <v>309</v>
      </c>
      <c r="V630">
        <v>426</v>
      </c>
    </row>
    <row r="631" spans="2:22" x14ac:dyDescent="0.35">
      <c r="B631" s="23" t="s">
        <v>425</v>
      </c>
      <c r="D631" t="s">
        <v>391</v>
      </c>
      <c r="E631" t="s">
        <v>392</v>
      </c>
      <c r="F631" s="46" t="s">
        <v>425</v>
      </c>
      <c r="G631" t="s">
        <v>235</v>
      </c>
      <c r="H631" s="47" t="s">
        <v>419</v>
      </c>
      <c r="I631" s="47" t="s">
        <v>420</v>
      </c>
      <c r="J631" t="s">
        <v>426</v>
      </c>
      <c r="K631">
        <v>121</v>
      </c>
      <c r="L631">
        <v>150</v>
      </c>
      <c r="M631" s="24">
        <v>140</v>
      </c>
      <c r="N631" s="24">
        <v>157</v>
      </c>
      <c r="O631" s="24">
        <v>131</v>
      </c>
      <c r="P631" s="24">
        <v>150</v>
      </c>
      <c r="Q631">
        <v>144</v>
      </c>
      <c r="R631">
        <v>166</v>
      </c>
      <c r="S631">
        <v>157</v>
      </c>
      <c r="T631">
        <v>193</v>
      </c>
      <c r="U631">
        <v>157</v>
      </c>
      <c r="V631">
        <v>193</v>
      </c>
    </row>
    <row r="632" spans="2:22" x14ac:dyDescent="0.35">
      <c r="B632" s="23" t="s">
        <v>427</v>
      </c>
      <c r="D632" t="s">
        <v>391</v>
      </c>
      <c r="E632" t="s">
        <v>392</v>
      </c>
      <c r="F632" s="46" t="s">
        <v>427</v>
      </c>
      <c r="G632" t="s">
        <v>235</v>
      </c>
      <c r="H632" s="47" t="s">
        <v>419</v>
      </c>
      <c r="I632" s="47" t="s">
        <v>420</v>
      </c>
      <c r="J632" t="s">
        <v>428</v>
      </c>
      <c r="K632">
        <v>1648</v>
      </c>
      <c r="L632">
        <v>2289</v>
      </c>
      <c r="M632" s="24">
        <v>1772</v>
      </c>
      <c r="N632" s="24">
        <v>2335</v>
      </c>
      <c r="O632" s="24">
        <v>1589</v>
      </c>
      <c r="P632" s="24">
        <v>2228</v>
      </c>
      <c r="Q632">
        <v>1527</v>
      </c>
      <c r="R632">
        <v>2245</v>
      </c>
      <c r="S632">
        <v>2193</v>
      </c>
      <c r="T632">
        <v>3196</v>
      </c>
      <c r="U632">
        <v>2193</v>
      </c>
      <c r="V632">
        <v>3196</v>
      </c>
    </row>
    <row r="633" spans="2:22" x14ac:dyDescent="0.35">
      <c r="B633" s="23" t="s">
        <v>429</v>
      </c>
      <c r="D633" t="s">
        <v>391</v>
      </c>
      <c r="E633" t="s">
        <v>392</v>
      </c>
      <c r="F633" s="46" t="s">
        <v>429</v>
      </c>
      <c r="G633" t="s">
        <v>235</v>
      </c>
      <c r="H633" s="47" t="s">
        <v>419</v>
      </c>
      <c r="I633" s="47" t="s">
        <v>420</v>
      </c>
      <c r="J633" t="s">
        <v>305</v>
      </c>
      <c r="K633">
        <v>664</v>
      </c>
      <c r="L633">
        <v>859</v>
      </c>
      <c r="M633" s="24">
        <v>682</v>
      </c>
      <c r="N633" s="24">
        <v>886</v>
      </c>
      <c r="O633" s="24">
        <v>628</v>
      </c>
      <c r="P633" s="24">
        <v>859</v>
      </c>
      <c r="Q633">
        <v>600</v>
      </c>
      <c r="R633">
        <v>860</v>
      </c>
      <c r="S633">
        <v>762</v>
      </c>
      <c r="T633">
        <v>1151</v>
      </c>
      <c r="U633">
        <v>762</v>
      </c>
      <c r="V633">
        <v>1151</v>
      </c>
    </row>
    <row r="634" spans="2:22" x14ac:dyDescent="0.35">
      <c r="B634" s="23" t="s">
        <v>430</v>
      </c>
      <c r="D634" t="s">
        <v>391</v>
      </c>
      <c r="E634" t="s">
        <v>392</v>
      </c>
      <c r="F634" s="46" t="s">
        <v>430</v>
      </c>
      <c r="G634" t="s">
        <v>235</v>
      </c>
      <c r="H634" s="47" t="s">
        <v>419</v>
      </c>
      <c r="I634" s="47" t="s">
        <v>420</v>
      </c>
      <c r="J634" t="s">
        <v>261</v>
      </c>
      <c r="K634">
        <v>292</v>
      </c>
      <c r="L634">
        <v>367</v>
      </c>
      <c r="M634" s="24">
        <v>276</v>
      </c>
      <c r="N634" s="24">
        <v>342</v>
      </c>
      <c r="O634" s="24">
        <v>284</v>
      </c>
      <c r="P634" s="24">
        <v>371</v>
      </c>
      <c r="Q634">
        <v>235</v>
      </c>
      <c r="R634">
        <v>327</v>
      </c>
      <c r="S634">
        <v>305</v>
      </c>
      <c r="T634">
        <v>428</v>
      </c>
      <c r="U634">
        <v>305</v>
      </c>
      <c r="V634">
        <v>428</v>
      </c>
    </row>
    <row r="635" spans="2:22" x14ac:dyDescent="0.35">
      <c r="B635" s="23" t="s">
        <v>431</v>
      </c>
      <c r="D635" t="s">
        <v>391</v>
      </c>
      <c r="E635" t="s">
        <v>392</v>
      </c>
      <c r="F635" s="46" t="s">
        <v>431</v>
      </c>
      <c r="G635" t="s">
        <v>235</v>
      </c>
      <c r="H635" s="47" t="s">
        <v>419</v>
      </c>
      <c r="I635" s="47" t="s">
        <v>420</v>
      </c>
      <c r="J635" t="s">
        <v>432</v>
      </c>
      <c r="K635">
        <v>333</v>
      </c>
      <c r="L635">
        <v>439</v>
      </c>
      <c r="M635" s="24">
        <v>352</v>
      </c>
      <c r="N635" s="24">
        <v>439</v>
      </c>
      <c r="O635" s="24">
        <v>336</v>
      </c>
      <c r="P635" s="24">
        <v>447</v>
      </c>
      <c r="Q635">
        <v>307</v>
      </c>
      <c r="R635">
        <v>417</v>
      </c>
      <c r="S635">
        <v>369</v>
      </c>
      <c r="T635">
        <v>501</v>
      </c>
      <c r="U635">
        <v>369</v>
      </c>
      <c r="V635">
        <v>501</v>
      </c>
    </row>
    <row r="636" spans="2:22" x14ac:dyDescent="0.35">
      <c r="B636" s="23" t="s">
        <v>433</v>
      </c>
      <c r="D636" t="s">
        <v>391</v>
      </c>
      <c r="E636" t="s">
        <v>392</v>
      </c>
      <c r="F636" s="46" t="s">
        <v>433</v>
      </c>
      <c r="G636" t="s">
        <v>235</v>
      </c>
      <c r="H636" s="47" t="s">
        <v>419</v>
      </c>
      <c r="I636" s="47" t="s">
        <v>420</v>
      </c>
      <c r="J636" t="s">
        <v>434</v>
      </c>
      <c r="K636">
        <v>564</v>
      </c>
      <c r="L636">
        <v>794</v>
      </c>
      <c r="M636" s="24">
        <v>605</v>
      </c>
      <c r="N636" s="24">
        <v>794</v>
      </c>
      <c r="O636" s="24">
        <v>564</v>
      </c>
      <c r="P636" s="24">
        <v>770</v>
      </c>
      <c r="Q636">
        <v>600</v>
      </c>
      <c r="R636">
        <v>858</v>
      </c>
      <c r="S636">
        <v>793</v>
      </c>
      <c r="T636">
        <v>1084</v>
      </c>
      <c r="U636">
        <v>793</v>
      </c>
      <c r="V636">
        <v>1084</v>
      </c>
    </row>
    <row r="637" spans="2:22" x14ac:dyDescent="0.35">
      <c r="B637" s="23" t="s">
        <v>435</v>
      </c>
      <c r="D637" t="s">
        <v>391</v>
      </c>
      <c r="E637" t="s">
        <v>392</v>
      </c>
      <c r="F637" s="46" t="s">
        <v>435</v>
      </c>
      <c r="G637" t="s">
        <v>235</v>
      </c>
      <c r="H637" s="47" t="s">
        <v>419</v>
      </c>
      <c r="I637" s="47" t="s">
        <v>420</v>
      </c>
      <c r="J637" t="s">
        <v>436</v>
      </c>
      <c r="K637">
        <v>730</v>
      </c>
      <c r="L637">
        <v>966</v>
      </c>
      <c r="M637" s="24">
        <v>698</v>
      </c>
      <c r="N637" s="24">
        <v>916</v>
      </c>
      <c r="O637" s="24">
        <v>572</v>
      </c>
      <c r="P637" s="24">
        <v>795</v>
      </c>
      <c r="Q637">
        <v>549</v>
      </c>
      <c r="R637">
        <v>744</v>
      </c>
      <c r="S637">
        <v>780</v>
      </c>
      <c r="T637">
        <v>1053</v>
      </c>
      <c r="U637">
        <v>780</v>
      </c>
      <c r="V637">
        <v>1053</v>
      </c>
    </row>
    <row r="638" spans="2:22" x14ac:dyDescent="0.35">
      <c r="B638" s="23" t="s">
        <v>437</v>
      </c>
      <c r="D638" t="s">
        <v>391</v>
      </c>
      <c r="E638" t="s">
        <v>392</v>
      </c>
      <c r="F638" s="46" t="s">
        <v>437</v>
      </c>
      <c r="G638" t="s">
        <v>235</v>
      </c>
      <c r="H638" s="47" t="s">
        <v>419</v>
      </c>
      <c r="I638" s="47" t="s">
        <v>420</v>
      </c>
      <c r="J638" t="s">
        <v>438</v>
      </c>
      <c r="K638">
        <v>505</v>
      </c>
      <c r="L638">
        <v>666</v>
      </c>
      <c r="M638" s="24">
        <v>540</v>
      </c>
      <c r="N638" s="24">
        <v>663</v>
      </c>
      <c r="O638" s="24">
        <v>503</v>
      </c>
      <c r="P638" s="24">
        <v>639</v>
      </c>
      <c r="Q638">
        <v>471</v>
      </c>
      <c r="R638">
        <v>625</v>
      </c>
      <c r="S638">
        <v>631</v>
      </c>
      <c r="T638">
        <v>838</v>
      </c>
      <c r="U638">
        <v>631</v>
      </c>
      <c r="V638">
        <v>838</v>
      </c>
    </row>
    <row r="639" spans="2:22" x14ac:dyDescent="0.35">
      <c r="B639" s="23" t="s">
        <v>439</v>
      </c>
      <c r="D639" t="s">
        <v>391</v>
      </c>
      <c r="E639" t="s">
        <v>392</v>
      </c>
      <c r="F639" s="46" t="s">
        <v>439</v>
      </c>
      <c r="G639" t="s">
        <v>235</v>
      </c>
      <c r="H639" s="47" t="s">
        <v>419</v>
      </c>
      <c r="I639" s="47" t="s">
        <v>420</v>
      </c>
      <c r="J639" t="s">
        <v>440</v>
      </c>
      <c r="K639">
        <v>300</v>
      </c>
      <c r="L639">
        <v>379</v>
      </c>
      <c r="M639" s="24">
        <v>296</v>
      </c>
      <c r="N639" s="24">
        <v>352</v>
      </c>
      <c r="O639" s="24">
        <v>287</v>
      </c>
      <c r="P639" s="24">
        <v>378</v>
      </c>
      <c r="Q639">
        <v>283</v>
      </c>
      <c r="R639">
        <v>367</v>
      </c>
      <c r="S639">
        <v>394</v>
      </c>
      <c r="T639">
        <v>505</v>
      </c>
      <c r="U639">
        <v>394</v>
      </c>
      <c r="V639">
        <v>505</v>
      </c>
    </row>
    <row r="640" spans="2:22" x14ac:dyDescent="0.35">
      <c r="B640" s="23" t="s">
        <v>441</v>
      </c>
      <c r="D640" t="s">
        <v>391</v>
      </c>
      <c r="E640" t="s">
        <v>392</v>
      </c>
      <c r="F640" s="46" t="s">
        <v>441</v>
      </c>
      <c r="G640" t="s">
        <v>235</v>
      </c>
      <c r="H640" s="47" t="s">
        <v>419</v>
      </c>
      <c r="I640" s="47" t="s">
        <v>420</v>
      </c>
      <c r="J640" t="s">
        <v>442</v>
      </c>
      <c r="K640">
        <v>312</v>
      </c>
      <c r="L640">
        <v>393</v>
      </c>
      <c r="M640" s="24">
        <v>307</v>
      </c>
      <c r="N640" s="24">
        <v>374</v>
      </c>
      <c r="O640" s="24">
        <v>310</v>
      </c>
      <c r="P640" s="24">
        <v>373</v>
      </c>
      <c r="Q640">
        <v>322</v>
      </c>
      <c r="R640">
        <v>402</v>
      </c>
      <c r="S640">
        <v>362</v>
      </c>
      <c r="T640">
        <v>468</v>
      </c>
      <c r="U640">
        <v>362</v>
      </c>
      <c r="V640">
        <v>468</v>
      </c>
    </row>
    <row r="641" spans="2:22" x14ac:dyDescent="0.35">
      <c r="B641" s="23" t="s">
        <v>443</v>
      </c>
      <c r="D641" t="s">
        <v>391</v>
      </c>
      <c r="E641" t="s">
        <v>392</v>
      </c>
      <c r="F641" s="46" t="s">
        <v>443</v>
      </c>
      <c r="G641" t="s">
        <v>235</v>
      </c>
      <c r="H641" s="47" t="s">
        <v>419</v>
      </c>
      <c r="I641" s="47" t="s">
        <v>420</v>
      </c>
      <c r="J641" t="s">
        <v>444</v>
      </c>
      <c r="K641">
        <v>182</v>
      </c>
      <c r="L641">
        <v>235</v>
      </c>
      <c r="M641" s="24">
        <v>206</v>
      </c>
      <c r="N641" s="24">
        <v>263</v>
      </c>
      <c r="O641" s="24">
        <v>190</v>
      </c>
      <c r="P641" s="24">
        <v>261</v>
      </c>
      <c r="Q641">
        <v>208</v>
      </c>
      <c r="R641">
        <v>289</v>
      </c>
      <c r="S641">
        <v>246</v>
      </c>
      <c r="T641">
        <v>347</v>
      </c>
      <c r="U641">
        <v>246</v>
      </c>
      <c r="V641">
        <v>347</v>
      </c>
    </row>
    <row r="642" spans="2:22" x14ac:dyDescent="0.35">
      <c r="B642" s="23" t="s">
        <v>445</v>
      </c>
      <c r="D642" t="s">
        <v>391</v>
      </c>
      <c r="E642" t="s">
        <v>392</v>
      </c>
      <c r="F642" s="46" t="s">
        <v>445</v>
      </c>
      <c r="G642" t="s">
        <v>235</v>
      </c>
      <c r="H642" s="47" t="s">
        <v>419</v>
      </c>
      <c r="I642" s="47" t="s">
        <v>420</v>
      </c>
      <c r="J642" t="s">
        <v>446</v>
      </c>
      <c r="K642">
        <v>341</v>
      </c>
      <c r="L642">
        <v>442</v>
      </c>
      <c r="M642" s="24">
        <v>315</v>
      </c>
      <c r="N642" s="24">
        <v>414</v>
      </c>
      <c r="O642" s="24">
        <v>265</v>
      </c>
      <c r="P642" s="24">
        <v>378</v>
      </c>
      <c r="Q642">
        <v>317</v>
      </c>
      <c r="R642">
        <v>432</v>
      </c>
      <c r="S642">
        <v>430</v>
      </c>
      <c r="T642">
        <v>577</v>
      </c>
      <c r="U642">
        <v>430</v>
      </c>
      <c r="V642">
        <v>577</v>
      </c>
    </row>
    <row r="643" spans="2:22" x14ac:dyDescent="0.35">
      <c r="B643" s="23" t="s">
        <v>447</v>
      </c>
      <c r="D643" t="s">
        <v>391</v>
      </c>
      <c r="E643" t="s">
        <v>392</v>
      </c>
      <c r="F643" s="46" t="s">
        <v>447</v>
      </c>
      <c r="G643" t="s">
        <v>235</v>
      </c>
      <c r="H643" s="47" t="s">
        <v>419</v>
      </c>
      <c r="I643" s="47" t="s">
        <v>420</v>
      </c>
      <c r="J643" t="s">
        <v>448</v>
      </c>
      <c r="K643">
        <v>224</v>
      </c>
      <c r="L643">
        <v>320</v>
      </c>
      <c r="M643" s="24">
        <v>222</v>
      </c>
      <c r="N643" s="24">
        <v>305</v>
      </c>
      <c r="O643" s="24">
        <v>222</v>
      </c>
      <c r="P643" s="24">
        <v>299</v>
      </c>
      <c r="Q643">
        <v>239</v>
      </c>
      <c r="R643">
        <v>299</v>
      </c>
      <c r="S643">
        <v>259</v>
      </c>
      <c r="T643">
        <v>341</v>
      </c>
      <c r="U643">
        <v>259</v>
      </c>
      <c r="V643">
        <v>341</v>
      </c>
    </row>
    <row r="644" spans="2:22" x14ac:dyDescent="0.35">
      <c r="B644" s="23" t="s">
        <v>449</v>
      </c>
      <c r="D644" t="s">
        <v>391</v>
      </c>
      <c r="E644" t="s">
        <v>392</v>
      </c>
      <c r="F644" s="46" t="s">
        <v>449</v>
      </c>
      <c r="G644" t="s">
        <v>239</v>
      </c>
      <c r="H644" s="47" t="s">
        <v>450</v>
      </c>
      <c r="I644" s="47" t="s">
        <v>451</v>
      </c>
      <c r="J644" t="s">
        <v>452</v>
      </c>
      <c r="K644">
        <v>934</v>
      </c>
      <c r="L644">
        <v>1277</v>
      </c>
      <c r="M644" s="24">
        <v>928</v>
      </c>
      <c r="N644" s="24">
        <v>1192</v>
      </c>
      <c r="O644" s="24">
        <v>890</v>
      </c>
      <c r="P644" s="24">
        <v>1203</v>
      </c>
      <c r="Q644">
        <v>901</v>
      </c>
      <c r="R644">
        <v>1230</v>
      </c>
      <c r="S644">
        <v>1059</v>
      </c>
      <c r="T644">
        <v>1523</v>
      </c>
      <c r="U644">
        <v>1059</v>
      </c>
      <c r="V644">
        <v>1523</v>
      </c>
    </row>
    <row r="645" spans="2:22" x14ac:dyDescent="0.35">
      <c r="B645" s="23" t="s">
        <v>453</v>
      </c>
      <c r="D645" t="s">
        <v>391</v>
      </c>
      <c r="E645" t="s">
        <v>392</v>
      </c>
      <c r="F645" s="46" t="s">
        <v>453</v>
      </c>
      <c r="G645" t="s">
        <v>239</v>
      </c>
      <c r="H645" s="47" t="s">
        <v>450</v>
      </c>
      <c r="I645" s="47" t="s">
        <v>451</v>
      </c>
      <c r="J645" t="s">
        <v>287</v>
      </c>
      <c r="K645">
        <v>313</v>
      </c>
      <c r="L645">
        <v>430</v>
      </c>
      <c r="M645" s="24">
        <v>335</v>
      </c>
      <c r="N645" s="24">
        <v>438</v>
      </c>
      <c r="O645" s="24">
        <v>304</v>
      </c>
      <c r="P645" s="24">
        <v>437</v>
      </c>
      <c r="Q645">
        <v>270</v>
      </c>
      <c r="R645">
        <v>422</v>
      </c>
      <c r="S645">
        <v>329</v>
      </c>
      <c r="T645">
        <v>543</v>
      </c>
      <c r="U645">
        <v>329</v>
      </c>
      <c r="V645">
        <v>543</v>
      </c>
    </row>
    <row r="646" spans="2:22" x14ac:dyDescent="0.35">
      <c r="B646" s="23" t="s">
        <v>454</v>
      </c>
      <c r="D646" t="s">
        <v>391</v>
      </c>
      <c r="E646" t="s">
        <v>392</v>
      </c>
      <c r="F646" s="46" t="s">
        <v>454</v>
      </c>
      <c r="G646" t="s">
        <v>239</v>
      </c>
      <c r="H646" s="47" t="s">
        <v>450</v>
      </c>
      <c r="I646" s="47" t="s">
        <v>451</v>
      </c>
      <c r="J646" t="s">
        <v>385</v>
      </c>
      <c r="K646">
        <v>4278</v>
      </c>
      <c r="L646">
        <v>6367</v>
      </c>
      <c r="M646" s="24">
        <v>4555</v>
      </c>
      <c r="N646" s="24">
        <v>6344</v>
      </c>
      <c r="O646" s="24">
        <v>4162</v>
      </c>
      <c r="P646" s="24">
        <v>6031</v>
      </c>
      <c r="Q646">
        <v>4247</v>
      </c>
      <c r="R646">
        <v>6408</v>
      </c>
      <c r="S646">
        <v>5215</v>
      </c>
      <c r="T646">
        <v>8297</v>
      </c>
      <c r="U646">
        <v>5215</v>
      </c>
      <c r="V646">
        <v>8297</v>
      </c>
    </row>
    <row r="647" spans="2:22" x14ac:dyDescent="0.35">
      <c r="B647" s="23" t="s">
        <v>455</v>
      </c>
      <c r="D647" t="s">
        <v>391</v>
      </c>
      <c r="E647" t="s">
        <v>392</v>
      </c>
      <c r="F647" s="46" t="s">
        <v>455</v>
      </c>
      <c r="G647" t="s">
        <v>239</v>
      </c>
      <c r="H647" s="47" t="s">
        <v>450</v>
      </c>
      <c r="I647" s="47" t="s">
        <v>451</v>
      </c>
      <c r="J647" t="s">
        <v>456</v>
      </c>
      <c r="K647">
        <v>4697</v>
      </c>
      <c r="L647">
        <v>6968</v>
      </c>
      <c r="M647" s="24">
        <v>4867</v>
      </c>
      <c r="N647" s="24">
        <v>6966</v>
      </c>
      <c r="O647" s="24">
        <v>4533</v>
      </c>
      <c r="P647" s="24">
        <v>6804</v>
      </c>
      <c r="Q647">
        <v>4723</v>
      </c>
      <c r="R647">
        <v>7230</v>
      </c>
      <c r="S647">
        <v>6189</v>
      </c>
      <c r="T647">
        <v>10156</v>
      </c>
      <c r="U647">
        <v>6189</v>
      </c>
      <c r="V647">
        <v>10156</v>
      </c>
    </row>
    <row r="648" spans="2:22" x14ac:dyDescent="0.35">
      <c r="B648" s="23" t="s">
        <v>457</v>
      </c>
      <c r="D648" t="s">
        <v>391</v>
      </c>
      <c r="E648" t="s">
        <v>392</v>
      </c>
      <c r="F648" s="46" t="s">
        <v>457</v>
      </c>
      <c r="G648" t="s">
        <v>239</v>
      </c>
      <c r="H648" s="47" t="s">
        <v>450</v>
      </c>
      <c r="I648" s="47" t="s">
        <v>451</v>
      </c>
      <c r="J648" t="s">
        <v>365</v>
      </c>
      <c r="K648">
        <v>294</v>
      </c>
      <c r="L648">
        <v>406</v>
      </c>
      <c r="M648" s="24">
        <v>270</v>
      </c>
      <c r="N648" s="24">
        <v>375</v>
      </c>
      <c r="O648" s="24">
        <v>245</v>
      </c>
      <c r="P648" s="24">
        <v>334</v>
      </c>
      <c r="Q648">
        <v>251</v>
      </c>
      <c r="R648">
        <v>363</v>
      </c>
      <c r="S648">
        <v>354</v>
      </c>
      <c r="T648">
        <v>531</v>
      </c>
      <c r="U648">
        <v>354</v>
      </c>
      <c r="V648">
        <v>531</v>
      </c>
    </row>
    <row r="649" spans="2:22" x14ac:dyDescent="0.35">
      <c r="B649" s="23" t="s">
        <v>458</v>
      </c>
      <c r="D649" t="s">
        <v>391</v>
      </c>
      <c r="E649" t="s">
        <v>392</v>
      </c>
      <c r="F649" s="46" t="s">
        <v>458</v>
      </c>
      <c r="G649" t="s">
        <v>239</v>
      </c>
      <c r="H649" s="47" t="s">
        <v>450</v>
      </c>
      <c r="I649" s="47" t="s">
        <v>451</v>
      </c>
      <c r="J649" t="s">
        <v>459</v>
      </c>
      <c r="K649">
        <v>696</v>
      </c>
      <c r="L649">
        <v>949</v>
      </c>
      <c r="M649" s="24">
        <v>699</v>
      </c>
      <c r="N649" s="24">
        <v>946</v>
      </c>
      <c r="O649" s="24">
        <v>671</v>
      </c>
      <c r="P649" s="24">
        <v>884</v>
      </c>
      <c r="Q649">
        <v>704</v>
      </c>
      <c r="R649">
        <v>972</v>
      </c>
      <c r="S649">
        <v>891</v>
      </c>
      <c r="T649">
        <v>1306</v>
      </c>
      <c r="U649">
        <v>891</v>
      </c>
      <c r="V649">
        <v>1306</v>
      </c>
    </row>
    <row r="650" spans="2:22" x14ac:dyDescent="0.35">
      <c r="B650" s="23" t="s">
        <v>460</v>
      </c>
      <c r="D650" t="s">
        <v>391</v>
      </c>
      <c r="E650" t="s">
        <v>392</v>
      </c>
      <c r="F650" s="46" t="s">
        <v>460</v>
      </c>
      <c r="G650" t="s">
        <v>239</v>
      </c>
      <c r="H650" s="47" t="s">
        <v>450</v>
      </c>
      <c r="I650" s="47" t="s">
        <v>451</v>
      </c>
      <c r="J650" t="s">
        <v>461</v>
      </c>
      <c r="K650">
        <v>165</v>
      </c>
      <c r="L650">
        <v>243</v>
      </c>
      <c r="M650" s="24">
        <v>146</v>
      </c>
      <c r="N650" s="24">
        <v>208</v>
      </c>
      <c r="O650" s="24">
        <v>132</v>
      </c>
      <c r="P650" s="24">
        <v>184</v>
      </c>
      <c r="Q650">
        <v>117</v>
      </c>
      <c r="R650">
        <v>159</v>
      </c>
      <c r="S650">
        <v>164</v>
      </c>
      <c r="T650">
        <v>227</v>
      </c>
      <c r="U650">
        <v>164</v>
      </c>
      <c r="V650">
        <v>227</v>
      </c>
    </row>
    <row r="651" spans="2:22" x14ac:dyDescent="0.35">
      <c r="B651" s="23" t="s">
        <v>462</v>
      </c>
      <c r="D651" t="s">
        <v>391</v>
      </c>
      <c r="E651" t="s">
        <v>392</v>
      </c>
      <c r="F651" s="46" t="s">
        <v>462</v>
      </c>
      <c r="G651" t="s">
        <v>239</v>
      </c>
      <c r="H651" s="47" t="s">
        <v>450</v>
      </c>
      <c r="I651" s="47" t="s">
        <v>451</v>
      </c>
      <c r="J651" t="s">
        <v>463</v>
      </c>
      <c r="K651">
        <v>713</v>
      </c>
      <c r="L651">
        <v>965</v>
      </c>
      <c r="M651" s="24">
        <v>711</v>
      </c>
      <c r="N651" s="24">
        <v>1003</v>
      </c>
      <c r="O651" s="24">
        <v>616</v>
      </c>
      <c r="P651" s="24">
        <v>906</v>
      </c>
      <c r="Q651">
        <v>617</v>
      </c>
      <c r="R651">
        <v>939</v>
      </c>
      <c r="S651">
        <v>769</v>
      </c>
      <c r="T651">
        <v>1187</v>
      </c>
      <c r="U651">
        <v>769</v>
      </c>
      <c r="V651">
        <v>1187</v>
      </c>
    </row>
    <row r="652" spans="2:22" x14ac:dyDescent="0.35">
      <c r="B652" s="23" t="s">
        <v>464</v>
      </c>
      <c r="D652" t="s">
        <v>391</v>
      </c>
      <c r="E652" t="s">
        <v>392</v>
      </c>
      <c r="F652" s="46" t="s">
        <v>464</v>
      </c>
      <c r="G652" t="s">
        <v>239</v>
      </c>
      <c r="H652" s="47" t="s">
        <v>450</v>
      </c>
      <c r="I652" s="47" t="s">
        <v>451</v>
      </c>
      <c r="J652" t="s">
        <v>465</v>
      </c>
      <c r="K652">
        <v>172</v>
      </c>
      <c r="L652">
        <v>222</v>
      </c>
      <c r="M652" s="24">
        <v>174</v>
      </c>
      <c r="N652" s="24">
        <v>216</v>
      </c>
      <c r="O652" s="24">
        <v>158</v>
      </c>
      <c r="P652" s="24">
        <v>182</v>
      </c>
      <c r="Q652">
        <v>170</v>
      </c>
      <c r="R652">
        <v>218</v>
      </c>
      <c r="S652">
        <v>174</v>
      </c>
      <c r="T652">
        <v>252</v>
      </c>
      <c r="U652">
        <v>174</v>
      </c>
      <c r="V652">
        <v>252</v>
      </c>
    </row>
    <row r="653" spans="2:22" x14ac:dyDescent="0.35">
      <c r="B653" s="23" t="s">
        <v>466</v>
      </c>
      <c r="D653" t="s">
        <v>391</v>
      </c>
      <c r="E653" t="s">
        <v>392</v>
      </c>
      <c r="F653" s="46" t="s">
        <v>466</v>
      </c>
      <c r="G653" t="s">
        <v>255</v>
      </c>
      <c r="H653" s="47" t="s">
        <v>467</v>
      </c>
      <c r="I653" s="47" t="s">
        <v>468</v>
      </c>
      <c r="J653" t="s">
        <v>469</v>
      </c>
      <c r="K653">
        <v>336</v>
      </c>
      <c r="L653">
        <v>437</v>
      </c>
      <c r="M653" s="24">
        <v>359</v>
      </c>
      <c r="N653" s="24">
        <v>447</v>
      </c>
      <c r="O653" s="24">
        <v>326</v>
      </c>
      <c r="P653" s="24">
        <v>419</v>
      </c>
      <c r="Q653">
        <v>314</v>
      </c>
      <c r="R653">
        <v>432</v>
      </c>
      <c r="S653">
        <v>394</v>
      </c>
      <c r="T653">
        <v>565</v>
      </c>
      <c r="U653">
        <v>394</v>
      </c>
      <c r="V653">
        <v>565</v>
      </c>
    </row>
    <row r="654" spans="2:22" x14ac:dyDescent="0.35">
      <c r="B654" s="23" t="s">
        <v>470</v>
      </c>
      <c r="D654" t="s">
        <v>391</v>
      </c>
      <c r="E654" t="s">
        <v>392</v>
      </c>
      <c r="F654" s="46" t="s">
        <v>470</v>
      </c>
      <c r="G654" t="s">
        <v>255</v>
      </c>
      <c r="H654" s="47" t="s">
        <v>467</v>
      </c>
      <c r="I654" s="47" t="s">
        <v>468</v>
      </c>
      <c r="J654" t="s">
        <v>375</v>
      </c>
      <c r="K654">
        <v>231</v>
      </c>
      <c r="L654">
        <v>287</v>
      </c>
      <c r="M654" s="24">
        <v>223</v>
      </c>
      <c r="N654" s="24">
        <v>255</v>
      </c>
      <c r="O654" s="24">
        <v>196</v>
      </c>
      <c r="P654" s="24">
        <v>221</v>
      </c>
      <c r="Q654">
        <v>176</v>
      </c>
      <c r="R654">
        <v>228</v>
      </c>
      <c r="S654">
        <v>235</v>
      </c>
      <c r="T654">
        <v>303</v>
      </c>
      <c r="U654">
        <v>235</v>
      </c>
      <c r="V654">
        <v>303</v>
      </c>
    </row>
    <row r="655" spans="2:22" x14ac:dyDescent="0.35">
      <c r="B655" s="23" t="s">
        <v>471</v>
      </c>
      <c r="D655" t="s">
        <v>391</v>
      </c>
      <c r="E655" t="s">
        <v>392</v>
      </c>
      <c r="F655" s="46" t="s">
        <v>471</v>
      </c>
      <c r="G655" t="s">
        <v>255</v>
      </c>
      <c r="H655" s="47" t="s">
        <v>467</v>
      </c>
      <c r="I655" s="47" t="s">
        <v>468</v>
      </c>
      <c r="J655" t="s">
        <v>472</v>
      </c>
      <c r="K655">
        <v>2244</v>
      </c>
      <c r="L655">
        <v>3006</v>
      </c>
      <c r="M655" s="24">
        <v>2358</v>
      </c>
      <c r="N655" s="24">
        <v>3001</v>
      </c>
      <c r="O655" s="24">
        <v>2311</v>
      </c>
      <c r="P655" s="24">
        <v>3000</v>
      </c>
      <c r="Q655">
        <v>2198</v>
      </c>
      <c r="R655">
        <v>3042</v>
      </c>
      <c r="S655">
        <v>2756</v>
      </c>
      <c r="T655">
        <v>3918</v>
      </c>
      <c r="U655">
        <v>2756</v>
      </c>
      <c r="V655">
        <v>3918</v>
      </c>
    </row>
    <row r="656" spans="2:22" x14ac:dyDescent="0.35">
      <c r="B656" s="23" t="s">
        <v>473</v>
      </c>
      <c r="D656" t="s">
        <v>391</v>
      </c>
      <c r="E656" t="s">
        <v>392</v>
      </c>
      <c r="F656" s="46" t="s">
        <v>473</v>
      </c>
      <c r="G656" t="s">
        <v>255</v>
      </c>
      <c r="H656" s="47" t="s">
        <v>467</v>
      </c>
      <c r="I656" s="47" t="s">
        <v>468</v>
      </c>
      <c r="J656" t="s">
        <v>474</v>
      </c>
      <c r="K656">
        <v>571</v>
      </c>
      <c r="L656">
        <v>749</v>
      </c>
      <c r="M656" s="24">
        <v>527</v>
      </c>
      <c r="N656" s="24">
        <v>695</v>
      </c>
      <c r="O656" s="24">
        <v>498</v>
      </c>
      <c r="P656" s="24">
        <v>651</v>
      </c>
      <c r="Q656">
        <v>476</v>
      </c>
      <c r="R656">
        <v>651</v>
      </c>
      <c r="S656">
        <v>617</v>
      </c>
      <c r="T656">
        <v>839</v>
      </c>
      <c r="U656">
        <v>617</v>
      </c>
      <c r="V656">
        <v>839</v>
      </c>
    </row>
    <row r="657" spans="2:22" x14ac:dyDescent="0.35">
      <c r="B657" s="23" t="s">
        <v>475</v>
      </c>
      <c r="D657" t="s">
        <v>391</v>
      </c>
      <c r="E657" t="s">
        <v>392</v>
      </c>
      <c r="F657" s="46" t="s">
        <v>475</v>
      </c>
      <c r="G657" t="s">
        <v>255</v>
      </c>
      <c r="H657" s="47" t="s">
        <v>467</v>
      </c>
      <c r="I657" s="47" t="s">
        <v>468</v>
      </c>
      <c r="J657" t="s">
        <v>301</v>
      </c>
      <c r="K657">
        <v>206</v>
      </c>
      <c r="L657">
        <v>293</v>
      </c>
      <c r="M657" s="24">
        <v>226</v>
      </c>
      <c r="N657" s="24">
        <v>301</v>
      </c>
      <c r="O657" s="24">
        <v>197</v>
      </c>
      <c r="P657" s="24">
        <v>257</v>
      </c>
      <c r="Q657">
        <v>169</v>
      </c>
      <c r="R657">
        <v>225</v>
      </c>
      <c r="S657">
        <v>198</v>
      </c>
      <c r="T657">
        <v>278</v>
      </c>
      <c r="U657">
        <v>198</v>
      </c>
      <c r="V657">
        <v>278</v>
      </c>
    </row>
    <row r="658" spans="2:22" x14ac:dyDescent="0.35">
      <c r="B658" s="23" t="s">
        <v>476</v>
      </c>
      <c r="D658" t="s">
        <v>391</v>
      </c>
      <c r="E658" t="s">
        <v>392</v>
      </c>
      <c r="F658" s="46" t="s">
        <v>476</v>
      </c>
      <c r="G658" t="s">
        <v>259</v>
      </c>
      <c r="H658" s="47" t="s">
        <v>477</v>
      </c>
      <c r="I658" s="47" t="s">
        <v>478</v>
      </c>
      <c r="J658" t="s">
        <v>479</v>
      </c>
      <c r="K658">
        <v>309</v>
      </c>
      <c r="L658">
        <v>418</v>
      </c>
      <c r="M658" s="24">
        <v>283</v>
      </c>
      <c r="N658" s="24">
        <v>389</v>
      </c>
      <c r="O658" s="24">
        <v>289</v>
      </c>
      <c r="P658" s="24">
        <v>374</v>
      </c>
      <c r="Q658">
        <v>267</v>
      </c>
      <c r="R658">
        <v>380</v>
      </c>
      <c r="S658">
        <v>421</v>
      </c>
      <c r="T658">
        <v>565</v>
      </c>
      <c r="U658">
        <v>421</v>
      </c>
      <c r="V658">
        <v>565</v>
      </c>
    </row>
    <row r="659" spans="2:22" x14ac:dyDescent="0.35">
      <c r="B659" s="23" t="s">
        <v>480</v>
      </c>
      <c r="D659" t="s">
        <v>391</v>
      </c>
      <c r="E659" t="s">
        <v>392</v>
      </c>
      <c r="F659" s="46" t="s">
        <v>480</v>
      </c>
      <c r="G659" t="s">
        <v>259</v>
      </c>
      <c r="H659" s="47" t="s">
        <v>477</v>
      </c>
      <c r="I659" s="47" t="s">
        <v>478</v>
      </c>
      <c r="J659" t="s">
        <v>481</v>
      </c>
      <c r="K659">
        <v>117</v>
      </c>
      <c r="L659">
        <v>144</v>
      </c>
      <c r="M659" s="24">
        <v>144</v>
      </c>
      <c r="N659" s="24">
        <v>178</v>
      </c>
      <c r="O659" s="24">
        <v>123</v>
      </c>
      <c r="P659" s="24">
        <v>152</v>
      </c>
      <c r="Q659">
        <v>107</v>
      </c>
      <c r="R659">
        <v>139</v>
      </c>
      <c r="S659">
        <v>166</v>
      </c>
      <c r="T659">
        <v>206</v>
      </c>
      <c r="U659">
        <v>166</v>
      </c>
      <c r="V659">
        <v>206</v>
      </c>
    </row>
    <row r="660" spans="2:22" x14ac:dyDescent="0.35">
      <c r="B660" s="23" t="s">
        <v>482</v>
      </c>
      <c r="D660" t="s">
        <v>391</v>
      </c>
      <c r="E660" t="s">
        <v>392</v>
      </c>
      <c r="F660" s="46" t="s">
        <v>482</v>
      </c>
      <c r="G660" t="s">
        <v>259</v>
      </c>
      <c r="H660" s="47" t="s">
        <v>477</v>
      </c>
      <c r="I660" s="47" t="s">
        <v>478</v>
      </c>
      <c r="J660" t="s">
        <v>247</v>
      </c>
      <c r="K660">
        <v>851</v>
      </c>
      <c r="L660">
        <v>1086</v>
      </c>
      <c r="M660" s="24">
        <v>875</v>
      </c>
      <c r="N660" s="24">
        <v>1068</v>
      </c>
      <c r="O660" s="24">
        <v>819</v>
      </c>
      <c r="P660" s="24">
        <v>1016</v>
      </c>
      <c r="Q660">
        <v>780</v>
      </c>
      <c r="R660">
        <v>1002</v>
      </c>
      <c r="S660">
        <v>1017</v>
      </c>
      <c r="T660">
        <v>1315</v>
      </c>
      <c r="U660">
        <v>1017</v>
      </c>
      <c r="V660">
        <v>1315</v>
      </c>
    </row>
    <row r="661" spans="2:22" x14ac:dyDescent="0.35">
      <c r="B661" s="23" t="s">
        <v>483</v>
      </c>
      <c r="D661" t="s">
        <v>391</v>
      </c>
      <c r="E661" t="s">
        <v>392</v>
      </c>
      <c r="F661" s="46" t="s">
        <v>483</v>
      </c>
      <c r="G661" t="s">
        <v>259</v>
      </c>
      <c r="H661" s="47" t="s">
        <v>477</v>
      </c>
      <c r="I661" s="47" t="s">
        <v>478</v>
      </c>
      <c r="J661" t="s">
        <v>484</v>
      </c>
      <c r="K661">
        <v>256</v>
      </c>
      <c r="L661">
        <v>359</v>
      </c>
      <c r="M661" s="24">
        <v>265</v>
      </c>
      <c r="N661" s="24">
        <v>352</v>
      </c>
      <c r="O661" s="24">
        <v>260</v>
      </c>
      <c r="P661" s="24">
        <v>342</v>
      </c>
      <c r="Q661">
        <v>269</v>
      </c>
      <c r="R661">
        <v>334</v>
      </c>
      <c r="S661">
        <v>342</v>
      </c>
      <c r="T661">
        <v>446</v>
      </c>
      <c r="U661">
        <v>342</v>
      </c>
      <c r="V661">
        <v>446</v>
      </c>
    </row>
    <row r="662" spans="2:22" x14ac:dyDescent="0.35">
      <c r="B662" s="23" t="s">
        <v>485</v>
      </c>
      <c r="D662" t="s">
        <v>391</v>
      </c>
      <c r="E662" t="s">
        <v>392</v>
      </c>
      <c r="F662" s="46" t="s">
        <v>485</v>
      </c>
      <c r="G662" t="s">
        <v>259</v>
      </c>
      <c r="H662" s="47" t="s">
        <v>477</v>
      </c>
      <c r="I662" s="47" t="s">
        <v>478</v>
      </c>
      <c r="J662" t="s">
        <v>486</v>
      </c>
      <c r="K662">
        <v>347</v>
      </c>
      <c r="L662">
        <v>457</v>
      </c>
      <c r="M662" s="24">
        <v>353</v>
      </c>
      <c r="N662" s="24">
        <v>463</v>
      </c>
      <c r="O662" s="24">
        <v>304</v>
      </c>
      <c r="P662" s="24">
        <v>424</v>
      </c>
      <c r="Q662">
        <v>289</v>
      </c>
      <c r="R662">
        <v>427</v>
      </c>
      <c r="S662">
        <v>414</v>
      </c>
      <c r="T662">
        <v>562</v>
      </c>
      <c r="U662">
        <v>414</v>
      </c>
      <c r="V662">
        <v>562</v>
      </c>
    </row>
    <row r="663" spans="2:22" x14ac:dyDescent="0.35">
      <c r="B663" s="23" t="s">
        <v>487</v>
      </c>
      <c r="D663" t="s">
        <v>391</v>
      </c>
      <c r="E663" t="s">
        <v>392</v>
      </c>
      <c r="F663" s="46" t="s">
        <v>487</v>
      </c>
      <c r="G663" t="s">
        <v>259</v>
      </c>
      <c r="H663" s="47" t="s">
        <v>477</v>
      </c>
      <c r="I663" s="47" t="s">
        <v>478</v>
      </c>
      <c r="J663" t="s">
        <v>347</v>
      </c>
      <c r="K663">
        <v>117</v>
      </c>
      <c r="L663">
        <v>151</v>
      </c>
      <c r="M663" s="24">
        <v>109</v>
      </c>
      <c r="N663" s="24">
        <v>142</v>
      </c>
      <c r="O663" s="24">
        <v>78</v>
      </c>
      <c r="P663" s="24">
        <v>114</v>
      </c>
      <c r="Q663">
        <v>83</v>
      </c>
      <c r="R663">
        <v>114</v>
      </c>
      <c r="S663">
        <v>112</v>
      </c>
      <c r="T663">
        <v>139</v>
      </c>
      <c r="U663">
        <v>112</v>
      </c>
      <c r="V663">
        <v>139</v>
      </c>
    </row>
    <row r="664" spans="2:22" x14ac:dyDescent="0.35">
      <c r="B664" s="23" t="s">
        <v>488</v>
      </c>
      <c r="D664" t="s">
        <v>391</v>
      </c>
      <c r="E664" t="s">
        <v>392</v>
      </c>
      <c r="F664" s="46" t="s">
        <v>488</v>
      </c>
      <c r="G664" t="s">
        <v>259</v>
      </c>
      <c r="H664" s="47" t="s">
        <v>477</v>
      </c>
      <c r="I664" s="47" t="s">
        <v>478</v>
      </c>
      <c r="J664" t="s">
        <v>237</v>
      </c>
      <c r="K664">
        <v>118</v>
      </c>
      <c r="L664">
        <v>161</v>
      </c>
      <c r="M664" s="24">
        <v>114</v>
      </c>
      <c r="N664" s="24">
        <v>142</v>
      </c>
      <c r="O664" s="24">
        <v>108</v>
      </c>
      <c r="P664" s="24">
        <v>131</v>
      </c>
      <c r="Q664">
        <v>110</v>
      </c>
      <c r="R664">
        <v>147</v>
      </c>
      <c r="S664">
        <v>183</v>
      </c>
      <c r="T664">
        <v>237</v>
      </c>
      <c r="U664">
        <v>183</v>
      </c>
      <c r="V664">
        <v>237</v>
      </c>
    </row>
    <row r="665" spans="2:22" x14ac:dyDescent="0.35">
      <c r="B665" s="23" t="s">
        <v>489</v>
      </c>
      <c r="D665" t="s">
        <v>391</v>
      </c>
      <c r="E665" t="s">
        <v>392</v>
      </c>
      <c r="F665" s="46" t="s">
        <v>489</v>
      </c>
      <c r="G665" t="s">
        <v>259</v>
      </c>
      <c r="H665" s="47" t="s">
        <v>477</v>
      </c>
      <c r="I665" s="47" t="s">
        <v>478</v>
      </c>
      <c r="J665" t="s">
        <v>490</v>
      </c>
      <c r="K665">
        <v>169</v>
      </c>
      <c r="L665">
        <v>234</v>
      </c>
      <c r="M665" s="24">
        <v>173</v>
      </c>
      <c r="N665" s="24">
        <v>226</v>
      </c>
      <c r="O665" s="24">
        <v>161</v>
      </c>
      <c r="P665" s="24">
        <v>213</v>
      </c>
      <c r="Q665">
        <v>126</v>
      </c>
      <c r="R665">
        <v>174</v>
      </c>
      <c r="S665">
        <v>168</v>
      </c>
      <c r="T665">
        <v>220</v>
      </c>
      <c r="U665">
        <v>168</v>
      </c>
      <c r="V665">
        <v>220</v>
      </c>
    </row>
    <row r="666" spans="2:22" x14ac:dyDescent="0.35">
      <c r="B666" s="23" t="s">
        <v>491</v>
      </c>
      <c r="D666" t="s">
        <v>391</v>
      </c>
      <c r="E666" t="s">
        <v>392</v>
      </c>
      <c r="F666" s="46" t="s">
        <v>491</v>
      </c>
      <c r="G666" t="s">
        <v>259</v>
      </c>
      <c r="H666" s="47" t="s">
        <v>477</v>
      </c>
      <c r="I666" s="47" t="s">
        <v>478</v>
      </c>
      <c r="J666" t="s">
        <v>492</v>
      </c>
      <c r="K666">
        <v>239</v>
      </c>
      <c r="L666">
        <v>314</v>
      </c>
      <c r="M666" s="24">
        <v>231</v>
      </c>
      <c r="N666" s="24">
        <v>299</v>
      </c>
      <c r="O666" s="24">
        <v>209</v>
      </c>
      <c r="P666" s="24">
        <v>287</v>
      </c>
      <c r="Q666">
        <v>206</v>
      </c>
      <c r="R666">
        <v>289</v>
      </c>
      <c r="S666">
        <v>260</v>
      </c>
      <c r="T666">
        <v>318</v>
      </c>
      <c r="U666">
        <v>260</v>
      </c>
      <c r="V666">
        <v>318</v>
      </c>
    </row>
    <row r="667" spans="2:22" x14ac:dyDescent="0.35">
      <c r="B667" s="23" t="s">
        <v>493</v>
      </c>
      <c r="D667" t="s">
        <v>391</v>
      </c>
      <c r="E667" t="s">
        <v>392</v>
      </c>
      <c r="F667" s="46" t="s">
        <v>493</v>
      </c>
      <c r="G667" t="s">
        <v>259</v>
      </c>
      <c r="H667" s="47" t="s">
        <v>477</v>
      </c>
      <c r="I667" s="47" t="s">
        <v>478</v>
      </c>
      <c r="J667" t="s">
        <v>494</v>
      </c>
      <c r="K667">
        <v>196</v>
      </c>
      <c r="L667">
        <v>241</v>
      </c>
      <c r="M667" s="24">
        <v>177</v>
      </c>
      <c r="N667" s="24">
        <v>216</v>
      </c>
      <c r="O667" s="24">
        <v>147</v>
      </c>
      <c r="P667" s="24">
        <v>184</v>
      </c>
      <c r="Q667">
        <v>124</v>
      </c>
      <c r="R667">
        <v>158</v>
      </c>
      <c r="S667">
        <v>175</v>
      </c>
      <c r="T667">
        <v>224</v>
      </c>
      <c r="U667">
        <v>175</v>
      </c>
      <c r="V667">
        <v>224</v>
      </c>
    </row>
    <row r="668" spans="2:22" x14ac:dyDescent="0.35">
      <c r="B668" s="23" t="s">
        <v>495</v>
      </c>
      <c r="D668" t="s">
        <v>391</v>
      </c>
      <c r="E668" t="s">
        <v>392</v>
      </c>
      <c r="F668" s="46" t="s">
        <v>495</v>
      </c>
      <c r="G668" t="s">
        <v>259</v>
      </c>
      <c r="H668" s="47" t="s">
        <v>477</v>
      </c>
      <c r="I668" s="47" t="s">
        <v>478</v>
      </c>
      <c r="J668" t="s">
        <v>496</v>
      </c>
      <c r="K668">
        <v>144</v>
      </c>
      <c r="L668">
        <v>187</v>
      </c>
      <c r="M668" s="24">
        <v>142</v>
      </c>
      <c r="N668" s="24">
        <v>174</v>
      </c>
      <c r="O668" s="24">
        <v>134</v>
      </c>
      <c r="P668" s="24">
        <v>181</v>
      </c>
      <c r="Q668">
        <v>144</v>
      </c>
      <c r="R668">
        <v>195</v>
      </c>
      <c r="S668">
        <v>168</v>
      </c>
      <c r="T668">
        <v>218</v>
      </c>
      <c r="U668">
        <v>168</v>
      </c>
      <c r="V668">
        <v>218</v>
      </c>
    </row>
    <row r="669" spans="2:22" x14ac:dyDescent="0.35">
      <c r="B669" s="23" t="s">
        <v>497</v>
      </c>
      <c r="D669" t="s">
        <v>391</v>
      </c>
      <c r="E669" t="s">
        <v>392</v>
      </c>
      <c r="F669" s="46" t="s">
        <v>497</v>
      </c>
      <c r="G669" t="s">
        <v>259</v>
      </c>
      <c r="H669" s="47" t="s">
        <v>477</v>
      </c>
      <c r="I669" s="47" t="s">
        <v>478</v>
      </c>
      <c r="J669" t="s">
        <v>498</v>
      </c>
      <c r="K669">
        <v>311</v>
      </c>
      <c r="L669">
        <v>398</v>
      </c>
      <c r="M669" s="24">
        <v>332</v>
      </c>
      <c r="N669" s="24">
        <v>399</v>
      </c>
      <c r="O669" s="24">
        <v>315</v>
      </c>
      <c r="P669" s="24">
        <v>395</v>
      </c>
      <c r="Q669">
        <v>287</v>
      </c>
      <c r="R669">
        <v>387</v>
      </c>
      <c r="S669">
        <v>393</v>
      </c>
      <c r="T669">
        <v>536</v>
      </c>
      <c r="U669">
        <v>393</v>
      </c>
      <c r="V669">
        <v>536</v>
      </c>
    </row>
    <row r="670" spans="2:22" x14ac:dyDescent="0.35">
      <c r="B670" s="23" t="s">
        <v>499</v>
      </c>
      <c r="D670" t="s">
        <v>391</v>
      </c>
      <c r="E670" t="s">
        <v>392</v>
      </c>
      <c r="F670" s="46" t="s">
        <v>499</v>
      </c>
      <c r="G670" t="s">
        <v>259</v>
      </c>
      <c r="H670" s="47" t="s">
        <v>477</v>
      </c>
      <c r="I670" s="47" t="s">
        <v>478</v>
      </c>
      <c r="J670" t="s">
        <v>369</v>
      </c>
      <c r="K670">
        <v>130</v>
      </c>
      <c r="L670">
        <v>173</v>
      </c>
      <c r="M670" s="24">
        <v>142</v>
      </c>
      <c r="N670" s="24">
        <v>170</v>
      </c>
      <c r="O670" s="24">
        <v>135</v>
      </c>
      <c r="P670" s="24">
        <v>168</v>
      </c>
      <c r="Q670">
        <v>128</v>
      </c>
      <c r="R670">
        <v>181</v>
      </c>
      <c r="S670">
        <v>154</v>
      </c>
      <c r="T670">
        <v>205</v>
      </c>
      <c r="U670">
        <v>154</v>
      </c>
      <c r="V670">
        <v>205</v>
      </c>
    </row>
    <row r="671" spans="2:22" x14ac:dyDescent="0.35">
      <c r="B671" s="23" t="s">
        <v>500</v>
      </c>
      <c r="D671" t="s">
        <v>391</v>
      </c>
      <c r="E671" t="s">
        <v>392</v>
      </c>
      <c r="F671" s="46" t="s">
        <v>500</v>
      </c>
      <c r="G671" t="s">
        <v>265</v>
      </c>
      <c r="H671" s="47" t="s">
        <v>501</v>
      </c>
      <c r="I671" s="47" t="s">
        <v>502</v>
      </c>
      <c r="J671" t="s">
        <v>233</v>
      </c>
      <c r="K671">
        <v>65</v>
      </c>
      <c r="L671">
        <v>85</v>
      </c>
      <c r="M671" s="24">
        <v>68</v>
      </c>
      <c r="N671" s="24">
        <v>82</v>
      </c>
      <c r="O671" s="24">
        <v>59</v>
      </c>
      <c r="P671" s="24">
        <v>75</v>
      </c>
      <c r="Q671">
        <v>56</v>
      </c>
      <c r="R671">
        <v>81</v>
      </c>
      <c r="S671">
        <v>91</v>
      </c>
      <c r="T671">
        <v>122</v>
      </c>
      <c r="U671">
        <v>91</v>
      </c>
      <c r="V671">
        <v>122</v>
      </c>
    </row>
    <row r="672" spans="2:22" x14ac:dyDescent="0.35">
      <c r="B672" s="23" t="s">
        <v>503</v>
      </c>
      <c r="D672" t="s">
        <v>391</v>
      </c>
      <c r="E672" t="s">
        <v>392</v>
      </c>
      <c r="F672" s="46" t="s">
        <v>503</v>
      </c>
      <c r="G672" t="s">
        <v>265</v>
      </c>
      <c r="H672" s="47" t="s">
        <v>501</v>
      </c>
      <c r="I672" s="47" t="s">
        <v>502</v>
      </c>
      <c r="J672" t="s">
        <v>504</v>
      </c>
      <c r="K672">
        <v>87</v>
      </c>
      <c r="L672">
        <v>118</v>
      </c>
      <c r="M672" s="24">
        <v>88</v>
      </c>
      <c r="N672" s="24">
        <v>117</v>
      </c>
      <c r="O672" s="24">
        <v>94</v>
      </c>
      <c r="P672" s="24">
        <v>124</v>
      </c>
      <c r="Q672">
        <v>93</v>
      </c>
      <c r="R672">
        <v>135</v>
      </c>
      <c r="S672">
        <v>136</v>
      </c>
      <c r="T672">
        <v>163</v>
      </c>
      <c r="U672">
        <v>136</v>
      </c>
      <c r="V672">
        <v>163</v>
      </c>
    </row>
    <row r="673" spans="2:22" x14ac:dyDescent="0.35">
      <c r="B673" s="23" t="s">
        <v>505</v>
      </c>
      <c r="D673" t="s">
        <v>391</v>
      </c>
      <c r="E673" t="s">
        <v>392</v>
      </c>
      <c r="F673" s="46" t="s">
        <v>505</v>
      </c>
      <c r="G673" t="s">
        <v>265</v>
      </c>
      <c r="H673" s="47" t="s">
        <v>501</v>
      </c>
      <c r="I673" s="47" t="s">
        <v>502</v>
      </c>
      <c r="J673" t="s">
        <v>506</v>
      </c>
      <c r="K673">
        <v>368</v>
      </c>
      <c r="L673">
        <v>500</v>
      </c>
      <c r="M673" s="24">
        <v>340</v>
      </c>
      <c r="N673" s="24">
        <v>463</v>
      </c>
      <c r="O673" s="24">
        <v>278</v>
      </c>
      <c r="P673" s="24">
        <v>416</v>
      </c>
      <c r="Q673">
        <v>246</v>
      </c>
      <c r="R673">
        <v>369</v>
      </c>
      <c r="S673">
        <v>302</v>
      </c>
      <c r="T673">
        <v>441</v>
      </c>
      <c r="U673">
        <v>302</v>
      </c>
      <c r="V673">
        <v>441</v>
      </c>
    </row>
    <row r="674" spans="2:22" x14ac:dyDescent="0.35">
      <c r="B674" s="23" t="s">
        <v>507</v>
      </c>
      <c r="D674" t="s">
        <v>391</v>
      </c>
      <c r="E674" t="s">
        <v>392</v>
      </c>
      <c r="F674" s="46" t="s">
        <v>507</v>
      </c>
      <c r="G674" t="s">
        <v>265</v>
      </c>
      <c r="H674" s="47" t="s">
        <v>501</v>
      </c>
      <c r="I674" s="47" t="s">
        <v>502</v>
      </c>
      <c r="J674" t="s">
        <v>508</v>
      </c>
      <c r="K674">
        <v>275</v>
      </c>
      <c r="L674">
        <v>402</v>
      </c>
      <c r="M674" s="24">
        <v>279</v>
      </c>
      <c r="N674" s="24">
        <v>407</v>
      </c>
      <c r="O674" s="24">
        <v>280</v>
      </c>
      <c r="P674" s="24">
        <v>391</v>
      </c>
      <c r="Q674">
        <v>277</v>
      </c>
      <c r="R674">
        <v>392</v>
      </c>
      <c r="S674">
        <v>487</v>
      </c>
      <c r="T674">
        <v>639</v>
      </c>
      <c r="U674">
        <v>487</v>
      </c>
      <c r="V674">
        <v>639</v>
      </c>
    </row>
    <row r="675" spans="2:22" x14ac:dyDescent="0.35">
      <c r="B675" s="23" t="s">
        <v>509</v>
      </c>
      <c r="D675" t="s">
        <v>391</v>
      </c>
      <c r="E675" t="s">
        <v>392</v>
      </c>
      <c r="F675" s="46" t="s">
        <v>509</v>
      </c>
      <c r="G675" t="s">
        <v>265</v>
      </c>
      <c r="H675" s="47" t="s">
        <v>501</v>
      </c>
      <c r="I675" s="47" t="s">
        <v>502</v>
      </c>
      <c r="J675" t="s">
        <v>510</v>
      </c>
      <c r="K675">
        <v>207</v>
      </c>
      <c r="L675">
        <v>269</v>
      </c>
      <c r="M675" s="24">
        <v>195</v>
      </c>
      <c r="N675" s="24">
        <v>252</v>
      </c>
      <c r="O675" s="24">
        <v>177</v>
      </c>
      <c r="P675" s="24">
        <v>227</v>
      </c>
      <c r="Q675">
        <v>157</v>
      </c>
      <c r="R675">
        <v>227</v>
      </c>
      <c r="S675">
        <v>208</v>
      </c>
      <c r="T675">
        <v>290</v>
      </c>
      <c r="U675">
        <v>208</v>
      </c>
      <c r="V675">
        <v>290</v>
      </c>
    </row>
    <row r="676" spans="2:22" x14ac:dyDescent="0.35">
      <c r="B676" s="23" t="s">
        <v>511</v>
      </c>
      <c r="D676" t="s">
        <v>391</v>
      </c>
      <c r="E676" t="s">
        <v>392</v>
      </c>
      <c r="F676" s="46" t="s">
        <v>511</v>
      </c>
      <c r="G676" t="s">
        <v>265</v>
      </c>
      <c r="H676" s="47" t="s">
        <v>501</v>
      </c>
      <c r="I676" s="47" t="s">
        <v>502</v>
      </c>
      <c r="J676" t="s">
        <v>512</v>
      </c>
      <c r="K676">
        <v>208</v>
      </c>
      <c r="L676">
        <v>303</v>
      </c>
      <c r="M676" s="24">
        <v>183</v>
      </c>
      <c r="N676" s="24">
        <v>262</v>
      </c>
      <c r="O676" s="24">
        <v>174</v>
      </c>
      <c r="P676" s="24">
        <v>229</v>
      </c>
      <c r="Q676">
        <v>172</v>
      </c>
      <c r="R676">
        <v>234</v>
      </c>
      <c r="S676">
        <v>235</v>
      </c>
      <c r="T676">
        <v>319</v>
      </c>
      <c r="U676">
        <v>235</v>
      </c>
      <c r="V676">
        <v>319</v>
      </c>
    </row>
    <row r="677" spans="2:22" x14ac:dyDescent="0.35">
      <c r="B677" s="23" t="s">
        <v>513</v>
      </c>
      <c r="D677" t="s">
        <v>391</v>
      </c>
      <c r="E677" t="s">
        <v>392</v>
      </c>
      <c r="F677" s="46" t="s">
        <v>513</v>
      </c>
      <c r="G677" t="s">
        <v>265</v>
      </c>
      <c r="H677" s="47" t="s">
        <v>501</v>
      </c>
      <c r="I677" s="47" t="s">
        <v>502</v>
      </c>
      <c r="J677" t="s">
        <v>514</v>
      </c>
      <c r="K677">
        <v>268</v>
      </c>
      <c r="L677">
        <v>358</v>
      </c>
      <c r="M677" s="24">
        <v>244</v>
      </c>
      <c r="N677" s="24">
        <v>334</v>
      </c>
      <c r="O677" s="24">
        <v>228</v>
      </c>
      <c r="P677" s="24">
        <v>310</v>
      </c>
      <c r="Q677">
        <v>226</v>
      </c>
      <c r="R677">
        <v>321</v>
      </c>
      <c r="S677">
        <v>351</v>
      </c>
      <c r="T677">
        <v>477</v>
      </c>
      <c r="U677">
        <v>351</v>
      </c>
      <c r="V677">
        <v>477</v>
      </c>
    </row>
    <row r="678" spans="2:22" x14ac:dyDescent="0.35">
      <c r="B678" s="23" t="s">
        <v>515</v>
      </c>
      <c r="D678" t="s">
        <v>391</v>
      </c>
      <c r="E678" t="s">
        <v>392</v>
      </c>
      <c r="F678" s="46" t="s">
        <v>515</v>
      </c>
      <c r="G678" t="s">
        <v>265</v>
      </c>
      <c r="H678" s="47" t="s">
        <v>501</v>
      </c>
      <c r="I678" s="47" t="s">
        <v>502</v>
      </c>
      <c r="J678" t="s">
        <v>516</v>
      </c>
      <c r="K678">
        <v>540</v>
      </c>
      <c r="L678">
        <v>742</v>
      </c>
      <c r="M678" s="24">
        <v>547</v>
      </c>
      <c r="N678" s="24">
        <v>744</v>
      </c>
      <c r="O678" s="24">
        <v>466</v>
      </c>
      <c r="P678" s="24">
        <v>659</v>
      </c>
      <c r="Q678">
        <v>478</v>
      </c>
      <c r="R678">
        <v>714</v>
      </c>
      <c r="S678">
        <v>794</v>
      </c>
      <c r="T678">
        <v>1133</v>
      </c>
      <c r="U678">
        <v>794</v>
      </c>
      <c r="V678">
        <v>1133</v>
      </c>
    </row>
    <row r="679" spans="2:22" x14ac:dyDescent="0.35">
      <c r="B679" s="23" t="s">
        <v>517</v>
      </c>
      <c r="D679" t="s">
        <v>391</v>
      </c>
      <c r="E679" t="s">
        <v>392</v>
      </c>
      <c r="F679" s="46" t="s">
        <v>517</v>
      </c>
      <c r="G679" t="s">
        <v>265</v>
      </c>
      <c r="H679" s="47" t="s">
        <v>501</v>
      </c>
      <c r="I679" s="47" t="s">
        <v>502</v>
      </c>
      <c r="J679" t="s">
        <v>518</v>
      </c>
      <c r="K679">
        <v>634</v>
      </c>
      <c r="L679">
        <v>830</v>
      </c>
      <c r="M679" s="24">
        <v>604</v>
      </c>
      <c r="N679" s="24">
        <v>790</v>
      </c>
      <c r="O679" s="24">
        <v>558</v>
      </c>
      <c r="P679" s="24">
        <v>757</v>
      </c>
      <c r="Q679">
        <v>547</v>
      </c>
      <c r="R679">
        <v>757</v>
      </c>
      <c r="S679">
        <v>763</v>
      </c>
      <c r="T679">
        <v>1042</v>
      </c>
      <c r="U679">
        <v>763</v>
      </c>
      <c r="V679">
        <v>1042</v>
      </c>
    </row>
    <row r="680" spans="2:22" x14ac:dyDescent="0.35">
      <c r="B680" s="23" t="s">
        <v>519</v>
      </c>
      <c r="D680" t="s">
        <v>391</v>
      </c>
      <c r="E680" t="s">
        <v>392</v>
      </c>
      <c r="F680" s="46" t="s">
        <v>519</v>
      </c>
      <c r="G680" t="s">
        <v>265</v>
      </c>
      <c r="H680" s="47" t="s">
        <v>501</v>
      </c>
      <c r="I680" s="47" t="s">
        <v>502</v>
      </c>
      <c r="J680" t="s">
        <v>520</v>
      </c>
      <c r="K680">
        <v>200</v>
      </c>
      <c r="L680">
        <v>257</v>
      </c>
      <c r="M680" s="24">
        <v>238</v>
      </c>
      <c r="N680" s="24">
        <v>306</v>
      </c>
      <c r="O680" s="24">
        <v>216</v>
      </c>
      <c r="P680" s="24">
        <v>276</v>
      </c>
      <c r="Q680">
        <v>214</v>
      </c>
      <c r="R680">
        <v>270</v>
      </c>
      <c r="S680">
        <v>275</v>
      </c>
      <c r="T680">
        <v>320</v>
      </c>
      <c r="U680">
        <v>275</v>
      </c>
      <c r="V680">
        <v>320</v>
      </c>
    </row>
    <row r="681" spans="2:22" x14ac:dyDescent="0.35">
      <c r="B681" s="23" t="s">
        <v>521</v>
      </c>
      <c r="D681" t="s">
        <v>391</v>
      </c>
      <c r="E681" t="s">
        <v>392</v>
      </c>
      <c r="F681" s="46" t="s">
        <v>521</v>
      </c>
      <c r="G681" t="s">
        <v>265</v>
      </c>
      <c r="H681" s="47" t="s">
        <v>501</v>
      </c>
      <c r="I681" s="47" t="s">
        <v>502</v>
      </c>
      <c r="J681" t="s">
        <v>522</v>
      </c>
      <c r="K681">
        <v>152</v>
      </c>
      <c r="L681">
        <v>205</v>
      </c>
      <c r="M681" s="24">
        <v>124</v>
      </c>
      <c r="N681" s="24">
        <v>169</v>
      </c>
      <c r="O681" s="24">
        <v>125</v>
      </c>
      <c r="P681" s="24">
        <v>164</v>
      </c>
      <c r="Q681">
        <v>99</v>
      </c>
      <c r="R681">
        <v>143</v>
      </c>
      <c r="S681">
        <v>136</v>
      </c>
      <c r="T681">
        <v>183</v>
      </c>
      <c r="U681">
        <v>136</v>
      </c>
      <c r="V681">
        <v>183</v>
      </c>
    </row>
    <row r="682" spans="2:22" x14ac:dyDescent="0.35">
      <c r="B682" s="23" t="s">
        <v>523</v>
      </c>
      <c r="D682" t="s">
        <v>391</v>
      </c>
      <c r="E682" t="s">
        <v>392</v>
      </c>
      <c r="F682" s="46" t="s">
        <v>523</v>
      </c>
      <c r="G682" t="s">
        <v>273</v>
      </c>
      <c r="H682" s="47" t="s">
        <v>524</v>
      </c>
      <c r="I682" s="47" t="s">
        <v>525</v>
      </c>
      <c r="J682" t="s">
        <v>526</v>
      </c>
      <c r="K682">
        <v>1012</v>
      </c>
      <c r="L682">
        <v>1402</v>
      </c>
      <c r="M682" s="24">
        <v>998</v>
      </c>
      <c r="N682" s="24">
        <v>1338</v>
      </c>
      <c r="O682" s="24">
        <v>908</v>
      </c>
      <c r="P682" s="24">
        <v>1296</v>
      </c>
      <c r="Q682">
        <v>858</v>
      </c>
      <c r="R682">
        <v>1301</v>
      </c>
      <c r="S682">
        <v>1065</v>
      </c>
      <c r="T682">
        <v>1682</v>
      </c>
      <c r="U682">
        <v>1065</v>
      </c>
      <c r="V682">
        <v>1682</v>
      </c>
    </row>
    <row r="683" spans="2:22" x14ac:dyDescent="0.35">
      <c r="B683" s="23" t="s">
        <v>527</v>
      </c>
      <c r="D683" t="s">
        <v>391</v>
      </c>
      <c r="E683" t="s">
        <v>392</v>
      </c>
      <c r="F683" s="46" t="s">
        <v>527</v>
      </c>
      <c r="G683" t="s">
        <v>273</v>
      </c>
      <c r="H683" s="47" t="s">
        <v>524</v>
      </c>
      <c r="I683" s="47" t="s">
        <v>525</v>
      </c>
      <c r="J683" t="s">
        <v>528</v>
      </c>
      <c r="K683">
        <v>106</v>
      </c>
      <c r="L683">
        <v>159</v>
      </c>
      <c r="M683" s="24">
        <v>121</v>
      </c>
      <c r="N683" s="24">
        <v>159</v>
      </c>
      <c r="O683" s="24">
        <v>97</v>
      </c>
      <c r="P683" s="24">
        <v>145</v>
      </c>
      <c r="Q683">
        <v>100</v>
      </c>
      <c r="R683">
        <v>156</v>
      </c>
      <c r="S683">
        <v>128</v>
      </c>
      <c r="T683">
        <v>208</v>
      </c>
      <c r="U683">
        <v>128</v>
      </c>
      <c r="V683">
        <v>208</v>
      </c>
    </row>
    <row r="684" spans="2:22" x14ac:dyDescent="0.35">
      <c r="B684" s="23" t="s">
        <v>529</v>
      </c>
      <c r="D684" t="s">
        <v>391</v>
      </c>
      <c r="E684" t="s">
        <v>392</v>
      </c>
      <c r="F684" s="46" t="s">
        <v>529</v>
      </c>
      <c r="G684" t="s">
        <v>273</v>
      </c>
      <c r="H684" s="47" t="s">
        <v>524</v>
      </c>
      <c r="I684" s="47" t="s">
        <v>525</v>
      </c>
      <c r="J684" t="s">
        <v>530</v>
      </c>
      <c r="K684">
        <v>315</v>
      </c>
      <c r="L684">
        <v>418</v>
      </c>
      <c r="M684" s="24">
        <v>358</v>
      </c>
      <c r="N684" s="24">
        <v>467</v>
      </c>
      <c r="O684" s="24">
        <v>326</v>
      </c>
      <c r="P684" s="24">
        <v>416</v>
      </c>
      <c r="Q684">
        <v>331</v>
      </c>
      <c r="R684">
        <v>443</v>
      </c>
      <c r="S684">
        <v>399</v>
      </c>
      <c r="T684">
        <v>541</v>
      </c>
      <c r="U684">
        <v>399</v>
      </c>
      <c r="V684">
        <v>541</v>
      </c>
    </row>
    <row r="685" spans="2:22" x14ac:dyDescent="0.35">
      <c r="B685" s="23" t="s">
        <v>531</v>
      </c>
      <c r="D685" t="s">
        <v>391</v>
      </c>
      <c r="E685" t="s">
        <v>392</v>
      </c>
      <c r="F685" s="46" t="s">
        <v>531</v>
      </c>
      <c r="G685" t="s">
        <v>273</v>
      </c>
      <c r="H685" s="47" t="s">
        <v>524</v>
      </c>
      <c r="I685" s="47" t="s">
        <v>525</v>
      </c>
      <c r="J685" t="s">
        <v>355</v>
      </c>
      <c r="K685">
        <v>248</v>
      </c>
      <c r="L685">
        <v>365</v>
      </c>
      <c r="M685" s="24">
        <v>276</v>
      </c>
      <c r="N685" s="24">
        <v>374</v>
      </c>
      <c r="O685" s="24">
        <v>271</v>
      </c>
      <c r="P685" s="24">
        <v>383</v>
      </c>
      <c r="Q685">
        <v>282</v>
      </c>
      <c r="R685">
        <v>395</v>
      </c>
      <c r="S685">
        <v>388</v>
      </c>
      <c r="T685">
        <v>565</v>
      </c>
      <c r="U685">
        <v>388</v>
      </c>
      <c r="V685">
        <v>565</v>
      </c>
    </row>
    <row r="686" spans="2:22" x14ac:dyDescent="0.35">
      <c r="B686" s="23" t="s">
        <v>532</v>
      </c>
      <c r="D686" t="s">
        <v>391</v>
      </c>
      <c r="E686" t="s">
        <v>392</v>
      </c>
      <c r="F686" s="46" t="s">
        <v>532</v>
      </c>
      <c r="G686" t="s">
        <v>273</v>
      </c>
      <c r="H686" s="47" t="s">
        <v>524</v>
      </c>
      <c r="I686" s="47" t="s">
        <v>525</v>
      </c>
      <c r="J686" t="s">
        <v>533</v>
      </c>
      <c r="K686">
        <v>1981</v>
      </c>
      <c r="L686">
        <v>2734</v>
      </c>
      <c r="M686" s="24">
        <v>1951</v>
      </c>
      <c r="N686" s="24">
        <v>2650</v>
      </c>
      <c r="O686" s="24">
        <v>1716</v>
      </c>
      <c r="P686" s="24">
        <v>2572</v>
      </c>
      <c r="Q686">
        <v>1762</v>
      </c>
      <c r="R686">
        <v>2681</v>
      </c>
      <c r="S686">
        <v>2370</v>
      </c>
      <c r="T686">
        <v>3589</v>
      </c>
      <c r="U686">
        <v>2370</v>
      </c>
      <c r="V686">
        <v>3589</v>
      </c>
    </row>
    <row r="687" spans="2:22" x14ac:dyDescent="0.35">
      <c r="B687" s="23" t="s">
        <v>534</v>
      </c>
      <c r="D687" t="s">
        <v>391</v>
      </c>
      <c r="E687" t="s">
        <v>392</v>
      </c>
      <c r="F687" s="46" t="s">
        <v>534</v>
      </c>
      <c r="G687" t="s">
        <v>273</v>
      </c>
      <c r="H687" s="47" t="s">
        <v>524</v>
      </c>
      <c r="I687" s="47" t="s">
        <v>525</v>
      </c>
      <c r="J687" t="s">
        <v>535</v>
      </c>
      <c r="K687">
        <v>334</v>
      </c>
      <c r="L687">
        <v>479</v>
      </c>
      <c r="M687" s="24">
        <v>357</v>
      </c>
      <c r="N687" s="24">
        <v>480</v>
      </c>
      <c r="O687" s="24">
        <v>290</v>
      </c>
      <c r="P687" s="24">
        <v>413</v>
      </c>
      <c r="Q687">
        <v>298</v>
      </c>
      <c r="R687">
        <v>440</v>
      </c>
      <c r="S687">
        <v>394</v>
      </c>
      <c r="T687">
        <v>567</v>
      </c>
      <c r="U687">
        <v>394</v>
      </c>
      <c r="V687">
        <v>567</v>
      </c>
    </row>
    <row r="688" spans="2:22" x14ac:dyDescent="0.35">
      <c r="B688" s="23" t="s">
        <v>536</v>
      </c>
      <c r="D688" t="s">
        <v>391</v>
      </c>
      <c r="E688" t="s">
        <v>392</v>
      </c>
      <c r="F688" s="46" t="s">
        <v>536</v>
      </c>
      <c r="G688" t="s">
        <v>273</v>
      </c>
      <c r="H688" s="47" t="s">
        <v>524</v>
      </c>
      <c r="I688" s="47" t="s">
        <v>525</v>
      </c>
      <c r="J688" t="s">
        <v>537</v>
      </c>
      <c r="K688">
        <v>340</v>
      </c>
      <c r="L688">
        <v>451</v>
      </c>
      <c r="M688" s="24">
        <v>307</v>
      </c>
      <c r="N688" s="24">
        <v>413</v>
      </c>
      <c r="O688" s="24">
        <v>298</v>
      </c>
      <c r="P688" s="24">
        <v>394</v>
      </c>
      <c r="Q688">
        <v>294</v>
      </c>
      <c r="R688">
        <v>390</v>
      </c>
      <c r="S688">
        <v>372</v>
      </c>
      <c r="T688">
        <v>509</v>
      </c>
      <c r="U688">
        <v>372</v>
      </c>
      <c r="V688">
        <v>509</v>
      </c>
    </row>
    <row r="689" spans="2:22" x14ac:dyDescent="0.35">
      <c r="B689" s="23" t="s">
        <v>538</v>
      </c>
      <c r="D689" t="s">
        <v>539</v>
      </c>
      <c r="E689" t="s">
        <v>540</v>
      </c>
      <c r="F689" s="46" t="s">
        <v>538</v>
      </c>
      <c r="G689" t="s">
        <v>231</v>
      </c>
      <c r="H689" s="23">
        <v>1</v>
      </c>
      <c r="I689" s="23" t="s">
        <v>541</v>
      </c>
      <c r="J689" t="s">
        <v>542</v>
      </c>
      <c r="K689">
        <v>10194</v>
      </c>
      <c r="L689">
        <v>15038</v>
      </c>
      <c r="M689" s="24">
        <v>9854</v>
      </c>
      <c r="N689" s="24">
        <v>15005</v>
      </c>
      <c r="O689" s="24">
        <v>8765</v>
      </c>
      <c r="P689" s="24">
        <v>14980</v>
      </c>
      <c r="Q689">
        <v>8304</v>
      </c>
      <c r="R689">
        <v>14990</v>
      </c>
      <c r="S689">
        <v>10658</v>
      </c>
      <c r="T689">
        <v>19000</v>
      </c>
      <c r="U689">
        <v>10658</v>
      </c>
      <c r="V689">
        <v>19000</v>
      </c>
    </row>
    <row r="690" spans="2:22" x14ac:dyDescent="0.35">
      <c r="B690" s="23" t="s">
        <v>543</v>
      </c>
      <c r="D690" t="s">
        <v>539</v>
      </c>
      <c r="E690" t="s">
        <v>540</v>
      </c>
      <c r="F690" s="46" t="s">
        <v>543</v>
      </c>
      <c r="G690" t="s">
        <v>235</v>
      </c>
      <c r="H690" s="23">
        <v>2</v>
      </c>
      <c r="I690" s="23" t="s">
        <v>544</v>
      </c>
      <c r="J690" t="s">
        <v>545</v>
      </c>
      <c r="K690">
        <v>614</v>
      </c>
      <c r="L690">
        <v>889</v>
      </c>
      <c r="M690" s="24">
        <v>580</v>
      </c>
      <c r="N690" s="24">
        <v>893</v>
      </c>
      <c r="O690" s="24">
        <v>570</v>
      </c>
      <c r="P690" s="24">
        <v>878</v>
      </c>
      <c r="Q690">
        <v>647</v>
      </c>
      <c r="R690">
        <v>1064</v>
      </c>
      <c r="S690">
        <v>758</v>
      </c>
      <c r="T690">
        <v>1492</v>
      </c>
      <c r="U690">
        <v>758</v>
      </c>
      <c r="V690">
        <v>1492</v>
      </c>
    </row>
    <row r="691" spans="2:22" x14ac:dyDescent="0.35">
      <c r="B691" s="23" t="s">
        <v>546</v>
      </c>
      <c r="D691" t="s">
        <v>539</v>
      </c>
      <c r="E691" t="s">
        <v>540</v>
      </c>
      <c r="F691" s="46" t="s">
        <v>546</v>
      </c>
      <c r="G691" t="s">
        <v>239</v>
      </c>
      <c r="H691" s="23">
        <v>3</v>
      </c>
      <c r="I691" s="23" t="s">
        <v>547</v>
      </c>
      <c r="J691" t="s">
        <v>548</v>
      </c>
      <c r="K691">
        <v>8637</v>
      </c>
      <c r="L691">
        <v>12070</v>
      </c>
      <c r="M691" s="24">
        <v>8162</v>
      </c>
      <c r="N691" s="24">
        <v>11799</v>
      </c>
      <c r="O691" s="24">
        <v>8271</v>
      </c>
      <c r="P691" s="24">
        <v>12106</v>
      </c>
      <c r="Q691">
        <v>8007</v>
      </c>
      <c r="R691">
        <v>12858</v>
      </c>
      <c r="S691">
        <v>9398</v>
      </c>
      <c r="T691">
        <v>15964</v>
      </c>
      <c r="U691">
        <v>9398</v>
      </c>
      <c r="V691">
        <v>15964</v>
      </c>
    </row>
    <row r="692" spans="2:22" x14ac:dyDescent="0.35">
      <c r="B692" s="23" t="s">
        <v>549</v>
      </c>
      <c r="D692" t="s">
        <v>539</v>
      </c>
      <c r="E692" t="s">
        <v>540</v>
      </c>
      <c r="F692" s="46" t="s">
        <v>549</v>
      </c>
      <c r="G692" t="s">
        <v>255</v>
      </c>
      <c r="H692" s="23">
        <v>4</v>
      </c>
      <c r="I692" s="23" t="s">
        <v>550</v>
      </c>
      <c r="J692" t="s">
        <v>551</v>
      </c>
      <c r="K692">
        <v>895</v>
      </c>
      <c r="L692">
        <v>1193</v>
      </c>
      <c r="M692" s="24">
        <v>823</v>
      </c>
      <c r="N692" s="24">
        <v>1156</v>
      </c>
      <c r="O692" s="24">
        <v>861</v>
      </c>
      <c r="P692" s="24">
        <v>1261</v>
      </c>
      <c r="Q692">
        <v>781</v>
      </c>
      <c r="R692">
        <v>1368</v>
      </c>
      <c r="S692">
        <v>682</v>
      </c>
      <c r="T692">
        <v>1463</v>
      </c>
      <c r="U692">
        <v>682</v>
      </c>
      <c r="V692">
        <v>1463</v>
      </c>
    </row>
    <row r="693" spans="2:22" x14ac:dyDescent="0.35">
      <c r="B693" s="23" t="s">
        <v>552</v>
      </c>
      <c r="D693" t="s">
        <v>539</v>
      </c>
      <c r="E693" t="s">
        <v>540</v>
      </c>
      <c r="F693" s="46" t="s">
        <v>552</v>
      </c>
      <c r="G693" t="s">
        <v>259</v>
      </c>
      <c r="H693" s="23">
        <v>5</v>
      </c>
      <c r="I693" s="23" t="s">
        <v>553</v>
      </c>
      <c r="J693" t="s">
        <v>554</v>
      </c>
      <c r="K693">
        <v>19815</v>
      </c>
      <c r="L693">
        <v>35327</v>
      </c>
      <c r="M693" s="24">
        <v>16864</v>
      </c>
      <c r="N693" s="24">
        <v>34500</v>
      </c>
      <c r="O693" s="24">
        <v>16830</v>
      </c>
      <c r="P693" s="24">
        <v>34538</v>
      </c>
      <c r="Q693">
        <v>19060</v>
      </c>
      <c r="R693">
        <v>37785</v>
      </c>
      <c r="S693">
        <v>25247</v>
      </c>
      <c r="T693">
        <v>49177</v>
      </c>
      <c r="U693">
        <v>25247</v>
      </c>
      <c r="V693">
        <v>49177</v>
      </c>
    </row>
    <row r="694" spans="2:22" x14ac:dyDescent="0.35">
      <c r="B694" s="23" t="s">
        <v>555</v>
      </c>
      <c r="D694" t="s">
        <v>539</v>
      </c>
      <c r="E694" t="s">
        <v>540</v>
      </c>
      <c r="F694" s="46" t="s">
        <v>555</v>
      </c>
      <c r="G694" t="s">
        <v>265</v>
      </c>
      <c r="H694" s="23">
        <v>6</v>
      </c>
      <c r="I694" s="23" t="s">
        <v>556</v>
      </c>
      <c r="J694" t="s">
        <v>557</v>
      </c>
      <c r="K694">
        <v>166761</v>
      </c>
      <c r="L694">
        <v>234419</v>
      </c>
      <c r="M694" s="24">
        <v>173578</v>
      </c>
      <c r="N694" s="24">
        <v>242609</v>
      </c>
      <c r="O694" s="24">
        <v>179658</v>
      </c>
      <c r="P694" s="24">
        <v>258954</v>
      </c>
      <c r="Q694">
        <v>186348</v>
      </c>
      <c r="R694">
        <v>280963</v>
      </c>
      <c r="S694">
        <v>235550</v>
      </c>
      <c r="T694">
        <v>349201</v>
      </c>
      <c r="U694">
        <v>235550</v>
      </c>
      <c r="V694">
        <v>349201</v>
      </c>
    </row>
    <row r="695" spans="2:22" x14ac:dyDescent="0.35">
      <c r="B695" s="23" t="s">
        <v>558</v>
      </c>
      <c r="D695" t="s">
        <v>539</v>
      </c>
      <c r="E695" t="s">
        <v>540</v>
      </c>
      <c r="F695" s="46" t="s">
        <v>558</v>
      </c>
      <c r="G695" t="s">
        <v>273</v>
      </c>
      <c r="H695" s="23">
        <v>7</v>
      </c>
      <c r="I695" s="23" t="s">
        <v>559</v>
      </c>
      <c r="J695" t="s">
        <v>233</v>
      </c>
      <c r="K695">
        <v>389</v>
      </c>
      <c r="L695">
        <v>541</v>
      </c>
      <c r="M695" s="24">
        <v>369</v>
      </c>
      <c r="N695" s="24">
        <v>545</v>
      </c>
      <c r="O695" s="24">
        <v>374</v>
      </c>
      <c r="P695" s="24">
        <v>587</v>
      </c>
      <c r="Q695">
        <v>280</v>
      </c>
      <c r="R695">
        <v>630</v>
      </c>
      <c r="S695">
        <v>205</v>
      </c>
      <c r="T695">
        <v>730</v>
      </c>
      <c r="U695">
        <v>205</v>
      </c>
      <c r="V695">
        <v>730</v>
      </c>
    </row>
    <row r="696" spans="2:22" x14ac:dyDescent="0.35">
      <c r="B696" s="23" t="s">
        <v>560</v>
      </c>
      <c r="D696" t="s">
        <v>539</v>
      </c>
      <c r="E696" t="s">
        <v>540</v>
      </c>
      <c r="F696" s="46" t="s">
        <v>560</v>
      </c>
      <c r="G696" t="s">
        <v>279</v>
      </c>
      <c r="H696" s="23">
        <v>8</v>
      </c>
      <c r="I696" s="23" t="s">
        <v>561</v>
      </c>
      <c r="J696" t="s">
        <v>562</v>
      </c>
      <c r="K696">
        <v>5239</v>
      </c>
      <c r="L696">
        <v>9945</v>
      </c>
      <c r="M696" s="24">
        <v>4988</v>
      </c>
      <c r="N696" s="24">
        <v>9700</v>
      </c>
      <c r="O696" s="24">
        <v>5217</v>
      </c>
      <c r="P696" s="24">
        <v>9953</v>
      </c>
      <c r="Q696">
        <v>5167</v>
      </c>
      <c r="R696">
        <v>10725</v>
      </c>
      <c r="S696">
        <v>7007</v>
      </c>
      <c r="T696">
        <v>14452</v>
      </c>
      <c r="U696">
        <v>7007</v>
      </c>
      <c r="V696">
        <v>14452</v>
      </c>
    </row>
    <row r="697" spans="2:22" x14ac:dyDescent="0.35">
      <c r="B697" s="23" t="s">
        <v>563</v>
      </c>
      <c r="D697" t="s">
        <v>539</v>
      </c>
      <c r="E697" t="s">
        <v>540</v>
      </c>
      <c r="F697" s="46" t="s">
        <v>563</v>
      </c>
      <c r="G697" t="s">
        <v>283</v>
      </c>
      <c r="H697" s="23">
        <v>9</v>
      </c>
      <c r="I697" s="23" t="s">
        <v>564</v>
      </c>
      <c r="J697" t="s">
        <v>565</v>
      </c>
      <c r="K697">
        <v>4838</v>
      </c>
      <c r="L697">
        <v>8826</v>
      </c>
      <c r="M697" s="24">
        <v>4460</v>
      </c>
      <c r="N697" s="24">
        <v>8619</v>
      </c>
      <c r="O697" s="24">
        <v>4731</v>
      </c>
      <c r="P697" s="24">
        <v>8754</v>
      </c>
      <c r="Q697">
        <v>4539</v>
      </c>
      <c r="R697">
        <v>9119</v>
      </c>
      <c r="S697">
        <v>6066</v>
      </c>
      <c r="T697">
        <v>11665</v>
      </c>
      <c r="U697">
        <v>6066</v>
      </c>
      <c r="V697">
        <v>11665</v>
      </c>
    </row>
    <row r="698" spans="2:22" x14ac:dyDescent="0.35">
      <c r="B698" s="23" t="s">
        <v>566</v>
      </c>
      <c r="D698" t="s">
        <v>539</v>
      </c>
      <c r="E698" t="s">
        <v>540</v>
      </c>
      <c r="F698" s="46" t="s">
        <v>566</v>
      </c>
      <c r="G698" t="s">
        <v>289</v>
      </c>
      <c r="H698" s="23">
        <v>10</v>
      </c>
      <c r="I698" s="23" t="s">
        <v>567</v>
      </c>
      <c r="J698" t="s">
        <v>329</v>
      </c>
      <c r="K698">
        <v>5692</v>
      </c>
      <c r="L698">
        <v>9285</v>
      </c>
      <c r="M698" s="24">
        <v>5591</v>
      </c>
      <c r="N698" s="24">
        <v>9684</v>
      </c>
      <c r="O698" s="24">
        <v>5896</v>
      </c>
      <c r="P698" s="24">
        <v>10136</v>
      </c>
      <c r="Q698">
        <v>6063</v>
      </c>
      <c r="R698">
        <v>11182</v>
      </c>
      <c r="S698">
        <v>7960</v>
      </c>
      <c r="T698">
        <v>15029</v>
      </c>
      <c r="U698">
        <v>7960</v>
      </c>
      <c r="V698">
        <v>15029</v>
      </c>
    </row>
    <row r="699" spans="2:22" x14ac:dyDescent="0.35">
      <c r="B699" s="23" t="s">
        <v>568</v>
      </c>
      <c r="D699" t="s">
        <v>539</v>
      </c>
      <c r="E699" t="s">
        <v>540</v>
      </c>
      <c r="F699" s="46" t="s">
        <v>568</v>
      </c>
      <c r="G699" t="s">
        <v>293</v>
      </c>
      <c r="H699" s="23">
        <v>11</v>
      </c>
      <c r="I699" s="23" t="s">
        <v>569</v>
      </c>
      <c r="J699" t="s">
        <v>570</v>
      </c>
      <c r="K699">
        <v>21272</v>
      </c>
      <c r="L699">
        <v>30445</v>
      </c>
      <c r="M699" s="24">
        <v>23236</v>
      </c>
      <c r="N699" s="24">
        <v>33814</v>
      </c>
      <c r="O699" s="24">
        <v>26568</v>
      </c>
      <c r="P699" s="24">
        <v>37557</v>
      </c>
      <c r="Q699">
        <v>28915</v>
      </c>
      <c r="R699">
        <v>42202</v>
      </c>
      <c r="S699">
        <v>31670</v>
      </c>
      <c r="T699">
        <v>49570</v>
      </c>
      <c r="U699">
        <v>31670</v>
      </c>
      <c r="V699">
        <v>49570</v>
      </c>
    </row>
    <row r="700" spans="2:22" x14ac:dyDescent="0.35">
      <c r="B700" s="23" t="s">
        <v>571</v>
      </c>
      <c r="D700" t="s">
        <v>539</v>
      </c>
      <c r="E700" t="s">
        <v>540</v>
      </c>
      <c r="F700" s="46" t="s">
        <v>571</v>
      </c>
      <c r="G700" t="s">
        <v>303</v>
      </c>
      <c r="H700" s="23">
        <v>12</v>
      </c>
      <c r="I700" s="23" t="s">
        <v>572</v>
      </c>
      <c r="J700" t="s">
        <v>508</v>
      </c>
      <c r="K700">
        <v>3205</v>
      </c>
      <c r="L700">
        <v>4167</v>
      </c>
      <c r="M700" s="24">
        <v>3593</v>
      </c>
      <c r="N700" s="24">
        <v>4915</v>
      </c>
      <c r="O700" s="24">
        <v>4573</v>
      </c>
      <c r="P700" s="24">
        <v>5936</v>
      </c>
      <c r="Q700">
        <v>4532</v>
      </c>
      <c r="R700">
        <v>6577</v>
      </c>
      <c r="S700">
        <v>4199</v>
      </c>
      <c r="T700">
        <v>6534</v>
      </c>
      <c r="U700">
        <v>4199</v>
      </c>
      <c r="V700">
        <v>6534</v>
      </c>
    </row>
    <row r="701" spans="2:22" x14ac:dyDescent="0.35">
      <c r="B701" s="23" t="s">
        <v>573</v>
      </c>
      <c r="D701" t="s">
        <v>539</v>
      </c>
      <c r="E701" t="s">
        <v>540</v>
      </c>
      <c r="F701" s="46" t="s">
        <v>573</v>
      </c>
      <c r="G701" t="s">
        <v>311</v>
      </c>
      <c r="H701" s="23">
        <v>13</v>
      </c>
      <c r="I701" s="23" t="s">
        <v>574</v>
      </c>
      <c r="J701" t="s">
        <v>575</v>
      </c>
      <c r="K701">
        <v>1104</v>
      </c>
      <c r="L701">
        <v>1514</v>
      </c>
      <c r="M701" s="24">
        <v>1135</v>
      </c>
      <c r="N701" s="24">
        <v>1594</v>
      </c>
      <c r="O701" s="24">
        <v>1309</v>
      </c>
      <c r="P701" s="24">
        <v>1785</v>
      </c>
      <c r="Q701">
        <v>1026</v>
      </c>
      <c r="R701">
        <v>1892</v>
      </c>
      <c r="S701">
        <v>981</v>
      </c>
      <c r="T701">
        <v>2142</v>
      </c>
      <c r="U701">
        <v>981</v>
      </c>
      <c r="V701">
        <v>2142</v>
      </c>
    </row>
    <row r="702" spans="2:22" x14ac:dyDescent="0.35">
      <c r="B702" s="23" t="s">
        <v>576</v>
      </c>
      <c r="D702" t="s">
        <v>539</v>
      </c>
      <c r="E702" t="s">
        <v>540</v>
      </c>
      <c r="F702" s="46" t="s">
        <v>576</v>
      </c>
      <c r="G702" t="s">
        <v>577</v>
      </c>
      <c r="H702" s="23">
        <v>14</v>
      </c>
      <c r="I702" s="23" t="s">
        <v>578</v>
      </c>
      <c r="J702" t="s">
        <v>579</v>
      </c>
      <c r="K702">
        <v>598</v>
      </c>
      <c r="L702">
        <v>764</v>
      </c>
      <c r="M702" s="24">
        <v>587</v>
      </c>
      <c r="N702" s="24">
        <v>805</v>
      </c>
      <c r="O702" s="24">
        <v>579</v>
      </c>
      <c r="P702" s="24">
        <v>790</v>
      </c>
      <c r="Q702">
        <v>448</v>
      </c>
      <c r="R702">
        <v>810</v>
      </c>
      <c r="S702">
        <v>421</v>
      </c>
      <c r="T702">
        <v>962</v>
      </c>
      <c r="U702">
        <v>421</v>
      </c>
      <c r="V702">
        <v>962</v>
      </c>
    </row>
    <row r="703" spans="2:22" x14ac:dyDescent="0.35">
      <c r="B703" s="23" t="s">
        <v>580</v>
      </c>
      <c r="D703" t="s">
        <v>539</v>
      </c>
      <c r="E703" t="s">
        <v>540</v>
      </c>
      <c r="F703" s="46" t="s">
        <v>580</v>
      </c>
      <c r="G703" t="s">
        <v>581</v>
      </c>
      <c r="H703" s="23">
        <v>15</v>
      </c>
      <c r="I703" s="23" t="s">
        <v>582</v>
      </c>
      <c r="J703" t="s">
        <v>583</v>
      </c>
      <c r="K703">
        <v>28686</v>
      </c>
      <c r="L703">
        <v>49175</v>
      </c>
      <c r="M703" s="24">
        <v>27935</v>
      </c>
      <c r="N703" s="24">
        <v>50940</v>
      </c>
      <c r="O703" s="24">
        <v>29592</v>
      </c>
      <c r="P703" s="24">
        <v>55679</v>
      </c>
      <c r="Q703">
        <v>32089</v>
      </c>
      <c r="R703">
        <v>65483</v>
      </c>
      <c r="S703">
        <v>47710</v>
      </c>
      <c r="T703">
        <v>89541</v>
      </c>
      <c r="U703">
        <v>47710</v>
      </c>
      <c r="V703">
        <v>89541</v>
      </c>
    </row>
    <row r="704" spans="2:22" x14ac:dyDescent="0.35">
      <c r="B704" s="23" t="s">
        <v>584</v>
      </c>
      <c r="D704" t="s">
        <v>539</v>
      </c>
      <c r="E704" t="s">
        <v>540</v>
      </c>
      <c r="F704" s="46" t="s">
        <v>584</v>
      </c>
      <c r="G704" t="s">
        <v>585</v>
      </c>
      <c r="H704" s="23">
        <v>16</v>
      </c>
      <c r="I704" s="23" t="s">
        <v>586</v>
      </c>
      <c r="J704" t="s">
        <v>351</v>
      </c>
      <c r="K704">
        <v>9438</v>
      </c>
      <c r="L704">
        <v>13694</v>
      </c>
      <c r="M704" s="24">
        <v>9086</v>
      </c>
      <c r="N704" s="24">
        <v>14157</v>
      </c>
      <c r="O704" s="24">
        <v>9286</v>
      </c>
      <c r="P704" s="24">
        <v>14754</v>
      </c>
      <c r="Q704">
        <v>8889</v>
      </c>
      <c r="R704">
        <v>15977</v>
      </c>
      <c r="S704">
        <v>10846</v>
      </c>
      <c r="T704">
        <v>21026</v>
      </c>
      <c r="U704">
        <v>10846</v>
      </c>
      <c r="V704">
        <v>21026</v>
      </c>
    </row>
    <row r="705" spans="2:22" x14ac:dyDescent="0.35">
      <c r="B705" s="23" t="s">
        <v>587</v>
      </c>
      <c r="D705" t="s">
        <v>539</v>
      </c>
      <c r="E705" t="s">
        <v>540</v>
      </c>
      <c r="F705" s="46" t="s">
        <v>587</v>
      </c>
      <c r="G705" t="s">
        <v>588</v>
      </c>
      <c r="H705" s="23">
        <v>17</v>
      </c>
      <c r="I705" s="23" t="s">
        <v>589</v>
      </c>
      <c r="J705" t="s">
        <v>590</v>
      </c>
      <c r="K705">
        <v>4412</v>
      </c>
      <c r="L705">
        <v>7719</v>
      </c>
      <c r="M705" s="24">
        <v>4039</v>
      </c>
      <c r="N705" s="24">
        <v>8094</v>
      </c>
      <c r="O705" s="24">
        <v>4034</v>
      </c>
      <c r="P705" s="24">
        <v>8365</v>
      </c>
      <c r="Q705">
        <v>4692</v>
      </c>
      <c r="R705">
        <v>9157</v>
      </c>
      <c r="S705">
        <v>6510</v>
      </c>
      <c r="T705">
        <v>11760</v>
      </c>
      <c r="U705">
        <v>6510</v>
      </c>
      <c r="V705">
        <v>11760</v>
      </c>
    </row>
    <row r="706" spans="2:22" x14ac:dyDescent="0.35">
      <c r="B706" s="23" t="s">
        <v>591</v>
      </c>
      <c r="D706" t="s">
        <v>539</v>
      </c>
      <c r="E706" t="s">
        <v>540</v>
      </c>
      <c r="F706" s="46" t="s">
        <v>591</v>
      </c>
      <c r="G706" t="s">
        <v>592</v>
      </c>
      <c r="H706" s="23">
        <v>18</v>
      </c>
      <c r="I706" s="23" t="s">
        <v>593</v>
      </c>
      <c r="J706" t="s">
        <v>355</v>
      </c>
      <c r="K706">
        <v>482</v>
      </c>
      <c r="L706">
        <v>706</v>
      </c>
      <c r="M706" s="24">
        <v>473</v>
      </c>
      <c r="N706" s="24">
        <v>726</v>
      </c>
      <c r="O706" s="24">
        <v>518</v>
      </c>
      <c r="P706" s="24">
        <v>805</v>
      </c>
      <c r="Q706">
        <v>365</v>
      </c>
      <c r="R706">
        <v>867</v>
      </c>
      <c r="S706">
        <v>262</v>
      </c>
      <c r="T706">
        <v>932</v>
      </c>
      <c r="U706">
        <v>262</v>
      </c>
      <c r="V706">
        <v>932</v>
      </c>
    </row>
    <row r="707" spans="2:22" x14ac:dyDescent="0.35">
      <c r="B707" s="23" t="s">
        <v>594</v>
      </c>
      <c r="D707" t="s">
        <v>539</v>
      </c>
      <c r="E707" t="s">
        <v>540</v>
      </c>
      <c r="F707" s="46" t="s">
        <v>594</v>
      </c>
      <c r="G707" t="s">
        <v>595</v>
      </c>
      <c r="H707" s="23">
        <v>19</v>
      </c>
      <c r="I707" s="23" t="s">
        <v>596</v>
      </c>
      <c r="J707" t="s">
        <v>597</v>
      </c>
      <c r="K707">
        <v>1429</v>
      </c>
      <c r="L707">
        <v>1859</v>
      </c>
      <c r="M707" s="24">
        <v>1485</v>
      </c>
      <c r="N707" s="24">
        <v>2041</v>
      </c>
      <c r="O707" s="24">
        <v>1830</v>
      </c>
      <c r="P707" s="24">
        <v>2472</v>
      </c>
      <c r="Q707">
        <v>1515</v>
      </c>
      <c r="R707">
        <v>3124</v>
      </c>
      <c r="S707">
        <v>1195</v>
      </c>
      <c r="T707">
        <v>3282</v>
      </c>
      <c r="U707">
        <v>1195</v>
      </c>
      <c r="V707">
        <v>3282</v>
      </c>
    </row>
    <row r="708" spans="2:22" x14ac:dyDescent="0.35">
      <c r="B708" s="23" t="s">
        <v>598</v>
      </c>
      <c r="D708" t="s">
        <v>539</v>
      </c>
      <c r="E708" t="s">
        <v>540</v>
      </c>
      <c r="F708" s="46" t="s">
        <v>598</v>
      </c>
      <c r="G708" t="s">
        <v>599</v>
      </c>
      <c r="H708" s="23">
        <v>20</v>
      </c>
      <c r="I708" s="23" t="s">
        <v>600</v>
      </c>
      <c r="J708" t="s">
        <v>601</v>
      </c>
      <c r="K708">
        <v>596</v>
      </c>
      <c r="L708">
        <v>870</v>
      </c>
      <c r="M708" s="24">
        <v>566</v>
      </c>
      <c r="N708" s="24">
        <v>863</v>
      </c>
      <c r="O708" s="24">
        <v>596</v>
      </c>
      <c r="P708" s="24">
        <v>958</v>
      </c>
      <c r="Q708">
        <v>481</v>
      </c>
      <c r="R708">
        <v>1005</v>
      </c>
      <c r="S708">
        <v>498</v>
      </c>
      <c r="T708">
        <v>1153</v>
      </c>
      <c r="U708">
        <v>498</v>
      </c>
      <c r="V708">
        <v>1153</v>
      </c>
    </row>
    <row r="709" spans="2:22" x14ac:dyDescent="0.35">
      <c r="B709" s="23" t="s">
        <v>602</v>
      </c>
      <c r="D709" t="s">
        <v>539</v>
      </c>
      <c r="E709" t="s">
        <v>540</v>
      </c>
      <c r="F709" s="46" t="s">
        <v>602</v>
      </c>
      <c r="G709" t="s">
        <v>603</v>
      </c>
      <c r="H709" s="23">
        <v>21</v>
      </c>
      <c r="I709" s="23" t="s">
        <v>604</v>
      </c>
      <c r="J709" t="s">
        <v>605</v>
      </c>
      <c r="K709">
        <v>372</v>
      </c>
      <c r="L709">
        <v>505</v>
      </c>
      <c r="M709" s="24">
        <v>384</v>
      </c>
      <c r="N709" s="24">
        <v>563</v>
      </c>
      <c r="O709" s="24">
        <v>415</v>
      </c>
      <c r="P709" s="24">
        <v>611</v>
      </c>
      <c r="Q709">
        <v>284</v>
      </c>
      <c r="R709">
        <v>615</v>
      </c>
      <c r="S709">
        <v>238</v>
      </c>
      <c r="T709">
        <v>756</v>
      </c>
      <c r="U709">
        <v>238</v>
      </c>
      <c r="V709">
        <v>756</v>
      </c>
    </row>
    <row r="710" spans="2:22" x14ac:dyDescent="0.35">
      <c r="B710" s="23" t="s">
        <v>606</v>
      </c>
      <c r="D710" t="s">
        <v>539</v>
      </c>
      <c r="E710" t="s">
        <v>540</v>
      </c>
      <c r="F710" s="46" t="s">
        <v>606</v>
      </c>
      <c r="G710" t="s">
        <v>607</v>
      </c>
      <c r="H710" s="23">
        <v>22</v>
      </c>
      <c r="I710" s="23" t="s">
        <v>608</v>
      </c>
      <c r="J710" t="s">
        <v>609</v>
      </c>
      <c r="K710">
        <v>583</v>
      </c>
      <c r="L710">
        <v>873</v>
      </c>
      <c r="M710" s="24">
        <v>577</v>
      </c>
      <c r="N710" s="24">
        <v>869</v>
      </c>
      <c r="O710" s="24">
        <v>579</v>
      </c>
      <c r="P710" s="24">
        <v>888</v>
      </c>
      <c r="Q710">
        <v>736</v>
      </c>
      <c r="R710">
        <v>1076</v>
      </c>
      <c r="S710">
        <v>866</v>
      </c>
      <c r="T710">
        <v>1355</v>
      </c>
      <c r="U710">
        <v>866</v>
      </c>
      <c r="V710">
        <v>1355</v>
      </c>
    </row>
    <row r="711" spans="2:22" x14ac:dyDescent="0.35">
      <c r="B711" s="23" t="s">
        <v>610</v>
      </c>
      <c r="D711" t="s">
        <v>539</v>
      </c>
      <c r="E711" t="s">
        <v>540</v>
      </c>
      <c r="F711" s="46" t="s">
        <v>610</v>
      </c>
      <c r="G711" t="s">
        <v>611</v>
      </c>
      <c r="H711" s="23">
        <v>23</v>
      </c>
      <c r="I711" s="23" t="s">
        <v>612</v>
      </c>
      <c r="J711" t="s">
        <v>613</v>
      </c>
      <c r="K711">
        <v>419</v>
      </c>
      <c r="L711">
        <v>560</v>
      </c>
      <c r="M711" s="24">
        <v>414</v>
      </c>
      <c r="N711" s="24">
        <v>599</v>
      </c>
      <c r="O711" s="24">
        <v>523</v>
      </c>
      <c r="P711" s="24">
        <v>719</v>
      </c>
      <c r="Q711">
        <v>513</v>
      </c>
      <c r="R711">
        <v>885</v>
      </c>
      <c r="S711">
        <v>384</v>
      </c>
      <c r="T711">
        <v>926</v>
      </c>
      <c r="U711">
        <v>384</v>
      </c>
      <c r="V711">
        <v>926</v>
      </c>
    </row>
    <row r="712" spans="2:22" x14ac:dyDescent="0.35">
      <c r="B712" s="23" t="s">
        <v>614</v>
      </c>
      <c r="D712" t="s">
        <v>539</v>
      </c>
      <c r="E712" t="s">
        <v>540</v>
      </c>
      <c r="F712" s="46" t="s">
        <v>614</v>
      </c>
      <c r="G712" t="s">
        <v>615</v>
      </c>
      <c r="H712" s="23">
        <v>24</v>
      </c>
      <c r="I712" s="23" t="s">
        <v>616</v>
      </c>
      <c r="J712" t="s">
        <v>617</v>
      </c>
      <c r="K712">
        <v>809</v>
      </c>
      <c r="L712">
        <v>1098</v>
      </c>
      <c r="M712" s="24">
        <v>802</v>
      </c>
      <c r="N712" s="24">
        <v>1146</v>
      </c>
      <c r="O712" s="24">
        <v>1153</v>
      </c>
      <c r="P712" s="24">
        <v>1519</v>
      </c>
      <c r="Q712">
        <v>675</v>
      </c>
      <c r="R712">
        <v>1418</v>
      </c>
      <c r="S712">
        <v>699</v>
      </c>
      <c r="T712">
        <v>1561</v>
      </c>
      <c r="U712">
        <v>699</v>
      </c>
      <c r="V712">
        <v>1561</v>
      </c>
    </row>
    <row r="713" spans="2:22" x14ac:dyDescent="0.35">
      <c r="B713" s="23" t="s">
        <v>618</v>
      </c>
      <c r="D713" t="s">
        <v>539</v>
      </c>
      <c r="E713" t="s">
        <v>540</v>
      </c>
      <c r="F713" s="46" t="s">
        <v>618</v>
      </c>
      <c r="G713" t="s">
        <v>619</v>
      </c>
      <c r="H713" s="23">
        <v>25</v>
      </c>
      <c r="I713" s="23" t="s">
        <v>620</v>
      </c>
      <c r="J713" t="s">
        <v>621</v>
      </c>
      <c r="K713">
        <v>1886</v>
      </c>
      <c r="L713">
        <v>2337</v>
      </c>
      <c r="M713" s="24">
        <v>2129</v>
      </c>
      <c r="N713" s="24">
        <v>2680</v>
      </c>
      <c r="O713" s="24">
        <v>2643</v>
      </c>
      <c r="P713" s="24">
        <v>3280</v>
      </c>
      <c r="Q713">
        <v>3243</v>
      </c>
      <c r="R713">
        <v>4043</v>
      </c>
      <c r="S713">
        <v>4263</v>
      </c>
      <c r="T713">
        <v>5554</v>
      </c>
      <c r="U713">
        <v>4263</v>
      </c>
      <c r="V713">
        <v>5554</v>
      </c>
    </row>
    <row r="714" spans="2:22" x14ac:dyDescent="0.35">
      <c r="B714" s="23" t="s">
        <v>622</v>
      </c>
      <c r="D714" t="s">
        <v>539</v>
      </c>
      <c r="E714" t="s">
        <v>540</v>
      </c>
      <c r="F714" s="46" t="s">
        <v>622</v>
      </c>
      <c r="G714" t="s">
        <v>623</v>
      </c>
      <c r="H714" s="23">
        <v>26</v>
      </c>
      <c r="I714" s="23" t="s">
        <v>624</v>
      </c>
      <c r="J714" t="s">
        <v>625</v>
      </c>
      <c r="K714">
        <v>7741</v>
      </c>
      <c r="L714">
        <v>11414</v>
      </c>
      <c r="M714" s="24">
        <v>7841</v>
      </c>
      <c r="N714" s="24">
        <v>11802</v>
      </c>
      <c r="O714" s="24">
        <v>8101</v>
      </c>
      <c r="P714" s="24">
        <v>12350</v>
      </c>
      <c r="Q714">
        <v>8286</v>
      </c>
      <c r="R714">
        <v>12981</v>
      </c>
      <c r="S714">
        <v>10419</v>
      </c>
      <c r="T714">
        <v>16658</v>
      </c>
      <c r="U714">
        <v>10419</v>
      </c>
      <c r="V714">
        <v>16658</v>
      </c>
    </row>
    <row r="715" spans="2:22" x14ac:dyDescent="0.35">
      <c r="B715" s="23" t="s">
        <v>626</v>
      </c>
      <c r="D715" t="s">
        <v>539</v>
      </c>
      <c r="E715" t="s">
        <v>540</v>
      </c>
      <c r="F715" s="46" t="s">
        <v>626</v>
      </c>
      <c r="G715" t="s">
        <v>627</v>
      </c>
      <c r="H715" s="23">
        <v>27</v>
      </c>
      <c r="I715" s="23" t="s">
        <v>628</v>
      </c>
      <c r="J715" t="s">
        <v>629</v>
      </c>
      <c r="K715">
        <v>3669</v>
      </c>
      <c r="L715">
        <v>5038</v>
      </c>
      <c r="M715" s="24">
        <v>3910</v>
      </c>
      <c r="N715" s="24">
        <v>5521</v>
      </c>
      <c r="O715" s="24">
        <v>4270</v>
      </c>
      <c r="P715" s="24">
        <v>6053</v>
      </c>
      <c r="Q715">
        <v>3766</v>
      </c>
      <c r="R715">
        <v>6354</v>
      </c>
      <c r="S715">
        <v>4344</v>
      </c>
      <c r="T715">
        <v>7946</v>
      </c>
      <c r="U715">
        <v>4344</v>
      </c>
      <c r="V715">
        <v>7946</v>
      </c>
    </row>
    <row r="716" spans="2:22" x14ac:dyDescent="0.35">
      <c r="B716" s="23" t="s">
        <v>630</v>
      </c>
      <c r="D716" t="s">
        <v>539</v>
      </c>
      <c r="E716" t="s">
        <v>540</v>
      </c>
      <c r="F716" s="46" t="s">
        <v>630</v>
      </c>
      <c r="G716" t="s">
        <v>631</v>
      </c>
      <c r="H716" s="23">
        <v>28</v>
      </c>
      <c r="I716" s="23" t="s">
        <v>632</v>
      </c>
      <c r="J716" t="s">
        <v>633</v>
      </c>
      <c r="K716">
        <v>50034</v>
      </c>
      <c r="L716">
        <v>81954</v>
      </c>
      <c r="M716" s="24">
        <v>50137</v>
      </c>
      <c r="N716" s="24">
        <v>82742</v>
      </c>
      <c r="O716" s="24">
        <v>54799</v>
      </c>
      <c r="P716" s="24">
        <v>90451</v>
      </c>
      <c r="Q716">
        <v>60203</v>
      </c>
      <c r="R716">
        <v>100688</v>
      </c>
      <c r="S716">
        <v>84285</v>
      </c>
      <c r="T716">
        <v>140075</v>
      </c>
      <c r="U716">
        <v>84285</v>
      </c>
      <c r="V716">
        <v>140075</v>
      </c>
    </row>
    <row r="717" spans="2:22" x14ac:dyDescent="0.35">
      <c r="B717" s="23" t="s">
        <v>634</v>
      </c>
      <c r="D717" t="s">
        <v>539</v>
      </c>
      <c r="E717" t="s">
        <v>540</v>
      </c>
      <c r="F717" s="46" t="s">
        <v>634</v>
      </c>
      <c r="G717" t="s">
        <v>635</v>
      </c>
      <c r="H717" s="23">
        <v>29</v>
      </c>
      <c r="I717" s="23" t="s">
        <v>636</v>
      </c>
      <c r="J717" t="s">
        <v>637</v>
      </c>
      <c r="K717">
        <v>596</v>
      </c>
      <c r="L717">
        <v>806</v>
      </c>
      <c r="M717" s="24">
        <v>599</v>
      </c>
      <c r="N717" s="24">
        <v>881</v>
      </c>
      <c r="O717" s="24">
        <v>660</v>
      </c>
      <c r="P717" s="24">
        <v>998</v>
      </c>
      <c r="Q717">
        <v>470</v>
      </c>
      <c r="R717">
        <v>1064</v>
      </c>
      <c r="S717">
        <v>411</v>
      </c>
      <c r="T717">
        <v>1249</v>
      </c>
      <c r="U717">
        <v>411</v>
      </c>
      <c r="V717">
        <v>1249</v>
      </c>
    </row>
    <row r="718" spans="2:22" x14ac:dyDescent="0.35">
      <c r="B718" s="23" t="s">
        <v>638</v>
      </c>
      <c r="D718" t="s">
        <v>539</v>
      </c>
      <c r="E718" t="s">
        <v>540</v>
      </c>
      <c r="F718" s="46" t="s">
        <v>638</v>
      </c>
      <c r="G718" t="s">
        <v>639</v>
      </c>
      <c r="H718" s="23">
        <v>30</v>
      </c>
      <c r="I718" s="23" t="s">
        <v>640</v>
      </c>
      <c r="J718" t="s">
        <v>641</v>
      </c>
      <c r="K718">
        <v>7242</v>
      </c>
      <c r="L718">
        <v>11062</v>
      </c>
      <c r="M718" s="24">
        <v>7363</v>
      </c>
      <c r="N718" s="24">
        <v>11692</v>
      </c>
      <c r="O718" s="24">
        <v>7959</v>
      </c>
      <c r="P718" s="24">
        <v>12339</v>
      </c>
      <c r="Q718">
        <v>8132</v>
      </c>
      <c r="R718">
        <v>13219</v>
      </c>
      <c r="S718">
        <v>8821</v>
      </c>
      <c r="T718">
        <v>15761</v>
      </c>
      <c r="U718">
        <v>8821</v>
      </c>
      <c r="V718">
        <v>15761</v>
      </c>
    </row>
    <row r="719" spans="2:22" x14ac:dyDescent="0.35">
      <c r="B719" s="23" t="s">
        <v>642</v>
      </c>
      <c r="D719" t="s">
        <v>539</v>
      </c>
      <c r="E719" t="s">
        <v>540</v>
      </c>
      <c r="F719" s="46" t="s">
        <v>642</v>
      </c>
      <c r="G719" t="s">
        <v>643</v>
      </c>
      <c r="H719" s="23">
        <v>31</v>
      </c>
      <c r="I719" s="23" t="s">
        <v>644</v>
      </c>
      <c r="J719" t="s">
        <v>357</v>
      </c>
      <c r="K719">
        <v>1401</v>
      </c>
      <c r="L719">
        <v>1918</v>
      </c>
      <c r="M719" s="24">
        <v>1420</v>
      </c>
      <c r="N719" s="24">
        <v>2063</v>
      </c>
      <c r="O719" s="24">
        <v>1548</v>
      </c>
      <c r="P719" s="24">
        <v>2326</v>
      </c>
      <c r="Q719">
        <v>1045</v>
      </c>
      <c r="R719">
        <v>2448</v>
      </c>
      <c r="S719">
        <v>1013</v>
      </c>
      <c r="T719">
        <v>2901</v>
      </c>
      <c r="U719">
        <v>1013</v>
      </c>
      <c r="V719">
        <v>2901</v>
      </c>
    </row>
    <row r="720" spans="2:22" x14ac:dyDescent="0.35">
      <c r="B720" s="23" t="s">
        <v>645</v>
      </c>
      <c r="D720" t="s">
        <v>539</v>
      </c>
      <c r="E720" t="s">
        <v>540</v>
      </c>
      <c r="F720" s="46" t="s">
        <v>645</v>
      </c>
      <c r="G720" t="s">
        <v>646</v>
      </c>
      <c r="H720" s="23">
        <v>32</v>
      </c>
      <c r="I720" s="23" t="s">
        <v>647</v>
      </c>
      <c r="J720" t="s">
        <v>247</v>
      </c>
      <c r="K720">
        <v>490</v>
      </c>
      <c r="L720">
        <v>684</v>
      </c>
      <c r="M720" s="24">
        <v>488</v>
      </c>
      <c r="N720" s="24">
        <v>720</v>
      </c>
      <c r="O720" s="24">
        <v>569</v>
      </c>
      <c r="P720" s="24">
        <v>820</v>
      </c>
      <c r="Q720">
        <v>351</v>
      </c>
      <c r="R720">
        <v>854</v>
      </c>
      <c r="S720">
        <v>372</v>
      </c>
      <c r="T720">
        <v>955</v>
      </c>
      <c r="U720">
        <v>372</v>
      </c>
      <c r="V720">
        <v>955</v>
      </c>
    </row>
    <row r="721" spans="2:22" x14ac:dyDescent="0.35">
      <c r="B721" s="23" t="s">
        <v>648</v>
      </c>
      <c r="D721" t="s">
        <v>539</v>
      </c>
      <c r="E721" t="s">
        <v>540</v>
      </c>
      <c r="F721" s="46" t="s">
        <v>648</v>
      </c>
      <c r="G721" t="s">
        <v>649</v>
      </c>
      <c r="H721" s="23">
        <v>33</v>
      </c>
      <c r="I721" s="23" t="s">
        <v>650</v>
      </c>
      <c r="J721" t="s">
        <v>504</v>
      </c>
      <c r="K721">
        <v>284</v>
      </c>
      <c r="L721">
        <v>363</v>
      </c>
      <c r="M721" s="24">
        <v>243</v>
      </c>
      <c r="N721" s="24">
        <v>349</v>
      </c>
      <c r="O721" s="24">
        <v>351</v>
      </c>
      <c r="P721" s="24">
        <v>480</v>
      </c>
      <c r="Q721">
        <v>326</v>
      </c>
      <c r="R721">
        <v>563</v>
      </c>
      <c r="S721">
        <v>286</v>
      </c>
      <c r="T721">
        <v>594</v>
      </c>
      <c r="U721">
        <v>286</v>
      </c>
      <c r="V721">
        <v>594</v>
      </c>
    </row>
    <row r="722" spans="2:22" x14ac:dyDescent="0.35">
      <c r="B722" s="23" t="s">
        <v>651</v>
      </c>
      <c r="D722" t="s">
        <v>539</v>
      </c>
      <c r="E722" t="s">
        <v>540</v>
      </c>
      <c r="F722" s="46" t="s">
        <v>651</v>
      </c>
      <c r="G722" t="s">
        <v>652</v>
      </c>
      <c r="H722" s="23">
        <v>34</v>
      </c>
      <c r="I722" s="23" t="s">
        <v>653</v>
      </c>
      <c r="J722" t="s">
        <v>654</v>
      </c>
      <c r="K722">
        <v>14172</v>
      </c>
      <c r="L722">
        <v>22311</v>
      </c>
      <c r="M722" s="24">
        <v>14575</v>
      </c>
      <c r="N722" s="24">
        <v>23469</v>
      </c>
      <c r="O722" s="24">
        <v>15670</v>
      </c>
      <c r="P722" s="24">
        <v>25384</v>
      </c>
      <c r="Q722">
        <v>16950</v>
      </c>
      <c r="R722">
        <v>27970</v>
      </c>
      <c r="S722">
        <v>21595</v>
      </c>
      <c r="T722">
        <v>37844</v>
      </c>
      <c r="U722">
        <v>21595</v>
      </c>
      <c r="V722">
        <v>37844</v>
      </c>
    </row>
    <row r="723" spans="2:22" x14ac:dyDescent="0.35">
      <c r="B723" s="23" t="s">
        <v>655</v>
      </c>
      <c r="D723" t="s">
        <v>539</v>
      </c>
      <c r="E723" t="s">
        <v>540</v>
      </c>
      <c r="F723" s="46" t="s">
        <v>655</v>
      </c>
      <c r="G723" t="s">
        <v>656</v>
      </c>
      <c r="H723" s="23">
        <v>35</v>
      </c>
      <c r="I723" s="23" t="s">
        <v>657</v>
      </c>
      <c r="J723" t="s">
        <v>237</v>
      </c>
      <c r="K723">
        <v>40818</v>
      </c>
      <c r="L723">
        <v>55750</v>
      </c>
      <c r="M723" s="24">
        <v>43303</v>
      </c>
      <c r="N723" s="24">
        <v>61569</v>
      </c>
      <c r="O723" s="24">
        <v>48476</v>
      </c>
      <c r="P723" s="24">
        <v>68271</v>
      </c>
      <c r="Q723">
        <v>52548</v>
      </c>
      <c r="R723">
        <v>76085</v>
      </c>
      <c r="S723">
        <v>57770</v>
      </c>
      <c r="T723">
        <v>90591</v>
      </c>
      <c r="U723">
        <v>57770</v>
      </c>
      <c r="V723">
        <v>90591</v>
      </c>
    </row>
    <row r="724" spans="2:22" x14ac:dyDescent="0.35">
      <c r="B724" s="23" t="s">
        <v>658</v>
      </c>
      <c r="D724" t="s">
        <v>539</v>
      </c>
      <c r="E724" t="s">
        <v>540</v>
      </c>
      <c r="F724" s="46" t="s">
        <v>658</v>
      </c>
      <c r="G724" t="s">
        <v>659</v>
      </c>
      <c r="H724" s="23">
        <v>36</v>
      </c>
      <c r="I724" s="23" t="s">
        <v>660</v>
      </c>
      <c r="J724" t="s">
        <v>661</v>
      </c>
      <c r="K724">
        <v>9576</v>
      </c>
      <c r="L724">
        <v>13388</v>
      </c>
      <c r="M724" s="24">
        <v>10084</v>
      </c>
      <c r="N724" s="24">
        <v>14723</v>
      </c>
      <c r="O724" s="24">
        <v>10870</v>
      </c>
      <c r="P724" s="24">
        <v>15849</v>
      </c>
      <c r="Q724">
        <v>9442</v>
      </c>
      <c r="R724">
        <v>18153</v>
      </c>
      <c r="S724">
        <v>10105</v>
      </c>
      <c r="T724">
        <v>20336</v>
      </c>
      <c r="U724">
        <v>10105</v>
      </c>
      <c r="V724">
        <v>20336</v>
      </c>
    </row>
    <row r="725" spans="2:22" x14ac:dyDescent="0.35">
      <c r="B725" s="23" t="s">
        <v>662</v>
      </c>
      <c r="D725" t="s">
        <v>539</v>
      </c>
      <c r="E725" t="s">
        <v>540</v>
      </c>
      <c r="F725" s="46" t="s">
        <v>662</v>
      </c>
      <c r="G725" t="s">
        <v>663</v>
      </c>
      <c r="H725" s="23">
        <v>37</v>
      </c>
      <c r="I725" s="23" t="s">
        <v>664</v>
      </c>
      <c r="J725" t="s">
        <v>665</v>
      </c>
      <c r="K725">
        <v>2058</v>
      </c>
      <c r="L725">
        <v>2666</v>
      </c>
      <c r="M725" s="24">
        <v>1890</v>
      </c>
      <c r="N725" s="24">
        <v>2606</v>
      </c>
      <c r="O725" s="24">
        <v>2056</v>
      </c>
      <c r="P725" s="24">
        <v>2922</v>
      </c>
      <c r="Q725">
        <v>1753</v>
      </c>
      <c r="R725">
        <v>2970</v>
      </c>
      <c r="S725">
        <v>1810</v>
      </c>
      <c r="T725">
        <v>3367</v>
      </c>
      <c r="U725">
        <v>1810</v>
      </c>
      <c r="V725">
        <v>3367</v>
      </c>
    </row>
    <row r="726" spans="2:22" x14ac:dyDescent="0.35">
      <c r="B726" s="23" t="s">
        <v>666</v>
      </c>
      <c r="D726" t="s">
        <v>539</v>
      </c>
      <c r="E726" t="s">
        <v>540</v>
      </c>
      <c r="F726" s="46" t="s">
        <v>666</v>
      </c>
      <c r="G726" t="s">
        <v>667</v>
      </c>
      <c r="H726" s="23">
        <v>38</v>
      </c>
      <c r="I726" s="23" t="s">
        <v>668</v>
      </c>
      <c r="J726" t="s">
        <v>669</v>
      </c>
      <c r="K726">
        <v>177</v>
      </c>
      <c r="L726">
        <v>230</v>
      </c>
      <c r="M726" s="24">
        <v>187</v>
      </c>
      <c r="N726" s="24">
        <v>256</v>
      </c>
      <c r="O726" s="24">
        <v>206</v>
      </c>
      <c r="P726" s="24">
        <v>299</v>
      </c>
      <c r="Q726">
        <v>147</v>
      </c>
      <c r="R726">
        <v>308</v>
      </c>
      <c r="S726">
        <v>130</v>
      </c>
      <c r="T726">
        <v>367</v>
      </c>
      <c r="U726">
        <v>130</v>
      </c>
      <c r="V726">
        <v>367</v>
      </c>
    </row>
    <row r="727" spans="2:22" x14ac:dyDescent="0.35">
      <c r="B727" s="23" t="s">
        <v>670</v>
      </c>
      <c r="D727" t="s">
        <v>539</v>
      </c>
      <c r="E727" t="s">
        <v>540</v>
      </c>
      <c r="F727" s="46" t="s">
        <v>670</v>
      </c>
      <c r="G727" t="s">
        <v>671</v>
      </c>
      <c r="H727" s="23">
        <v>39</v>
      </c>
      <c r="I727" s="23" t="s">
        <v>672</v>
      </c>
      <c r="J727" t="s">
        <v>287</v>
      </c>
      <c r="K727">
        <v>684</v>
      </c>
      <c r="L727">
        <v>880</v>
      </c>
      <c r="M727" s="24">
        <v>660</v>
      </c>
      <c r="N727" s="24">
        <v>884</v>
      </c>
      <c r="O727" s="24">
        <v>725</v>
      </c>
      <c r="P727" s="24">
        <v>966</v>
      </c>
      <c r="Q727">
        <v>538</v>
      </c>
      <c r="R727">
        <v>1093</v>
      </c>
      <c r="S727">
        <v>494</v>
      </c>
      <c r="T727">
        <v>1226</v>
      </c>
      <c r="U727">
        <v>494</v>
      </c>
      <c r="V727">
        <v>1226</v>
      </c>
    </row>
    <row r="728" spans="2:22" x14ac:dyDescent="0.35">
      <c r="B728" s="23" t="s">
        <v>673</v>
      </c>
      <c r="D728" t="s">
        <v>539</v>
      </c>
      <c r="E728" t="s">
        <v>540</v>
      </c>
      <c r="F728" s="46" t="s">
        <v>673</v>
      </c>
      <c r="G728" t="s">
        <v>674</v>
      </c>
      <c r="H728" s="23">
        <v>40</v>
      </c>
      <c r="I728" s="23" t="s">
        <v>675</v>
      </c>
      <c r="J728" t="s">
        <v>676</v>
      </c>
      <c r="K728">
        <v>10672</v>
      </c>
      <c r="L728">
        <v>19717</v>
      </c>
      <c r="M728" s="24">
        <v>9373</v>
      </c>
      <c r="N728" s="24">
        <v>18965</v>
      </c>
      <c r="O728" s="24">
        <v>9925</v>
      </c>
      <c r="P728" s="24">
        <v>19302</v>
      </c>
      <c r="Q728">
        <v>10760</v>
      </c>
      <c r="R728">
        <v>21183</v>
      </c>
      <c r="S728">
        <v>15587</v>
      </c>
      <c r="T728">
        <v>29989</v>
      </c>
      <c r="U728">
        <v>15587</v>
      </c>
      <c r="V728">
        <v>29989</v>
      </c>
    </row>
    <row r="729" spans="2:22" x14ac:dyDescent="0.35">
      <c r="B729" s="23" t="s">
        <v>677</v>
      </c>
      <c r="D729" t="s">
        <v>539</v>
      </c>
      <c r="E729" t="s">
        <v>540</v>
      </c>
      <c r="F729" s="46" t="s">
        <v>677</v>
      </c>
      <c r="G729" t="s">
        <v>678</v>
      </c>
      <c r="H729" s="23">
        <v>41</v>
      </c>
      <c r="I729" s="23" t="s">
        <v>679</v>
      </c>
      <c r="J729" t="s">
        <v>365</v>
      </c>
      <c r="K729">
        <v>14440</v>
      </c>
      <c r="L729">
        <v>22207</v>
      </c>
      <c r="M729" s="24">
        <v>14149</v>
      </c>
      <c r="N729" s="24">
        <v>22114</v>
      </c>
      <c r="O729" s="24">
        <v>15396</v>
      </c>
      <c r="P729" s="24">
        <v>23912</v>
      </c>
      <c r="Q729">
        <v>15376</v>
      </c>
      <c r="R729">
        <v>25415</v>
      </c>
      <c r="S729">
        <v>19569</v>
      </c>
      <c r="T729">
        <v>32830</v>
      </c>
      <c r="U729">
        <v>19569</v>
      </c>
      <c r="V729">
        <v>32830</v>
      </c>
    </row>
    <row r="730" spans="2:22" x14ac:dyDescent="0.35">
      <c r="B730" s="23" t="s">
        <v>680</v>
      </c>
      <c r="D730" t="s">
        <v>539</v>
      </c>
      <c r="E730" t="s">
        <v>540</v>
      </c>
      <c r="F730" s="46" t="s">
        <v>680</v>
      </c>
      <c r="G730" t="s">
        <v>681</v>
      </c>
      <c r="H730" s="23">
        <v>42</v>
      </c>
      <c r="I730" s="23" t="s">
        <v>682</v>
      </c>
      <c r="J730" t="s">
        <v>683</v>
      </c>
      <c r="K730">
        <v>7679</v>
      </c>
      <c r="L730">
        <v>12173</v>
      </c>
      <c r="M730" s="24">
        <v>7540</v>
      </c>
      <c r="N730" s="24">
        <v>12446</v>
      </c>
      <c r="O730" s="24">
        <v>7284</v>
      </c>
      <c r="P730" s="24">
        <v>12512</v>
      </c>
      <c r="Q730">
        <v>6671</v>
      </c>
      <c r="R730">
        <v>12789</v>
      </c>
      <c r="S730">
        <v>8073</v>
      </c>
      <c r="T730">
        <v>15817</v>
      </c>
      <c r="U730">
        <v>8073</v>
      </c>
      <c r="V730">
        <v>15817</v>
      </c>
    </row>
    <row r="731" spans="2:22" x14ac:dyDescent="0.35">
      <c r="B731" s="23" t="s">
        <v>684</v>
      </c>
      <c r="D731" t="s">
        <v>539</v>
      </c>
      <c r="E731" t="s">
        <v>540</v>
      </c>
      <c r="F731" s="46" t="s">
        <v>684</v>
      </c>
      <c r="G731" t="s">
        <v>685</v>
      </c>
      <c r="H731" s="23">
        <v>43</v>
      </c>
      <c r="I731" s="23" t="s">
        <v>686</v>
      </c>
      <c r="J731" t="s">
        <v>687</v>
      </c>
      <c r="K731">
        <v>302716</v>
      </c>
      <c r="L731">
        <v>394677</v>
      </c>
      <c r="M731" s="24">
        <v>329415</v>
      </c>
      <c r="N731" s="24">
        <v>422183</v>
      </c>
      <c r="O731" s="24">
        <v>360743</v>
      </c>
      <c r="P731" s="24">
        <v>457666</v>
      </c>
      <c r="Q731">
        <v>390470</v>
      </c>
      <c r="R731">
        <v>509218</v>
      </c>
      <c r="S731">
        <v>483326</v>
      </c>
      <c r="T731">
        <v>631365</v>
      </c>
      <c r="U731">
        <v>483326</v>
      </c>
      <c r="V731">
        <v>631365</v>
      </c>
    </row>
    <row r="732" spans="2:22" x14ac:dyDescent="0.35">
      <c r="B732" s="23" t="s">
        <v>688</v>
      </c>
      <c r="D732" t="s">
        <v>539</v>
      </c>
      <c r="E732" t="s">
        <v>540</v>
      </c>
      <c r="F732" s="46" t="s">
        <v>688</v>
      </c>
      <c r="G732" t="s">
        <v>689</v>
      </c>
      <c r="H732" s="23">
        <v>44</v>
      </c>
      <c r="I732" s="23" t="s">
        <v>690</v>
      </c>
      <c r="J732" t="s">
        <v>369</v>
      </c>
      <c r="K732">
        <v>4469</v>
      </c>
      <c r="L732">
        <v>7365</v>
      </c>
      <c r="M732" s="24">
        <v>4711</v>
      </c>
      <c r="N732" s="24">
        <v>8064</v>
      </c>
      <c r="O732" s="24">
        <v>6881</v>
      </c>
      <c r="P732" s="24">
        <v>10623</v>
      </c>
      <c r="Q732">
        <v>9450</v>
      </c>
      <c r="R732">
        <v>13773</v>
      </c>
      <c r="S732">
        <v>10489</v>
      </c>
      <c r="T732">
        <v>16609</v>
      </c>
      <c r="U732">
        <v>10489</v>
      </c>
      <c r="V732">
        <v>16609</v>
      </c>
    </row>
    <row r="733" spans="2:22" x14ac:dyDescent="0.35">
      <c r="B733" s="23" t="s">
        <v>691</v>
      </c>
      <c r="D733" t="s">
        <v>539</v>
      </c>
      <c r="E733" t="s">
        <v>540</v>
      </c>
      <c r="F733" s="46" t="s">
        <v>691</v>
      </c>
      <c r="G733" t="s">
        <v>692</v>
      </c>
      <c r="H733" s="23">
        <v>45</v>
      </c>
      <c r="I733" s="23" t="s">
        <v>693</v>
      </c>
      <c r="J733" t="s">
        <v>694</v>
      </c>
      <c r="K733">
        <v>2801</v>
      </c>
      <c r="L733">
        <v>4309</v>
      </c>
      <c r="M733" s="24">
        <v>2589</v>
      </c>
      <c r="N733" s="24">
        <v>4471</v>
      </c>
      <c r="O733" s="24">
        <v>2701</v>
      </c>
      <c r="P733" s="24">
        <v>4689</v>
      </c>
      <c r="Q733">
        <v>1919</v>
      </c>
      <c r="R733">
        <v>4504</v>
      </c>
      <c r="S733">
        <v>2422</v>
      </c>
      <c r="T733">
        <v>5434</v>
      </c>
      <c r="U733">
        <v>2422</v>
      </c>
      <c r="V733">
        <v>5434</v>
      </c>
    </row>
    <row r="734" spans="2:22" x14ac:dyDescent="0.35">
      <c r="B734" s="23" t="s">
        <v>695</v>
      </c>
      <c r="D734" t="s">
        <v>539</v>
      </c>
      <c r="E734" t="s">
        <v>540</v>
      </c>
      <c r="F734" s="46" t="s">
        <v>695</v>
      </c>
      <c r="G734" t="s">
        <v>696</v>
      </c>
      <c r="H734" s="23">
        <v>46</v>
      </c>
      <c r="I734" s="23" t="s">
        <v>697</v>
      </c>
      <c r="J734" t="s">
        <v>698</v>
      </c>
      <c r="K734">
        <v>5748</v>
      </c>
      <c r="L734">
        <v>9109</v>
      </c>
      <c r="M734" s="24">
        <v>5614</v>
      </c>
      <c r="N734" s="24">
        <v>9262</v>
      </c>
      <c r="O734" s="24">
        <v>5993</v>
      </c>
      <c r="P734" s="24">
        <v>9770</v>
      </c>
      <c r="Q734">
        <v>5881</v>
      </c>
      <c r="R734">
        <v>10698</v>
      </c>
      <c r="S734">
        <v>6783</v>
      </c>
      <c r="T734">
        <v>13356</v>
      </c>
      <c r="U734">
        <v>6783</v>
      </c>
      <c r="V734">
        <v>13356</v>
      </c>
    </row>
    <row r="735" spans="2:22" x14ac:dyDescent="0.35">
      <c r="B735" s="23" t="s">
        <v>699</v>
      </c>
      <c r="D735" t="s">
        <v>539</v>
      </c>
      <c r="E735" t="s">
        <v>540</v>
      </c>
      <c r="F735" s="46" t="s">
        <v>699</v>
      </c>
      <c r="G735" t="s">
        <v>700</v>
      </c>
      <c r="H735" s="23">
        <v>47</v>
      </c>
      <c r="I735" s="23" t="s">
        <v>701</v>
      </c>
      <c r="J735" t="s">
        <v>702</v>
      </c>
      <c r="K735">
        <v>1450</v>
      </c>
      <c r="L735">
        <v>1847</v>
      </c>
      <c r="M735" s="24">
        <v>1170</v>
      </c>
      <c r="N735" s="24">
        <v>1745</v>
      </c>
      <c r="O735" s="24">
        <v>803</v>
      </c>
      <c r="P735" s="24">
        <v>1298</v>
      </c>
      <c r="Q735">
        <v>942</v>
      </c>
      <c r="R735">
        <v>1500</v>
      </c>
      <c r="S735">
        <v>1678</v>
      </c>
      <c r="T735">
        <v>2550</v>
      </c>
      <c r="U735">
        <v>1678</v>
      </c>
      <c r="V735">
        <v>2550</v>
      </c>
    </row>
    <row r="736" spans="2:22" x14ac:dyDescent="0.35">
      <c r="B736" s="23" t="s">
        <v>703</v>
      </c>
      <c r="D736" t="s">
        <v>539</v>
      </c>
      <c r="E736" t="s">
        <v>540</v>
      </c>
      <c r="F736" s="46" t="s">
        <v>703</v>
      </c>
      <c r="G736" t="s">
        <v>704</v>
      </c>
      <c r="H736" s="23">
        <v>48</v>
      </c>
      <c r="I736" s="23" t="s">
        <v>705</v>
      </c>
      <c r="J736" t="s">
        <v>706</v>
      </c>
      <c r="K736">
        <v>96777</v>
      </c>
      <c r="L736">
        <v>133742</v>
      </c>
      <c r="M736" s="24">
        <v>96815</v>
      </c>
      <c r="N736" s="24">
        <v>140932</v>
      </c>
      <c r="O736" s="24">
        <v>103786</v>
      </c>
      <c r="P736" s="24">
        <v>152794</v>
      </c>
      <c r="Q736">
        <v>118289</v>
      </c>
      <c r="R736">
        <v>176773</v>
      </c>
      <c r="S736">
        <v>165642</v>
      </c>
      <c r="T736">
        <v>244577</v>
      </c>
      <c r="U736">
        <v>165642</v>
      </c>
      <c r="V736">
        <v>244577</v>
      </c>
    </row>
    <row r="737" spans="2:22" x14ac:dyDescent="0.35">
      <c r="B737" s="23" t="s">
        <v>707</v>
      </c>
      <c r="D737" t="s">
        <v>539</v>
      </c>
      <c r="E737" t="s">
        <v>540</v>
      </c>
      <c r="F737" s="46" t="s">
        <v>707</v>
      </c>
      <c r="G737" t="s">
        <v>708</v>
      </c>
      <c r="H737" s="23">
        <v>49</v>
      </c>
      <c r="I737" s="23" t="s">
        <v>709</v>
      </c>
      <c r="J737" t="s">
        <v>710</v>
      </c>
      <c r="K737">
        <v>31721</v>
      </c>
      <c r="L737">
        <v>40414</v>
      </c>
      <c r="M737" s="24">
        <v>33108</v>
      </c>
      <c r="N737" s="24">
        <v>44306</v>
      </c>
      <c r="O737" s="24">
        <v>37171</v>
      </c>
      <c r="P737" s="24">
        <v>49758</v>
      </c>
      <c r="Q737">
        <v>44632</v>
      </c>
      <c r="R737">
        <v>59280</v>
      </c>
      <c r="S737">
        <v>69034</v>
      </c>
      <c r="T737">
        <v>89146</v>
      </c>
      <c r="U737">
        <v>69034</v>
      </c>
      <c r="V737">
        <v>89146</v>
      </c>
    </row>
    <row r="738" spans="2:22" x14ac:dyDescent="0.35">
      <c r="B738" s="23" t="s">
        <v>711</v>
      </c>
      <c r="D738" t="s">
        <v>539</v>
      </c>
      <c r="E738" t="s">
        <v>540</v>
      </c>
      <c r="F738" s="46" t="s">
        <v>711</v>
      </c>
      <c r="G738" t="s">
        <v>712</v>
      </c>
      <c r="H738" s="23">
        <v>50</v>
      </c>
      <c r="I738" s="23" t="s">
        <v>713</v>
      </c>
      <c r="J738" t="s">
        <v>714</v>
      </c>
      <c r="K738">
        <v>86308</v>
      </c>
      <c r="L738">
        <v>132761</v>
      </c>
      <c r="M738" s="24">
        <v>88199</v>
      </c>
      <c r="N738" s="24">
        <v>136310</v>
      </c>
      <c r="O738" s="24">
        <v>95031</v>
      </c>
      <c r="P738" s="24">
        <v>146436</v>
      </c>
      <c r="Q738">
        <v>102185</v>
      </c>
      <c r="R738">
        <v>161066</v>
      </c>
      <c r="S738">
        <v>131363</v>
      </c>
      <c r="T738">
        <v>203075</v>
      </c>
      <c r="U738">
        <v>131363</v>
      </c>
      <c r="V738">
        <v>203075</v>
      </c>
    </row>
    <row r="739" spans="2:22" x14ac:dyDescent="0.35">
      <c r="B739" s="23" t="s">
        <v>715</v>
      </c>
      <c r="D739" t="s">
        <v>539</v>
      </c>
      <c r="E739" t="s">
        <v>540</v>
      </c>
      <c r="F739" s="46" t="s">
        <v>715</v>
      </c>
      <c r="G739" t="s">
        <v>716</v>
      </c>
      <c r="H739" s="23">
        <v>51</v>
      </c>
      <c r="I739" s="23" t="s">
        <v>717</v>
      </c>
      <c r="J739" t="s">
        <v>718</v>
      </c>
      <c r="K739">
        <v>17460</v>
      </c>
      <c r="L739">
        <v>28950</v>
      </c>
      <c r="M739" s="24">
        <v>16597</v>
      </c>
      <c r="N739" s="24">
        <v>29008</v>
      </c>
      <c r="O739" s="24">
        <v>16822</v>
      </c>
      <c r="P739" s="24">
        <v>30459</v>
      </c>
      <c r="Q739">
        <v>17771</v>
      </c>
      <c r="R739">
        <v>32614</v>
      </c>
      <c r="S739">
        <v>25037</v>
      </c>
      <c r="T739">
        <v>43721</v>
      </c>
      <c r="U739">
        <v>25037</v>
      </c>
      <c r="V739">
        <v>43721</v>
      </c>
    </row>
    <row r="740" spans="2:22" x14ac:dyDescent="0.35">
      <c r="B740" s="23" t="s">
        <v>719</v>
      </c>
      <c r="D740" t="s">
        <v>539</v>
      </c>
      <c r="E740" t="s">
        <v>540</v>
      </c>
      <c r="F740" s="46" t="s">
        <v>719</v>
      </c>
      <c r="G740" t="s">
        <v>720</v>
      </c>
      <c r="H740" s="23">
        <v>52</v>
      </c>
      <c r="I740" s="23" t="s">
        <v>721</v>
      </c>
      <c r="J740" t="s">
        <v>722</v>
      </c>
      <c r="K740">
        <v>31838</v>
      </c>
      <c r="L740">
        <v>60167</v>
      </c>
      <c r="M740" s="24">
        <v>30184</v>
      </c>
      <c r="N740" s="24">
        <v>57485</v>
      </c>
      <c r="O740" s="24">
        <v>30150</v>
      </c>
      <c r="P740" s="24">
        <v>58163</v>
      </c>
      <c r="Q740">
        <v>31853</v>
      </c>
      <c r="R740">
        <v>62868</v>
      </c>
      <c r="S740">
        <v>44982</v>
      </c>
      <c r="T740">
        <v>80839</v>
      </c>
      <c r="U740">
        <v>44982</v>
      </c>
      <c r="V740">
        <v>80839</v>
      </c>
    </row>
    <row r="741" spans="2:22" x14ac:dyDescent="0.35">
      <c r="B741" s="23" t="s">
        <v>723</v>
      </c>
      <c r="D741" t="s">
        <v>539</v>
      </c>
      <c r="E741" t="s">
        <v>540</v>
      </c>
      <c r="F741" s="46" t="s">
        <v>723</v>
      </c>
      <c r="G741" t="s">
        <v>724</v>
      </c>
      <c r="H741" s="23">
        <v>53</v>
      </c>
      <c r="I741" s="23" t="s">
        <v>725</v>
      </c>
      <c r="J741" t="s">
        <v>530</v>
      </c>
      <c r="K741">
        <v>18612</v>
      </c>
      <c r="L741">
        <v>30399</v>
      </c>
      <c r="M741" s="24">
        <v>19423</v>
      </c>
      <c r="N741" s="24">
        <v>32706</v>
      </c>
      <c r="O741" s="24">
        <v>23654</v>
      </c>
      <c r="P741" s="24">
        <v>39479</v>
      </c>
      <c r="Q741">
        <v>27771</v>
      </c>
      <c r="R741">
        <v>45675</v>
      </c>
      <c r="S741">
        <v>38550</v>
      </c>
      <c r="T741">
        <v>62987</v>
      </c>
      <c r="U741">
        <v>38550</v>
      </c>
      <c r="V741">
        <v>62987</v>
      </c>
    </row>
    <row r="742" spans="2:22" x14ac:dyDescent="0.35">
      <c r="B742" s="23" t="s">
        <v>726</v>
      </c>
      <c r="D742" t="s">
        <v>539</v>
      </c>
      <c r="E742" t="s">
        <v>540</v>
      </c>
      <c r="F742" s="46" t="s">
        <v>726</v>
      </c>
      <c r="G742" t="s">
        <v>727</v>
      </c>
      <c r="H742" s="23">
        <v>54</v>
      </c>
      <c r="I742" s="23" t="s">
        <v>728</v>
      </c>
      <c r="J742" t="s">
        <v>729</v>
      </c>
      <c r="K742">
        <v>2672</v>
      </c>
      <c r="L742">
        <v>3655</v>
      </c>
      <c r="M742" s="24">
        <v>1775</v>
      </c>
      <c r="N742" s="24">
        <v>3337</v>
      </c>
      <c r="O742" s="24">
        <v>1225</v>
      </c>
      <c r="P742" s="24">
        <v>2615</v>
      </c>
      <c r="Q742">
        <v>1300</v>
      </c>
      <c r="R742">
        <v>2805</v>
      </c>
      <c r="S742">
        <v>2106</v>
      </c>
      <c r="T742">
        <v>4029</v>
      </c>
      <c r="U742">
        <v>2106</v>
      </c>
      <c r="V742">
        <v>4029</v>
      </c>
    </row>
    <row r="743" spans="2:22" x14ac:dyDescent="0.35">
      <c r="B743" s="23" t="s">
        <v>730</v>
      </c>
      <c r="D743" t="s">
        <v>539</v>
      </c>
      <c r="E743" t="s">
        <v>540</v>
      </c>
      <c r="F743" s="46" t="s">
        <v>730</v>
      </c>
      <c r="G743" t="s">
        <v>731</v>
      </c>
      <c r="H743" s="23">
        <v>55</v>
      </c>
      <c r="I743" s="23" t="s">
        <v>732</v>
      </c>
      <c r="J743" t="s">
        <v>733</v>
      </c>
      <c r="K743">
        <v>4518</v>
      </c>
      <c r="L743">
        <v>7129</v>
      </c>
      <c r="M743" s="24">
        <v>4391</v>
      </c>
      <c r="N743" s="24">
        <v>7357</v>
      </c>
      <c r="O743" s="24">
        <v>4287</v>
      </c>
      <c r="P743" s="24">
        <v>7471</v>
      </c>
      <c r="Q743">
        <v>4110</v>
      </c>
      <c r="R743">
        <v>7775</v>
      </c>
      <c r="S743">
        <v>4980</v>
      </c>
      <c r="T743">
        <v>10186</v>
      </c>
      <c r="U743">
        <v>4980</v>
      </c>
      <c r="V743">
        <v>10186</v>
      </c>
    </row>
    <row r="744" spans="2:22" x14ac:dyDescent="0.35">
      <c r="B744" s="23" t="s">
        <v>734</v>
      </c>
      <c r="D744" t="s">
        <v>539</v>
      </c>
      <c r="E744" t="s">
        <v>540</v>
      </c>
      <c r="F744" s="46" t="s">
        <v>734</v>
      </c>
      <c r="G744" t="s">
        <v>735</v>
      </c>
      <c r="H744" s="23">
        <v>56</v>
      </c>
      <c r="I744" s="23" t="s">
        <v>736</v>
      </c>
      <c r="J744" t="s">
        <v>737</v>
      </c>
      <c r="K744">
        <v>16287</v>
      </c>
      <c r="L744">
        <v>28911</v>
      </c>
      <c r="M744" s="24">
        <v>15421</v>
      </c>
      <c r="N744" s="24">
        <v>28958</v>
      </c>
      <c r="O744" s="24">
        <v>16407</v>
      </c>
      <c r="P744" s="24">
        <v>29669</v>
      </c>
      <c r="Q744">
        <v>16691</v>
      </c>
      <c r="R744">
        <v>31971</v>
      </c>
      <c r="S744">
        <v>20294</v>
      </c>
      <c r="T744">
        <v>40694</v>
      </c>
      <c r="U744">
        <v>20294</v>
      </c>
      <c r="V744">
        <v>40694</v>
      </c>
    </row>
    <row r="745" spans="2:22" x14ac:dyDescent="0.35">
      <c r="B745" s="23" t="s">
        <v>738</v>
      </c>
      <c r="D745" t="s">
        <v>539</v>
      </c>
      <c r="E745" t="s">
        <v>540</v>
      </c>
      <c r="F745" s="46" t="s">
        <v>738</v>
      </c>
      <c r="G745" t="s">
        <v>739</v>
      </c>
      <c r="H745" s="23">
        <v>57</v>
      </c>
      <c r="I745" s="23" t="s">
        <v>740</v>
      </c>
      <c r="J745" t="s">
        <v>741</v>
      </c>
      <c r="K745">
        <v>20008</v>
      </c>
      <c r="L745">
        <v>34063</v>
      </c>
      <c r="M745" s="24">
        <v>18697</v>
      </c>
      <c r="N745" s="24">
        <v>33643</v>
      </c>
      <c r="O745" s="24">
        <v>18413</v>
      </c>
      <c r="P745" s="24">
        <v>33824</v>
      </c>
      <c r="Q745">
        <v>20294</v>
      </c>
      <c r="R745">
        <v>36736</v>
      </c>
      <c r="S745">
        <v>28593</v>
      </c>
      <c r="T745">
        <v>48512</v>
      </c>
      <c r="U745">
        <v>28593</v>
      </c>
      <c r="V745">
        <v>48512</v>
      </c>
    </row>
    <row r="746" spans="2:22" x14ac:dyDescent="0.35">
      <c r="B746" s="23" t="s">
        <v>742</v>
      </c>
      <c r="D746" t="s">
        <v>539</v>
      </c>
      <c r="E746" t="s">
        <v>540</v>
      </c>
      <c r="F746" s="46" t="s">
        <v>742</v>
      </c>
      <c r="G746" t="s">
        <v>743</v>
      </c>
      <c r="H746" s="23">
        <v>58</v>
      </c>
      <c r="I746" s="23" t="s">
        <v>744</v>
      </c>
      <c r="J746" t="s">
        <v>745</v>
      </c>
      <c r="K746">
        <v>7320</v>
      </c>
      <c r="L746">
        <v>13443</v>
      </c>
      <c r="M746" s="24">
        <v>7268</v>
      </c>
      <c r="N746" s="24">
        <v>13924</v>
      </c>
      <c r="O746" s="24">
        <v>7097</v>
      </c>
      <c r="P746" s="24">
        <v>14176</v>
      </c>
      <c r="Q746">
        <v>7088</v>
      </c>
      <c r="R746">
        <v>15240</v>
      </c>
      <c r="S746">
        <v>8145</v>
      </c>
      <c r="T746">
        <v>19585</v>
      </c>
      <c r="U746">
        <v>8145</v>
      </c>
      <c r="V746">
        <v>19585</v>
      </c>
    </row>
    <row r="747" spans="2:22" x14ac:dyDescent="0.35">
      <c r="B747" s="23" t="s">
        <v>746</v>
      </c>
      <c r="D747" t="s">
        <v>539</v>
      </c>
      <c r="E747" t="s">
        <v>540</v>
      </c>
      <c r="F747" s="46" t="s">
        <v>746</v>
      </c>
      <c r="G747" t="s">
        <v>747</v>
      </c>
      <c r="H747" s="23">
        <v>59</v>
      </c>
      <c r="I747" s="23" t="s">
        <v>748</v>
      </c>
      <c r="J747" t="s">
        <v>749</v>
      </c>
      <c r="K747">
        <v>12803</v>
      </c>
      <c r="L747">
        <v>25909</v>
      </c>
      <c r="M747" s="24">
        <v>11355</v>
      </c>
      <c r="N747" s="24">
        <v>25236</v>
      </c>
      <c r="O747" s="24">
        <v>13802</v>
      </c>
      <c r="P747" s="24">
        <v>26331</v>
      </c>
      <c r="Q747">
        <v>14125</v>
      </c>
      <c r="R747">
        <v>28142</v>
      </c>
      <c r="S747">
        <v>20325</v>
      </c>
      <c r="T747">
        <v>35880</v>
      </c>
      <c r="U747">
        <v>20325</v>
      </c>
      <c r="V747">
        <v>35880</v>
      </c>
    </row>
    <row r="748" spans="2:22" x14ac:dyDescent="0.35">
      <c r="B748" s="23" t="s">
        <v>750</v>
      </c>
      <c r="D748" t="s">
        <v>539</v>
      </c>
      <c r="E748" t="s">
        <v>540</v>
      </c>
      <c r="F748" s="46" t="s">
        <v>750</v>
      </c>
      <c r="G748" t="s">
        <v>751</v>
      </c>
      <c r="H748" s="23">
        <v>60</v>
      </c>
      <c r="I748" s="23" t="s">
        <v>752</v>
      </c>
      <c r="J748" t="s">
        <v>379</v>
      </c>
      <c r="K748">
        <v>2746</v>
      </c>
      <c r="L748">
        <v>4487</v>
      </c>
      <c r="M748" s="24">
        <v>2677</v>
      </c>
      <c r="N748" s="24">
        <v>4588</v>
      </c>
      <c r="O748" s="24">
        <v>2858</v>
      </c>
      <c r="P748" s="24">
        <v>4907</v>
      </c>
      <c r="Q748">
        <v>3012</v>
      </c>
      <c r="R748">
        <v>5480</v>
      </c>
      <c r="S748">
        <v>3296</v>
      </c>
      <c r="T748">
        <v>6959</v>
      </c>
      <c r="U748">
        <v>3296</v>
      </c>
      <c r="V748">
        <v>6959</v>
      </c>
    </row>
    <row r="749" spans="2:22" x14ac:dyDescent="0.35">
      <c r="B749" s="23" t="s">
        <v>753</v>
      </c>
      <c r="D749" t="s">
        <v>539</v>
      </c>
      <c r="E749" t="s">
        <v>540</v>
      </c>
      <c r="F749" s="46" t="s">
        <v>753</v>
      </c>
      <c r="G749" t="s">
        <v>754</v>
      </c>
      <c r="H749" s="23">
        <v>61</v>
      </c>
      <c r="I749" s="23" t="s">
        <v>755</v>
      </c>
      <c r="J749" t="s">
        <v>756</v>
      </c>
      <c r="K749">
        <v>1830</v>
      </c>
      <c r="L749">
        <v>2397</v>
      </c>
      <c r="M749" s="24">
        <v>1953</v>
      </c>
      <c r="N749" s="24">
        <v>2677</v>
      </c>
      <c r="O749" s="24">
        <v>2221</v>
      </c>
      <c r="P749" s="24">
        <v>2907</v>
      </c>
      <c r="Q749">
        <v>2122</v>
      </c>
      <c r="R749">
        <v>3267</v>
      </c>
      <c r="S749">
        <v>2300</v>
      </c>
      <c r="T749">
        <v>3701</v>
      </c>
      <c r="U749">
        <v>2300</v>
      </c>
      <c r="V749">
        <v>3701</v>
      </c>
    </row>
    <row r="750" spans="2:22" x14ac:dyDescent="0.35">
      <c r="B750" s="23" t="s">
        <v>757</v>
      </c>
      <c r="D750" t="s">
        <v>539</v>
      </c>
      <c r="E750" t="s">
        <v>540</v>
      </c>
      <c r="F750" s="46" t="s">
        <v>757</v>
      </c>
      <c r="G750" t="s">
        <v>758</v>
      </c>
      <c r="H750" s="23">
        <v>62</v>
      </c>
      <c r="I750" s="23" t="s">
        <v>759</v>
      </c>
      <c r="J750" t="s">
        <v>760</v>
      </c>
      <c r="K750">
        <v>528</v>
      </c>
      <c r="L750">
        <v>743</v>
      </c>
      <c r="M750" s="24">
        <v>586</v>
      </c>
      <c r="N750" s="24">
        <v>845</v>
      </c>
      <c r="O750" s="24">
        <v>657</v>
      </c>
      <c r="P750" s="24">
        <v>973</v>
      </c>
      <c r="Q750">
        <v>1273</v>
      </c>
      <c r="R750">
        <v>1679</v>
      </c>
      <c r="S750">
        <v>1966</v>
      </c>
      <c r="T750">
        <v>2743</v>
      </c>
      <c r="U750">
        <v>1966</v>
      </c>
      <c r="V750">
        <v>2743</v>
      </c>
    </row>
    <row r="751" spans="2:22" x14ac:dyDescent="0.35">
      <c r="B751" s="23" t="s">
        <v>761</v>
      </c>
      <c r="D751" t="s">
        <v>539</v>
      </c>
      <c r="E751" t="s">
        <v>540</v>
      </c>
      <c r="F751" s="46" t="s">
        <v>761</v>
      </c>
      <c r="G751" t="s">
        <v>762</v>
      </c>
      <c r="H751" s="23">
        <v>63</v>
      </c>
      <c r="I751" s="23" t="s">
        <v>763</v>
      </c>
      <c r="J751" t="s">
        <v>518</v>
      </c>
      <c r="K751">
        <v>338</v>
      </c>
      <c r="L751">
        <v>473</v>
      </c>
      <c r="M751" s="24">
        <v>373</v>
      </c>
      <c r="N751" s="24">
        <v>568</v>
      </c>
      <c r="O751" s="24">
        <v>425</v>
      </c>
      <c r="P751" s="24">
        <v>694</v>
      </c>
      <c r="Q751">
        <v>305</v>
      </c>
      <c r="R751">
        <v>588</v>
      </c>
      <c r="S751">
        <v>233</v>
      </c>
      <c r="T751">
        <v>631</v>
      </c>
      <c r="U751">
        <v>233</v>
      </c>
      <c r="V751">
        <v>631</v>
      </c>
    </row>
    <row r="752" spans="2:22" x14ac:dyDescent="0.35">
      <c r="B752" s="23" t="s">
        <v>764</v>
      </c>
      <c r="D752" t="s">
        <v>539</v>
      </c>
      <c r="E752" t="s">
        <v>540</v>
      </c>
      <c r="F752" s="46" t="s">
        <v>764</v>
      </c>
      <c r="G752" t="s">
        <v>765</v>
      </c>
      <c r="H752" s="23">
        <v>64</v>
      </c>
      <c r="I752" s="23" t="s">
        <v>766</v>
      </c>
      <c r="J752" t="s">
        <v>767</v>
      </c>
      <c r="K752">
        <v>21241</v>
      </c>
      <c r="L752">
        <v>36993</v>
      </c>
      <c r="M752" s="24">
        <v>20318</v>
      </c>
      <c r="N752" s="24">
        <v>37219</v>
      </c>
      <c r="O752" s="24">
        <v>20316</v>
      </c>
      <c r="P752" s="24">
        <v>38182</v>
      </c>
      <c r="Q752">
        <v>22069</v>
      </c>
      <c r="R752">
        <v>40719</v>
      </c>
      <c r="S752">
        <v>29806</v>
      </c>
      <c r="T752">
        <v>52761</v>
      </c>
      <c r="U752">
        <v>29806</v>
      </c>
      <c r="V752">
        <v>52761</v>
      </c>
    </row>
    <row r="753" spans="2:22" x14ac:dyDescent="0.35">
      <c r="B753" s="23" t="s">
        <v>768</v>
      </c>
      <c r="D753" t="s">
        <v>539</v>
      </c>
      <c r="E753" t="s">
        <v>540</v>
      </c>
      <c r="F753" s="46" t="s">
        <v>768</v>
      </c>
      <c r="G753" t="s">
        <v>769</v>
      </c>
      <c r="H753" s="23">
        <v>65</v>
      </c>
      <c r="I753" s="23" t="s">
        <v>770</v>
      </c>
      <c r="J753" t="s">
        <v>771</v>
      </c>
      <c r="K753">
        <v>774</v>
      </c>
      <c r="L753">
        <v>1108</v>
      </c>
      <c r="M753" s="24">
        <v>787</v>
      </c>
      <c r="N753" s="24">
        <v>1255</v>
      </c>
      <c r="O753" s="24">
        <v>886</v>
      </c>
      <c r="P753" s="24">
        <v>1399</v>
      </c>
      <c r="Q753">
        <v>628</v>
      </c>
      <c r="R753">
        <v>1514</v>
      </c>
      <c r="S753">
        <v>682</v>
      </c>
      <c r="T753">
        <v>1733</v>
      </c>
      <c r="U753">
        <v>682</v>
      </c>
      <c r="V753">
        <v>1733</v>
      </c>
    </row>
    <row r="754" spans="2:22" x14ac:dyDescent="0.35">
      <c r="B754" s="23" t="s">
        <v>772</v>
      </c>
      <c r="D754" t="s">
        <v>539</v>
      </c>
      <c r="E754" t="s">
        <v>540</v>
      </c>
      <c r="F754" s="46" t="s">
        <v>772</v>
      </c>
      <c r="G754" t="s">
        <v>773</v>
      </c>
      <c r="H754" s="23">
        <v>66</v>
      </c>
      <c r="I754" s="23" t="s">
        <v>774</v>
      </c>
      <c r="J754" t="s">
        <v>775</v>
      </c>
      <c r="K754">
        <v>2791</v>
      </c>
      <c r="L754">
        <v>4668</v>
      </c>
      <c r="M754" s="24">
        <v>2718</v>
      </c>
      <c r="N754" s="24">
        <v>4893</v>
      </c>
      <c r="O754" s="24">
        <v>2458</v>
      </c>
      <c r="P754" s="24">
        <v>4884</v>
      </c>
      <c r="Q754">
        <v>2484</v>
      </c>
      <c r="R754">
        <v>5145</v>
      </c>
      <c r="S754">
        <v>2922</v>
      </c>
      <c r="T754">
        <v>6760</v>
      </c>
      <c r="U754">
        <v>2922</v>
      </c>
      <c r="V754">
        <v>6760</v>
      </c>
    </row>
    <row r="755" spans="2:22" x14ac:dyDescent="0.35">
      <c r="B755" s="23" t="s">
        <v>776</v>
      </c>
      <c r="D755" t="s">
        <v>539</v>
      </c>
      <c r="E755" t="s">
        <v>540</v>
      </c>
      <c r="F755" s="46" t="s">
        <v>776</v>
      </c>
      <c r="G755" t="s">
        <v>777</v>
      </c>
      <c r="H755" s="23">
        <v>67</v>
      </c>
      <c r="I755" s="23" t="s">
        <v>778</v>
      </c>
      <c r="J755" t="s">
        <v>385</v>
      </c>
      <c r="K755">
        <v>826</v>
      </c>
      <c r="L755">
        <v>1127</v>
      </c>
      <c r="M755" s="24">
        <v>834</v>
      </c>
      <c r="N755" s="24">
        <v>1214</v>
      </c>
      <c r="O755" s="24">
        <v>897</v>
      </c>
      <c r="P755" s="24">
        <v>1309</v>
      </c>
      <c r="Q755">
        <v>670</v>
      </c>
      <c r="R755">
        <v>1368</v>
      </c>
      <c r="S755">
        <v>510</v>
      </c>
      <c r="T755">
        <v>1528</v>
      </c>
      <c r="U755">
        <v>510</v>
      </c>
      <c r="V755">
        <v>1528</v>
      </c>
    </row>
    <row r="756" spans="2:22" x14ac:dyDescent="0.35">
      <c r="B756" s="23" t="s">
        <v>779</v>
      </c>
      <c r="D756" t="s">
        <v>780</v>
      </c>
      <c r="E756" t="s">
        <v>781</v>
      </c>
      <c r="F756" s="46" t="s">
        <v>779</v>
      </c>
      <c r="G756" t="s">
        <v>231</v>
      </c>
      <c r="H756" s="23">
        <v>1</v>
      </c>
      <c r="I756" s="23" t="s">
        <v>782</v>
      </c>
      <c r="J756" t="s">
        <v>545</v>
      </c>
      <c r="K756">
        <v>90</v>
      </c>
      <c r="L756">
        <v>111</v>
      </c>
      <c r="M756" s="24">
        <v>90</v>
      </c>
      <c r="N756" s="24">
        <v>108</v>
      </c>
      <c r="O756" s="24">
        <v>86</v>
      </c>
      <c r="P756" s="24">
        <v>101</v>
      </c>
      <c r="Q756">
        <v>72</v>
      </c>
      <c r="R756">
        <v>112</v>
      </c>
      <c r="S756">
        <v>139</v>
      </c>
      <c r="T756">
        <v>188</v>
      </c>
      <c r="U756">
        <v>139</v>
      </c>
      <c r="V756">
        <v>188</v>
      </c>
    </row>
    <row r="757" spans="2:22" x14ac:dyDescent="0.35">
      <c r="B757" s="23" t="s">
        <v>783</v>
      </c>
      <c r="D757" t="s">
        <v>780</v>
      </c>
      <c r="E757" t="s">
        <v>781</v>
      </c>
      <c r="F757" s="46" t="s">
        <v>783</v>
      </c>
      <c r="G757" t="s">
        <v>231</v>
      </c>
      <c r="H757" s="23">
        <v>1</v>
      </c>
      <c r="I757" s="23" t="s">
        <v>782</v>
      </c>
      <c r="J757" t="s">
        <v>233</v>
      </c>
      <c r="K757">
        <v>151</v>
      </c>
      <c r="L757">
        <v>188</v>
      </c>
      <c r="M757" s="24">
        <v>174</v>
      </c>
      <c r="N757" s="24">
        <v>208</v>
      </c>
      <c r="O757" s="24">
        <v>189</v>
      </c>
      <c r="P757" s="24">
        <v>212</v>
      </c>
      <c r="Q757">
        <v>168</v>
      </c>
      <c r="R757">
        <v>242</v>
      </c>
      <c r="S757">
        <v>276</v>
      </c>
      <c r="T757">
        <v>375</v>
      </c>
      <c r="U757">
        <v>276</v>
      </c>
      <c r="V757">
        <v>375</v>
      </c>
    </row>
    <row r="758" spans="2:22" x14ac:dyDescent="0.35">
      <c r="B758" s="23" t="s">
        <v>784</v>
      </c>
      <c r="D758" t="s">
        <v>780</v>
      </c>
      <c r="E758" t="s">
        <v>781</v>
      </c>
      <c r="F758" s="46" t="s">
        <v>784</v>
      </c>
      <c r="G758" t="s">
        <v>231</v>
      </c>
      <c r="H758" s="23">
        <v>1</v>
      </c>
      <c r="I758" s="23" t="s">
        <v>782</v>
      </c>
      <c r="J758" t="s">
        <v>329</v>
      </c>
      <c r="K758">
        <v>83</v>
      </c>
      <c r="L758">
        <v>115</v>
      </c>
      <c r="M758" s="24">
        <v>102</v>
      </c>
      <c r="N758" s="24">
        <v>110</v>
      </c>
      <c r="O758" s="24">
        <v>88</v>
      </c>
      <c r="P758" s="24">
        <v>103</v>
      </c>
      <c r="Q758">
        <v>93</v>
      </c>
      <c r="R758">
        <v>144</v>
      </c>
      <c r="S758">
        <v>145</v>
      </c>
      <c r="T758">
        <v>190</v>
      </c>
      <c r="U758">
        <v>145</v>
      </c>
      <c r="V758">
        <v>190</v>
      </c>
    </row>
    <row r="759" spans="2:22" x14ac:dyDescent="0.35">
      <c r="B759" s="23" t="s">
        <v>785</v>
      </c>
      <c r="D759" t="s">
        <v>780</v>
      </c>
      <c r="E759" t="s">
        <v>781</v>
      </c>
      <c r="F759" s="46" t="s">
        <v>785</v>
      </c>
      <c r="G759" t="s">
        <v>231</v>
      </c>
      <c r="H759" s="23">
        <v>1</v>
      </c>
      <c r="I759" s="23" t="s">
        <v>782</v>
      </c>
      <c r="J759" t="s">
        <v>786</v>
      </c>
      <c r="K759">
        <v>601</v>
      </c>
      <c r="L759">
        <v>784</v>
      </c>
      <c r="M759" s="24">
        <v>658</v>
      </c>
      <c r="N759" s="24">
        <v>798</v>
      </c>
      <c r="O759" s="24">
        <v>696</v>
      </c>
      <c r="P759" s="24">
        <v>833</v>
      </c>
      <c r="Q759">
        <v>650</v>
      </c>
      <c r="R759">
        <v>967</v>
      </c>
      <c r="S759">
        <v>963</v>
      </c>
      <c r="T759">
        <v>1269</v>
      </c>
      <c r="U759">
        <v>963</v>
      </c>
      <c r="V759">
        <v>1269</v>
      </c>
    </row>
    <row r="760" spans="2:22" x14ac:dyDescent="0.35">
      <c r="B760" s="23" t="s">
        <v>787</v>
      </c>
      <c r="D760" t="s">
        <v>780</v>
      </c>
      <c r="E760" t="s">
        <v>781</v>
      </c>
      <c r="F760" s="46" t="s">
        <v>787</v>
      </c>
      <c r="G760" t="s">
        <v>231</v>
      </c>
      <c r="H760" s="23">
        <v>1</v>
      </c>
      <c r="I760" s="23" t="s">
        <v>782</v>
      </c>
      <c r="J760" t="s">
        <v>788</v>
      </c>
      <c r="K760">
        <v>2213</v>
      </c>
      <c r="L760">
        <v>2838</v>
      </c>
      <c r="M760" s="24">
        <v>2313</v>
      </c>
      <c r="N760" s="24">
        <v>2716</v>
      </c>
      <c r="O760" s="24">
        <v>2311</v>
      </c>
      <c r="P760" s="24">
        <v>2781</v>
      </c>
      <c r="Q760">
        <v>2254</v>
      </c>
      <c r="R760">
        <v>3243</v>
      </c>
      <c r="S760">
        <v>3673</v>
      </c>
      <c r="T760">
        <v>5039</v>
      </c>
      <c r="U760">
        <v>3673</v>
      </c>
      <c r="V760">
        <v>5039</v>
      </c>
    </row>
    <row r="761" spans="2:22" x14ac:dyDescent="0.35">
      <c r="B761" s="23" t="s">
        <v>789</v>
      </c>
      <c r="D761" t="s">
        <v>780</v>
      </c>
      <c r="E761" t="s">
        <v>781</v>
      </c>
      <c r="F761" s="46" t="s">
        <v>789</v>
      </c>
      <c r="G761" t="s">
        <v>231</v>
      </c>
      <c r="H761" s="23">
        <v>1</v>
      </c>
      <c r="I761" s="23" t="s">
        <v>782</v>
      </c>
      <c r="J761" t="s">
        <v>237</v>
      </c>
      <c r="K761">
        <v>860</v>
      </c>
      <c r="L761">
        <v>1137</v>
      </c>
      <c r="M761" s="24">
        <v>776</v>
      </c>
      <c r="N761" s="24">
        <v>982</v>
      </c>
      <c r="O761" s="24">
        <v>786</v>
      </c>
      <c r="P761" s="24">
        <v>1044</v>
      </c>
      <c r="Q761">
        <v>743</v>
      </c>
      <c r="R761">
        <v>1110</v>
      </c>
      <c r="S761">
        <v>934</v>
      </c>
      <c r="T761">
        <v>1441</v>
      </c>
      <c r="U761">
        <v>934</v>
      </c>
      <c r="V761">
        <v>1441</v>
      </c>
    </row>
    <row r="762" spans="2:22" x14ac:dyDescent="0.35">
      <c r="B762" s="23" t="s">
        <v>790</v>
      </c>
      <c r="D762" t="s">
        <v>780</v>
      </c>
      <c r="E762" t="s">
        <v>781</v>
      </c>
      <c r="F762" s="46" t="s">
        <v>790</v>
      </c>
      <c r="G762" t="s">
        <v>231</v>
      </c>
      <c r="H762" s="23">
        <v>1</v>
      </c>
      <c r="I762" s="23" t="s">
        <v>782</v>
      </c>
      <c r="J762" t="s">
        <v>791</v>
      </c>
      <c r="K762">
        <v>543</v>
      </c>
      <c r="L762">
        <v>691</v>
      </c>
      <c r="M762" s="24">
        <v>527</v>
      </c>
      <c r="N762" s="24">
        <v>644</v>
      </c>
      <c r="O762" s="24">
        <v>547</v>
      </c>
      <c r="P762" s="24">
        <v>659</v>
      </c>
      <c r="Q762">
        <v>482</v>
      </c>
      <c r="R762">
        <v>661</v>
      </c>
      <c r="S762">
        <v>718</v>
      </c>
      <c r="T762">
        <v>994</v>
      </c>
      <c r="U762">
        <v>718</v>
      </c>
      <c r="V762">
        <v>994</v>
      </c>
    </row>
    <row r="763" spans="2:22" x14ac:dyDescent="0.35">
      <c r="B763" s="23" t="s">
        <v>792</v>
      </c>
      <c r="D763" t="s">
        <v>780</v>
      </c>
      <c r="E763" t="s">
        <v>781</v>
      </c>
      <c r="F763" s="46" t="s">
        <v>792</v>
      </c>
      <c r="G763" t="s">
        <v>231</v>
      </c>
      <c r="H763" s="23">
        <v>1</v>
      </c>
      <c r="I763" s="23" t="s">
        <v>782</v>
      </c>
      <c r="J763" t="s">
        <v>377</v>
      </c>
      <c r="K763">
        <v>195</v>
      </c>
      <c r="L763">
        <v>246</v>
      </c>
      <c r="M763" s="24">
        <v>251</v>
      </c>
      <c r="N763" s="24">
        <v>275</v>
      </c>
      <c r="O763" s="24">
        <v>247</v>
      </c>
      <c r="P763" s="24">
        <v>277</v>
      </c>
      <c r="Q763">
        <v>227</v>
      </c>
      <c r="R763">
        <v>293</v>
      </c>
      <c r="S763">
        <v>342</v>
      </c>
      <c r="T763">
        <v>439</v>
      </c>
      <c r="U763">
        <v>342</v>
      </c>
      <c r="V763">
        <v>439</v>
      </c>
    </row>
    <row r="764" spans="2:22" x14ac:dyDescent="0.35">
      <c r="B764" s="23" t="s">
        <v>793</v>
      </c>
      <c r="D764" t="s">
        <v>780</v>
      </c>
      <c r="E764" t="s">
        <v>781</v>
      </c>
      <c r="F764" s="46" t="s">
        <v>793</v>
      </c>
      <c r="G764" t="s">
        <v>231</v>
      </c>
      <c r="H764" s="23">
        <v>1</v>
      </c>
      <c r="I764" s="23" t="s">
        <v>782</v>
      </c>
      <c r="J764" t="s">
        <v>794</v>
      </c>
      <c r="K764">
        <v>139</v>
      </c>
      <c r="L764">
        <v>172</v>
      </c>
      <c r="M764" s="24">
        <v>148</v>
      </c>
      <c r="N764" s="24">
        <v>158</v>
      </c>
      <c r="O764" s="24">
        <v>147</v>
      </c>
      <c r="P764" s="24">
        <v>188</v>
      </c>
      <c r="Q764">
        <v>149</v>
      </c>
      <c r="R764">
        <v>217</v>
      </c>
      <c r="S764">
        <v>204</v>
      </c>
      <c r="T764">
        <v>298</v>
      </c>
      <c r="U764">
        <v>204</v>
      </c>
      <c r="V764">
        <v>298</v>
      </c>
    </row>
    <row r="765" spans="2:22" x14ac:dyDescent="0.35">
      <c r="B765" s="23" t="s">
        <v>795</v>
      </c>
      <c r="D765" t="s">
        <v>780</v>
      </c>
      <c r="E765" t="s">
        <v>781</v>
      </c>
      <c r="F765" s="46" t="s">
        <v>795</v>
      </c>
      <c r="G765" t="s">
        <v>231</v>
      </c>
      <c r="H765" s="23">
        <v>1</v>
      </c>
      <c r="I765" s="23" t="s">
        <v>782</v>
      </c>
      <c r="J765" t="s">
        <v>379</v>
      </c>
      <c r="K765">
        <v>1182</v>
      </c>
      <c r="L765">
        <v>1406</v>
      </c>
      <c r="M765" s="24">
        <v>1177</v>
      </c>
      <c r="N765" s="24">
        <v>1339</v>
      </c>
      <c r="O765" s="24">
        <v>1267</v>
      </c>
      <c r="P765" s="24">
        <v>1517</v>
      </c>
      <c r="Q765">
        <v>1224</v>
      </c>
      <c r="R765">
        <v>1625</v>
      </c>
      <c r="S765">
        <v>1527</v>
      </c>
      <c r="T765">
        <v>2082</v>
      </c>
      <c r="U765">
        <v>1527</v>
      </c>
      <c r="V765">
        <v>2082</v>
      </c>
    </row>
    <row r="766" spans="2:22" x14ac:dyDescent="0.35">
      <c r="B766" s="23" t="s">
        <v>796</v>
      </c>
      <c r="D766" t="s">
        <v>780</v>
      </c>
      <c r="E766" t="s">
        <v>781</v>
      </c>
      <c r="F766" s="46" t="s">
        <v>796</v>
      </c>
      <c r="G766" t="s">
        <v>231</v>
      </c>
      <c r="H766" s="23">
        <v>1</v>
      </c>
      <c r="I766" s="23" t="s">
        <v>782</v>
      </c>
      <c r="J766" t="s">
        <v>797</v>
      </c>
      <c r="K766">
        <v>267</v>
      </c>
      <c r="L766">
        <v>338</v>
      </c>
      <c r="M766" s="24">
        <v>247</v>
      </c>
      <c r="N766" s="24">
        <v>289</v>
      </c>
      <c r="O766" s="24">
        <v>242</v>
      </c>
      <c r="P766" s="24">
        <v>298</v>
      </c>
      <c r="Q766">
        <v>219</v>
      </c>
      <c r="R766">
        <v>326</v>
      </c>
      <c r="S766">
        <v>301</v>
      </c>
      <c r="T766">
        <v>445</v>
      </c>
      <c r="U766">
        <v>301</v>
      </c>
      <c r="V766">
        <v>445</v>
      </c>
    </row>
    <row r="767" spans="2:22" x14ac:dyDescent="0.35">
      <c r="B767" s="23" t="s">
        <v>798</v>
      </c>
      <c r="D767" t="s">
        <v>780</v>
      </c>
      <c r="E767" t="s">
        <v>781</v>
      </c>
      <c r="F767" s="46" t="s">
        <v>798</v>
      </c>
      <c r="G767" t="s">
        <v>231</v>
      </c>
      <c r="H767" s="23">
        <v>1</v>
      </c>
      <c r="I767" s="23" t="s">
        <v>782</v>
      </c>
      <c r="J767" t="s">
        <v>799</v>
      </c>
      <c r="K767">
        <v>452</v>
      </c>
      <c r="L767">
        <v>578</v>
      </c>
      <c r="M767" s="24">
        <v>436</v>
      </c>
      <c r="N767" s="24">
        <v>519</v>
      </c>
      <c r="O767" s="24">
        <v>447</v>
      </c>
      <c r="P767" s="24">
        <v>524</v>
      </c>
      <c r="Q767">
        <v>449</v>
      </c>
      <c r="R767">
        <v>598</v>
      </c>
      <c r="S767">
        <v>691</v>
      </c>
      <c r="T767">
        <v>888</v>
      </c>
      <c r="U767">
        <v>691</v>
      </c>
      <c r="V767">
        <v>888</v>
      </c>
    </row>
    <row r="768" spans="2:22" x14ac:dyDescent="0.35">
      <c r="B768" s="23" t="s">
        <v>800</v>
      </c>
      <c r="D768" t="s">
        <v>780</v>
      </c>
      <c r="E768" t="s">
        <v>781</v>
      </c>
      <c r="F768" s="46" t="s">
        <v>800</v>
      </c>
      <c r="G768" t="s">
        <v>235</v>
      </c>
      <c r="H768" s="23">
        <v>2</v>
      </c>
      <c r="I768" s="23" t="s">
        <v>801</v>
      </c>
      <c r="J768" t="s">
        <v>802</v>
      </c>
      <c r="K768">
        <v>2269</v>
      </c>
      <c r="L768">
        <v>2857</v>
      </c>
      <c r="M768" s="24">
        <v>2364</v>
      </c>
      <c r="N768" s="24">
        <v>2926</v>
      </c>
      <c r="O768" s="24">
        <v>2626</v>
      </c>
      <c r="P768" s="24">
        <v>3254</v>
      </c>
      <c r="Q768">
        <v>2174</v>
      </c>
      <c r="R768">
        <v>3355</v>
      </c>
      <c r="S768">
        <v>3322</v>
      </c>
      <c r="T768">
        <v>5163</v>
      </c>
      <c r="U768">
        <v>3322</v>
      </c>
      <c r="V768">
        <v>5163</v>
      </c>
    </row>
    <row r="769" spans="2:22" x14ac:dyDescent="0.35">
      <c r="B769" s="23" t="s">
        <v>803</v>
      </c>
      <c r="D769" t="s">
        <v>780</v>
      </c>
      <c r="E769" t="s">
        <v>781</v>
      </c>
      <c r="F769" s="46" t="s">
        <v>803</v>
      </c>
      <c r="G769" t="s">
        <v>235</v>
      </c>
      <c r="H769" s="23">
        <v>2</v>
      </c>
      <c r="I769" s="23" t="s">
        <v>801</v>
      </c>
      <c r="J769" t="s">
        <v>327</v>
      </c>
      <c r="K769">
        <v>2940</v>
      </c>
      <c r="L769">
        <v>4116</v>
      </c>
      <c r="M769" s="24">
        <v>2903</v>
      </c>
      <c r="N769" s="24">
        <v>3850</v>
      </c>
      <c r="O769" s="24">
        <v>2909</v>
      </c>
      <c r="P769" s="24">
        <v>4023</v>
      </c>
      <c r="Q769">
        <v>2565</v>
      </c>
      <c r="R769">
        <v>4405</v>
      </c>
      <c r="S769">
        <v>3624</v>
      </c>
      <c r="T769">
        <v>6013</v>
      </c>
      <c r="U769">
        <v>3624</v>
      </c>
      <c r="V769">
        <v>6013</v>
      </c>
    </row>
    <row r="770" spans="2:22" x14ac:dyDescent="0.35">
      <c r="B770" s="23" t="s">
        <v>804</v>
      </c>
      <c r="D770" t="s">
        <v>780</v>
      </c>
      <c r="E770" t="s">
        <v>781</v>
      </c>
      <c r="F770" s="46" t="s">
        <v>804</v>
      </c>
      <c r="G770" t="s">
        <v>235</v>
      </c>
      <c r="H770" s="23">
        <v>2</v>
      </c>
      <c r="I770" s="23" t="s">
        <v>801</v>
      </c>
      <c r="J770" t="s">
        <v>805</v>
      </c>
      <c r="K770">
        <v>607</v>
      </c>
      <c r="L770">
        <v>698</v>
      </c>
      <c r="M770" s="24">
        <v>564</v>
      </c>
      <c r="N770" s="24">
        <v>641</v>
      </c>
      <c r="O770" s="24">
        <v>548</v>
      </c>
      <c r="P770" s="24">
        <v>645</v>
      </c>
      <c r="Q770">
        <v>455</v>
      </c>
      <c r="R770">
        <v>656</v>
      </c>
      <c r="S770">
        <v>615</v>
      </c>
      <c r="T770">
        <v>934</v>
      </c>
      <c r="U770">
        <v>615</v>
      </c>
      <c r="V770">
        <v>934</v>
      </c>
    </row>
    <row r="771" spans="2:22" x14ac:dyDescent="0.35">
      <c r="B771" s="23" t="s">
        <v>806</v>
      </c>
      <c r="D771" t="s">
        <v>780</v>
      </c>
      <c r="E771" t="s">
        <v>781</v>
      </c>
      <c r="F771" s="46" t="s">
        <v>806</v>
      </c>
      <c r="G771" t="s">
        <v>235</v>
      </c>
      <c r="H771" s="23">
        <v>2</v>
      </c>
      <c r="I771" s="23" t="s">
        <v>801</v>
      </c>
      <c r="J771" t="s">
        <v>305</v>
      </c>
      <c r="K771">
        <v>539</v>
      </c>
      <c r="L771">
        <v>722</v>
      </c>
      <c r="M771" s="24">
        <v>500</v>
      </c>
      <c r="N771" s="24">
        <v>681</v>
      </c>
      <c r="O771" s="24">
        <v>479</v>
      </c>
      <c r="P771" s="24">
        <v>731</v>
      </c>
      <c r="Q771">
        <v>404</v>
      </c>
      <c r="R771">
        <v>743</v>
      </c>
      <c r="S771">
        <v>504</v>
      </c>
      <c r="T771">
        <v>964</v>
      </c>
      <c r="U771">
        <v>504</v>
      </c>
      <c r="V771">
        <v>964</v>
      </c>
    </row>
    <row r="772" spans="2:22" x14ac:dyDescent="0.35">
      <c r="B772" s="23" t="s">
        <v>807</v>
      </c>
      <c r="D772" t="s">
        <v>780</v>
      </c>
      <c r="E772" t="s">
        <v>781</v>
      </c>
      <c r="F772" s="46" t="s">
        <v>807</v>
      </c>
      <c r="G772" t="s">
        <v>235</v>
      </c>
      <c r="H772" s="23">
        <v>2</v>
      </c>
      <c r="I772" s="23" t="s">
        <v>801</v>
      </c>
      <c r="J772" t="s">
        <v>357</v>
      </c>
      <c r="K772">
        <v>1661</v>
      </c>
      <c r="L772">
        <v>2132</v>
      </c>
      <c r="M772" s="24">
        <v>1655</v>
      </c>
      <c r="N772" s="24">
        <v>2089</v>
      </c>
      <c r="O772" s="24">
        <v>1788</v>
      </c>
      <c r="P772" s="24">
        <v>2345</v>
      </c>
      <c r="Q772">
        <v>1589</v>
      </c>
      <c r="R772">
        <v>2636</v>
      </c>
      <c r="S772">
        <v>2435</v>
      </c>
      <c r="T772">
        <v>4076</v>
      </c>
      <c r="U772">
        <v>2435</v>
      </c>
      <c r="V772">
        <v>4076</v>
      </c>
    </row>
    <row r="773" spans="2:22" x14ac:dyDescent="0.35">
      <c r="B773" s="23" t="s">
        <v>808</v>
      </c>
      <c r="D773" t="s">
        <v>780</v>
      </c>
      <c r="E773" t="s">
        <v>781</v>
      </c>
      <c r="F773" s="46" t="s">
        <v>808</v>
      </c>
      <c r="G773" t="s">
        <v>235</v>
      </c>
      <c r="H773" s="23">
        <v>2</v>
      </c>
      <c r="I773" s="23" t="s">
        <v>801</v>
      </c>
      <c r="J773" t="s">
        <v>287</v>
      </c>
      <c r="K773">
        <v>638</v>
      </c>
      <c r="L773">
        <v>804</v>
      </c>
      <c r="M773" s="24">
        <v>637</v>
      </c>
      <c r="N773" s="24">
        <v>766</v>
      </c>
      <c r="O773" s="24">
        <v>670</v>
      </c>
      <c r="P773" s="24">
        <v>857</v>
      </c>
      <c r="Q773">
        <v>584</v>
      </c>
      <c r="R773">
        <v>937</v>
      </c>
      <c r="S773">
        <v>732</v>
      </c>
      <c r="T773">
        <v>1216</v>
      </c>
      <c r="U773">
        <v>732</v>
      </c>
      <c r="V773">
        <v>1216</v>
      </c>
    </row>
    <row r="774" spans="2:22" x14ac:dyDescent="0.35">
      <c r="B774" s="23" t="s">
        <v>809</v>
      </c>
      <c r="D774" t="s">
        <v>780</v>
      </c>
      <c r="E774" t="s">
        <v>781</v>
      </c>
      <c r="F774" s="46" t="s">
        <v>809</v>
      </c>
      <c r="G774" t="s">
        <v>235</v>
      </c>
      <c r="H774" s="23">
        <v>2</v>
      </c>
      <c r="I774" s="23" t="s">
        <v>801</v>
      </c>
      <c r="J774" t="s">
        <v>263</v>
      </c>
      <c r="K774">
        <v>615</v>
      </c>
      <c r="L774">
        <v>834</v>
      </c>
      <c r="M774" s="24">
        <v>608</v>
      </c>
      <c r="N774" s="24">
        <v>818</v>
      </c>
      <c r="O774" s="24">
        <v>689</v>
      </c>
      <c r="P774" s="24">
        <v>946</v>
      </c>
      <c r="Q774">
        <v>522</v>
      </c>
      <c r="R774">
        <v>922</v>
      </c>
      <c r="S774">
        <v>649</v>
      </c>
      <c r="T774">
        <v>1210</v>
      </c>
      <c r="U774">
        <v>649</v>
      </c>
      <c r="V774">
        <v>1210</v>
      </c>
    </row>
    <row r="775" spans="2:22" x14ac:dyDescent="0.35">
      <c r="B775" s="23" t="s">
        <v>810</v>
      </c>
      <c r="D775" t="s">
        <v>780</v>
      </c>
      <c r="E775" t="s">
        <v>781</v>
      </c>
      <c r="F775" s="46" t="s">
        <v>810</v>
      </c>
      <c r="G775" t="s">
        <v>235</v>
      </c>
      <c r="H775" s="23">
        <v>2</v>
      </c>
      <c r="I775" s="23" t="s">
        <v>801</v>
      </c>
      <c r="J775" t="s">
        <v>811</v>
      </c>
      <c r="K775">
        <v>994</v>
      </c>
      <c r="L775">
        <v>1501</v>
      </c>
      <c r="M775" s="24">
        <v>1002</v>
      </c>
      <c r="N775" s="24">
        <v>1402</v>
      </c>
      <c r="O775" s="24">
        <v>919</v>
      </c>
      <c r="P775" s="24">
        <v>1485</v>
      </c>
      <c r="Q775">
        <v>784</v>
      </c>
      <c r="R775">
        <v>1612</v>
      </c>
      <c r="S775">
        <v>976</v>
      </c>
      <c r="T775">
        <v>2031</v>
      </c>
      <c r="U775">
        <v>976</v>
      </c>
      <c r="V775">
        <v>2031</v>
      </c>
    </row>
    <row r="776" spans="2:22" x14ac:dyDescent="0.35">
      <c r="B776" s="23" t="s">
        <v>812</v>
      </c>
      <c r="D776" t="s">
        <v>780</v>
      </c>
      <c r="E776" t="s">
        <v>781</v>
      </c>
      <c r="F776" s="46" t="s">
        <v>812</v>
      </c>
      <c r="G776" t="s">
        <v>235</v>
      </c>
      <c r="H776" s="23">
        <v>2</v>
      </c>
      <c r="I776" s="23" t="s">
        <v>801</v>
      </c>
      <c r="J776" t="s">
        <v>813</v>
      </c>
      <c r="K776">
        <v>377</v>
      </c>
      <c r="L776">
        <v>482</v>
      </c>
      <c r="M776" s="24">
        <v>363</v>
      </c>
      <c r="N776" s="24">
        <v>458</v>
      </c>
      <c r="O776" s="24">
        <v>339</v>
      </c>
      <c r="P776" s="24">
        <v>460</v>
      </c>
      <c r="Q776">
        <v>277</v>
      </c>
      <c r="R776">
        <v>475</v>
      </c>
      <c r="S776">
        <v>349</v>
      </c>
      <c r="T776">
        <v>617</v>
      </c>
      <c r="U776">
        <v>349</v>
      </c>
      <c r="V776">
        <v>617</v>
      </c>
    </row>
    <row r="777" spans="2:22" x14ac:dyDescent="0.35">
      <c r="B777" s="23" t="s">
        <v>814</v>
      </c>
      <c r="D777" t="s">
        <v>780</v>
      </c>
      <c r="E777" t="s">
        <v>781</v>
      </c>
      <c r="F777" s="46" t="s">
        <v>814</v>
      </c>
      <c r="G777" t="s">
        <v>239</v>
      </c>
      <c r="H777" s="23">
        <v>3</v>
      </c>
      <c r="I777" s="23" t="s">
        <v>815</v>
      </c>
      <c r="J777" t="s">
        <v>816</v>
      </c>
      <c r="K777">
        <v>3373</v>
      </c>
      <c r="L777">
        <v>4093</v>
      </c>
      <c r="M777" s="24">
        <v>2477</v>
      </c>
      <c r="N777" s="24">
        <v>3718</v>
      </c>
      <c r="O777" s="24">
        <v>2080</v>
      </c>
      <c r="P777" s="24">
        <v>3440</v>
      </c>
      <c r="Q777">
        <v>2289</v>
      </c>
      <c r="R777">
        <v>3605</v>
      </c>
      <c r="S777">
        <v>3700</v>
      </c>
      <c r="T777">
        <v>5640</v>
      </c>
      <c r="U777">
        <v>3700</v>
      </c>
      <c r="V777">
        <v>5640</v>
      </c>
    </row>
    <row r="778" spans="2:22" x14ac:dyDescent="0.35">
      <c r="B778" s="23" t="s">
        <v>817</v>
      </c>
      <c r="D778" t="s">
        <v>780</v>
      </c>
      <c r="E778" t="s">
        <v>781</v>
      </c>
      <c r="F778" s="46" t="s">
        <v>817</v>
      </c>
      <c r="G778" t="s">
        <v>239</v>
      </c>
      <c r="H778" s="23">
        <v>3</v>
      </c>
      <c r="I778" s="23" t="s">
        <v>815</v>
      </c>
      <c r="J778" t="s">
        <v>818</v>
      </c>
      <c r="K778">
        <v>620</v>
      </c>
      <c r="L778">
        <v>758</v>
      </c>
      <c r="M778" s="24">
        <v>555</v>
      </c>
      <c r="N778" s="24">
        <v>692</v>
      </c>
      <c r="O778" s="24">
        <v>526</v>
      </c>
      <c r="P778" s="24">
        <v>674</v>
      </c>
      <c r="Q778">
        <v>625</v>
      </c>
      <c r="R778">
        <v>862</v>
      </c>
      <c r="S778">
        <v>1018</v>
      </c>
      <c r="T778">
        <v>1462</v>
      </c>
      <c r="U778">
        <v>1018</v>
      </c>
      <c r="V778">
        <v>1462</v>
      </c>
    </row>
    <row r="779" spans="2:22" x14ac:dyDescent="0.35">
      <c r="B779" s="23" t="s">
        <v>819</v>
      </c>
      <c r="D779" t="s">
        <v>780</v>
      </c>
      <c r="E779" t="s">
        <v>781</v>
      </c>
      <c r="F779" s="46" t="s">
        <v>819</v>
      </c>
      <c r="G779" t="s">
        <v>239</v>
      </c>
      <c r="H779" s="23">
        <v>3</v>
      </c>
      <c r="I779" s="23" t="s">
        <v>815</v>
      </c>
      <c r="J779" t="s">
        <v>323</v>
      </c>
      <c r="K779">
        <v>9243</v>
      </c>
      <c r="L779">
        <v>12256</v>
      </c>
      <c r="M779" s="24">
        <v>7624</v>
      </c>
      <c r="N779" s="24">
        <v>11507</v>
      </c>
      <c r="O779" s="24">
        <v>7677</v>
      </c>
      <c r="P779" s="24">
        <v>11953</v>
      </c>
      <c r="Q779">
        <v>8404</v>
      </c>
      <c r="R779">
        <v>13407</v>
      </c>
      <c r="S779">
        <v>10708</v>
      </c>
      <c r="T779">
        <v>18027</v>
      </c>
      <c r="U779">
        <v>10708</v>
      </c>
      <c r="V779">
        <v>18027</v>
      </c>
    </row>
    <row r="780" spans="2:22" x14ac:dyDescent="0.35">
      <c r="B780" s="23" t="s">
        <v>820</v>
      </c>
      <c r="D780" t="s">
        <v>780</v>
      </c>
      <c r="E780" t="s">
        <v>781</v>
      </c>
      <c r="F780" s="46" t="s">
        <v>820</v>
      </c>
      <c r="G780" t="s">
        <v>239</v>
      </c>
      <c r="H780" s="23">
        <v>3</v>
      </c>
      <c r="I780" s="23" t="s">
        <v>815</v>
      </c>
      <c r="J780" t="s">
        <v>821</v>
      </c>
      <c r="K780">
        <v>14070</v>
      </c>
      <c r="L780">
        <v>16531</v>
      </c>
      <c r="M780" s="24">
        <v>14024</v>
      </c>
      <c r="N780" s="24">
        <v>16398</v>
      </c>
      <c r="O780" s="24">
        <v>13396</v>
      </c>
      <c r="P780" s="24">
        <v>16247</v>
      </c>
      <c r="Q780">
        <v>14796</v>
      </c>
      <c r="R780">
        <v>18465</v>
      </c>
      <c r="S780">
        <v>19734</v>
      </c>
      <c r="T780">
        <v>25566</v>
      </c>
      <c r="U780">
        <v>19734</v>
      </c>
      <c r="V780">
        <v>25566</v>
      </c>
    </row>
    <row r="781" spans="2:22" x14ac:dyDescent="0.35">
      <c r="B781" s="23" t="s">
        <v>822</v>
      </c>
      <c r="D781" t="s">
        <v>780</v>
      </c>
      <c r="E781" t="s">
        <v>781</v>
      </c>
      <c r="F781" s="46" t="s">
        <v>822</v>
      </c>
      <c r="G781" t="s">
        <v>239</v>
      </c>
      <c r="H781" s="23">
        <v>3</v>
      </c>
      <c r="I781" s="23" t="s">
        <v>815</v>
      </c>
      <c r="J781" t="s">
        <v>823</v>
      </c>
      <c r="K781">
        <v>34353</v>
      </c>
      <c r="L781">
        <v>45591</v>
      </c>
      <c r="M781" s="24">
        <v>27501</v>
      </c>
      <c r="N781" s="24">
        <v>40320</v>
      </c>
      <c r="O781" s="24">
        <v>26520</v>
      </c>
      <c r="P781" s="24">
        <v>39672</v>
      </c>
      <c r="Q781">
        <v>28943</v>
      </c>
      <c r="R781">
        <v>43700</v>
      </c>
      <c r="S781">
        <v>37285</v>
      </c>
      <c r="T781">
        <v>57686</v>
      </c>
      <c r="U781">
        <v>37285</v>
      </c>
      <c r="V781">
        <v>57686</v>
      </c>
    </row>
    <row r="782" spans="2:22" x14ac:dyDescent="0.35">
      <c r="B782" s="23" t="s">
        <v>824</v>
      </c>
      <c r="D782" t="s">
        <v>780</v>
      </c>
      <c r="E782" t="s">
        <v>781</v>
      </c>
      <c r="F782" s="46" t="s">
        <v>824</v>
      </c>
      <c r="G782" t="s">
        <v>239</v>
      </c>
      <c r="H782" s="23">
        <v>3</v>
      </c>
      <c r="I782" s="23" t="s">
        <v>815</v>
      </c>
      <c r="J782" t="s">
        <v>825</v>
      </c>
      <c r="K782">
        <v>4044</v>
      </c>
      <c r="L782">
        <v>4887</v>
      </c>
      <c r="M782" s="24">
        <v>2826</v>
      </c>
      <c r="N782" s="24">
        <v>4290</v>
      </c>
      <c r="O782" s="24">
        <v>1888</v>
      </c>
      <c r="P782" s="24">
        <v>3770</v>
      </c>
      <c r="Q782">
        <v>2259</v>
      </c>
      <c r="R782">
        <v>4140</v>
      </c>
      <c r="S782">
        <v>3742</v>
      </c>
      <c r="T782">
        <v>6341</v>
      </c>
      <c r="U782">
        <v>3742</v>
      </c>
      <c r="V782">
        <v>6341</v>
      </c>
    </row>
    <row r="783" spans="2:22" x14ac:dyDescent="0.35">
      <c r="B783" s="23" t="s">
        <v>826</v>
      </c>
      <c r="D783" t="s">
        <v>780</v>
      </c>
      <c r="E783" t="s">
        <v>781</v>
      </c>
      <c r="F783" s="46" t="s">
        <v>826</v>
      </c>
      <c r="G783" t="s">
        <v>239</v>
      </c>
      <c r="H783" s="23">
        <v>3</v>
      </c>
      <c r="I783" s="23" t="s">
        <v>815</v>
      </c>
      <c r="J783" t="s">
        <v>349</v>
      </c>
      <c r="K783">
        <v>32304</v>
      </c>
      <c r="L783">
        <v>42070</v>
      </c>
      <c r="M783" s="24">
        <v>27869</v>
      </c>
      <c r="N783" s="24">
        <v>39135</v>
      </c>
      <c r="O783" s="24">
        <v>28581</v>
      </c>
      <c r="P783" s="24">
        <v>39952</v>
      </c>
      <c r="Q783">
        <v>33132</v>
      </c>
      <c r="R783">
        <v>46803</v>
      </c>
      <c r="S783">
        <v>44116</v>
      </c>
      <c r="T783">
        <v>63055</v>
      </c>
      <c r="U783">
        <v>44116</v>
      </c>
      <c r="V783">
        <v>63055</v>
      </c>
    </row>
    <row r="784" spans="2:22" x14ac:dyDescent="0.35">
      <c r="B784" s="23" t="s">
        <v>827</v>
      </c>
      <c r="D784" t="s">
        <v>780</v>
      </c>
      <c r="E784" t="s">
        <v>781</v>
      </c>
      <c r="F784" s="46" t="s">
        <v>827</v>
      </c>
      <c r="G784" t="s">
        <v>239</v>
      </c>
      <c r="H784" s="23">
        <v>3</v>
      </c>
      <c r="I784" s="23" t="s">
        <v>815</v>
      </c>
      <c r="J784" t="s">
        <v>828</v>
      </c>
      <c r="K784">
        <v>5981</v>
      </c>
      <c r="L784">
        <v>7466</v>
      </c>
      <c r="M784" s="24">
        <v>5129</v>
      </c>
      <c r="N784" s="24">
        <v>6703</v>
      </c>
      <c r="O784" s="24">
        <v>4898</v>
      </c>
      <c r="P784" s="24">
        <v>6568</v>
      </c>
      <c r="Q784">
        <v>5368</v>
      </c>
      <c r="R784">
        <v>7501</v>
      </c>
      <c r="S784">
        <v>7468</v>
      </c>
      <c r="T784">
        <v>10334</v>
      </c>
      <c r="U784">
        <v>7468</v>
      </c>
      <c r="V784">
        <v>10334</v>
      </c>
    </row>
    <row r="785" spans="2:22" x14ac:dyDescent="0.35">
      <c r="B785" s="23" t="s">
        <v>829</v>
      </c>
      <c r="D785" t="s">
        <v>780</v>
      </c>
      <c r="E785" t="s">
        <v>781</v>
      </c>
      <c r="F785" s="46" t="s">
        <v>829</v>
      </c>
      <c r="G785" t="s">
        <v>239</v>
      </c>
      <c r="H785" s="23">
        <v>3</v>
      </c>
      <c r="I785" s="23" t="s">
        <v>815</v>
      </c>
      <c r="J785" t="s">
        <v>353</v>
      </c>
      <c r="K785">
        <v>3621</v>
      </c>
      <c r="L785">
        <v>4717</v>
      </c>
      <c r="M785" s="24">
        <v>3170</v>
      </c>
      <c r="N785" s="24">
        <v>4493</v>
      </c>
      <c r="O785" s="24">
        <v>3247</v>
      </c>
      <c r="P785" s="24">
        <v>4639</v>
      </c>
      <c r="Q785">
        <v>3527</v>
      </c>
      <c r="R785">
        <v>5225</v>
      </c>
      <c r="S785">
        <v>4329</v>
      </c>
      <c r="T785">
        <v>6783</v>
      </c>
      <c r="U785">
        <v>4329</v>
      </c>
      <c r="V785">
        <v>6783</v>
      </c>
    </row>
    <row r="786" spans="2:22" x14ac:dyDescent="0.35">
      <c r="B786" s="23" t="s">
        <v>830</v>
      </c>
      <c r="D786" t="s">
        <v>780</v>
      </c>
      <c r="E786" t="s">
        <v>781</v>
      </c>
      <c r="F786" s="46" t="s">
        <v>830</v>
      </c>
      <c r="G786" t="s">
        <v>239</v>
      </c>
      <c r="H786" s="23">
        <v>3</v>
      </c>
      <c r="I786" s="23" t="s">
        <v>815</v>
      </c>
      <c r="J786" t="s">
        <v>831</v>
      </c>
      <c r="K786">
        <v>8525</v>
      </c>
      <c r="L786">
        <v>11597</v>
      </c>
      <c r="M786" s="24">
        <v>7242</v>
      </c>
      <c r="N786" s="24">
        <v>10937</v>
      </c>
      <c r="O786" s="24">
        <v>7229</v>
      </c>
      <c r="P786" s="24">
        <v>11303</v>
      </c>
      <c r="Q786">
        <v>7864</v>
      </c>
      <c r="R786">
        <v>12499</v>
      </c>
      <c r="S786">
        <v>9282</v>
      </c>
      <c r="T786">
        <v>15867</v>
      </c>
      <c r="U786">
        <v>9282</v>
      </c>
      <c r="V786">
        <v>15867</v>
      </c>
    </row>
    <row r="787" spans="2:22" x14ac:dyDescent="0.35">
      <c r="B787" s="23" t="s">
        <v>832</v>
      </c>
      <c r="D787" t="s">
        <v>780</v>
      </c>
      <c r="E787" t="s">
        <v>781</v>
      </c>
      <c r="F787" s="46" t="s">
        <v>832</v>
      </c>
      <c r="G787" t="s">
        <v>239</v>
      </c>
      <c r="H787" s="23">
        <v>3</v>
      </c>
      <c r="I787" s="23" t="s">
        <v>815</v>
      </c>
      <c r="J787" t="s">
        <v>422</v>
      </c>
      <c r="K787">
        <v>36376</v>
      </c>
      <c r="L787">
        <v>51097</v>
      </c>
      <c r="M787" s="24">
        <v>29755</v>
      </c>
      <c r="N787" s="24">
        <v>46521</v>
      </c>
      <c r="O787" s="24">
        <v>28860</v>
      </c>
      <c r="P787" s="24">
        <v>46577</v>
      </c>
      <c r="Q787">
        <v>32912</v>
      </c>
      <c r="R787">
        <v>54480</v>
      </c>
      <c r="S787">
        <v>44056</v>
      </c>
      <c r="T787">
        <v>72946</v>
      </c>
      <c r="U787">
        <v>44056</v>
      </c>
      <c r="V787">
        <v>72946</v>
      </c>
    </row>
    <row r="788" spans="2:22" x14ac:dyDescent="0.35">
      <c r="B788" s="23" t="s">
        <v>833</v>
      </c>
      <c r="D788" t="s">
        <v>780</v>
      </c>
      <c r="E788" t="s">
        <v>781</v>
      </c>
      <c r="F788" s="46" t="s">
        <v>833</v>
      </c>
      <c r="G788" t="s">
        <v>239</v>
      </c>
      <c r="H788" s="23">
        <v>3</v>
      </c>
      <c r="I788" s="23" t="s">
        <v>815</v>
      </c>
      <c r="J788" t="s">
        <v>834</v>
      </c>
      <c r="K788">
        <v>66803</v>
      </c>
      <c r="L788">
        <v>78812</v>
      </c>
      <c r="M788" s="24">
        <v>64583</v>
      </c>
      <c r="N788" s="24">
        <v>80095</v>
      </c>
      <c r="O788" s="24">
        <v>68622</v>
      </c>
      <c r="P788" s="24">
        <v>85005</v>
      </c>
      <c r="Q788">
        <v>76689</v>
      </c>
      <c r="R788">
        <v>95872</v>
      </c>
      <c r="S788">
        <v>93279</v>
      </c>
      <c r="T788">
        <v>121419</v>
      </c>
      <c r="U788">
        <v>93279</v>
      </c>
      <c r="V788">
        <v>121419</v>
      </c>
    </row>
    <row r="789" spans="2:22" x14ac:dyDescent="0.35">
      <c r="B789" s="23" t="s">
        <v>835</v>
      </c>
      <c r="D789" t="s">
        <v>780</v>
      </c>
      <c r="E789" t="s">
        <v>781</v>
      </c>
      <c r="F789" s="46" t="s">
        <v>835</v>
      </c>
      <c r="G789" t="s">
        <v>239</v>
      </c>
      <c r="H789" s="23">
        <v>3</v>
      </c>
      <c r="I789" s="23" t="s">
        <v>815</v>
      </c>
      <c r="J789" t="s">
        <v>269</v>
      </c>
      <c r="K789">
        <v>8672</v>
      </c>
      <c r="L789">
        <v>10501</v>
      </c>
      <c r="M789" s="24">
        <v>7508</v>
      </c>
      <c r="N789" s="24">
        <v>9961</v>
      </c>
      <c r="O789" s="24">
        <v>7637</v>
      </c>
      <c r="P789" s="24">
        <v>10193</v>
      </c>
      <c r="Q789">
        <v>8667</v>
      </c>
      <c r="R789">
        <v>11579</v>
      </c>
      <c r="S789">
        <v>11454</v>
      </c>
      <c r="T789">
        <v>16167</v>
      </c>
      <c r="U789">
        <v>11454</v>
      </c>
      <c r="V789">
        <v>16167</v>
      </c>
    </row>
    <row r="790" spans="2:22" x14ac:dyDescent="0.35">
      <c r="B790" s="23" t="s">
        <v>836</v>
      </c>
      <c r="D790" t="s">
        <v>780</v>
      </c>
      <c r="E790" t="s">
        <v>781</v>
      </c>
      <c r="F790" s="46" t="s">
        <v>836</v>
      </c>
      <c r="G790" t="s">
        <v>239</v>
      </c>
      <c r="H790" s="23">
        <v>3</v>
      </c>
      <c r="I790" s="23" t="s">
        <v>815</v>
      </c>
      <c r="J790" t="s">
        <v>837</v>
      </c>
      <c r="K790">
        <v>416</v>
      </c>
      <c r="L790">
        <v>498</v>
      </c>
      <c r="M790" s="24">
        <v>408</v>
      </c>
      <c r="N790" s="24">
        <v>477</v>
      </c>
      <c r="O790" s="24">
        <v>373</v>
      </c>
      <c r="P790" s="24">
        <v>476</v>
      </c>
      <c r="Q790">
        <v>329</v>
      </c>
      <c r="R790">
        <v>472</v>
      </c>
      <c r="S790">
        <v>608</v>
      </c>
      <c r="T790">
        <v>859</v>
      </c>
      <c r="U790">
        <v>608</v>
      </c>
      <c r="V790">
        <v>859</v>
      </c>
    </row>
    <row r="791" spans="2:22" x14ac:dyDescent="0.35">
      <c r="B791" s="23" t="s">
        <v>838</v>
      </c>
      <c r="D791" t="s">
        <v>780</v>
      </c>
      <c r="E791" t="s">
        <v>781</v>
      </c>
      <c r="F791" s="46" t="s">
        <v>838</v>
      </c>
      <c r="G791" t="s">
        <v>239</v>
      </c>
      <c r="H791" s="23">
        <v>3</v>
      </c>
      <c r="I791" s="23" t="s">
        <v>815</v>
      </c>
      <c r="J791" t="s">
        <v>359</v>
      </c>
      <c r="K791">
        <v>578</v>
      </c>
      <c r="L791">
        <v>649</v>
      </c>
      <c r="M791" s="24">
        <v>382</v>
      </c>
      <c r="N791" s="24">
        <v>535</v>
      </c>
      <c r="O791" s="24">
        <v>364</v>
      </c>
      <c r="P791" s="24">
        <v>486</v>
      </c>
      <c r="Q791">
        <v>396</v>
      </c>
      <c r="R791">
        <v>535</v>
      </c>
      <c r="S791">
        <v>617</v>
      </c>
      <c r="T791">
        <v>878</v>
      </c>
      <c r="U791">
        <v>617</v>
      </c>
      <c r="V791">
        <v>878</v>
      </c>
    </row>
    <row r="792" spans="2:22" x14ac:dyDescent="0.35">
      <c r="B792" s="23" t="s">
        <v>839</v>
      </c>
      <c r="D792" t="s">
        <v>780</v>
      </c>
      <c r="E792" t="s">
        <v>781</v>
      </c>
      <c r="F792" s="46" t="s">
        <v>839</v>
      </c>
      <c r="G792" t="s">
        <v>239</v>
      </c>
      <c r="H792" s="23">
        <v>3</v>
      </c>
      <c r="I792" s="23" t="s">
        <v>815</v>
      </c>
      <c r="J792" t="s">
        <v>461</v>
      </c>
      <c r="K792">
        <v>3999</v>
      </c>
      <c r="L792">
        <v>4621</v>
      </c>
      <c r="M792" s="24">
        <v>3433</v>
      </c>
      <c r="N792" s="24">
        <v>4185</v>
      </c>
      <c r="O792" s="24">
        <v>3134</v>
      </c>
      <c r="P792" s="24">
        <v>3967</v>
      </c>
      <c r="Q792">
        <v>3460</v>
      </c>
      <c r="R792">
        <v>4629</v>
      </c>
      <c r="S792">
        <v>5102</v>
      </c>
      <c r="T792">
        <v>7024</v>
      </c>
      <c r="U792">
        <v>5102</v>
      </c>
      <c r="V792">
        <v>7024</v>
      </c>
    </row>
    <row r="793" spans="2:22" x14ac:dyDescent="0.35">
      <c r="B793" s="23" t="s">
        <v>840</v>
      </c>
      <c r="D793" t="s">
        <v>780</v>
      </c>
      <c r="E793" t="s">
        <v>781</v>
      </c>
      <c r="F793" s="46" t="s">
        <v>840</v>
      </c>
      <c r="G793" t="s">
        <v>239</v>
      </c>
      <c r="H793" s="23">
        <v>3</v>
      </c>
      <c r="I793" s="23" t="s">
        <v>815</v>
      </c>
      <c r="J793" t="s">
        <v>841</v>
      </c>
      <c r="K793">
        <v>5595</v>
      </c>
      <c r="L793">
        <v>7029</v>
      </c>
      <c r="M793" s="24">
        <v>5123</v>
      </c>
      <c r="N793" s="24">
        <v>6326</v>
      </c>
      <c r="O793" s="24">
        <v>4619</v>
      </c>
      <c r="P793" s="24">
        <v>6182</v>
      </c>
      <c r="Q793">
        <v>4708</v>
      </c>
      <c r="R793">
        <v>6759</v>
      </c>
      <c r="S793">
        <v>6249</v>
      </c>
      <c r="T793">
        <v>9397</v>
      </c>
      <c r="U793">
        <v>6249</v>
      </c>
      <c r="V793">
        <v>9397</v>
      </c>
    </row>
    <row r="794" spans="2:22" x14ac:dyDescent="0.35">
      <c r="B794" s="23" t="s">
        <v>842</v>
      </c>
      <c r="D794" t="s">
        <v>780</v>
      </c>
      <c r="E794" t="s">
        <v>781</v>
      </c>
      <c r="F794" s="46" t="s">
        <v>842</v>
      </c>
      <c r="G794" t="s">
        <v>239</v>
      </c>
      <c r="H794" s="23">
        <v>3</v>
      </c>
      <c r="I794" s="23" t="s">
        <v>815</v>
      </c>
      <c r="J794" t="s">
        <v>375</v>
      </c>
      <c r="K794">
        <v>437</v>
      </c>
      <c r="L794">
        <v>548</v>
      </c>
      <c r="M794" s="24">
        <v>323</v>
      </c>
      <c r="N794" s="24">
        <v>487</v>
      </c>
      <c r="O794" s="24">
        <v>288</v>
      </c>
      <c r="P794" s="24">
        <v>467</v>
      </c>
      <c r="Q794">
        <v>274</v>
      </c>
      <c r="R794">
        <v>454</v>
      </c>
      <c r="S794">
        <v>419</v>
      </c>
      <c r="T794">
        <v>688</v>
      </c>
      <c r="U794">
        <v>419</v>
      </c>
      <c r="V794">
        <v>688</v>
      </c>
    </row>
    <row r="795" spans="2:22" x14ac:dyDescent="0.35">
      <c r="B795" s="23" t="s">
        <v>843</v>
      </c>
      <c r="D795" t="s">
        <v>780</v>
      </c>
      <c r="E795" t="s">
        <v>781</v>
      </c>
      <c r="F795" s="46" t="s">
        <v>843</v>
      </c>
      <c r="G795" t="s">
        <v>239</v>
      </c>
      <c r="H795" s="23">
        <v>3</v>
      </c>
      <c r="I795" s="23" t="s">
        <v>815</v>
      </c>
      <c r="J795" t="s">
        <v>844</v>
      </c>
      <c r="K795">
        <v>4637</v>
      </c>
      <c r="L795">
        <v>5267</v>
      </c>
      <c r="M795" s="24">
        <v>3546</v>
      </c>
      <c r="N795" s="24">
        <v>4318</v>
      </c>
      <c r="O795" s="24">
        <v>3238</v>
      </c>
      <c r="P795" s="24">
        <v>4130</v>
      </c>
      <c r="Q795">
        <v>3431</v>
      </c>
      <c r="R795">
        <v>4596</v>
      </c>
      <c r="S795">
        <v>4791</v>
      </c>
      <c r="T795">
        <v>6537</v>
      </c>
      <c r="U795">
        <v>4791</v>
      </c>
      <c r="V795">
        <v>6537</v>
      </c>
    </row>
    <row r="796" spans="2:22" x14ac:dyDescent="0.35">
      <c r="B796" s="23" t="s">
        <v>845</v>
      </c>
      <c r="D796" t="s">
        <v>780</v>
      </c>
      <c r="E796" t="s">
        <v>781</v>
      </c>
      <c r="F796" s="46" t="s">
        <v>845</v>
      </c>
      <c r="G796" t="s">
        <v>239</v>
      </c>
      <c r="H796" s="23">
        <v>3</v>
      </c>
      <c r="I796" s="23" t="s">
        <v>815</v>
      </c>
      <c r="J796" t="s">
        <v>846</v>
      </c>
      <c r="K796">
        <v>1516</v>
      </c>
      <c r="L796">
        <v>1927</v>
      </c>
      <c r="M796" s="24">
        <v>1357</v>
      </c>
      <c r="N796" s="24">
        <v>1690</v>
      </c>
      <c r="O796" s="24">
        <v>1329</v>
      </c>
      <c r="P796" s="24">
        <v>1776</v>
      </c>
      <c r="Q796">
        <v>1381</v>
      </c>
      <c r="R796">
        <v>1944</v>
      </c>
      <c r="S796">
        <v>2212</v>
      </c>
      <c r="T796">
        <v>3000</v>
      </c>
      <c r="U796">
        <v>2212</v>
      </c>
      <c r="V796">
        <v>3000</v>
      </c>
    </row>
    <row r="797" spans="2:22" x14ac:dyDescent="0.35">
      <c r="B797" s="23" t="s">
        <v>847</v>
      </c>
      <c r="D797" t="s">
        <v>780</v>
      </c>
      <c r="E797" t="s">
        <v>781</v>
      </c>
      <c r="F797" s="46" t="s">
        <v>847</v>
      </c>
      <c r="G797" t="s">
        <v>239</v>
      </c>
      <c r="H797" s="23">
        <v>3</v>
      </c>
      <c r="I797" s="23" t="s">
        <v>815</v>
      </c>
      <c r="J797" t="s">
        <v>775</v>
      </c>
      <c r="K797">
        <v>2908</v>
      </c>
      <c r="L797">
        <v>3591</v>
      </c>
      <c r="M797" s="24">
        <v>2712</v>
      </c>
      <c r="N797" s="24">
        <v>3335</v>
      </c>
      <c r="O797" s="24">
        <v>2766</v>
      </c>
      <c r="P797" s="24">
        <v>3576</v>
      </c>
      <c r="Q797">
        <v>3005</v>
      </c>
      <c r="R797">
        <v>4140</v>
      </c>
      <c r="S797">
        <v>4235</v>
      </c>
      <c r="T797">
        <v>6065</v>
      </c>
      <c r="U797">
        <v>4235</v>
      </c>
      <c r="V797">
        <v>6065</v>
      </c>
    </row>
    <row r="798" spans="2:22" x14ac:dyDescent="0.35">
      <c r="B798" s="23" t="s">
        <v>848</v>
      </c>
      <c r="D798" t="s">
        <v>780</v>
      </c>
      <c r="E798" t="s">
        <v>781</v>
      </c>
      <c r="F798" s="46" t="s">
        <v>848</v>
      </c>
      <c r="G798" t="s">
        <v>255</v>
      </c>
      <c r="H798" s="23">
        <v>4</v>
      </c>
      <c r="I798" s="23" t="s">
        <v>849</v>
      </c>
      <c r="J798" t="s">
        <v>463</v>
      </c>
      <c r="K798">
        <v>3615</v>
      </c>
      <c r="L798">
        <v>4460</v>
      </c>
      <c r="M798" s="24">
        <v>3621</v>
      </c>
      <c r="N798" s="24">
        <v>4375</v>
      </c>
      <c r="O798" s="24">
        <v>3554</v>
      </c>
      <c r="P798" s="24">
        <v>4480</v>
      </c>
      <c r="Q798">
        <v>3381</v>
      </c>
      <c r="R798">
        <v>4761</v>
      </c>
      <c r="S798">
        <v>4483</v>
      </c>
      <c r="T798">
        <v>5992</v>
      </c>
      <c r="U798">
        <v>4483</v>
      </c>
      <c r="V798">
        <v>5992</v>
      </c>
    </row>
    <row r="799" spans="2:22" x14ac:dyDescent="0.35">
      <c r="B799" s="23" t="s">
        <v>850</v>
      </c>
      <c r="D799" t="s">
        <v>780</v>
      </c>
      <c r="E799" t="s">
        <v>781</v>
      </c>
      <c r="F799" s="46" t="s">
        <v>850</v>
      </c>
      <c r="G799" t="s">
        <v>255</v>
      </c>
      <c r="H799" s="23">
        <v>4</v>
      </c>
      <c r="I799" s="23" t="s">
        <v>849</v>
      </c>
      <c r="J799" t="s">
        <v>851</v>
      </c>
      <c r="K799">
        <v>275</v>
      </c>
      <c r="L799">
        <v>355</v>
      </c>
      <c r="M799" s="24">
        <v>244</v>
      </c>
      <c r="N799" s="24">
        <v>303</v>
      </c>
      <c r="O799" s="24">
        <v>256</v>
      </c>
      <c r="P799" s="24">
        <v>327</v>
      </c>
      <c r="Q799">
        <v>262</v>
      </c>
      <c r="R799">
        <v>364</v>
      </c>
      <c r="S799">
        <v>592</v>
      </c>
      <c r="T799">
        <v>765</v>
      </c>
      <c r="U799">
        <v>592</v>
      </c>
      <c r="V799">
        <v>765</v>
      </c>
    </row>
    <row r="800" spans="2:22" x14ac:dyDescent="0.35">
      <c r="B800" s="23" t="s">
        <v>852</v>
      </c>
      <c r="D800" t="s">
        <v>780</v>
      </c>
      <c r="E800" t="s">
        <v>781</v>
      </c>
      <c r="F800" s="46" t="s">
        <v>852</v>
      </c>
      <c r="G800" t="s">
        <v>255</v>
      </c>
      <c r="H800" s="23">
        <v>4</v>
      </c>
      <c r="I800" s="23" t="s">
        <v>849</v>
      </c>
      <c r="J800" t="s">
        <v>853</v>
      </c>
      <c r="K800">
        <v>1270</v>
      </c>
      <c r="L800">
        <v>1437</v>
      </c>
      <c r="M800" s="24">
        <v>1231</v>
      </c>
      <c r="N800" s="24">
        <v>1386</v>
      </c>
      <c r="O800" s="24">
        <v>1147</v>
      </c>
      <c r="P800" s="24">
        <v>1400</v>
      </c>
      <c r="Q800">
        <v>1151</v>
      </c>
      <c r="R800">
        <v>1584</v>
      </c>
      <c r="S800">
        <v>1105</v>
      </c>
      <c r="T800">
        <v>1596</v>
      </c>
      <c r="U800">
        <v>1105</v>
      </c>
      <c r="V800">
        <v>1596</v>
      </c>
    </row>
    <row r="801" spans="2:22" x14ac:dyDescent="0.35">
      <c r="B801" s="23" t="s">
        <v>854</v>
      </c>
      <c r="D801" t="s">
        <v>780</v>
      </c>
      <c r="E801" t="s">
        <v>781</v>
      </c>
      <c r="F801" s="46" t="s">
        <v>854</v>
      </c>
      <c r="G801" t="s">
        <v>259</v>
      </c>
      <c r="H801" s="23">
        <v>5</v>
      </c>
      <c r="I801" s="23" t="s">
        <v>855</v>
      </c>
      <c r="J801" t="s">
        <v>856</v>
      </c>
      <c r="K801">
        <v>716</v>
      </c>
      <c r="L801">
        <v>853</v>
      </c>
      <c r="M801" s="24">
        <v>638</v>
      </c>
      <c r="N801" s="24">
        <v>750</v>
      </c>
      <c r="O801" s="24">
        <v>579</v>
      </c>
      <c r="P801" s="24">
        <v>760</v>
      </c>
      <c r="Q801">
        <v>569</v>
      </c>
      <c r="R801">
        <v>774</v>
      </c>
      <c r="S801">
        <v>920</v>
      </c>
      <c r="T801">
        <v>1217</v>
      </c>
      <c r="U801">
        <v>920</v>
      </c>
      <c r="V801">
        <v>1217</v>
      </c>
    </row>
    <row r="802" spans="2:22" x14ac:dyDescent="0.35">
      <c r="B802" s="23" t="s">
        <v>857</v>
      </c>
      <c r="D802" t="s">
        <v>780</v>
      </c>
      <c r="E802" t="s">
        <v>781</v>
      </c>
      <c r="F802" s="46" t="s">
        <v>857</v>
      </c>
      <c r="G802" t="s">
        <v>259</v>
      </c>
      <c r="H802" s="23">
        <v>5</v>
      </c>
      <c r="I802" s="23" t="s">
        <v>855</v>
      </c>
      <c r="J802" t="s">
        <v>508</v>
      </c>
      <c r="K802">
        <v>3980</v>
      </c>
      <c r="L802">
        <v>5040</v>
      </c>
      <c r="M802" s="24">
        <v>3847</v>
      </c>
      <c r="N802" s="24">
        <v>4951</v>
      </c>
      <c r="O802" s="24">
        <v>3263</v>
      </c>
      <c r="P802" s="24">
        <v>5076</v>
      </c>
      <c r="Q802">
        <v>3126</v>
      </c>
      <c r="R802">
        <v>5000</v>
      </c>
      <c r="S802">
        <v>4165</v>
      </c>
      <c r="T802">
        <v>6402</v>
      </c>
      <c r="U802">
        <v>4165</v>
      </c>
      <c r="V802">
        <v>6402</v>
      </c>
    </row>
    <row r="803" spans="2:22" x14ac:dyDescent="0.35">
      <c r="B803" s="23" t="s">
        <v>858</v>
      </c>
      <c r="D803" t="s">
        <v>780</v>
      </c>
      <c r="E803" t="s">
        <v>781</v>
      </c>
      <c r="F803" s="46" t="s">
        <v>858</v>
      </c>
      <c r="G803" t="s">
        <v>259</v>
      </c>
      <c r="H803" s="23">
        <v>5</v>
      </c>
      <c r="I803" s="23" t="s">
        <v>855</v>
      </c>
      <c r="J803" t="s">
        <v>859</v>
      </c>
      <c r="K803">
        <v>889</v>
      </c>
      <c r="L803">
        <v>1018</v>
      </c>
      <c r="M803" s="24">
        <v>905</v>
      </c>
      <c r="N803" s="24">
        <v>1066</v>
      </c>
      <c r="O803" s="24">
        <v>1000</v>
      </c>
      <c r="P803" s="24">
        <v>1181</v>
      </c>
      <c r="Q803">
        <v>969</v>
      </c>
      <c r="R803">
        <v>1169</v>
      </c>
      <c r="S803">
        <v>1316</v>
      </c>
      <c r="T803">
        <v>1792</v>
      </c>
      <c r="U803">
        <v>1316</v>
      </c>
      <c r="V803">
        <v>1792</v>
      </c>
    </row>
    <row r="804" spans="2:22" x14ac:dyDescent="0.35">
      <c r="B804" s="23" t="s">
        <v>860</v>
      </c>
      <c r="D804" t="s">
        <v>780</v>
      </c>
      <c r="E804" t="s">
        <v>781</v>
      </c>
      <c r="F804" s="46" t="s">
        <v>860</v>
      </c>
      <c r="G804" t="s">
        <v>259</v>
      </c>
      <c r="H804" s="23">
        <v>5</v>
      </c>
      <c r="I804" s="23" t="s">
        <v>855</v>
      </c>
      <c r="J804" t="s">
        <v>861</v>
      </c>
      <c r="K804">
        <v>77</v>
      </c>
      <c r="L804">
        <v>98</v>
      </c>
      <c r="M804" s="24">
        <v>84</v>
      </c>
      <c r="N804" s="24">
        <v>104</v>
      </c>
      <c r="O804" s="24">
        <v>63</v>
      </c>
      <c r="P804" s="24">
        <v>94</v>
      </c>
      <c r="Q804">
        <v>53</v>
      </c>
      <c r="R804">
        <v>92</v>
      </c>
      <c r="S804">
        <v>91</v>
      </c>
      <c r="T804">
        <v>132</v>
      </c>
      <c r="U804">
        <v>91</v>
      </c>
      <c r="V804">
        <v>132</v>
      </c>
    </row>
    <row r="805" spans="2:22" x14ac:dyDescent="0.35">
      <c r="B805" s="23" t="s">
        <v>862</v>
      </c>
      <c r="D805" t="s">
        <v>780</v>
      </c>
      <c r="E805" t="s">
        <v>781</v>
      </c>
      <c r="F805" s="46" t="s">
        <v>862</v>
      </c>
      <c r="G805" t="s">
        <v>259</v>
      </c>
      <c r="H805" s="23">
        <v>5</v>
      </c>
      <c r="I805" s="23" t="s">
        <v>855</v>
      </c>
      <c r="J805" t="s">
        <v>247</v>
      </c>
      <c r="K805">
        <v>468</v>
      </c>
      <c r="L805">
        <v>538</v>
      </c>
      <c r="M805" s="24">
        <v>424</v>
      </c>
      <c r="N805" s="24">
        <v>498</v>
      </c>
      <c r="O805" s="24">
        <v>358</v>
      </c>
      <c r="P805" s="24">
        <v>494</v>
      </c>
      <c r="Q805">
        <v>328</v>
      </c>
      <c r="R805">
        <v>469</v>
      </c>
      <c r="S805">
        <v>481</v>
      </c>
      <c r="T805">
        <v>697</v>
      </c>
      <c r="U805">
        <v>481</v>
      </c>
      <c r="V805">
        <v>697</v>
      </c>
    </row>
    <row r="806" spans="2:22" x14ac:dyDescent="0.35">
      <c r="B806" s="23" t="s">
        <v>863</v>
      </c>
      <c r="D806" t="s">
        <v>780</v>
      </c>
      <c r="E806" t="s">
        <v>781</v>
      </c>
      <c r="F806" s="46" t="s">
        <v>863</v>
      </c>
      <c r="G806" t="s">
        <v>259</v>
      </c>
      <c r="H806" s="23">
        <v>5</v>
      </c>
      <c r="I806" s="23" t="s">
        <v>855</v>
      </c>
      <c r="J806" t="s">
        <v>864</v>
      </c>
      <c r="K806">
        <v>217</v>
      </c>
      <c r="L806">
        <v>256</v>
      </c>
      <c r="M806" s="24">
        <v>236</v>
      </c>
      <c r="N806" s="24">
        <v>288</v>
      </c>
      <c r="O806" s="24">
        <v>259</v>
      </c>
      <c r="P806" s="24">
        <v>323</v>
      </c>
      <c r="Q806">
        <v>212</v>
      </c>
      <c r="R806">
        <v>286</v>
      </c>
      <c r="S806">
        <v>275</v>
      </c>
      <c r="T806">
        <v>379</v>
      </c>
      <c r="U806">
        <v>275</v>
      </c>
      <c r="V806">
        <v>379</v>
      </c>
    </row>
    <row r="807" spans="2:22" x14ac:dyDescent="0.35">
      <c r="B807" s="23" t="s">
        <v>865</v>
      </c>
      <c r="D807" t="s">
        <v>780</v>
      </c>
      <c r="E807" t="s">
        <v>781</v>
      </c>
      <c r="F807" s="46" t="s">
        <v>865</v>
      </c>
      <c r="G807" t="s">
        <v>259</v>
      </c>
      <c r="H807" s="23">
        <v>5</v>
      </c>
      <c r="I807" s="23" t="s">
        <v>855</v>
      </c>
      <c r="J807" t="s">
        <v>494</v>
      </c>
      <c r="K807">
        <v>253</v>
      </c>
      <c r="L807">
        <v>326</v>
      </c>
      <c r="M807" s="24">
        <v>266</v>
      </c>
      <c r="N807" s="24">
        <v>343</v>
      </c>
      <c r="O807" s="24">
        <v>263</v>
      </c>
      <c r="P807" s="24">
        <v>346</v>
      </c>
      <c r="Q807">
        <v>232</v>
      </c>
      <c r="R807">
        <v>351</v>
      </c>
      <c r="S807">
        <v>276</v>
      </c>
      <c r="T807">
        <v>388</v>
      </c>
      <c r="U807">
        <v>276</v>
      </c>
      <c r="V807">
        <v>388</v>
      </c>
    </row>
    <row r="808" spans="2:22" x14ac:dyDescent="0.35">
      <c r="B808" s="23" t="s">
        <v>866</v>
      </c>
      <c r="D808" t="s">
        <v>780</v>
      </c>
      <c r="E808" t="s">
        <v>781</v>
      </c>
      <c r="F808" s="46" t="s">
        <v>866</v>
      </c>
      <c r="G808" t="s">
        <v>259</v>
      </c>
      <c r="H808" s="23">
        <v>5</v>
      </c>
      <c r="I808" s="23" t="s">
        <v>855</v>
      </c>
      <c r="J808" t="s">
        <v>867</v>
      </c>
      <c r="K808">
        <v>581</v>
      </c>
      <c r="L808">
        <v>703</v>
      </c>
      <c r="M808" s="24">
        <v>528</v>
      </c>
      <c r="N808" s="24">
        <v>631</v>
      </c>
      <c r="O808" s="24">
        <v>547</v>
      </c>
      <c r="P808" s="24">
        <v>695</v>
      </c>
      <c r="Q808">
        <v>496</v>
      </c>
      <c r="R808">
        <v>699</v>
      </c>
      <c r="S808">
        <v>623</v>
      </c>
      <c r="T808">
        <v>885</v>
      </c>
      <c r="U808">
        <v>623</v>
      </c>
      <c r="V808">
        <v>885</v>
      </c>
    </row>
    <row r="809" spans="2:22" x14ac:dyDescent="0.35">
      <c r="B809" s="23" t="s">
        <v>868</v>
      </c>
      <c r="D809" t="s">
        <v>780</v>
      </c>
      <c r="E809" t="s">
        <v>781</v>
      </c>
      <c r="F809" s="46" t="s">
        <v>868</v>
      </c>
      <c r="G809" t="s">
        <v>259</v>
      </c>
      <c r="H809" s="23">
        <v>5</v>
      </c>
      <c r="I809" s="23" t="s">
        <v>855</v>
      </c>
      <c r="J809" t="s">
        <v>869</v>
      </c>
      <c r="K809">
        <v>5167</v>
      </c>
      <c r="L809">
        <v>6209</v>
      </c>
      <c r="M809" s="24">
        <v>4545</v>
      </c>
      <c r="N809" s="24">
        <v>5641</v>
      </c>
      <c r="O809" s="24">
        <v>3860</v>
      </c>
      <c r="P809" s="24">
        <v>5571</v>
      </c>
      <c r="Q809">
        <v>3491</v>
      </c>
      <c r="R809">
        <v>5321</v>
      </c>
      <c r="S809">
        <v>5586</v>
      </c>
      <c r="T809">
        <v>8080</v>
      </c>
      <c r="U809">
        <v>5586</v>
      </c>
      <c r="V809">
        <v>8080</v>
      </c>
    </row>
    <row r="810" spans="2:22" x14ac:dyDescent="0.35">
      <c r="B810" s="23" t="s">
        <v>870</v>
      </c>
      <c r="D810" t="s">
        <v>780</v>
      </c>
      <c r="E810" t="s">
        <v>781</v>
      </c>
      <c r="F810" s="46" t="s">
        <v>870</v>
      </c>
      <c r="G810" t="s">
        <v>259</v>
      </c>
      <c r="H810" s="23">
        <v>5</v>
      </c>
      <c r="I810" s="23" t="s">
        <v>855</v>
      </c>
      <c r="J810" t="s">
        <v>871</v>
      </c>
      <c r="K810">
        <v>47</v>
      </c>
      <c r="L810">
        <v>56</v>
      </c>
      <c r="M810" s="24">
        <v>38</v>
      </c>
      <c r="N810" s="24">
        <v>46</v>
      </c>
      <c r="O810" s="24">
        <v>42</v>
      </c>
      <c r="P810" s="24">
        <v>49</v>
      </c>
      <c r="Q810">
        <v>42</v>
      </c>
      <c r="R810">
        <v>57</v>
      </c>
      <c r="S810">
        <v>64</v>
      </c>
      <c r="T810">
        <v>86</v>
      </c>
      <c r="U810">
        <v>64</v>
      </c>
      <c r="V810">
        <v>86</v>
      </c>
    </row>
    <row r="811" spans="2:22" x14ac:dyDescent="0.35">
      <c r="B811" s="23" t="s">
        <v>872</v>
      </c>
      <c r="D811" t="s">
        <v>780</v>
      </c>
      <c r="E811" t="s">
        <v>781</v>
      </c>
      <c r="F811" s="46" t="s">
        <v>872</v>
      </c>
      <c r="G811" t="s">
        <v>259</v>
      </c>
      <c r="H811" s="23">
        <v>5</v>
      </c>
      <c r="I811" s="23" t="s">
        <v>855</v>
      </c>
      <c r="J811" t="s">
        <v>873</v>
      </c>
      <c r="K811">
        <v>164</v>
      </c>
      <c r="L811">
        <v>199</v>
      </c>
      <c r="M811" s="24">
        <v>136</v>
      </c>
      <c r="N811" s="24">
        <v>170</v>
      </c>
      <c r="O811" s="24">
        <v>142</v>
      </c>
      <c r="P811" s="24">
        <v>180</v>
      </c>
      <c r="Q811">
        <v>132</v>
      </c>
      <c r="R811">
        <v>180</v>
      </c>
      <c r="S811">
        <v>177</v>
      </c>
      <c r="T811">
        <v>236</v>
      </c>
      <c r="U811">
        <v>177</v>
      </c>
      <c r="V811">
        <v>236</v>
      </c>
    </row>
    <row r="812" spans="2:22" x14ac:dyDescent="0.35">
      <c r="B812" s="23" t="s">
        <v>874</v>
      </c>
      <c r="D812" t="s">
        <v>780</v>
      </c>
      <c r="E812" t="s">
        <v>781</v>
      </c>
      <c r="F812" s="46" t="s">
        <v>874</v>
      </c>
      <c r="G812" t="s">
        <v>259</v>
      </c>
      <c r="H812" s="23">
        <v>5</v>
      </c>
      <c r="I812" s="23" t="s">
        <v>855</v>
      </c>
      <c r="J812" t="s">
        <v>875</v>
      </c>
      <c r="K812">
        <v>331</v>
      </c>
      <c r="L812">
        <v>381</v>
      </c>
      <c r="M812" s="24">
        <v>291</v>
      </c>
      <c r="N812" s="24">
        <v>337</v>
      </c>
      <c r="O812" s="24">
        <v>288</v>
      </c>
      <c r="P812" s="24">
        <v>359</v>
      </c>
      <c r="Q812">
        <v>276</v>
      </c>
      <c r="R812">
        <v>397</v>
      </c>
      <c r="S812">
        <v>317</v>
      </c>
      <c r="T812">
        <v>425</v>
      </c>
      <c r="U812">
        <v>317</v>
      </c>
      <c r="V812">
        <v>425</v>
      </c>
    </row>
    <row r="813" spans="2:22" x14ac:dyDescent="0.35">
      <c r="B813" s="23" t="s">
        <v>876</v>
      </c>
      <c r="D813" t="s">
        <v>780</v>
      </c>
      <c r="E813" t="s">
        <v>781</v>
      </c>
      <c r="F813" s="46" t="s">
        <v>876</v>
      </c>
      <c r="G813" t="s">
        <v>265</v>
      </c>
      <c r="H813" s="23">
        <v>6</v>
      </c>
      <c r="I813" s="23" t="s">
        <v>877</v>
      </c>
      <c r="J813" t="s">
        <v>878</v>
      </c>
      <c r="K813">
        <v>233</v>
      </c>
      <c r="L813">
        <v>300</v>
      </c>
      <c r="M813" s="24">
        <v>256</v>
      </c>
      <c r="N813" s="24">
        <v>327</v>
      </c>
      <c r="O813" s="24">
        <v>226</v>
      </c>
      <c r="P813" s="24">
        <v>285</v>
      </c>
      <c r="Q813">
        <v>254</v>
      </c>
      <c r="R813">
        <v>347</v>
      </c>
      <c r="S813">
        <v>396</v>
      </c>
      <c r="T813">
        <v>579</v>
      </c>
      <c r="U813">
        <v>396</v>
      </c>
      <c r="V813">
        <v>579</v>
      </c>
    </row>
    <row r="814" spans="2:22" x14ac:dyDescent="0.35">
      <c r="B814" s="23" t="s">
        <v>879</v>
      </c>
      <c r="D814" t="s">
        <v>780</v>
      </c>
      <c r="E814" t="s">
        <v>781</v>
      </c>
      <c r="F814" s="46" t="s">
        <v>879</v>
      </c>
      <c r="G814" t="s">
        <v>265</v>
      </c>
      <c r="H814" s="23">
        <v>6</v>
      </c>
      <c r="I814" s="23" t="s">
        <v>877</v>
      </c>
      <c r="J814" t="s">
        <v>880</v>
      </c>
      <c r="K814">
        <v>372</v>
      </c>
      <c r="L814">
        <v>460</v>
      </c>
      <c r="M814" s="24">
        <v>371</v>
      </c>
      <c r="N814" s="24">
        <v>446</v>
      </c>
      <c r="O814" s="24">
        <v>357</v>
      </c>
      <c r="P814" s="24">
        <v>454</v>
      </c>
      <c r="Q814">
        <v>289</v>
      </c>
      <c r="R814">
        <v>479</v>
      </c>
      <c r="S814">
        <v>488</v>
      </c>
      <c r="T814">
        <v>792</v>
      </c>
      <c r="U814">
        <v>488</v>
      </c>
      <c r="V814">
        <v>792</v>
      </c>
    </row>
    <row r="815" spans="2:22" x14ac:dyDescent="0.35">
      <c r="B815" s="23" t="s">
        <v>881</v>
      </c>
      <c r="D815" t="s">
        <v>780</v>
      </c>
      <c r="E815" t="s">
        <v>781</v>
      </c>
      <c r="F815" s="46" t="s">
        <v>881</v>
      </c>
      <c r="G815" t="s">
        <v>265</v>
      </c>
      <c r="H815" s="23">
        <v>6</v>
      </c>
      <c r="I815" s="23" t="s">
        <v>877</v>
      </c>
      <c r="J815" t="s">
        <v>882</v>
      </c>
      <c r="K815">
        <v>1020</v>
      </c>
      <c r="L815">
        <v>1314</v>
      </c>
      <c r="M815" s="24">
        <v>1061</v>
      </c>
      <c r="N815" s="24">
        <v>1332</v>
      </c>
      <c r="O815" s="24">
        <v>1055</v>
      </c>
      <c r="P815" s="24">
        <v>1363</v>
      </c>
      <c r="Q815">
        <v>771</v>
      </c>
      <c r="R815">
        <v>1357</v>
      </c>
      <c r="S815">
        <v>975</v>
      </c>
      <c r="T815">
        <v>1738</v>
      </c>
      <c r="U815">
        <v>975</v>
      </c>
      <c r="V815">
        <v>1738</v>
      </c>
    </row>
    <row r="816" spans="2:22" x14ac:dyDescent="0.35">
      <c r="B816" s="23" t="s">
        <v>883</v>
      </c>
      <c r="D816" t="s">
        <v>780</v>
      </c>
      <c r="E816" t="s">
        <v>781</v>
      </c>
      <c r="F816" s="46" t="s">
        <v>883</v>
      </c>
      <c r="G816" t="s">
        <v>265</v>
      </c>
      <c r="H816" s="23">
        <v>6</v>
      </c>
      <c r="I816" s="23" t="s">
        <v>877</v>
      </c>
      <c r="J816" t="s">
        <v>884</v>
      </c>
      <c r="K816">
        <v>178</v>
      </c>
      <c r="L816">
        <v>211</v>
      </c>
      <c r="M816" s="24">
        <v>149</v>
      </c>
      <c r="N816" s="24">
        <v>191</v>
      </c>
      <c r="O816" s="24">
        <v>174</v>
      </c>
      <c r="P816" s="24">
        <v>217</v>
      </c>
      <c r="Q816">
        <v>122</v>
      </c>
      <c r="R816">
        <v>197</v>
      </c>
      <c r="S816">
        <v>189</v>
      </c>
      <c r="T816">
        <v>300</v>
      </c>
      <c r="U816">
        <v>189</v>
      </c>
      <c r="V816">
        <v>300</v>
      </c>
    </row>
    <row r="817" spans="2:22" x14ac:dyDescent="0.35">
      <c r="B817" s="23" t="s">
        <v>885</v>
      </c>
      <c r="D817" t="s">
        <v>780</v>
      </c>
      <c r="E817" t="s">
        <v>781</v>
      </c>
      <c r="F817" s="46" t="s">
        <v>885</v>
      </c>
      <c r="G817" t="s">
        <v>265</v>
      </c>
      <c r="H817" s="23">
        <v>6</v>
      </c>
      <c r="I817" s="23" t="s">
        <v>877</v>
      </c>
      <c r="J817" t="s">
        <v>886</v>
      </c>
      <c r="K817">
        <v>3030</v>
      </c>
      <c r="L817">
        <v>3978</v>
      </c>
      <c r="M817" s="24">
        <v>2946</v>
      </c>
      <c r="N817" s="24">
        <v>3989</v>
      </c>
      <c r="O817" s="24">
        <v>2836</v>
      </c>
      <c r="P817" s="24">
        <v>4092</v>
      </c>
      <c r="Q817">
        <v>2283</v>
      </c>
      <c r="R817">
        <v>4500</v>
      </c>
      <c r="S817">
        <v>2864</v>
      </c>
      <c r="T817">
        <v>5622</v>
      </c>
      <c r="U817">
        <v>2864</v>
      </c>
      <c r="V817">
        <v>5622</v>
      </c>
    </row>
    <row r="818" spans="2:22" x14ac:dyDescent="0.35">
      <c r="B818" s="23" t="s">
        <v>887</v>
      </c>
      <c r="D818" t="s">
        <v>780</v>
      </c>
      <c r="E818" t="s">
        <v>781</v>
      </c>
      <c r="F818" s="46" t="s">
        <v>887</v>
      </c>
      <c r="G818" t="s">
        <v>265</v>
      </c>
      <c r="H818" s="23">
        <v>6</v>
      </c>
      <c r="I818" s="23" t="s">
        <v>877</v>
      </c>
      <c r="J818" t="s">
        <v>888</v>
      </c>
      <c r="K818">
        <v>596</v>
      </c>
      <c r="L818">
        <v>703</v>
      </c>
      <c r="M818" s="24">
        <v>573</v>
      </c>
      <c r="N818" s="24">
        <v>665</v>
      </c>
      <c r="O818" s="24">
        <v>622</v>
      </c>
      <c r="P818" s="24">
        <v>708</v>
      </c>
      <c r="Q818">
        <v>511</v>
      </c>
      <c r="R818">
        <v>762</v>
      </c>
      <c r="S818">
        <v>618</v>
      </c>
      <c r="T818">
        <v>920</v>
      </c>
      <c r="U818">
        <v>618</v>
      </c>
      <c r="V818">
        <v>920</v>
      </c>
    </row>
    <row r="819" spans="2:22" x14ac:dyDescent="0.35">
      <c r="B819" s="23" t="s">
        <v>889</v>
      </c>
      <c r="D819" t="s">
        <v>780</v>
      </c>
      <c r="E819" t="s">
        <v>781</v>
      </c>
      <c r="F819" s="46" t="s">
        <v>889</v>
      </c>
      <c r="G819" t="s">
        <v>265</v>
      </c>
      <c r="H819" s="23">
        <v>6</v>
      </c>
      <c r="I819" s="23" t="s">
        <v>877</v>
      </c>
      <c r="J819" t="s">
        <v>890</v>
      </c>
      <c r="K819">
        <v>302</v>
      </c>
      <c r="L819">
        <v>352</v>
      </c>
      <c r="M819" s="24">
        <v>299</v>
      </c>
      <c r="N819" s="24">
        <v>347</v>
      </c>
      <c r="O819" s="24">
        <v>297</v>
      </c>
      <c r="P819" s="24">
        <v>353</v>
      </c>
      <c r="Q819">
        <v>338</v>
      </c>
      <c r="R819">
        <v>428</v>
      </c>
      <c r="S819">
        <v>496</v>
      </c>
      <c r="T819">
        <v>718</v>
      </c>
      <c r="U819">
        <v>496</v>
      </c>
      <c r="V819">
        <v>718</v>
      </c>
    </row>
    <row r="820" spans="2:22" x14ac:dyDescent="0.35">
      <c r="B820" s="23" t="s">
        <v>891</v>
      </c>
      <c r="D820" t="s">
        <v>780</v>
      </c>
      <c r="E820" t="s">
        <v>781</v>
      </c>
      <c r="F820" s="46" t="s">
        <v>891</v>
      </c>
      <c r="G820" t="s">
        <v>265</v>
      </c>
      <c r="H820" s="23">
        <v>6</v>
      </c>
      <c r="I820" s="23" t="s">
        <v>877</v>
      </c>
      <c r="J820" t="s">
        <v>892</v>
      </c>
      <c r="K820">
        <v>501</v>
      </c>
      <c r="L820">
        <v>588</v>
      </c>
      <c r="M820" s="24">
        <v>465</v>
      </c>
      <c r="N820" s="24">
        <v>530</v>
      </c>
      <c r="O820" s="24">
        <v>514</v>
      </c>
      <c r="P820" s="24">
        <v>621</v>
      </c>
      <c r="Q820">
        <v>541</v>
      </c>
      <c r="R820">
        <v>699</v>
      </c>
      <c r="S820">
        <v>949</v>
      </c>
      <c r="T820">
        <v>1285</v>
      </c>
      <c r="U820">
        <v>949</v>
      </c>
      <c r="V820">
        <v>1285</v>
      </c>
    </row>
    <row r="821" spans="2:22" x14ac:dyDescent="0.35">
      <c r="B821" s="23" t="s">
        <v>893</v>
      </c>
      <c r="D821" t="s">
        <v>780</v>
      </c>
      <c r="E821" t="s">
        <v>781</v>
      </c>
      <c r="F821" s="46" t="s">
        <v>893</v>
      </c>
      <c r="G821" t="s">
        <v>265</v>
      </c>
      <c r="H821" s="23">
        <v>6</v>
      </c>
      <c r="I821" s="23" t="s">
        <v>877</v>
      </c>
      <c r="J821" t="s">
        <v>894</v>
      </c>
      <c r="K821">
        <v>726</v>
      </c>
      <c r="L821">
        <v>875</v>
      </c>
      <c r="M821" s="24">
        <v>675</v>
      </c>
      <c r="N821" s="24">
        <v>821</v>
      </c>
      <c r="O821" s="24">
        <v>680</v>
      </c>
      <c r="P821" s="24">
        <v>847</v>
      </c>
      <c r="Q821">
        <v>510</v>
      </c>
      <c r="R821">
        <v>839</v>
      </c>
      <c r="S821">
        <v>755</v>
      </c>
      <c r="T821">
        <v>1289</v>
      </c>
      <c r="U821">
        <v>755</v>
      </c>
      <c r="V821">
        <v>1289</v>
      </c>
    </row>
    <row r="822" spans="2:22" x14ac:dyDescent="0.35">
      <c r="B822" s="23" t="s">
        <v>895</v>
      </c>
      <c r="D822" t="s">
        <v>780</v>
      </c>
      <c r="E822" t="s">
        <v>781</v>
      </c>
      <c r="F822" s="46" t="s">
        <v>895</v>
      </c>
      <c r="G822" t="s">
        <v>273</v>
      </c>
      <c r="H822" s="23">
        <v>7</v>
      </c>
      <c r="I822" s="23" t="s">
        <v>896</v>
      </c>
      <c r="J822" t="s">
        <v>897</v>
      </c>
      <c r="K822">
        <v>1408</v>
      </c>
      <c r="L822">
        <v>2220</v>
      </c>
      <c r="M822" s="24">
        <v>1644</v>
      </c>
      <c r="N822" s="24">
        <v>2174</v>
      </c>
      <c r="O822" s="24">
        <v>1396</v>
      </c>
      <c r="P822" s="24">
        <v>1823</v>
      </c>
      <c r="Q822">
        <v>1334</v>
      </c>
      <c r="R822">
        <v>2156</v>
      </c>
      <c r="S822">
        <v>1615</v>
      </c>
      <c r="T822">
        <v>2660</v>
      </c>
      <c r="U822">
        <v>1615</v>
      </c>
      <c r="V822">
        <v>2660</v>
      </c>
    </row>
    <row r="823" spans="2:22" x14ac:dyDescent="0.35">
      <c r="B823" s="23" t="s">
        <v>898</v>
      </c>
      <c r="D823" t="s">
        <v>780</v>
      </c>
      <c r="E823" t="s">
        <v>781</v>
      </c>
      <c r="F823" s="46" t="s">
        <v>898</v>
      </c>
      <c r="G823" t="s">
        <v>273</v>
      </c>
      <c r="H823" s="23">
        <v>7</v>
      </c>
      <c r="I823" s="23" t="s">
        <v>896</v>
      </c>
      <c r="J823" t="s">
        <v>899</v>
      </c>
      <c r="K823">
        <v>339</v>
      </c>
      <c r="L823">
        <v>525</v>
      </c>
      <c r="M823" s="24">
        <v>387</v>
      </c>
      <c r="N823" s="24">
        <v>524</v>
      </c>
      <c r="O823" s="24">
        <v>333</v>
      </c>
      <c r="P823" s="24">
        <v>458</v>
      </c>
      <c r="Q823">
        <v>310</v>
      </c>
      <c r="R823">
        <v>480</v>
      </c>
      <c r="S823">
        <v>378</v>
      </c>
      <c r="T823">
        <v>605</v>
      </c>
      <c r="U823">
        <v>378</v>
      </c>
      <c r="V823">
        <v>605</v>
      </c>
    </row>
    <row r="824" spans="2:22" x14ac:dyDescent="0.35">
      <c r="B824" s="23" t="s">
        <v>900</v>
      </c>
      <c r="D824" t="s">
        <v>780</v>
      </c>
      <c r="E824" t="s">
        <v>781</v>
      </c>
      <c r="F824" s="46" t="s">
        <v>900</v>
      </c>
      <c r="G824" t="s">
        <v>273</v>
      </c>
      <c r="H824" s="23">
        <v>7</v>
      </c>
      <c r="I824" s="23" t="s">
        <v>896</v>
      </c>
      <c r="J824" t="s">
        <v>253</v>
      </c>
      <c r="K824">
        <v>1382</v>
      </c>
      <c r="L824">
        <v>2211</v>
      </c>
      <c r="M824" s="24">
        <v>1604</v>
      </c>
      <c r="N824" s="24">
        <v>2129</v>
      </c>
      <c r="O824" s="24">
        <v>1436</v>
      </c>
      <c r="P824" s="24">
        <v>1834</v>
      </c>
      <c r="Q824">
        <v>1359</v>
      </c>
      <c r="R824">
        <v>2042</v>
      </c>
      <c r="S824">
        <v>1737</v>
      </c>
      <c r="T824">
        <v>2677</v>
      </c>
      <c r="U824">
        <v>1737</v>
      </c>
      <c r="V824">
        <v>2677</v>
      </c>
    </row>
    <row r="825" spans="2:22" x14ac:dyDescent="0.35">
      <c r="B825" s="23" t="s">
        <v>901</v>
      </c>
      <c r="D825" t="s">
        <v>780</v>
      </c>
      <c r="E825" t="s">
        <v>781</v>
      </c>
      <c r="F825" s="46" t="s">
        <v>901</v>
      </c>
      <c r="G825" t="s">
        <v>279</v>
      </c>
      <c r="H825" s="23">
        <v>8</v>
      </c>
      <c r="I825" s="23" t="s">
        <v>902</v>
      </c>
      <c r="J825" t="s">
        <v>903</v>
      </c>
      <c r="K825">
        <v>74</v>
      </c>
      <c r="L825">
        <v>90</v>
      </c>
      <c r="M825" s="24">
        <v>77</v>
      </c>
      <c r="N825" s="24">
        <v>85</v>
      </c>
      <c r="O825" s="24">
        <v>102</v>
      </c>
      <c r="P825" s="24">
        <v>115</v>
      </c>
      <c r="Q825">
        <v>89</v>
      </c>
      <c r="R825">
        <v>107</v>
      </c>
      <c r="S825">
        <v>107</v>
      </c>
      <c r="T825">
        <v>138</v>
      </c>
      <c r="U825">
        <v>107</v>
      </c>
      <c r="V825">
        <v>138</v>
      </c>
    </row>
    <row r="826" spans="2:22" x14ac:dyDescent="0.35">
      <c r="B826" s="23" t="s">
        <v>904</v>
      </c>
      <c r="D826" t="s">
        <v>780</v>
      </c>
      <c r="E826" t="s">
        <v>781</v>
      </c>
      <c r="F826" s="46" t="s">
        <v>904</v>
      </c>
      <c r="G826" t="s">
        <v>279</v>
      </c>
      <c r="H826" s="23">
        <v>8</v>
      </c>
      <c r="I826" s="23" t="s">
        <v>902</v>
      </c>
      <c r="J826" t="s">
        <v>905</v>
      </c>
      <c r="K826">
        <v>798</v>
      </c>
      <c r="L826">
        <v>1048</v>
      </c>
      <c r="M826" s="24">
        <v>727</v>
      </c>
      <c r="N826" s="24">
        <v>971</v>
      </c>
      <c r="O826" s="24">
        <v>768</v>
      </c>
      <c r="P826" s="24">
        <v>1022</v>
      </c>
      <c r="Q826">
        <v>700</v>
      </c>
      <c r="R826">
        <v>1110</v>
      </c>
      <c r="S826">
        <v>812</v>
      </c>
      <c r="T826">
        <v>1378</v>
      </c>
      <c r="U826">
        <v>812</v>
      </c>
      <c r="V826">
        <v>1378</v>
      </c>
    </row>
    <row r="827" spans="2:22" x14ac:dyDescent="0.35">
      <c r="B827" s="23" t="s">
        <v>906</v>
      </c>
      <c r="D827" t="s">
        <v>780</v>
      </c>
      <c r="E827" t="s">
        <v>781</v>
      </c>
      <c r="F827" s="46" t="s">
        <v>906</v>
      </c>
      <c r="G827" t="s">
        <v>279</v>
      </c>
      <c r="H827" s="23">
        <v>8</v>
      </c>
      <c r="I827" s="23" t="s">
        <v>902</v>
      </c>
      <c r="J827" t="s">
        <v>361</v>
      </c>
      <c r="K827">
        <v>262</v>
      </c>
      <c r="L827">
        <v>332</v>
      </c>
      <c r="M827" s="24">
        <v>292</v>
      </c>
      <c r="N827" s="24">
        <v>334</v>
      </c>
      <c r="O827" s="24">
        <v>307</v>
      </c>
      <c r="P827" s="24">
        <v>353</v>
      </c>
      <c r="Q827">
        <v>254</v>
      </c>
      <c r="R827">
        <v>373</v>
      </c>
      <c r="S827">
        <v>449</v>
      </c>
      <c r="T827">
        <v>595</v>
      </c>
      <c r="U827">
        <v>449</v>
      </c>
      <c r="V827">
        <v>595</v>
      </c>
    </row>
    <row r="828" spans="2:22" x14ac:dyDescent="0.35">
      <c r="B828" s="23" t="s">
        <v>907</v>
      </c>
      <c r="D828" t="s">
        <v>780</v>
      </c>
      <c r="E828" t="s">
        <v>781</v>
      </c>
      <c r="F828" s="46" t="s">
        <v>907</v>
      </c>
      <c r="G828" t="s">
        <v>279</v>
      </c>
      <c r="H828" s="23">
        <v>8</v>
      </c>
      <c r="I828" s="23" t="s">
        <v>902</v>
      </c>
      <c r="J828" t="s">
        <v>365</v>
      </c>
      <c r="K828">
        <v>201</v>
      </c>
      <c r="L828">
        <v>251</v>
      </c>
      <c r="M828" s="24">
        <v>215</v>
      </c>
      <c r="N828" s="24">
        <v>252</v>
      </c>
      <c r="O828" s="24">
        <v>222</v>
      </c>
      <c r="P828" s="24">
        <v>256</v>
      </c>
      <c r="Q828">
        <v>197</v>
      </c>
      <c r="R828">
        <v>265</v>
      </c>
      <c r="S828">
        <v>250</v>
      </c>
      <c r="T828">
        <v>357</v>
      </c>
      <c r="U828">
        <v>250</v>
      </c>
      <c r="V828">
        <v>357</v>
      </c>
    </row>
    <row r="829" spans="2:22" x14ac:dyDescent="0.35">
      <c r="B829" s="23" t="s">
        <v>908</v>
      </c>
      <c r="D829" t="s">
        <v>780</v>
      </c>
      <c r="E829" t="s">
        <v>781</v>
      </c>
      <c r="F829" s="46" t="s">
        <v>908</v>
      </c>
      <c r="G829" t="s">
        <v>279</v>
      </c>
      <c r="H829" s="23">
        <v>8</v>
      </c>
      <c r="I829" s="23" t="s">
        <v>902</v>
      </c>
      <c r="J829" t="s">
        <v>909</v>
      </c>
      <c r="K829">
        <v>500</v>
      </c>
      <c r="L829">
        <v>605</v>
      </c>
      <c r="M829" s="24">
        <v>526</v>
      </c>
      <c r="N829" s="24">
        <v>641</v>
      </c>
      <c r="O829" s="24">
        <v>542</v>
      </c>
      <c r="P829" s="24">
        <v>651</v>
      </c>
      <c r="Q829">
        <v>537</v>
      </c>
      <c r="R829">
        <v>735</v>
      </c>
      <c r="S829">
        <v>735</v>
      </c>
      <c r="T829">
        <v>1026</v>
      </c>
      <c r="U829">
        <v>735</v>
      </c>
      <c r="V829">
        <v>1026</v>
      </c>
    </row>
    <row r="830" spans="2:22" x14ac:dyDescent="0.35">
      <c r="B830" s="23" t="s">
        <v>910</v>
      </c>
      <c r="D830" t="s">
        <v>780</v>
      </c>
      <c r="E830" t="s">
        <v>781</v>
      </c>
      <c r="F830" s="46" t="s">
        <v>910</v>
      </c>
      <c r="G830" t="s">
        <v>279</v>
      </c>
      <c r="H830" s="23">
        <v>8</v>
      </c>
      <c r="I830" s="23" t="s">
        <v>902</v>
      </c>
      <c r="J830" t="s">
        <v>911</v>
      </c>
      <c r="K830">
        <v>4460</v>
      </c>
      <c r="L830">
        <v>5715</v>
      </c>
      <c r="M830" s="24">
        <v>4573</v>
      </c>
      <c r="N830" s="24">
        <v>5544</v>
      </c>
      <c r="O830" s="24">
        <v>4753</v>
      </c>
      <c r="P830" s="24">
        <v>5939</v>
      </c>
      <c r="Q830">
        <v>4394</v>
      </c>
      <c r="R830">
        <v>6619</v>
      </c>
      <c r="S830">
        <v>6092</v>
      </c>
      <c r="T830">
        <v>8761</v>
      </c>
      <c r="U830">
        <v>6092</v>
      </c>
      <c r="V830">
        <v>8761</v>
      </c>
    </row>
    <row r="831" spans="2:22" x14ac:dyDescent="0.35">
      <c r="B831" s="23" t="s">
        <v>912</v>
      </c>
      <c r="D831" t="s">
        <v>780</v>
      </c>
      <c r="E831" t="s">
        <v>781</v>
      </c>
      <c r="F831" s="46" t="s">
        <v>912</v>
      </c>
      <c r="G831" t="s">
        <v>279</v>
      </c>
      <c r="H831" s="23">
        <v>8</v>
      </c>
      <c r="I831" s="23" t="s">
        <v>902</v>
      </c>
      <c r="J831" t="s">
        <v>913</v>
      </c>
      <c r="K831">
        <v>53</v>
      </c>
      <c r="L831">
        <v>60</v>
      </c>
      <c r="M831" s="24">
        <v>60</v>
      </c>
      <c r="N831" s="24">
        <v>62</v>
      </c>
      <c r="O831" s="24">
        <v>64</v>
      </c>
      <c r="P831" s="24">
        <v>71</v>
      </c>
      <c r="Q831">
        <v>54</v>
      </c>
      <c r="R831">
        <v>76</v>
      </c>
      <c r="S831">
        <v>76</v>
      </c>
      <c r="T831">
        <v>92</v>
      </c>
      <c r="U831">
        <v>76</v>
      </c>
      <c r="V831">
        <v>92</v>
      </c>
    </row>
    <row r="832" spans="2:22" x14ac:dyDescent="0.35">
      <c r="B832" s="23" t="s">
        <v>914</v>
      </c>
      <c r="D832" t="s">
        <v>780</v>
      </c>
      <c r="E832" t="s">
        <v>781</v>
      </c>
      <c r="F832" s="46" t="s">
        <v>914</v>
      </c>
      <c r="G832" t="s">
        <v>279</v>
      </c>
      <c r="H832" s="23">
        <v>8</v>
      </c>
      <c r="I832" s="23" t="s">
        <v>902</v>
      </c>
      <c r="J832" t="s">
        <v>915</v>
      </c>
      <c r="K832">
        <v>124</v>
      </c>
      <c r="L832">
        <v>151</v>
      </c>
      <c r="M832" s="24">
        <v>131</v>
      </c>
      <c r="N832" s="24">
        <v>145</v>
      </c>
      <c r="O832" s="24">
        <v>125</v>
      </c>
      <c r="P832" s="24">
        <v>141</v>
      </c>
      <c r="Q832">
        <v>122</v>
      </c>
      <c r="R832">
        <v>159</v>
      </c>
      <c r="S832">
        <v>164</v>
      </c>
      <c r="T832">
        <v>214</v>
      </c>
      <c r="U832">
        <v>164</v>
      </c>
      <c r="V832">
        <v>214</v>
      </c>
    </row>
    <row r="833" spans="2:22" x14ac:dyDescent="0.35">
      <c r="B833" s="23" t="s">
        <v>916</v>
      </c>
      <c r="D833" t="s">
        <v>780</v>
      </c>
      <c r="E833" t="s">
        <v>781</v>
      </c>
      <c r="F833" s="46" t="s">
        <v>916</v>
      </c>
      <c r="G833" t="s">
        <v>279</v>
      </c>
      <c r="H833" s="23">
        <v>8</v>
      </c>
      <c r="I833" s="23" t="s">
        <v>902</v>
      </c>
      <c r="J833" t="s">
        <v>917</v>
      </c>
      <c r="K833">
        <v>172</v>
      </c>
      <c r="L833">
        <v>217</v>
      </c>
      <c r="M833" s="24">
        <v>172</v>
      </c>
      <c r="N833" s="24">
        <v>213</v>
      </c>
      <c r="O833" s="24">
        <v>182</v>
      </c>
      <c r="P833" s="24">
        <v>226</v>
      </c>
      <c r="Q833">
        <v>167</v>
      </c>
      <c r="R833">
        <v>247</v>
      </c>
      <c r="S833">
        <v>240</v>
      </c>
      <c r="T833">
        <v>333</v>
      </c>
      <c r="U833">
        <v>240</v>
      </c>
      <c r="V833">
        <v>333</v>
      </c>
    </row>
    <row r="834" spans="2:22" x14ac:dyDescent="0.35">
      <c r="B834" s="23" t="s">
        <v>918</v>
      </c>
      <c r="D834" t="s">
        <v>780</v>
      </c>
      <c r="E834" t="s">
        <v>781</v>
      </c>
      <c r="F834" s="46" t="s">
        <v>918</v>
      </c>
      <c r="G834" t="s">
        <v>279</v>
      </c>
      <c r="H834" s="23">
        <v>8</v>
      </c>
      <c r="I834" s="23" t="s">
        <v>902</v>
      </c>
      <c r="J834" t="s">
        <v>760</v>
      </c>
      <c r="K834">
        <v>165</v>
      </c>
      <c r="L834">
        <v>226</v>
      </c>
      <c r="M834" s="24">
        <v>172</v>
      </c>
      <c r="N834" s="24">
        <v>220</v>
      </c>
      <c r="O834" s="24">
        <v>178</v>
      </c>
      <c r="P834" s="24">
        <v>222</v>
      </c>
      <c r="Q834">
        <v>176</v>
      </c>
      <c r="R834">
        <v>247</v>
      </c>
      <c r="S834">
        <v>267</v>
      </c>
      <c r="T834">
        <v>355</v>
      </c>
      <c r="U834">
        <v>267</v>
      </c>
      <c r="V834">
        <v>355</v>
      </c>
    </row>
    <row r="835" spans="2:22" x14ac:dyDescent="0.35">
      <c r="B835" s="23" t="s">
        <v>919</v>
      </c>
      <c r="D835" t="s">
        <v>780</v>
      </c>
      <c r="E835" t="s">
        <v>781</v>
      </c>
      <c r="F835" s="46" t="s">
        <v>919</v>
      </c>
      <c r="G835" t="s">
        <v>279</v>
      </c>
      <c r="H835" s="23">
        <v>8</v>
      </c>
      <c r="I835" s="23" t="s">
        <v>902</v>
      </c>
      <c r="J835" t="s">
        <v>920</v>
      </c>
      <c r="K835">
        <v>1620</v>
      </c>
      <c r="L835">
        <v>1957</v>
      </c>
      <c r="M835" s="24">
        <v>1624</v>
      </c>
      <c r="N835" s="24">
        <v>1925</v>
      </c>
      <c r="O835" s="24">
        <v>1567</v>
      </c>
      <c r="P835" s="24">
        <v>1888</v>
      </c>
      <c r="Q835">
        <v>1408</v>
      </c>
      <c r="R835">
        <v>2152</v>
      </c>
      <c r="S835">
        <v>2621</v>
      </c>
      <c r="T835">
        <v>3689</v>
      </c>
      <c r="U835">
        <v>2621</v>
      </c>
      <c r="V835">
        <v>3689</v>
      </c>
    </row>
    <row r="836" spans="2:22" x14ac:dyDescent="0.35">
      <c r="B836" s="23" t="s">
        <v>921</v>
      </c>
      <c r="D836" t="s">
        <v>780</v>
      </c>
      <c r="E836" t="s">
        <v>781</v>
      </c>
      <c r="F836" s="46" t="s">
        <v>921</v>
      </c>
      <c r="G836" t="s">
        <v>279</v>
      </c>
      <c r="H836" s="23">
        <v>8</v>
      </c>
      <c r="I836" s="23" t="s">
        <v>902</v>
      </c>
      <c r="J836" t="s">
        <v>922</v>
      </c>
      <c r="K836">
        <v>586</v>
      </c>
      <c r="L836">
        <v>743</v>
      </c>
      <c r="M836" s="24">
        <v>552</v>
      </c>
      <c r="N836" s="24">
        <v>684</v>
      </c>
      <c r="O836" s="24">
        <v>513</v>
      </c>
      <c r="P836" s="24">
        <v>666</v>
      </c>
      <c r="Q836">
        <v>419</v>
      </c>
      <c r="R836">
        <v>661</v>
      </c>
      <c r="S836">
        <v>630</v>
      </c>
      <c r="T836">
        <v>920</v>
      </c>
      <c r="U836">
        <v>630</v>
      </c>
      <c r="V836">
        <v>920</v>
      </c>
    </row>
    <row r="837" spans="2:22" x14ac:dyDescent="0.35">
      <c r="B837" s="23" t="s">
        <v>923</v>
      </c>
      <c r="D837" t="s">
        <v>780</v>
      </c>
      <c r="E837" t="s">
        <v>781</v>
      </c>
      <c r="F837" s="46" t="s">
        <v>923</v>
      </c>
      <c r="G837" t="s">
        <v>279</v>
      </c>
      <c r="H837" s="23">
        <v>8</v>
      </c>
      <c r="I837" s="23" t="s">
        <v>902</v>
      </c>
      <c r="J837" t="s">
        <v>924</v>
      </c>
      <c r="K837">
        <v>96</v>
      </c>
      <c r="L837">
        <v>137</v>
      </c>
      <c r="M837" s="24">
        <v>79</v>
      </c>
      <c r="N837" s="24">
        <v>105</v>
      </c>
      <c r="O837" s="24">
        <v>66</v>
      </c>
      <c r="P837" s="24">
        <v>99</v>
      </c>
      <c r="Q837">
        <v>72</v>
      </c>
      <c r="R837">
        <v>113</v>
      </c>
      <c r="S837">
        <v>108</v>
      </c>
      <c r="T837">
        <v>157</v>
      </c>
      <c r="U837">
        <v>108</v>
      </c>
      <c r="V837">
        <v>157</v>
      </c>
    </row>
    <row r="838" spans="2:22" x14ac:dyDescent="0.35">
      <c r="B838" s="23" t="s">
        <v>925</v>
      </c>
      <c r="D838" t="s">
        <v>780</v>
      </c>
      <c r="E838" t="s">
        <v>781</v>
      </c>
      <c r="F838" s="46" t="s">
        <v>925</v>
      </c>
      <c r="G838" t="s">
        <v>283</v>
      </c>
      <c r="H838" s="23">
        <v>9</v>
      </c>
      <c r="I838" s="23" t="s">
        <v>926</v>
      </c>
      <c r="J838" t="s">
        <v>927</v>
      </c>
      <c r="K838">
        <v>938</v>
      </c>
      <c r="L838">
        <v>1622</v>
      </c>
      <c r="M838" s="24">
        <v>801</v>
      </c>
      <c r="N838" s="24">
        <v>1645</v>
      </c>
      <c r="O838" s="24">
        <v>889</v>
      </c>
      <c r="P838" s="24">
        <v>1512</v>
      </c>
      <c r="Q838">
        <v>906</v>
      </c>
      <c r="R838">
        <v>1484</v>
      </c>
      <c r="S838">
        <v>1114</v>
      </c>
      <c r="T838">
        <v>1845</v>
      </c>
      <c r="U838">
        <v>1114</v>
      </c>
      <c r="V838">
        <v>1845</v>
      </c>
    </row>
    <row r="839" spans="2:22" x14ac:dyDescent="0.35">
      <c r="B839" s="23" t="s">
        <v>928</v>
      </c>
      <c r="D839" t="s">
        <v>780</v>
      </c>
      <c r="E839" t="s">
        <v>781</v>
      </c>
      <c r="F839" s="46" t="s">
        <v>928</v>
      </c>
      <c r="G839" t="s">
        <v>283</v>
      </c>
      <c r="H839" s="23">
        <v>9</v>
      </c>
      <c r="I839" s="23" t="s">
        <v>926</v>
      </c>
      <c r="J839" t="s">
        <v>929</v>
      </c>
      <c r="K839">
        <v>795</v>
      </c>
      <c r="L839">
        <v>1159</v>
      </c>
      <c r="M839" s="24">
        <v>666</v>
      </c>
      <c r="N839" s="24">
        <v>1065</v>
      </c>
      <c r="O839" s="24">
        <v>582</v>
      </c>
      <c r="P839" s="24">
        <v>963</v>
      </c>
      <c r="Q839">
        <v>672</v>
      </c>
      <c r="R839">
        <v>1188</v>
      </c>
      <c r="S839">
        <v>1025</v>
      </c>
      <c r="T839">
        <v>1652</v>
      </c>
      <c r="U839">
        <v>1025</v>
      </c>
      <c r="V839">
        <v>1652</v>
      </c>
    </row>
    <row r="840" spans="2:22" x14ac:dyDescent="0.35">
      <c r="B840" s="23" t="s">
        <v>930</v>
      </c>
      <c r="D840" t="s">
        <v>780</v>
      </c>
      <c r="E840" t="s">
        <v>781</v>
      </c>
      <c r="F840" s="46" t="s">
        <v>930</v>
      </c>
      <c r="G840" t="s">
        <v>283</v>
      </c>
      <c r="H840" s="23">
        <v>9</v>
      </c>
      <c r="I840" s="23" t="s">
        <v>926</v>
      </c>
      <c r="J840" t="s">
        <v>931</v>
      </c>
      <c r="K840">
        <v>2301</v>
      </c>
      <c r="L840">
        <v>3455</v>
      </c>
      <c r="M840" s="24">
        <v>2090</v>
      </c>
      <c r="N840" s="24">
        <v>3311</v>
      </c>
      <c r="O840" s="24">
        <v>1739</v>
      </c>
      <c r="P840" s="24">
        <v>2930</v>
      </c>
      <c r="Q840">
        <v>2241</v>
      </c>
      <c r="R840">
        <v>3954</v>
      </c>
      <c r="S840">
        <v>3340</v>
      </c>
      <c r="T840">
        <v>5033</v>
      </c>
      <c r="U840">
        <v>3340</v>
      </c>
      <c r="V840">
        <v>5033</v>
      </c>
    </row>
    <row r="841" spans="2:22" x14ac:dyDescent="0.35">
      <c r="B841" s="23" t="s">
        <v>932</v>
      </c>
      <c r="D841" t="s">
        <v>780</v>
      </c>
      <c r="E841" t="s">
        <v>781</v>
      </c>
      <c r="F841" s="46" t="s">
        <v>932</v>
      </c>
      <c r="G841" t="s">
        <v>289</v>
      </c>
      <c r="H841" s="23">
        <v>10</v>
      </c>
      <c r="I841" s="23" t="s">
        <v>933</v>
      </c>
      <c r="J841" t="s">
        <v>934</v>
      </c>
      <c r="K841">
        <v>564</v>
      </c>
      <c r="L841">
        <v>835</v>
      </c>
      <c r="M841" s="24">
        <v>425</v>
      </c>
      <c r="N841" s="24">
        <v>848</v>
      </c>
      <c r="O841" s="24">
        <v>390</v>
      </c>
      <c r="P841" s="24">
        <v>738</v>
      </c>
      <c r="Q841">
        <v>423</v>
      </c>
      <c r="R841">
        <v>730</v>
      </c>
      <c r="S841">
        <v>577</v>
      </c>
      <c r="T841">
        <v>1035</v>
      </c>
      <c r="U841">
        <v>577</v>
      </c>
      <c r="V841">
        <v>1035</v>
      </c>
    </row>
    <row r="842" spans="2:22" x14ac:dyDescent="0.35">
      <c r="B842" s="23" t="s">
        <v>935</v>
      </c>
      <c r="D842" t="s">
        <v>780</v>
      </c>
      <c r="E842" t="s">
        <v>781</v>
      </c>
      <c r="F842" s="46" t="s">
        <v>935</v>
      </c>
      <c r="G842" t="s">
        <v>289</v>
      </c>
      <c r="H842" s="23">
        <v>10</v>
      </c>
      <c r="I842" s="23" t="s">
        <v>933</v>
      </c>
      <c r="J842" t="s">
        <v>936</v>
      </c>
      <c r="K842">
        <v>754</v>
      </c>
      <c r="L842">
        <v>1305</v>
      </c>
      <c r="M842" s="24">
        <v>590</v>
      </c>
      <c r="N842" s="24">
        <v>1268</v>
      </c>
      <c r="O842" s="24">
        <v>566</v>
      </c>
      <c r="P842" s="24">
        <v>1142</v>
      </c>
      <c r="Q842">
        <v>600</v>
      </c>
      <c r="R842">
        <v>1200</v>
      </c>
      <c r="S842">
        <v>937</v>
      </c>
      <c r="T842">
        <v>1724</v>
      </c>
      <c r="U842">
        <v>937</v>
      </c>
      <c r="V842">
        <v>1724</v>
      </c>
    </row>
    <row r="843" spans="2:22" x14ac:dyDescent="0.35">
      <c r="B843" s="23" t="s">
        <v>937</v>
      </c>
      <c r="D843" t="s">
        <v>780</v>
      </c>
      <c r="E843" t="s">
        <v>781</v>
      </c>
      <c r="F843" s="46" t="s">
        <v>937</v>
      </c>
      <c r="G843" t="s">
        <v>289</v>
      </c>
      <c r="H843" s="23">
        <v>10</v>
      </c>
      <c r="I843" s="23" t="s">
        <v>933</v>
      </c>
      <c r="J843" t="s">
        <v>355</v>
      </c>
      <c r="K843">
        <v>572</v>
      </c>
      <c r="L843">
        <v>860</v>
      </c>
      <c r="M843" s="24">
        <v>550</v>
      </c>
      <c r="N843" s="24">
        <v>922</v>
      </c>
      <c r="O843" s="24">
        <v>475</v>
      </c>
      <c r="P843" s="24">
        <v>813</v>
      </c>
      <c r="Q843">
        <v>525</v>
      </c>
      <c r="R843">
        <v>865</v>
      </c>
      <c r="S843">
        <v>688</v>
      </c>
      <c r="T843">
        <v>1095</v>
      </c>
      <c r="U843">
        <v>688</v>
      </c>
      <c r="V843">
        <v>1095</v>
      </c>
    </row>
    <row r="844" spans="2:22" x14ac:dyDescent="0.35">
      <c r="B844" s="23" t="s">
        <v>938</v>
      </c>
      <c r="D844" t="s">
        <v>780</v>
      </c>
      <c r="E844" t="s">
        <v>781</v>
      </c>
      <c r="F844" s="46" t="s">
        <v>938</v>
      </c>
      <c r="G844" t="s">
        <v>289</v>
      </c>
      <c r="H844" s="23">
        <v>10</v>
      </c>
      <c r="I844" s="23" t="s">
        <v>933</v>
      </c>
      <c r="J844" t="s">
        <v>939</v>
      </c>
      <c r="K844">
        <v>1236</v>
      </c>
      <c r="L844">
        <v>2003</v>
      </c>
      <c r="M844" s="24">
        <v>1019</v>
      </c>
      <c r="N844" s="24">
        <v>2024</v>
      </c>
      <c r="O844" s="24">
        <v>903</v>
      </c>
      <c r="P844" s="24">
        <v>1788</v>
      </c>
      <c r="Q844">
        <v>966</v>
      </c>
      <c r="R844">
        <v>1801</v>
      </c>
      <c r="S844">
        <v>1337</v>
      </c>
      <c r="T844">
        <v>2333</v>
      </c>
      <c r="U844">
        <v>1337</v>
      </c>
      <c r="V844">
        <v>2333</v>
      </c>
    </row>
    <row r="845" spans="2:22" x14ac:dyDescent="0.35">
      <c r="B845" s="23" t="s">
        <v>940</v>
      </c>
      <c r="D845" t="s">
        <v>780</v>
      </c>
      <c r="E845" t="s">
        <v>781</v>
      </c>
      <c r="F845" s="46" t="s">
        <v>940</v>
      </c>
      <c r="G845" t="s">
        <v>289</v>
      </c>
      <c r="H845" s="23">
        <v>10</v>
      </c>
      <c r="I845" s="23" t="s">
        <v>933</v>
      </c>
      <c r="J845" t="s">
        <v>941</v>
      </c>
      <c r="K845">
        <v>5586</v>
      </c>
      <c r="L845">
        <v>8952</v>
      </c>
      <c r="M845" s="24">
        <v>4864</v>
      </c>
      <c r="N845" s="24">
        <v>8929</v>
      </c>
      <c r="O845" s="24">
        <v>4403</v>
      </c>
      <c r="P845" s="24">
        <v>8174</v>
      </c>
      <c r="Q845">
        <v>5004</v>
      </c>
      <c r="R845">
        <v>8599</v>
      </c>
      <c r="S845">
        <v>7080</v>
      </c>
      <c r="T845">
        <v>11819</v>
      </c>
      <c r="U845">
        <v>7080</v>
      </c>
      <c r="V845">
        <v>11819</v>
      </c>
    </row>
    <row r="846" spans="2:22" x14ac:dyDescent="0.35">
      <c r="B846" s="23" t="s">
        <v>942</v>
      </c>
      <c r="D846" t="s">
        <v>780</v>
      </c>
      <c r="E846" t="s">
        <v>781</v>
      </c>
      <c r="F846" s="46" t="s">
        <v>942</v>
      </c>
      <c r="G846" t="s">
        <v>289</v>
      </c>
      <c r="H846" s="23">
        <v>10</v>
      </c>
      <c r="I846" s="23" t="s">
        <v>933</v>
      </c>
      <c r="J846" t="s">
        <v>943</v>
      </c>
      <c r="K846">
        <v>686</v>
      </c>
      <c r="L846">
        <v>1058</v>
      </c>
      <c r="M846" s="24">
        <v>582</v>
      </c>
      <c r="N846" s="24">
        <v>1066</v>
      </c>
      <c r="O846" s="24">
        <v>479</v>
      </c>
      <c r="P846" s="24">
        <v>905</v>
      </c>
      <c r="Q846">
        <v>466</v>
      </c>
      <c r="R846">
        <v>849</v>
      </c>
      <c r="S846">
        <v>672</v>
      </c>
      <c r="T846">
        <v>1179</v>
      </c>
      <c r="U846">
        <v>672</v>
      </c>
      <c r="V846">
        <v>1179</v>
      </c>
    </row>
    <row r="847" spans="2:22" x14ac:dyDescent="0.35">
      <c r="B847" s="23" t="s">
        <v>944</v>
      </c>
      <c r="D847" t="s">
        <v>780</v>
      </c>
      <c r="E847" t="s">
        <v>781</v>
      </c>
      <c r="F847" s="46" t="s">
        <v>944</v>
      </c>
      <c r="G847" t="s">
        <v>289</v>
      </c>
      <c r="H847" s="23">
        <v>10</v>
      </c>
      <c r="I847" s="23" t="s">
        <v>933</v>
      </c>
      <c r="J847" t="s">
        <v>945</v>
      </c>
      <c r="K847">
        <v>863</v>
      </c>
      <c r="L847">
        <v>1448</v>
      </c>
      <c r="M847" s="24">
        <v>686</v>
      </c>
      <c r="N847" s="24">
        <v>1395</v>
      </c>
      <c r="O847" s="24">
        <v>614</v>
      </c>
      <c r="P847" s="24">
        <v>1225</v>
      </c>
      <c r="Q847">
        <v>663</v>
      </c>
      <c r="R847">
        <v>1285</v>
      </c>
      <c r="S847">
        <v>914</v>
      </c>
      <c r="T847">
        <v>1721</v>
      </c>
      <c r="U847">
        <v>914</v>
      </c>
      <c r="V847">
        <v>1721</v>
      </c>
    </row>
    <row r="848" spans="2:22" x14ac:dyDescent="0.35">
      <c r="B848" s="23" t="s">
        <v>946</v>
      </c>
      <c r="D848" t="s">
        <v>780</v>
      </c>
      <c r="E848" t="s">
        <v>781</v>
      </c>
      <c r="F848" s="46" t="s">
        <v>946</v>
      </c>
      <c r="G848" t="s">
        <v>289</v>
      </c>
      <c r="H848" s="23">
        <v>10</v>
      </c>
      <c r="I848" s="23" t="s">
        <v>933</v>
      </c>
      <c r="J848" t="s">
        <v>947</v>
      </c>
      <c r="K848">
        <v>678</v>
      </c>
      <c r="L848">
        <v>1130</v>
      </c>
      <c r="M848" s="24">
        <v>591</v>
      </c>
      <c r="N848" s="24">
        <v>1139</v>
      </c>
      <c r="O848" s="24">
        <v>535</v>
      </c>
      <c r="P848" s="24">
        <v>996</v>
      </c>
      <c r="Q848">
        <v>575</v>
      </c>
      <c r="R848">
        <v>1021</v>
      </c>
      <c r="S848">
        <v>714</v>
      </c>
      <c r="T848">
        <v>1231</v>
      </c>
      <c r="U848">
        <v>714</v>
      </c>
      <c r="V848">
        <v>1231</v>
      </c>
    </row>
    <row r="849" spans="2:22" x14ac:dyDescent="0.35">
      <c r="B849" s="23" t="s">
        <v>948</v>
      </c>
      <c r="D849" t="s">
        <v>780</v>
      </c>
      <c r="E849" t="s">
        <v>781</v>
      </c>
      <c r="F849" s="46" t="s">
        <v>948</v>
      </c>
      <c r="G849" t="s">
        <v>289</v>
      </c>
      <c r="H849" s="23">
        <v>10</v>
      </c>
      <c r="I849" s="23" t="s">
        <v>933</v>
      </c>
      <c r="J849" t="s">
        <v>949</v>
      </c>
      <c r="K849">
        <v>470</v>
      </c>
      <c r="L849">
        <v>779</v>
      </c>
      <c r="M849" s="24">
        <v>383</v>
      </c>
      <c r="N849" s="24">
        <v>786</v>
      </c>
      <c r="O849" s="24">
        <v>404</v>
      </c>
      <c r="P849" s="24">
        <v>751</v>
      </c>
      <c r="Q849">
        <v>443</v>
      </c>
      <c r="R849">
        <v>754</v>
      </c>
      <c r="S849">
        <v>664</v>
      </c>
      <c r="T849">
        <v>1068</v>
      </c>
      <c r="U849">
        <v>664</v>
      </c>
      <c r="V849">
        <v>1068</v>
      </c>
    </row>
    <row r="850" spans="2:22" x14ac:dyDescent="0.35">
      <c r="B850" s="23" t="s">
        <v>950</v>
      </c>
      <c r="D850" t="s">
        <v>780</v>
      </c>
      <c r="E850" t="s">
        <v>781</v>
      </c>
      <c r="F850" s="46" t="s">
        <v>950</v>
      </c>
      <c r="G850" t="s">
        <v>289</v>
      </c>
      <c r="H850" s="23">
        <v>10</v>
      </c>
      <c r="I850" s="23" t="s">
        <v>933</v>
      </c>
      <c r="J850" t="s">
        <v>951</v>
      </c>
      <c r="K850">
        <v>404</v>
      </c>
      <c r="L850">
        <v>677</v>
      </c>
      <c r="M850" s="24">
        <v>344</v>
      </c>
      <c r="N850" s="24">
        <v>686</v>
      </c>
      <c r="O850" s="24">
        <v>348</v>
      </c>
      <c r="P850" s="24">
        <v>645</v>
      </c>
      <c r="Q850">
        <v>373</v>
      </c>
      <c r="R850">
        <v>643</v>
      </c>
      <c r="S850">
        <v>499</v>
      </c>
      <c r="T850">
        <v>824</v>
      </c>
      <c r="U850">
        <v>499</v>
      </c>
      <c r="V850">
        <v>824</v>
      </c>
    </row>
    <row r="851" spans="2:22" x14ac:dyDescent="0.35">
      <c r="B851" s="23" t="s">
        <v>952</v>
      </c>
      <c r="D851" t="s">
        <v>780</v>
      </c>
      <c r="E851" t="s">
        <v>781</v>
      </c>
      <c r="F851" s="46" t="s">
        <v>952</v>
      </c>
      <c r="G851" t="s">
        <v>289</v>
      </c>
      <c r="H851" s="23">
        <v>10</v>
      </c>
      <c r="I851" s="23" t="s">
        <v>933</v>
      </c>
      <c r="J851" t="s">
        <v>518</v>
      </c>
      <c r="K851">
        <v>739</v>
      </c>
      <c r="L851">
        <v>1338</v>
      </c>
      <c r="M851" s="24">
        <v>655</v>
      </c>
      <c r="N851" s="24">
        <v>1367</v>
      </c>
      <c r="O851" s="24">
        <v>565</v>
      </c>
      <c r="P851" s="24">
        <v>1225</v>
      </c>
      <c r="Q851">
        <v>643</v>
      </c>
      <c r="R851">
        <v>1213</v>
      </c>
      <c r="S851">
        <v>934</v>
      </c>
      <c r="T851">
        <v>1546</v>
      </c>
      <c r="U851">
        <v>934</v>
      </c>
      <c r="V851">
        <v>1546</v>
      </c>
    </row>
    <row r="852" spans="2:22" x14ac:dyDescent="0.35">
      <c r="B852" s="23" t="s">
        <v>953</v>
      </c>
      <c r="D852" t="s">
        <v>780</v>
      </c>
      <c r="E852" t="s">
        <v>781</v>
      </c>
      <c r="F852" s="46" t="s">
        <v>953</v>
      </c>
      <c r="G852" t="s">
        <v>289</v>
      </c>
      <c r="H852" s="23">
        <v>10</v>
      </c>
      <c r="I852" s="23" t="s">
        <v>933</v>
      </c>
      <c r="J852" t="s">
        <v>417</v>
      </c>
      <c r="K852">
        <v>1244</v>
      </c>
      <c r="L852">
        <v>2101</v>
      </c>
      <c r="M852" s="24">
        <v>1199</v>
      </c>
      <c r="N852" s="24">
        <v>2129</v>
      </c>
      <c r="O852" s="24">
        <v>1089</v>
      </c>
      <c r="P852" s="24">
        <v>1985</v>
      </c>
      <c r="Q852">
        <v>1075</v>
      </c>
      <c r="R852">
        <v>1852</v>
      </c>
      <c r="S852">
        <v>1278</v>
      </c>
      <c r="T852">
        <v>2356</v>
      </c>
      <c r="U852">
        <v>1278</v>
      </c>
      <c r="V852">
        <v>2356</v>
      </c>
    </row>
    <row r="853" spans="2:22" x14ac:dyDescent="0.35">
      <c r="B853" s="23" t="s">
        <v>954</v>
      </c>
      <c r="D853" t="s">
        <v>780</v>
      </c>
      <c r="E853" t="s">
        <v>781</v>
      </c>
      <c r="F853" s="46" t="s">
        <v>954</v>
      </c>
      <c r="G853" t="s">
        <v>293</v>
      </c>
      <c r="H853" s="23">
        <v>11</v>
      </c>
      <c r="I853" s="23" t="s">
        <v>955</v>
      </c>
      <c r="J853" t="s">
        <v>956</v>
      </c>
      <c r="K853">
        <v>117</v>
      </c>
      <c r="L853">
        <v>142</v>
      </c>
      <c r="M853" s="24">
        <v>96</v>
      </c>
      <c r="N853" s="24">
        <v>119</v>
      </c>
      <c r="O853" s="24">
        <v>108</v>
      </c>
      <c r="P853" s="24">
        <v>132</v>
      </c>
      <c r="Q853">
        <v>134</v>
      </c>
      <c r="R853">
        <v>194</v>
      </c>
      <c r="S853">
        <v>300</v>
      </c>
      <c r="T853">
        <v>380</v>
      </c>
      <c r="U853">
        <v>300</v>
      </c>
      <c r="V853">
        <v>380</v>
      </c>
    </row>
    <row r="854" spans="2:22" x14ac:dyDescent="0.35">
      <c r="B854" s="23" t="s">
        <v>957</v>
      </c>
      <c r="D854" t="s">
        <v>780</v>
      </c>
      <c r="E854" t="s">
        <v>781</v>
      </c>
      <c r="F854" s="46" t="s">
        <v>957</v>
      </c>
      <c r="G854" t="s">
        <v>293</v>
      </c>
      <c r="H854" s="23">
        <v>11</v>
      </c>
      <c r="I854" s="23" t="s">
        <v>955</v>
      </c>
      <c r="J854" t="s">
        <v>333</v>
      </c>
      <c r="K854">
        <v>753</v>
      </c>
      <c r="L854">
        <v>933</v>
      </c>
      <c r="M854" s="24">
        <v>832</v>
      </c>
      <c r="N854" s="24">
        <v>1021</v>
      </c>
      <c r="O854" s="24">
        <v>1079</v>
      </c>
      <c r="P854" s="24">
        <v>1277</v>
      </c>
      <c r="Q854">
        <v>1301</v>
      </c>
      <c r="R854">
        <v>1693</v>
      </c>
      <c r="S854">
        <v>2195</v>
      </c>
      <c r="T854">
        <v>2733</v>
      </c>
      <c r="U854">
        <v>2195</v>
      </c>
      <c r="V854">
        <v>2733</v>
      </c>
    </row>
    <row r="855" spans="2:22" x14ac:dyDescent="0.35">
      <c r="B855" s="23" t="s">
        <v>958</v>
      </c>
      <c r="D855" t="s">
        <v>780</v>
      </c>
      <c r="E855" t="s">
        <v>781</v>
      </c>
      <c r="F855" s="46" t="s">
        <v>958</v>
      </c>
      <c r="G855" t="s">
        <v>293</v>
      </c>
      <c r="H855" s="23">
        <v>11</v>
      </c>
      <c r="I855" s="23" t="s">
        <v>955</v>
      </c>
      <c r="J855" t="s">
        <v>959</v>
      </c>
      <c r="K855">
        <v>316</v>
      </c>
      <c r="L855">
        <v>399</v>
      </c>
      <c r="M855" s="24">
        <v>362</v>
      </c>
      <c r="N855" s="24">
        <v>451</v>
      </c>
      <c r="O855" s="24">
        <v>366</v>
      </c>
      <c r="P855" s="24">
        <v>435</v>
      </c>
      <c r="Q855">
        <v>371</v>
      </c>
      <c r="R855">
        <v>519</v>
      </c>
      <c r="S855">
        <v>652</v>
      </c>
      <c r="T855">
        <v>873</v>
      </c>
      <c r="U855">
        <v>652</v>
      </c>
      <c r="V855">
        <v>873</v>
      </c>
    </row>
    <row r="856" spans="2:22" x14ac:dyDescent="0.35">
      <c r="B856" s="23" t="s">
        <v>960</v>
      </c>
      <c r="D856" t="s">
        <v>780</v>
      </c>
      <c r="E856" t="s">
        <v>781</v>
      </c>
      <c r="F856" s="46" t="s">
        <v>960</v>
      </c>
      <c r="G856" t="s">
        <v>293</v>
      </c>
      <c r="H856" s="23">
        <v>11</v>
      </c>
      <c r="I856" s="23" t="s">
        <v>955</v>
      </c>
      <c r="J856" t="s">
        <v>535</v>
      </c>
      <c r="K856">
        <v>244</v>
      </c>
      <c r="L856">
        <v>294</v>
      </c>
      <c r="M856" s="24">
        <v>211</v>
      </c>
      <c r="N856" s="24">
        <v>278</v>
      </c>
      <c r="O856" s="24">
        <v>234</v>
      </c>
      <c r="P856" s="24">
        <v>278</v>
      </c>
      <c r="Q856">
        <v>283</v>
      </c>
      <c r="R856">
        <v>327</v>
      </c>
      <c r="S856">
        <v>356</v>
      </c>
      <c r="T856">
        <v>452</v>
      </c>
      <c r="U856">
        <v>356</v>
      </c>
      <c r="V856">
        <v>452</v>
      </c>
    </row>
    <row r="857" spans="2:22" x14ac:dyDescent="0.35">
      <c r="B857" s="23" t="s">
        <v>961</v>
      </c>
      <c r="D857" t="s">
        <v>780</v>
      </c>
      <c r="E857" t="s">
        <v>781</v>
      </c>
      <c r="F857" s="46" t="s">
        <v>961</v>
      </c>
      <c r="G857" t="s">
        <v>293</v>
      </c>
      <c r="H857" s="23">
        <v>11</v>
      </c>
      <c r="I857" s="23" t="s">
        <v>955</v>
      </c>
      <c r="J857" t="s">
        <v>962</v>
      </c>
      <c r="K857">
        <v>1536</v>
      </c>
      <c r="L857">
        <v>1798</v>
      </c>
      <c r="M857" s="24">
        <v>1432</v>
      </c>
      <c r="N857" s="24">
        <v>1728</v>
      </c>
      <c r="O857" s="24">
        <v>1553</v>
      </c>
      <c r="P857" s="24">
        <v>1961</v>
      </c>
      <c r="Q857">
        <v>1648</v>
      </c>
      <c r="R857">
        <v>2223</v>
      </c>
      <c r="S857">
        <v>2404</v>
      </c>
      <c r="T857">
        <v>3235</v>
      </c>
      <c r="U857">
        <v>2404</v>
      </c>
      <c r="V857">
        <v>3235</v>
      </c>
    </row>
    <row r="858" spans="2:22" x14ac:dyDescent="0.35">
      <c r="B858" s="23" t="s">
        <v>963</v>
      </c>
      <c r="D858" t="s">
        <v>780</v>
      </c>
      <c r="E858" t="s">
        <v>781</v>
      </c>
      <c r="F858" s="46" t="s">
        <v>963</v>
      </c>
      <c r="G858" t="s">
        <v>293</v>
      </c>
      <c r="H858" s="23">
        <v>11</v>
      </c>
      <c r="I858" s="23" t="s">
        <v>955</v>
      </c>
      <c r="J858" t="s">
        <v>301</v>
      </c>
      <c r="K858">
        <v>193</v>
      </c>
      <c r="L858">
        <v>231</v>
      </c>
      <c r="M858" s="24">
        <v>185</v>
      </c>
      <c r="N858" s="24">
        <v>226</v>
      </c>
      <c r="O858" s="24">
        <v>201</v>
      </c>
      <c r="P858" s="24">
        <v>258</v>
      </c>
      <c r="Q858">
        <v>191</v>
      </c>
      <c r="R858">
        <v>261</v>
      </c>
      <c r="S858">
        <v>296</v>
      </c>
      <c r="T858">
        <v>412</v>
      </c>
      <c r="U858">
        <v>296</v>
      </c>
      <c r="V858">
        <v>412</v>
      </c>
    </row>
    <row r="859" spans="2:22" x14ac:dyDescent="0.35">
      <c r="B859" s="23" t="s">
        <v>964</v>
      </c>
      <c r="D859" t="s">
        <v>780</v>
      </c>
      <c r="E859" t="s">
        <v>781</v>
      </c>
      <c r="F859" s="46" t="s">
        <v>964</v>
      </c>
      <c r="G859" t="s">
        <v>293</v>
      </c>
      <c r="H859" s="23">
        <v>11</v>
      </c>
      <c r="I859" s="23" t="s">
        <v>955</v>
      </c>
      <c r="J859" t="s">
        <v>965</v>
      </c>
      <c r="K859">
        <v>237</v>
      </c>
      <c r="L859">
        <v>273</v>
      </c>
      <c r="M859" s="24">
        <v>232</v>
      </c>
      <c r="N859" s="24">
        <v>267</v>
      </c>
      <c r="O859" s="24">
        <v>282</v>
      </c>
      <c r="P859" s="24">
        <v>321</v>
      </c>
      <c r="Q859">
        <v>286</v>
      </c>
      <c r="R859">
        <v>383</v>
      </c>
      <c r="S859">
        <v>434</v>
      </c>
      <c r="T859">
        <v>539</v>
      </c>
      <c r="U859">
        <v>434</v>
      </c>
      <c r="V859">
        <v>539</v>
      </c>
    </row>
    <row r="860" spans="2:22" x14ac:dyDescent="0.35">
      <c r="B860" s="23" t="s">
        <v>966</v>
      </c>
      <c r="D860" t="s">
        <v>780</v>
      </c>
      <c r="E860" t="s">
        <v>781</v>
      </c>
      <c r="F860" s="46" t="s">
        <v>966</v>
      </c>
      <c r="G860" t="s">
        <v>293</v>
      </c>
      <c r="H860" s="23">
        <v>11</v>
      </c>
      <c r="I860" s="23" t="s">
        <v>955</v>
      </c>
      <c r="J860" t="s">
        <v>967</v>
      </c>
      <c r="K860">
        <v>585</v>
      </c>
      <c r="L860">
        <v>678</v>
      </c>
      <c r="M860" s="24">
        <v>552</v>
      </c>
      <c r="N860" s="24">
        <v>651</v>
      </c>
      <c r="O860" s="24">
        <v>554</v>
      </c>
      <c r="P860" s="24">
        <v>675</v>
      </c>
      <c r="Q860">
        <v>606</v>
      </c>
      <c r="R860">
        <v>800</v>
      </c>
      <c r="S860">
        <v>864</v>
      </c>
      <c r="T860">
        <v>1198</v>
      </c>
      <c r="U860">
        <v>864</v>
      </c>
      <c r="V860">
        <v>1198</v>
      </c>
    </row>
    <row r="861" spans="2:22" x14ac:dyDescent="0.35">
      <c r="B861" s="23" t="s">
        <v>968</v>
      </c>
      <c r="D861" t="s">
        <v>780</v>
      </c>
      <c r="E861" t="s">
        <v>781</v>
      </c>
      <c r="F861" s="46" t="s">
        <v>968</v>
      </c>
      <c r="G861" t="s">
        <v>293</v>
      </c>
      <c r="H861" s="23">
        <v>11</v>
      </c>
      <c r="I861" s="23" t="s">
        <v>955</v>
      </c>
      <c r="J861" t="s">
        <v>969</v>
      </c>
      <c r="K861">
        <v>178</v>
      </c>
      <c r="L861">
        <v>196</v>
      </c>
      <c r="M861" s="24">
        <v>200</v>
      </c>
      <c r="N861" s="24">
        <v>224</v>
      </c>
      <c r="O861" s="24">
        <v>171</v>
      </c>
      <c r="P861" s="24">
        <v>211</v>
      </c>
      <c r="Q861">
        <v>178</v>
      </c>
      <c r="R861">
        <v>217</v>
      </c>
      <c r="S861">
        <v>265</v>
      </c>
      <c r="T861">
        <v>332</v>
      </c>
      <c r="U861">
        <v>265</v>
      </c>
      <c r="V861">
        <v>332</v>
      </c>
    </row>
    <row r="862" spans="2:22" x14ac:dyDescent="0.35">
      <c r="B862" s="23" t="s">
        <v>970</v>
      </c>
      <c r="D862" t="s">
        <v>780</v>
      </c>
      <c r="E862" t="s">
        <v>781</v>
      </c>
      <c r="F862" s="46" t="s">
        <v>970</v>
      </c>
      <c r="G862" t="s">
        <v>293</v>
      </c>
      <c r="H862" s="23">
        <v>11</v>
      </c>
      <c r="I862" s="23" t="s">
        <v>955</v>
      </c>
      <c r="J862" t="s">
        <v>971</v>
      </c>
      <c r="K862">
        <v>92</v>
      </c>
      <c r="L862">
        <v>113</v>
      </c>
      <c r="M862" s="24">
        <v>101</v>
      </c>
      <c r="N862" s="24">
        <v>119</v>
      </c>
      <c r="O862" s="24">
        <v>107</v>
      </c>
      <c r="P862" s="24">
        <v>126</v>
      </c>
      <c r="Q862">
        <v>108</v>
      </c>
      <c r="R862">
        <v>150</v>
      </c>
      <c r="S862">
        <v>339</v>
      </c>
      <c r="T862">
        <v>394</v>
      </c>
      <c r="U862">
        <v>339</v>
      </c>
      <c r="V862">
        <v>394</v>
      </c>
    </row>
    <row r="863" spans="2:22" x14ac:dyDescent="0.35">
      <c r="B863" s="23" t="s">
        <v>972</v>
      </c>
      <c r="D863" t="s">
        <v>780</v>
      </c>
      <c r="E863" t="s">
        <v>781</v>
      </c>
      <c r="F863" s="46" t="s">
        <v>972</v>
      </c>
      <c r="G863" t="s">
        <v>303</v>
      </c>
      <c r="H863" s="23">
        <v>12</v>
      </c>
      <c r="I863" s="23" t="s">
        <v>973</v>
      </c>
      <c r="J863" t="s">
        <v>241</v>
      </c>
      <c r="K863">
        <v>3649</v>
      </c>
      <c r="L863">
        <v>4394</v>
      </c>
      <c r="M863" s="24">
        <v>3739</v>
      </c>
      <c r="N863" s="24">
        <v>4374</v>
      </c>
      <c r="O863" s="24">
        <v>3347</v>
      </c>
      <c r="P863" s="24">
        <v>4369</v>
      </c>
      <c r="Q863">
        <v>3292</v>
      </c>
      <c r="R863">
        <v>4627</v>
      </c>
      <c r="S863">
        <v>5114</v>
      </c>
      <c r="T863">
        <v>7315</v>
      </c>
      <c r="U863">
        <v>5114</v>
      </c>
      <c r="V863">
        <v>7315</v>
      </c>
    </row>
    <row r="864" spans="2:22" x14ac:dyDescent="0.35">
      <c r="B864" s="23" t="s">
        <v>974</v>
      </c>
      <c r="D864" t="s">
        <v>780</v>
      </c>
      <c r="E864" t="s">
        <v>781</v>
      </c>
      <c r="F864" s="46" t="s">
        <v>974</v>
      </c>
      <c r="G864" t="s">
        <v>303</v>
      </c>
      <c r="H864" s="23">
        <v>12</v>
      </c>
      <c r="I864" s="23" t="s">
        <v>973</v>
      </c>
      <c r="J864" t="s">
        <v>975</v>
      </c>
      <c r="K864">
        <v>317</v>
      </c>
      <c r="L864">
        <v>378</v>
      </c>
      <c r="M864" s="24">
        <v>296</v>
      </c>
      <c r="N864" s="24">
        <v>334</v>
      </c>
      <c r="O864" s="24">
        <v>280</v>
      </c>
      <c r="P864" s="24">
        <v>325</v>
      </c>
      <c r="Q864">
        <v>309</v>
      </c>
      <c r="R864">
        <v>389</v>
      </c>
      <c r="S864">
        <v>438</v>
      </c>
      <c r="T864">
        <v>569</v>
      </c>
      <c r="U864">
        <v>438</v>
      </c>
      <c r="V864">
        <v>569</v>
      </c>
    </row>
    <row r="865" spans="2:22" x14ac:dyDescent="0.35">
      <c r="B865" s="23" t="s">
        <v>976</v>
      </c>
      <c r="D865" t="s">
        <v>780</v>
      </c>
      <c r="E865" t="s">
        <v>781</v>
      </c>
      <c r="F865" s="46" t="s">
        <v>976</v>
      </c>
      <c r="G865" t="s">
        <v>303</v>
      </c>
      <c r="H865" s="23">
        <v>12</v>
      </c>
      <c r="I865" s="23" t="s">
        <v>973</v>
      </c>
      <c r="J865" t="s">
        <v>526</v>
      </c>
      <c r="K865">
        <v>334</v>
      </c>
      <c r="L865">
        <v>402</v>
      </c>
      <c r="M865" s="24">
        <v>314</v>
      </c>
      <c r="N865" s="24">
        <v>367</v>
      </c>
      <c r="O865" s="24">
        <v>252</v>
      </c>
      <c r="P865" s="24">
        <v>341</v>
      </c>
      <c r="Q865">
        <v>233</v>
      </c>
      <c r="R865">
        <v>303</v>
      </c>
      <c r="S865">
        <v>401</v>
      </c>
      <c r="T865">
        <v>524</v>
      </c>
      <c r="U865">
        <v>401</v>
      </c>
      <c r="V865">
        <v>524</v>
      </c>
    </row>
    <row r="866" spans="2:22" x14ac:dyDescent="0.35">
      <c r="B866" s="23" t="s">
        <v>977</v>
      </c>
      <c r="D866" t="s">
        <v>780</v>
      </c>
      <c r="E866" t="s">
        <v>781</v>
      </c>
      <c r="F866" s="46" t="s">
        <v>977</v>
      </c>
      <c r="G866" t="s">
        <v>303</v>
      </c>
      <c r="H866" s="23">
        <v>12</v>
      </c>
      <c r="I866" s="23" t="s">
        <v>973</v>
      </c>
      <c r="J866" t="s">
        <v>978</v>
      </c>
      <c r="K866">
        <v>594</v>
      </c>
      <c r="L866">
        <v>652</v>
      </c>
      <c r="M866" s="24">
        <v>622</v>
      </c>
      <c r="N866" s="24">
        <v>697</v>
      </c>
      <c r="O866" s="24">
        <v>624</v>
      </c>
      <c r="P866" s="24">
        <v>728</v>
      </c>
      <c r="Q866">
        <v>733</v>
      </c>
      <c r="R866">
        <v>854</v>
      </c>
      <c r="S866">
        <v>981</v>
      </c>
      <c r="T866">
        <v>1204</v>
      </c>
      <c r="U866">
        <v>981</v>
      </c>
      <c r="V866">
        <v>1204</v>
      </c>
    </row>
    <row r="867" spans="2:22" x14ac:dyDescent="0.35">
      <c r="B867" s="23" t="s">
        <v>979</v>
      </c>
      <c r="D867" t="s">
        <v>780</v>
      </c>
      <c r="E867" t="s">
        <v>781</v>
      </c>
      <c r="F867" s="46" t="s">
        <v>979</v>
      </c>
      <c r="G867" t="s">
        <v>303</v>
      </c>
      <c r="H867" s="23">
        <v>12</v>
      </c>
      <c r="I867" s="23" t="s">
        <v>973</v>
      </c>
      <c r="J867" t="s">
        <v>980</v>
      </c>
      <c r="K867">
        <v>270</v>
      </c>
      <c r="L867">
        <v>321</v>
      </c>
      <c r="M867" s="24">
        <v>288</v>
      </c>
      <c r="N867" s="24">
        <v>325</v>
      </c>
      <c r="O867" s="24">
        <v>284</v>
      </c>
      <c r="P867" s="24">
        <v>337</v>
      </c>
      <c r="Q867">
        <v>239</v>
      </c>
      <c r="R867">
        <v>337</v>
      </c>
      <c r="S867">
        <v>377</v>
      </c>
      <c r="T867">
        <v>511</v>
      </c>
      <c r="U867">
        <v>377</v>
      </c>
      <c r="V867">
        <v>511</v>
      </c>
    </row>
    <row r="868" spans="2:22" x14ac:dyDescent="0.35">
      <c r="B868" s="23" t="s">
        <v>981</v>
      </c>
      <c r="D868" t="s">
        <v>780</v>
      </c>
      <c r="E868" t="s">
        <v>781</v>
      </c>
      <c r="F868" s="46" t="s">
        <v>981</v>
      </c>
      <c r="G868" t="s">
        <v>303</v>
      </c>
      <c r="H868" s="23">
        <v>12</v>
      </c>
      <c r="I868" s="23" t="s">
        <v>973</v>
      </c>
      <c r="J868" t="s">
        <v>271</v>
      </c>
      <c r="K868">
        <v>3344</v>
      </c>
      <c r="L868">
        <v>4042</v>
      </c>
      <c r="M868" s="24">
        <v>3395</v>
      </c>
      <c r="N868" s="24">
        <v>4039</v>
      </c>
      <c r="O868" s="24">
        <v>3098</v>
      </c>
      <c r="P868" s="24">
        <v>3910</v>
      </c>
      <c r="Q868">
        <v>3133</v>
      </c>
      <c r="R868">
        <v>4232</v>
      </c>
      <c r="S868">
        <v>4896</v>
      </c>
      <c r="T868">
        <v>6623</v>
      </c>
      <c r="U868">
        <v>4896</v>
      </c>
      <c r="V868">
        <v>6623</v>
      </c>
    </row>
    <row r="869" spans="2:22" x14ac:dyDescent="0.35">
      <c r="B869" s="23" t="s">
        <v>982</v>
      </c>
      <c r="D869" t="s">
        <v>780</v>
      </c>
      <c r="E869" t="s">
        <v>781</v>
      </c>
      <c r="F869" s="46" t="s">
        <v>982</v>
      </c>
      <c r="G869" t="s">
        <v>303</v>
      </c>
      <c r="H869" s="23">
        <v>12</v>
      </c>
      <c r="I869" s="23" t="s">
        <v>973</v>
      </c>
      <c r="J869" t="s">
        <v>983</v>
      </c>
      <c r="K869">
        <v>583</v>
      </c>
      <c r="L869">
        <v>711</v>
      </c>
      <c r="M869" s="24">
        <v>555</v>
      </c>
      <c r="N869" s="24">
        <v>664</v>
      </c>
      <c r="O869" s="24">
        <v>453</v>
      </c>
      <c r="P869" s="24">
        <v>604</v>
      </c>
      <c r="Q869">
        <v>450</v>
      </c>
      <c r="R869">
        <v>603</v>
      </c>
      <c r="S869">
        <v>740</v>
      </c>
      <c r="T869">
        <v>1009</v>
      </c>
      <c r="U869">
        <v>740</v>
      </c>
      <c r="V869">
        <v>1009</v>
      </c>
    </row>
    <row r="870" spans="2:22" x14ac:dyDescent="0.35">
      <c r="B870" s="23" t="s">
        <v>984</v>
      </c>
      <c r="D870" t="s">
        <v>780</v>
      </c>
      <c r="E870" t="s">
        <v>781</v>
      </c>
      <c r="F870" s="46" t="s">
        <v>984</v>
      </c>
      <c r="G870" t="s">
        <v>303</v>
      </c>
      <c r="H870" s="23">
        <v>12</v>
      </c>
      <c r="I870" s="23" t="s">
        <v>973</v>
      </c>
      <c r="J870" t="s">
        <v>369</v>
      </c>
      <c r="K870">
        <v>626</v>
      </c>
      <c r="L870">
        <v>769</v>
      </c>
      <c r="M870" s="24">
        <v>595</v>
      </c>
      <c r="N870" s="24">
        <v>740</v>
      </c>
      <c r="O870" s="24">
        <v>530</v>
      </c>
      <c r="P870" s="24">
        <v>744</v>
      </c>
      <c r="Q870">
        <v>538</v>
      </c>
      <c r="R870">
        <v>808</v>
      </c>
      <c r="S870">
        <v>833</v>
      </c>
      <c r="T870">
        <v>1163</v>
      </c>
      <c r="U870">
        <v>833</v>
      </c>
      <c r="V870">
        <v>1163</v>
      </c>
    </row>
    <row r="871" spans="2:22" x14ac:dyDescent="0.35">
      <c r="B871" s="23" t="s">
        <v>985</v>
      </c>
      <c r="D871" t="s">
        <v>780</v>
      </c>
      <c r="E871" t="s">
        <v>781</v>
      </c>
      <c r="F871" s="46" t="s">
        <v>985</v>
      </c>
      <c r="G871" t="s">
        <v>303</v>
      </c>
      <c r="H871" s="23">
        <v>12</v>
      </c>
      <c r="I871" s="23" t="s">
        <v>973</v>
      </c>
      <c r="J871" t="s">
        <v>986</v>
      </c>
      <c r="K871">
        <v>699</v>
      </c>
      <c r="L871">
        <v>824</v>
      </c>
      <c r="M871" s="24">
        <v>734</v>
      </c>
      <c r="N871" s="24">
        <v>866</v>
      </c>
      <c r="O871" s="24">
        <v>681</v>
      </c>
      <c r="P871" s="24">
        <v>886</v>
      </c>
      <c r="Q871">
        <v>676</v>
      </c>
      <c r="R871">
        <v>912</v>
      </c>
      <c r="S871">
        <v>1077</v>
      </c>
      <c r="T871">
        <v>1435</v>
      </c>
      <c r="U871">
        <v>1077</v>
      </c>
      <c r="V871">
        <v>1435</v>
      </c>
    </row>
    <row r="872" spans="2:22" x14ac:dyDescent="0.35">
      <c r="B872" s="23" t="s">
        <v>987</v>
      </c>
      <c r="D872" t="s">
        <v>780</v>
      </c>
      <c r="E872" t="s">
        <v>781</v>
      </c>
      <c r="F872" s="46" t="s">
        <v>987</v>
      </c>
      <c r="G872" t="s">
        <v>303</v>
      </c>
      <c r="H872" s="23">
        <v>12</v>
      </c>
      <c r="I872" s="23" t="s">
        <v>973</v>
      </c>
      <c r="J872" t="s">
        <v>398</v>
      </c>
      <c r="K872">
        <v>249</v>
      </c>
      <c r="L872">
        <v>290</v>
      </c>
      <c r="M872" s="24">
        <v>255</v>
      </c>
      <c r="N872" s="24">
        <v>301</v>
      </c>
      <c r="O872" s="24">
        <v>238</v>
      </c>
      <c r="P872" s="24">
        <v>296</v>
      </c>
      <c r="Q872">
        <v>218</v>
      </c>
      <c r="R872">
        <v>312</v>
      </c>
      <c r="S872">
        <v>317</v>
      </c>
      <c r="T872">
        <v>436</v>
      </c>
      <c r="U872">
        <v>317</v>
      </c>
      <c r="V872">
        <v>436</v>
      </c>
    </row>
    <row r="873" spans="2:22" x14ac:dyDescent="0.35">
      <c r="B873" s="23" t="s">
        <v>988</v>
      </c>
      <c r="D873" t="s">
        <v>780</v>
      </c>
      <c r="E873" t="s">
        <v>781</v>
      </c>
      <c r="F873" s="46" t="s">
        <v>988</v>
      </c>
      <c r="G873" t="s">
        <v>303</v>
      </c>
      <c r="H873" s="23">
        <v>12</v>
      </c>
      <c r="I873" s="23" t="s">
        <v>973</v>
      </c>
      <c r="J873" t="s">
        <v>729</v>
      </c>
      <c r="K873">
        <v>620</v>
      </c>
      <c r="L873">
        <v>754</v>
      </c>
      <c r="M873" s="24">
        <v>641</v>
      </c>
      <c r="N873" s="24">
        <v>783</v>
      </c>
      <c r="O873" s="24">
        <v>569</v>
      </c>
      <c r="P873" s="24">
        <v>723</v>
      </c>
      <c r="Q873">
        <v>511</v>
      </c>
      <c r="R873">
        <v>736</v>
      </c>
      <c r="S873">
        <v>679</v>
      </c>
      <c r="T873">
        <v>1020</v>
      </c>
      <c r="U873">
        <v>679</v>
      </c>
      <c r="V873">
        <v>1020</v>
      </c>
    </row>
    <row r="874" spans="2:22" x14ac:dyDescent="0.35">
      <c r="B874" s="23" t="s">
        <v>989</v>
      </c>
      <c r="D874" t="s">
        <v>780</v>
      </c>
      <c r="E874" t="s">
        <v>781</v>
      </c>
      <c r="F874" s="46" t="s">
        <v>989</v>
      </c>
      <c r="G874" t="s">
        <v>303</v>
      </c>
      <c r="H874" s="23">
        <v>12</v>
      </c>
      <c r="I874" s="23" t="s">
        <v>973</v>
      </c>
      <c r="J874" t="s">
        <v>990</v>
      </c>
      <c r="K874">
        <v>196</v>
      </c>
      <c r="L874">
        <v>234</v>
      </c>
      <c r="M874" s="24">
        <v>161</v>
      </c>
      <c r="N874" s="24">
        <v>192</v>
      </c>
      <c r="O874" s="24">
        <v>128</v>
      </c>
      <c r="P874" s="24">
        <v>171</v>
      </c>
      <c r="Q874">
        <v>130</v>
      </c>
      <c r="R874">
        <v>176</v>
      </c>
      <c r="S874">
        <v>227</v>
      </c>
      <c r="T874">
        <v>312</v>
      </c>
      <c r="U874">
        <v>227</v>
      </c>
      <c r="V874">
        <v>312</v>
      </c>
    </row>
    <row r="875" spans="2:22" x14ac:dyDescent="0.35">
      <c r="B875" s="23" t="s">
        <v>991</v>
      </c>
      <c r="D875" t="s">
        <v>780</v>
      </c>
      <c r="E875" t="s">
        <v>781</v>
      </c>
      <c r="F875" s="46" t="s">
        <v>991</v>
      </c>
      <c r="G875" t="s">
        <v>303</v>
      </c>
      <c r="H875" s="23">
        <v>12</v>
      </c>
      <c r="I875" s="23" t="s">
        <v>973</v>
      </c>
      <c r="J875" t="s">
        <v>387</v>
      </c>
      <c r="K875">
        <v>190</v>
      </c>
      <c r="L875">
        <v>229</v>
      </c>
      <c r="M875" s="24">
        <v>248</v>
      </c>
      <c r="N875" s="24">
        <v>279</v>
      </c>
      <c r="O875" s="24">
        <v>239</v>
      </c>
      <c r="P875" s="24">
        <v>281</v>
      </c>
      <c r="Q875">
        <v>222</v>
      </c>
      <c r="R875">
        <v>302</v>
      </c>
      <c r="S875">
        <v>313</v>
      </c>
      <c r="T875">
        <v>401</v>
      </c>
      <c r="U875">
        <v>313</v>
      </c>
      <c r="V875">
        <v>401</v>
      </c>
    </row>
    <row r="876" spans="2:22" x14ac:dyDescent="0.35">
      <c r="B876" s="23" t="s">
        <v>992</v>
      </c>
      <c r="D876" t="s">
        <v>780</v>
      </c>
      <c r="E876" t="s">
        <v>781</v>
      </c>
      <c r="F876" s="46" t="s">
        <v>992</v>
      </c>
      <c r="G876" t="s">
        <v>311</v>
      </c>
      <c r="H876" s="23">
        <v>13</v>
      </c>
      <c r="I876" s="23" t="s">
        <v>993</v>
      </c>
      <c r="J876" t="s">
        <v>994</v>
      </c>
      <c r="K876">
        <v>571</v>
      </c>
      <c r="L876">
        <v>790</v>
      </c>
      <c r="M876" s="24">
        <v>552</v>
      </c>
      <c r="N876" s="24">
        <v>836</v>
      </c>
      <c r="O876" s="24">
        <v>450</v>
      </c>
      <c r="P876" s="24">
        <v>728</v>
      </c>
      <c r="Q876">
        <v>537</v>
      </c>
      <c r="R876">
        <v>807</v>
      </c>
      <c r="S876">
        <v>825</v>
      </c>
      <c r="T876">
        <v>1183</v>
      </c>
      <c r="U876">
        <v>825</v>
      </c>
      <c r="V876">
        <v>1183</v>
      </c>
    </row>
    <row r="877" spans="2:22" x14ac:dyDescent="0.35">
      <c r="B877" s="23" t="s">
        <v>995</v>
      </c>
      <c r="D877" t="s">
        <v>780</v>
      </c>
      <c r="E877" t="s">
        <v>781</v>
      </c>
      <c r="F877" s="46" t="s">
        <v>995</v>
      </c>
      <c r="G877" t="s">
        <v>311</v>
      </c>
      <c r="H877" s="23">
        <v>13</v>
      </c>
      <c r="I877" s="23" t="s">
        <v>993</v>
      </c>
      <c r="J877" t="s">
        <v>996</v>
      </c>
      <c r="K877">
        <v>2139</v>
      </c>
      <c r="L877">
        <v>3482</v>
      </c>
      <c r="M877" s="24">
        <v>1704</v>
      </c>
      <c r="N877" s="24">
        <v>3313</v>
      </c>
      <c r="O877" s="24">
        <v>1780</v>
      </c>
      <c r="P877" s="24">
        <v>3145</v>
      </c>
      <c r="Q877">
        <v>2152</v>
      </c>
      <c r="R877">
        <v>3360</v>
      </c>
      <c r="S877">
        <v>2981</v>
      </c>
      <c r="T877">
        <v>4368</v>
      </c>
      <c r="U877">
        <v>2981</v>
      </c>
      <c r="V877">
        <v>4368</v>
      </c>
    </row>
    <row r="878" spans="2:22" x14ac:dyDescent="0.35">
      <c r="B878" s="23" t="s">
        <v>997</v>
      </c>
      <c r="D878" t="s">
        <v>780</v>
      </c>
      <c r="E878" t="s">
        <v>781</v>
      </c>
      <c r="F878" s="46" t="s">
        <v>997</v>
      </c>
      <c r="G878" t="s">
        <v>311</v>
      </c>
      <c r="H878" s="23">
        <v>13</v>
      </c>
      <c r="I878" s="23" t="s">
        <v>993</v>
      </c>
      <c r="J878" t="s">
        <v>998</v>
      </c>
      <c r="K878">
        <v>853</v>
      </c>
      <c r="L878">
        <v>1443</v>
      </c>
      <c r="M878" s="24">
        <v>683</v>
      </c>
      <c r="N878" s="24">
        <v>1406</v>
      </c>
      <c r="O878" s="24">
        <v>722</v>
      </c>
      <c r="P878" s="24">
        <v>1292</v>
      </c>
      <c r="Q878">
        <v>782</v>
      </c>
      <c r="R878">
        <v>1332</v>
      </c>
      <c r="S878">
        <v>1084</v>
      </c>
      <c r="T878">
        <v>1725</v>
      </c>
      <c r="U878">
        <v>1084</v>
      </c>
      <c r="V878">
        <v>1725</v>
      </c>
    </row>
    <row r="879" spans="2:22" x14ac:dyDescent="0.35">
      <c r="B879" s="23" t="s">
        <v>999</v>
      </c>
      <c r="D879" t="s">
        <v>780</v>
      </c>
      <c r="E879" t="s">
        <v>781</v>
      </c>
      <c r="F879" s="46" t="s">
        <v>999</v>
      </c>
      <c r="G879" t="s">
        <v>311</v>
      </c>
      <c r="H879" s="23">
        <v>13</v>
      </c>
      <c r="I879" s="23" t="s">
        <v>993</v>
      </c>
      <c r="J879" t="s">
        <v>1000</v>
      </c>
      <c r="K879">
        <v>1177</v>
      </c>
      <c r="L879">
        <v>1862</v>
      </c>
      <c r="M879" s="24">
        <v>1243</v>
      </c>
      <c r="N879" s="24">
        <v>1724</v>
      </c>
      <c r="O879" s="24">
        <v>1169</v>
      </c>
      <c r="P879" s="24">
        <v>1555</v>
      </c>
      <c r="Q879">
        <v>1184</v>
      </c>
      <c r="R879">
        <v>1791</v>
      </c>
      <c r="S879">
        <v>1789</v>
      </c>
      <c r="T879">
        <v>2622</v>
      </c>
      <c r="U879">
        <v>1789</v>
      </c>
      <c r="V879">
        <v>2622</v>
      </c>
    </row>
    <row r="880" spans="2:22" x14ac:dyDescent="0.35">
      <c r="B880" s="23" t="s">
        <v>1001</v>
      </c>
      <c r="D880" t="s">
        <v>780</v>
      </c>
      <c r="E880" t="s">
        <v>781</v>
      </c>
      <c r="F880" s="46" t="s">
        <v>1001</v>
      </c>
      <c r="G880" t="s">
        <v>311</v>
      </c>
      <c r="H880" s="23">
        <v>13</v>
      </c>
      <c r="I880" s="23" t="s">
        <v>993</v>
      </c>
      <c r="J880" t="s">
        <v>373</v>
      </c>
      <c r="K880">
        <v>689</v>
      </c>
      <c r="L880">
        <v>1317</v>
      </c>
      <c r="M880" s="24">
        <v>634</v>
      </c>
      <c r="N880" s="24">
        <v>1321</v>
      </c>
      <c r="O880" s="24">
        <v>657</v>
      </c>
      <c r="P880" s="24">
        <v>1158</v>
      </c>
      <c r="Q880">
        <v>680</v>
      </c>
      <c r="R880">
        <v>1160</v>
      </c>
      <c r="S880">
        <v>987</v>
      </c>
      <c r="T880">
        <v>1701</v>
      </c>
      <c r="U880">
        <v>987</v>
      </c>
      <c r="V880">
        <v>1701</v>
      </c>
    </row>
    <row r="881" spans="2:22" x14ac:dyDescent="0.35">
      <c r="B881" s="23" t="s">
        <v>1002</v>
      </c>
      <c r="D881" t="s">
        <v>780</v>
      </c>
      <c r="E881" t="s">
        <v>781</v>
      </c>
      <c r="F881" s="46" t="s">
        <v>1002</v>
      </c>
      <c r="G881" t="s">
        <v>311</v>
      </c>
      <c r="H881" s="23">
        <v>13</v>
      </c>
      <c r="I881" s="23" t="s">
        <v>993</v>
      </c>
      <c r="J881" t="s">
        <v>530</v>
      </c>
      <c r="K881">
        <v>1041</v>
      </c>
      <c r="L881">
        <v>1461</v>
      </c>
      <c r="M881" s="24">
        <v>826</v>
      </c>
      <c r="N881" s="24">
        <v>1487</v>
      </c>
      <c r="O881" s="24">
        <v>935</v>
      </c>
      <c r="P881" s="24">
        <v>1434</v>
      </c>
      <c r="Q881">
        <v>1094</v>
      </c>
      <c r="R881">
        <v>1531</v>
      </c>
      <c r="S881">
        <v>1541</v>
      </c>
      <c r="T881">
        <v>2057</v>
      </c>
      <c r="U881">
        <v>1541</v>
      </c>
      <c r="V881">
        <v>2057</v>
      </c>
    </row>
    <row r="882" spans="2:22" x14ac:dyDescent="0.35">
      <c r="B882" s="23" t="s">
        <v>1003</v>
      </c>
      <c r="D882" t="s">
        <v>780</v>
      </c>
      <c r="E882" t="s">
        <v>781</v>
      </c>
      <c r="F882" s="46" t="s">
        <v>1003</v>
      </c>
      <c r="G882" t="s">
        <v>577</v>
      </c>
      <c r="H882" s="23">
        <v>14</v>
      </c>
      <c r="I882" s="23" t="s">
        <v>1004</v>
      </c>
      <c r="J882" t="s">
        <v>1005</v>
      </c>
      <c r="K882">
        <v>474</v>
      </c>
      <c r="L882">
        <v>556</v>
      </c>
      <c r="M882" s="24">
        <v>467</v>
      </c>
      <c r="N882" s="24">
        <v>559</v>
      </c>
      <c r="O882" s="24">
        <v>569</v>
      </c>
      <c r="P882" s="24">
        <v>688</v>
      </c>
      <c r="Q882">
        <v>534</v>
      </c>
      <c r="R882">
        <v>752</v>
      </c>
      <c r="S882">
        <v>776</v>
      </c>
      <c r="T882">
        <v>1143</v>
      </c>
      <c r="U882">
        <v>776</v>
      </c>
      <c r="V882">
        <v>1143</v>
      </c>
    </row>
    <row r="883" spans="2:22" x14ac:dyDescent="0.35">
      <c r="B883" s="23" t="s">
        <v>1006</v>
      </c>
      <c r="D883" t="s">
        <v>780</v>
      </c>
      <c r="E883" t="s">
        <v>781</v>
      </c>
      <c r="F883" s="46" t="s">
        <v>1006</v>
      </c>
      <c r="G883" t="s">
        <v>577</v>
      </c>
      <c r="H883" s="23">
        <v>14</v>
      </c>
      <c r="I883" s="23" t="s">
        <v>1004</v>
      </c>
      <c r="J883" t="s">
        <v>1007</v>
      </c>
      <c r="K883">
        <v>1273</v>
      </c>
      <c r="L883">
        <v>1517</v>
      </c>
      <c r="M883" s="24">
        <v>1311</v>
      </c>
      <c r="N883" s="24">
        <v>1559</v>
      </c>
      <c r="O883" s="24">
        <v>1292</v>
      </c>
      <c r="P883" s="24">
        <v>1705</v>
      </c>
      <c r="Q883">
        <v>1243</v>
      </c>
      <c r="R883">
        <v>1755</v>
      </c>
      <c r="S883">
        <v>1453</v>
      </c>
      <c r="T883">
        <v>2380</v>
      </c>
      <c r="U883">
        <v>1453</v>
      </c>
      <c r="V883">
        <v>2380</v>
      </c>
    </row>
    <row r="884" spans="2:22" x14ac:dyDescent="0.35">
      <c r="B884" s="23" t="s">
        <v>1008</v>
      </c>
      <c r="D884" t="s">
        <v>780</v>
      </c>
      <c r="E884" t="s">
        <v>781</v>
      </c>
      <c r="F884" s="46" t="s">
        <v>1008</v>
      </c>
      <c r="G884" t="s">
        <v>577</v>
      </c>
      <c r="H884" s="23">
        <v>14</v>
      </c>
      <c r="I884" s="23" t="s">
        <v>1004</v>
      </c>
      <c r="J884" t="s">
        <v>1009</v>
      </c>
      <c r="K884">
        <v>2463</v>
      </c>
      <c r="L884">
        <v>2848</v>
      </c>
      <c r="M884" s="24">
        <v>2461</v>
      </c>
      <c r="N884" s="24">
        <v>2898</v>
      </c>
      <c r="O884" s="24">
        <v>2327</v>
      </c>
      <c r="P884" s="24">
        <v>2991</v>
      </c>
      <c r="Q884">
        <v>2134</v>
      </c>
      <c r="R884">
        <v>3168</v>
      </c>
      <c r="S884">
        <v>2885</v>
      </c>
      <c r="T884">
        <v>4451</v>
      </c>
      <c r="U884">
        <v>2885</v>
      </c>
      <c r="V884">
        <v>4451</v>
      </c>
    </row>
    <row r="885" spans="2:22" x14ac:dyDescent="0.35">
      <c r="B885" s="23" t="s">
        <v>1010</v>
      </c>
      <c r="D885" t="s">
        <v>780</v>
      </c>
      <c r="E885" t="s">
        <v>781</v>
      </c>
      <c r="F885" s="46" t="s">
        <v>1010</v>
      </c>
      <c r="G885" t="s">
        <v>577</v>
      </c>
      <c r="H885" s="23">
        <v>14</v>
      </c>
      <c r="I885" s="23" t="s">
        <v>1004</v>
      </c>
      <c r="J885" t="s">
        <v>1011</v>
      </c>
      <c r="K885">
        <v>435</v>
      </c>
      <c r="L885">
        <v>526</v>
      </c>
      <c r="M885" s="24">
        <v>459</v>
      </c>
      <c r="N885" s="24">
        <v>535</v>
      </c>
      <c r="O885" s="24">
        <v>388</v>
      </c>
      <c r="P885" s="24">
        <v>478</v>
      </c>
      <c r="Q885">
        <v>383</v>
      </c>
      <c r="R885">
        <v>553</v>
      </c>
      <c r="S885">
        <v>499</v>
      </c>
      <c r="T885">
        <v>716</v>
      </c>
      <c r="U885">
        <v>499</v>
      </c>
      <c r="V885">
        <v>716</v>
      </c>
    </row>
    <row r="886" spans="2:22" x14ac:dyDescent="0.35">
      <c r="B886" s="23" t="s">
        <v>1012</v>
      </c>
      <c r="D886" t="s">
        <v>780</v>
      </c>
      <c r="E886" t="s">
        <v>781</v>
      </c>
      <c r="F886" s="46" t="s">
        <v>1012</v>
      </c>
      <c r="G886" t="s">
        <v>577</v>
      </c>
      <c r="H886" s="23">
        <v>14</v>
      </c>
      <c r="I886" s="23" t="s">
        <v>1004</v>
      </c>
      <c r="J886" t="s">
        <v>1013</v>
      </c>
      <c r="K886">
        <v>9502</v>
      </c>
      <c r="L886">
        <v>12749</v>
      </c>
      <c r="M886" s="24">
        <v>9440</v>
      </c>
      <c r="N886" s="24">
        <v>12041</v>
      </c>
      <c r="O886" s="24">
        <v>9265</v>
      </c>
      <c r="P886" s="24">
        <v>12873</v>
      </c>
      <c r="Q886">
        <v>9473</v>
      </c>
      <c r="R886">
        <v>14695</v>
      </c>
      <c r="S886">
        <v>11817</v>
      </c>
      <c r="T886">
        <v>19953</v>
      </c>
      <c r="U886">
        <v>11817</v>
      </c>
      <c r="V886">
        <v>19953</v>
      </c>
    </row>
    <row r="887" spans="2:22" x14ac:dyDescent="0.35">
      <c r="B887" s="23" t="s">
        <v>1014</v>
      </c>
      <c r="D887" t="s">
        <v>780</v>
      </c>
      <c r="E887" t="s">
        <v>781</v>
      </c>
      <c r="F887" s="46" t="s">
        <v>1014</v>
      </c>
      <c r="G887" t="s">
        <v>577</v>
      </c>
      <c r="H887" s="23">
        <v>14</v>
      </c>
      <c r="I887" s="23" t="s">
        <v>1004</v>
      </c>
      <c r="J887" t="s">
        <v>1015</v>
      </c>
      <c r="K887">
        <v>1787</v>
      </c>
      <c r="L887">
        <v>2161</v>
      </c>
      <c r="M887" s="24">
        <v>1758</v>
      </c>
      <c r="N887" s="24">
        <v>2154</v>
      </c>
      <c r="O887" s="24">
        <v>1531</v>
      </c>
      <c r="P887" s="24">
        <v>2113</v>
      </c>
      <c r="Q887">
        <v>1464</v>
      </c>
      <c r="R887">
        <v>2368</v>
      </c>
      <c r="S887">
        <v>1940</v>
      </c>
      <c r="T887">
        <v>3232</v>
      </c>
      <c r="U887">
        <v>1940</v>
      </c>
      <c r="V887">
        <v>3232</v>
      </c>
    </row>
    <row r="888" spans="2:22" x14ac:dyDescent="0.35">
      <c r="B888" s="23" t="s">
        <v>1016</v>
      </c>
      <c r="D888" t="s">
        <v>780</v>
      </c>
      <c r="E888" t="s">
        <v>781</v>
      </c>
      <c r="F888" s="46" t="s">
        <v>1016</v>
      </c>
      <c r="G888" t="s">
        <v>577</v>
      </c>
      <c r="H888" s="23">
        <v>14</v>
      </c>
      <c r="I888" s="23" t="s">
        <v>1004</v>
      </c>
      <c r="J888" t="s">
        <v>1017</v>
      </c>
      <c r="K888">
        <v>299</v>
      </c>
      <c r="L888">
        <v>337</v>
      </c>
      <c r="M888" s="24">
        <v>335</v>
      </c>
      <c r="N888" s="24">
        <v>381</v>
      </c>
      <c r="O888" s="24">
        <v>328</v>
      </c>
      <c r="P888" s="24">
        <v>400</v>
      </c>
      <c r="Q888">
        <v>319</v>
      </c>
      <c r="R888">
        <v>457</v>
      </c>
      <c r="S888">
        <v>444</v>
      </c>
      <c r="T888">
        <v>637</v>
      </c>
      <c r="U888">
        <v>444</v>
      </c>
      <c r="V888">
        <v>637</v>
      </c>
    </row>
    <row r="889" spans="2:22" x14ac:dyDescent="0.35">
      <c r="B889" s="23" t="s">
        <v>1018</v>
      </c>
      <c r="D889" t="s">
        <v>780</v>
      </c>
      <c r="E889" t="s">
        <v>781</v>
      </c>
      <c r="F889" s="46" t="s">
        <v>1018</v>
      </c>
      <c r="G889" t="s">
        <v>577</v>
      </c>
      <c r="H889" s="23">
        <v>14</v>
      </c>
      <c r="I889" s="23" t="s">
        <v>1004</v>
      </c>
      <c r="J889" t="s">
        <v>669</v>
      </c>
      <c r="K889">
        <v>1129</v>
      </c>
      <c r="L889">
        <v>1362</v>
      </c>
      <c r="M889" s="24">
        <v>1127</v>
      </c>
      <c r="N889" s="24">
        <v>1334</v>
      </c>
      <c r="O889" s="24">
        <v>1160</v>
      </c>
      <c r="P889" s="24">
        <v>1497</v>
      </c>
      <c r="Q889">
        <v>1157</v>
      </c>
      <c r="R889">
        <v>1693</v>
      </c>
      <c r="S889">
        <v>1690</v>
      </c>
      <c r="T889">
        <v>2591</v>
      </c>
      <c r="U889">
        <v>1690</v>
      </c>
      <c r="V889">
        <v>2591</v>
      </c>
    </row>
    <row r="890" spans="2:22" x14ac:dyDescent="0.35">
      <c r="B890" s="23" t="s">
        <v>1019</v>
      </c>
      <c r="D890" t="s">
        <v>780</v>
      </c>
      <c r="E890" t="s">
        <v>781</v>
      </c>
      <c r="F890" s="46" t="s">
        <v>1019</v>
      </c>
      <c r="G890" t="s">
        <v>577</v>
      </c>
      <c r="H890" s="23">
        <v>14</v>
      </c>
      <c r="I890" s="23" t="s">
        <v>1004</v>
      </c>
      <c r="J890" t="s">
        <v>1020</v>
      </c>
      <c r="K890">
        <v>255</v>
      </c>
      <c r="L890">
        <v>305</v>
      </c>
      <c r="M890" s="24">
        <v>279</v>
      </c>
      <c r="N890" s="24">
        <v>311</v>
      </c>
      <c r="O890" s="24">
        <v>251</v>
      </c>
      <c r="P890" s="24">
        <v>294</v>
      </c>
      <c r="Q890">
        <v>242</v>
      </c>
      <c r="R890">
        <v>326</v>
      </c>
      <c r="S890">
        <v>368</v>
      </c>
      <c r="T890">
        <v>515</v>
      </c>
      <c r="U890">
        <v>368</v>
      </c>
      <c r="V890">
        <v>515</v>
      </c>
    </row>
    <row r="891" spans="2:22" x14ac:dyDescent="0.35">
      <c r="B891" s="23" t="s">
        <v>1021</v>
      </c>
      <c r="D891" t="s">
        <v>780</v>
      </c>
      <c r="E891" t="s">
        <v>781</v>
      </c>
      <c r="F891" s="46" t="s">
        <v>1021</v>
      </c>
      <c r="G891" t="s">
        <v>577</v>
      </c>
      <c r="H891" s="23">
        <v>14</v>
      </c>
      <c r="I891" s="23" t="s">
        <v>1004</v>
      </c>
      <c r="J891" t="s">
        <v>1022</v>
      </c>
      <c r="K891">
        <v>463</v>
      </c>
      <c r="L891">
        <v>548</v>
      </c>
      <c r="M891" s="24">
        <v>515</v>
      </c>
      <c r="N891" s="24">
        <v>605</v>
      </c>
      <c r="O891" s="24">
        <v>432</v>
      </c>
      <c r="P891" s="24">
        <v>564</v>
      </c>
      <c r="Q891">
        <v>395</v>
      </c>
      <c r="R891">
        <v>586</v>
      </c>
      <c r="S891">
        <v>587</v>
      </c>
      <c r="T891">
        <v>814</v>
      </c>
      <c r="U891">
        <v>587</v>
      </c>
      <c r="V891">
        <v>814</v>
      </c>
    </row>
    <row r="892" spans="2:22" x14ac:dyDescent="0.35">
      <c r="B892" s="23" t="s">
        <v>1023</v>
      </c>
      <c r="D892" t="s">
        <v>780</v>
      </c>
      <c r="E892" t="s">
        <v>781</v>
      </c>
      <c r="F892" s="46" t="s">
        <v>1023</v>
      </c>
      <c r="G892" t="s">
        <v>577</v>
      </c>
      <c r="H892" s="23">
        <v>14</v>
      </c>
      <c r="I892" s="23" t="s">
        <v>1004</v>
      </c>
      <c r="J892" t="s">
        <v>1024</v>
      </c>
      <c r="K892">
        <v>463</v>
      </c>
      <c r="L892">
        <v>549</v>
      </c>
      <c r="M892" s="24">
        <v>553</v>
      </c>
      <c r="N892" s="24">
        <v>645</v>
      </c>
      <c r="O892" s="24">
        <v>536</v>
      </c>
      <c r="P892" s="24">
        <v>645</v>
      </c>
      <c r="Q892">
        <v>534</v>
      </c>
      <c r="R892">
        <v>729</v>
      </c>
      <c r="S892">
        <v>749</v>
      </c>
      <c r="T892">
        <v>1043</v>
      </c>
      <c r="U892">
        <v>749</v>
      </c>
      <c r="V892">
        <v>1043</v>
      </c>
    </row>
    <row r="893" spans="2:22" x14ac:dyDescent="0.35">
      <c r="B893" s="23" t="s">
        <v>1025</v>
      </c>
      <c r="D893" t="s">
        <v>780</v>
      </c>
      <c r="E893" t="s">
        <v>781</v>
      </c>
      <c r="F893" s="46" t="s">
        <v>1025</v>
      </c>
      <c r="G893" t="s">
        <v>581</v>
      </c>
      <c r="H893" s="23">
        <v>15</v>
      </c>
      <c r="I893" s="23" t="s">
        <v>1026</v>
      </c>
      <c r="J893" t="s">
        <v>1027</v>
      </c>
      <c r="K893">
        <v>335</v>
      </c>
      <c r="L893">
        <v>415</v>
      </c>
      <c r="M893" s="24">
        <v>343</v>
      </c>
      <c r="N893" s="24">
        <v>416</v>
      </c>
      <c r="O893" s="24">
        <v>370</v>
      </c>
      <c r="P893" s="24">
        <v>442</v>
      </c>
      <c r="Q893">
        <v>422</v>
      </c>
      <c r="R893">
        <v>526</v>
      </c>
      <c r="S893">
        <v>568</v>
      </c>
      <c r="T893">
        <v>761</v>
      </c>
      <c r="U893">
        <v>568</v>
      </c>
      <c r="V893">
        <v>761</v>
      </c>
    </row>
    <row r="894" spans="2:22" x14ac:dyDescent="0.35">
      <c r="B894" s="23" t="s">
        <v>1028</v>
      </c>
      <c r="D894" t="s">
        <v>780</v>
      </c>
      <c r="E894" t="s">
        <v>781</v>
      </c>
      <c r="F894" s="46" t="s">
        <v>1028</v>
      </c>
      <c r="G894" t="s">
        <v>581</v>
      </c>
      <c r="H894" s="23">
        <v>15</v>
      </c>
      <c r="I894" s="23" t="s">
        <v>1026</v>
      </c>
      <c r="J894" t="s">
        <v>1029</v>
      </c>
      <c r="K894">
        <v>397</v>
      </c>
      <c r="L894">
        <v>486</v>
      </c>
      <c r="M894" s="24">
        <v>377</v>
      </c>
      <c r="N894" s="24">
        <v>443</v>
      </c>
      <c r="O894" s="24">
        <v>420</v>
      </c>
      <c r="P894" s="24">
        <v>493</v>
      </c>
      <c r="Q894">
        <v>397</v>
      </c>
      <c r="R894">
        <v>542</v>
      </c>
      <c r="S894">
        <v>506</v>
      </c>
      <c r="T894">
        <v>735</v>
      </c>
      <c r="U894">
        <v>506</v>
      </c>
      <c r="V894">
        <v>735</v>
      </c>
    </row>
    <row r="895" spans="2:22" x14ac:dyDescent="0.35">
      <c r="B895" s="23" t="s">
        <v>1030</v>
      </c>
      <c r="D895" t="s">
        <v>780</v>
      </c>
      <c r="E895" t="s">
        <v>781</v>
      </c>
      <c r="F895" s="46" t="s">
        <v>1030</v>
      </c>
      <c r="G895" t="s">
        <v>581</v>
      </c>
      <c r="H895" s="23">
        <v>15</v>
      </c>
      <c r="I895" s="23" t="s">
        <v>1026</v>
      </c>
      <c r="J895" t="s">
        <v>1031</v>
      </c>
      <c r="K895">
        <v>484</v>
      </c>
      <c r="L895">
        <v>569</v>
      </c>
      <c r="M895" s="24">
        <v>427</v>
      </c>
      <c r="N895" s="24">
        <v>508</v>
      </c>
      <c r="O895" s="24">
        <v>382</v>
      </c>
      <c r="P895" s="24">
        <v>494</v>
      </c>
      <c r="Q895">
        <v>381</v>
      </c>
      <c r="R895">
        <v>486</v>
      </c>
      <c r="S895">
        <v>530</v>
      </c>
      <c r="T895">
        <v>811</v>
      </c>
      <c r="U895">
        <v>530</v>
      </c>
      <c r="V895">
        <v>811</v>
      </c>
    </row>
    <row r="896" spans="2:22" x14ac:dyDescent="0.35">
      <c r="B896" s="23" t="s">
        <v>1032</v>
      </c>
      <c r="D896" t="s">
        <v>780</v>
      </c>
      <c r="E896" t="s">
        <v>781</v>
      </c>
      <c r="F896" s="46" t="s">
        <v>1032</v>
      </c>
      <c r="G896" t="s">
        <v>581</v>
      </c>
      <c r="H896" s="23">
        <v>15</v>
      </c>
      <c r="I896" s="23" t="s">
        <v>1026</v>
      </c>
      <c r="J896" t="s">
        <v>1033</v>
      </c>
      <c r="K896">
        <v>96</v>
      </c>
      <c r="L896">
        <v>117</v>
      </c>
      <c r="M896" s="24">
        <v>97</v>
      </c>
      <c r="N896" s="24">
        <v>116</v>
      </c>
      <c r="O896" s="24">
        <v>81</v>
      </c>
      <c r="P896" s="24">
        <v>108</v>
      </c>
      <c r="Q896">
        <v>95</v>
      </c>
      <c r="R896">
        <v>135</v>
      </c>
      <c r="S896">
        <v>152</v>
      </c>
      <c r="T896">
        <v>215</v>
      </c>
      <c r="U896">
        <v>152</v>
      </c>
      <c r="V896">
        <v>215</v>
      </c>
    </row>
    <row r="897" spans="2:22" x14ac:dyDescent="0.35">
      <c r="B897" s="23" t="s">
        <v>1034</v>
      </c>
      <c r="D897" t="s">
        <v>780</v>
      </c>
      <c r="E897" t="s">
        <v>781</v>
      </c>
      <c r="F897" s="46" t="s">
        <v>1034</v>
      </c>
      <c r="G897" t="s">
        <v>581</v>
      </c>
      <c r="H897" s="23">
        <v>15</v>
      </c>
      <c r="I897" s="23" t="s">
        <v>1026</v>
      </c>
      <c r="J897" t="s">
        <v>1035</v>
      </c>
      <c r="K897">
        <v>1221</v>
      </c>
      <c r="L897">
        <v>1524</v>
      </c>
      <c r="M897" s="24">
        <v>1261</v>
      </c>
      <c r="N897" s="24">
        <v>1517</v>
      </c>
      <c r="O897" s="24">
        <v>1278</v>
      </c>
      <c r="P897" s="24">
        <v>1584</v>
      </c>
      <c r="Q897">
        <v>1112</v>
      </c>
      <c r="R897">
        <v>1661</v>
      </c>
      <c r="S897">
        <v>1540</v>
      </c>
      <c r="T897">
        <v>2249</v>
      </c>
      <c r="U897">
        <v>1540</v>
      </c>
      <c r="V897">
        <v>2249</v>
      </c>
    </row>
    <row r="898" spans="2:22" x14ac:dyDescent="0.35">
      <c r="B898" s="23" t="s">
        <v>1036</v>
      </c>
      <c r="D898" t="s">
        <v>780</v>
      </c>
      <c r="E898" t="s">
        <v>781</v>
      </c>
      <c r="F898" s="46" t="s">
        <v>1036</v>
      </c>
      <c r="G898" t="s">
        <v>581</v>
      </c>
      <c r="H898" s="23">
        <v>15</v>
      </c>
      <c r="I898" s="23" t="s">
        <v>1026</v>
      </c>
      <c r="J898" t="s">
        <v>1037</v>
      </c>
      <c r="K898">
        <v>436</v>
      </c>
      <c r="L898">
        <v>544</v>
      </c>
      <c r="M898" s="24">
        <v>431</v>
      </c>
      <c r="N898" s="24">
        <v>512</v>
      </c>
      <c r="O898" s="24">
        <v>414</v>
      </c>
      <c r="P898" s="24">
        <v>511</v>
      </c>
      <c r="Q898">
        <v>393</v>
      </c>
      <c r="R898">
        <v>542</v>
      </c>
      <c r="S898">
        <v>463</v>
      </c>
      <c r="T898">
        <v>688</v>
      </c>
      <c r="U898">
        <v>463</v>
      </c>
      <c r="V898">
        <v>688</v>
      </c>
    </row>
    <row r="899" spans="2:22" x14ac:dyDescent="0.35">
      <c r="B899" s="23" t="s">
        <v>1038</v>
      </c>
      <c r="D899" t="s">
        <v>780</v>
      </c>
      <c r="E899" t="s">
        <v>781</v>
      </c>
      <c r="F899" s="46" t="s">
        <v>1038</v>
      </c>
      <c r="G899" t="s">
        <v>581</v>
      </c>
      <c r="H899" s="23">
        <v>15</v>
      </c>
      <c r="I899" s="23" t="s">
        <v>1026</v>
      </c>
      <c r="J899" t="s">
        <v>1039</v>
      </c>
      <c r="K899">
        <v>902</v>
      </c>
      <c r="L899">
        <v>1136</v>
      </c>
      <c r="M899" s="24">
        <v>908</v>
      </c>
      <c r="N899" s="24">
        <v>1093</v>
      </c>
      <c r="O899" s="24">
        <v>858</v>
      </c>
      <c r="P899" s="24">
        <v>1104</v>
      </c>
      <c r="Q899">
        <v>680</v>
      </c>
      <c r="R899">
        <v>1018</v>
      </c>
      <c r="S899">
        <v>930</v>
      </c>
      <c r="T899">
        <v>1511</v>
      </c>
      <c r="U899">
        <v>930</v>
      </c>
      <c r="V899">
        <v>1511</v>
      </c>
    </row>
    <row r="900" spans="2:22" x14ac:dyDescent="0.35">
      <c r="B900" s="23" t="s">
        <v>1040</v>
      </c>
      <c r="D900" t="s">
        <v>780</v>
      </c>
      <c r="E900" t="s">
        <v>781</v>
      </c>
      <c r="F900" s="46" t="s">
        <v>1040</v>
      </c>
      <c r="G900" t="s">
        <v>581</v>
      </c>
      <c r="H900" s="23">
        <v>15</v>
      </c>
      <c r="I900" s="23" t="s">
        <v>1026</v>
      </c>
      <c r="J900" t="s">
        <v>1041</v>
      </c>
      <c r="K900">
        <v>322</v>
      </c>
      <c r="L900">
        <v>355</v>
      </c>
      <c r="M900" s="24">
        <v>342</v>
      </c>
      <c r="N900" s="24">
        <v>383</v>
      </c>
      <c r="O900" s="24">
        <v>324</v>
      </c>
      <c r="P900" s="24">
        <v>376</v>
      </c>
      <c r="Q900">
        <v>290</v>
      </c>
      <c r="R900">
        <v>361</v>
      </c>
      <c r="S900">
        <v>343</v>
      </c>
      <c r="T900">
        <v>496</v>
      </c>
      <c r="U900">
        <v>343</v>
      </c>
      <c r="V900">
        <v>496</v>
      </c>
    </row>
    <row r="901" spans="2:22" x14ac:dyDescent="0.35">
      <c r="B901" s="23" t="s">
        <v>1042</v>
      </c>
      <c r="D901" t="s">
        <v>780</v>
      </c>
      <c r="E901" t="s">
        <v>781</v>
      </c>
      <c r="F901" s="46" t="s">
        <v>1042</v>
      </c>
      <c r="G901" t="s">
        <v>581</v>
      </c>
      <c r="H901" s="23">
        <v>15</v>
      </c>
      <c r="I901" s="23" t="s">
        <v>1026</v>
      </c>
      <c r="J901" t="s">
        <v>1043</v>
      </c>
      <c r="K901">
        <v>48</v>
      </c>
      <c r="L901">
        <v>67</v>
      </c>
      <c r="M901" s="24">
        <v>46</v>
      </c>
      <c r="N901" s="24">
        <v>59</v>
      </c>
      <c r="O901" s="24">
        <v>48</v>
      </c>
      <c r="P901" s="24">
        <v>61</v>
      </c>
      <c r="Q901">
        <v>49</v>
      </c>
      <c r="R901">
        <v>66</v>
      </c>
      <c r="S901">
        <v>48</v>
      </c>
      <c r="T901">
        <v>82</v>
      </c>
      <c r="U901">
        <v>48</v>
      </c>
      <c r="V901">
        <v>82</v>
      </c>
    </row>
    <row r="902" spans="2:22" x14ac:dyDescent="0.35">
      <c r="B902" s="23" t="s">
        <v>1044</v>
      </c>
      <c r="D902" t="s">
        <v>780</v>
      </c>
      <c r="E902" t="s">
        <v>781</v>
      </c>
      <c r="F902" s="46" t="s">
        <v>1044</v>
      </c>
      <c r="G902" t="s">
        <v>581</v>
      </c>
      <c r="H902" s="23">
        <v>15</v>
      </c>
      <c r="I902" s="23" t="s">
        <v>1026</v>
      </c>
      <c r="J902" t="s">
        <v>1045</v>
      </c>
      <c r="K902">
        <v>628</v>
      </c>
      <c r="L902">
        <v>763</v>
      </c>
      <c r="M902" s="24">
        <v>547</v>
      </c>
      <c r="N902" s="24">
        <v>684</v>
      </c>
      <c r="O902" s="24">
        <v>510</v>
      </c>
      <c r="P902" s="24">
        <v>668</v>
      </c>
      <c r="Q902">
        <v>503</v>
      </c>
      <c r="R902">
        <v>690</v>
      </c>
      <c r="S902">
        <v>783</v>
      </c>
      <c r="T902">
        <v>1330</v>
      </c>
      <c r="U902">
        <v>783</v>
      </c>
      <c r="V902">
        <v>1330</v>
      </c>
    </row>
    <row r="903" spans="2:22" x14ac:dyDescent="0.35">
      <c r="B903" s="23" t="s">
        <v>1046</v>
      </c>
      <c r="D903" t="s">
        <v>780</v>
      </c>
      <c r="E903" t="s">
        <v>781</v>
      </c>
      <c r="F903" s="46" t="s">
        <v>1046</v>
      </c>
      <c r="G903" t="s">
        <v>581</v>
      </c>
      <c r="H903" s="23">
        <v>15</v>
      </c>
      <c r="I903" s="23" t="s">
        <v>1026</v>
      </c>
      <c r="J903" t="s">
        <v>1047</v>
      </c>
      <c r="K903">
        <v>206</v>
      </c>
      <c r="L903">
        <v>247</v>
      </c>
      <c r="M903" s="24">
        <v>236</v>
      </c>
      <c r="N903" s="24">
        <v>290</v>
      </c>
      <c r="O903" s="24">
        <v>187</v>
      </c>
      <c r="P903" s="24">
        <v>242</v>
      </c>
      <c r="Q903">
        <v>205</v>
      </c>
      <c r="R903">
        <v>286</v>
      </c>
      <c r="S903">
        <v>249</v>
      </c>
      <c r="T903">
        <v>376</v>
      </c>
      <c r="U903">
        <v>249</v>
      </c>
      <c r="V903">
        <v>376</v>
      </c>
    </row>
    <row r="904" spans="2:22" x14ac:dyDescent="0.35">
      <c r="B904" s="23" t="s">
        <v>1048</v>
      </c>
      <c r="D904" t="s">
        <v>780</v>
      </c>
      <c r="E904" t="s">
        <v>781</v>
      </c>
      <c r="F904" s="46" t="s">
        <v>1048</v>
      </c>
      <c r="G904" t="s">
        <v>581</v>
      </c>
      <c r="H904" s="23">
        <v>15</v>
      </c>
      <c r="I904" s="23" t="s">
        <v>1026</v>
      </c>
      <c r="J904" t="s">
        <v>1049</v>
      </c>
      <c r="K904">
        <v>186</v>
      </c>
      <c r="L904">
        <v>210</v>
      </c>
      <c r="M904" s="24">
        <v>197</v>
      </c>
      <c r="N904" s="24">
        <v>226</v>
      </c>
      <c r="O904" s="24">
        <v>182</v>
      </c>
      <c r="P904" s="24">
        <v>216</v>
      </c>
      <c r="Q904">
        <v>156</v>
      </c>
      <c r="R904">
        <v>238</v>
      </c>
      <c r="S904">
        <v>215</v>
      </c>
      <c r="T904">
        <v>314</v>
      </c>
      <c r="U904">
        <v>215</v>
      </c>
      <c r="V904">
        <v>314</v>
      </c>
    </row>
    <row r="905" spans="2:22" x14ac:dyDescent="0.35">
      <c r="B905" s="23" t="s">
        <v>1050</v>
      </c>
      <c r="D905" t="s">
        <v>780</v>
      </c>
      <c r="E905" t="s">
        <v>781</v>
      </c>
      <c r="F905" s="46" t="s">
        <v>1050</v>
      </c>
      <c r="G905" t="s">
        <v>581</v>
      </c>
      <c r="H905" s="23">
        <v>15</v>
      </c>
      <c r="I905" s="23" t="s">
        <v>1026</v>
      </c>
      <c r="J905" t="s">
        <v>299</v>
      </c>
      <c r="K905">
        <v>2180</v>
      </c>
      <c r="L905">
        <v>2701</v>
      </c>
      <c r="M905" s="24">
        <v>2085</v>
      </c>
      <c r="N905" s="24">
        <v>2561</v>
      </c>
      <c r="O905" s="24">
        <v>2287</v>
      </c>
      <c r="P905" s="24">
        <v>2820</v>
      </c>
      <c r="Q905">
        <v>2444</v>
      </c>
      <c r="R905">
        <v>3373</v>
      </c>
      <c r="S905">
        <v>3214</v>
      </c>
      <c r="T905">
        <v>4597</v>
      </c>
      <c r="U905">
        <v>3214</v>
      </c>
      <c r="V905">
        <v>4597</v>
      </c>
    </row>
    <row r="906" spans="2:22" x14ac:dyDescent="0.35">
      <c r="B906" s="23" t="s">
        <v>1051</v>
      </c>
      <c r="D906" t="s">
        <v>780</v>
      </c>
      <c r="E906" t="s">
        <v>781</v>
      </c>
      <c r="F906" s="46" t="s">
        <v>1051</v>
      </c>
      <c r="G906" t="s">
        <v>581</v>
      </c>
      <c r="H906" s="23">
        <v>15</v>
      </c>
      <c r="I906" s="23" t="s">
        <v>1026</v>
      </c>
      <c r="J906" t="s">
        <v>516</v>
      </c>
      <c r="K906">
        <v>207</v>
      </c>
      <c r="L906">
        <v>237</v>
      </c>
      <c r="M906" s="24">
        <v>192</v>
      </c>
      <c r="N906" s="24">
        <v>221</v>
      </c>
      <c r="O906" s="24">
        <v>203</v>
      </c>
      <c r="P906" s="24">
        <v>237</v>
      </c>
      <c r="Q906">
        <v>223</v>
      </c>
      <c r="R906">
        <v>277</v>
      </c>
      <c r="S906">
        <v>259</v>
      </c>
      <c r="T906">
        <v>352</v>
      </c>
      <c r="U906">
        <v>259</v>
      </c>
      <c r="V906">
        <v>352</v>
      </c>
    </row>
    <row r="907" spans="2:22" x14ac:dyDescent="0.35">
      <c r="B907" s="23" t="s">
        <v>1052</v>
      </c>
      <c r="D907" t="s">
        <v>780</v>
      </c>
      <c r="E907" t="s">
        <v>781</v>
      </c>
      <c r="F907" s="46" t="s">
        <v>1052</v>
      </c>
      <c r="G907" t="s">
        <v>581</v>
      </c>
      <c r="H907" s="23">
        <v>15</v>
      </c>
      <c r="I907" s="23" t="s">
        <v>1026</v>
      </c>
      <c r="J907" t="s">
        <v>741</v>
      </c>
      <c r="K907">
        <v>271</v>
      </c>
      <c r="L907">
        <v>324</v>
      </c>
      <c r="M907" s="24">
        <v>238</v>
      </c>
      <c r="N907" s="24">
        <v>293</v>
      </c>
      <c r="O907" s="24">
        <v>284</v>
      </c>
      <c r="P907" s="24">
        <v>353</v>
      </c>
      <c r="Q907">
        <v>255</v>
      </c>
      <c r="R907">
        <v>349</v>
      </c>
      <c r="S907">
        <v>297</v>
      </c>
      <c r="T907">
        <v>427</v>
      </c>
      <c r="U907">
        <v>297</v>
      </c>
      <c r="V907">
        <v>427</v>
      </c>
    </row>
    <row r="908" spans="2:22" x14ac:dyDescent="0.35">
      <c r="B908" s="23" t="s">
        <v>1053</v>
      </c>
      <c r="D908" t="s">
        <v>780</v>
      </c>
      <c r="E908" t="s">
        <v>781</v>
      </c>
      <c r="F908" s="46" t="s">
        <v>1053</v>
      </c>
      <c r="G908" t="s">
        <v>581</v>
      </c>
      <c r="H908" s="23">
        <v>15</v>
      </c>
      <c r="I908" s="23" t="s">
        <v>1026</v>
      </c>
      <c r="J908" t="s">
        <v>1054</v>
      </c>
      <c r="K908">
        <v>1286</v>
      </c>
      <c r="L908">
        <v>1630</v>
      </c>
      <c r="M908" s="24">
        <v>1266</v>
      </c>
      <c r="N908" s="24">
        <v>1528</v>
      </c>
      <c r="O908" s="24">
        <v>1250</v>
      </c>
      <c r="P908" s="24">
        <v>1647</v>
      </c>
      <c r="Q908">
        <v>1142</v>
      </c>
      <c r="R908">
        <v>1559</v>
      </c>
      <c r="S908">
        <v>1626</v>
      </c>
      <c r="T908">
        <v>2505</v>
      </c>
      <c r="U908">
        <v>1626</v>
      </c>
      <c r="V908">
        <v>2505</v>
      </c>
    </row>
    <row r="909" spans="2:22" x14ac:dyDescent="0.35">
      <c r="B909" s="23" t="s">
        <v>1055</v>
      </c>
      <c r="D909" t="s">
        <v>780</v>
      </c>
      <c r="E909" t="s">
        <v>781</v>
      </c>
      <c r="F909" s="46" t="s">
        <v>1055</v>
      </c>
      <c r="G909" t="s">
        <v>581</v>
      </c>
      <c r="H909" s="23">
        <v>15</v>
      </c>
      <c r="I909" s="23" t="s">
        <v>1026</v>
      </c>
      <c r="J909" t="s">
        <v>1056</v>
      </c>
      <c r="K909">
        <v>934</v>
      </c>
      <c r="L909">
        <v>1134</v>
      </c>
      <c r="M909" s="24">
        <v>982</v>
      </c>
      <c r="N909" s="24">
        <v>1150</v>
      </c>
      <c r="O909" s="24">
        <v>973</v>
      </c>
      <c r="P909" s="24">
        <v>1153</v>
      </c>
      <c r="Q909">
        <v>976</v>
      </c>
      <c r="R909">
        <v>1286</v>
      </c>
      <c r="S909">
        <v>1221</v>
      </c>
      <c r="T909">
        <v>1728</v>
      </c>
      <c r="U909">
        <v>1221</v>
      </c>
      <c r="V909">
        <v>1728</v>
      </c>
    </row>
    <row r="910" spans="2:22" x14ac:dyDescent="0.35">
      <c r="B910" s="23" t="s">
        <v>1057</v>
      </c>
      <c r="D910" t="s">
        <v>780</v>
      </c>
      <c r="E910" t="s">
        <v>781</v>
      </c>
      <c r="F910" s="46" t="s">
        <v>1057</v>
      </c>
      <c r="G910" t="s">
        <v>581</v>
      </c>
      <c r="H910" s="23">
        <v>15</v>
      </c>
      <c r="I910" s="23" t="s">
        <v>1026</v>
      </c>
      <c r="J910" t="s">
        <v>1058</v>
      </c>
      <c r="K910">
        <v>175</v>
      </c>
      <c r="L910">
        <v>202</v>
      </c>
      <c r="M910" s="24">
        <v>197</v>
      </c>
      <c r="N910" s="24">
        <v>224</v>
      </c>
      <c r="O910" s="24">
        <v>180</v>
      </c>
      <c r="P910" s="24">
        <v>219</v>
      </c>
      <c r="Q910">
        <v>169</v>
      </c>
      <c r="R910">
        <v>203</v>
      </c>
      <c r="S910">
        <v>256</v>
      </c>
      <c r="T910">
        <v>336</v>
      </c>
      <c r="U910">
        <v>256</v>
      </c>
      <c r="V910">
        <v>336</v>
      </c>
    </row>
    <row r="911" spans="2:22" x14ac:dyDescent="0.35">
      <c r="B911" s="23" t="s">
        <v>1059</v>
      </c>
      <c r="D911" t="s">
        <v>780</v>
      </c>
      <c r="E911" t="s">
        <v>781</v>
      </c>
      <c r="F911" s="46" t="s">
        <v>1059</v>
      </c>
      <c r="G911" t="s">
        <v>585</v>
      </c>
      <c r="H911" s="23">
        <v>16</v>
      </c>
      <c r="I911" s="23" t="s">
        <v>1060</v>
      </c>
      <c r="J911" t="s">
        <v>313</v>
      </c>
      <c r="K911">
        <v>912</v>
      </c>
      <c r="L911">
        <v>1111</v>
      </c>
      <c r="M911" s="24">
        <v>843</v>
      </c>
      <c r="N911" s="24">
        <v>1035</v>
      </c>
      <c r="O911" s="24">
        <v>779</v>
      </c>
      <c r="P911" s="24">
        <v>1035</v>
      </c>
      <c r="Q911">
        <v>726</v>
      </c>
      <c r="R911">
        <v>1036</v>
      </c>
      <c r="S911">
        <v>1159</v>
      </c>
      <c r="T911">
        <v>1644</v>
      </c>
      <c r="U911">
        <v>1159</v>
      </c>
      <c r="V911">
        <v>1644</v>
      </c>
    </row>
    <row r="912" spans="2:22" x14ac:dyDescent="0.35">
      <c r="B912" s="23" t="s">
        <v>1061</v>
      </c>
      <c r="D912" t="s">
        <v>780</v>
      </c>
      <c r="E912" t="s">
        <v>781</v>
      </c>
      <c r="F912" s="46" t="s">
        <v>1061</v>
      </c>
      <c r="G912" t="s">
        <v>585</v>
      </c>
      <c r="H912" s="23">
        <v>16</v>
      </c>
      <c r="I912" s="23" t="s">
        <v>1060</v>
      </c>
      <c r="J912" t="s">
        <v>1062</v>
      </c>
      <c r="K912">
        <v>212</v>
      </c>
      <c r="L912">
        <v>254</v>
      </c>
      <c r="M912" s="24">
        <v>197</v>
      </c>
      <c r="N912" s="24">
        <v>236</v>
      </c>
      <c r="O912" s="24">
        <v>188</v>
      </c>
      <c r="P912" s="24">
        <v>231</v>
      </c>
      <c r="Q912">
        <v>177</v>
      </c>
      <c r="R912">
        <v>250</v>
      </c>
      <c r="S912">
        <v>268</v>
      </c>
      <c r="T912">
        <v>347</v>
      </c>
      <c r="U912">
        <v>268</v>
      </c>
      <c r="V912">
        <v>347</v>
      </c>
    </row>
    <row r="913" spans="2:22" x14ac:dyDescent="0.35">
      <c r="B913" s="23" t="s">
        <v>1063</v>
      </c>
      <c r="D913" t="s">
        <v>780</v>
      </c>
      <c r="E913" t="s">
        <v>781</v>
      </c>
      <c r="F913" s="46" t="s">
        <v>1063</v>
      </c>
      <c r="G913" t="s">
        <v>585</v>
      </c>
      <c r="H913" s="23">
        <v>16</v>
      </c>
      <c r="I913" s="23" t="s">
        <v>1060</v>
      </c>
      <c r="J913" t="s">
        <v>385</v>
      </c>
      <c r="K913">
        <v>447</v>
      </c>
      <c r="L913">
        <v>574</v>
      </c>
      <c r="M913" s="24">
        <v>430</v>
      </c>
      <c r="N913" s="24">
        <v>533</v>
      </c>
      <c r="O913" s="24">
        <v>429</v>
      </c>
      <c r="P913" s="24">
        <v>572</v>
      </c>
      <c r="Q913">
        <v>356</v>
      </c>
      <c r="R913">
        <v>534</v>
      </c>
      <c r="S913">
        <v>559</v>
      </c>
      <c r="T913">
        <v>769</v>
      </c>
      <c r="U913">
        <v>559</v>
      </c>
      <c r="V913">
        <v>769</v>
      </c>
    </row>
    <row r="914" spans="2:22" x14ac:dyDescent="0.35">
      <c r="B914" s="23" t="s">
        <v>1064</v>
      </c>
      <c r="D914" t="s">
        <v>780</v>
      </c>
      <c r="E914" t="s">
        <v>781</v>
      </c>
      <c r="F914" s="46" t="s">
        <v>1064</v>
      </c>
      <c r="G914" t="s">
        <v>585</v>
      </c>
      <c r="H914" s="23">
        <v>16</v>
      </c>
      <c r="I914" s="23" t="s">
        <v>1060</v>
      </c>
      <c r="J914" t="s">
        <v>1065</v>
      </c>
      <c r="K914">
        <v>227</v>
      </c>
      <c r="L914">
        <v>265</v>
      </c>
      <c r="M914" s="24">
        <v>195</v>
      </c>
      <c r="N914" s="24">
        <v>230</v>
      </c>
      <c r="O914" s="24">
        <v>174</v>
      </c>
      <c r="P914" s="24">
        <v>228</v>
      </c>
      <c r="Q914">
        <v>144</v>
      </c>
      <c r="R914">
        <v>236</v>
      </c>
      <c r="S914">
        <v>221</v>
      </c>
      <c r="T914">
        <v>315</v>
      </c>
      <c r="U914">
        <v>221</v>
      </c>
      <c r="V914">
        <v>315</v>
      </c>
    </row>
    <row r="915" spans="2:22" x14ac:dyDescent="0.35">
      <c r="B915" s="23" t="s">
        <v>1066</v>
      </c>
      <c r="D915" t="s">
        <v>1067</v>
      </c>
      <c r="E915" t="s">
        <v>1068</v>
      </c>
      <c r="F915" s="46" t="s">
        <v>1066</v>
      </c>
      <c r="G915" t="s">
        <v>231</v>
      </c>
      <c r="H915" s="23">
        <v>1</v>
      </c>
      <c r="I915" s="23" t="s">
        <v>1069</v>
      </c>
      <c r="J915" t="s">
        <v>1070</v>
      </c>
      <c r="K915">
        <v>10301</v>
      </c>
      <c r="L915">
        <v>14712</v>
      </c>
      <c r="M915" s="24">
        <v>7644</v>
      </c>
      <c r="N915" s="24">
        <v>11040</v>
      </c>
      <c r="O915" s="24">
        <v>6794</v>
      </c>
      <c r="P915" s="24">
        <v>10063</v>
      </c>
      <c r="Q915">
        <v>6045</v>
      </c>
      <c r="R915">
        <v>9122</v>
      </c>
      <c r="S915">
        <v>6252</v>
      </c>
      <c r="T915">
        <v>10099</v>
      </c>
      <c r="U915">
        <v>6252</v>
      </c>
      <c r="V915">
        <v>10099</v>
      </c>
    </row>
    <row r="916" spans="2:22" x14ac:dyDescent="0.35">
      <c r="B916" s="23" t="s">
        <v>1071</v>
      </c>
      <c r="D916" t="s">
        <v>1067</v>
      </c>
      <c r="E916" t="s">
        <v>1068</v>
      </c>
      <c r="F916" s="46" t="s">
        <v>1071</v>
      </c>
      <c r="G916" t="s">
        <v>231</v>
      </c>
      <c r="H916" s="23">
        <v>1</v>
      </c>
      <c r="I916" s="23" t="s">
        <v>1069</v>
      </c>
      <c r="J916" t="s">
        <v>1072</v>
      </c>
      <c r="K916">
        <v>7252</v>
      </c>
      <c r="L916">
        <v>11764</v>
      </c>
      <c r="M916" s="24">
        <v>5516</v>
      </c>
      <c r="N916" s="24">
        <v>9101</v>
      </c>
      <c r="O916" s="24">
        <v>4808</v>
      </c>
      <c r="P916" s="24">
        <v>8313</v>
      </c>
      <c r="Q916">
        <v>4183</v>
      </c>
      <c r="R916">
        <v>7641</v>
      </c>
      <c r="S916">
        <v>4423</v>
      </c>
      <c r="T916">
        <v>8950</v>
      </c>
      <c r="U916">
        <v>4423</v>
      </c>
      <c r="V916">
        <v>8950</v>
      </c>
    </row>
    <row r="917" spans="2:22" x14ac:dyDescent="0.35">
      <c r="B917" s="23" t="s">
        <v>1073</v>
      </c>
      <c r="D917" t="s">
        <v>1067</v>
      </c>
      <c r="E917" t="s">
        <v>1068</v>
      </c>
      <c r="F917" s="46" t="s">
        <v>1073</v>
      </c>
      <c r="G917" t="s">
        <v>231</v>
      </c>
      <c r="H917" s="23">
        <v>1</v>
      </c>
      <c r="I917" s="23" t="s">
        <v>1069</v>
      </c>
      <c r="J917" t="s">
        <v>1074</v>
      </c>
      <c r="K917">
        <v>503</v>
      </c>
      <c r="L917">
        <v>648</v>
      </c>
      <c r="M917" s="24">
        <v>423</v>
      </c>
      <c r="N917" s="24">
        <v>550</v>
      </c>
      <c r="O917" s="24">
        <v>397</v>
      </c>
      <c r="P917" s="24">
        <v>525</v>
      </c>
      <c r="Q917">
        <v>350</v>
      </c>
      <c r="R917">
        <v>485</v>
      </c>
      <c r="S917">
        <v>340</v>
      </c>
      <c r="T917">
        <v>528</v>
      </c>
      <c r="U917">
        <v>340</v>
      </c>
      <c r="V917">
        <v>528</v>
      </c>
    </row>
    <row r="918" spans="2:22" x14ac:dyDescent="0.35">
      <c r="B918" s="23" t="s">
        <v>1075</v>
      </c>
      <c r="D918" t="s">
        <v>1067</v>
      </c>
      <c r="E918" t="s">
        <v>1068</v>
      </c>
      <c r="F918" s="46" t="s">
        <v>1075</v>
      </c>
      <c r="G918" t="s">
        <v>231</v>
      </c>
      <c r="H918" s="23">
        <v>1</v>
      </c>
      <c r="I918" s="23" t="s">
        <v>1069</v>
      </c>
      <c r="J918" t="s">
        <v>1076</v>
      </c>
      <c r="K918">
        <v>634</v>
      </c>
      <c r="L918">
        <v>914</v>
      </c>
      <c r="M918" s="24">
        <v>535</v>
      </c>
      <c r="N918" s="24">
        <v>800</v>
      </c>
      <c r="O918" s="24">
        <v>558</v>
      </c>
      <c r="P918" s="24">
        <v>788</v>
      </c>
      <c r="Q918">
        <v>514</v>
      </c>
      <c r="R918">
        <v>724</v>
      </c>
      <c r="S918">
        <v>491</v>
      </c>
      <c r="T918">
        <v>792</v>
      </c>
      <c r="U918">
        <v>491</v>
      </c>
      <c r="V918">
        <v>792</v>
      </c>
    </row>
    <row r="919" spans="2:22" x14ac:dyDescent="0.35">
      <c r="B919" s="23" t="s">
        <v>1077</v>
      </c>
      <c r="D919" t="s">
        <v>1067</v>
      </c>
      <c r="E919" t="s">
        <v>1068</v>
      </c>
      <c r="F919" s="46" t="s">
        <v>1077</v>
      </c>
      <c r="G919" t="s">
        <v>231</v>
      </c>
      <c r="H919" s="23">
        <v>1</v>
      </c>
      <c r="I919" s="23" t="s">
        <v>1069</v>
      </c>
      <c r="J919" t="s">
        <v>1078</v>
      </c>
      <c r="K919">
        <v>647</v>
      </c>
      <c r="L919">
        <v>1036</v>
      </c>
      <c r="M919" s="24">
        <v>588</v>
      </c>
      <c r="N919" s="24">
        <v>898</v>
      </c>
      <c r="O919" s="24">
        <v>577</v>
      </c>
      <c r="P919" s="24">
        <v>887</v>
      </c>
      <c r="Q919">
        <v>540</v>
      </c>
      <c r="R919">
        <v>858</v>
      </c>
      <c r="S919">
        <v>562</v>
      </c>
      <c r="T919">
        <v>1021</v>
      </c>
      <c r="U919">
        <v>562</v>
      </c>
      <c r="V919">
        <v>1021</v>
      </c>
    </row>
    <row r="920" spans="2:22" x14ac:dyDescent="0.35">
      <c r="B920" s="23" t="s">
        <v>1079</v>
      </c>
      <c r="D920" t="s">
        <v>1067</v>
      </c>
      <c r="E920" t="s">
        <v>1068</v>
      </c>
      <c r="F920" s="46" t="s">
        <v>1079</v>
      </c>
      <c r="G920" t="s">
        <v>231</v>
      </c>
      <c r="H920" s="23">
        <v>1</v>
      </c>
      <c r="I920" s="23" t="s">
        <v>1069</v>
      </c>
      <c r="J920" t="s">
        <v>1080</v>
      </c>
      <c r="K920">
        <v>201</v>
      </c>
      <c r="L920">
        <v>270</v>
      </c>
      <c r="M920" s="24">
        <v>168</v>
      </c>
      <c r="N920" s="24">
        <v>246</v>
      </c>
      <c r="O920" s="24">
        <v>172</v>
      </c>
      <c r="P920" s="24">
        <v>274</v>
      </c>
      <c r="Q920">
        <v>166</v>
      </c>
      <c r="R920">
        <v>248</v>
      </c>
      <c r="S920">
        <v>214</v>
      </c>
      <c r="T920">
        <v>336</v>
      </c>
      <c r="U920">
        <v>214</v>
      </c>
      <c r="V920">
        <v>336</v>
      </c>
    </row>
    <row r="921" spans="2:22" x14ac:dyDescent="0.35">
      <c r="B921" s="23" t="s">
        <v>1081</v>
      </c>
      <c r="D921" t="s">
        <v>1067</v>
      </c>
      <c r="E921" t="s">
        <v>1068</v>
      </c>
      <c r="F921" s="46" t="s">
        <v>1081</v>
      </c>
      <c r="G921" t="s">
        <v>231</v>
      </c>
      <c r="H921" s="23">
        <v>1</v>
      </c>
      <c r="I921" s="23" t="s">
        <v>1069</v>
      </c>
      <c r="J921" t="s">
        <v>1082</v>
      </c>
      <c r="K921">
        <v>577</v>
      </c>
      <c r="L921">
        <v>783</v>
      </c>
      <c r="M921" s="24">
        <v>449</v>
      </c>
      <c r="N921" s="24">
        <v>611</v>
      </c>
      <c r="O921" s="24">
        <v>381</v>
      </c>
      <c r="P921" s="24">
        <v>556</v>
      </c>
      <c r="Q921">
        <v>359</v>
      </c>
      <c r="R921">
        <v>532</v>
      </c>
      <c r="S921">
        <v>324</v>
      </c>
      <c r="T921">
        <v>577</v>
      </c>
      <c r="U921">
        <v>324</v>
      </c>
      <c r="V921">
        <v>577</v>
      </c>
    </row>
    <row r="922" spans="2:22" x14ac:dyDescent="0.35">
      <c r="B922" s="23" t="s">
        <v>1083</v>
      </c>
      <c r="D922" t="s">
        <v>1067</v>
      </c>
      <c r="E922" t="s">
        <v>1068</v>
      </c>
      <c r="F922" s="46" t="s">
        <v>1083</v>
      </c>
      <c r="G922" t="s">
        <v>231</v>
      </c>
      <c r="H922" s="23">
        <v>1</v>
      </c>
      <c r="I922" s="23" t="s">
        <v>1069</v>
      </c>
      <c r="J922" t="s">
        <v>1084</v>
      </c>
      <c r="K922">
        <v>6164</v>
      </c>
      <c r="L922">
        <v>8759</v>
      </c>
      <c r="M922" s="24">
        <v>5145</v>
      </c>
      <c r="N922" s="24">
        <v>7503</v>
      </c>
      <c r="O922" s="24">
        <v>4613</v>
      </c>
      <c r="P922" s="24">
        <v>6936</v>
      </c>
      <c r="Q922">
        <v>4258</v>
      </c>
      <c r="R922">
        <v>6658</v>
      </c>
      <c r="S922">
        <v>4885</v>
      </c>
      <c r="T922">
        <v>8128</v>
      </c>
      <c r="U922">
        <v>4885</v>
      </c>
      <c r="V922">
        <v>8128</v>
      </c>
    </row>
    <row r="923" spans="2:22" x14ac:dyDescent="0.35">
      <c r="B923" s="23" t="s">
        <v>1085</v>
      </c>
      <c r="D923" t="s">
        <v>1067</v>
      </c>
      <c r="E923" t="s">
        <v>1068</v>
      </c>
      <c r="F923" s="46" t="s">
        <v>1085</v>
      </c>
      <c r="G923" t="s">
        <v>235</v>
      </c>
      <c r="H923" s="23">
        <v>2</v>
      </c>
      <c r="I923" s="23" t="s">
        <v>1086</v>
      </c>
      <c r="J923" t="s">
        <v>1087</v>
      </c>
      <c r="K923">
        <v>265</v>
      </c>
      <c r="L923">
        <v>390</v>
      </c>
      <c r="M923" s="24">
        <v>228</v>
      </c>
      <c r="N923" s="24">
        <v>352</v>
      </c>
      <c r="O923" s="24">
        <v>227</v>
      </c>
      <c r="P923" s="24">
        <v>335</v>
      </c>
      <c r="Q923">
        <v>197</v>
      </c>
      <c r="R923">
        <v>318</v>
      </c>
      <c r="S923">
        <v>254</v>
      </c>
      <c r="T923">
        <v>412</v>
      </c>
      <c r="U923">
        <v>254</v>
      </c>
      <c r="V923">
        <v>412</v>
      </c>
    </row>
    <row r="924" spans="2:22" x14ac:dyDescent="0.35">
      <c r="B924" s="23" t="s">
        <v>1088</v>
      </c>
      <c r="D924" t="s">
        <v>1067</v>
      </c>
      <c r="E924" t="s">
        <v>1068</v>
      </c>
      <c r="F924" s="46" t="s">
        <v>1088</v>
      </c>
      <c r="G924" t="s">
        <v>235</v>
      </c>
      <c r="H924" s="23">
        <v>2</v>
      </c>
      <c r="I924" s="23" t="s">
        <v>1086</v>
      </c>
      <c r="J924" t="s">
        <v>1089</v>
      </c>
      <c r="K924">
        <v>1325</v>
      </c>
      <c r="L924">
        <v>1904</v>
      </c>
      <c r="M924" s="24">
        <v>1209</v>
      </c>
      <c r="N924" s="24">
        <v>1821</v>
      </c>
      <c r="O924" s="24">
        <v>1143</v>
      </c>
      <c r="P924" s="24">
        <v>1796</v>
      </c>
      <c r="Q924">
        <v>1066</v>
      </c>
      <c r="R924">
        <v>1756</v>
      </c>
      <c r="S924">
        <v>1274</v>
      </c>
      <c r="T924">
        <v>2080</v>
      </c>
      <c r="U924">
        <v>1274</v>
      </c>
      <c r="V924">
        <v>2080</v>
      </c>
    </row>
    <row r="925" spans="2:22" x14ac:dyDescent="0.35">
      <c r="B925" s="23" t="s">
        <v>1090</v>
      </c>
      <c r="D925" t="s">
        <v>1067</v>
      </c>
      <c r="E925" t="s">
        <v>1068</v>
      </c>
      <c r="F925" s="46" t="s">
        <v>1090</v>
      </c>
      <c r="G925" t="s">
        <v>235</v>
      </c>
      <c r="H925" s="23">
        <v>2</v>
      </c>
      <c r="I925" s="23" t="s">
        <v>1086</v>
      </c>
      <c r="J925" t="s">
        <v>1091</v>
      </c>
      <c r="K925">
        <v>1190</v>
      </c>
      <c r="L925">
        <v>1885</v>
      </c>
      <c r="M925" s="24">
        <v>1049</v>
      </c>
      <c r="N925" s="24">
        <v>1703</v>
      </c>
      <c r="O925" s="24">
        <v>974</v>
      </c>
      <c r="P925" s="24">
        <v>1637</v>
      </c>
      <c r="Q925">
        <v>939</v>
      </c>
      <c r="R925">
        <v>1560</v>
      </c>
      <c r="S925">
        <v>1176</v>
      </c>
      <c r="T925">
        <v>1979</v>
      </c>
      <c r="U925">
        <v>1176</v>
      </c>
      <c r="V925">
        <v>1979</v>
      </c>
    </row>
    <row r="926" spans="2:22" x14ac:dyDescent="0.35">
      <c r="B926" s="23" t="s">
        <v>1092</v>
      </c>
      <c r="D926" t="s">
        <v>1067</v>
      </c>
      <c r="E926" t="s">
        <v>1068</v>
      </c>
      <c r="F926" s="46" t="s">
        <v>1092</v>
      </c>
      <c r="G926" t="s">
        <v>239</v>
      </c>
      <c r="H926" s="23">
        <v>3</v>
      </c>
      <c r="I926" s="23" t="s">
        <v>1093</v>
      </c>
      <c r="J926" t="s">
        <v>1094</v>
      </c>
      <c r="K926">
        <v>744</v>
      </c>
      <c r="L926">
        <v>1158</v>
      </c>
      <c r="M926" s="24">
        <v>662</v>
      </c>
      <c r="N926" s="24">
        <v>1024</v>
      </c>
      <c r="O926" s="24">
        <v>648</v>
      </c>
      <c r="P926" s="24">
        <v>981</v>
      </c>
      <c r="Q926">
        <v>605</v>
      </c>
      <c r="R926">
        <v>908</v>
      </c>
      <c r="S926">
        <v>783</v>
      </c>
      <c r="T926">
        <v>1267</v>
      </c>
      <c r="U926">
        <v>783</v>
      </c>
      <c r="V926">
        <v>1267</v>
      </c>
    </row>
    <row r="927" spans="2:22" x14ac:dyDescent="0.35">
      <c r="B927" s="23" t="s">
        <v>1095</v>
      </c>
      <c r="D927" t="s">
        <v>1067</v>
      </c>
      <c r="E927" t="s">
        <v>1068</v>
      </c>
      <c r="F927" s="46" t="s">
        <v>1095</v>
      </c>
      <c r="G927" t="s">
        <v>239</v>
      </c>
      <c r="H927" s="23">
        <v>3</v>
      </c>
      <c r="I927" s="23" t="s">
        <v>1093</v>
      </c>
      <c r="J927" t="s">
        <v>1096</v>
      </c>
      <c r="K927">
        <v>235</v>
      </c>
      <c r="L927">
        <v>418</v>
      </c>
      <c r="M927" s="24">
        <v>189</v>
      </c>
      <c r="N927" s="24">
        <v>364</v>
      </c>
      <c r="O927" s="24">
        <v>165</v>
      </c>
      <c r="P927" s="24">
        <v>324</v>
      </c>
      <c r="Q927">
        <v>151</v>
      </c>
      <c r="R927">
        <v>288</v>
      </c>
      <c r="S927">
        <v>205</v>
      </c>
      <c r="T927">
        <v>361</v>
      </c>
      <c r="U927">
        <v>205</v>
      </c>
      <c r="V927">
        <v>361</v>
      </c>
    </row>
    <row r="928" spans="2:22" x14ac:dyDescent="0.35">
      <c r="B928" s="23" t="s">
        <v>1097</v>
      </c>
      <c r="D928" t="s">
        <v>1067</v>
      </c>
      <c r="E928" t="s">
        <v>1068</v>
      </c>
      <c r="F928" s="46" t="s">
        <v>1097</v>
      </c>
      <c r="G928" t="s">
        <v>239</v>
      </c>
      <c r="H928" s="23">
        <v>3</v>
      </c>
      <c r="I928" s="23" t="s">
        <v>1093</v>
      </c>
      <c r="J928" t="s">
        <v>1098</v>
      </c>
      <c r="K928">
        <v>719</v>
      </c>
      <c r="L928">
        <v>1265</v>
      </c>
      <c r="M928" s="24">
        <v>658</v>
      </c>
      <c r="N928" s="24">
        <v>1066</v>
      </c>
      <c r="O928" s="24">
        <v>625</v>
      </c>
      <c r="P928" s="24">
        <v>1032</v>
      </c>
      <c r="Q928">
        <v>629</v>
      </c>
      <c r="R928">
        <v>1059</v>
      </c>
      <c r="S928">
        <v>742</v>
      </c>
      <c r="T928">
        <v>1281</v>
      </c>
      <c r="U928">
        <v>742</v>
      </c>
      <c r="V928">
        <v>1281</v>
      </c>
    </row>
    <row r="929" spans="2:22" x14ac:dyDescent="0.35">
      <c r="B929" s="23" t="s">
        <v>1099</v>
      </c>
      <c r="D929" t="s">
        <v>1067</v>
      </c>
      <c r="E929" t="s">
        <v>1068</v>
      </c>
      <c r="F929" s="46" t="s">
        <v>1099</v>
      </c>
      <c r="G929" t="s">
        <v>239</v>
      </c>
      <c r="H929" s="23">
        <v>3</v>
      </c>
      <c r="I929" s="23" t="s">
        <v>1093</v>
      </c>
      <c r="J929" t="s">
        <v>1100</v>
      </c>
      <c r="K929">
        <v>3507</v>
      </c>
      <c r="L929">
        <v>6586</v>
      </c>
      <c r="M929" s="24">
        <v>3075</v>
      </c>
      <c r="N929" s="24">
        <v>5653</v>
      </c>
      <c r="O929" s="24">
        <v>2734</v>
      </c>
      <c r="P929" s="24">
        <v>5227</v>
      </c>
      <c r="Q929">
        <v>2748</v>
      </c>
      <c r="R929">
        <v>5246</v>
      </c>
      <c r="S929">
        <v>3348</v>
      </c>
      <c r="T929">
        <v>6562</v>
      </c>
      <c r="U929">
        <v>3348</v>
      </c>
      <c r="V929">
        <v>6562</v>
      </c>
    </row>
    <row r="930" spans="2:22" x14ac:dyDescent="0.35">
      <c r="B930" s="23" t="s">
        <v>1101</v>
      </c>
      <c r="D930" t="s">
        <v>1067</v>
      </c>
      <c r="E930" t="s">
        <v>1068</v>
      </c>
      <c r="F930" s="46" t="s">
        <v>1101</v>
      </c>
      <c r="G930" t="s">
        <v>239</v>
      </c>
      <c r="H930" s="23">
        <v>3</v>
      </c>
      <c r="I930" s="23" t="s">
        <v>1093</v>
      </c>
      <c r="J930" s="48" t="s">
        <v>1102</v>
      </c>
      <c r="K930">
        <v>1087</v>
      </c>
      <c r="L930">
        <v>1724</v>
      </c>
      <c r="M930" s="24">
        <v>867</v>
      </c>
      <c r="N930" s="24">
        <v>1388</v>
      </c>
      <c r="O930" s="24">
        <v>815</v>
      </c>
      <c r="P930" s="24">
        <v>1368</v>
      </c>
      <c r="Q930">
        <v>786</v>
      </c>
      <c r="R930">
        <v>1327</v>
      </c>
      <c r="S930">
        <v>928</v>
      </c>
      <c r="T930">
        <v>1584</v>
      </c>
      <c r="U930">
        <v>928</v>
      </c>
      <c r="V930">
        <v>1584</v>
      </c>
    </row>
    <row r="931" spans="2:22" x14ac:dyDescent="0.35">
      <c r="B931" s="23" t="s">
        <v>1103</v>
      </c>
      <c r="D931" t="s">
        <v>1067</v>
      </c>
      <c r="E931" t="s">
        <v>1068</v>
      </c>
      <c r="F931" s="46" t="s">
        <v>1103</v>
      </c>
      <c r="G931" t="s">
        <v>239</v>
      </c>
      <c r="H931" s="23">
        <v>3</v>
      </c>
      <c r="I931" s="23" t="s">
        <v>1093</v>
      </c>
      <c r="J931" t="s">
        <v>1104</v>
      </c>
      <c r="K931">
        <v>730</v>
      </c>
      <c r="L931">
        <v>1163</v>
      </c>
      <c r="M931" s="24">
        <v>603</v>
      </c>
      <c r="N931" s="24">
        <v>967</v>
      </c>
      <c r="O931" s="24">
        <v>517</v>
      </c>
      <c r="P931" s="24">
        <v>893</v>
      </c>
      <c r="Q931">
        <v>561</v>
      </c>
      <c r="R931">
        <v>909</v>
      </c>
      <c r="S931">
        <v>655</v>
      </c>
      <c r="T931">
        <v>1069</v>
      </c>
      <c r="U931">
        <v>655</v>
      </c>
      <c r="V931">
        <v>1069</v>
      </c>
    </row>
    <row r="932" spans="2:22" x14ac:dyDescent="0.35">
      <c r="B932" s="23" t="s">
        <v>1105</v>
      </c>
      <c r="D932" t="s">
        <v>1067</v>
      </c>
      <c r="E932" t="s">
        <v>1068</v>
      </c>
      <c r="F932" s="46" t="s">
        <v>1105</v>
      </c>
      <c r="G932" t="s">
        <v>239</v>
      </c>
      <c r="H932" s="23">
        <v>3</v>
      </c>
      <c r="I932" s="23" t="s">
        <v>1093</v>
      </c>
      <c r="J932" t="s">
        <v>1106</v>
      </c>
      <c r="K932">
        <v>514</v>
      </c>
      <c r="L932">
        <v>811</v>
      </c>
      <c r="M932" s="24">
        <v>453</v>
      </c>
      <c r="N932" s="24">
        <v>693</v>
      </c>
      <c r="O932" s="24">
        <v>385</v>
      </c>
      <c r="P932" s="24">
        <v>622</v>
      </c>
      <c r="Q932">
        <v>341</v>
      </c>
      <c r="R932">
        <v>581</v>
      </c>
      <c r="S932">
        <v>409</v>
      </c>
      <c r="T932">
        <v>716</v>
      </c>
      <c r="U932">
        <v>409</v>
      </c>
      <c r="V932">
        <v>716</v>
      </c>
    </row>
    <row r="933" spans="2:22" x14ac:dyDescent="0.35">
      <c r="B933" s="23" t="s">
        <v>1107</v>
      </c>
      <c r="D933" t="s">
        <v>1067</v>
      </c>
      <c r="E933" t="s">
        <v>1068</v>
      </c>
      <c r="F933" s="46" t="s">
        <v>1107</v>
      </c>
      <c r="G933" t="s">
        <v>239</v>
      </c>
      <c r="H933" s="23">
        <v>3</v>
      </c>
      <c r="I933" s="23" t="s">
        <v>1093</v>
      </c>
      <c r="J933" s="49" t="s">
        <v>1108</v>
      </c>
      <c r="K933">
        <v>793</v>
      </c>
      <c r="L933">
        <v>1325</v>
      </c>
      <c r="M933" s="24">
        <v>674</v>
      </c>
      <c r="N933" s="24">
        <v>1169</v>
      </c>
      <c r="O933" s="24">
        <v>639</v>
      </c>
      <c r="P933" s="24">
        <v>1092</v>
      </c>
      <c r="Q933">
        <v>643</v>
      </c>
      <c r="R933">
        <v>1093</v>
      </c>
      <c r="S933">
        <v>730</v>
      </c>
      <c r="T933">
        <v>1295</v>
      </c>
      <c r="U933">
        <v>730</v>
      </c>
      <c r="V933">
        <v>1295</v>
      </c>
    </row>
    <row r="934" spans="2:22" x14ac:dyDescent="0.35">
      <c r="B934" s="23" t="s">
        <v>1109</v>
      </c>
      <c r="D934" t="s">
        <v>1067</v>
      </c>
      <c r="E934" t="s">
        <v>1068</v>
      </c>
      <c r="F934" s="46" t="s">
        <v>1109</v>
      </c>
      <c r="G934" t="s">
        <v>255</v>
      </c>
      <c r="H934" s="23">
        <v>4</v>
      </c>
      <c r="I934" s="23" t="s">
        <v>1110</v>
      </c>
      <c r="J934" t="s">
        <v>1111</v>
      </c>
      <c r="K934">
        <v>146</v>
      </c>
      <c r="L934">
        <v>227</v>
      </c>
      <c r="M934" s="24">
        <v>131</v>
      </c>
      <c r="N934" s="24">
        <v>217</v>
      </c>
      <c r="O934" s="24">
        <v>113</v>
      </c>
      <c r="P934" s="24">
        <v>201</v>
      </c>
      <c r="Q934">
        <v>131</v>
      </c>
      <c r="R934">
        <v>237</v>
      </c>
      <c r="S934">
        <v>156</v>
      </c>
      <c r="T934">
        <v>312</v>
      </c>
      <c r="U934">
        <v>156</v>
      </c>
      <c r="V934">
        <v>312</v>
      </c>
    </row>
    <row r="935" spans="2:22" x14ac:dyDescent="0.35">
      <c r="B935" s="23" t="s">
        <v>1112</v>
      </c>
      <c r="D935" t="s">
        <v>1067</v>
      </c>
      <c r="E935" t="s">
        <v>1068</v>
      </c>
      <c r="F935" s="46" t="s">
        <v>1112</v>
      </c>
      <c r="G935" t="s">
        <v>255</v>
      </c>
      <c r="H935" s="23">
        <v>4</v>
      </c>
      <c r="I935" s="23" t="s">
        <v>1110</v>
      </c>
      <c r="J935" t="s">
        <v>1113</v>
      </c>
      <c r="K935">
        <v>270</v>
      </c>
      <c r="L935">
        <v>506</v>
      </c>
      <c r="M935" s="24">
        <v>238</v>
      </c>
      <c r="N935" s="24">
        <v>406</v>
      </c>
      <c r="O935" s="24">
        <v>246</v>
      </c>
      <c r="P935" s="24">
        <v>433</v>
      </c>
      <c r="Q935">
        <v>244</v>
      </c>
      <c r="R935">
        <v>448</v>
      </c>
      <c r="S935">
        <v>328</v>
      </c>
      <c r="T935">
        <v>592</v>
      </c>
      <c r="U935">
        <v>328</v>
      </c>
      <c r="V935">
        <v>592</v>
      </c>
    </row>
    <row r="936" spans="2:22" x14ac:dyDescent="0.35">
      <c r="B936" s="23" t="s">
        <v>1114</v>
      </c>
      <c r="D936" t="s">
        <v>1067</v>
      </c>
      <c r="E936" t="s">
        <v>1068</v>
      </c>
      <c r="F936" s="46" t="s">
        <v>1114</v>
      </c>
      <c r="G936" t="s">
        <v>255</v>
      </c>
      <c r="H936" s="23">
        <v>4</v>
      </c>
      <c r="I936" s="23" t="s">
        <v>1110</v>
      </c>
      <c r="J936" t="s">
        <v>1115</v>
      </c>
      <c r="K936">
        <v>2069</v>
      </c>
      <c r="L936">
        <v>3419</v>
      </c>
      <c r="M936" s="24">
        <v>1929</v>
      </c>
      <c r="N936" s="24">
        <v>3160</v>
      </c>
      <c r="O936" s="24">
        <v>1505</v>
      </c>
      <c r="P936" s="24">
        <v>3091</v>
      </c>
      <c r="Q936">
        <v>1193</v>
      </c>
      <c r="R936">
        <v>2687</v>
      </c>
      <c r="S936">
        <v>1507</v>
      </c>
      <c r="T936">
        <v>3110</v>
      </c>
      <c r="U936">
        <v>1507</v>
      </c>
      <c r="V936">
        <v>3110</v>
      </c>
    </row>
    <row r="937" spans="2:22" x14ac:dyDescent="0.35">
      <c r="B937" s="23" t="s">
        <v>1116</v>
      </c>
      <c r="D937" t="s">
        <v>1067</v>
      </c>
      <c r="E937" t="s">
        <v>1068</v>
      </c>
      <c r="F937" s="46" t="s">
        <v>1116</v>
      </c>
      <c r="G937" t="s">
        <v>255</v>
      </c>
      <c r="H937" s="23">
        <v>4</v>
      </c>
      <c r="I937" s="23" t="s">
        <v>1110</v>
      </c>
      <c r="J937" t="s">
        <v>1117</v>
      </c>
      <c r="K937">
        <v>100</v>
      </c>
      <c r="L937">
        <v>149</v>
      </c>
      <c r="M937" s="24">
        <v>82</v>
      </c>
      <c r="N937" s="24">
        <v>135</v>
      </c>
      <c r="O937" s="24">
        <v>71</v>
      </c>
      <c r="P937" s="24">
        <v>110</v>
      </c>
      <c r="Q937">
        <v>66</v>
      </c>
      <c r="R937">
        <v>102</v>
      </c>
      <c r="S937">
        <v>75</v>
      </c>
      <c r="T937">
        <v>137</v>
      </c>
      <c r="U937">
        <v>75</v>
      </c>
      <c r="V937">
        <v>137</v>
      </c>
    </row>
    <row r="938" spans="2:22" x14ac:dyDescent="0.35">
      <c r="B938" s="23" t="s">
        <v>1118</v>
      </c>
      <c r="D938" t="s">
        <v>1067</v>
      </c>
      <c r="E938" t="s">
        <v>1068</v>
      </c>
      <c r="F938" s="46" t="s">
        <v>1118</v>
      </c>
      <c r="G938" t="s">
        <v>255</v>
      </c>
      <c r="H938" s="23">
        <v>4</v>
      </c>
      <c r="I938" s="23" t="s">
        <v>1110</v>
      </c>
      <c r="J938" t="s">
        <v>1119</v>
      </c>
      <c r="K938">
        <v>725</v>
      </c>
      <c r="L938">
        <v>872</v>
      </c>
      <c r="M938" s="24">
        <v>765</v>
      </c>
      <c r="N938" s="24">
        <v>908</v>
      </c>
      <c r="O938" s="24">
        <v>791</v>
      </c>
      <c r="P938" s="24">
        <v>959</v>
      </c>
      <c r="Q938">
        <v>851</v>
      </c>
      <c r="R938">
        <v>997</v>
      </c>
      <c r="S938">
        <v>1037</v>
      </c>
      <c r="T938">
        <v>1304</v>
      </c>
      <c r="U938">
        <v>1037</v>
      </c>
      <c r="V938">
        <v>1304</v>
      </c>
    </row>
    <row r="939" spans="2:22" x14ac:dyDescent="0.35">
      <c r="B939" s="23" t="s">
        <v>1120</v>
      </c>
      <c r="D939" t="s">
        <v>1067</v>
      </c>
      <c r="E939" t="s">
        <v>1068</v>
      </c>
      <c r="F939" s="46" t="s">
        <v>1120</v>
      </c>
      <c r="G939" t="s">
        <v>259</v>
      </c>
      <c r="H939" s="23">
        <v>5</v>
      </c>
      <c r="I939" s="23" t="s">
        <v>1121</v>
      </c>
      <c r="J939" t="s">
        <v>1122</v>
      </c>
      <c r="K939">
        <v>1590</v>
      </c>
      <c r="L939">
        <v>2648</v>
      </c>
      <c r="M939" s="24">
        <v>1331</v>
      </c>
      <c r="N939" s="24">
        <v>2319</v>
      </c>
      <c r="O939" s="24">
        <v>1256</v>
      </c>
      <c r="P939" s="24">
        <v>2209</v>
      </c>
      <c r="Q939">
        <v>1329</v>
      </c>
      <c r="R939">
        <v>2331</v>
      </c>
      <c r="S939">
        <v>1354</v>
      </c>
      <c r="T939">
        <v>2782</v>
      </c>
      <c r="U939">
        <v>1354</v>
      </c>
      <c r="V939">
        <v>2782</v>
      </c>
    </row>
    <row r="940" spans="2:22" x14ac:dyDescent="0.35">
      <c r="B940" s="23" t="s">
        <v>1123</v>
      </c>
      <c r="D940" t="s">
        <v>1067</v>
      </c>
      <c r="E940" t="s">
        <v>1068</v>
      </c>
      <c r="F940" s="46" t="s">
        <v>1123</v>
      </c>
      <c r="G940" t="s">
        <v>259</v>
      </c>
      <c r="H940" s="23">
        <v>5</v>
      </c>
      <c r="I940" s="23" t="s">
        <v>1121</v>
      </c>
      <c r="J940" t="s">
        <v>1124</v>
      </c>
      <c r="K940">
        <v>7833</v>
      </c>
      <c r="L940">
        <v>12549</v>
      </c>
      <c r="M940" s="24">
        <v>6743</v>
      </c>
      <c r="N940" s="24">
        <v>11022</v>
      </c>
      <c r="O940" s="24">
        <v>6315</v>
      </c>
      <c r="P940" s="24">
        <v>10421</v>
      </c>
      <c r="Q940">
        <v>5975</v>
      </c>
      <c r="R940">
        <v>9933</v>
      </c>
      <c r="S940">
        <v>6044</v>
      </c>
      <c r="T940">
        <v>11373</v>
      </c>
      <c r="U940">
        <v>6044</v>
      </c>
      <c r="V940">
        <v>11373</v>
      </c>
    </row>
    <row r="941" spans="2:22" x14ac:dyDescent="0.35">
      <c r="B941" s="23" t="s">
        <v>1125</v>
      </c>
      <c r="D941" t="s">
        <v>1067</v>
      </c>
      <c r="E941" t="s">
        <v>1068</v>
      </c>
      <c r="F941" s="46" t="s">
        <v>1125</v>
      </c>
      <c r="G941" t="s">
        <v>259</v>
      </c>
      <c r="H941" s="23">
        <v>5</v>
      </c>
      <c r="I941" s="23" t="s">
        <v>1121</v>
      </c>
      <c r="J941" t="s">
        <v>1126</v>
      </c>
      <c r="K941">
        <v>285</v>
      </c>
      <c r="L941">
        <v>420</v>
      </c>
      <c r="M941" s="24">
        <v>220</v>
      </c>
      <c r="N941" s="24">
        <v>352</v>
      </c>
      <c r="O941" s="24">
        <v>183</v>
      </c>
      <c r="P941" s="24">
        <v>325</v>
      </c>
      <c r="Q941">
        <v>197</v>
      </c>
      <c r="R941">
        <v>351</v>
      </c>
      <c r="S941">
        <v>178</v>
      </c>
      <c r="T941">
        <v>420</v>
      </c>
      <c r="U941">
        <v>178</v>
      </c>
      <c r="V941">
        <v>420</v>
      </c>
    </row>
    <row r="942" spans="2:22" x14ac:dyDescent="0.35">
      <c r="B942" s="23" t="s">
        <v>1127</v>
      </c>
      <c r="D942" t="s">
        <v>1067</v>
      </c>
      <c r="E942" t="s">
        <v>1068</v>
      </c>
      <c r="F942" s="46" t="s">
        <v>1127</v>
      </c>
      <c r="G942" t="s">
        <v>259</v>
      </c>
      <c r="H942" s="23">
        <v>5</v>
      </c>
      <c r="I942" s="23" t="s">
        <v>1121</v>
      </c>
      <c r="J942" t="s">
        <v>1128</v>
      </c>
      <c r="K942">
        <v>402</v>
      </c>
      <c r="L942">
        <v>579</v>
      </c>
      <c r="M942" s="24">
        <v>358</v>
      </c>
      <c r="N942" s="24">
        <v>516</v>
      </c>
      <c r="O942" s="24">
        <v>363</v>
      </c>
      <c r="P942" s="24">
        <v>519</v>
      </c>
      <c r="Q942">
        <v>328</v>
      </c>
      <c r="R942">
        <v>516</v>
      </c>
      <c r="S942">
        <v>279</v>
      </c>
      <c r="T942">
        <v>578</v>
      </c>
      <c r="U942">
        <v>279</v>
      </c>
      <c r="V942">
        <v>578</v>
      </c>
    </row>
    <row r="943" spans="2:22" x14ac:dyDescent="0.35">
      <c r="B943" s="23" t="s">
        <v>1129</v>
      </c>
      <c r="D943" t="s">
        <v>1067</v>
      </c>
      <c r="E943" t="s">
        <v>1068</v>
      </c>
      <c r="F943" s="46" t="s">
        <v>1129</v>
      </c>
      <c r="G943" t="s">
        <v>259</v>
      </c>
      <c r="H943" s="23">
        <v>5</v>
      </c>
      <c r="I943" s="23" t="s">
        <v>1121</v>
      </c>
      <c r="J943" t="s">
        <v>1130</v>
      </c>
      <c r="K943">
        <v>1899</v>
      </c>
      <c r="L943">
        <v>3157</v>
      </c>
      <c r="M943" s="24">
        <v>1658</v>
      </c>
      <c r="N943" s="24">
        <v>2736</v>
      </c>
      <c r="O943" s="24">
        <v>1542</v>
      </c>
      <c r="P943" s="24">
        <v>2675</v>
      </c>
      <c r="Q943">
        <v>1514</v>
      </c>
      <c r="R943">
        <v>2651</v>
      </c>
      <c r="S943">
        <v>1806</v>
      </c>
      <c r="T943">
        <v>3331</v>
      </c>
      <c r="U943">
        <v>1806</v>
      </c>
      <c r="V943">
        <v>3331</v>
      </c>
    </row>
    <row r="944" spans="2:22" x14ac:dyDescent="0.35">
      <c r="B944" s="23" t="s">
        <v>1131</v>
      </c>
      <c r="D944" t="s">
        <v>1067</v>
      </c>
      <c r="E944" t="s">
        <v>1068</v>
      </c>
      <c r="F944" s="46" t="s">
        <v>1131</v>
      </c>
      <c r="G944" t="s">
        <v>259</v>
      </c>
      <c r="H944" s="23">
        <v>5</v>
      </c>
      <c r="I944" s="23" t="s">
        <v>1121</v>
      </c>
      <c r="J944" t="s">
        <v>1132</v>
      </c>
      <c r="K944">
        <v>420</v>
      </c>
      <c r="L944">
        <v>603</v>
      </c>
      <c r="M944" s="24">
        <v>375</v>
      </c>
      <c r="N944" s="24">
        <v>552</v>
      </c>
      <c r="O944" s="24">
        <v>339</v>
      </c>
      <c r="P944" s="24">
        <v>546</v>
      </c>
      <c r="Q944">
        <v>302</v>
      </c>
      <c r="R944">
        <v>487</v>
      </c>
      <c r="S944">
        <v>295</v>
      </c>
      <c r="T944">
        <v>504</v>
      </c>
      <c r="U944">
        <v>295</v>
      </c>
      <c r="V944">
        <v>504</v>
      </c>
    </row>
    <row r="945" spans="2:22" x14ac:dyDescent="0.35">
      <c r="B945" s="23" t="s">
        <v>1133</v>
      </c>
      <c r="D945" t="s">
        <v>1067</v>
      </c>
      <c r="E945" t="s">
        <v>1068</v>
      </c>
      <c r="F945" s="46" t="s">
        <v>1133</v>
      </c>
      <c r="G945" t="s">
        <v>259</v>
      </c>
      <c r="H945" s="23">
        <v>5</v>
      </c>
      <c r="I945" s="23" t="s">
        <v>1121</v>
      </c>
      <c r="J945" t="s">
        <v>1134</v>
      </c>
      <c r="K945">
        <v>176</v>
      </c>
      <c r="L945">
        <v>232</v>
      </c>
      <c r="M945" s="24">
        <v>149</v>
      </c>
      <c r="N945" s="24">
        <v>212</v>
      </c>
      <c r="O945" s="24">
        <v>115</v>
      </c>
      <c r="P945" s="24">
        <v>183</v>
      </c>
      <c r="Q945">
        <v>107</v>
      </c>
      <c r="R945">
        <v>165</v>
      </c>
      <c r="S945">
        <v>133</v>
      </c>
      <c r="T945">
        <v>210</v>
      </c>
      <c r="U945">
        <v>133</v>
      </c>
      <c r="V945">
        <v>210</v>
      </c>
    </row>
    <row r="946" spans="2:22" x14ac:dyDescent="0.35">
      <c r="B946" s="23" t="s">
        <v>1135</v>
      </c>
      <c r="D946" t="s">
        <v>1067</v>
      </c>
      <c r="E946" t="s">
        <v>1068</v>
      </c>
      <c r="F946" s="46" t="s">
        <v>1135</v>
      </c>
      <c r="G946" t="s">
        <v>259</v>
      </c>
      <c r="H946" s="23">
        <v>5</v>
      </c>
      <c r="I946" s="23" t="s">
        <v>1121</v>
      </c>
      <c r="J946" t="s">
        <v>1136</v>
      </c>
      <c r="K946">
        <v>1757</v>
      </c>
      <c r="L946">
        <v>2708</v>
      </c>
      <c r="M946" s="24">
        <v>1631</v>
      </c>
      <c r="N946" s="24">
        <v>2495</v>
      </c>
      <c r="O946" s="24">
        <v>1679</v>
      </c>
      <c r="P946" s="24">
        <v>2593</v>
      </c>
      <c r="Q946">
        <v>1568</v>
      </c>
      <c r="R946">
        <v>2463</v>
      </c>
      <c r="S946">
        <v>1842</v>
      </c>
      <c r="T946">
        <v>2990</v>
      </c>
      <c r="U946">
        <v>1842</v>
      </c>
      <c r="V946">
        <v>2990</v>
      </c>
    </row>
    <row r="947" spans="2:22" x14ac:dyDescent="0.35">
      <c r="B947" s="23" t="s">
        <v>1137</v>
      </c>
      <c r="D947" t="s">
        <v>1067</v>
      </c>
      <c r="E947" t="s">
        <v>1068</v>
      </c>
      <c r="F947" s="46" t="s">
        <v>1137</v>
      </c>
      <c r="G947" t="s">
        <v>259</v>
      </c>
      <c r="H947" s="23">
        <v>5</v>
      </c>
      <c r="I947" s="23" t="s">
        <v>1121</v>
      </c>
      <c r="J947" t="s">
        <v>1138</v>
      </c>
      <c r="K947">
        <v>558</v>
      </c>
      <c r="L947">
        <v>850</v>
      </c>
      <c r="M947" s="24">
        <v>520</v>
      </c>
      <c r="N947" s="24">
        <v>780</v>
      </c>
      <c r="O947" s="24">
        <v>494</v>
      </c>
      <c r="P947" s="24">
        <v>743</v>
      </c>
      <c r="Q947">
        <v>442</v>
      </c>
      <c r="R947">
        <v>671</v>
      </c>
      <c r="S947">
        <v>533</v>
      </c>
      <c r="T947">
        <v>825</v>
      </c>
      <c r="U947">
        <v>533</v>
      </c>
      <c r="V947">
        <v>825</v>
      </c>
    </row>
    <row r="948" spans="2:22" x14ac:dyDescent="0.35">
      <c r="B948" s="23" t="s">
        <v>1139</v>
      </c>
      <c r="D948" t="s">
        <v>1067</v>
      </c>
      <c r="E948" t="s">
        <v>1068</v>
      </c>
      <c r="F948" s="46" t="s">
        <v>1139</v>
      </c>
      <c r="G948" t="s">
        <v>259</v>
      </c>
      <c r="H948" s="23">
        <v>5</v>
      </c>
      <c r="I948" s="23" t="s">
        <v>1121</v>
      </c>
      <c r="J948" t="s">
        <v>1140</v>
      </c>
      <c r="K948">
        <v>331</v>
      </c>
      <c r="L948">
        <v>540</v>
      </c>
      <c r="M948" s="24">
        <v>311</v>
      </c>
      <c r="N948" s="24">
        <v>505</v>
      </c>
      <c r="O948" s="24">
        <v>286</v>
      </c>
      <c r="P948" s="24">
        <v>470</v>
      </c>
      <c r="Q948">
        <v>282</v>
      </c>
      <c r="R948">
        <v>456</v>
      </c>
      <c r="S948">
        <v>298</v>
      </c>
      <c r="T948">
        <v>513</v>
      </c>
      <c r="U948">
        <v>298</v>
      </c>
      <c r="V948">
        <v>513</v>
      </c>
    </row>
    <row r="949" spans="2:22" x14ac:dyDescent="0.35">
      <c r="B949" s="23" t="s">
        <v>1141</v>
      </c>
      <c r="D949" t="s">
        <v>1067</v>
      </c>
      <c r="E949" t="s">
        <v>1068</v>
      </c>
      <c r="F949" s="46" t="s">
        <v>1141</v>
      </c>
      <c r="G949" t="s">
        <v>259</v>
      </c>
      <c r="H949" s="23">
        <v>5</v>
      </c>
      <c r="I949" s="23" t="s">
        <v>1121</v>
      </c>
      <c r="J949" t="s">
        <v>1142</v>
      </c>
      <c r="K949">
        <v>131</v>
      </c>
      <c r="L949">
        <v>181</v>
      </c>
      <c r="M949" s="24">
        <v>108</v>
      </c>
      <c r="N949" s="24">
        <v>183</v>
      </c>
      <c r="O949" s="24">
        <v>107</v>
      </c>
      <c r="P949" s="24">
        <v>156</v>
      </c>
      <c r="Q949">
        <v>83</v>
      </c>
      <c r="R949">
        <v>136</v>
      </c>
      <c r="S949">
        <v>77</v>
      </c>
      <c r="T949">
        <v>174</v>
      </c>
      <c r="U949">
        <v>77</v>
      </c>
      <c r="V949">
        <v>174</v>
      </c>
    </row>
    <row r="950" spans="2:22" x14ac:dyDescent="0.35">
      <c r="B950" s="23" t="s">
        <v>1143</v>
      </c>
      <c r="D950" t="s">
        <v>1067</v>
      </c>
      <c r="E950" t="s">
        <v>1068</v>
      </c>
      <c r="F950" s="46" t="s">
        <v>1143</v>
      </c>
      <c r="G950" t="s">
        <v>265</v>
      </c>
      <c r="H950" s="23">
        <v>6</v>
      </c>
      <c r="I950" s="23" t="s">
        <v>1144</v>
      </c>
      <c r="J950" t="s">
        <v>1145</v>
      </c>
      <c r="K950">
        <v>428</v>
      </c>
      <c r="L950">
        <v>721</v>
      </c>
      <c r="M950" s="24">
        <v>408</v>
      </c>
      <c r="N950" s="24">
        <v>646</v>
      </c>
      <c r="O950" s="24">
        <v>385</v>
      </c>
      <c r="P950" s="24">
        <v>626</v>
      </c>
      <c r="Q950">
        <v>360</v>
      </c>
      <c r="R950">
        <v>596</v>
      </c>
      <c r="S950">
        <v>437</v>
      </c>
      <c r="T950">
        <v>739</v>
      </c>
      <c r="U950">
        <v>437</v>
      </c>
      <c r="V950">
        <v>739</v>
      </c>
    </row>
    <row r="951" spans="2:22" x14ac:dyDescent="0.35">
      <c r="B951" s="23" t="s">
        <v>1146</v>
      </c>
      <c r="D951" t="s">
        <v>1067</v>
      </c>
      <c r="E951" t="s">
        <v>1068</v>
      </c>
      <c r="F951" s="46" t="s">
        <v>1146</v>
      </c>
      <c r="G951" t="s">
        <v>265</v>
      </c>
      <c r="H951" s="23">
        <v>6</v>
      </c>
      <c r="I951" s="23" t="s">
        <v>1144</v>
      </c>
      <c r="J951" t="s">
        <v>1147</v>
      </c>
      <c r="K951">
        <v>127</v>
      </c>
      <c r="L951">
        <v>246</v>
      </c>
      <c r="M951" s="24">
        <v>103</v>
      </c>
      <c r="N951" s="24">
        <v>199</v>
      </c>
      <c r="O951" s="24">
        <v>97</v>
      </c>
      <c r="P951" s="24">
        <v>186</v>
      </c>
      <c r="Q951">
        <v>109</v>
      </c>
      <c r="R951">
        <v>194</v>
      </c>
      <c r="S951">
        <v>144</v>
      </c>
      <c r="T951">
        <v>266</v>
      </c>
      <c r="U951">
        <v>144</v>
      </c>
      <c r="V951">
        <v>266</v>
      </c>
    </row>
    <row r="952" spans="2:22" x14ac:dyDescent="0.35">
      <c r="B952" s="23" t="s">
        <v>1148</v>
      </c>
      <c r="D952" t="s">
        <v>1067</v>
      </c>
      <c r="E952" t="s">
        <v>1068</v>
      </c>
      <c r="F952" s="46" t="s">
        <v>1148</v>
      </c>
      <c r="G952" t="s">
        <v>265</v>
      </c>
      <c r="H952" s="23">
        <v>6</v>
      </c>
      <c r="I952" s="23" t="s">
        <v>1144</v>
      </c>
      <c r="J952" t="s">
        <v>1149</v>
      </c>
      <c r="K952">
        <v>196</v>
      </c>
      <c r="L952">
        <v>328</v>
      </c>
      <c r="M952" s="24">
        <v>158</v>
      </c>
      <c r="N952" s="24">
        <v>273</v>
      </c>
      <c r="O952" s="24">
        <v>163</v>
      </c>
      <c r="P952" s="24">
        <v>286</v>
      </c>
      <c r="Q952">
        <v>153</v>
      </c>
      <c r="R952">
        <v>274</v>
      </c>
      <c r="S952">
        <v>184</v>
      </c>
      <c r="T952">
        <v>305</v>
      </c>
      <c r="U952">
        <v>184</v>
      </c>
      <c r="V952">
        <v>305</v>
      </c>
    </row>
    <row r="953" spans="2:22" x14ac:dyDescent="0.35">
      <c r="B953" s="23" t="s">
        <v>1150</v>
      </c>
      <c r="D953" t="s">
        <v>1067</v>
      </c>
      <c r="E953" t="s">
        <v>1068</v>
      </c>
      <c r="F953" s="46" t="s">
        <v>1150</v>
      </c>
      <c r="G953" t="s">
        <v>265</v>
      </c>
      <c r="H953" s="23">
        <v>6</v>
      </c>
      <c r="I953" s="23" t="s">
        <v>1144</v>
      </c>
      <c r="J953" t="s">
        <v>1151</v>
      </c>
      <c r="K953">
        <v>162</v>
      </c>
      <c r="L953">
        <v>288</v>
      </c>
      <c r="M953" s="24">
        <v>137</v>
      </c>
      <c r="N953" s="24">
        <v>248</v>
      </c>
      <c r="O953" s="24">
        <v>120</v>
      </c>
      <c r="P953" s="24">
        <v>234</v>
      </c>
      <c r="Q953">
        <v>96</v>
      </c>
      <c r="R953">
        <v>185</v>
      </c>
      <c r="S953" t="s">
        <v>1152</v>
      </c>
      <c r="T953">
        <v>220</v>
      </c>
      <c r="U953" t="s">
        <v>1152</v>
      </c>
      <c r="V953">
        <v>220</v>
      </c>
    </row>
    <row r="954" spans="2:22" x14ac:dyDescent="0.35">
      <c r="B954" s="23" t="s">
        <v>1153</v>
      </c>
      <c r="D954" t="s">
        <v>1067</v>
      </c>
      <c r="E954" t="s">
        <v>1068</v>
      </c>
      <c r="F954" s="46" t="s">
        <v>1153</v>
      </c>
      <c r="G954" t="s">
        <v>265</v>
      </c>
      <c r="H954" s="23">
        <v>6</v>
      </c>
      <c r="I954" s="23" t="s">
        <v>1144</v>
      </c>
      <c r="J954" s="49" t="s">
        <v>1154</v>
      </c>
      <c r="K954">
        <v>139</v>
      </c>
      <c r="L954">
        <v>238</v>
      </c>
      <c r="M954" s="24">
        <v>107</v>
      </c>
      <c r="N954" s="24">
        <v>208</v>
      </c>
      <c r="O954" s="24">
        <v>114</v>
      </c>
      <c r="P954" s="24">
        <v>209</v>
      </c>
      <c r="Q954">
        <v>92</v>
      </c>
      <c r="R954">
        <v>188</v>
      </c>
      <c r="S954">
        <v>125</v>
      </c>
      <c r="T954">
        <v>239</v>
      </c>
      <c r="U954">
        <v>125</v>
      </c>
      <c r="V954">
        <v>239</v>
      </c>
    </row>
    <row r="955" spans="2:22" x14ac:dyDescent="0.35">
      <c r="B955" s="23" t="s">
        <v>1155</v>
      </c>
      <c r="D955" t="s">
        <v>1067</v>
      </c>
      <c r="E955" t="s">
        <v>1068</v>
      </c>
      <c r="F955" s="46" t="s">
        <v>1155</v>
      </c>
      <c r="G955" t="s">
        <v>265</v>
      </c>
      <c r="H955" s="23">
        <v>6</v>
      </c>
      <c r="I955" s="23" t="s">
        <v>1144</v>
      </c>
      <c r="J955" s="48" t="s">
        <v>1156</v>
      </c>
      <c r="K955">
        <v>1426</v>
      </c>
      <c r="L955">
        <v>2463</v>
      </c>
      <c r="M955" s="24">
        <v>1153</v>
      </c>
      <c r="N955" s="24">
        <v>2034</v>
      </c>
      <c r="O955" s="24">
        <v>938</v>
      </c>
      <c r="P955" s="24">
        <v>1919</v>
      </c>
      <c r="Q955">
        <v>733</v>
      </c>
      <c r="R955">
        <v>1737</v>
      </c>
      <c r="S955">
        <v>934</v>
      </c>
      <c r="T955">
        <v>2100</v>
      </c>
      <c r="U955">
        <v>934</v>
      </c>
      <c r="V955">
        <v>2100</v>
      </c>
    </row>
    <row r="956" spans="2:22" x14ac:dyDescent="0.35">
      <c r="B956" s="23" t="s">
        <v>1157</v>
      </c>
      <c r="D956" t="s">
        <v>1067</v>
      </c>
      <c r="E956" t="s">
        <v>1068</v>
      </c>
      <c r="F956" s="46" t="s">
        <v>1157</v>
      </c>
      <c r="G956" t="s">
        <v>265</v>
      </c>
      <c r="H956" s="23">
        <v>6</v>
      </c>
      <c r="I956" s="23" t="s">
        <v>1144</v>
      </c>
      <c r="J956" t="s">
        <v>1158</v>
      </c>
      <c r="K956">
        <v>289</v>
      </c>
      <c r="L956">
        <v>539</v>
      </c>
      <c r="M956" s="24">
        <v>258</v>
      </c>
      <c r="N956" s="24">
        <v>484</v>
      </c>
      <c r="O956" s="24">
        <v>217</v>
      </c>
      <c r="P956" s="24">
        <v>433</v>
      </c>
      <c r="Q956">
        <v>162</v>
      </c>
      <c r="R956">
        <v>365</v>
      </c>
      <c r="S956">
        <v>208</v>
      </c>
      <c r="T956">
        <v>415</v>
      </c>
      <c r="U956">
        <v>208</v>
      </c>
      <c r="V956">
        <v>415</v>
      </c>
    </row>
    <row r="957" spans="2:22" x14ac:dyDescent="0.35">
      <c r="B957" s="23" t="s">
        <v>1159</v>
      </c>
      <c r="D957" t="s">
        <v>1067</v>
      </c>
      <c r="E957" t="s">
        <v>1068</v>
      </c>
      <c r="F957" s="46" t="s">
        <v>1159</v>
      </c>
      <c r="G957" t="s">
        <v>265</v>
      </c>
      <c r="H957" s="23">
        <v>6</v>
      </c>
      <c r="I957" s="23" t="s">
        <v>1144</v>
      </c>
      <c r="J957" t="s">
        <v>1160</v>
      </c>
      <c r="K957">
        <v>133</v>
      </c>
      <c r="L957">
        <v>229</v>
      </c>
      <c r="M957" s="24">
        <v>120</v>
      </c>
      <c r="N957" s="24">
        <v>201</v>
      </c>
      <c r="O957" s="24">
        <v>117</v>
      </c>
      <c r="P957" s="24">
        <v>196</v>
      </c>
      <c r="Q957">
        <v>121</v>
      </c>
      <c r="R957">
        <v>217</v>
      </c>
      <c r="S957">
        <v>124</v>
      </c>
      <c r="T957">
        <v>225</v>
      </c>
      <c r="U957">
        <v>124</v>
      </c>
      <c r="V957">
        <v>225</v>
      </c>
    </row>
    <row r="958" spans="2:22" x14ac:dyDescent="0.35">
      <c r="B958" s="23" t="s">
        <v>1161</v>
      </c>
      <c r="D958" t="s">
        <v>1067</v>
      </c>
      <c r="E958" t="s">
        <v>1068</v>
      </c>
      <c r="F958" s="46" t="s">
        <v>1161</v>
      </c>
      <c r="G958" t="s">
        <v>273</v>
      </c>
      <c r="H958" s="23">
        <v>7</v>
      </c>
      <c r="I958" s="23" t="s">
        <v>1162</v>
      </c>
      <c r="J958" t="s">
        <v>1163</v>
      </c>
      <c r="K958">
        <v>78</v>
      </c>
      <c r="L958">
        <v>156</v>
      </c>
      <c r="M958" s="24">
        <v>46</v>
      </c>
      <c r="N958" s="24">
        <v>120</v>
      </c>
      <c r="O958" s="24">
        <v>56</v>
      </c>
      <c r="P958" s="24">
        <v>124</v>
      </c>
      <c r="Q958">
        <v>55</v>
      </c>
      <c r="R958">
        <v>118</v>
      </c>
      <c r="S958">
        <v>80</v>
      </c>
      <c r="T958">
        <v>149</v>
      </c>
      <c r="U958">
        <v>80</v>
      </c>
      <c r="V958">
        <v>149</v>
      </c>
    </row>
    <row r="959" spans="2:22" x14ac:dyDescent="0.35">
      <c r="B959" s="23" t="s">
        <v>1164</v>
      </c>
      <c r="D959" t="s">
        <v>1067</v>
      </c>
      <c r="E959" t="s">
        <v>1068</v>
      </c>
      <c r="F959" s="46" t="s">
        <v>1164</v>
      </c>
      <c r="G959" t="s">
        <v>273</v>
      </c>
      <c r="H959" s="23">
        <v>7</v>
      </c>
      <c r="I959" s="23" t="s">
        <v>1162</v>
      </c>
      <c r="J959" t="s">
        <v>1165</v>
      </c>
      <c r="K959">
        <v>54</v>
      </c>
      <c r="L959">
        <v>114</v>
      </c>
      <c r="M959" s="24">
        <v>51</v>
      </c>
      <c r="N959" s="24">
        <v>97</v>
      </c>
      <c r="O959" s="24">
        <v>59</v>
      </c>
      <c r="P959" s="24">
        <v>98</v>
      </c>
      <c r="Q959">
        <v>56</v>
      </c>
      <c r="R959">
        <v>89</v>
      </c>
      <c r="S959">
        <v>72</v>
      </c>
      <c r="T959">
        <v>103</v>
      </c>
      <c r="U959">
        <v>72</v>
      </c>
      <c r="V959">
        <v>103</v>
      </c>
    </row>
    <row r="960" spans="2:22" x14ac:dyDescent="0.35">
      <c r="B960" s="23" t="s">
        <v>1166</v>
      </c>
      <c r="D960" t="s">
        <v>1067</v>
      </c>
      <c r="E960" t="s">
        <v>1068</v>
      </c>
      <c r="F960" s="46" t="s">
        <v>1166</v>
      </c>
      <c r="G960" t="s">
        <v>273</v>
      </c>
      <c r="H960" s="23">
        <v>7</v>
      </c>
      <c r="I960" s="23" t="s">
        <v>1162</v>
      </c>
      <c r="J960" t="s">
        <v>1167</v>
      </c>
      <c r="K960">
        <v>224</v>
      </c>
      <c r="L960">
        <v>451</v>
      </c>
      <c r="M960" s="24">
        <v>208</v>
      </c>
      <c r="N960" s="24">
        <v>404</v>
      </c>
      <c r="O960" s="24">
        <v>236</v>
      </c>
      <c r="P960" s="24">
        <v>417</v>
      </c>
      <c r="Q960">
        <v>237</v>
      </c>
      <c r="R960">
        <v>392</v>
      </c>
      <c r="S960">
        <v>267</v>
      </c>
      <c r="T960">
        <v>481</v>
      </c>
      <c r="U960">
        <v>267</v>
      </c>
      <c r="V960">
        <v>481</v>
      </c>
    </row>
    <row r="961" spans="2:22" x14ac:dyDescent="0.35">
      <c r="B961" s="23" t="s">
        <v>1168</v>
      </c>
      <c r="D961" t="s">
        <v>1067</v>
      </c>
      <c r="E961" t="s">
        <v>1068</v>
      </c>
      <c r="F961" s="46" t="s">
        <v>1168</v>
      </c>
      <c r="G961" t="s">
        <v>273</v>
      </c>
      <c r="H961" s="23">
        <v>7</v>
      </c>
      <c r="I961" s="23" t="s">
        <v>1162</v>
      </c>
      <c r="J961" t="s">
        <v>1169</v>
      </c>
      <c r="K961">
        <v>175</v>
      </c>
      <c r="L961">
        <v>265</v>
      </c>
      <c r="M961" s="24">
        <v>145</v>
      </c>
      <c r="N961" s="24">
        <v>251</v>
      </c>
      <c r="O961" s="24">
        <v>148</v>
      </c>
      <c r="P961" s="24">
        <v>231</v>
      </c>
      <c r="Q961">
        <v>131</v>
      </c>
      <c r="R961">
        <v>216</v>
      </c>
      <c r="S961">
        <v>151</v>
      </c>
      <c r="T961">
        <v>271</v>
      </c>
      <c r="U961">
        <v>151</v>
      </c>
      <c r="V961">
        <v>271</v>
      </c>
    </row>
    <row r="962" spans="2:22" x14ac:dyDescent="0.35">
      <c r="B962" s="23" t="s">
        <v>1170</v>
      </c>
      <c r="D962" t="s">
        <v>1067</v>
      </c>
      <c r="E962" t="s">
        <v>1068</v>
      </c>
      <c r="F962" s="46" t="s">
        <v>1170</v>
      </c>
      <c r="G962" t="s">
        <v>273</v>
      </c>
      <c r="H962" s="23">
        <v>7</v>
      </c>
      <c r="I962" s="23" t="s">
        <v>1162</v>
      </c>
      <c r="J962" t="s">
        <v>1171</v>
      </c>
      <c r="K962">
        <v>428</v>
      </c>
      <c r="L962">
        <v>804</v>
      </c>
      <c r="M962" s="24">
        <v>372</v>
      </c>
      <c r="N962" s="24">
        <v>709</v>
      </c>
      <c r="O962" s="24">
        <v>380</v>
      </c>
      <c r="P962" s="24">
        <v>685</v>
      </c>
      <c r="Q962">
        <v>393</v>
      </c>
      <c r="R962">
        <v>698</v>
      </c>
      <c r="S962">
        <v>496</v>
      </c>
      <c r="T962">
        <v>877</v>
      </c>
      <c r="U962">
        <v>496</v>
      </c>
      <c r="V962">
        <v>877</v>
      </c>
    </row>
    <row r="963" spans="2:22" x14ac:dyDescent="0.35">
      <c r="B963" s="23" t="s">
        <v>1172</v>
      </c>
      <c r="D963" t="s">
        <v>1067</v>
      </c>
      <c r="E963" t="s">
        <v>1068</v>
      </c>
      <c r="F963" s="46" t="s">
        <v>1172</v>
      </c>
      <c r="G963" t="s">
        <v>273</v>
      </c>
      <c r="H963" s="23">
        <v>7</v>
      </c>
      <c r="I963" s="23" t="s">
        <v>1162</v>
      </c>
      <c r="J963" t="s">
        <v>1173</v>
      </c>
      <c r="K963">
        <v>92</v>
      </c>
      <c r="L963">
        <v>158</v>
      </c>
      <c r="M963" s="24">
        <v>72</v>
      </c>
      <c r="N963" s="24">
        <v>132</v>
      </c>
      <c r="O963" s="24">
        <v>78</v>
      </c>
      <c r="P963" s="24">
        <v>113</v>
      </c>
      <c r="Q963">
        <v>68</v>
      </c>
      <c r="R963">
        <v>120</v>
      </c>
      <c r="S963">
        <v>76</v>
      </c>
      <c r="T963">
        <v>135</v>
      </c>
      <c r="U963">
        <v>76</v>
      </c>
      <c r="V963">
        <v>135</v>
      </c>
    </row>
    <row r="964" spans="2:22" x14ac:dyDescent="0.35">
      <c r="B964" s="23" t="s">
        <v>1174</v>
      </c>
      <c r="D964" t="s">
        <v>1067</v>
      </c>
      <c r="E964" t="s">
        <v>1068</v>
      </c>
      <c r="F964" s="46" t="s">
        <v>1174</v>
      </c>
      <c r="G964" t="s">
        <v>273</v>
      </c>
      <c r="H964" s="23">
        <v>7</v>
      </c>
      <c r="I964" s="23" t="s">
        <v>1162</v>
      </c>
      <c r="J964" t="s">
        <v>1175</v>
      </c>
      <c r="K964">
        <v>242</v>
      </c>
      <c r="L964">
        <v>442</v>
      </c>
      <c r="M964" s="24">
        <v>209</v>
      </c>
      <c r="N964" s="24">
        <v>377</v>
      </c>
      <c r="O964" s="24">
        <v>214</v>
      </c>
      <c r="P964" s="24">
        <v>370</v>
      </c>
      <c r="Q964">
        <v>175</v>
      </c>
      <c r="R964">
        <v>333</v>
      </c>
      <c r="S964">
        <v>203</v>
      </c>
      <c r="T964">
        <v>420</v>
      </c>
      <c r="U964">
        <v>203</v>
      </c>
      <c r="V964">
        <v>420</v>
      </c>
    </row>
    <row r="965" spans="2:22" x14ac:dyDescent="0.35">
      <c r="B965" s="23" t="s">
        <v>1176</v>
      </c>
      <c r="D965" t="s">
        <v>1067</v>
      </c>
      <c r="E965" t="s">
        <v>1068</v>
      </c>
      <c r="F965" s="46" t="s">
        <v>1176</v>
      </c>
      <c r="G965" t="s">
        <v>273</v>
      </c>
      <c r="H965" s="23">
        <v>7</v>
      </c>
      <c r="I965" s="23" t="s">
        <v>1162</v>
      </c>
      <c r="J965" t="s">
        <v>1177</v>
      </c>
      <c r="K965">
        <v>1856</v>
      </c>
      <c r="L965">
        <v>3599</v>
      </c>
      <c r="M965" s="24">
        <v>1594</v>
      </c>
      <c r="N965" s="24">
        <v>3262</v>
      </c>
      <c r="O965" s="24">
        <v>1588</v>
      </c>
      <c r="P965" s="24">
        <v>3123</v>
      </c>
      <c r="Q965">
        <v>1569</v>
      </c>
      <c r="R965">
        <v>3033</v>
      </c>
      <c r="S965">
        <v>1966</v>
      </c>
      <c r="T965">
        <v>3751</v>
      </c>
      <c r="U965">
        <v>1966</v>
      </c>
      <c r="V965">
        <v>3751</v>
      </c>
    </row>
    <row r="966" spans="2:22" x14ac:dyDescent="0.35">
      <c r="B966" s="23" t="s">
        <v>1178</v>
      </c>
      <c r="D966" t="s">
        <v>1067</v>
      </c>
      <c r="E966" t="s">
        <v>1068</v>
      </c>
      <c r="F966" s="46" t="s">
        <v>1178</v>
      </c>
      <c r="G966" t="s">
        <v>273</v>
      </c>
      <c r="H966" s="23">
        <v>7</v>
      </c>
      <c r="I966" s="23" t="s">
        <v>1162</v>
      </c>
      <c r="J966" t="s">
        <v>1179</v>
      </c>
      <c r="K966">
        <v>211</v>
      </c>
      <c r="L966">
        <v>422</v>
      </c>
      <c r="M966" s="24">
        <v>156</v>
      </c>
      <c r="N966" s="24">
        <v>349</v>
      </c>
      <c r="O966" s="24">
        <v>159</v>
      </c>
      <c r="P966" s="24">
        <v>349</v>
      </c>
      <c r="Q966">
        <v>169</v>
      </c>
      <c r="R966">
        <v>328</v>
      </c>
      <c r="S966">
        <v>174</v>
      </c>
      <c r="T966">
        <v>385</v>
      </c>
      <c r="U966">
        <v>174</v>
      </c>
      <c r="V966">
        <v>385</v>
      </c>
    </row>
    <row r="967" spans="2:22" x14ac:dyDescent="0.35">
      <c r="B967" s="23" t="s">
        <v>1180</v>
      </c>
      <c r="D967" t="s">
        <v>1067</v>
      </c>
      <c r="E967" t="s">
        <v>1068</v>
      </c>
      <c r="F967" s="46" t="s">
        <v>1180</v>
      </c>
      <c r="G967" t="s">
        <v>273</v>
      </c>
      <c r="H967" s="23">
        <v>7</v>
      </c>
      <c r="I967" s="23" t="s">
        <v>1162</v>
      </c>
      <c r="J967" t="s">
        <v>1181</v>
      </c>
      <c r="K967">
        <v>57</v>
      </c>
      <c r="L967">
        <v>94</v>
      </c>
      <c r="M967" s="24">
        <v>44</v>
      </c>
      <c r="N967" s="24">
        <v>76</v>
      </c>
      <c r="O967" s="24">
        <v>39</v>
      </c>
      <c r="P967" s="24">
        <v>71</v>
      </c>
      <c r="Q967">
        <f>O967</f>
        <v>39</v>
      </c>
      <c r="R967">
        <v>68</v>
      </c>
      <c r="S967">
        <v>0</v>
      </c>
      <c r="T967">
        <v>83</v>
      </c>
      <c r="U967">
        <v>0</v>
      </c>
      <c r="V967">
        <v>83</v>
      </c>
    </row>
    <row r="968" spans="2:22" x14ac:dyDescent="0.35">
      <c r="B968" s="23" t="s">
        <v>1182</v>
      </c>
      <c r="D968" t="s">
        <v>1067</v>
      </c>
      <c r="E968" t="s">
        <v>1068</v>
      </c>
      <c r="F968" s="46" t="s">
        <v>1182</v>
      </c>
      <c r="G968" t="s">
        <v>273</v>
      </c>
      <c r="H968" s="23">
        <v>7</v>
      </c>
      <c r="I968" s="23" t="s">
        <v>1162</v>
      </c>
      <c r="J968" t="s">
        <v>1183</v>
      </c>
      <c r="K968">
        <v>228</v>
      </c>
      <c r="L968">
        <v>458</v>
      </c>
      <c r="M968" s="24">
        <v>190</v>
      </c>
      <c r="N968" s="24">
        <v>382</v>
      </c>
      <c r="O968" s="24">
        <v>213</v>
      </c>
      <c r="P968" s="24">
        <v>394</v>
      </c>
      <c r="Q968">
        <v>252</v>
      </c>
      <c r="R968">
        <v>443</v>
      </c>
      <c r="S968">
        <v>228</v>
      </c>
      <c r="T968">
        <v>461</v>
      </c>
      <c r="U968">
        <v>228</v>
      </c>
      <c r="V968">
        <v>461</v>
      </c>
    </row>
    <row r="969" spans="2:22" x14ac:dyDescent="0.35">
      <c r="B969" s="23" t="s">
        <v>1184</v>
      </c>
      <c r="D969" t="s">
        <v>1067</v>
      </c>
      <c r="E969" t="s">
        <v>1068</v>
      </c>
      <c r="F969" s="46" t="s">
        <v>1184</v>
      </c>
      <c r="G969" t="s">
        <v>273</v>
      </c>
      <c r="H969" s="23">
        <v>7</v>
      </c>
      <c r="I969" s="23" t="s">
        <v>1162</v>
      </c>
      <c r="J969" t="s">
        <v>1185</v>
      </c>
      <c r="K969">
        <v>95</v>
      </c>
      <c r="L969">
        <v>198</v>
      </c>
      <c r="M969" s="24">
        <v>75</v>
      </c>
      <c r="N969" s="24">
        <v>167</v>
      </c>
      <c r="O969" s="24">
        <v>80</v>
      </c>
      <c r="P969" s="24">
        <v>153</v>
      </c>
      <c r="Q969">
        <v>97</v>
      </c>
      <c r="R969">
        <v>176</v>
      </c>
      <c r="S969">
        <v>102</v>
      </c>
      <c r="T969">
        <v>200</v>
      </c>
      <c r="U969">
        <v>102</v>
      </c>
      <c r="V969">
        <v>200</v>
      </c>
    </row>
    <row r="970" spans="2:22" x14ac:dyDescent="0.35">
      <c r="B970" s="23" t="s">
        <v>1186</v>
      </c>
      <c r="D970" t="s">
        <v>1067</v>
      </c>
      <c r="E970" t="s">
        <v>1068</v>
      </c>
      <c r="F970" s="46" t="s">
        <v>1186</v>
      </c>
      <c r="G970" t="s">
        <v>279</v>
      </c>
      <c r="H970" s="23">
        <v>8</v>
      </c>
      <c r="I970" s="23" t="s">
        <v>1187</v>
      </c>
      <c r="J970" t="s">
        <v>1188</v>
      </c>
      <c r="K970">
        <v>144</v>
      </c>
      <c r="L970">
        <v>222</v>
      </c>
      <c r="M970" s="24">
        <v>127</v>
      </c>
      <c r="N970" s="24">
        <v>204</v>
      </c>
      <c r="O970" s="24">
        <v>111</v>
      </c>
      <c r="P970" s="24">
        <v>188</v>
      </c>
      <c r="Q970">
        <v>104</v>
      </c>
      <c r="R970">
        <v>174</v>
      </c>
      <c r="S970">
        <v>143</v>
      </c>
      <c r="T970">
        <v>248</v>
      </c>
      <c r="U970">
        <v>143</v>
      </c>
      <c r="V970">
        <v>248</v>
      </c>
    </row>
    <row r="971" spans="2:22" x14ac:dyDescent="0.35">
      <c r="B971" s="23" t="s">
        <v>1189</v>
      </c>
      <c r="D971" t="s">
        <v>1067</v>
      </c>
      <c r="E971" t="s">
        <v>1068</v>
      </c>
      <c r="F971" s="46" t="s">
        <v>1189</v>
      </c>
      <c r="G971" t="s">
        <v>279</v>
      </c>
      <c r="H971" s="23">
        <v>8</v>
      </c>
      <c r="I971" s="23" t="s">
        <v>1187</v>
      </c>
      <c r="J971" t="s">
        <v>1190</v>
      </c>
      <c r="K971">
        <v>1677</v>
      </c>
      <c r="L971">
        <v>2429</v>
      </c>
      <c r="M971" s="24">
        <v>1390</v>
      </c>
      <c r="N971" s="24">
        <v>2037</v>
      </c>
      <c r="O971" s="24">
        <v>1101</v>
      </c>
      <c r="P971" s="24">
        <v>1803</v>
      </c>
      <c r="Q971">
        <v>911</v>
      </c>
      <c r="R971">
        <v>1680</v>
      </c>
      <c r="S971">
        <v>1161</v>
      </c>
      <c r="T971">
        <v>2082</v>
      </c>
      <c r="U971">
        <v>1161</v>
      </c>
      <c r="V971">
        <v>2082</v>
      </c>
    </row>
    <row r="972" spans="2:22" x14ac:dyDescent="0.35">
      <c r="B972" s="23" t="s">
        <v>1191</v>
      </c>
      <c r="D972" t="s">
        <v>1067</v>
      </c>
      <c r="E972" t="s">
        <v>1068</v>
      </c>
      <c r="F972" s="46" t="s">
        <v>1191</v>
      </c>
      <c r="G972" t="s">
        <v>279</v>
      </c>
      <c r="H972" s="23">
        <v>8</v>
      </c>
      <c r="I972" s="23" t="s">
        <v>1187</v>
      </c>
      <c r="J972" t="s">
        <v>1192</v>
      </c>
      <c r="K972">
        <v>3516</v>
      </c>
      <c r="L972">
        <v>5226</v>
      </c>
      <c r="M972" s="24">
        <v>2794</v>
      </c>
      <c r="N972" s="24">
        <v>4292</v>
      </c>
      <c r="O972" s="24">
        <v>2254</v>
      </c>
      <c r="P972" s="24">
        <v>3934</v>
      </c>
      <c r="Q972">
        <v>1705</v>
      </c>
      <c r="R972">
        <v>3340</v>
      </c>
      <c r="S972">
        <v>2665</v>
      </c>
      <c r="T972">
        <v>4457</v>
      </c>
      <c r="U972">
        <v>2665</v>
      </c>
      <c r="V972">
        <v>4457</v>
      </c>
    </row>
    <row r="973" spans="2:22" x14ac:dyDescent="0.35">
      <c r="B973" s="23" t="s">
        <v>1193</v>
      </c>
      <c r="D973" t="s">
        <v>1067</v>
      </c>
      <c r="E973" t="s">
        <v>1068</v>
      </c>
      <c r="F973" s="46" t="s">
        <v>1193</v>
      </c>
      <c r="G973" t="s">
        <v>279</v>
      </c>
      <c r="H973" s="23">
        <v>8</v>
      </c>
      <c r="I973" s="23" t="s">
        <v>1187</v>
      </c>
      <c r="J973" t="s">
        <v>1194</v>
      </c>
      <c r="K973">
        <v>117</v>
      </c>
      <c r="L973">
        <v>197</v>
      </c>
      <c r="M973" s="24">
        <v>105</v>
      </c>
      <c r="N973" s="24">
        <v>181</v>
      </c>
      <c r="O973" s="24">
        <v>111</v>
      </c>
      <c r="P973" s="24">
        <v>180</v>
      </c>
      <c r="Q973">
        <v>102</v>
      </c>
      <c r="R973">
        <v>172</v>
      </c>
      <c r="S973">
        <v>139</v>
      </c>
      <c r="T973">
        <v>235</v>
      </c>
      <c r="U973">
        <v>139</v>
      </c>
      <c r="V973">
        <v>235</v>
      </c>
    </row>
    <row r="974" spans="2:22" x14ac:dyDescent="0.35">
      <c r="B974" s="23" t="s">
        <v>1195</v>
      </c>
      <c r="D974" t="s">
        <v>1067</v>
      </c>
      <c r="E974" t="s">
        <v>1068</v>
      </c>
      <c r="F974" s="46" t="s">
        <v>1195</v>
      </c>
      <c r="G974" t="s">
        <v>279</v>
      </c>
      <c r="H974" s="23">
        <v>8</v>
      </c>
      <c r="I974" s="23" t="s">
        <v>1187</v>
      </c>
      <c r="J974" t="s">
        <v>1196</v>
      </c>
      <c r="K974">
        <v>352</v>
      </c>
      <c r="L974">
        <v>514</v>
      </c>
      <c r="M974" s="24">
        <v>306</v>
      </c>
      <c r="N974" s="24">
        <v>465</v>
      </c>
      <c r="O974" s="24">
        <v>311</v>
      </c>
      <c r="P974" s="24">
        <v>474</v>
      </c>
      <c r="Q974">
        <v>312</v>
      </c>
      <c r="R974">
        <v>488</v>
      </c>
      <c r="S974">
        <v>392</v>
      </c>
      <c r="T974">
        <v>629</v>
      </c>
      <c r="U974">
        <v>392</v>
      </c>
      <c r="V974">
        <v>629</v>
      </c>
    </row>
    <row r="975" spans="2:22" x14ac:dyDescent="0.35">
      <c r="B975" s="23" t="s">
        <v>1197</v>
      </c>
      <c r="D975" t="s">
        <v>1067</v>
      </c>
      <c r="E975" t="s">
        <v>1068</v>
      </c>
      <c r="F975" s="46" t="s">
        <v>1197</v>
      </c>
      <c r="G975" t="s">
        <v>279</v>
      </c>
      <c r="H975" s="23">
        <v>8</v>
      </c>
      <c r="I975" s="23" t="s">
        <v>1187</v>
      </c>
      <c r="J975" t="s">
        <v>1198</v>
      </c>
      <c r="K975">
        <v>407</v>
      </c>
      <c r="L975">
        <v>621</v>
      </c>
      <c r="M975" s="24">
        <v>316</v>
      </c>
      <c r="N975" s="24">
        <v>519</v>
      </c>
      <c r="O975" s="24">
        <v>351</v>
      </c>
      <c r="P975" s="24">
        <v>547</v>
      </c>
      <c r="Q975">
        <v>311</v>
      </c>
      <c r="R975">
        <v>522</v>
      </c>
      <c r="S975">
        <v>362</v>
      </c>
      <c r="T975">
        <v>635</v>
      </c>
      <c r="U975">
        <v>362</v>
      </c>
      <c r="V975">
        <v>635</v>
      </c>
    </row>
    <row r="976" spans="2:22" x14ac:dyDescent="0.35">
      <c r="B976" s="23" t="s">
        <v>1199</v>
      </c>
      <c r="D976" t="s">
        <v>1067</v>
      </c>
      <c r="E976" t="s">
        <v>1068</v>
      </c>
      <c r="F976" s="46" t="s">
        <v>1199</v>
      </c>
      <c r="G976" t="s">
        <v>279</v>
      </c>
      <c r="H976" s="23">
        <v>8</v>
      </c>
      <c r="I976" s="23" t="s">
        <v>1187</v>
      </c>
      <c r="J976" t="s">
        <v>1200</v>
      </c>
      <c r="K976">
        <v>102</v>
      </c>
      <c r="L976">
        <v>139</v>
      </c>
      <c r="M976" s="24">
        <v>98</v>
      </c>
      <c r="N976" s="24">
        <v>137</v>
      </c>
      <c r="O976" s="24">
        <v>63</v>
      </c>
      <c r="P976" s="24">
        <v>106</v>
      </c>
      <c r="Q976">
        <f>O976</f>
        <v>63</v>
      </c>
      <c r="R976">
        <v>93</v>
      </c>
      <c r="S976">
        <v>59</v>
      </c>
      <c r="T976">
        <v>103</v>
      </c>
      <c r="U976">
        <v>59</v>
      </c>
      <c r="V976">
        <v>103</v>
      </c>
    </row>
    <row r="977" spans="2:22" x14ac:dyDescent="0.35">
      <c r="B977" s="23" t="s">
        <v>1201</v>
      </c>
      <c r="D977" t="s">
        <v>1067</v>
      </c>
      <c r="E977" t="s">
        <v>1068</v>
      </c>
      <c r="F977" s="46" t="s">
        <v>1201</v>
      </c>
      <c r="G977" t="s">
        <v>279</v>
      </c>
      <c r="H977" s="23">
        <v>8</v>
      </c>
      <c r="I977" s="23" t="s">
        <v>1187</v>
      </c>
      <c r="J977" t="s">
        <v>1202</v>
      </c>
      <c r="K977">
        <v>246</v>
      </c>
      <c r="L977">
        <v>427</v>
      </c>
      <c r="M977" s="24">
        <v>224</v>
      </c>
      <c r="N977" s="24">
        <v>411</v>
      </c>
      <c r="O977" s="24">
        <v>216</v>
      </c>
      <c r="P977" s="24">
        <v>375</v>
      </c>
      <c r="Q977">
        <v>222</v>
      </c>
      <c r="R977">
        <v>367</v>
      </c>
      <c r="S977">
        <v>268</v>
      </c>
      <c r="T977">
        <v>445</v>
      </c>
      <c r="U977">
        <v>268</v>
      </c>
      <c r="V977">
        <v>445</v>
      </c>
    </row>
    <row r="978" spans="2:22" x14ac:dyDescent="0.35">
      <c r="B978" s="23" t="s">
        <v>1203</v>
      </c>
      <c r="D978" t="s">
        <v>1067</v>
      </c>
      <c r="E978" t="s">
        <v>1068</v>
      </c>
      <c r="F978" s="46" t="s">
        <v>1203</v>
      </c>
      <c r="G978" t="s">
        <v>279</v>
      </c>
      <c r="H978" s="23">
        <v>8</v>
      </c>
      <c r="I978" s="23" t="s">
        <v>1187</v>
      </c>
      <c r="J978" t="s">
        <v>1204</v>
      </c>
      <c r="K978">
        <v>478</v>
      </c>
      <c r="L978">
        <v>712</v>
      </c>
      <c r="M978" s="24">
        <v>431</v>
      </c>
      <c r="N978" s="24">
        <v>636</v>
      </c>
      <c r="O978" s="24">
        <v>441</v>
      </c>
      <c r="P978" s="24">
        <v>641</v>
      </c>
      <c r="Q978">
        <v>406</v>
      </c>
      <c r="R978">
        <v>609</v>
      </c>
      <c r="S978">
        <v>490</v>
      </c>
      <c r="T978">
        <v>775</v>
      </c>
      <c r="U978">
        <v>490</v>
      </c>
      <c r="V978">
        <v>775</v>
      </c>
    </row>
    <row r="979" spans="2:22" x14ac:dyDescent="0.35">
      <c r="B979" s="23" t="s">
        <v>1205</v>
      </c>
      <c r="D979" t="s">
        <v>1206</v>
      </c>
      <c r="E979" t="s">
        <v>1207</v>
      </c>
      <c r="F979" s="46" t="s">
        <v>1205</v>
      </c>
      <c r="G979" t="s">
        <v>231</v>
      </c>
      <c r="H979" s="23">
        <v>1</v>
      </c>
      <c r="I979" s="23" t="s">
        <v>1208</v>
      </c>
      <c r="J979" t="s">
        <v>1209</v>
      </c>
      <c r="K979">
        <v>4579</v>
      </c>
      <c r="L979">
        <v>5100</v>
      </c>
      <c r="M979" s="24">
        <v>4390</v>
      </c>
      <c r="N979" s="24">
        <v>4667</v>
      </c>
      <c r="O979" s="24">
        <v>4288</v>
      </c>
      <c r="P979" s="24">
        <v>4821</v>
      </c>
      <c r="Q979">
        <v>4617</v>
      </c>
      <c r="R979">
        <v>5492</v>
      </c>
      <c r="S979">
        <v>5950</v>
      </c>
      <c r="T979">
        <v>7086</v>
      </c>
      <c r="U979">
        <v>5950</v>
      </c>
      <c r="V979">
        <v>7086</v>
      </c>
    </row>
    <row r="980" spans="2:22" x14ac:dyDescent="0.35">
      <c r="B980" s="23" t="s">
        <v>1210</v>
      </c>
      <c r="D980" t="s">
        <v>1206</v>
      </c>
      <c r="E980" t="s">
        <v>1207</v>
      </c>
      <c r="F980" s="46" t="s">
        <v>1210</v>
      </c>
      <c r="G980" t="s">
        <v>231</v>
      </c>
      <c r="H980" s="23">
        <v>1</v>
      </c>
      <c r="I980" s="23" t="s">
        <v>1208</v>
      </c>
      <c r="J980" t="s">
        <v>367</v>
      </c>
      <c r="K980">
        <v>980</v>
      </c>
      <c r="L980">
        <v>1052</v>
      </c>
      <c r="M980" s="24">
        <v>1001</v>
      </c>
      <c r="N980" s="24">
        <v>1044</v>
      </c>
      <c r="O980" s="24">
        <v>1078</v>
      </c>
      <c r="P980" s="24">
        <v>1166</v>
      </c>
      <c r="Q980">
        <v>1048</v>
      </c>
      <c r="R980">
        <v>1269</v>
      </c>
      <c r="S980">
        <v>1372</v>
      </c>
      <c r="T980">
        <v>1599</v>
      </c>
      <c r="U980">
        <v>1372</v>
      </c>
      <c r="V980">
        <v>1599</v>
      </c>
    </row>
    <row r="981" spans="2:22" x14ac:dyDescent="0.35">
      <c r="B981" s="23" t="s">
        <v>1211</v>
      </c>
      <c r="D981" t="s">
        <v>1206</v>
      </c>
      <c r="E981" t="s">
        <v>1207</v>
      </c>
      <c r="F981" s="46" t="s">
        <v>1211</v>
      </c>
      <c r="G981" t="s">
        <v>231</v>
      </c>
      <c r="H981" s="23">
        <v>1</v>
      </c>
      <c r="I981" s="23" t="s">
        <v>1208</v>
      </c>
      <c r="J981" t="s">
        <v>1212</v>
      </c>
      <c r="K981">
        <v>633</v>
      </c>
      <c r="L981">
        <v>672</v>
      </c>
      <c r="M981" s="24">
        <v>653</v>
      </c>
      <c r="N981" s="24">
        <v>677</v>
      </c>
      <c r="O981" s="24">
        <v>656</v>
      </c>
      <c r="P981" s="24">
        <v>718</v>
      </c>
      <c r="Q981">
        <v>692</v>
      </c>
      <c r="R981">
        <v>836</v>
      </c>
      <c r="S981">
        <v>928</v>
      </c>
      <c r="T981">
        <v>1085</v>
      </c>
      <c r="U981">
        <v>928</v>
      </c>
      <c r="V981">
        <v>1085</v>
      </c>
    </row>
    <row r="982" spans="2:22" x14ac:dyDescent="0.35">
      <c r="B982" s="23" t="s">
        <v>1213</v>
      </c>
      <c r="D982" t="s">
        <v>1206</v>
      </c>
      <c r="E982" t="s">
        <v>1207</v>
      </c>
      <c r="F982" s="46" t="s">
        <v>1213</v>
      </c>
      <c r="G982" t="s">
        <v>231</v>
      </c>
      <c r="H982" s="23">
        <v>1</v>
      </c>
      <c r="I982" s="23" t="s">
        <v>1208</v>
      </c>
      <c r="J982" t="s">
        <v>1214</v>
      </c>
      <c r="K982">
        <v>256</v>
      </c>
      <c r="L982">
        <v>278</v>
      </c>
      <c r="M982" s="24">
        <v>256</v>
      </c>
      <c r="N982" s="24">
        <v>266</v>
      </c>
      <c r="O982" s="24">
        <v>292</v>
      </c>
      <c r="P982" s="24">
        <v>312</v>
      </c>
      <c r="Q982">
        <v>337</v>
      </c>
      <c r="R982">
        <v>414</v>
      </c>
      <c r="S982">
        <v>792</v>
      </c>
      <c r="T982">
        <v>867</v>
      </c>
      <c r="U982">
        <v>792</v>
      </c>
      <c r="V982">
        <v>867</v>
      </c>
    </row>
    <row r="983" spans="2:22" x14ac:dyDescent="0.35">
      <c r="B983" s="23" t="s">
        <v>1215</v>
      </c>
      <c r="D983" t="s">
        <v>1206</v>
      </c>
      <c r="E983" t="s">
        <v>1207</v>
      </c>
      <c r="F983" s="46" t="s">
        <v>1215</v>
      </c>
      <c r="G983" t="s">
        <v>235</v>
      </c>
      <c r="H983" s="23">
        <v>2</v>
      </c>
      <c r="I983" s="23" t="s">
        <v>1216</v>
      </c>
      <c r="J983" t="s">
        <v>456</v>
      </c>
      <c r="K983">
        <v>202</v>
      </c>
      <c r="L983">
        <v>209</v>
      </c>
      <c r="M983" s="24">
        <v>223</v>
      </c>
      <c r="N983" s="24">
        <v>228</v>
      </c>
      <c r="O983" s="24">
        <v>276</v>
      </c>
      <c r="P983" s="24">
        <v>283</v>
      </c>
      <c r="Q983">
        <v>287</v>
      </c>
      <c r="R983">
        <v>328</v>
      </c>
      <c r="S983">
        <v>332</v>
      </c>
      <c r="T983">
        <v>405</v>
      </c>
      <c r="U983">
        <v>332</v>
      </c>
      <c r="V983">
        <v>405</v>
      </c>
    </row>
    <row r="984" spans="2:22" x14ac:dyDescent="0.35">
      <c r="B984" s="23" t="s">
        <v>1217</v>
      </c>
      <c r="D984" t="s">
        <v>1206</v>
      </c>
      <c r="E984" t="s">
        <v>1207</v>
      </c>
      <c r="F984" s="46" t="s">
        <v>1217</v>
      </c>
      <c r="G984" t="s">
        <v>235</v>
      </c>
      <c r="H984" s="23">
        <v>2</v>
      </c>
      <c r="I984" s="23" t="s">
        <v>1216</v>
      </c>
      <c r="J984" t="s">
        <v>1218</v>
      </c>
      <c r="K984">
        <v>393</v>
      </c>
      <c r="L984">
        <v>422</v>
      </c>
      <c r="M984" s="24">
        <v>415</v>
      </c>
      <c r="N984" s="24">
        <v>426</v>
      </c>
      <c r="O984" s="24">
        <v>500</v>
      </c>
      <c r="P984" s="24">
        <v>521</v>
      </c>
      <c r="Q984">
        <v>560</v>
      </c>
      <c r="R984">
        <v>674</v>
      </c>
      <c r="S984">
        <v>804</v>
      </c>
      <c r="T984">
        <v>965</v>
      </c>
      <c r="U984">
        <v>804</v>
      </c>
      <c r="V984">
        <v>965</v>
      </c>
    </row>
    <row r="985" spans="2:22" x14ac:dyDescent="0.35">
      <c r="B985" s="23" t="s">
        <v>1219</v>
      </c>
      <c r="D985" t="s">
        <v>1206</v>
      </c>
      <c r="E985" t="s">
        <v>1207</v>
      </c>
      <c r="F985" s="46" t="s">
        <v>1219</v>
      </c>
      <c r="G985" t="s">
        <v>235</v>
      </c>
      <c r="H985" s="23">
        <v>2</v>
      </c>
      <c r="I985" s="23" t="s">
        <v>1216</v>
      </c>
      <c r="J985" t="s">
        <v>237</v>
      </c>
      <c r="K985">
        <v>2241</v>
      </c>
      <c r="L985">
        <v>2397</v>
      </c>
      <c r="M985" s="24">
        <v>2692</v>
      </c>
      <c r="N985" s="24">
        <v>2786</v>
      </c>
      <c r="O985" s="24">
        <v>2987</v>
      </c>
      <c r="P985" s="24">
        <v>3287</v>
      </c>
      <c r="Q985">
        <v>2999</v>
      </c>
      <c r="R985">
        <v>3487</v>
      </c>
      <c r="S985">
        <v>3871</v>
      </c>
      <c r="T985">
        <v>4344</v>
      </c>
      <c r="U985">
        <v>3871</v>
      </c>
      <c r="V985">
        <v>4344</v>
      </c>
    </row>
    <row r="986" spans="2:22" x14ac:dyDescent="0.35">
      <c r="B986" s="23" t="s">
        <v>1220</v>
      </c>
      <c r="D986" t="s">
        <v>1206</v>
      </c>
      <c r="E986" t="s">
        <v>1207</v>
      </c>
      <c r="F986" s="46" t="s">
        <v>1220</v>
      </c>
      <c r="G986" t="s">
        <v>235</v>
      </c>
      <c r="H986" s="23">
        <v>2</v>
      </c>
      <c r="I986" s="23" t="s">
        <v>1216</v>
      </c>
      <c r="J986" t="s">
        <v>1221</v>
      </c>
      <c r="K986">
        <v>575</v>
      </c>
      <c r="L986">
        <v>615</v>
      </c>
      <c r="M986" s="24">
        <v>687</v>
      </c>
      <c r="N986" s="24">
        <v>720</v>
      </c>
      <c r="O986" s="24">
        <v>746</v>
      </c>
      <c r="P986" s="24">
        <v>818</v>
      </c>
      <c r="Q986">
        <v>694</v>
      </c>
      <c r="R986">
        <v>849</v>
      </c>
      <c r="S986">
        <v>955</v>
      </c>
      <c r="T986">
        <v>1148</v>
      </c>
      <c r="U986">
        <v>955</v>
      </c>
      <c r="V986">
        <v>1148</v>
      </c>
    </row>
    <row r="987" spans="2:22" x14ac:dyDescent="0.35">
      <c r="B987" s="23" t="s">
        <v>1222</v>
      </c>
      <c r="D987" t="s">
        <v>1206</v>
      </c>
      <c r="E987" t="s">
        <v>1207</v>
      </c>
      <c r="F987" s="46" t="s">
        <v>1222</v>
      </c>
      <c r="G987" t="s">
        <v>235</v>
      </c>
      <c r="H987" s="23">
        <v>2</v>
      </c>
      <c r="I987" s="23" t="s">
        <v>1216</v>
      </c>
      <c r="J987" t="s">
        <v>1223</v>
      </c>
      <c r="K987">
        <v>539</v>
      </c>
      <c r="L987">
        <v>561</v>
      </c>
      <c r="M987" s="24">
        <v>667</v>
      </c>
      <c r="N987" s="24">
        <v>677</v>
      </c>
      <c r="O987" s="24">
        <v>845</v>
      </c>
      <c r="P987" s="24">
        <v>891</v>
      </c>
      <c r="Q987">
        <v>876</v>
      </c>
      <c r="R987">
        <v>988</v>
      </c>
      <c r="S987">
        <v>955</v>
      </c>
      <c r="T987">
        <v>1072</v>
      </c>
      <c r="U987">
        <v>955</v>
      </c>
      <c r="V987">
        <v>1072</v>
      </c>
    </row>
    <row r="988" spans="2:22" x14ac:dyDescent="0.35">
      <c r="B988" s="23" t="s">
        <v>1224</v>
      </c>
      <c r="D988" t="s">
        <v>1206</v>
      </c>
      <c r="E988" t="s">
        <v>1207</v>
      </c>
      <c r="F988" s="46" t="s">
        <v>1224</v>
      </c>
      <c r="G988" t="s">
        <v>235</v>
      </c>
      <c r="H988" s="23">
        <v>2</v>
      </c>
      <c r="I988" s="23" t="s">
        <v>1216</v>
      </c>
      <c r="J988" t="s">
        <v>518</v>
      </c>
      <c r="K988">
        <v>579</v>
      </c>
      <c r="L988">
        <v>625</v>
      </c>
      <c r="M988" s="24">
        <v>682</v>
      </c>
      <c r="N988" s="24">
        <v>710</v>
      </c>
      <c r="O988" s="24">
        <v>793</v>
      </c>
      <c r="P988" s="24">
        <v>868</v>
      </c>
      <c r="Q988">
        <v>743</v>
      </c>
      <c r="R988">
        <v>875</v>
      </c>
      <c r="S988">
        <v>908</v>
      </c>
      <c r="T988">
        <v>1038</v>
      </c>
      <c r="U988">
        <v>908</v>
      </c>
      <c r="V988">
        <v>1038</v>
      </c>
    </row>
    <row r="989" spans="2:22" x14ac:dyDescent="0.35">
      <c r="B989" s="23" t="s">
        <v>1225</v>
      </c>
      <c r="D989" t="s">
        <v>1206</v>
      </c>
      <c r="E989" t="s">
        <v>1207</v>
      </c>
      <c r="F989" s="46" t="s">
        <v>1225</v>
      </c>
      <c r="G989" t="s">
        <v>239</v>
      </c>
      <c r="H989" s="23">
        <v>3</v>
      </c>
      <c r="I989" s="23" t="s">
        <v>1226</v>
      </c>
      <c r="J989" t="s">
        <v>1227</v>
      </c>
      <c r="K989">
        <v>855</v>
      </c>
      <c r="L989">
        <v>925</v>
      </c>
      <c r="M989" s="24">
        <v>975</v>
      </c>
      <c r="N989" s="24">
        <v>1025</v>
      </c>
      <c r="O989" s="24">
        <v>1096</v>
      </c>
      <c r="P989" s="24">
        <v>1172</v>
      </c>
      <c r="Q989">
        <v>1020</v>
      </c>
      <c r="R989">
        <v>1299</v>
      </c>
      <c r="S989">
        <v>1262</v>
      </c>
      <c r="T989">
        <v>1511</v>
      </c>
      <c r="U989">
        <v>1262</v>
      </c>
      <c r="V989">
        <v>1511</v>
      </c>
    </row>
    <row r="990" spans="2:22" x14ac:dyDescent="0.35">
      <c r="B990" s="23" t="s">
        <v>1228</v>
      </c>
      <c r="D990" t="s">
        <v>1206</v>
      </c>
      <c r="E990" t="s">
        <v>1207</v>
      </c>
      <c r="F990" s="46" t="s">
        <v>1228</v>
      </c>
      <c r="G990" t="s">
        <v>239</v>
      </c>
      <c r="H990" s="23">
        <v>3</v>
      </c>
      <c r="I990" s="23" t="s">
        <v>1226</v>
      </c>
      <c r="J990" t="s">
        <v>1229</v>
      </c>
      <c r="K990">
        <v>8046</v>
      </c>
      <c r="L990">
        <v>8747</v>
      </c>
      <c r="M990" s="24">
        <v>8359</v>
      </c>
      <c r="N990" s="24">
        <v>8794</v>
      </c>
      <c r="O990" s="24">
        <v>7847</v>
      </c>
      <c r="P990" s="24">
        <v>8999</v>
      </c>
      <c r="Q990">
        <v>7380</v>
      </c>
      <c r="R990">
        <v>9710</v>
      </c>
      <c r="S990">
        <v>9825</v>
      </c>
      <c r="T990">
        <v>11971</v>
      </c>
      <c r="U990">
        <v>9825</v>
      </c>
      <c r="V990">
        <v>11971</v>
      </c>
    </row>
    <row r="991" spans="2:22" x14ac:dyDescent="0.35">
      <c r="B991" s="23" t="s">
        <v>1230</v>
      </c>
      <c r="D991" t="s">
        <v>1206</v>
      </c>
      <c r="E991" t="s">
        <v>1207</v>
      </c>
      <c r="F991" s="46" t="s">
        <v>1230</v>
      </c>
      <c r="G991" t="s">
        <v>239</v>
      </c>
      <c r="H991" s="23">
        <v>3</v>
      </c>
      <c r="I991" s="23" t="s">
        <v>1226</v>
      </c>
      <c r="J991" t="s">
        <v>287</v>
      </c>
      <c r="K991">
        <v>2774</v>
      </c>
      <c r="L991">
        <v>3051</v>
      </c>
      <c r="M991" s="24">
        <v>2998</v>
      </c>
      <c r="N991" s="24">
        <v>3145</v>
      </c>
      <c r="O991" s="24">
        <v>2777</v>
      </c>
      <c r="P991" s="24">
        <v>3199</v>
      </c>
      <c r="Q991">
        <v>2704</v>
      </c>
      <c r="R991">
        <v>3456</v>
      </c>
      <c r="S991">
        <v>3528</v>
      </c>
      <c r="T991">
        <v>4273</v>
      </c>
      <c r="U991">
        <v>3528</v>
      </c>
      <c r="V991">
        <v>4273</v>
      </c>
    </row>
    <row r="992" spans="2:22" x14ac:dyDescent="0.35">
      <c r="B992" s="23" t="s">
        <v>1231</v>
      </c>
      <c r="D992" t="s">
        <v>1206</v>
      </c>
      <c r="E992" t="s">
        <v>1207</v>
      </c>
      <c r="F992" s="46" t="s">
        <v>1231</v>
      </c>
      <c r="G992" t="s">
        <v>239</v>
      </c>
      <c r="H992" s="23">
        <v>3</v>
      </c>
      <c r="I992" s="23" t="s">
        <v>1226</v>
      </c>
      <c r="J992" t="s">
        <v>1232</v>
      </c>
      <c r="K992">
        <v>3179</v>
      </c>
      <c r="L992">
        <v>3508</v>
      </c>
      <c r="M992" s="24">
        <v>3111</v>
      </c>
      <c r="N992" s="24">
        <v>3257</v>
      </c>
      <c r="O992" s="24">
        <v>3014</v>
      </c>
      <c r="P992" s="24">
        <v>3451</v>
      </c>
      <c r="Q992">
        <v>2896</v>
      </c>
      <c r="R992">
        <v>3697</v>
      </c>
      <c r="S992">
        <v>4014</v>
      </c>
      <c r="T992">
        <v>4850</v>
      </c>
      <c r="U992">
        <v>4014</v>
      </c>
      <c r="V992">
        <v>4850</v>
      </c>
    </row>
    <row r="993" spans="2:22" x14ac:dyDescent="0.35">
      <c r="B993" s="23" t="s">
        <v>1233</v>
      </c>
      <c r="D993" t="s">
        <v>1206</v>
      </c>
      <c r="E993" t="s">
        <v>1207</v>
      </c>
      <c r="F993" s="46" t="s">
        <v>1233</v>
      </c>
      <c r="G993" t="s">
        <v>239</v>
      </c>
      <c r="H993" s="23">
        <v>3</v>
      </c>
      <c r="I993" s="23" t="s">
        <v>1226</v>
      </c>
      <c r="J993" t="s">
        <v>1234</v>
      </c>
      <c r="K993">
        <v>661</v>
      </c>
      <c r="L993">
        <v>703</v>
      </c>
      <c r="M993" s="24">
        <v>720</v>
      </c>
      <c r="N993" s="24">
        <v>751</v>
      </c>
      <c r="O993" s="24">
        <v>781</v>
      </c>
      <c r="P993" s="24">
        <v>840</v>
      </c>
      <c r="Q993">
        <v>761</v>
      </c>
      <c r="R993">
        <v>929</v>
      </c>
      <c r="S993">
        <v>889</v>
      </c>
      <c r="T993">
        <v>1048</v>
      </c>
      <c r="U993">
        <v>889</v>
      </c>
      <c r="V993">
        <v>1048</v>
      </c>
    </row>
    <row r="994" spans="2:22" x14ac:dyDescent="0.35">
      <c r="B994" s="23" t="s">
        <v>1235</v>
      </c>
      <c r="D994" t="s">
        <v>1206</v>
      </c>
      <c r="E994" t="s">
        <v>1207</v>
      </c>
      <c r="F994" s="46" t="s">
        <v>1235</v>
      </c>
      <c r="G994" t="s">
        <v>239</v>
      </c>
      <c r="H994" s="23">
        <v>3</v>
      </c>
      <c r="I994" s="23" t="s">
        <v>1226</v>
      </c>
      <c r="J994" t="s">
        <v>873</v>
      </c>
      <c r="K994">
        <v>1056</v>
      </c>
      <c r="L994">
        <v>1123</v>
      </c>
      <c r="M994" s="24">
        <v>1131</v>
      </c>
      <c r="N994" s="24">
        <v>1170</v>
      </c>
      <c r="O994" s="24">
        <v>1090</v>
      </c>
      <c r="P994" s="24">
        <v>1229</v>
      </c>
      <c r="Q994">
        <v>1077</v>
      </c>
      <c r="R994">
        <v>1359</v>
      </c>
      <c r="S994">
        <v>1563</v>
      </c>
      <c r="T994">
        <v>1840</v>
      </c>
      <c r="U994">
        <v>1563</v>
      </c>
      <c r="V994">
        <v>1840</v>
      </c>
    </row>
    <row r="995" spans="2:22" x14ac:dyDescent="0.35">
      <c r="B995" s="23" t="s">
        <v>1236</v>
      </c>
      <c r="D995" t="s">
        <v>1206</v>
      </c>
      <c r="E995" t="s">
        <v>1207</v>
      </c>
      <c r="F995" s="46" t="s">
        <v>1236</v>
      </c>
      <c r="G995" t="s">
        <v>255</v>
      </c>
      <c r="H995" s="23">
        <v>4</v>
      </c>
      <c r="I995" s="23" t="s">
        <v>1237</v>
      </c>
      <c r="J995" t="s">
        <v>1238</v>
      </c>
      <c r="K995">
        <v>2197</v>
      </c>
      <c r="L995">
        <v>2339</v>
      </c>
      <c r="M995" s="24">
        <v>2509</v>
      </c>
      <c r="N995" s="24">
        <v>2625</v>
      </c>
      <c r="O995" s="24">
        <v>2478</v>
      </c>
      <c r="P995" s="24">
        <v>2890</v>
      </c>
      <c r="Q995">
        <v>2416</v>
      </c>
      <c r="R995">
        <v>3002</v>
      </c>
      <c r="S995">
        <v>3351</v>
      </c>
      <c r="T995">
        <v>4005</v>
      </c>
      <c r="U995">
        <v>3351</v>
      </c>
      <c r="V995">
        <v>4005</v>
      </c>
    </row>
    <row r="996" spans="2:22" x14ac:dyDescent="0.35">
      <c r="B996" s="23" t="s">
        <v>1239</v>
      </c>
      <c r="D996" t="s">
        <v>1206</v>
      </c>
      <c r="E996" t="s">
        <v>1207</v>
      </c>
      <c r="F996" s="46" t="s">
        <v>1239</v>
      </c>
      <c r="G996" t="s">
        <v>255</v>
      </c>
      <c r="H996" s="23">
        <v>4</v>
      </c>
      <c r="I996" s="23" t="s">
        <v>1237</v>
      </c>
      <c r="J996" t="s">
        <v>305</v>
      </c>
      <c r="K996">
        <v>309</v>
      </c>
      <c r="L996">
        <v>324</v>
      </c>
      <c r="M996" s="24">
        <v>315</v>
      </c>
      <c r="N996" s="24">
        <v>331</v>
      </c>
      <c r="O996" s="24">
        <v>404</v>
      </c>
      <c r="P996" s="24">
        <v>428</v>
      </c>
      <c r="Q996">
        <v>421</v>
      </c>
      <c r="R996">
        <v>518</v>
      </c>
      <c r="S996">
        <v>557</v>
      </c>
      <c r="T996">
        <v>727</v>
      </c>
      <c r="U996">
        <v>557</v>
      </c>
      <c r="V996">
        <v>727</v>
      </c>
    </row>
    <row r="997" spans="2:22" x14ac:dyDescent="0.35">
      <c r="B997" s="23" t="s">
        <v>1240</v>
      </c>
      <c r="D997" t="s">
        <v>1206</v>
      </c>
      <c r="E997" t="s">
        <v>1207</v>
      </c>
      <c r="F997" s="46" t="s">
        <v>1240</v>
      </c>
      <c r="G997" t="s">
        <v>255</v>
      </c>
      <c r="H997" s="23">
        <v>4</v>
      </c>
      <c r="I997" s="23" t="s">
        <v>1237</v>
      </c>
      <c r="J997" t="s">
        <v>983</v>
      </c>
      <c r="K997">
        <v>1972</v>
      </c>
      <c r="L997">
        <v>2061</v>
      </c>
      <c r="M997" s="24">
        <v>2296</v>
      </c>
      <c r="N997" s="24">
        <v>2362</v>
      </c>
      <c r="O997" s="24">
        <v>2293</v>
      </c>
      <c r="P997" s="24">
        <v>2524</v>
      </c>
      <c r="Q997">
        <v>2413</v>
      </c>
      <c r="R997">
        <v>2744</v>
      </c>
      <c r="S997">
        <v>3173</v>
      </c>
      <c r="T997">
        <v>3557</v>
      </c>
      <c r="U997">
        <v>3173</v>
      </c>
      <c r="V997">
        <v>3557</v>
      </c>
    </row>
    <row r="998" spans="2:22" x14ac:dyDescent="0.35">
      <c r="B998" s="23" t="s">
        <v>1241</v>
      </c>
      <c r="D998" t="s">
        <v>1206</v>
      </c>
      <c r="E998" t="s">
        <v>1207</v>
      </c>
      <c r="F998" s="46" t="s">
        <v>1241</v>
      </c>
      <c r="G998" t="s">
        <v>255</v>
      </c>
      <c r="H998" s="23">
        <v>4</v>
      </c>
      <c r="I998" s="23" t="s">
        <v>1237</v>
      </c>
      <c r="J998" t="s">
        <v>359</v>
      </c>
      <c r="K998">
        <v>1666</v>
      </c>
      <c r="L998">
        <v>1790</v>
      </c>
      <c r="M998" s="24">
        <v>1841</v>
      </c>
      <c r="N998" s="24">
        <v>1926</v>
      </c>
      <c r="O998" s="24">
        <v>1694</v>
      </c>
      <c r="P998" s="24">
        <v>1968</v>
      </c>
      <c r="Q998">
        <v>1603</v>
      </c>
      <c r="R998">
        <v>1971</v>
      </c>
      <c r="S998">
        <v>2303</v>
      </c>
      <c r="T998">
        <v>2736</v>
      </c>
      <c r="U998">
        <v>2303</v>
      </c>
      <c r="V998">
        <v>2736</v>
      </c>
    </row>
    <row r="999" spans="2:22" x14ac:dyDescent="0.35">
      <c r="B999" s="23" t="s">
        <v>1242</v>
      </c>
      <c r="D999" t="s">
        <v>1206</v>
      </c>
      <c r="E999" t="s">
        <v>1207</v>
      </c>
      <c r="F999" s="46" t="s">
        <v>1242</v>
      </c>
      <c r="G999" t="s">
        <v>255</v>
      </c>
      <c r="H999" s="23">
        <v>4</v>
      </c>
      <c r="I999" s="23" t="s">
        <v>1237</v>
      </c>
      <c r="J999" t="s">
        <v>1243</v>
      </c>
      <c r="K999">
        <v>1561</v>
      </c>
      <c r="L999">
        <v>1668</v>
      </c>
      <c r="M999" s="24">
        <v>1681</v>
      </c>
      <c r="N999" s="24">
        <v>1750</v>
      </c>
      <c r="O999" s="24">
        <v>1500</v>
      </c>
      <c r="P999" s="24">
        <v>1773</v>
      </c>
      <c r="Q999">
        <v>1493</v>
      </c>
      <c r="R999">
        <v>1834</v>
      </c>
      <c r="S999">
        <v>2003</v>
      </c>
      <c r="T999">
        <v>2352</v>
      </c>
      <c r="U999">
        <v>2003</v>
      </c>
      <c r="V999">
        <v>2352</v>
      </c>
    </row>
    <row r="1000" spans="2:22" x14ac:dyDescent="0.35">
      <c r="B1000" s="23" t="s">
        <v>1244</v>
      </c>
      <c r="D1000" t="s">
        <v>1206</v>
      </c>
      <c r="E1000" t="s">
        <v>1207</v>
      </c>
      <c r="F1000" s="46" t="s">
        <v>1244</v>
      </c>
      <c r="G1000" t="s">
        <v>255</v>
      </c>
      <c r="H1000" s="23">
        <v>4</v>
      </c>
      <c r="I1000" s="23" t="s">
        <v>1237</v>
      </c>
      <c r="J1000" t="s">
        <v>371</v>
      </c>
      <c r="K1000">
        <v>380</v>
      </c>
      <c r="L1000">
        <v>386</v>
      </c>
      <c r="M1000" s="24">
        <v>415</v>
      </c>
      <c r="N1000" s="24">
        <v>419</v>
      </c>
      <c r="O1000" s="24">
        <v>472</v>
      </c>
      <c r="P1000" s="24">
        <v>493</v>
      </c>
      <c r="Q1000">
        <v>468</v>
      </c>
      <c r="R1000">
        <v>515</v>
      </c>
      <c r="S1000">
        <v>543</v>
      </c>
      <c r="T1000">
        <v>626</v>
      </c>
      <c r="U1000">
        <v>543</v>
      </c>
      <c r="V1000">
        <v>626</v>
      </c>
    </row>
    <row r="1001" spans="2:22" x14ac:dyDescent="0.35">
      <c r="B1001" s="23" t="s">
        <v>1245</v>
      </c>
      <c r="D1001" t="s">
        <v>1206</v>
      </c>
      <c r="E1001" t="s">
        <v>1207</v>
      </c>
      <c r="F1001" s="46" t="s">
        <v>1245</v>
      </c>
      <c r="G1001" t="s">
        <v>259</v>
      </c>
      <c r="H1001" s="23">
        <v>5</v>
      </c>
      <c r="I1001" s="23" t="s">
        <v>1246</v>
      </c>
      <c r="J1001" t="s">
        <v>1247</v>
      </c>
      <c r="K1001">
        <v>408</v>
      </c>
      <c r="L1001">
        <v>442</v>
      </c>
      <c r="M1001" s="24">
        <v>454</v>
      </c>
      <c r="N1001" s="24">
        <v>470</v>
      </c>
      <c r="O1001" s="24">
        <v>526</v>
      </c>
      <c r="P1001" s="24">
        <v>573</v>
      </c>
      <c r="Q1001">
        <v>532</v>
      </c>
      <c r="R1001">
        <v>675</v>
      </c>
      <c r="S1001">
        <v>836</v>
      </c>
      <c r="T1001">
        <v>962</v>
      </c>
      <c r="U1001">
        <v>836</v>
      </c>
      <c r="V1001">
        <v>962</v>
      </c>
    </row>
    <row r="1002" spans="2:22" x14ac:dyDescent="0.35">
      <c r="B1002" s="23" t="s">
        <v>1248</v>
      </c>
      <c r="D1002" t="s">
        <v>1206</v>
      </c>
      <c r="E1002" t="s">
        <v>1207</v>
      </c>
      <c r="F1002" s="46" t="s">
        <v>1248</v>
      </c>
      <c r="G1002" t="s">
        <v>259</v>
      </c>
      <c r="H1002" s="23">
        <v>5</v>
      </c>
      <c r="I1002" s="23" t="s">
        <v>1246</v>
      </c>
      <c r="J1002" t="s">
        <v>1062</v>
      </c>
      <c r="K1002">
        <v>1249</v>
      </c>
      <c r="L1002">
        <v>1346</v>
      </c>
      <c r="M1002" s="24">
        <v>1348</v>
      </c>
      <c r="N1002" s="24">
        <v>1417</v>
      </c>
      <c r="O1002" s="24">
        <v>1195</v>
      </c>
      <c r="P1002" s="24">
        <v>1455</v>
      </c>
      <c r="Q1002">
        <v>1156</v>
      </c>
      <c r="R1002">
        <v>1486</v>
      </c>
      <c r="S1002">
        <v>1708</v>
      </c>
      <c r="T1002">
        <v>2025</v>
      </c>
      <c r="U1002">
        <v>1708</v>
      </c>
      <c r="V1002">
        <v>2025</v>
      </c>
    </row>
    <row r="1003" spans="2:22" x14ac:dyDescent="0.35">
      <c r="B1003" s="23" t="s">
        <v>1249</v>
      </c>
      <c r="D1003" t="s">
        <v>1206</v>
      </c>
      <c r="E1003" t="s">
        <v>1207</v>
      </c>
      <c r="F1003" s="46" t="s">
        <v>1249</v>
      </c>
      <c r="G1003" t="s">
        <v>259</v>
      </c>
      <c r="H1003" s="23">
        <v>5</v>
      </c>
      <c r="I1003" s="23" t="s">
        <v>1246</v>
      </c>
      <c r="J1003" t="s">
        <v>1250</v>
      </c>
      <c r="K1003">
        <v>4527</v>
      </c>
      <c r="L1003">
        <v>4864</v>
      </c>
      <c r="M1003" s="24">
        <v>4815</v>
      </c>
      <c r="N1003" s="24">
        <v>5039</v>
      </c>
      <c r="O1003" s="24">
        <v>4734</v>
      </c>
      <c r="P1003" s="24">
        <v>5654</v>
      </c>
      <c r="Q1003">
        <v>4978</v>
      </c>
      <c r="R1003">
        <v>6317</v>
      </c>
      <c r="S1003">
        <v>7808</v>
      </c>
      <c r="T1003">
        <v>9067</v>
      </c>
      <c r="U1003">
        <v>7808</v>
      </c>
      <c r="V1003">
        <v>9067</v>
      </c>
    </row>
    <row r="1004" spans="2:22" x14ac:dyDescent="0.35">
      <c r="B1004" s="23" t="s">
        <v>1251</v>
      </c>
      <c r="D1004" t="s">
        <v>1206</v>
      </c>
      <c r="E1004" t="s">
        <v>1207</v>
      </c>
      <c r="F1004" s="46" t="s">
        <v>1251</v>
      </c>
      <c r="G1004" t="s">
        <v>259</v>
      </c>
      <c r="H1004" s="23">
        <v>5</v>
      </c>
      <c r="I1004" s="23" t="s">
        <v>1246</v>
      </c>
      <c r="J1004" t="s">
        <v>357</v>
      </c>
      <c r="K1004">
        <v>3462</v>
      </c>
      <c r="L1004">
        <v>3719</v>
      </c>
      <c r="M1004" s="24">
        <v>3623</v>
      </c>
      <c r="N1004" s="24">
        <v>3765</v>
      </c>
      <c r="O1004" s="24">
        <v>3271</v>
      </c>
      <c r="P1004" s="24">
        <v>3918</v>
      </c>
      <c r="Q1004">
        <v>3339</v>
      </c>
      <c r="R1004">
        <v>4174</v>
      </c>
      <c r="S1004">
        <v>5046</v>
      </c>
      <c r="T1004">
        <v>5842</v>
      </c>
      <c r="U1004">
        <v>5046</v>
      </c>
      <c r="V1004">
        <v>5842</v>
      </c>
    </row>
    <row r="1005" spans="2:22" x14ac:dyDescent="0.35">
      <c r="B1005" s="23" t="s">
        <v>1252</v>
      </c>
      <c r="D1005" t="s">
        <v>1206</v>
      </c>
      <c r="E1005" t="s">
        <v>1207</v>
      </c>
      <c r="F1005" s="46" t="s">
        <v>1252</v>
      </c>
      <c r="G1005" t="s">
        <v>259</v>
      </c>
      <c r="H1005" s="23">
        <v>5</v>
      </c>
      <c r="I1005" s="23" t="s">
        <v>1246</v>
      </c>
      <c r="J1005" t="s">
        <v>448</v>
      </c>
      <c r="K1005">
        <v>456</v>
      </c>
      <c r="L1005">
        <v>489</v>
      </c>
      <c r="M1005" s="24">
        <v>490</v>
      </c>
      <c r="N1005" s="24">
        <v>506</v>
      </c>
      <c r="O1005" s="24">
        <v>535</v>
      </c>
      <c r="P1005" s="24">
        <v>575</v>
      </c>
      <c r="Q1005">
        <v>496</v>
      </c>
      <c r="R1005">
        <v>595</v>
      </c>
      <c r="S1005">
        <v>675</v>
      </c>
      <c r="T1005">
        <v>766</v>
      </c>
      <c r="U1005">
        <v>675</v>
      </c>
      <c r="V1005">
        <v>766</v>
      </c>
    </row>
    <row r="1006" spans="2:22" x14ac:dyDescent="0.35">
      <c r="B1006" s="23" t="s">
        <v>1253</v>
      </c>
      <c r="D1006" t="s">
        <v>1206</v>
      </c>
      <c r="E1006" t="s">
        <v>1207</v>
      </c>
      <c r="F1006" s="46" t="s">
        <v>1253</v>
      </c>
      <c r="G1006" t="s">
        <v>265</v>
      </c>
      <c r="H1006" s="23">
        <v>6</v>
      </c>
      <c r="I1006" s="23" t="s">
        <v>1254</v>
      </c>
      <c r="J1006" t="s">
        <v>1255</v>
      </c>
      <c r="K1006">
        <v>1032</v>
      </c>
      <c r="L1006">
        <v>1112</v>
      </c>
      <c r="M1006" s="24">
        <v>1046</v>
      </c>
      <c r="N1006" s="24">
        <v>1090</v>
      </c>
      <c r="O1006" s="24">
        <v>1113</v>
      </c>
      <c r="P1006" s="24">
        <v>1194</v>
      </c>
      <c r="Q1006">
        <v>1076</v>
      </c>
      <c r="R1006">
        <v>1290</v>
      </c>
      <c r="S1006">
        <v>1370</v>
      </c>
      <c r="T1006">
        <v>1598</v>
      </c>
      <c r="U1006">
        <v>1370</v>
      </c>
      <c r="V1006">
        <v>1598</v>
      </c>
    </row>
    <row r="1007" spans="2:22" x14ac:dyDescent="0.35">
      <c r="B1007" s="23" t="s">
        <v>1256</v>
      </c>
      <c r="D1007" t="s">
        <v>1206</v>
      </c>
      <c r="E1007" t="s">
        <v>1207</v>
      </c>
      <c r="F1007" s="46" t="s">
        <v>1256</v>
      </c>
      <c r="G1007" t="s">
        <v>265</v>
      </c>
      <c r="H1007" s="23">
        <v>6</v>
      </c>
      <c r="I1007" s="23" t="s">
        <v>1254</v>
      </c>
      <c r="J1007" t="s">
        <v>1257</v>
      </c>
      <c r="K1007">
        <v>965</v>
      </c>
      <c r="L1007">
        <v>1003</v>
      </c>
      <c r="M1007" s="24">
        <v>1037</v>
      </c>
      <c r="N1007" s="24">
        <v>1061</v>
      </c>
      <c r="O1007" s="24">
        <v>1229</v>
      </c>
      <c r="P1007" s="24">
        <v>1267</v>
      </c>
      <c r="Q1007">
        <v>1319</v>
      </c>
      <c r="R1007">
        <v>1469</v>
      </c>
      <c r="S1007">
        <v>1603</v>
      </c>
      <c r="T1007">
        <v>1815</v>
      </c>
      <c r="U1007">
        <v>1603</v>
      </c>
      <c r="V1007">
        <v>1815</v>
      </c>
    </row>
    <row r="1008" spans="2:22" x14ac:dyDescent="0.35">
      <c r="B1008" s="23" t="s">
        <v>1258</v>
      </c>
      <c r="D1008" t="s">
        <v>1206</v>
      </c>
      <c r="E1008" t="s">
        <v>1207</v>
      </c>
      <c r="F1008" s="46" t="s">
        <v>1258</v>
      </c>
      <c r="G1008" t="s">
        <v>265</v>
      </c>
      <c r="H1008" s="23">
        <v>6</v>
      </c>
      <c r="I1008" s="23" t="s">
        <v>1254</v>
      </c>
      <c r="J1008" t="s">
        <v>1259</v>
      </c>
      <c r="K1008">
        <v>410</v>
      </c>
      <c r="L1008">
        <v>423</v>
      </c>
      <c r="M1008" s="24">
        <v>418</v>
      </c>
      <c r="N1008" s="24">
        <v>433</v>
      </c>
      <c r="O1008" s="24">
        <v>450</v>
      </c>
      <c r="P1008" s="24">
        <v>486</v>
      </c>
      <c r="Q1008">
        <v>480</v>
      </c>
      <c r="R1008">
        <v>573</v>
      </c>
      <c r="S1008">
        <v>596</v>
      </c>
      <c r="T1008">
        <v>691</v>
      </c>
      <c r="U1008">
        <v>596</v>
      </c>
      <c r="V1008">
        <v>691</v>
      </c>
    </row>
    <row r="1009" spans="2:22" x14ac:dyDescent="0.35">
      <c r="B1009" s="23" t="s">
        <v>1260</v>
      </c>
      <c r="D1009" t="s">
        <v>1206</v>
      </c>
      <c r="E1009" t="s">
        <v>1207</v>
      </c>
      <c r="F1009" s="46" t="s">
        <v>1260</v>
      </c>
      <c r="G1009" t="s">
        <v>265</v>
      </c>
      <c r="H1009" s="23">
        <v>6</v>
      </c>
      <c r="I1009" s="23" t="s">
        <v>1254</v>
      </c>
      <c r="J1009" t="s">
        <v>1261</v>
      </c>
      <c r="K1009">
        <v>463</v>
      </c>
      <c r="L1009">
        <v>493</v>
      </c>
      <c r="M1009" s="24">
        <v>471</v>
      </c>
      <c r="N1009" s="24">
        <v>491</v>
      </c>
      <c r="O1009" s="24">
        <v>490</v>
      </c>
      <c r="P1009" s="24">
        <v>529</v>
      </c>
      <c r="Q1009">
        <v>497</v>
      </c>
      <c r="R1009">
        <v>640</v>
      </c>
      <c r="S1009">
        <v>721</v>
      </c>
      <c r="T1009">
        <v>859</v>
      </c>
      <c r="U1009">
        <v>721</v>
      </c>
      <c r="V1009">
        <v>859</v>
      </c>
    </row>
    <row r="1010" spans="2:22" x14ac:dyDescent="0.35">
      <c r="B1010" s="23" t="s">
        <v>1262</v>
      </c>
      <c r="D1010" t="s">
        <v>1206</v>
      </c>
      <c r="E1010" t="s">
        <v>1207</v>
      </c>
      <c r="F1010" s="46" t="s">
        <v>1262</v>
      </c>
      <c r="G1010" t="s">
        <v>265</v>
      </c>
      <c r="H1010" s="23">
        <v>6</v>
      </c>
      <c r="I1010" s="23" t="s">
        <v>1254</v>
      </c>
      <c r="J1010" t="s">
        <v>1263</v>
      </c>
      <c r="K1010">
        <v>987</v>
      </c>
      <c r="L1010">
        <v>1054</v>
      </c>
      <c r="M1010" s="24">
        <v>1147</v>
      </c>
      <c r="N1010" s="24">
        <v>1192</v>
      </c>
      <c r="O1010" s="24">
        <v>1258</v>
      </c>
      <c r="P1010" s="24">
        <v>1312</v>
      </c>
      <c r="Q1010">
        <v>1309</v>
      </c>
      <c r="R1010">
        <v>1528</v>
      </c>
      <c r="S1010">
        <v>1783</v>
      </c>
      <c r="T1010">
        <v>2013</v>
      </c>
      <c r="U1010">
        <v>1783</v>
      </c>
      <c r="V1010">
        <v>2013</v>
      </c>
    </row>
    <row r="1011" spans="2:22" x14ac:dyDescent="0.35">
      <c r="B1011" s="23" t="s">
        <v>1264</v>
      </c>
      <c r="D1011" t="s">
        <v>1206</v>
      </c>
      <c r="E1011" t="s">
        <v>1207</v>
      </c>
      <c r="F1011" s="46" t="s">
        <v>1264</v>
      </c>
      <c r="G1011" t="s">
        <v>265</v>
      </c>
      <c r="H1011" s="23">
        <v>6</v>
      </c>
      <c r="I1011" s="23" t="s">
        <v>1254</v>
      </c>
      <c r="J1011" t="s">
        <v>233</v>
      </c>
      <c r="K1011">
        <v>285</v>
      </c>
      <c r="L1011">
        <v>298</v>
      </c>
      <c r="M1011" s="24">
        <v>347</v>
      </c>
      <c r="N1011" s="24">
        <v>356</v>
      </c>
      <c r="O1011" s="24">
        <v>416</v>
      </c>
      <c r="P1011" s="24">
        <v>444</v>
      </c>
      <c r="Q1011">
        <v>470</v>
      </c>
      <c r="R1011">
        <v>543</v>
      </c>
      <c r="S1011">
        <v>579</v>
      </c>
      <c r="T1011">
        <v>678</v>
      </c>
      <c r="U1011">
        <v>579</v>
      </c>
      <c r="V1011">
        <v>678</v>
      </c>
    </row>
    <row r="1012" spans="2:22" x14ac:dyDescent="0.35">
      <c r="B1012" s="23" t="s">
        <v>1265</v>
      </c>
      <c r="D1012" t="s">
        <v>1206</v>
      </c>
      <c r="E1012" t="s">
        <v>1207</v>
      </c>
      <c r="F1012" s="46" t="s">
        <v>1265</v>
      </c>
      <c r="G1012" t="s">
        <v>265</v>
      </c>
      <c r="H1012" s="23">
        <v>6</v>
      </c>
      <c r="I1012" s="23" t="s">
        <v>1254</v>
      </c>
      <c r="J1012" t="s">
        <v>463</v>
      </c>
      <c r="K1012">
        <v>170</v>
      </c>
      <c r="L1012">
        <v>184</v>
      </c>
      <c r="M1012" s="24">
        <v>206</v>
      </c>
      <c r="N1012" s="24">
        <v>215</v>
      </c>
      <c r="O1012" s="24">
        <v>232</v>
      </c>
      <c r="P1012" s="24">
        <v>249</v>
      </c>
      <c r="Q1012">
        <v>242</v>
      </c>
      <c r="R1012">
        <v>318</v>
      </c>
      <c r="S1012">
        <v>387</v>
      </c>
      <c r="T1012">
        <v>490</v>
      </c>
      <c r="U1012">
        <v>387</v>
      </c>
      <c r="V1012">
        <v>490</v>
      </c>
    </row>
    <row r="1013" spans="2:22" x14ac:dyDescent="0.35">
      <c r="B1013" s="23" t="s">
        <v>1266</v>
      </c>
      <c r="D1013" t="s">
        <v>1206</v>
      </c>
      <c r="E1013" t="s">
        <v>1207</v>
      </c>
      <c r="F1013" s="46" t="s">
        <v>1266</v>
      </c>
      <c r="G1013" t="s">
        <v>265</v>
      </c>
      <c r="H1013" s="23">
        <v>6</v>
      </c>
      <c r="I1013" s="23" t="s">
        <v>1254</v>
      </c>
      <c r="J1013" t="s">
        <v>1267</v>
      </c>
      <c r="K1013">
        <v>586</v>
      </c>
      <c r="L1013">
        <v>607</v>
      </c>
      <c r="M1013" s="24">
        <v>673</v>
      </c>
      <c r="N1013" s="24">
        <v>690</v>
      </c>
      <c r="O1013" s="24">
        <v>866</v>
      </c>
      <c r="P1013" s="24">
        <v>902</v>
      </c>
      <c r="Q1013">
        <v>959</v>
      </c>
      <c r="R1013">
        <v>1095</v>
      </c>
      <c r="S1013">
        <v>1190</v>
      </c>
      <c r="T1013">
        <v>1301</v>
      </c>
      <c r="U1013">
        <v>1190</v>
      </c>
      <c r="V1013">
        <v>1301</v>
      </c>
    </row>
    <row r="1014" spans="2:22" x14ac:dyDescent="0.35">
      <c r="B1014" s="23" t="s">
        <v>1268</v>
      </c>
      <c r="D1014" t="s">
        <v>1206</v>
      </c>
      <c r="E1014" t="s">
        <v>1207</v>
      </c>
      <c r="F1014" s="46" t="s">
        <v>1268</v>
      </c>
      <c r="G1014" t="s">
        <v>265</v>
      </c>
      <c r="H1014" s="23">
        <v>6</v>
      </c>
      <c r="I1014" s="23" t="s">
        <v>1254</v>
      </c>
      <c r="J1014" t="s">
        <v>325</v>
      </c>
      <c r="K1014">
        <v>153</v>
      </c>
      <c r="L1014">
        <v>166</v>
      </c>
      <c r="M1014" s="24">
        <v>182</v>
      </c>
      <c r="N1014" s="24">
        <v>183</v>
      </c>
      <c r="O1014" s="24">
        <v>206</v>
      </c>
      <c r="P1014" s="24">
        <v>212</v>
      </c>
      <c r="Q1014">
        <v>230</v>
      </c>
      <c r="R1014">
        <v>258</v>
      </c>
      <c r="S1014">
        <v>255</v>
      </c>
      <c r="T1014">
        <v>314</v>
      </c>
      <c r="U1014">
        <v>255</v>
      </c>
      <c r="V1014">
        <v>314</v>
      </c>
    </row>
    <row r="1015" spans="2:22" x14ac:dyDescent="0.35">
      <c r="B1015" s="23" t="s">
        <v>1269</v>
      </c>
      <c r="D1015" t="s">
        <v>1206</v>
      </c>
      <c r="E1015" t="s">
        <v>1207</v>
      </c>
      <c r="F1015" s="46" t="s">
        <v>1269</v>
      </c>
      <c r="G1015" t="s">
        <v>265</v>
      </c>
      <c r="H1015" s="23">
        <v>6</v>
      </c>
      <c r="I1015" s="23" t="s">
        <v>1254</v>
      </c>
      <c r="J1015" t="s">
        <v>1270</v>
      </c>
      <c r="K1015">
        <v>235</v>
      </c>
      <c r="L1015">
        <v>249</v>
      </c>
      <c r="M1015" s="24">
        <v>269</v>
      </c>
      <c r="N1015" s="24">
        <v>275</v>
      </c>
      <c r="O1015" s="24">
        <v>318</v>
      </c>
      <c r="P1015" s="24">
        <v>336</v>
      </c>
      <c r="Q1015">
        <v>366</v>
      </c>
      <c r="R1015">
        <v>467</v>
      </c>
      <c r="S1015">
        <v>527</v>
      </c>
      <c r="T1015">
        <v>600</v>
      </c>
      <c r="U1015">
        <v>527</v>
      </c>
      <c r="V1015">
        <v>600</v>
      </c>
    </row>
    <row r="1016" spans="2:22" x14ac:dyDescent="0.35">
      <c r="B1016" s="23" t="s">
        <v>1271</v>
      </c>
      <c r="D1016" t="s">
        <v>1206</v>
      </c>
      <c r="E1016" t="s">
        <v>1207</v>
      </c>
      <c r="F1016" s="46" t="s">
        <v>1271</v>
      </c>
      <c r="G1016" t="s">
        <v>265</v>
      </c>
      <c r="H1016" s="23">
        <v>6</v>
      </c>
      <c r="I1016" s="23" t="s">
        <v>1254</v>
      </c>
      <c r="J1016" t="s">
        <v>327</v>
      </c>
      <c r="K1016">
        <v>466</v>
      </c>
      <c r="L1016">
        <v>496</v>
      </c>
      <c r="M1016" s="24">
        <v>542</v>
      </c>
      <c r="N1016" s="24">
        <v>567</v>
      </c>
      <c r="O1016" s="24">
        <v>655</v>
      </c>
      <c r="P1016" s="24">
        <v>694</v>
      </c>
      <c r="Q1016">
        <v>683</v>
      </c>
      <c r="R1016">
        <v>804</v>
      </c>
      <c r="S1016">
        <v>965</v>
      </c>
      <c r="T1016">
        <v>1127</v>
      </c>
      <c r="U1016">
        <v>965</v>
      </c>
      <c r="V1016">
        <v>1127</v>
      </c>
    </row>
    <row r="1017" spans="2:22" x14ac:dyDescent="0.35">
      <c r="B1017" s="23" t="s">
        <v>1272</v>
      </c>
      <c r="D1017" t="s">
        <v>1206</v>
      </c>
      <c r="E1017" t="s">
        <v>1207</v>
      </c>
      <c r="F1017" s="46" t="s">
        <v>1272</v>
      </c>
      <c r="G1017" t="s">
        <v>265</v>
      </c>
      <c r="H1017" s="23">
        <v>6</v>
      </c>
      <c r="I1017" s="23" t="s">
        <v>1254</v>
      </c>
      <c r="J1017" t="s">
        <v>329</v>
      </c>
      <c r="K1017">
        <v>550</v>
      </c>
      <c r="L1017">
        <v>578</v>
      </c>
      <c r="M1017" s="24">
        <v>605</v>
      </c>
      <c r="N1017" s="24">
        <v>623</v>
      </c>
      <c r="O1017" s="24">
        <v>760</v>
      </c>
      <c r="P1017" s="24">
        <v>804</v>
      </c>
      <c r="Q1017">
        <v>927</v>
      </c>
      <c r="R1017">
        <v>1096</v>
      </c>
      <c r="S1017">
        <v>1318</v>
      </c>
      <c r="T1017">
        <v>1515</v>
      </c>
      <c r="U1017">
        <v>1318</v>
      </c>
      <c r="V1017">
        <v>1515</v>
      </c>
    </row>
    <row r="1018" spans="2:22" x14ac:dyDescent="0.35">
      <c r="B1018" s="23" t="s">
        <v>1273</v>
      </c>
      <c r="D1018" t="s">
        <v>1206</v>
      </c>
      <c r="E1018" t="s">
        <v>1207</v>
      </c>
      <c r="F1018" s="46" t="s">
        <v>1273</v>
      </c>
      <c r="G1018" t="s">
        <v>265</v>
      </c>
      <c r="H1018" s="23">
        <v>6</v>
      </c>
      <c r="I1018" s="23" t="s">
        <v>1254</v>
      </c>
      <c r="J1018" t="s">
        <v>1274</v>
      </c>
      <c r="K1018">
        <v>620</v>
      </c>
      <c r="L1018">
        <v>665</v>
      </c>
      <c r="M1018" s="24">
        <v>715</v>
      </c>
      <c r="N1018" s="24">
        <v>739</v>
      </c>
      <c r="O1018" s="24">
        <v>899</v>
      </c>
      <c r="P1018" s="24">
        <v>943</v>
      </c>
      <c r="Q1018">
        <v>928</v>
      </c>
      <c r="R1018">
        <v>1182</v>
      </c>
      <c r="S1018">
        <v>1414</v>
      </c>
      <c r="T1018">
        <v>1622</v>
      </c>
      <c r="U1018">
        <v>1414</v>
      </c>
      <c r="V1018">
        <v>1622</v>
      </c>
    </row>
    <row r="1019" spans="2:22" x14ac:dyDescent="0.35">
      <c r="B1019" s="23" t="s">
        <v>1275</v>
      </c>
      <c r="D1019" t="s">
        <v>1206</v>
      </c>
      <c r="E1019" t="s">
        <v>1207</v>
      </c>
      <c r="F1019" s="46" t="s">
        <v>1275</v>
      </c>
      <c r="G1019" t="s">
        <v>265</v>
      </c>
      <c r="H1019" s="23">
        <v>6</v>
      </c>
      <c r="I1019" s="23" t="s">
        <v>1254</v>
      </c>
      <c r="J1019" t="s">
        <v>339</v>
      </c>
      <c r="K1019">
        <v>842</v>
      </c>
      <c r="L1019">
        <v>871</v>
      </c>
      <c r="M1019" s="24">
        <v>914</v>
      </c>
      <c r="N1019" s="24">
        <v>935</v>
      </c>
      <c r="O1019" s="24">
        <v>1077</v>
      </c>
      <c r="P1019" s="24">
        <v>1117</v>
      </c>
      <c r="Q1019">
        <v>1217</v>
      </c>
      <c r="R1019">
        <v>1408</v>
      </c>
      <c r="S1019">
        <v>1438</v>
      </c>
      <c r="T1019">
        <v>1639</v>
      </c>
      <c r="U1019">
        <v>1438</v>
      </c>
      <c r="V1019">
        <v>1639</v>
      </c>
    </row>
    <row r="1020" spans="2:22" x14ac:dyDescent="0.35">
      <c r="B1020" s="23" t="s">
        <v>1276</v>
      </c>
      <c r="D1020" t="s">
        <v>1206</v>
      </c>
      <c r="E1020" t="s">
        <v>1207</v>
      </c>
      <c r="F1020" s="46" t="s">
        <v>1276</v>
      </c>
      <c r="G1020" t="s">
        <v>265</v>
      </c>
      <c r="H1020" s="23">
        <v>6</v>
      </c>
      <c r="I1020" s="23" t="s">
        <v>1254</v>
      </c>
      <c r="J1020" t="s">
        <v>355</v>
      </c>
      <c r="K1020">
        <v>182</v>
      </c>
      <c r="L1020">
        <v>198</v>
      </c>
      <c r="M1020" s="24">
        <v>187</v>
      </c>
      <c r="N1020" s="24">
        <v>199</v>
      </c>
      <c r="O1020" s="24">
        <v>229</v>
      </c>
      <c r="P1020" s="24">
        <v>247</v>
      </c>
      <c r="Q1020">
        <v>232</v>
      </c>
      <c r="R1020">
        <v>310</v>
      </c>
      <c r="S1020">
        <v>338</v>
      </c>
      <c r="T1020">
        <v>425</v>
      </c>
      <c r="U1020">
        <v>338</v>
      </c>
      <c r="V1020">
        <v>425</v>
      </c>
    </row>
    <row r="1021" spans="2:22" x14ac:dyDescent="0.35">
      <c r="B1021" s="23" t="s">
        <v>1277</v>
      </c>
      <c r="D1021" t="s">
        <v>1206</v>
      </c>
      <c r="E1021" t="s">
        <v>1207</v>
      </c>
      <c r="F1021" s="46" t="s">
        <v>1277</v>
      </c>
      <c r="G1021" t="s">
        <v>265</v>
      </c>
      <c r="H1021" s="23">
        <v>6</v>
      </c>
      <c r="I1021" s="23" t="s">
        <v>1254</v>
      </c>
      <c r="J1021" t="s">
        <v>1278</v>
      </c>
      <c r="K1021">
        <v>485</v>
      </c>
      <c r="L1021">
        <v>512</v>
      </c>
      <c r="M1021" s="24">
        <v>503</v>
      </c>
      <c r="N1021" s="24">
        <v>523</v>
      </c>
      <c r="O1021" s="24">
        <v>552</v>
      </c>
      <c r="P1021" s="24">
        <v>595</v>
      </c>
      <c r="Q1021">
        <v>536</v>
      </c>
      <c r="R1021">
        <v>634</v>
      </c>
      <c r="S1021">
        <v>695</v>
      </c>
      <c r="T1021">
        <v>839</v>
      </c>
      <c r="U1021">
        <v>695</v>
      </c>
      <c r="V1021">
        <v>839</v>
      </c>
    </row>
    <row r="1022" spans="2:22" x14ac:dyDescent="0.35">
      <c r="B1022" s="23" t="s">
        <v>1279</v>
      </c>
      <c r="D1022" t="s">
        <v>1206</v>
      </c>
      <c r="E1022" t="s">
        <v>1207</v>
      </c>
      <c r="F1022" s="46" t="s">
        <v>1279</v>
      </c>
      <c r="G1022" t="s">
        <v>265</v>
      </c>
      <c r="H1022" s="23">
        <v>6</v>
      </c>
      <c r="I1022" s="23" t="s">
        <v>1254</v>
      </c>
      <c r="J1022" t="s">
        <v>637</v>
      </c>
      <c r="K1022">
        <v>467</v>
      </c>
      <c r="L1022">
        <v>490</v>
      </c>
      <c r="M1022" s="24">
        <v>558</v>
      </c>
      <c r="N1022" s="24">
        <v>572</v>
      </c>
      <c r="O1022" s="24">
        <v>630</v>
      </c>
      <c r="P1022" s="24">
        <v>658</v>
      </c>
      <c r="Q1022">
        <v>620</v>
      </c>
      <c r="R1022">
        <v>765</v>
      </c>
      <c r="S1022">
        <v>830</v>
      </c>
      <c r="T1022">
        <v>954</v>
      </c>
      <c r="U1022">
        <v>830</v>
      </c>
      <c r="V1022">
        <v>954</v>
      </c>
    </row>
    <row r="1023" spans="2:22" x14ac:dyDescent="0.35">
      <c r="B1023" s="23" t="s">
        <v>1280</v>
      </c>
      <c r="D1023" t="s">
        <v>1206</v>
      </c>
      <c r="E1023" t="s">
        <v>1207</v>
      </c>
      <c r="F1023" s="46" t="s">
        <v>1280</v>
      </c>
      <c r="G1023" t="s">
        <v>265</v>
      </c>
      <c r="H1023" s="23">
        <v>6</v>
      </c>
      <c r="I1023" s="23" t="s">
        <v>1254</v>
      </c>
      <c r="J1023" t="s">
        <v>1281</v>
      </c>
      <c r="K1023">
        <v>211</v>
      </c>
      <c r="L1023">
        <v>229</v>
      </c>
      <c r="M1023" s="24">
        <v>257</v>
      </c>
      <c r="N1023" s="24">
        <v>272</v>
      </c>
      <c r="O1023" s="24">
        <v>320</v>
      </c>
      <c r="P1023" s="24">
        <v>333</v>
      </c>
      <c r="Q1023">
        <v>345</v>
      </c>
      <c r="R1023">
        <v>414</v>
      </c>
      <c r="S1023">
        <v>480</v>
      </c>
      <c r="T1023">
        <v>555</v>
      </c>
      <c r="U1023">
        <v>480</v>
      </c>
      <c r="V1023">
        <v>555</v>
      </c>
    </row>
    <row r="1024" spans="2:22" x14ac:dyDescent="0.35">
      <c r="B1024" s="23" t="s">
        <v>1282</v>
      </c>
      <c r="D1024" t="s">
        <v>1206</v>
      </c>
      <c r="E1024" t="s">
        <v>1207</v>
      </c>
      <c r="F1024" s="46" t="s">
        <v>1282</v>
      </c>
      <c r="G1024" t="s">
        <v>265</v>
      </c>
      <c r="H1024" s="23">
        <v>6</v>
      </c>
      <c r="I1024" s="23" t="s">
        <v>1254</v>
      </c>
      <c r="J1024" t="s">
        <v>1283</v>
      </c>
      <c r="K1024">
        <v>17</v>
      </c>
      <c r="L1024">
        <v>17</v>
      </c>
      <c r="M1024" s="24">
        <v>15</v>
      </c>
      <c r="N1024" s="24">
        <v>15</v>
      </c>
      <c r="O1024" s="24">
        <v>15</v>
      </c>
      <c r="P1024" s="24">
        <v>16</v>
      </c>
      <c r="Q1024">
        <v>16</v>
      </c>
      <c r="R1024">
        <v>18</v>
      </c>
      <c r="S1024">
        <v>24</v>
      </c>
      <c r="T1024">
        <v>25</v>
      </c>
      <c r="U1024">
        <v>24</v>
      </c>
      <c r="V1024">
        <v>25</v>
      </c>
    </row>
    <row r="1025" spans="2:22" x14ac:dyDescent="0.35">
      <c r="B1025" s="23" t="s">
        <v>1284</v>
      </c>
      <c r="D1025" t="s">
        <v>1206</v>
      </c>
      <c r="E1025" t="s">
        <v>1207</v>
      </c>
      <c r="F1025" s="46" t="s">
        <v>1284</v>
      </c>
      <c r="G1025" t="s">
        <v>265</v>
      </c>
      <c r="H1025" s="23">
        <v>6</v>
      </c>
      <c r="I1025" s="23" t="s">
        <v>1254</v>
      </c>
      <c r="J1025" t="s">
        <v>837</v>
      </c>
      <c r="K1025">
        <v>555</v>
      </c>
      <c r="L1025">
        <v>578</v>
      </c>
      <c r="M1025" s="24">
        <v>631</v>
      </c>
      <c r="N1025" s="24">
        <v>649</v>
      </c>
      <c r="O1025" s="24">
        <v>817</v>
      </c>
      <c r="P1025" s="24">
        <v>841</v>
      </c>
      <c r="Q1025">
        <v>881</v>
      </c>
      <c r="R1025">
        <v>983</v>
      </c>
      <c r="S1025">
        <v>1073</v>
      </c>
      <c r="T1025">
        <v>1186</v>
      </c>
      <c r="U1025">
        <v>1073</v>
      </c>
      <c r="V1025">
        <v>1186</v>
      </c>
    </row>
    <row r="1026" spans="2:22" x14ac:dyDescent="0.35">
      <c r="B1026" s="23" t="s">
        <v>1285</v>
      </c>
      <c r="D1026" t="s">
        <v>1206</v>
      </c>
      <c r="E1026" t="s">
        <v>1207</v>
      </c>
      <c r="F1026" s="46" t="s">
        <v>1285</v>
      </c>
      <c r="G1026" t="s">
        <v>265</v>
      </c>
      <c r="H1026" s="23">
        <v>6</v>
      </c>
      <c r="I1026" s="23" t="s">
        <v>1254</v>
      </c>
      <c r="J1026" t="s">
        <v>247</v>
      </c>
      <c r="K1026">
        <v>264</v>
      </c>
      <c r="L1026">
        <v>283</v>
      </c>
      <c r="M1026" s="24">
        <v>272</v>
      </c>
      <c r="N1026" s="24">
        <v>277</v>
      </c>
      <c r="O1026" s="24">
        <v>306</v>
      </c>
      <c r="P1026" s="24">
        <v>315</v>
      </c>
      <c r="Q1026">
        <v>344</v>
      </c>
      <c r="R1026">
        <v>388</v>
      </c>
      <c r="S1026">
        <v>459</v>
      </c>
      <c r="T1026">
        <v>502</v>
      </c>
      <c r="U1026">
        <v>459</v>
      </c>
      <c r="V1026">
        <v>502</v>
      </c>
    </row>
    <row r="1027" spans="2:22" x14ac:dyDescent="0.35">
      <c r="B1027" s="23" t="s">
        <v>1286</v>
      </c>
      <c r="D1027" t="s">
        <v>1206</v>
      </c>
      <c r="E1027" t="s">
        <v>1207</v>
      </c>
      <c r="F1027" s="46" t="s">
        <v>1286</v>
      </c>
      <c r="G1027" t="s">
        <v>265</v>
      </c>
      <c r="H1027" s="23">
        <v>6</v>
      </c>
      <c r="I1027" s="23" t="s">
        <v>1254</v>
      </c>
      <c r="J1027" t="s">
        <v>1287</v>
      </c>
      <c r="K1027">
        <v>433</v>
      </c>
      <c r="L1027">
        <v>459</v>
      </c>
      <c r="M1027" s="24">
        <v>479</v>
      </c>
      <c r="N1027" s="24">
        <v>493</v>
      </c>
      <c r="O1027" s="24">
        <v>502</v>
      </c>
      <c r="P1027" s="24">
        <v>521</v>
      </c>
      <c r="Q1027">
        <v>509</v>
      </c>
      <c r="R1027">
        <v>622</v>
      </c>
      <c r="S1027">
        <v>681</v>
      </c>
      <c r="T1027">
        <v>784</v>
      </c>
      <c r="U1027">
        <v>681</v>
      </c>
      <c r="V1027">
        <v>784</v>
      </c>
    </row>
    <row r="1028" spans="2:22" x14ac:dyDescent="0.35">
      <c r="B1028" s="23" t="s">
        <v>1288</v>
      </c>
      <c r="D1028" t="s">
        <v>1206</v>
      </c>
      <c r="E1028" t="s">
        <v>1207</v>
      </c>
      <c r="F1028" s="46" t="s">
        <v>1288</v>
      </c>
      <c r="G1028" t="s">
        <v>265</v>
      </c>
      <c r="H1028" s="23">
        <v>6</v>
      </c>
      <c r="I1028" s="23" t="s">
        <v>1254</v>
      </c>
      <c r="J1028" t="s">
        <v>1289</v>
      </c>
      <c r="K1028">
        <v>255</v>
      </c>
      <c r="L1028">
        <v>278</v>
      </c>
      <c r="M1028" s="24">
        <v>301</v>
      </c>
      <c r="N1028" s="24">
        <v>307</v>
      </c>
      <c r="O1028" s="24">
        <v>315</v>
      </c>
      <c r="P1028" s="24">
        <v>329</v>
      </c>
      <c r="Q1028">
        <v>372</v>
      </c>
      <c r="R1028">
        <v>435</v>
      </c>
      <c r="S1028">
        <v>549</v>
      </c>
      <c r="T1028">
        <v>629</v>
      </c>
      <c r="U1028">
        <v>549</v>
      </c>
      <c r="V1028">
        <v>629</v>
      </c>
    </row>
    <row r="1029" spans="2:22" x14ac:dyDescent="0.35">
      <c r="B1029" s="23" t="s">
        <v>1290</v>
      </c>
      <c r="D1029" t="s">
        <v>1206</v>
      </c>
      <c r="E1029" t="s">
        <v>1207</v>
      </c>
      <c r="F1029" s="46" t="s">
        <v>1290</v>
      </c>
      <c r="G1029" t="s">
        <v>265</v>
      </c>
      <c r="H1029" s="23">
        <v>6</v>
      </c>
      <c r="I1029" s="23" t="s">
        <v>1254</v>
      </c>
      <c r="J1029" t="s">
        <v>504</v>
      </c>
      <c r="K1029">
        <v>804</v>
      </c>
      <c r="L1029">
        <v>925</v>
      </c>
      <c r="M1029" s="24">
        <v>847</v>
      </c>
      <c r="N1029" s="24">
        <v>905</v>
      </c>
      <c r="O1029" s="24">
        <v>967</v>
      </c>
      <c r="P1029" s="24">
        <v>1090</v>
      </c>
      <c r="Q1029">
        <v>1013</v>
      </c>
      <c r="R1029">
        <v>1313</v>
      </c>
      <c r="S1029">
        <v>1520</v>
      </c>
      <c r="T1029">
        <v>1873</v>
      </c>
      <c r="U1029">
        <v>1520</v>
      </c>
      <c r="V1029">
        <v>1873</v>
      </c>
    </row>
    <row r="1030" spans="2:22" x14ac:dyDescent="0.35">
      <c r="B1030" s="23" t="s">
        <v>1291</v>
      </c>
      <c r="D1030" t="s">
        <v>1206</v>
      </c>
      <c r="E1030" t="s">
        <v>1207</v>
      </c>
      <c r="F1030" s="46" t="s">
        <v>1291</v>
      </c>
      <c r="G1030" t="s">
        <v>265</v>
      </c>
      <c r="H1030" s="23">
        <v>6</v>
      </c>
      <c r="I1030" s="23" t="s">
        <v>1254</v>
      </c>
      <c r="J1030" t="s">
        <v>277</v>
      </c>
      <c r="K1030">
        <v>2004</v>
      </c>
      <c r="L1030">
        <v>2126</v>
      </c>
      <c r="M1030" s="24">
        <v>2408</v>
      </c>
      <c r="N1030" s="24">
        <v>2480</v>
      </c>
      <c r="O1030" s="24">
        <v>2731</v>
      </c>
      <c r="P1030" s="24">
        <v>2898</v>
      </c>
      <c r="Q1030">
        <v>3048</v>
      </c>
      <c r="R1030">
        <v>3480</v>
      </c>
      <c r="S1030">
        <v>3620</v>
      </c>
      <c r="T1030">
        <v>4039</v>
      </c>
      <c r="U1030">
        <v>3620</v>
      </c>
      <c r="V1030">
        <v>4039</v>
      </c>
    </row>
    <row r="1031" spans="2:22" x14ac:dyDescent="0.35">
      <c r="B1031" s="23" t="s">
        <v>1292</v>
      </c>
      <c r="D1031" t="s">
        <v>1206</v>
      </c>
      <c r="E1031" t="s">
        <v>1207</v>
      </c>
      <c r="F1031" s="46" t="s">
        <v>1292</v>
      </c>
      <c r="G1031" t="s">
        <v>265</v>
      </c>
      <c r="H1031" s="23">
        <v>6</v>
      </c>
      <c r="I1031" s="23" t="s">
        <v>1254</v>
      </c>
      <c r="J1031" t="s">
        <v>261</v>
      </c>
      <c r="K1031">
        <v>429</v>
      </c>
      <c r="L1031">
        <v>448</v>
      </c>
      <c r="M1031" s="24">
        <v>462</v>
      </c>
      <c r="N1031" s="24">
        <v>477</v>
      </c>
      <c r="O1031" s="24">
        <v>512</v>
      </c>
      <c r="P1031" s="24">
        <v>547</v>
      </c>
      <c r="Q1031">
        <v>484</v>
      </c>
      <c r="R1031">
        <v>606</v>
      </c>
      <c r="S1031">
        <v>597</v>
      </c>
      <c r="T1031">
        <v>741</v>
      </c>
      <c r="U1031">
        <v>597</v>
      </c>
      <c r="V1031">
        <v>741</v>
      </c>
    </row>
    <row r="1032" spans="2:22" x14ac:dyDescent="0.35">
      <c r="B1032" s="23" t="s">
        <v>1293</v>
      </c>
      <c r="D1032" t="s">
        <v>1206</v>
      </c>
      <c r="E1032" t="s">
        <v>1207</v>
      </c>
      <c r="F1032" s="46" t="s">
        <v>1293</v>
      </c>
      <c r="G1032" t="s">
        <v>265</v>
      </c>
      <c r="H1032" s="23">
        <v>6</v>
      </c>
      <c r="I1032" s="23" t="s">
        <v>1254</v>
      </c>
      <c r="J1032" t="s">
        <v>1294</v>
      </c>
      <c r="K1032">
        <v>427</v>
      </c>
      <c r="L1032">
        <v>473</v>
      </c>
      <c r="M1032" s="24">
        <v>468</v>
      </c>
      <c r="N1032" s="24">
        <v>492</v>
      </c>
      <c r="O1032" s="24">
        <v>514</v>
      </c>
      <c r="P1032" s="24">
        <v>545</v>
      </c>
      <c r="Q1032">
        <v>480</v>
      </c>
      <c r="R1032">
        <v>610</v>
      </c>
      <c r="S1032">
        <v>656</v>
      </c>
      <c r="T1032">
        <v>771</v>
      </c>
      <c r="U1032">
        <v>656</v>
      </c>
      <c r="V1032">
        <v>771</v>
      </c>
    </row>
    <row r="1033" spans="2:22" x14ac:dyDescent="0.35">
      <c r="B1033" s="23" t="s">
        <v>1295</v>
      </c>
      <c r="D1033" t="s">
        <v>1206</v>
      </c>
      <c r="E1033" t="s">
        <v>1207</v>
      </c>
      <c r="F1033" s="46" t="s">
        <v>1295</v>
      </c>
      <c r="G1033" t="s">
        <v>265</v>
      </c>
      <c r="H1033" s="23">
        <v>6</v>
      </c>
      <c r="I1033" s="23" t="s">
        <v>1254</v>
      </c>
      <c r="J1033" t="s">
        <v>1296</v>
      </c>
      <c r="K1033">
        <v>651</v>
      </c>
      <c r="L1033">
        <v>711</v>
      </c>
      <c r="M1033" s="24">
        <v>807</v>
      </c>
      <c r="N1033" s="24">
        <v>847</v>
      </c>
      <c r="O1033" s="24">
        <v>919</v>
      </c>
      <c r="P1033" s="24">
        <v>973</v>
      </c>
      <c r="Q1033">
        <v>979</v>
      </c>
      <c r="R1033">
        <v>1181</v>
      </c>
      <c r="S1033">
        <v>1305</v>
      </c>
      <c r="T1033">
        <v>1464</v>
      </c>
      <c r="U1033">
        <v>1305</v>
      </c>
      <c r="V1033">
        <v>1464</v>
      </c>
    </row>
    <row r="1034" spans="2:22" x14ac:dyDescent="0.35">
      <c r="B1034" s="23" t="s">
        <v>1297</v>
      </c>
      <c r="D1034" t="s">
        <v>1206</v>
      </c>
      <c r="E1034" t="s">
        <v>1207</v>
      </c>
      <c r="F1034" s="46" t="s">
        <v>1297</v>
      </c>
      <c r="G1034" t="s">
        <v>265</v>
      </c>
      <c r="H1034" s="23">
        <v>6</v>
      </c>
      <c r="I1034" s="23" t="s">
        <v>1254</v>
      </c>
      <c r="J1034" t="s">
        <v>494</v>
      </c>
      <c r="K1034">
        <v>994</v>
      </c>
      <c r="L1034">
        <v>1070</v>
      </c>
      <c r="M1034" s="24">
        <v>1139</v>
      </c>
      <c r="N1034" s="24">
        <v>1190</v>
      </c>
      <c r="O1034" s="24">
        <v>1251</v>
      </c>
      <c r="P1034" s="24">
        <v>1339</v>
      </c>
      <c r="Q1034">
        <v>1234</v>
      </c>
      <c r="R1034">
        <v>1500</v>
      </c>
      <c r="S1034">
        <v>1685</v>
      </c>
      <c r="T1034">
        <v>1987</v>
      </c>
      <c r="U1034">
        <v>1685</v>
      </c>
      <c r="V1034">
        <v>1987</v>
      </c>
    </row>
    <row r="1035" spans="2:22" x14ac:dyDescent="0.35">
      <c r="B1035" s="23" t="s">
        <v>1298</v>
      </c>
      <c r="D1035" t="s">
        <v>1206</v>
      </c>
      <c r="E1035" t="s">
        <v>1207</v>
      </c>
      <c r="F1035" s="46" t="s">
        <v>1298</v>
      </c>
      <c r="G1035" t="s">
        <v>265</v>
      </c>
      <c r="H1035" s="23">
        <v>6</v>
      </c>
      <c r="I1035" s="23" t="s">
        <v>1254</v>
      </c>
      <c r="J1035" t="s">
        <v>299</v>
      </c>
      <c r="K1035">
        <v>1873</v>
      </c>
      <c r="L1035">
        <v>1973</v>
      </c>
      <c r="M1035" s="24">
        <v>2069</v>
      </c>
      <c r="N1035" s="24">
        <v>2142</v>
      </c>
      <c r="O1035" s="24">
        <v>2490</v>
      </c>
      <c r="P1035" s="24">
        <v>2601</v>
      </c>
      <c r="Q1035">
        <v>2416</v>
      </c>
      <c r="R1035">
        <v>2951</v>
      </c>
      <c r="S1035">
        <v>3033</v>
      </c>
      <c r="T1035">
        <v>3623</v>
      </c>
      <c r="U1035">
        <v>3033</v>
      </c>
      <c r="V1035">
        <v>3623</v>
      </c>
    </row>
    <row r="1036" spans="2:22" x14ac:dyDescent="0.35">
      <c r="B1036" s="23" t="s">
        <v>1299</v>
      </c>
      <c r="D1036" t="s">
        <v>1206</v>
      </c>
      <c r="E1036" t="s">
        <v>1207</v>
      </c>
      <c r="F1036" s="46" t="s">
        <v>1299</v>
      </c>
      <c r="G1036" t="s">
        <v>265</v>
      </c>
      <c r="H1036" s="23">
        <v>6</v>
      </c>
      <c r="I1036" s="23" t="s">
        <v>1254</v>
      </c>
      <c r="J1036" t="s">
        <v>365</v>
      </c>
      <c r="K1036">
        <v>990</v>
      </c>
      <c r="L1036">
        <v>1025</v>
      </c>
      <c r="M1036" s="24">
        <v>1098</v>
      </c>
      <c r="N1036" s="24">
        <v>1126</v>
      </c>
      <c r="O1036" s="24">
        <v>1264</v>
      </c>
      <c r="P1036" s="24">
        <v>1330</v>
      </c>
      <c r="Q1036">
        <v>1379</v>
      </c>
      <c r="R1036">
        <v>1593</v>
      </c>
      <c r="S1036">
        <v>1861</v>
      </c>
      <c r="T1036">
        <v>2065</v>
      </c>
      <c r="U1036">
        <v>1861</v>
      </c>
      <c r="V1036">
        <v>2065</v>
      </c>
    </row>
    <row r="1037" spans="2:22" x14ac:dyDescent="0.35">
      <c r="B1037" s="23" t="s">
        <v>1300</v>
      </c>
      <c r="D1037" t="s">
        <v>1206</v>
      </c>
      <c r="E1037" t="s">
        <v>1207</v>
      </c>
      <c r="F1037" s="46" t="s">
        <v>1300</v>
      </c>
      <c r="G1037" t="s">
        <v>265</v>
      </c>
      <c r="H1037" s="23">
        <v>6</v>
      </c>
      <c r="I1037" s="23" t="s">
        <v>1254</v>
      </c>
      <c r="J1037" t="s">
        <v>369</v>
      </c>
      <c r="K1037">
        <v>832</v>
      </c>
      <c r="L1037">
        <v>889</v>
      </c>
      <c r="M1037" s="24">
        <v>926</v>
      </c>
      <c r="N1037" s="24">
        <v>967</v>
      </c>
      <c r="O1037" s="24">
        <v>1188</v>
      </c>
      <c r="P1037" s="24">
        <v>1260</v>
      </c>
      <c r="Q1037">
        <v>1214</v>
      </c>
      <c r="R1037">
        <v>1466</v>
      </c>
      <c r="S1037">
        <v>1626</v>
      </c>
      <c r="T1037">
        <v>1835</v>
      </c>
      <c r="U1037">
        <v>1626</v>
      </c>
      <c r="V1037">
        <v>1835</v>
      </c>
    </row>
    <row r="1038" spans="2:22" x14ac:dyDescent="0.35">
      <c r="B1038" s="23" t="s">
        <v>1301</v>
      </c>
      <c r="D1038" t="s">
        <v>1206</v>
      </c>
      <c r="E1038" t="s">
        <v>1207</v>
      </c>
      <c r="F1038" s="46" t="s">
        <v>1301</v>
      </c>
      <c r="G1038" t="s">
        <v>265</v>
      </c>
      <c r="H1038" s="23">
        <v>6</v>
      </c>
      <c r="I1038" s="23" t="s">
        <v>1254</v>
      </c>
      <c r="J1038" t="s">
        <v>301</v>
      </c>
      <c r="K1038">
        <v>241</v>
      </c>
      <c r="L1038">
        <v>257</v>
      </c>
      <c r="M1038" s="24">
        <v>260</v>
      </c>
      <c r="N1038" s="24">
        <v>273</v>
      </c>
      <c r="O1038" s="24">
        <v>287</v>
      </c>
      <c r="P1038" s="24">
        <v>303</v>
      </c>
      <c r="Q1038">
        <v>264</v>
      </c>
      <c r="R1038">
        <v>331</v>
      </c>
      <c r="S1038">
        <v>372</v>
      </c>
      <c r="T1038">
        <v>420</v>
      </c>
      <c r="U1038">
        <v>372</v>
      </c>
      <c r="V1038">
        <v>420</v>
      </c>
    </row>
    <row r="1039" spans="2:22" x14ac:dyDescent="0.35">
      <c r="B1039" s="23" t="s">
        <v>1302</v>
      </c>
      <c r="D1039" t="s">
        <v>1206</v>
      </c>
      <c r="E1039" t="s">
        <v>1207</v>
      </c>
      <c r="F1039" s="46" t="s">
        <v>1302</v>
      </c>
      <c r="G1039" t="s">
        <v>265</v>
      </c>
      <c r="H1039" s="23">
        <v>6</v>
      </c>
      <c r="I1039" s="23" t="s">
        <v>1254</v>
      </c>
      <c r="J1039" t="s">
        <v>1303</v>
      </c>
      <c r="K1039">
        <v>466</v>
      </c>
      <c r="L1039">
        <v>494</v>
      </c>
      <c r="M1039" s="24">
        <v>518</v>
      </c>
      <c r="N1039" s="24">
        <v>531</v>
      </c>
      <c r="O1039" s="24">
        <v>553</v>
      </c>
      <c r="P1039" s="24">
        <v>586</v>
      </c>
      <c r="Q1039">
        <v>564</v>
      </c>
      <c r="R1039">
        <v>663</v>
      </c>
      <c r="S1039">
        <v>755</v>
      </c>
      <c r="T1039">
        <v>881</v>
      </c>
      <c r="U1039">
        <v>755</v>
      </c>
      <c r="V1039">
        <v>881</v>
      </c>
    </row>
    <row r="1040" spans="2:22" x14ac:dyDescent="0.35">
      <c r="B1040" s="23" t="s">
        <v>1304</v>
      </c>
      <c r="D1040" t="s">
        <v>1206</v>
      </c>
      <c r="E1040" t="s">
        <v>1207</v>
      </c>
      <c r="F1040" s="46" t="s">
        <v>1304</v>
      </c>
      <c r="G1040" t="s">
        <v>265</v>
      </c>
      <c r="H1040" s="23">
        <v>6</v>
      </c>
      <c r="I1040" s="23" t="s">
        <v>1254</v>
      </c>
      <c r="J1040" t="s">
        <v>461</v>
      </c>
      <c r="K1040">
        <v>456</v>
      </c>
      <c r="L1040">
        <v>480</v>
      </c>
      <c r="M1040" s="24">
        <v>488</v>
      </c>
      <c r="N1040" s="24">
        <v>511</v>
      </c>
      <c r="O1040" s="24">
        <v>503</v>
      </c>
      <c r="P1040" s="24">
        <v>534</v>
      </c>
      <c r="Q1040">
        <v>541</v>
      </c>
      <c r="R1040">
        <v>653</v>
      </c>
      <c r="S1040">
        <v>710</v>
      </c>
      <c r="T1040">
        <v>832</v>
      </c>
      <c r="U1040">
        <v>710</v>
      </c>
      <c r="V1040">
        <v>832</v>
      </c>
    </row>
    <row r="1041" spans="2:22" x14ac:dyDescent="0.35">
      <c r="B1041" s="23" t="s">
        <v>1305</v>
      </c>
      <c r="D1041" t="s">
        <v>1206</v>
      </c>
      <c r="E1041" t="s">
        <v>1207</v>
      </c>
      <c r="F1041" s="46" t="s">
        <v>1305</v>
      </c>
      <c r="G1041" t="s">
        <v>265</v>
      </c>
      <c r="H1041" s="23">
        <v>6</v>
      </c>
      <c r="I1041" s="23" t="s">
        <v>1254</v>
      </c>
      <c r="J1041" t="s">
        <v>1306</v>
      </c>
      <c r="K1041">
        <v>456</v>
      </c>
      <c r="L1041">
        <v>474</v>
      </c>
      <c r="M1041" s="24">
        <v>520</v>
      </c>
      <c r="N1041" s="24">
        <v>535</v>
      </c>
      <c r="O1041" s="24">
        <v>696</v>
      </c>
      <c r="P1041" s="24">
        <v>720</v>
      </c>
      <c r="Q1041">
        <v>691</v>
      </c>
      <c r="R1041">
        <v>771</v>
      </c>
      <c r="S1041">
        <v>816</v>
      </c>
      <c r="T1041">
        <v>891</v>
      </c>
      <c r="U1041">
        <v>816</v>
      </c>
      <c r="V1041">
        <v>891</v>
      </c>
    </row>
    <row r="1042" spans="2:22" x14ac:dyDescent="0.35">
      <c r="B1042" s="23" t="s">
        <v>1307</v>
      </c>
      <c r="D1042" t="s">
        <v>1206</v>
      </c>
      <c r="E1042" t="s">
        <v>1207</v>
      </c>
      <c r="F1042" s="46" t="s">
        <v>1307</v>
      </c>
      <c r="G1042" t="s">
        <v>265</v>
      </c>
      <c r="H1042" s="23">
        <v>6</v>
      </c>
      <c r="I1042" s="23" t="s">
        <v>1254</v>
      </c>
      <c r="J1042" t="s">
        <v>1308</v>
      </c>
      <c r="K1042">
        <v>929</v>
      </c>
      <c r="L1042">
        <v>1001</v>
      </c>
      <c r="M1042" s="24">
        <v>1061</v>
      </c>
      <c r="N1042" s="24">
        <v>1108</v>
      </c>
      <c r="O1042" s="24">
        <v>1180</v>
      </c>
      <c r="P1042" s="24">
        <v>1275</v>
      </c>
      <c r="Q1042">
        <v>1187</v>
      </c>
      <c r="R1042">
        <v>1530</v>
      </c>
      <c r="S1042">
        <v>1477</v>
      </c>
      <c r="T1042">
        <v>1800</v>
      </c>
      <c r="U1042">
        <v>1477</v>
      </c>
      <c r="V1042">
        <v>1800</v>
      </c>
    </row>
    <row r="1043" spans="2:22" x14ac:dyDescent="0.35">
      <c r="B1043" s="23" t="s">
        <v>1309</v>
      </c>
      <c r="D1043" t="s">
        <v>1206</v>
      </c>
      <c r="E1043" t="s">
        <v>1207</v>
      </c>
      <c r="F1043" s="46" t="s">
        <v>1309</v>
      </c>
      <c r="G1043" t="s">
        <v>265</v>
      </c>
      <c r="H1043" s="23">
        <v>6</v>
      </c>
      <c r="I1043" s="23" t="s">
        <v>1254</v>
      </c>
      <c r="J1043" t="s">
        <v>1310</v>
      </c>
      <c r="K1043">
        <v>692</v>
      </c>
      <c r="L1043">
        <v>739</v>
      </c>
      <c r="M1043" s="24">
        <v>772</v>
      </c>
      <c r="N1043" s="24">
        <v>805</v>
      </c>
      <c r="O1043" s="24">
        <v>1010</v>
      </c>
      <c r="P1043" s="24">
        <v>1077</v>
      </c>
      <c r="Q1043">
        <v>1000</v>
      </c>
      <c r="R1043">
        <v>1262</v>
      </c>
      <c r="S1043">
        <v>1421</v>
      </c>
      <c r="T1043">
        <v>1652</v>
      </c>
      <c r="U1043">
        <v>1421</v>
      </c>
      <c r="V1043">
        <v>1652</v>
      </c>
    </row>
    <row r="1044" spans="2:22" x14ac:dyDescent="0.35">
      <c r="B1044" s="23" t="s">
        <v>1311</v>
      </c>
      <c r="D1044" t="s">
        <v>1206</v>
      </c>
      <c r="E1044" t="s">
        <v>1207</v>
      </c>
      <c r="F1044" s="46" t="s">
        <v>1311</v>
      </c>
      <c r="G1044" t="s">
        <v>265</v>
      </c>
      <c r="H1044" s="23">
        <v>6</v>
      </c>
      <c r="I1044" s="23" t="s">
        <v>1254</v>
      </c>
      <c r="J1044" t="s">
        <v>375</v>
      </c>
      <c r="K1044">
        <v>1154</v>
      </c>
      <c r="L1044">
        <v>1247</v>
      </c>
      <c r="M1044" s="24">
        <v>1260</v>
      </c>
      <c r="N1044" s="24">
        <v>1314</v>
      </c>
      <c r="O1044" s="24">
        <v>1464</v>
      </c>
      <c r="P1044" s="24">
        <v>1550</v>
      </c>
      <c r="Q1044">
        <v>1516</v>
      </c>
      <c r="R1044">
        <v>1820</v>
      </c>
      <c r="S1044">
        <v>2124</v>
      </c>
      <c r="T1044">
        <v>2423</v>
      </c>
      <c r="U1044">
        <v>2124</v>
      </c>
      <c r="V1044">
        <v>2423</v>
      </c>
    </row>
    <row r="1045" spans="2:22" x14ac:dyDescent="0.35">
      <c r="B1045" s="23" t="s">
        <v>1312</v>
      </c>
      <c r="D1045" t="s">
        <v>1206</v>
      </c>
      <c r="E1045" t="s">
        <v>1207</v>
      </c>
      <c r="F1045" s="46" t="s">
        <v>1312</v>
      </c>
      <c r="G1045" t="s">
        <v>265</v>
      </c>
      <c r="H1045" s="23">
        <v>6</v>
      </c>
      <c r="I1045" s="23" t="s">
        <v>1254</v>
      </c>
      <c r="J1045" t="s">
        <v>1313</v>
      </c>
      <c r="K1045">
        <v>528</v>
      </c>
      <c r="L1045">
        <v>562</v>
      </c>
      <c r="M1045" s="24">
        <v>568</v>
      </c>
      <c r="N1045" s="24">
        <v>586</v>
      </c>
      <c r="O1045" s="24">
        <v>596</v>
      </c>
      <c r="P1045" s="24">
        <v>626</v>
      </c>
      <c r="Q1045">
        <v>623</v>
      </c>
      <c r="R1045">
        <v>749</v>
      </c>
      <c r="S1045">
        <v>854</v>
      </c>
      <c r="T1045">
        <v>1000</v>
      </c>
      <c r="U1045">
        <v>854</v>
      </c>
      <c r="V1045">
        <v>1000</v>
      </c>
    </row>
    <row r="1046" spans="2:22" x14ac:dyDescent="0.35">
      <c r="B1046" s="23" t="s">
        <v>1314</v>
      </c>
      <c r="D1046" t="s">
        <v>1206</v>
      </c>
      <c r="E1046" t="s">
        <v>1207</v>
      </c>
      <c r="F1046" s="46" t="s">
        <v>1314</v>
      </c>
      <c r="G1046" t="s">
        <v>265</v>
      </c>
      <c r="H1046" s="23">
        <v>6</v>
      </c>
      <c r="I1046" s="23" t="s">
        <v>1254</v>
      </c>
      <c r="J1046" t="s">
        <v>913</v>
      </c>
      <c r="K1046">
        <v>195</v>
      </c>
      <c r="L1046">
        <v>211</v>
      </c>
      <c r="M1046" s="24">
        <v>211</v>
      </c>
      <c r="N1046" s="24">
        <v>219</v>
      </c>
      <c r="O1046" s="24">
        <v>237</v>
      </c>
      <c r="P1046" s="24">
        <v>242</v>
      </c>
      <c r="Q1046">
        <v>219</v>
      </c>
      <c r="R1046">
        <v>265</v>
      </c>
      <c r="S1046">
        <v>287</v>
      </c>
      <c r="T1046">
        <v>338</v>
      </c>
      <c r="U1046">
        <v>287</v>
      </c>
      <c r="V1046">
        <v>338</v>
      </c>
    </row>
    <row r="1047" spans="2:22" x14ac:dyDescent="0.35">
      <c r="B1047" s="23" t="s">
        <v>1315</v>
      </c>
      <c r="D1047" t="s">
        <v>1206</v>
      </c>
      <c r="E1047" t="s">
        <v>1207</v>
      </c>
      <c r="F1047" s="46" t="s">
        <v>1315</v>
      </c>
      <c r="G1047" t="s">
        <v>265</v>
      </c>
      <c r="H1047" s="23">
        <v>6</v>
      </c>
      <c r="I1047" s="23" t="s">
        <v>1254</v>
      </c>
      <c r="J1047" t="s">
        <v>528</v>
      </c>
      <c r="K1047">
        <v>547</v>
      </c>
      <c r="L1047">
        <v>595</v>
      </c>
      <c r="M1047" s="24">
        <v>614</v>
      </c>
      <c r="N1047" s="24">
        <v>636</v>
      </c>
      <c r="O1047" s="24">
        <v>605</v>
      </c>
      <c r="P1047" s="24">
        <v>652</v>
      </c>
      <c r="Q1047">
        <v>610</v>
      </c>
      <c r="R1047">
        <v>758</v>
      </c>
      <c r="S1047">
        <v>833</v>
      </c>
      <c r="T1047">
        <v>989</v>
      </c>
      <c r="U1047">
        <v>833</v>
      </c>
      <c r="V1047">
        <v>989</v>
      </c>
    </row>
    <row r="1048" spans="2:22" x14ac:dyDescent="0.35">
      <c r="B1048" s="23" t="s">
        <v>1316</v>
      </c>
      <c r="D1048" t="s">
        <v>1206</v>
      </c>
      <c r="E1048" t="s">
        <v>1207</v>
      </c>
      <c r="F1048" s="46" t="s">
        <v>1316</v>
      </c>
      <c r="G1048" t="s">
        <v>265</v>
      </c>
      <c r="H1048" s="23">
        <v>6</v>
      </c>
      <c r="I1048" s="23" t="s">
        <v>1254</v>
      </c>
      <c r="J1048" t="s">
        <v>1317</v>
      </c>
      <c r="K1048">
        <v>100</v>
      </c>
      <c r="L1048">
        <v>106</v>
      </c>
      <c r="M1048" s="24">
        <v>133</v>
      </c>
      <c r="N1048" s="24">
        <v>136</v>
      </c>
      <c r="O1048" s="24">
        <v>133</v>
      </c>
      <c r="P1048" s="24">
        <v>140</v>
      </c>
      <c r="Q1048">
        <v>127</v>
      </c>
      <c r="R1048">
        <v>156</v>
      </c>
      <c r="S1048">
        <v>160</v>
      </c>
      <c r="T1048">
        <v>194</v>
      </c>
      <c r="U1048">
        <v>160</v>
      </c>
      <c r="V1048">
        <v>194</v>
      </c>
    </row>
    <row r="1049" spans="2:22" x14ac:dyDescent="0.35">
      <c r="B1049" s="23" t="s">
        <v>1318</v>
      </c>
      <c r="D1049" t="s">
        <v>1206</v>
      </c>
      <c r="E1049" t="s">
        <v>1207</v>
      </c>
      <c r="F1049" s="46" t="s">
        <v>1318</v>
      </c>
      <c r="G1049" t="s">
        <v>265</v>
      </c>
      <c r="H1049" s="23">
        <v>6</v>
      </c>
      <c r="I1049" s="23" t="s">
        <v>1254</v>
      </c>
      <c r="J1049" t="s">
        <v>1319</v>
      </c>
      <c r="K1049">
        <v>413</v>
      </c>
      <c r="L1049">
        <v>438</v>
      </c>
      <c r="M1049" s="24">
        <v>472</v>
      </c>
      <c r="N1049" s="24">
        <v>486</v>
      </c>
      <c r="O1049" s="24">
        <v>495</v>
      </c>
      <c r="P1049" s="24">
        <v>518</v>
      </c>
      <c r="Q1049">
        <v>492</v>
      </c>
      <c r="R1049">
        <v>590</v>
      </c>
      <c r="S1049">
        <v>694</v>
      </c>
      <c r="T1049">
        <v>805</v>
      </c>
      <c r="U1049">
        <v>694</v>
      </c>
      <c r="V1049">
        <v>805</v>
      </c>
    </row>
    <row r="1050" spans="2:22" x14ac:dyDescent="0.35">
      <c r="B1050" s="23" t="s">
        <v>1320</v>
      </c>
      <c r="D1050" t="s">
        <v>1206</v>
      </c>
      <c r="E1050" t="s">
        <v>1207</v>
      </c>
      <c r="F1050" s="46" t="s">
        <v>1320</v>
      </c>
      <c r="G1050" t="s">
        <v>265</v>
      </c>
      <c r="H1050" s="23">
        <v>6</v>
      </c>
      <c r="I1050" s="23" t="s">
        <v>1254</v>
      </c>
      <c r="J1050" t="s">
        <v>1321</v>
      </c>
      <c r="K1050">
        <v>881</v>
      </c>
      <c r="L1050">
        <v>932</v>
      </c>
      <c r="M1050" s="24">
        <v>1207</v>
      </c>
      <c r="N1050" s="24">
        <v>1243</v>
      </c>
      <c r="O1050" s="24">
        <v>1509</v>
      </c>
      <c r="P1050" s="24">
        <v>1570</v>
      </c>
      <c r="Q1050">
        <v>1641</v>
      </c>
      <c r="R1050">
        <v>1846</v>
      </c>
      <c r="S1050">
        <v>1889</v>
      </c>
      <c r="T1050">
        <v>2102</v>
      </c>
      <c r="U1050">
        <v>1889</v>
      </c>
      <c r="V1050">
        <v>2102</v>
      </c>
    </row>
    <row r="1051" spans="2:22" x14ac:dyDescent="0.35">
      <c r="B1051" s="23" t="s">
        <v>1322</v>
      </c>
      <c r="D1051" t="s">
        <v>1206</v>
      </c>
      <c r="E1051" t="s">
        <v>1207</v>
      </c>
      <c r="F1051" s="46" t="s">
        <v>1322</v>
      </c>
      <c r="G1051" t="s">
        <v>265</v>
      </c>
      <c r="H1051" s="23">
        <v>6</v>
      </c>
      <c r="I1051" s="23" t="s">
        <v>1254</v>
      </c>
      <c r="J1051" t="s">
        <v>1323</v>
      </c>
      <c r="K1051">
        <v>330</v>
      </c>
      <c r="L1051">
        <v>352</v>
      </c>
      <c r="M1051" s="24">
        <v>438</v>
      </c>
      <c r="N1051" s="24">
        <v>451</v>
      </c>
      <c r="O1051" s="24">
        <v>511</v>
      </c>
      <c r="P1051" s="24">
        <v>527</v>
      </c>
      <c r="Q1051">
        <v>519</v>
      </c>
      <c r="R1051">
        <v>599</v>
      </c>
      <c r="S1051">
        <v>719</v>
      </c>
      <c r="T1051">
        <v>789</v>
      </c>
      <c r="U1051">
        <v>719</v>
      </c>
      <c r="V1051">
        <v>789</v>
      </c>
    </row>
    <row r="1052" spans="2:22" x14ac:dyDescent="0.35">
      <c r="B1052" s="23" t="s">
        <v>1324</v>
      </c>
      <c r="D1052" t="s">
        <v>1206</v>
      </c>
      <c r="E1052" t="s">
        <v>1207</v>
      </c>
      <c r="F1052" s="46" t="s">
        <v>1324</v>
      </c>
      <c r="G1052" t="s">
        <v>265</v>
      </c>
      <c r="H1052" s="23">
        <v>6</v>
      </c>
      <c r="I1052" s="23" t="s">
        <v>1254</v>
      </c>
      <c r="J1052" t="s">
        <v>1325</v>
      </c>
      <c r="K1052">
        <v>500</v>
      </c>
      <c r="L1052">
        <v>523</v>
      </c>
      <c r="M1052" s="24">
        <v>547</v>
      </c>
      <c r="N1052" s="24">
        <v>562</v>
      </c>
      <c r="O1052" s="24">
        <v>588</v>
      </c>
      <c r="P1052" s="24">
        <v>623</v>
      </c>
      <c r="Q1052">
        <v>527</v>
      </c>
      <c r="R1052">
        <v>629</v>
      </c>
      <c r="S1052">
        <v>654</v>
      </c>
      <c r="T1052">
        <v>752</v>
      </c>
      <c r="U1052">
        <v>654</v>
      </c>
      <c r="V1052">
        <v>752</v>
      </c>
    </row>
    <row r="1053" spans="2:22" x14ac:dyDescent="0.35">
      <c r="B1053" s="23" t="s">
        <v>1326</v>
      </c>
      <c r="D1053" t="s">
        <v>1206</v>
      </c>
      <c r="E1053" t="s">
        <v>1207</v>
      </c>
      <c r="F1053" s="46" t="s">
        <v>1326</v>
      </c>
      <c r="G1053" t="s">
        <v>265</v>
      </c>
      <c r="H1053" s="23">
        <v>6</v>
      </c>
      <c r="I1053" s="23" t="s">
        <v>1254</v>
      </c>
      <c r="J1053" t="s">
        <v>1327</v>
      </c>
      <c r="K1053">
        <v>607</v>
      </c>
      <c r="L1053">
        <v>629</v>
      </c>
      <c r="M1053" s="24">
        <v>663</v>
      </c>
      <c r="N1053" s="24">
        <v>678</v>
      </c>
      <c r="O1053" s="24">
        <v>774</v>
      </c>
      <c r="P1053" s="24">
        <v>811</v>
      </c>
      <c r="Q1053">
        <v>825</v>
      </c>
      <c r="R1053">
        <v>924</v>
      </c>
      <c r="S1053">
        <v>1018</v>
      </c>
      <c r="T1053">
        <v>1102</v>
      </c>
      <c r="U1053">
        <v>1018</v>
      </c>
      <c r="V1053">
        <v>1102</v>
      </c>
    </row>
    <row r="1054" spans="2:22" x14ac:dyDescent="0.35">
      <c r="B1054" s="23" t="s">
        <v>1328</v>
      </c>
      <c r="D1054" t="s">
        <v>1206</v>
      </c>
      <c r="E1054" t="s">
        <v>1207</v>
      </c>
      <c r="F1054" s="46" t="s">
        <v>1328</v>
      </c>
      <c r="G1054" t="s">
        <v>265</v>
      </c>
      <c r="H1054" s="23">
        <v>6</v>
      </c>
      <c r="I1054" s="23" t="s">
        <v>1254</v>
      </c>
      <c r="J1054" t="s">
        <v>385</v>
      </c>
      <c r="K1054">
        <v>1392</v>
      </c>
      <c r="L1054">
        <v>1493</v>
      </c>
      <c r="M1054" s="24">
        <v>1578</v>
      </c>
      <c r="N1054" s="24">
        <v>1644</v>
      </c>
      <c r="O1054" s="24">
        <v>1674</v>
      </c>
      <c r="P1054" s="24">
        <v>1784</v>
      </c>
      <c r="Q1054">
        <v>1665</v>
      </c>
      <c r="R1054">
        <v>2017</v>
      </c>
      <c r="S1054">
        <v>2324</v>
      </c>
      <c r="T1054">
        <v>2761</v>
      </c>
      <c r="U1054">
        <v>2324</v>
      </c>
      <c r="V1054">
        <v>2761</v>
      </c>
    </row>
    <row r="1055" spans="2:22" x14ac:dyDescent="0.35">
      <c r="B1055" s="23" t="s">
        <v>1329</v>
      </c>
      <c r="D1055" t="s">
        <v>1206</v>
      </c>
      <c r="E1055" t="s">
        <v>1207</v>
      </c>
      <c r="F1055" s="46" t="s">
        <v>1329</v>
      </c>
      <c r="G1055" t="s">
        <v>265</v>
      </c>
      <c r="H1055" s="23">
        <v>6</v>
      </c>
      <c r="I1055" s="23" t="s">
        <v>1254</v>
      </c>
      <c r="J1055" t="s">
        <v>894</v>
      </c>
      <c r="K1055">
        <v>978</v>
      </c>
      <c r="L1055">
        <v>1009</v>
      </c>
      <c r="M1055" s="24">
        <v>1188</v>
      </c>
      <c r="N1055" s="24">
        <v>1208</v>
      </c>
      <c r="O1055" s="24">
        <v>1380</v>
      </c>
      <c r="P1055" s="24">
        <v>1424</v>
      </c>
      <c r="Q1055">
        <v>1399</v>
      </c>
      <c r="R1055">
        <v>1543</v>
      </c>
      <c r="S1055">
        <v>1674</v>
      </c>
      <c r="T1055">
        <v>1822</v>
      </c>
      <c r="U1055">
        <v>1674</v>
      </c>
      <c r="V1055">
        <v>1822</v>
      </c>
    </row>
    <row r="1056" spans="2:22" x14ac:dyDescent="0.35">
      <c r="B1056" s="23" t="s">
        <v>1330</v>
      </c>
      <c r="D1056" t="s">
        <v>1206</v>
      </c>
      <c r="E1056" t="s">
        <v>1207</v>
      </c>
      <c r="F1056" s="46" t="s">
        <v>1330</v>
      </c>
      <c r="G1056" t="s">
        <v>265</v>
      </c>
      <c r="H1056" s="23">
        <v>6</v>
      </c>
      <c r="I1056" s="23" t="s">
        <v>1254</v>
      </c>
      <c r="J1056" t="s">
        <v>924</v>
      </c>
      <c r="K1056">
        <v>219</v>
      </c>
      <c r="L1056">
        <v>240</v>
      </c>
      <c r="M1056" s="24">
        <v>256</v>
      </c>
      <c r="N1056" s="24">
        <v>265</v>
      </c>
      <c r="O1056" s="24">
        <v>312</v>
      </c>
      <c r="P1056" s="24">
        <v>332</v>
      </c>
      <c r="Q1056">
        <v>289</v>
      </c>
      <c r="R1056">
        <v>357</v>
      </c>
      <c r="S1056">
        <v>380</v>
      </c>
      <c r="T1056">
        <v>448</v>
      </c>
      <c r="U1056">
        <v>380</v>
      </c>
      <c r="V1056">
        <v>448</v>
      </c>
    </row>
    <row r="1057" spans="2:22" x14ac:dyDescent="0.35">
      <c r="B1057" s="23" t="s">
        <v>1331</v>
      </c>
      <c r="D1057" t="s">
        <v>1206</v>
      </c>
      <c r="E1057" t="s">
        <v>1207</v>
      </c>
      <c r="F1057" s="46" t="s">
        <v>1331</v>
      </c>
      <c r="G1057" t="s">
        <v>265</v>
      </c>
      <c r="H1057" s="23">
        <v>6</v>
      </c>
      <c r="I1057" s="23" t="s">
        <v>1254</v>
      </c>
      <c r="J1057" t="s">
        <v>1065</v>
      </c>
      <c r="K1057">
        <v>244</v>
      </c>
      <c r="L1057">
        <v>254</v>
      </c>
      <c r="M1057" s="24">
        <v>252</v>
      </c>
      <c r="N1057" s="24">
        <v>256</v>
      </c>
      <c r="O1057" s="24">
        <v>253</v>
      </c>
      <c r="P1057" s="24">
        <v>268</v>
      </c>
      <c r="Q1057">
        <v>250</v>
      </c>
      <c r="R1057">
        <v>296</v>
      </c>
      <c r="S1057">
        <v>340</v>
      </c>
      <c r="T1057">
        <v>390</v>
      </c>
      <c r="U1057">
        <v>340</v>
      </c>
      <c r="V1057">
        <v>390</v>
      </c>
    </row>
    <row r="1058" spans="2:22" x14ac:dyDescent="0.35">
      <c r="B1058" s="23" t="s">
        <v>1332</v>
      </c>
      <c r="D1058" t="s">
        <v>1206</v>
      </c>
      <c r="E1058" t="s">
        <v>1207</v>
      </c>
      <c r="F1058" s="46" t="s">
        <v>1332</v>
      </c>
      <c r="G1058" t="s">
        <v>265</v>
      </c>
      <c r="H1058" s="23">
        <v>6</v>
      </c>
      <c r="I1058" s="23" t="s">
        <v>1254</v>
      </c>
      <c r="J1058" t="s">
        <v>389</v>
      </c>
      <c r="K1058">
        <v>518</v>
      </c>
      <c r="L1058">
        <v>548</v>
      </c>
      <c r="M1058" s="24">
        <v>546</v>
      </c>
      <c r="N1058" s="24">
        <v>566</v>
      </c>
      <c r="O1058" s="24">
        <v>640</v>
      </c>
      <c r="P1058" s="24">
        <v>673</v>
      </c>
      <c r="Q1058">
        <v>647</v>
      </c>
      <c r="R1058">
        <v>760</v>
      </c>
      <c r="S1058">
        <v>824</v>
      </c>
      <c r="T1058">
        <v>942</v>
      </c>
      <c r="U1058">
        <v>824</v>
      </c>
      <c r="V1058">
        <v>942</v>
      </c>
    </row>
    <row r="1059" spans="2:22" x14ac:dyDescent="0.35">
      <c r="B1059" s="23" t="s">
        <v>1333</v>
      </c>
      <c r="D1059" t="s">
        <v>1206</v>
      </c>
      <c r="E1059" t="s">
        <v>1207</v>
      </c>
      <c r="F1059" s="46" t="s">
        <v>1333</v>
      </c>
      <c r="G1059" t="s">
        <v>265</v>
      </c>
      <c r="H1059" s="23">
        <v>6</v>
      </c>
      <c r="I1059" s="23" t="s">
        <v>1254</v>
      </c>
      <c r="J1059" t="s">
        <v>1334</v>
      </c>
      <c r="K1059">
        <v>246</v>
      </c>
      <c r="L1059">
        <v>267</v>
      </c>
      <c r="M1059" s="24">
        <v>278</v>
      </c>
      <c r="N1059" s="24">
        <v>292</v>
      </c>
      <c r="O1059" s="24">
        <v>279</v>
      </c>
      <c r="P1059" s="24">
        <v>301</v>
      </c>
      <c r="Q1059">
        <v>246</v>
      </c>
      <c r="R1059">
        <v>329</v>
      </c>
      <c r="S1059">
        <v>363</v>
      </c>
      <c r="T1059">
        <v>432</v>
      </c>
      <c r="U1059">
        <v>363</v>
      </c>
      <c r="V1059">
        <v>432</v>
      </c>
    </row>
    <row r="1060" spans="2:22" x14ac:dyDescent="0.35">
      <c r="B1060" s="23" t="s">
        <v>1335</v>
      </c>
      <c r="D1060" t="s">
        <v>1206</v>
      </c>
      <c r="E1060" t="s">
        <v>1207</v>
      </c>
      <c r="F1060" s="46" t="s">
        <v>1335</v>
      </c>
      <c r="G1060" t="s">
        <v>265</v>
      </c>
      <c r="H1060" s="23">
        <v>6</v>
      </c>
      <c r="I1060" s="23" t="s">
        <v>1254</v>
      </c>
      <c r="J1060" t="s">
        <v>1336</v>
      </c>
      <c r="K1060">
        <v>467</v>
      </c>
      <c r="L1060">
        <v>499</v>
      </c>
      <c r="M1060" s="24">
        <v>481</v>
      </c>
      <c r="N1060" s="24">
        <v>501</v>
      </c>
      <c r="O1060" s="24">
        <v>568</v>
      </c>
      <c r="P1060" s="24">
        <v>603</v>
      </c>
      <c r="Q1060">
        <v>564</v>
      </c>
      <c r="R1060">
        <v>685</v>
      </c>
      <c r="S1060">
        <v>787</v>
      </c>
      <c r="T1060">
        <v>923</v>
      </c>
      <c r="U1060">
        <v>787</v>
      </c>
      <c r="V1060">
        <v>923</v>
      </c>
    </row>
    <row r="1061" spans="2:22" x14ac:dyDescent="0.35">
      <c r="B1061" s="46" t="s">
        <v>1337</v>
      </c>
      <c r="D1061" t="s">
        <v>1338</v>
      </c>
      <c r="E1061" t="s">
        <v>1339</v>
      </c>
      <c r="F1061" s="46" t="s">
        <v>1337</v>
      </c>
      <c r="G1061" t="s">
        <v>235</v>
      </c>
      <c r="H1061" s="47" t="s">
        <v>419</v>
      </c>
      <c r="I1061" s="47" t="s">
        <v>1340</v>
      </c>
      <c r="J1061" t="s">
        <v>2713</v>
      </c>
      <c r="K1061">
        <v>534</v>
      </c>
      <c r="L1061">
        <v>715</v>
      </c>
      <c r="M1061">
        <v>534</v>
      </c>
      <c r="N1061">
        <v>715</v>
      </c>
      <c r="O1061" s="24">
        <v>528</v>
      </c>
      <c r="P1061" s="24">
        <v>704</v>
      </c>
      <c r="Q1061">
        <v>385</v>
      </c>
      <c r="R1061">
        <v>645</v>
      </c>
      <c r="S1061">
        <v>463</v>
      </c>
      <c r="T1061">
        <v>732</v>
      </c>
      <c r="U1061">
        <v>463</v>
      </c>
      <c r="V1061">
        <v>732</v>
      </c>
    </row>
    <row r="1062" spans="2:22" x14ac:dyDescent="0.35">
      <c r="B1062" s="46" t="s">
        <v>1341</v>
      </c>
      <c r="D1062" t="s">
        <v>1338</v>
      </c>
      <c r="E1062" t="s">
        <v>1339</v>
      </c>
      <c r="F1062" s="46" t="s">
        <v>1341</v>
      </c>
      <c r="G1062" t="s">
        <v>231</v>
      </c>
      <c r="H1062" s="47" t="s">
        <v>393</v>
      </c>
      <c r="I1062" s="47" t="s">
        <v>1342</v>
      </c>
      <c r="J1062" t="s">
        <v>2714</v>
      </c>
      <c r="K1062">
        <v>380</v>
      </c>
      <c r="L1062">
        <v>449</v>
      </c>
      <c r="M1062">
        <v>380</v>
      </c>
      <c r="N1062">
        <v>449</v>
      </c>
      <c r="O1062" s="24">
        <v>346</v>
      </c>
      <c r="P1062" s="24">
        <v>416</v>
      </c>
      <c r="Q1062">
        <v>332</v>
      </c>
      <c r="R1062">
        <v>453</v>
      </c>
      <c r="S1062">
        <v>403</v>
      </c>
      <c r="T1062">
        <v>559</v>
      </c>
      <c r="U1062">
        <v>403</v>
      </c>
      <c r="V1062">
        <v>559</v>
      </c>
    </row>
    <row r="1063" spans="2:22" x14ac:dyDescent="0.35">
      <c r="B1063" s="46" t="s">
        <v>1343</v>
      </c>
      <c r="D1063" t="s">
        <v>1338</v>
      </c>
      <c r="E1063" t="s">
        <v>1339</v>
      </c>
      <c r="F1063" s="46" t="s">
        <v>1343</v>
      </c>
      <c r="G1063" t="s">
        <v>231</v>
      </c>
      <c r="H1063" s="47" t="s">
        <v>393</v>
      </c>
      <c r="I1063" s="47" t="s">
        <v>1342</v>
      </c>
      <c r="J1063" t="s">
        <v>2715</v>
      </c>
      <c r="K1063">
        <v>149</v>
      </c>
      <c r="L1063">
        <v>174</v>
      </c>
      <c r="M1063">
        <v>149</v>
      </c>
      <c r="N1063">
        <v>174</v>
      </c>
      <c r="O1063" s="24">
        <v>125</v>
      </c>
      <c r="P1063" s="24">
        <v>148</v>
      </c>
      <c r="Q1063">
        <v>97</v>
      </c>
      <c r="R1063">
        <v>139</v>
      </c>
      <c r="S1063">
        <v>130</v>
      </c>
      <c r="T1063">
        <v>162</v>
      </c>
      <c r="U1063">
        <v>130</v>
      </c>
      <c r="V1063">
        <v>162</v>
      </c>
    </row>
    <row r="1064" spans="2:22" x14ac:dyDescent="0.35">
      <c r="B1064" s="46" t="s">
        <v>1344</v>
      </c>
      <c r="D1064" t="s">
        <v>1338</v>
      </c>
      <c r="E1064" t="s">
        <v>1339</v>
      </c>
      <c r="F1064" s="46" t="s">
        <v>1344</v>
      </c>
      <c r="G1064" t="s">
        <v>259</v>
      </c>
      <c r="H1064" s="47" t="s">
        <v>477</v>
      </c>
      <c r="I1064" s="47" t="s">
        <v>1345</v>
      </c>
      <c r="J1064" t="s">
        <v>2716</v>
      </c>
      <c r="K1064">
        <v>394</v>
      </c>
      <c r="L1064">
        <v>581</v>
      </c>
      <c r="M1064">
        <v>394</v>
      </c>
      <c r="N1064">
        <v>581</v>
      </c>
      <c r="O1064" s="24">
        <v>408</v>
      </c>
      <c r="P1064" s="24">
        <v>582</v>
      </c>
      <c r="Q1064">
        <v>394</v>
      </c>
      <c r="R1064">
        <v>601</v>
      </c>
      <c r="S1064">
        <v>480</v>
      </c>
      <c r="T1064">
        <v>755</v>
      </c>
      <c r="U1064">
        <v>480</v>
      </c>
      <c r="V1064">
        <v>755</v>
      </c>
    </row>
    <row r="1065" spans="2:22" x14ac:dyDescent="0.35">
      <c r="B1065" s="46" t="s">
        <v>1346</v>
      </c>
      <c r="D1065" t="s">
        <v>1338</v>
      </c>
      <c r="E1065" t="s">
        <v>1339</v>
      </c>
      <c r="F1065" s="46" t="s">
        <v>1346</v>
      </c>
      <c r="G1065" t="s">
        <v>279</v>
      </c>
      <c r="H1065" s="47" t="s">
        <v>1347</v>
      </c>
      <c r="I1065" s="47" t="s">
        <v>1348</v>
      </c>
      <c r="J1065" t="s">
        <v>2717</v>
      </c>
      <c r="K1065">
        <v>1334</v>
      </c>
      <c r="L1065">
        <v>1482</v>
      </c>
      <c r="M1065">
        <v>1334</v>
      </c>
      <c r="N1065">
        <v>1482</v>
      </c>
      <c r="O1065" s="24">
        <v>1362</v>
      </c>
      <c r="P1065" s="24">
        <v>1566</v>
      </c>
      <c r="Q1065">
        <v>1353</v>
      </c>
      <c r="R1065">
        <v>1758</v>
      </c>
      <c r="S1065">
        <v>1533</v>
      </c>
      <c r="T1065">
        <v>2069</v>
      </c>
      <c r="U1065">
        <v>1533</v>
      </c>
      <c r="V1065">
        <v>2069</v>
      </c>
    </row>
    <row r="1066" spans="2:22" x14ac:dyDescent="0.35">
      <c r="B1066" s="46" t="s">
        <v>1349</v>
      </c>
      <c r="D1066" t="s">
        <v>1338</v>
      </c>
      <c r="E1066" t="s">
        <v>1339</v>
      </c>
      <c r="F1066" s="46" t="s">
        <v>1349</v>
      </c>
      <c r="G1066" t="s">
        <v>273</v>
      </c>
      <c r="H1066" s="47" t="s">
        <v>524</v>
      </c>
      <c r="I1066" s="47" t="s">
        <v>1350</v>
      </c>
      <c r="J1066" t="s">
        <v>2718</v>
      </c>
      <c r="K1066">
        <v>440</v>
      </c>
      <c r="L1066">
        <v>512</v>
      </c>
      <c r="M1066">
        <v>440</v>
      </c>
      <c r="N1066">
        <v>512</v>
      </c>
      <c r="O1066" s="24">
        <v>389</v>
      </c>
      <c r="P1066" s="24">
        <v>446</v>
      </c>
      <c r="Q1066">
        <v>389</v>
      </c>
      <c r="R1066">
        <v>476</v>
      </c>
      <c r="S1066">
        <v>399</v>
      </c>
      <c r="T1066">
        <v>526</v>
      </c>
      <c r="U1066">
        <v>399</v>
      </c>
      <c r="V1066">
        <v>526</v>
      </c>
    </row>
    <row r="1067" spans="2:22" x14ac:dyDescent="0.35">
      <c r="B1067" s="46" t="s">
        <v>1351</v>
      </c>
      <c r="D1067" t="s">
        <v>1338</v>
      </c>
      <c r="E1067" t="s">
        <v>1339</v>
      </c>
      <c r="F1067" s="46" t="s">
        <v>1351</v>
      </c>
      <c r="G1067" t="s">
        <v>255</v>
      </c>
      <c r="H1067" s="47" t="s">
        <v>467</v>
      </c>
      <c r="I1067" s="47" t="s">
        <v>1352</v>
      </c>
      <c r="J1067" t="s">
        <v>2719</v>
      </c>
      <c r="K1067">
        <v>719</v>
      </c>
      <c r="L1067">
        <v>806</v>
      </c>
      <c r="M1067">
        <v>719</v>
      </c>
      <c r="N1067">
        <v>806</v>
      </c>
      <c r="O1067" s="24">
        <v>772</v>
      </c>
      <c r="P1067" s="24">
        <v>885</v>
      </c>
      <c r="Q1067">
        <v>801</v>
      </c>
      <c r="R1067">
        <v>972</v>
      </c>
      <c r="S1067">
        <v>1033</v>
      </c>
      <c r="T1067">
        <v>1252</v>
      </c>
      <c r="U1067">
        <v>1033</v>
      </c>
      <c r="V1067">
        <v>1252</v>
      </c>
    </row>
    <row r="1068" spans="2:22" x14ac:dyDescent="0.35">
      <c r="B1068" s="46" t="s">
        <v>1353</v>
      </c>
      <c r="D1068" t="s">
        <v>1338</v>
      </c>
      <c r="E1068" t="s">
        <v>1339</v>
      </c>
      <c r="F1068" s="46" t="s">
        <v>1353</v>
      </c>
      <c r="G1068" t="s">
        <v>255</v>
      </c>
      <c r="H1068" s="47" t="s">
        <v>467</v>
      </c>
      <c r="I1068" s="47" t="s">
        <v>1352</v>
      </c>
      <c r="J1068" t="s">
        <v>456</v>
      </c>
      <c r="K1068">
        <v>739</v>
      </c>
      <c r="L1068">
        <v>864</v>
      </c>
      <c r="M1068">
        <v>739</v>
      </c>
      <c r="N1068">
        <v>864</v>
      </c>
      <c r="O1068" s="24">
        <v>721</v>
      </c>
      <c r="P1068" s="24">
        <v>845</v>
      </c>
      <c r="Q1068">
        <v>705</v>
      </c>
      <c r="R1068">
        <v>910</v>
      </c>
      <c r="S1068">
        <v>745</v>
      </c>
      <c r="T1068">
        <v>1012</v>
      </c>
      <c r="U1068">
        <v>745</v>
      </c>
      <c r="V1068">
        <v>1012</v>
      </c>
    </row>
    <row r="1069" spans="2:22" x14ac:dyDescent="0.35">
      <c r="B1069" s="46" t="s">
        <v>1354</v>
      </c>
      <c r="D1069" t="s">
        <v>1338</v>
      </c>
      <c r="E1069" t="s">
        <v>1339</v>
      </c>
      <c r="F1069" s="46" t="s">
        <v>1354</v>
      </c>
      <c r="G1069" t="s">
        <v>289</v>
      </c>
      <c r="H1069" s="47" t="s">
        <v>1355</v>
      </c>
      <c r="I1069" s="47" t="s">
        <v>1356</v>
      </c>
      <c r="J1069" t="s">
        <v>2720</v>
      </c>
      <c r="K1069">
        <v>297</v>
      </c>
      <c r="L1069">
        <v>409</v>
      </c>
      <c r="M1069">
        <v>297</v>
      </c>
      <c r="N1069">
        <v>409</v>
      </c>
      <c r="O1069" s="24">
        <v>300</v>
      </c>
      <c r="P1069" s="24">
        <v>423</v>
      </c>
      <c r="Q1069">
        <v>320</v>
      </c>
      <c r="R1069">
        <v>472</v>
      </c>
      <c r="S1069">
        <v>421</v>
      </c>
      <c r="T1069">
        <v>556</v>
      </c>
      <c r="U1069">
        <v>421</v>
      </c>
      <c r="V1069">
        <v>556</v>
      </c>
    </row>
    <row r="1070" spans="2:22" x14ac:dyDescent="0.35">
      <c r="B1070" s="46" t="s">
        <v>1357</v>
      </c>
      <c r="D1070" t="s">
        <v>1338</v>
      </c>
      <c r="E1070" t="s">
        <v>1339</v>
      </c>
      <c r="F1070" s="46" t="s">
        <v>1357</v>
      </c>
      <c r="G1070" t="s">
        <v>259</v>
      </c>
      <c r="H1070" s="47" t="s">
        <v>477</v>
      </c>
      <c r="I1070" s="47" t="s">
        <v>1345</v>
      </c>
      <c r="J1070" t="s">
        <v>459</v>
      </c>
      <c r="K1070">
        <v>3417</v>
      </c>
      <c r="L1070">
        <v>5124</v>
      </c>
      <c r="M1070">
        <v>3417</v>
      </c>
      <c r="N1070">
        <v>5124</v>
      </c>
      <c r="O1070" s="24">
        <v>2803</v>
      </c>
      <c r="P1070" s="24">
        <v>4624</v>
      </c>
      <c r="Q1070">
        <v>2925</v>
      </c>
      <c r="R1070">
        <v>4716</v>
      </c>
      <c r="S1070">
        <v>3417</v>
      </c>
      <c r="T1070">
        <v>5781</v>
      </c>
      <c r="U1070">
        <v>3417</v>
      </c>
      <c r="V1070">
        <v>5781</v>
      </c>
    </row>
    <row r="1071" spans="2:22" x14ac:dyDescent="0.35">
      <c r="B1071" s="46" t="s">
        <v>1358</v>
      </c>
      <c r="D1071" t="s">
        <v>1338</v>
      </c>
      <c r="E1071" t="s">
        <v>1339</v>
      </c>
      <c r="F1071" s="46" t="s">
        <v>1358</v>
      </c>
      <c r="G1071" t="s">
        <v>231</v>
      </c>
      <c r="H1071" s="47" t="s">
        <v>393</v>
      </c>
      <c r="I1071" s="47" t="s">
        <v>1342</v>
      </c>
      <c r="J1071" t="s">
        <v>2721</v>
      </c>
      <c r="K1071">
        <v>1590</v>
      </c>
      <c r="L1071">
        <v>1905</v>
      </c>
      <c r="M1071">
        <v>1590</v>
      </c>
      <c r="N1071">
        <v>1905</v>
      </c>
      <c r="O1071" s="24">
        <v>1490</v>
      </c>
      <c r="P1071" s="24">
        <v>1839</v>
      </c>
      <c r="Q1071">
        <v>1379</v>
      </c>
      <c r="R1071">
        <v>1926</v>
      </c>
      <c r="S1071">
        <v>1626</v>
      </c>
      <c r="T1071">
        <v>2243</v>
      </c>
      <c r="U1071">
        <v>1626</v>
      </c>
      <c r="V1071">
        <v>2243</v>
      </c>
    </row>
    <row r="1072" spans="2:22" x14ac:dyDescent="0.35">
      <c r="B1072" s="46" t="s">
        <v>1359</v>
      </c>
      <c r="D1072" t="s">
        <v>1338</v>
      </c>
      <c r="E1072" t="s">
        <v>1339</v>
      </c>
      <c r="F1072" s="46" t="s">
        <v>1359</v>
      </c>
      <c r="G1072" t="s">
        <v>289</v>
      </c>
      <c r="H1072" s="47" t="s">
        <v>1355</v>
      </c>
      <c r="I1072" s="47" t="s">
        <v>1356</v>
      </c>
      <c r="J1072" t="s">
        <v>319</v>
      </c>
      <c r="K1072">
        <v>763</v>
      </c>
      <c r="L1072">
        <v>1004</v>
      </c>
      <c r="M1072">
        <v>763</v>
      </c>
      <c r="N1072">
        <v>1004</v>
      </c>
      <c r="O1072" s="24">
        <v>709</v>
      </c>
      <c r="P1072" s="24">
        <v>931</v>
      </c>
      <c r="Q1072">
        <v>665</v>
      </c>
      <c r="R1072">
        <v>973</v>
      </c>
      <c r="S1072">
        <v>903</v>
      </c>
      <c r="T1072">
        <v>1267</v>
      </c>
      <c r="U1072">
        <v>903</v>
      </c>
      <c r="V1072">
        <v>1267</v>
      </c>
    </row>
    <row r="1073" spans="2:22" x14ac:dyDescent="0.35">
      <c r="B1073" s="46" t="s">
        <v>1360</v>
      </c>
      <c r="D1073" t="s">
        <v>1338</v>
      </c>
      <c r="E1073" t="s">
        <v>1339</v>
      </c>
      <c r="F1073" s="46" t="s">
        <v>1360</v>
      </c>
      <c r="G1073" t="s">
        <v>231</v>
      </c>
      <c r="H1073" s="47" t="s">
        <v>393</v>
      </c>
      <c r="I1073" s="47" t="s">
        <v>1342</v>
      </c>
      <c r="J1073" t="s">
        <v>1505</v>
      </c>
      <c r="K1073">
        <v>267</v>
      </c>
      <c r="L1073">
        <v>307</v>
      </c>
      <c r="M1073">
        <v>267</v>
      </c>
      <c r="N1073">
        <v>307</v>
      </c>
      <c r="O1073" s="24">
        <v>249</v>
      </c>
      <c r="P1073" s="24">
        <v>303</v>
      </c>
      <c r="Q1073">
        <v>251</v>
      </c>
      <c r="R1073">
        <v>367</v>
      </c>
      <c r="S1073">
        <v>294</v>
      </c>
      <c r="T1073">
        <v>471</v>
      </c>
      <c r="U1073">
        <v>294</v>
      </c>
      <c r="V1073">
        <v>471</v>
      </c>
    </row>
    <row r="1074" spans="2:22" x14ac:dyDescent="0.35">
      <c r="B1074" s="46" t="s">
        <v>1361</v>
      </c>
      <c r="D1074" t="s">
        <v>1338</v>
      </c>
      <c r="E1074" t="s">
        <v>1339</v>
      </c>
      <c r="F1074" s="46" t="s">
        <v>1361</v>
      </c>
      <c r="G1074" t="s">
        <v>259</v>
      </c>
      <c r="H1074" s="47" t="s">
        <v>477</v>
      </c>
      <c r="I1074" s="47" t="s">
        <v>1345</v>
      </c>
      <c r="J1074" t="s">
        <v>2722</v>
      </c>
      <c r="K1074">
        <v>686</v>
      </c>
      <c r="L1074">
        <v>954</v>
      </c>
      <c r="M1074">
        <v>686</v>
      </c>
      <c r="N1074">
        <v>954</v>
      </c>
      <c r="O1074" s="24">
        <v>667</v>
      </c>
      <c r="P1074" s="24">
        <v>910</v>
      </c>
      <c r="Q1074">
        <v>566</v>
      </c>
      <c r="R1074">
        <v>939</v>
      </c>
      <c r="S1074">
        <v>702</v>
      </c>
      <c r="T1074">
        <v>1216</v>
      </c>
      <c r="U1074">
        <v>702</v>
      </c>
      <c r="V1074">
        <v>1216</v>
      </c>
    </row>
    <row r="1075" spans="2:22" x14ac:dyDescent="0.35">
      <c r="B1075" s="46" t="s">
        <v>1362</v>
      </c>
      <c r="D1075" t="s">
        <v>1338</v>
      </c>
      <c r="E1075" t="s">
        <v>1339</v>
      </c>
      <c r="F1075" s="46" t="s">
        <v>1362</v>
      </c>
      <c r="G1075" t="s">
        <v>259</v>
      </c>
      <c r="H1075" s="47" t="s">
        <v>477</v>
      </c>
      <c r="I1075" s="47" t="s">
        <v>1345</v>
      </c>
      <c r="J1075" t="s">
        <v>882</v>
      </c>
      <c r="K1075">
        <v>1594</v>
      </c>
      <c r="L1075">
        <v>2274</v>
      </c>
      <c r="M1075">
        <v>1594</v>
      </c>
      <c r="N1075">
        <v>2274</v>
      </c>
      <c r="O1075" s="24">
        <v>1518</v>
      </c>
      <c r="P1075" s="24">
        <v>2241</v>
      </c>
      <c r="Q1075">
        <v>1246</v>
      </c>
      <c r="R1075">
        <v>2266</v>
      </c>
      <c r="S1075">
        <v>1567</v>
      </c>
      <c r="T1075">
        <v>2780</v>
      </c>
      <c r="U1075">
        <v>1567</v>
      </c>
      <c r="V1075">
        <v>2780</v>
      </c>
    </row>
    <row r="1076" spans="2:22" x14ac:dyDescent="0.35">
      <c r="B1076" s="46" t="s">
        <v>1363</v>
      </c>
      <c r="D1076" t="s">
        <v>1338</v>
      </c>
      <c r="E1076" t="s">
        <v>1339</v>
      </c>
      <c r="F1076" s="46" t="s">
        <v>1363</v>
      </c>
      <c r="G1076" t="s">
        <v>289</v>
      </c>
      <c r="H1076" s="47" t="s">
        <v>1355</v>
      </c>
      <c r="I1076" s="47" t="s">
        <v>1356</v>
      </c>
      <c r="J1076" t="s">
        <v>2723</v>
      </c>
      <c r="K1076">
        <v>1405</v>
      </c>
      <c r="L1076">
        <v>2158</v>
      </c>
      <c r="M1076">
        <v>1405</v>
      </c>
      <c r="N1076">
        <v>2158</v>
      </c>
      <c r="O1076" s="24">
        <v>1352</v>
      </c>
      <c r="P1076" s="24">
        <v>2087</v>
      </c>
      <c r="Q1076">
        <v>1334</v>
      </c>
      <c r="R1076">
        <v>2217</v>
      </c>
      <c r="S1076">
        <v>1774</v>
      </c>
      <c r="T1076">
        <v>2774</v>
      </c>
      <c r="U1076">
        <v>1774</v>
      </c>
      <c r="V1076">
        <v>2774</v>
      </c>
    </row>
    <row r="1077" spans="2:22" x14ac:dyDescent="0.35">
      <c r="B1077" s="46" t="s">
        <v>1364</v>
      </c>
      <c r="D1077" t="s">
        <v>1338</v>
      </c>
      <c r="E1077" t="s">
        <v>1339</v>
      </c>
      <c r="F1077" s="46" t="s">
        <v>1364</v>
      </c>
      <c r="G1077" t="s">
        <v>231</v>
      </c>
      <c r="H1077" s="47" t="s">
        <v>393</v>
      </c>
      <c r="I1077" s="47" t="s">
        <v>1342</v>
      </c>
      <c r="J1077" t="s">
        <v>463</v>
      </c>
      <c r="K1077">
        <v>304</v>
      </c>
      <c r="L1077">
        <v>362</v>
      </c>
      <c r="M1077">
        <v>304</v>
      </c>
      <c r="N1077">
        <v>362</v>
      </c>
      <c r="O1077" s="24">
        <v>309</v>
      </c>
      <c r="P1077" s="24">
        <v>361</v>
      </c>
      <c r="Q1077">
        <v>270</v>
      </c>
      <c r="R1077">
        <v>355</v>
      </c>
      <c r="S1077">
        <v>260</v>
      </c>
      <c r="T1077">
        <v>365</v>
      </c>
      <c r="U1077">
        <v>260</v>
      </c>
      <c r="V1077">
        <v>365</v>
      </c>
    </row>
    <row r="1078" spans="2:22" x14ac:dyDescent="0.35">
      <c r="B1078" s="46" t="s">
        <v>1365</v>
      </c>
      <c r="D1078" t="s">
        <v>1338</v>
      </c>
      <c r="E1078" t="s">
        <v>1339</v>
      </c>
      <c r="F1078" s="46" t="s">
        <v>1365</v>
      </c>
      <c r="G1078" t="s">
        <v>283</v>
      </c>
      <c r="H1078" s="47" t="s">
        <v>1366</v>
      </c>
      <c r="I1078" s="47" t="s">
        <v>1367</v>
      </c>
      <c r="J1078" t="s">
        <v>1794</v>
      </c>
      <c r="K1078">
        <v>176</v>
      </c>
      <c r="L1078">
        <v>227</v>
      </c>
      <c r="M1078">
        <v>176</v>
      </c>
      <c r="N1078">
        <v>227</v>
      </c>
      <c r="O1078" s="24">
        <v>179</v>
      </c>
      <c r="P1078" s="24">
        <v>223</v>
      </c>
      <c r="Q1078">
        <v>173</v>
      </c>
      <c r="R1078">
        <v>237</v>
      </c>
      <c r="S1078">
        <v>230</v>
      </c>
      <c r="T1078">
        <v>288</v>
      </c>
      <c r="U1078">
        <v>230</v>
      </c>
      <c r="V1078">
        <v>288</v>
      </c>
    </row>
    <row r="1079" spans="2:22" x14ac:dyDescent="0.35">
      <c r="B1079" s="46" t="s">
        <v>1368</v>
      </c>
      <c r="D1079" t="s">
        <v>1338</v>
      </c>
      <c r="E1079" t="s">
        <v>1339</v>
      </c>
      <c r="F1079" s="46" t="s">
        <v>1368</v>
      </c>
      <c r="G1079" t="s">
        <v>239</v>
      </c>
      <c r="H1079" s="47" t="s">
        <v>450</v>
      </c>
      <c r="I1079" s="47" t="s">
        <v>1369</v>
      </c>
      <c r="J1079" t="s">
        <v>2313</v>
      </c>
      <c r="K1079">
        <v>1997</v>
      </c>
      <c r="L1079">
        <v>3320</v>
      </c>
      <c r="M1079">
        <v>1997</v>
      </c>
      <c r="N1079">
        <v>3320</v>
      </c>
      <c r="O1079" s="24">
        <v>1670</v>
      </c>
      <c r="P1079" s="24">
        <v>3002</v>
      </c>
      <c r="Q1079">
        <v>1886</v>
      </c>
      <c r="R1079">
        <v>3269</v>
      </c>
      <c r="S1079">
        <v>2300</v>
      </c>
      <c r="T1079">
        <v>3833</v>
      </c>
      <c r="U1079">
        <v>2300</v>
      </c>
      <c r="V1079">
        <v>3833</v>
      </c>
    </row>
    <row r="1080" spans="2:22" x14ac:dyDescent="0.35">
      <c r="B1080" s="46" t="s">
        <v>1370</v>
      </c>
      <c r="D1080" t="s">
        <v>1338</v>
      </c>
      <c r="E1080" t="s">
        <v>1339</v>
      </c>
      <c r="F1080" s="46" t="s">
        <v>1370</v>
      </c>
      <c r="G1080" t="s">
        <v>279</v>
      </c>
      <c r="H1080" s="47" t="s">
        <v>1347</v>
      </c>
      <c r="I1080" s="47" t="s">
        <v>1348</v>
      </c>
      <c r="J1080" t="s">
        <v>2724</v>
      </c>
      <c r="K1080">
        <v>404</v>
      </c>
      <c r="L1080">
        <v>476</v>
      </c>
      <c r="M1080">
        <v>404</v>
      </c>
      <c r="N1080">
        <v>476</v>
      </c>
      <c r="O1080" s="24">
        <v>428</v>
      </c>
      <c r="P1080" s="24">
        <v>492</v>
      </c>
      <c r="Q1080">
        <v>379</v>
      </c>
      <c r="R1080">
        <v>519</v>
      </c>
      <c r="S1080">
        <v>461</v>
      </c>
      <c r="T1080">
        <v>666</v>
      </c>
      <c r="U1080">
        <v>461</v>
      </c>
      <c r="V1080">
        <v>666</v>
      </c>
    </row>
    <row r="1081" spans="2:22" x14ac:dyDescent="0.35">
      <c r="B1081" s="46" t="s">
        <v>1371</v>
      </c>
      <c r="D1081" t="s">
        <v>1338</v>
      </c>
      <c r="E1081" t="s">
        <v>1339</v>
      </c>
      <c r="F1081" s="46" t="s">
        <v>1371</v>
      </c>
      <c r="G1081" t="s">
        <v>259</v>
      </c>
      <c r="H1081" s="47" t="s">
        <v>477</v>
      </c>
      <c r="I1081" s="47" t="s">
        <v>1345</v>
      </c>
      <c r="J1081" t="s">
        <v>2725</v>
      </c>
      <c r="K1081">
        <v>203</v>
      </c>
      <c r="L1081">
        <v>298</v>
      </c>
      <c r="M1081">
        <v>203</v>
      </c>
      <c r="N1081">
        <v>298</v>
      </c>
      <c r="O1081" s="24">
        <v>198</v>
      </c>
      <c r="P1081" s="24">
        <v>284</v>
      </c>
      <c r="Q1081">
        <v>180</v>
      </c>
      <c r="R1081">
        <v>269</v>
      </c>
      <c r="S1081">
        <v>228</v>
      </c>
      <c r="T1081">
        <v>321</v>
      </c>
      <c r="U1081">
        <v>228</v>
      </c>
      <c r="V1081">
        <v>321</v>
      </c>
    </row>
    <row r="1082" spans="2:22" x14ac:dyDescent="0.35">
      <c r="B1082" s="46" t="s">
        <v>1372</v>
      </c>
      <c r="D1082" t="s">
        <v>1338</v>
      </c>
      <c r="E1082" t="s">
        <v>1339</v>
      </c>
      <c r="F1082" s="46" t="s">
        <v>1372</v>
      </c>
      <c r="G1082" t="s">
        <v>279</v>
      </c>
      <c r="H1082" s="47" t="s">
        <v>1347</v>
      </c>
      <c r="I1082" s="47" t="s">
        <v>1348</v>
      </c>
      <c r="J1082" t="s">
        <v>2726</v>
      </c>
      <c r="K1082">
        <v>3754</v>
      </c>
      <c r="L1082">
        <v>4105</v>
      </c>
      <c r="M1082">
        <v>3754</v>
      </c>
      <c r="N1082">
        <v>4105</v>
      </c>
      <c r="O1082" s="24">
        <v>3704</v>
      </c>
      <c r="P1082" s="24">
        <v>4311</v>
      </c>
      <c r="Q1082">
        <v>3483</v>
      </c>
      <c r="R1082">
        <v>4669</v>
      </c>
      <c r="S1082">
        <v>3843</v>
      </c>
      <c r="T1082">
        <v>5411</v>
      </c>
      <c r="U1082">
        <v>3843</v>
      </c>
      <c r="V1082">
        <v>5411</v>
      </c>
    </row>
    <row r="1083" spans="2:22" x14ac:dyDescent="0.35">
      <c r="B1083" s="46" t="s">
        <v>1373</v>
      </c>
      <c r="D1083" t="s">
        <v>1338</v>
      </c>
      <c r="E1083" t="s">
        <v>1339</v>
      </c>
      <c r="F1083" s="46" t="s">
        <v>1373</v>
      </c>
      <c r="G1083" t="s">
        <v>235</v>
      </c>
      <c r="H1083" s="47" t="s">
        <v>419</v>
      </c>
      <c r="I1083" s="47" t="s">
        <v>1340</v>
      </c>
      <c r="J1083" t="s">
        <v>469</v>
      </c>
      <c r="K1083">
        <v>178</v>
      </c>
      <c r="L1083">
        <v>241</v>
      </c>
      <c r="M1083">
        <v>178</v>
      </c>
      <c r="N1083">
        <v>241</v>
      </c>
      <c r="O1083" s="24">
        <v>163</v>
      </c>
      <c r="P1083" s="24">
        <v>217</v>
      </c>
      <c r="Q1083">
        <v>182</v>
      </c>
      <c r="R1083">
        <v>234</v>
      </c>
      <c r="S1083">
        <v>212</v>
      </c>
      <c r="T1083">
        <v>282</v>
      </c>
      <c r="U1083">
        <v>212</v>
      </c>
      <c r="V1083">
        <v>282</v>
      </c>
    </row>
    <row r="1084" spans="2:22" x14ac:dyDescent="0.35">
      <c r="B1084" s="46" t="s">
        <v>1374</v>
      </c>
      <c r="D1084" t="s">
        <v>1338</v>
      </c>
      <c r="E1084" t="s">
        <v>1339</v>
      </c>
      <c r="F1084" s="46" t="s">
        <v>1374</v>
      </c>
      <c r="G1084" t="s">
        <v>239</v>
      </c>
      <c r="H1084" s="47" t="s">
        <v>450</v>
      </c>
      <c r="I1084" s="47" t="s">
        <v>1369</v>
      </c>
      <c r="J1084" t="s">
        <v>329</v>
      </c>
      <c r="K1084">
        <v>4784</v>
      </c>
      <c r="L1084">
        <v>7803</v>
      </c>
      <c r="M1084">
        <v>4784</v>
      </c>
      <c r="N1084">
        <v>7803</v>
      </c>
      <c r="O1084" s="24">
        <v>4133</v>
      </c>
      <c r="P1084" s="24">
        <v>6928</v>
      </c>
      <c r="Q1084">
        <v>4492</v>
      </c>
      <c r="R1084">
        <v>7396</v>
      </c>
      <c r="S1084">
        <v>5269</v>
      </c>
      <c r="T1084">
        <v>8931</v>
      </c>
      <c r="U1084">
        <v>5269</v>
      </c>
      <c r="V1084">
        <v>8931</v>
      </c>
    </row>
    <row r="1085" spans="2:22" x14ac:dyDescent="0.35">
      <c r="B1085" s="46" t="s">
        <v>1375</v>
      </c>
      <c r="D1085" t="s">
        <v>1338</v>
      </c>
      <c r="E1085" t="s">
        <v>1339</v>
      </c>
      <c r="F1085" s="46" t="s">
        <v>1375</v>
      </c>
      <c r="G1085" t="s">
        <v>231</v>
      </c>
      <c r="H1085" s="47" t="s">
        <v>393</v>
      </c>
      <c r="I1085" s="47" t="s">
        <v>1342</v>
      </c>
      <c r="J1085" t="s">
        <v>2727</v>
      </c>
      <c r="K1085">
        <v>479</v>
      </c>
      <c r="L1085">
        <v>558</v>
      </c>
      <c r="M1085">
        <v>479</v>
      </c>
      <c r="N1085">
        <v>558</v>
      </c>
      <c r="O1085" s="24">
        <v>480</v>
      </c>
      <c r="P1085" s="24">
        <v>596</v>
      </c>
      <c r="Q1085">
        <v>418</v>
      </c>
      <c r="R1085">
        <v>599</v>
      </c>
      <c r="S1085">
        <v>445</v>
      </c>
      <c r="T1085">
        <v>677</v>
      </c>
      <c r="U1085">
        <v>445</v>
      </c>
      <c r="V1085">
        <v>677</v>
      </c>
    </row>
    <row r="1086" spans="2:22" x14ac:dyDescent="0.35">
      <c r="B1086" s="46" t="s">
        <v>1376</v>
      </c>
      <c r="D1086" t="s">
        <v>1338</v>
      </c>
      <c r="E1086" t="s">
        <v>1339</v>
      </c>
      <c r="F1086" s="46" t="s">
        <v>1376</v>
      </c>
      <c r="G1086" t="s">
        <v>259</v>
      </c>
      <c r="H1086" s="47" t="s">
        <v>477</v>
      </c>
      <c r="I1086" s="47" t="s">
        <v>1345</v>
      </c>
      <c r="J1086" t="s">
        <v>2728</v>
      </c>
      <c r="K1086">
        <v>1206</v>
      </c>
      <c r="L1086">
        <v>1672</v>
      </c>
      <c r="M1086">
        <v>1206</v>
      </c>
      <c r="N1086">
        <v>1672</v>
      </c>
      <c r="O1086" s="24">
        <v>1109</v>
      </c>
      <c r="P1086" s="24">
        <v>1616</v>
      </c>
      <c r="Q1086">
        <v>1003</v>
      </c>
      <c r="R1086">
        <v>1732</v>
      </c>
      <c r="S1086">
        <v>1250</v>
      </c>
      <c r="T1086">
        <v>2057</v>
      </c>
      <c r="U1086">
        <v>1250</v>
      </c>
      <c r="V1086">
        <v>2057</v>
      </c>
    </row>
    <row r="1087" spans="2:22" x14ac:dyDescent="0.35">
      <c r="B1087" s="46" t="s">
        <v>1377</v>
      </c>
      <c r="D1087" t="s">
        <v>1338</v>
      </c>
      <c r="E1087" t="s">
        <v>1339</v>
      </c>
      <c r="F1087" s="46" t="s">
        <v>1377</v>
      </c>
      <c r="G1087" t="s">
        <v>259</v>
      </c>
      <c r="H1087" s="47" t="s">
        <v>477</v>
      </c>
      <c r="I1087" s="47" t="s">
        <v>1345</v>
      </c>
      <c r="J1087" t="s">
        <v>2729</v>
      </c>
      <c r="K1087">
        <v>356</v>
      </c>
      <c r="L1087">
        <v>500</v>
      </c>
      <c r="M1087">
        <v>356</v>
      </c>
      <c r="N1087">
        <v>500</v>
      </c>
      <c r="O1087" s="24">
        <v>345</v>
      </c>
      <c r="P1087" s="24">
        <v>474</v>
      </c>
      <c r="Q1087">
        <v>296</v>
      </c>
      <c r="R1087">
        <v>499</v>
      </c>
      <c r="S1087">
        <v>380</v>
      </c>
      <c r="T1087">
        <v>608</v>
      </c>
      <c r="U1087">
        <v>380</v>
      </c>
      <c r="V1087">
        <v>608</v>
      </c>
    </row>
    <row r="1088" spans="2:22" x14ac:dyDescent="0.35">
      <c r="B1088" s="46" t="s">
        <v>1378</v>
      </c>
      <c r="D1088" t="s">
        <v>1338</v>
      </c>
      <c r="E1088" t="s">
        <v>1339</v>
      </c>
      <c r="F1088" s="46" t="s">
        <v>1378</v>
      </c>
      <c r="G1088" t="s">
        <v>283</v>
      </c>
      <c r="H1088" s="47" t="s">
        <v>1366</v>
      </c>
      <c r="I1088" s="47" t="s">
        <v>1367</v>
      </c>
      <c r="J1088" t="s">
        <v>526</v>
      </c>
      <c r="K1088">
        <v>614</v>
      </c>
      <c r="L1088">
        <v>790</v>
      </c>
      <c r="M1088">
        <v>614</v>
      </c>
      <c r="N1088">
        <v>790</v>
      </c>
      <c r="O1088" s="24">
        <v>547</v>
      </c>
      <c r="P1088" s="24">
        <v>740</v>
      </c>
      <c r="Q1088">
        <v>520</v>
      </c>
      <c r="R1088">
        <v>752</v>
      </c>
      <c r="S1088">
        <v>573</v>
      </c>
      <c r="T1088">
        <v>830</v>
      </c>
      <c r="U1088">
        <v>573</v>
      </c>
      <c r="V1088">
        <v>830</v>
      </c>
    </row>
    <row r="1089" spans="2:22" x14ac:dyDescent="0.35">
      <c r="B1089" s="46" t="s">
        <v>1379</v>
      </c>
      <c r="D1089" t="s">
        <v>1338</v>
      </c>
      <c r="E1089" t="s">
        <v>1339</v>
      </c>
      <c r="F1089" s="46" t="s">
        <v>1379</v>
      </c>
      <c r="G1089" t="s">
        <v>279</v>
      </c>
      <c r="H1089" s="47" t="s">
        <v>1347</v>
      </c>
      <c r="I1089" s="47" t="s">
        <v>1348</v>
      </c>
      <c r="J1089" t="s">
        <v>899</v>
      </c>
      <c r="K1089">
        <v>324</v>
      </c>
      <c r="L1089">
        <v>392</v>
      </c>
      <c r="M1089">
        <v>324</v>
      </c>
      <c r="N1089">
        <v>392</v>
      </c>
      <c r="O1089" s="24">
        <v>308</v>
      </c>
      <c r="P1089" s="24">
        <v>368</v>
      </c>
      <c r="Q1089">
        <v>292</v>
      </c>
      <c r="R1089">
        <v>393</v>
      </c>
      <c r="S1089">
        <v>292</v>
      </c>
      <c r="T1089">
        <v>421</v>
      </c>
      <c r="U1089">
        <v>292</v>
      </c>
      <c r="V1089">
        <v>421</v>
      </c>
    </row>
    <row r="1090" spans="2:22" x14ac:dyDescent="0.35">
      <c r="B1090" s="46" t="s">
        <v>1380</v>
      </c>
      <c r="D1090" t="s">
        <v>1338</v>
      </c>
      <c r="E1090" t="s">
        <v>1339</v>
      </c>
      <c r="F1090" s="46" t="s">
        <v>1380</v>
      </c>
      <c r="G1090" t="s">
        <v>279</v>
      </c>
      <c r="H1090" s="47" t="s">
        <v>1347</v>
      </c>
      <c r="I1090" s="47" t="s">
        <v>1348</v>
      </c>
      <c r="J1090" t="s">
        <v>347</v>
      </c>
      <c r="K1090">
        <v>697</v>
      </c>
      <c r="L1090">
        <v>769</v>
      </c>
      <c r="M1090">
        <v>697</v>
      </c>
      <c r="N1090">
        <v>769</v>
      </c>
      <c r="O1090" s="24">
        <v>682</v>
      </c>
      <c r="P1090" s="24">
        <v>737</v>
      </c>
      <c r="Q1090">
        <v>617</v>
      </c>
      <c r="R1090">
        <v>818</v>
      </c>
      <c r="S1090">
        <v>735</v>
      </c>
      <c r="T1090">
        <v>973</v>
      </c>
      <c r="U1090">
        <v>735</v>
      </c>
      <c r="V1090">
        <v>973</v>
      </c>
    </row>
    <row r="1091" spans="2:22" x14ac:dyDescent="0.35">
      <c r="B1091" s="46" t="s">
        <v>1381</v>
      </c>
      <c r="D1091" t="s">
        <v>1338</v>
      </c>
      <c r="E1091" t="s">
        <v>1339</v>
      </c>
      <c r="F1091" s="46" t="s">
        <v>1381</v>
      </c>
      <c r="G1091" t="s">
        <v>231</v>
      </c>
      <c r="H1091" s="47" t="s">
        <v>393</v>
      </c>
      <c r="I1091" s="47" t="s">
        <v>1342</v>
      </c>
      <c r="J1091" t="s">
        <v>2730</v>
      </c>
      <c r="K1091">
        <v>237</v>
      </c>
      <c r="L1091">
        <v>297</v>
      </c>
      <c r="M1091">
        <v>237</v>
      </c>
      <c r="N1091">
        <v>297</v>
      </c>
      <c r="O1091" s="24">
        <v>177</v>
      </c>
      <c r="P1091" s="24">
        <v>254</v>
      </c>
      <c r="Q1091">
        <v>164</v>
      </c>
      <c r="R1091">
        <v>265</v>
      </c>
      <c r="S1091">
        <v>196</v>
      </c>
      <c r="T1091">
        <v>330</v>
      </c>
      <c r="U1091">
        <v>196</v>
      </c>
      <c r="V1091">
        <v>330</v>
      </c>
    </row>
    <row r="1092" spans="2:22" x14ac:dyDescent="0.35">
      <c r="B1092" s="46" t="s">
        <v>1382</v>
      </c>
      <c r="D1092" t="s">
        <v>1338</v>
      </c>
      <c r="E1092" t="s">
        <v>1339</v>
      </c>
      <c r="F1092" s="46" t="s">
        <v>1382</v>
      </c>
      <c r="G1092" t="s">
        <v>231</v>
      </c>
      <c r="H1092" s="47" t="s">
        <v>393</v>
      </c>
      <c r="I1092" s="47" t="s">
        <v>1342</v>
      </c>
      <c r="J1092" t="s">
        <v>2731</v>
      </c>
      <c r="K1092">
        <v>288</v>
      </c>
      <c r="L1092">
        <v>323</v>
      </c>
      <c r="M1092">
        <v>288</v>
      </c>
      <c r="N1092">
        <v>323</v>
      </c>
      <c r="O1092" s="24">
        <v>257</v>
      </c>
      <c r="P1092" s="24">
        <v>316</v>
      </c>
      <c r="Q1092">
        <v>233</v>
      </c>
      <c r="R1092">
        <v>329</v>
      </c>
      <c r="S1092">
        <v>256</v>
      </c>
      <c r="T1092">
        <v>392</v>
      </c>
      <c r="U1092">
        <v>256</v>
      </c>
      <c r="V1092">
        <v>392</v>
      </c>
    </row>
    <row r="1093" spans="2:22" x14ac:dyDescent="0.35">
      <c r="B1093" s="46" t="s">
        <v>1383</v>
      </c>
      <c r="D1093" t="s">
        <v>1338</v>
      </c>
      <c r="E1093" t="s">
        <v>1339</v>
      </c>
      <c r="F1093" s="46" t="s">
        <v>1383</v>
      </c>
      <c r="G1093" t="s">
        <v>283</v>
      </c>
      <c r="H1093" s="47" t="s">
        <v>1366</v>
      </c>
      <c r="I1093" s="47" t="s">
        <v>1367</v>
      </c>
      <c r="J1093" t="s">
        <v>2732</v>
      </c>
      <c r="K1093">
        <v>397</v>
      </c>
      <c r="L1093">
        <v>543</v>
      </c>
      <c r="M1093">
        <v>397</v>
      </c>
      <c r="N1093">
        <v>543</v>
      </c>
      <c r="O1093" s="24">
        <v>367</v>
      </c>
      <c r="P1093" s="24">
        <v>494</v>
      </c>
      <c r="Q1093">
        <v>314</v>
      </c>
      <c r="R1093">
        <v>523</v>
      </c>
      <c r="S1093">
        <v>395</v>
      </c>
      <c r="T1093">
        <v>631</v>
      </c>
      <c r="U1093">
        <v>395</v>
      </c>
      <c r="V1093">
        <v>631</v>
      </c>
    </row>
    <row r="1094" spans="2:22" x14ac:dyDescent="0.35">
      <c r="B1094" s="46" t="s">
        <v>1384</v>
      </c>
      <c r="D1094" t="s">
        <v>1338</v>
      </c>
      <c r="E1094" t="s">
        <v>1339</v>
      </c>
      <c r="F1094" s="46" t="s">
        <v>1384</v>
      </c>
      <c r="G1094" t="s">
        <v>279</v>
      </c>
      <c r="H1094" s="47" t="s">
        <v>1347</v>
      </c>
      <c r="I1094" s="47" t="s">
        <v>1348</v>
      </c>
      <c r="J1094" t="s">
        <v>828</v>
      </c>
      <c r="K1094">
        <v>708</v>
      </c>
      <c r="L1094">
        <v>784</v>
      </c>
      <c r="M1094">
        <v>708</v>
      </c>
      <c r="N1094">
        <v>784</v>
      </c>
      <c r="O1094" s="24">
        <v>647</v>
      </c>
      <c r="P1094" s="24">
        <v>689</v>
      </c>
      <c r="Q1094">
        <v>714</v>
      </c>
      <c r="R1094">
        <v>792</v>
      </c>
      <c r="S1094">
        <v>817</v>
      </c>
      <c r="T1094">
        <v>986</v>
      </c>
      <c r="U1094">
        <v>817</v>
      </c>
      <c r="V1094">
        <v>986</v>
      </c>
    </row>
    <row r="1095" spans="2:22" x14ac:dyDescent="0.35">
      <c r="B1095" s="46" t="s">
        <v>1385</v>
      </c>
      <c r="D1095" t="s">
        <v>1338</v>
      </c>
      <c r="E1095" t="s">
        <v>1339</v>
      </c>
      <c r="F1095" s="46" t="s">
        <v>1385</v>
      </c>
      <c r="G1095" t="s">
        <v>289</v>
      </c>
      <c r="H1095" s="47" t="s">
        <v>1355</v>
      </c>
      <c r="I1095" s="47" t="s">
        <v>1356</v>
      </c>
      <c r="J1095" t="s">
        <v>2733</v>
      </c>
      <c r="K1095">
        <v>503</v>
      </c>
      <c r="L1095">
        <v>683</v>
      </c>
      <c r="M1095">
        <v>503</v>
      </c>
      <c r="N1095">
        <v>683</v>
      </c>
      <c r="O1095" s="24">
        <v>499</v>
      </c>
      <c r="P1095" s="24">
        <v>680</v>
      </c>
      <c r="Q1095">
        <v>534</v>
      </c>
      <c r="R1095">
        <v>755</v>
      </c>
      <c r="S1095">
        <v>737</v>
      </c>
      <c r="T1095">
        <v>976</v>
      </c>
      <c r="U1095">
        <v>737</v>
      </c>
      <c r="V1095">
        <v>976</v>
      </c>
    </row>
    <row r="1096" spans="2:22" x14ac:dyDescent="0.35">
      <c r="B1096" s="46" t="s">
        <v>1386</v>
      </c>
      <c r="D1096" t="s">
        <v>1338</v>
      </c>
      <c r="E1096" t="s">
        <v>1339</v>
      </c>
      <c r="F1096" s="46" t="s">
        <v>1386</v>
      </c>
      <c r="G1096" t="s">
        <v>265</v>
      </c>
      <c r="H1096" s="47" t="s">
        <v>501</v>
      </c>
      <c r="I1096" s="47" t="s">
        <v>1387</v>
      </c>
      <c r="J1096" t="s">
        <v>355</v>
      </c>
      <c r="K1096">
        <v>3049</v>
      </c>
      <c r="L1096">
        <v>3898</v>
      </c>
      <c r="M1096">
        <v>3049</v>
      </c>
      <c r="N1096">
        <v>3898</v>
      </c>
      <c r="O1096" s="24">
        <v>2768</v>
      </c>
      <c r="P1096" s="24">
        <v>3591</v>
      </c>
      <c r="Q1096">
        <v>2823</v>
      </c>
      <c r="R1096">
        <v>3860</v>
      </c>
      <c r="S1096">
        <v>3099</v>
      </c>
      <c r="T1096">
        <v>4400</v>
      </c>
      <c r="U1096">
        <v>3099</v>
      </c>
      <c r="V1096">
        <v>4400</v>
      </c>
    </row>
    <row r="1097" spans="2:22" x14ac:dyDescent="0.35">
      <c r="B1097" s="46" t="s">
        <v>1388</v>
      </c>
      <c r="D1097" t="s">
        <v>1338</v>
      </c>
      <c r="E1097" t="s">
        <v>1339</v>
      </c>
      <c r="F1097" s="46" t="s">
        <v>1388</v>
      </c>
      <c r="G1097" t="s">
        <v>259</v>
      </c>
      <c r="H1097" s="47" t="s">
        <v>477</v>
      </c>
      <c r="I1097" s="47" t="s">
        <v>1345</v>
      </c>
      <c r="J1097" t="s">
        <v>2734</v>
      </c>
      <c r="K1097">
        <v>477</v>
      </c>
      <c r="L1097">
        <v>658</v>
      </c>
      <c r="M1097">
        <v>477</v>
      </c>
      <c r="N1097">
        <v>658</v>
      </c>
      <c r="O1097" s="24">
        <v>460</v>
      </c>
      <c r="P1097" s="24">
        <v>640</v>
      </c>
      <c r="Q1097">
        <v>481</v>
      </c>
      <c r="R1097">
        <v>681</v>
      </c>
      <c r="S1097">
        <v>632</v>
      </c>
      <c r="T1097">
        <v>875</v>
      </c>
      <c r="U1097">
        <v>632</v>
      </c>
      <c r="V1097">
        <v>875</v>
      </c>
    </row>
    <row r="1098" spans="2:22" x14ac:dyDescent="0.35">
      <c r="B1098" s="46" t="s">
        <v>1389</v>
      </c>
      <c r="D1098" t="s">
        <v>1338</v>
      </c>
      <c r="E1098" t="s">
        <v>1339</v>
      </c>
      <c r="F1098" s="46" t="s">
        <v>1389</v>
      </c>
      <c r="G1098" t="s">
        <v>231</v>
      </c>
      <c r="H1098" s="47" t="s">
        <v>393</v>
      </c>
      <c r="I1098" s="47" t="s">
        <v>1342</v>
      </c>
      <c r="J1098" t="s">
        <v>2735</v>
      </c>
      <c r="K1098">
        <v>312</v>
      </c>
      <c r="L1098">
        <v>340</v>
      </c>
      <c r="M1098">
        <v>312</v>
      </c>
      <c r="N1098">
        <v>340</v>
      </c>
      <c r="O1098" s="24">
        <v>291</v>
      </c>
      <c r="P1098" s="24">
        <v>329</v>
      </c>
      <c r="Q1098">
        <v>298</v>
      </c>
      <c r="R1098">
        <v>338</v>
      </c>
      <c r="S1098">
        <v>322</v>
      </c>
      <c r="T1098">
        <v>382</v>
      </c>
      <c r="U1098">
        <v>322</v>
      </c>
      <c r="V1098">
        <v>382</v>
      </c>
    </row>
    <row r="1099" spans="2:22" x14ac:dyDescent="0.35">
      <c r="B1099" s="46" t="s">
        <v>1390</v>
      </c>
      <c r="D1099" t="s">
        <v>1338</v>
      </c>
      <c r="E1099" t="s">
        <v>1339</v>
      </c>
      <c r="F1099" s="46" t="s">
        <v>1390</v>
      </c>
      <c r="G1099" t="s">
        <v>279</v>
      </c>
      <c r="H1099" s="47" t="s">
        <v>1347</v>
      </c>
      <c r="I1099" s="47" t="s">
        <v>1348</v>
      </c>
      <c r="J1099" t="s">
        <v>305</v>
      </c>
      <c r="K1099">
        <v>11214</v>
      </c>
      <c r="L1099">
        <v>12685</v>
      </c>
      <c r="M1099">
        <v>11214</v>
      </c>
      <c r="N1099">
        <v>12685</v>
      </c>
      <c r="O1099" s="24">
        <v>10795</v>
      </c>
      <c r="P1099" s="24">
        <v>12899</v>
      </c>
      <c r="Q1099">
        <v>10003</v>
      </c>
      <c r="R1099">
        <v>13735</v>
      </c>
      <c r="S1099">
        <v>11059</v>
      </c>
      <c r="T1099">
        <v>15752</v>
      </c>
      <c r="U1099">
        <v>11059</v>
      </c>
      <c r="V1099">
        <v>15752</v>
      </c>
    </row>
    <row r="1100" spans="2:22" x14ac:dyDescent="0.35">
      <c r="B1100" s="46" t="s">
        <v>1391</v>
      </c>
      <c r="D1100" t="s">
        <v>1338</v>
      </c>
      <c r="E1100" t="s">
        <v>1339</v>
      </c>
      <c r="F1100" s="46" t="s">
        <v>1391</v>
      </c>
      <c r="G1100" t="s">
        <v>231</v>
      </c>
      <c r="H1100" s="47" t="s">
        <v>393</v>
      </c>
      <c r="I1100" s="47" t="s">
        <v>1342</v>
      </c>
      <c r="J1100" t="s">
        <v>1835</v>
      </c>
      <c r="K1100">
        <v>198</v>
      </c>
      <c r="L1100">
        <v>242</v>
      </c>
      <c r="M1100">
        <v>198</v>
      </c>
      <c r="N1100">
        <v>242</v>
      </c>
      <c r="O1100" s="24">
        <v>126</v>
      </c>
      <c r="P1100" s="24">
        <v>195</v>
      </c>
      <c r="Q1100">
        <v>142</v>
      </c>
      <c r="R1100">
        <v>229</v>
      </c>
      <c r="S1100">
        <v>160</v>
      </c>
      <c r="T1100">
        <v>267</v>
      </c>
      <c r="U1100">
        <v>160</v>
      </c>
      <c r="V1100">
        <v>267</v>
      </c>
    </row>
    <row r="1101" spans="2:22" x14ac:dyDescent="0.35">
      <c r="B1101" s="46" t="s">
        <v>1392</v>
      </c>
      <c r="D1101" t="s">
        <v>1338</v>
      </c>
      <c r="E1101" t="s">
        <v>1339</v>
      </c>
      <c r="F1101" s="46" t="s">
        <v>1392</v>
      </c>
      <c r="G1101" t="s">
        <v>231</v>
      </c>
      <c r="H1101" s="47" t="s">
        <v>393</v>
      </c>
      <c r="I1101" s="47" t="s">
        <v>1342</v>
      </c>
      <c r="J1101" t="s">
        <v>1250</v>
      </c>
      <c r="K1101">
        <v>261</v>
      </c>
      <c r="L1101">
        <v>306</v>
      </c>
      <c r="M1101">
        <v>261</v>
      </c>
      <c r="N1101">
        <v>306</v>
      </c>
      <c r="O1101" s="24">
        <v>251</v>
      </c>
      <c r="P1101" s="24">
        <v>292</v>
      </c>
      <c r="Q1101">
        <v>241</v>
      </c>
      <c r="R1101">
        <v>295</v>
      </c>
      <c r="S1101">
        <v>280</v>
      </c>
      <c r="T1101">
        <v>345</v>
      </c>
      <c r="U1101">
        <v>280</v>
      </c>
      <c r="V1101">
        <v>345</v>
      </c>
    </row>
    <row r="1102" spans="2:22" x14ac:dyDescent="0.35">
      <c r="B1102" s="46" t="s">
        <v>1393</v>
      </c>
      <c r="D1102" t="s">
        <v>1338</v>
      </c>
      <c r="E1102" t="s">
        <v>1339</v>
      </c>
      <c r="F1102" s="46" t="s">
        <v>1393</v>
      </c>
      <c r="G1102" t="s">
        <v>255</v>
      </c>
      <c r="H1102" s="47" t="s">
        <v>467</v>
      </c>
      <c r="I1102" s="47" t="s">
        <v>1352</v>
      </c>
      <c r="J1102" t="s">
        <v>269</v>
      </c>
      <c r="K1102">
        <v>595</v>
      </c>
      <c r="L1102">
        <v>712</v>
      </c>
      <c r="M1102">
        <v>595</v>
      </c>
      <c r="N1102">
        <v>712</v>
      </c>
      <c r="O1102" s="24">
        <v>574</v>
      </c>
      <c r="P1102" s="24">
        <v>711</v>
      </c>
      <c r="Q1102">
        <v>481</v>
      </c>
      <c r="R1102">
        <v>763</v>
      </c>
      <c r="S1102">
        <v>560</v>
      </c>
      <c r="T1102">
        <v>875</v>
      </c>
      <c r="U1102">
        <v>560</v>
      </c>
      <c r="V1102">
        <v>875</v>
      </c>
    </row>
    <row r="1103" spans="2:22" x14ac:dyDescent="0.35">
      <c r="B1103" s="46" t="s">
        <v>1394</v>
      </c>
      <c r="D1103" t="s">
        <v>1338</v>
      </c>
      <c r="E1103" t="s">
        <v>1339</v>
      </c>
      <c r="F1103" s="46" t="s">
        <v>1394</v>
      </c>
      <c r="G1103" t="s">
        <v>279</v>
      </c>
      <c r="H1103" s="47" t="s">
        <v>1347</v>
      </c>
      <c r="I1103" s="47" t="s">
        <v>1348</v>
      </c>
      <c r="J1103" t="s">
        <v>2736</v>
      </c>
      <c r="K1103">
        <v>406</v>
      </c>
      <c r="L1103">
        <v>463</v>
      </c>
      <c r="M1103">
        <v>406</v>
      </c>
      <c r="N1103">
        <v>463</v>
      </c>
      <c r="O1103" s="24">
        <v>365</v>
      </c>
      <c r="P1103" s="24">
        <v>404</v>
      </c>
      <c r="Q1103">
        <v>339</v>
      </c>
      <c r="R1103">
        <v>450</v>
      </c>
      <c r="S1103">
        <v>350</v>
      </c>
      <c r="T1103">
        <v>481</v>
      </c>
      <c r="U1103">
        <v>350</v>
      </c>
      <c r="V1103">
        <v>481</v>
      </c>
    </row>
    <row r="1104" spans="2:22" x14ac:dyDescent="0.35">
      <c r="B1104" s="46" t="s">
        <v>1395</v>
      </c>
      <c r="D1104" t="s">
        <v>1338</v>
      </c>
      <c r="E1104" t="s">
        <v>1339</v>
      </c>
      <c r="F1104" s="46" t="s">
        <v>1395</v>
      </c>
      <c r="G1104" t="s">
        <v>231</v>
      </c>
      <c r="H1104" s="47" t="s">
        <v>393</v>
      </c>
      <c r="I1104" s="47" t="s">
        <v>1342</v>
      </c>
      <c r="J1104" t="s">
        <v>2737</v>
      </c>
      <c r="K1104">
        <v>168</v>
      </c>
      <c r="L1104">
        <v>201</v>
      </c>
      <c r="M1104">
        <v>168</v>
      </c>
      <c r="N1104">
        <v>201</v>
      </c>
      <c r="O1104" s="24">
        <v>148</v>
      </c>
      <c r="P1104" s="24">
        <v>184</v>
      </c>
      <c r="Q1104">
        <v>134</v>
      </c>
      <c r="R1104">
        <v>178</v>
      </c>
      <c r="S1104">
        <v>132</v>
      </c>
      <c r="T1104">
        <v>183</v>
      </c>
      <c r="U1104">
        <v>132</v>
      </c>
      <c r="V1104">
        <v>183</v>
      </c>
    </row>
    <row r="1105" spans="2:22" x14ac:dyDescent="0.35">
      <c r="B1105" s="46" t="s">
        <v>1396</v>
      </c>
      <c r="D1105" t="s">
        <v>1338</v>
      </c>
      <c r="E1105" t="s">
        <v>1339</v>
      </c>
      <c r="F1105" s="46" t="s">
        <v>1396</v>
      </c>
      <c r="G1105" t="s">
        <v>259</v>
      </c>
      <c r="H1105" s="47" t="s">
        <v>477</v>
      </c>
      <c r="I1105" s="47" t="s">
        <v>1345</v>
      </c>
      <c r="J1105" t="s">
        <v>520</v>
      </c>
      <c r="K1105">
        <v>255</v>
      </c>
      <c r="L1105">
        <v>350</v>
      </c>
      <c r="M1105">
        <v>255</v>
      </c>
      <c r="N1105">
        <v>350</v>
      </c>
      <c r="O1105" s="24">
        <v>193</v>
      </c>
      <c r="P1105" s="24">
        <v>279</v>
      </c>
      <c r="Q1105">
        <v>185</v>
      </c>
      <c r="R1105">
        <v>323</v>
      </c>
      <c r="S1105">
        <v>220</v>
      </c>
      <c r="T1105">
        <v>364</v>
      </c>
      <c r="U1105">
        <v>220</v>
      </c>
      <c r="V1105">
        <v>364</v>
      </c>
    </row>
    <row r="1106" spans="2:22" x14ac:dyDescent="0.35">
      <c r="B1106" s="46" t="s">
        <v>1397</v>
      </c>
      <c r="D1106" t="s">
        <v>1338</v>
      </c>
      <c r="E1106" t="s">
        <v>1339</v>
      </c>
      <c r="F1106" s="46" t="s">
        <v>1397</v>
      </c>
      <c r="G1106" t="s">
        <v>283</v>
      </c>
      <c r="H1106" s="47" t="s">
        <v>1366</v>
      </c>
      <c r="I1106" s="47" t="s">
        <v>1367</v>
      </c>
      <c r="J1106" t="s">
        <v>2738</v>
      </c>
      <c r="K1106">
        <v>1172</v>
      </c>
      <c r="L1106">
        <v>1592</v>
      </c>
      <c r="M1106">
        <v>1172</v>
      </c>
      <c r="N1106">
        <v>1592</v>
      </c>
      <c r="O1106" s="24">
        <v>1097</v>
      </c>
      <c r="P1106" s="24">
        <v>1555</v>
      </c>
      <c r="Q1106">
        <v>948</v>
      </c>
      <c r="R1106">
        <v>1643</v>
      </c>
      <c r="S1106">
        <v>1116</v>
      </c>
      <c r="T1106">
        <v>1783</v>
      </c>
      <c r="U1106">
        <v>1116</v>
      </c>
      <c r="V1106">
        <v>1783</v>
      </c>
    </row>
    <row r="1107" spans="2:22" x14ac:dyDescent="0.35">
      <c r="B1107" s="46" t="s">
        <v>1398</v>
      </c>
      <c r="D1107" t="s">
        <v>1338</v>
      </c>
      <c r="E1107" t="s">
        <v>1339</v>
      </c>
      <c r="F1107" s="46" t="s">
        <v>1398</v>
      </c>
      <c r="G1107" t="s">
        <v>283</v>
      </c>
      <c r="H1107" s="47" t="s">
        <v>1366</v>
      </c>
      <c r="I1107" s="47" t="s">
        <v>1367</v>
      </c>
      <c r="J1107" t="s">
        <v>2739</v>
      </c>
      <c r="K1107">
        <v>181</v>
      </c>
      <c r="L1107">
        <v>265</v>
      </c>
      <c r="M1107">
        <v>181</v>
      </c>
      <c r="N1107">
        <v>265</v>
      </c>
      <c r="O1107" s="24">
        <v>197</v>
      </c>
      <c r="P1107" s="24">
        <v>268</v>
      </c>
      <c r="Q1107">
        <v>190</v>
      </c>
      <c r="R1107">
        <v>280</v>
      </c>
      <c r="S1107">
        <v>188</v>
      </c>
      <c r="T1107">
        <v>292</v>
      </c>
      <c r="U1107">
        <v>188</v>
      </c>
      <c r="V1107">
        <v>292</v>
      </c>
    </row>
    <row r="1108" spans="2:22" x14ac:dyDescent="0.35">
      <c r="B1108" s="46" t="s">
        <v>1399</v>
      </c>
      <c r="D1108" t="s">
        <v>1338</v>
      </c>
      <c r="E1108" t="s">
        <v>1339</v>
      </c>
      <c r="F1108" s="46" t="s">
        <v>1399</v>
      </c>
      <c r="G1108" t="s">
        <v>239</v>
      </c>
      <c r="H1108" s="47" t="s">
        <v>450</v>
      </c>
      <c r="I1108" s="47" t="s">
        <v>1369</v>
      </c>
      <c r="J1108" t="s">
        <v>357</v>
      </c>
      <c r="K1108">
        <v>12582</v>
      </c>
      <c r="L1108">
        <v>22193</v>
      </c>
      <c r="M1108">
        <v>12582</v>
      </c>
      <c r="N1108">
        <v>22193</v>
      </c>
      <c r="O1108" s="24">
        <v>10259</v>
      </c>
      <c r="P1108" s="24">
        <v>19116</v>
      </c>
      <c r="Q1108">
        <v>10862</v>
      </c>
      <c r="R1108">
        <v>20347</v>
      </c>
      <c r="S1108">
        <v>13588</v>
      </c>
      <c r="T1108">
        <v>24621</v>
      </c>
      <c r="U1108">
        <v>13588</v>
      </c>
      <c r="V1108">
        <v>24621</v>
      </c>
    </row>
    <row r="1109" spans="2:22" x14ac:dyDescent="0.35">
      <c r="B1109" s="46" t="s">
        <v>1400</v>
      </c>
      <c r="D1109" t="s">
        <v>1338</v>
      </c>
      <c r="E1109" t="s">
        <v>1339</v>
      </c>
      <c r="F1109" s="46" t="s">
        <v>1400</v>
      </c>
      <c r="G1109" t="s">
        <v>273</v>
      </c>
      <c r="H1109" s="47" t="s">
        <v>524</v>
      </c>
      <c r="I1109" s="47" t="s">
        <v>1350</v>
      </c>
      <c r="J1109" t="s">
        <v>837</v>
      </c>
      <c r="K1109">
        <v>3002</v>
      </c>
      <c r="L1109">
        <v>3464</v>
      </c>
      <c r="M1109">
        <v>3002</v>
      </c>
      <c r="N1109">
        <v>3464</v>
      </c>
      <c r="O1109" s="24">
        <v>2975</v>
      </c>
      <c r="P1109" s="24">
        <v>3509</v>
      </c>
      <c r="Q1109">
        <v>2520</v>
      </c>
      <c r="R1109">
        <v>3800</v>
      </c>
      <c r="S1109">
        <v>2897</v>
      </c>
      <c r="T1109">
        <v>4396</v>
      </c>
      <c r="U1109">
        <v>2897</v>
      </c>
      <c r="V1109">
        <v>4396</v>
      </c>
    </row>
    <row r="1110" spans="2:22" x14ac:dyDescent="0.35">
      <c r="B1110" s="46" t="s">
        <v>1401</v>
      </c>
      <c r="D1110" t="s">
        <v>1338</v>
      </c>
      <c r="E1110" t="s">
        <v>1339</v>
      </c>
      <c r="F1110" s="46" t="s">
        <v>1401</v>
      </c>
      <c r="G1110" t="s">
        <v>265</v>
      </c>
      <c r="H1110" s="47" t="s">
        <v>501</v>
      </c>
      <c r="I1110" s="47" t="s">
        <v>1387</v>
      </c>
      <c r="J1110" t="s">
        <v>247</v>
      </c>
      <c r="K1110">
        <v>5824</v>
      </c>
      <c r="L1110">
        <v>7979</v>
      </c>
      <c r="M1110">
        <v>5824</v>
      </c>
      <c r="N1110">
        <v>7979</v>
      </c>
      <c r="O1110" s="24">
        <v>5092</v>
      </c>
      <c r="P1110" s="24">
        <v>7026</v>
      </c>
      <c r="Q1110">
        <v>5215</v>
      </c>
      <c r="R1110">
        <v>7357</v>
      </c>
      <c r="S1110">
        <v>5764</v>
      </c>
      <c r="T1110">
        <v>8444</v>
      </c>
      <c r="U1110">
        <v>5764</v>
      </c>
      <c r="V1110">
        <v>8444</v>
      </c>
    </row>
    <row r="1111" spans="2:22" x14ac:dyDescent="0.35">
      <c r="B1111" s="46" t="s">
        <v>1402</v>
      </c>
      <c r="D1111" t="s">
        <v>1338</v>
      </c>
      <c r="E1111" t="s">
        <v>1339</v>
      </c>
      <c r="F1111" s="46" t="s">
        <v>1402</v>
      </c>
      <c r="G1111" t="s">
        <v>255</v>
      </c>
      <c r="H1111" s="47" t="s">
        <v>467</v>
      </c>
      <c r="I1111" s="47" t="s">
        <v>1352</v>
      </c>
      <c r="J1111" t="s">
        <v>535</v>
      </c>
      <c r="K1111">
        <v>1067</v>
      </c>
      <c r="L1111">
        <v>1227</v>
      </c>
      <c r="M1111">
        <v>1067</v>
      </c>
      <c r="N1111">
        <v>1227</v>
      </c>
      <c r="O1111" s="24">
        <v>986</v>
      </c>
      <c r="P1111" s="24">
        <v>1223</v>
      </c>
      <c r="Q1111">
        <v>908</v>
      </c>
      <c r="R1111">
        <v>1337</v>
      </c>
      <c r="S1111">
        <v>1026</v>
      </c>
      <c r="T1111">
        <v>1614</v>
      </c>
      <c r="U1111">
        <v>1026</v>
      </c>
      <c r="V1111">
        <v>1614</v>
      </c>
    </row>
    <row r="1112" spans="2:22" x14ac:dyDescent="0.35">
      <c r="B1112" s="46" t="s">
        <v>1403</v>
      </c>
      <c r="D1112" t="s">
        <v>1338</v>
      </c>
      <c r="E1112" t="s">
        <v>1339</v>
      </c>
      <c r="F1112" s="46" t="s">
        <v>1403</v>
      </c>
      <c r="G1112" t="s">
        <v>235</v>
      </c>
      <c r="H1112" s="47" t="s">
        <v>419</v>
      </c>
      <c r="I1112" s="47" t="s">
        <v>1340</v>
      </c>
      <c r="J1112" t="s">
        <v>1819</v>
      </c>
      <c r="K1112">
        <v>162</v>
      </c>
      <c r="L1112">
        <v>214</v>
      </c>
      <c r="M1112">
        <v>162</v>
      </c>
      <c r="N1112">
        <v>214</v>
      </c>
      <c r="O1112" s="24">
        <v>164</v>
      </c>
      <c r="P1112" s="24">
        <v>211</v>
      </c>
      <c r="Q1112">
        <v>127</v>
      </c>
      <c r="R1112">
        <v>201</v>
      </c>
      <c r="S1112">
        <v>144</v>
      </c>
      <c r="T1112">
        <v>214</v>
      </c>
      <c r="U1112">
        <v>144</v>
      </c>
      <c r="V1112">
        <v>214</v>
      </c>
    </row>
    <row r="1113" spans="2:22" x14ac:dyDescent="0.35">
      <c r="B1113" s="46" t="s">
        <v>1404</v>
      </c>
      <c r="D1113" t="s">
        <v>1338</v>
      </c>
      <c r="E1113" t="s">
        <v>1339</v>
      </c>
      <c r="F1113" s="46" t="s">
        <v>1404</v>
      </c>
      <c r="G1113" t="s">
        <v>279</v>
      </c>
      <c r="H1113" s="47" t="s">
        <v>1347</v>
      </c>
      <c r="I1113" s="47" t="s">
        <v>1348</v>
      </c>
      <c r="J1113" t="s">
        <v>2740</v>
      </c>
      <c r="K1113">
        <v>1698</v>
      </c>
      <c r="L1113">
        <v>1891</v>
      </c>
      <c r="M1113">
        <v>1698</v>
      </c>
      <c r="N1113">
        <v>1891</v>
      </c>
      <c r="O1113" s="24">
        <v>1811</v>
      </c>
      <c r="P1113" s="24">
        <v>1965</v>
      </c>
      <c r="Q1113">
        <v>1879</v>
      </c>
      <c r="R1113">
        <v>2211</v>
      </c>
      <c r="S1113">
        <v>2092</v>
      </c>
      <c r="T1113">
        <v>2508</v>
      </c>
      <c r="U1113">
        <v>2092</v>
      </c>
      <c r="V1113">
        <v>2508</v>
      </c>
    </row>
    <row r="1114" spans="2:22" x14ac:dyDescent="0.35">
      <c r="B1114" s="46" t="s">
        <v>1405</v>
      </c>
      <c r="D1114" t="s">
        <v>1338</v>
      </c>
      <c r="E1114" t="s">
        <v>1339</v>
      </c>
      <c r="F1114" s="46" t="s">
        <v>1405</v>
      </c>
      <c r="G1114" t="s">
        <v>255</v>
      </c>
      <c r="H1114" s="47" t="s">
        <v>467</v>
      </c>
      <c r="I1114" s="47" t="s">
        <v>1352</v>
      </c>
      <c r="J1114" t="s">
        <v>504</v>
      </c>
      <c r="K1114">
        <v>1056</v>
      </c>
      <c r="L1114">
        <v>1171</v>
      </c>
      <c r="M1114">
        <v>1056</v>
      </c>
      <c r="N1114">
        <v>1171</v>
      </c>
      <c r="O1114" s="24">
        <v>1001</v>
      </c>
      <c r="P1114" s="24">
        <v>1142</v>
      </c>
      <c r="Q1114">
        <v>891</v>
      </c>
      <c r="R1114">
        <v>1189</v>
      </c>
      <c r="S1114">
        <v>883</v>
      </c>
      <c r="T1114">
        <v>1288</v>
      </c>
      <c r="U1114">
        <v>883</v>
      </c>
      <c r="V1114">
        <v>1288</v>
      </c>
    </row>
    <row r="1115" spans="2:22" x14ac:dyDescent="0.35">
      <c r="B1115" s="46" t="s">
        <v>1406</v>
      </c>
      <c r="D1115" t="s">
        <v>1338</v>
      </c>
      <c r="E1115" t="s">
        <v>1339</v>
      </c>
      <c r="F1115" s="46" t="s">
        <v>1406</v>
      </c>
      <c r="G1115" t="s">
        <v>279</v>
      </c>
      <c r="H1115" s="47" t="s">
        <v>1347</v>
      </c>
      <c r="I1115" s="47" t="s">
        <v>1348</v>
      </c>
      <c r="J1115" t="s">
        <v>261</v>
      </c>
      <c r="K1115">
        <v>1294</v>
      </c>
      <c r="L1115">
        <v>1460</v>
      </c>
      <c r="M1115">
        <v>1294</v>
      </c>
      <c r="N1115">
        <v>1460</v>
      </c>
      <c r="O1115" s="24">
        <v>1216</v>
      </c>
      <c r="P1115" s="24">
        <v>1436</v>
      </c>
      <c r="Q1115">
        <v>1114</v>
      </c>
      <c r="R1115">
        <v>1529</v>
      </c>
      <c r="S1115">
        <v>1359</v>
      </c>
      <c r="T1115">
        <v>1840</v>
      </c>
      <c r="U1115">
        <v>1359</v>
      </c>
      <c r="V1115">
        <v>1840</v>
      </c>
    </row>
    <row r="1116" spans="2:22" x14ac:dyDescent="0.35">
      <c r="B1116" s="46" t="s">
        <v>1407</v>
      </c>
      <c r="D1116" t="s">
        <v>1338</v>
      </c>
      <c r="E1116" t="s">
        <v>1339</v>
      </c>
      <c r="F1116" s="46" t="s">
        <v>1407</v>
      </c>
      <c r="G1116" t="s">
        <v>235</v>
      </c>
      <c r="H1116" s="47" t="s">
        <v>419</v>
      </c>
      <c r="I1116" s="47" t="s">
        <v>1340</v>
      </c>
      <c r="J1116" t="s">
        <v>1927</v>
      </c>
      <c r="K1116">
        <v>227</v>
      </c>
      <c r="L1116">
        <v>309</v>
      </c>
      <c r="M1116">
        <v>227</v>
      </c>
      <c r="N1116">
        <v>309</v>
      </c>
      <c r="O1116" s="24">
        <v>205</v>
      </c>
      <c r="P1116" s="24">
        <v>279</v>
      </c>
      <c r="Q1116">
        <v>193</v>
      </c>
      <c r="R1116">
        <v>266</v>
      </c>
      <c r="S1116">
        <v>211</v>
      </c>
      <c r="T1116">
        <v>298</v>
      </c>
      <c r="U1116">
        <v>211</v>
      </c>
      <c r="V1116">
        <v>298</v>
      </c>
    </row>
    <row r="1117" spans="2:22" x14ac:dyDescent="0.35">
      <c r="B1117" s="46" t="s">
        <v>1408</v>
      </c>
      <c r="D1117" t="s">
        <v>1338</v>
      </c>
      <c r="E1117" t="s">
        <v>1339</v>
      </c>
      <c r="F1117" s="46" t="s">
        <v>1408</v>
      </c>
      <c r="G1117" t="s">
        <v>265</v>
      </c>
      <c r="H1117" s="47" t="s">
        <v>501</v>
      </c>
      <c r="I1117" s="47" t="s">
        <v>1387</v>
      </c>
      <c r="J1117" t="s">
        <v>494</v>
      </c>
      <c r="K1117">
        <v>1170</v>
      </c>
      <c r="L1117">
        <v>1673</v>
      </c>
      <c r="M1117">
        <v>1170</v>
      </c>
      <c r="N1117">
        <v>1673</v>
      </c>
      <c r="O1117" s="24">
        <v>1066</v>
      </c>
      <c r="P1117" s="24">
        <v>1531</v>
      </c>
      <c r="Q1117">
        <v>1045</v>
      </c>
      <c r="R1117">
        <v>1610</v>
      </c>
      <c r="S1117">
        <v>1300</v>
      </c>
      <c r="T1117">
        <v>2029</v>
      </c>
      <c r="U1117">
        <v>1300</v>
      </c>
      <c r="V1117">
        <v>2029</v>
      </c>
    </row>
    <row r="1118" spans="2:22" x14ac:dyDescent="0.35">
      <c r="B1118" s="46" t="s">
        <v>1409</v>
      </c>
      <c r="D1118" t="s">
        <v>1338</v>
      </c>
      <c r="E1118" t="s">
        <v>1339</v>
      </c>
      <c r="F1118" s="46" t="s">
        <v>1409</v>
      </c>
      <c r="G1118" t="s">
        <v>235</v>
      </c>
      <c r="H1118" s="47" t="s">
        <v>419</v>
      </c>
      <c r="I1118" s="47" t="s">
        <v>1340</v>
      </c>
      <c r="J1118" t="s">
        <v>2741</v>
      </c>
      <c r="K1118">
        <v>257</v>
      </c>
      <c r="L1118">
        <v>396</v>
      </c>
      <c r="M1118">
        <v>257</v>
      </c>
      <c r="N1118">
        <v>396</v>
      </c>
      <c r="O1118" s="24">
        <v>245</v>
      </c>
      <c r="P1118" s="24">
        <v>372</v>
      </c>
      <c r="Q1118">
        <v>167</v>
      </c>
      <c r="R1118">
        <v>362</v>
      </c>
      <c r="S1118">
        <v>203</v>
      </c>
      <c r="T1118">
        <v>381</v>
      </c>
      <c r="U1118">
        <v>203</v>
      </c>
      <c r="V1118">
        <v>381</v>
      </c>
    </row>
    <row r="1119" spans="2:22" x14ac:dyDescent="0.35">
      <c r="B1119" s="46" t="s">
        <v>1410</v>
      </c>
      <c r="D1119" t="s">
        <v>1338</v>
      </c>
      <c r="E1119" t="s">
        <v>1339</v>
      </c>
      <c r="F1119" s="46" t="s">
        <v>1410</v>
      </c>
      <c r="G1119" t="s">
        <v>231</v>
      </c>
      <c r="H1119" s="47" t="s">
        <v>393</v>
      </c>
      <c r="I1119" s="47" t="s">
        <v>1342</v>
      </c>
      <c r="J1119" t="s">
        <v>2742</v>
      </c>
      <c r="K1119">
        <v>330</v>
      </c>
      <c r="L1119">
        <v>400</v>
      </c>
      <c r="M1119">
        <v>330</v>
      </c>
      <c r="N1119">
        <v>400</v>
      </c>
      <c r="O1119" s="24">
        <v>250</v>
      </c>
      <c r="P1119" s="24">
        <v>399</v>
      </c>
      <c r="Q1119">
        <v>236</v>
      </c>
      <c r="R1119">
        <v>421</v>
      </c>
      <c r="S1119">
        <v>254</v>
      </c>
      <c r="T1119">
        <v>516</v>
      </c>
      <c r="U1119">
        <v>254</v>
      </c>
      <c r="V1119">
        <v>516</v>
      </c>
    </row>
    <row r="1120" spans="2:22" x14ac:dyDescent="0.35">
      <c r="B1120" s="46" t="s">
        <v>1411</v>
      </c>
      <c r="D1120" t="s">
        <v>1338</v>
      </c>
      <c r="E1120" t="s">
        <v>1339</v>
      </c>
      <c r="F1120" s="46" t="s">
        <v>1411</v>
      </c>
      <c r="G1120" t="s">
        <v>273</v>
      </c>
      <c r="H1120" s="47" t="s">
        <v>524</v>
      </c>
      <c r="I1120" s="47" t="s">
        <v>1350</v>
      </c>
      <c r="J1120" t="s">
        <v>2743</v>
      </c>
      <c r="K1120">
        <v>574</v>
      </c>
      <c r="L1120">
        <v>670</v>
      </c>
      <c r="M1120">
        <v>574</v>
      </c>
      <c r="N1120">
        <v>670</v>
      </c>
      <c r="O1120" s="24">
        <v>551</v>
      </c>
      <c r="P1120" s="24">
        <v>633</v>
      </c>
      <c r="Q1120">
        <v>530</v>
      </c>
      <c r="R1120">
        <v>782</v>
      </c>
      <c r="S1120">
        <v>581</v>
      </c>
      <c r="T1120">
        <v>863</v>
      </c>
      <c r="U1120">
        <v>581</v>
      </c>
      <c r="V1120">
        <v>863</v>
      </c>
    </row>
    <row r="1121" spans="2:22" x14ac:dyDescent="0.35">
      <c r="B1121" s="46" t="s">
        <v>1412</v>
      </c>
      <c r="D1121" t="s">
        <v>1338</v>
      </c>
      <c r="E1121" t="s">
        <v>1339</v>
      </c>
      <c r="F1121" s="46" t="s">
        <v>1412</v>
      </c>
      <c r="G1121" t="s">
        <v>235</v>
      </c>
      <c r="H1121" s="47" t="s">
        <v>419</v>
      </c>
      <c r="I1121" s="47" t="s">
        <v>1340</v>
      </c>
      <c r="J1121" t="s">
        <v>361</v>
      </c>
      <c r="K1121">
        <v>332</v>
      </c>
      <c r="L1121">
        <v>466</v>
      </c>
      <c r="M1121">
        <v>332</v>
      </c>
      <c r="N1121">
        <v>466</v>
      </c>
      <c r="O1121" s="24">
        <v>347</v>
      </c>
      <c r="P1121" s="24">
        <v>461</v>
      </c>
      <c r="Q1121">
        <v>278</v>
      </c>
      <c r="R1121">
        <v>468</v>
      </c>
      <c r="S1121">
        <v>320</v>
      </c>
      <c r="T1121">
        <v>482</v>
      </c>
      <c r="U1121">
        <v>320</v>
      </c>
      <c r="V1121">
        <v>482</v>
      </c>
    </row>
    <row r="1122" spans="2:22" x14ac:dyDescent="0.35">
      <c r="B1122" s="46" t="s">
        <v>1413</v>
      </c>
      <c r="D1122" t="s">
        <v>1338</v>
      </c>
      <c r="E1122" t="s">
        <v>1339</v>
      </c>
      <c r="F1122" s="46" t="s">
        <v>1413</v>
      </c>
      <c r="G1122" t="s">
        <v>289</v>
      </c>
      <c r="H1122" s="47" t="s">
        <v>1355</v>
      </c>
      <c r="I1122" s="47" t="s">
        <v>1356</v>
      </c>
      <c r="J1122" t="s">
        <v>287</v>
      </c>
      <c r="K1122">
        <v>244</v>
      </c>
      <c r="L1122">
        <v>330</v>
      </c>
      <c r="M1122">
        <v>244</v>
      </c>
      <c r="N1122">
        <v>330</v>
      </c>
      <c r="O1122" s="24">
        <v>239</v>
      </c>
      <c r="P1122" s="24">
        <v>333</v>
      </c>
      <c r="Q1122">
        <v>201</v>
      </c>
      <c r="R1122">
        <v>323</v>
      </c>
      <c r="S1122">
        <v>253</v>
      </c>
      <c r="T1122">
        <v>372</v>
      </c>
      <c r="U1122">
        <v>253</v>
      </c>
      <c r="V1122">
        <v>372</v>
      </c>
    </row>
    <row r="1123" spans="2:22" x14ac:dyDescent="0.35">
      <c r="B1123" s="46" t="s">
        <v>1414</v>
      </c>
      <c r="D1123" t="s">
        <v>1338</v>
      </c>
      <c r="E1123" t="s">
        <v>1339</v>
      </c>
      <c r="F1123" s="46" t="s">
        <v>1414</v>
      </c>
      <c r="G1123" t="s">
        <v>259</v>
      </c>
      <c r="H1123" s="47" t="s">
        <v>477</v>
      </c>
      <c r="I1123" s="47" t="s">
        <v>1345</v>
      </c>
      <c r="J1123" t="s">
        <v>2744</v>
      </c>
      <c r="K1123">
        <v>189</v>
      </c>
      <c r="L1123">
        <v>266</v>
      </c>
      <c r="M1123">
        <v>189</v>
      </c>
      <c r="N1123">
        <v>266</v>
      </c>
      <c r="O1123" s="24">
        <v>199</v>
      </c>
      <c r="P1123" s="24">
        <v>258</v>
      </c>
      <c r="Q1123">
        <v>329</v>
      </c>
      <c r="R1123">
        <v>410</v>
      </c>
      <c r="S1123">
        <v>416</v>
      </c>
      <c r="T1123">
        <v>498</v>
      </c>
      <c r="U1123">
        <v>416</v>
      </c>
      <c r="V1123">
        <v>498</v>
      </c>
    </row>
    <row r="1124" spans="2:22" x14ac:dyDescent="0.35">
      <c r="B1124" s="46" t="s">
        <v>1415</v>
      </c>
      <c r="D1124" t="s">
        <v>1338</v>
      </c>
      <c r="E1124" t="s">
        <v>1339</v>
      </c>
      <c r="F1124" s="46" t="s">
        <v>1415</v>
      </c>
      <c r="G1124" t="s">
        <v>235</v>
      </c>
      <c r="H1124" s="47" t="s">
        <v>419</v>
      </c>
      <c r="I1124" s="47" t="s">
        <v>1340</v>
      </c>
      <c r="J1124" t="s">
        <v>365</v>
      </c>
      <c r="K1124">
        <v>589</v>
      </c>
      <c r="L1124">
        <v>809</v>
      </c>
      <c r="M1124">
        <v>589</v>
      </c>
      <c r="N1124">
        <v>809</v>
      </c>
      <c r="O1124" s="24">
        <v>520</v>
      </c>
      <c r="P1124" s="24">
        <v>751</v>
      </c>
      <c r="Q1124">
        <v>543</v>
      </c>
      <c r="R1124">
        <v>831</v>
      </c>
      <c r="S1124">
        <v>617</v>
      </c>
      <c r="T1124">
        <v>947</v>
      </c>
      <c r="U1124">
        <v>617</v>
      </c>
      <c r="V1124">
        <v>947</v>
      </c>
    </row>
    <row r="1125" spans="2:22" x14ac:dyDescent="0.35">
      <c r="B1125" s="46" t="s">
        <v>1416</v>
      </c>
      <c r="D1125" t="s">
        <v>1338</v>
      </c>
      <c r="E1125" t="s">
        <v>1339</v>
      </c>
      <c r="F1125" s="46" t="s">
        <v>1416</v>
      </c>
      <c r="G1125" t="s">
        <v>231</v>
      </c>
      <c r="H1125" s="47" t="s">
        <v>393</v>
      </c>
      <c r="I1125" s="47" t="s">
        <v>1342</v>
      </c>
      <c r="J1125" t="s">
        <v>2745</v>
      </c>
      <c r="K1125">
        <v>98</v>
      </c>
      <c r="L1125">
        <v>106</v>
      </c>
      <c r="M1125">
        <v>98</v>
      </c>
      <c r="N1125">
        <v>106</v>
      </c>
      <c r="O1125" s="24">
        <v>77</v>
      </c>
      <c r="P1125" s="24">
        <v>97</v>
      </c>
      <c r="Q1125">
        <v>76</v>
      </c>
      <c r="R1125">
        <v>102</v>
      </c>
      <c r="S1125">
        <v>90</v>
      </c>
      <c r="T1125">
        <v>126</v>
      </c>
      <c r="U1125">
        <v>90</v>
      </c>
      <c r="V1125">
        <v>126</v>
      </c>
    </row>
    <row r="1126" spans="2:22" x14ac:dyDescent="0.35">
      <c r="B1126" s="46" t="s">
        <v>1417</v>
      </c>
      <c r="D1126" t="s">
        <v>1338</v>
      </c>
      <c r="E1126" t="s">
        <v>1339</v>
      </c>
      <c r="F1126" s="46" t="s">
        <v>1417</v>
      </c>
      <c r="G1126" t="s">
        <v>259</v>
      </c>
      <c r="H1126" s="47" t="s">
        <v>477</v>
      </c>
      <c r="I1126" s="47" t="s">
        <v>1345</v>
      </c>
      <c r="J1126" t="s">
        <v>516</v>
      </c>
      <c r="K1126">
        <v>734</v>
      </c>
      <c r="L1126">
        <v>1003</v>
      </c>
      <c r="M1126">
        <v>734</v>
      </c>
      <c r="N1126">
        <v>1003</v>
      </c>
      <c r="O1126" s="24">
        <v>736</v>
      </c>
      <c r="P1126" s="24">
        <v>1000</v>
      </c>
      <c r="Q1126">
        <v>578</v>
      </c>
      <c r="R1126">
        <v>973</v>
      </c>
      <c r="S1126">
        <v>688</v>
      </c>
      <c r="T1126">
        <v>1134</v>
      </c>
      <c r="U1126">
        <v>688</v>
      </c>
      <c r="V1126">
        <v>1134</v>
      </c>
    </row>
    <row r="1127" spans="2:22" x14ac:dyDescent="0.35">
      <c r="B1127" s="46" t="s">
        <v>1418</v>
      </c>
      <c r="D1127" t="s">
        <v>1338</v>
      </c>
      <c r="E1127" t="s">
        <v>1339</v>
      </c>
      <c r="F1127" s="46" t="s">
        <v>1418</v>
      </c>
      <c r="G1127" t="s">
        <v>289</v>
      </c>
      <c r="H1127" s="47" t="s">
        <v>1355</v>
      </c>
      <c r="I1127" s="47" t="s">
        <v>1356</v>
      </c>
      <c r="J1127" t="s">
        <v>438</v>
      </c>
      <c r="K1127">
        <v>187</v>
      </c>
      <c r="L1127">
        <v>271</v>
      </c>
      <c r="M1127">
        <v>187</v>
      </c>
      <c r="N1127">
        <v>271</v>
      </c>
      <c r="O1127" s="24">
        <v>183</v>
      </c>
      <c r="P1127" s="24">
        <v>252</v>
      </c>
      <c r="Q1127">
        <v>165</v>
      </c>
      <c r="R1127">
        <v>242</v>
      </c>
      <c r="S1127">
        <v>252</v>
      </c>
      <c r="T1127">
        <v>341</v>
      </c>
      <c r="U1127">
        <v>252</v>
      </c>
      <c r="V1127">
        <v>341</v>
      </c>
    </row>
    <row r="1128" spans="2:22" x14ac:dyDescent="0.35">
      <c r="B1128" s="46" t="s">
        <v>1419</v>
      </c>
      <c r="D1128" t="s">
        <v>1338</v>
      </c>
      <c r="E1128" t="s">
        <v>1339</v>
      </c>
      <c r="F1128" s="46" t="s">
        <v>1419</v>
      </c>
      <c r="G1128" t="s">
        <v>259</v>
      </c>
      <c r="H1128" s="47" t="s">
        <v>477</v>
      </c>
      <c r="I1128" s="47" t="s">
        <v>1345</v>
      </c>
      <c r="J1128" t="s">
        <v>2746</v>
      </c>
      <c r="K1128">
        <v>279</v>
      </c>
      <c r="L1128">
        <v>380</v>
      </c>
      <c r="M1128">
        <v>279</v>
      </c>
      <c r="N1128">
        <v>380</v>
      </c>
      <c r="O1128" s="24">
        <v>269</v>
      </c>
      <c r="P1128" s="24">
        <v>360</v>
      </c>
      <c r="Q1128">
        <v>249</v>
      </c>
      <c r="R1128">
        <v>388</v>
      </c>
      <c r="S1128">
        <v>275</v>
      </c>
      <c r="T1128">
        <v>475</v>
      </c>
      <c r="U1128">
        <v>275</v>
      </c>
      <c r="V1128">
        <v>475</v>
      </c>
    </row>
    <row r="1129" spans="2:22" x14ac:dyDescent="0.35">
      <c r="B1129" s="46" t="s">
        <v>1420</v>
      </c>
      <c r="D1129" t="s">
        <v>1338</v>
      </c>
      <c r="E1129" t="s">
        <v>1339</v>
      </c>
      <c r="F1129" s="46" t="s">
        <v>1420</v>
      </c>
      <c r="G1129" t="s">
        <v>259</v>
      </c>
      <c r="H1129" s="47" t="s">
        <v>477</v>
      </c>
      <c r="I1129" s="47" t="s">
        <v>1345</v>
      </c>
      <c r="J1129" t="s">
        <v>369</v>
      </c>
      <c r="K1129">
        <v>283</v>
      </c>
      <c r="L1129">
        <v>362</v>
      </c>
      <c r="M1129">
        <v>283</v>
      </c>
      <c r="N1129">
        <v>362</v>
      </c>
      <c r="O1129" s="24">
        <v>244</v>
      </c>
      <c r="P1129" s="24">
        <v>343</v>
      </c>
      <c r="Q1129">
        <v>244</v>
      </c>
      <c r="R1129">
        <v>351</v>
      </c>
      <c r="S1129">
        <v>282</v>
      </c>
      <c r="T1129">
        <v>412</v>
      </c>
      <c r="U1129">
        <v>282</v>
      </c>
      <c r="V1129">
        <v>412</v>
      </c>
    </row>
    <row r="1130" spans="2:22" x14ac:dyDescent="0.35">
      <c r="B1130" s="46" t="s">
        <v>1421</v>
      </c>
      <c r="D1130" t="s">
        <v>1338</v>
      </c>
      <c r="E1130" t="s">
        <v>1339</v>
      </c>
      <c r="F1130" s="46" t="s">
        <v>1421</v>
      </c>
      <c r="G1130" t="s">
        <v>259</v>
      </c>
      <c r="H1130" s="47" t="s">
        <v>477</v>
      </c>
      <c r="I1130" s="47" t="s">
        <v>1345</v>
      </c>
      <c r="J1130" t="s">
        <v>301</v>
      </c>
      <c r="K1130">
        <v>293</v>
      </c>
      <c r="L1130">
        <v>406</v>
      </c>
      <c r="M1130">
        <v>293</v>
      </c>
      <c r="N1130">
        <v>406</v>
      </c>
      <c r="O1130" s="24">
        <v>281</v>
      </c>
      <c r="P1130" s="24">
        <v>392</v>
      </c>
      <c r="Q1130">
        <v>275</v>
      </c>
      <c r="R1130">
        <v>406</v>
      </c>
      <c r="S1130">
        <v>333</v>
      </c>
      <c r="T1130">
        <v>467</v>
      </c>
      <c r="U1130">
        <v>333</v>
      </c>
      <c r="V1130">
        <v>467</v>
      </c>
    </row>
    <row r="1131" spans="2:22" x14ac:dyDescent="0.35">
      <c r="B1131" s="46" t="s">
        <v>1422</v>
      </c>
      <c r="D1131" t="s">
        <v>1338</v>
      </c>
      <c r="E1131" t="s">
        <v>1339</v>
      </c>
      <c r="F1131" s="46" t="s">
        <v>1422</v>
      </c>
      <c r="G1131" t="s">
        <v>259</v>
      </c>
      <c r="H1131" s="47" t="s">
        <v>477</v>
      </c>
      <c r="I1131" s="47" t="s">
        <v>1345</v>
      </c>
      <c r="J1131" t="s">
        <v>263</v>
      </c>
      <c r="K1131">
        <v>567</v>
      </c>
      <c r="L1131">
        <v>805</v>
      </c>
      <c r="M1131">
        <v>567</v>
      </c>
      <c r="N1131">
        <v>805</v>
      </c>
      <c r="O1131" s="24">
        <v>511</v>
      </c>
      <c r="P1131" s="24">
        <v>736</v>
      </c>
      <c r="Q1131">
        <v>449</v>
      </c>
      <c r="R1131">
        <v>784</v>
      </c>
      <c r="S1131">
        <v>564</v>
      </c>
      <c r="T1131">
        <v>945</v>
      </c>
      <c r="U1131">
        <v>564</v>
      </c>
      <c r="V1131">
        <v>945</v>
      </c>
    </row>
    <row r="1132" spans="2:22" x14ac:dyDescent="0.35">
      <c r="B1132" s="46" t="s">
        <v>1423</v>
      </c>
      <c r="D1132" t="s">
        <v>1338</v>
      </c>
      <c r="E1132" t="s">
        <v>1339</v>
      </c>
      <c r="F1132" s="46" t="s">
        <v>1423</v>
      </c>
      <c r="G1132" t="s">
        <v>289</v>
      </c>
      <c r="H1132" s="47" t="s">
        <v>1355</v>
      </c>
      <c r="I1132" s="47" t="s">
        <v>1356</v>
      </c>
      <c r="J1132" t="s">
        <v>2747</v>
      </c>
      <c r="K1132">
        <v>329</v>
      </c>
      <c r="L1132">
        <v>449</v>
      </c>
      <c r="M1132">
        <v>329</v>
      </c>
      <c r="N1132">
        <v>449</v>
      </c>
      <c r="O1132" s="24">
        <v>279</v>
      </c>
      <c r="P1132" s="24">
        <v>394</v>
      </c>
      <c r="Q1132">
        <v>315</v>
      </c>
      <c r="R1132">
        <v>470</v>
      </c>
      <c r="S1132">
        <v>413</v>
      </c>
      <c r="T1132">
        <v>563</v>
      </c>
      <c r="U1132">
        <v>413</v>
      </c>
      <c r="V1132">
        <v>563</v>
      </c>
    </row>
    <row r="1133" spans="2:22" x14ac:dyDescent="0.35">
      <c r="B1133" s="46" t="s">
        <v>1424</v>
      </c>
      <c r="D1133" t="s">
        <v>1338</v>
      </c>
      <c r="E1133" t="s">
        <v>1339</v>
      </c>
      <c r="F1133" s="46" t="s">
        <v>1424</v>
      </c>
      <c r="G1133" t="s">
        <v>273</v>
      </c>
      <c r="H1133" s="47" t="s">
        <v>524</v>
      </c>
      <c r="I1133" s="47" t="s">
        <v>1350</v>
      </c>
      <c r="J1133" t="s">
        <v>461</v>
      </c>
      <c r="K1133">
        <v>1798</v>
      </c>
      <c r="L1133">
        <v>2075</v>
      </c>
      <c r="M1133">
        <v>1798</v>
      </c>
      <c r="N1133">
        <v>2075</v>
      </c>
      <c r="O1133" s="24">
        <v>1764</v>
      </c>
      <c r="P1133" s="24">
        <v>2038</v>
      </c>
      <c r="Q1133">
        <v>1496</v>
      </c>
      <c r="R1133">
        <v>2148</v>
      </c>
      <c r="S1133">
        <v>1608</v>
      </c>
      <c r="T1133">
        <v>2385</v>
      </c>
      <c r="U1133">
        <v>1608</v>
      </c>
      <c r="V1133">
        <v>2385</v>
      </c>
    </row>
    <row r="1134" spans="2:22" x14ac:dyDescent="0.35">
      <c r="B1134" s="46" t="s">
        <v>1425</v>
      </c>
      <c r="D1134" t="s">
        <v>1338</v>
      </c>
      <c r="E1134" t="s">
        <v>1339</v>
      </c>
      <c r="F1134" s="46" t="s">
        <v>1425</v>
      </c>
      <c r="G1134" t="s">
        <v>231</v>
      </c>
      <c r="H1134" s="47" t="s">
        <v>393</v>
      </c>
      <c r="I1134" s="47" t="s">
        <v>1342</v>
      </c>
      <c r="J1134" t="s">
        <v>2748</v>
      </c>
      <c r="K1134">
        <v>600</v>
      </c>
      <c r="L1134">
        <v>695</v>
      </c>
      <c r="M1134">
        <v>600</v>
      </c>
      <c r="N1134">
        <v>695</v>
      </c>
      <c r="O1134" s="24">
        <v>558</v>
      </c>
      <c r="P1134" s="24">
        <v>658</v>
      </c>
      <c r="Q1134">
        <v>526</v>
      </c>
      <c r="R1134">
        <v>663</v>
      </c>
      <c r="S1134">
        <v>508</v>
      </c>
      <c r="T1134">
        <v>692</v>
      </c>
      <c r="U1134">
        <v>508</v>
      </c>
      <c r="V1134">
        <v>692</v>
      </c>
    </row>
    <row r="1135" spans="2:22" x14ac:dyDescent="0.35">
      <c r="B1135" s="46" t="s">
        <v>1426</v>
      </c>
      <c r="D1135" t="s">
        <v>1338</v>
      </c>
      <c r="E1135" t="s">
        <v>1339</v>
      </c>
      <c r="F1135" s="46" t="s">
        <v>1426</v>
      </c>
      <c r="G1135" t="s">
        <v>283</v>
      </c>
      <c r="H1135" s="47" t="s">
        <v>1366</v>
      </c>
      <c r="I1135" s="47" t="s">
        <v>1367</v>
      </c>
      <c r="J1135" t="s">
        <v>2749</v>
      </c>
      <c r="K1135">
        <v>294</v>
      </c>
      <c r="L1135">
        <v>403</v>
      </c>
      <c r="M1135">
        <v>294</v>
      </c>
      <c r="N1135">
        <v>403</v>
      </c>
      <c r="O1135" s="24">
        <v>303</v>
      </c>
      <c r="P1135" s="24">
        <v>404</v>
      </c>
      <c r="Q1135">
        <v>293</v>
      </c>
      <c r="R1135">
        <v>425</v>
      </c>
      <c r="S1135">
        <v>323</v>
      </c>
      <c r="T1135">
        <v>457</v>
      </c>
      <c r="U1135">
        <v>323</v>
      </c>
      <c r="V1135">
        <v>457</v>
      </c>
    </row>
    <row r="1136" spans="2:22" x14ac:dyDescent="0.35">
      <c r="B1136" s="46" t="s">
        <v>1428</v>
      </c>
      <c r="D1136" t="s">
        <v>1338</v>
      </c>
      <c r="E1136" t="s">
        <v>1339</v>
      </c>
      <c r="F1136" s="46" t="s">
        <v>1428</v>
      </c>
      <c r="G1136" t="s">
        <v>259</v>
      </c>
      <c r="H1136" s="47" t="s">
        <v>477</v>
      </c>
      <c r="I1136" s="47" t="s">
        <v>1345</v>
      </c>
      <c r="J1136" t="s">
        <v>2750</v>
      </c>
      <c r="K1136">
        <v>291</v>
      </c>
      <c r="L1136">
        <v>369</v>
      </c>
      <c r="M1136">
        <v>291</v>
      </c>
      <c r="N1136">
        <v>369</v>
      </c>
      <c r="O1136" s="24">
        <v>257</v>
      </c>
      <c r="P1136" s="24">
        <v>333</v>
      </c>
      <c r="Q1136">
        <v>206</v>
      </c>
      <c r="R1136">
        <v>317</v>
      </c>
      <c r="S1136">
        <v>268</v>
      </c>
      <c r="T1136">
        <v>431</v>
      </c>
      <c r="U1136">
        <v>268</v>
      </c>
      <c r="V1136">
        <v>431</v>
      </c>
    </row>
    <row r="1137" spans="2:22" x14ac:dyDescent="0.35">
      <c r="B1137" s="46" t="s">
        <v>1429</v>
      </c>
      <c r="D1137" t="s">
        <v>1338</v>
      </c>
      <c r="E1137" t="s">
        <v>1339</v>
      </c>
      <c r="F1137" s="46" t="s">
        <v>1429</v>
      </c>
      <c r="G1137" t="s">
        <v>279</v>
      </c>
      <c r="H1137" s="47" t="s">
        <v>1347</v>
      </c>
      <c r="I1137" s="47" t="s">
        <v>1348</v>
      </c>
      <c r="J1137" t="s">
        <v>2751</v>
      </c>
      <c r="K1137">
        <v>351</v>
      </c>
      <c r="L1137">
        <v>417</v>
      </c>
      <c r="M1137">
        <v>351</v>
      </c>
      <c r="N1137">
        <v>417</v>
      </c>
      <c r="O1137" s="24">
        <v>311</v>
      </c>
      <c r="P1137" s="24">
        <v>377</v>
      </c>
      <c r="Q1137">
        <v>332</v>
      </c>
      <c r="R1137">
        <v>417</v>
      </c>
      <c r="S1137">
        <v>365</v>
      </c>
      <c r="T1137">
        <v>484</v>
      </c>
      <c r="U1137">
        <v>365</v>
      </c>
      <c r="V1137">
        <v>484</v>
      </c>
    </row>
    <row r="1138" spans="2:22" x14ac:dyDescent="0.35">
      <c r="B1138" s="46" t="s">
        <v>1430</v>
      </c>
      <c r="D1138" t="s">
        <v>1338</v>
      </c>
      <c r="E1138" t="s">
        <v>1339</v>
      </c>
      <c r="F1138" s="46" t="s">
        <v>1430</v>
      </c>
      <c r="G1138" t="s">
        <v>289</v>
      </c>
      <c r="H1138" s="47" t="s">
        <v>1355</v>
      </c>
      <c r="I1138" s="47" t="s">
        <v>1356</v>
      </c>
      <c r="J1138" t="s">
        <v>2752</v>
      </c>
      <c r="K1138">
        <v>332</v>
      </c>
      <c r="L1138">
        <v>421</v>
      </c>
      <c r="M1138">
        <v>332</v>
      </c>
      <c r="N1138">
        <v>421</v>
      </c>
      <c r="O1138" s="24">
        <v>297</v>
      </c>
      <c r="P1138" s="24">
        <v>369</v>
      </c>
      <c r="Q1138">
        <v>280</v>
      </c>
      <c r="R1138">
        <v>376</v>
      </c>
      <c r="S1138">
        <v>357</v>
      </c>
      <c r="T1138">
        <v>486</v>
      </c>
      <c r="U1138">
        <v>357</v>
      </c>
      <c r="V1138">
        <v>486</v>
      </c>
    </row>
    <row r="1139" spans="2:22" x14ac:dyDescent="0.35">
      <c r="B1139" s="46" t="s">
        <v>1431</v>
      </c>
      <c r="D1139" t="s">
        <v>1338</v>
      </c>
      <c r="E1139" t="s">
        <v>1339</v>
      </c>
      <c r="F1139" s="46" t="s">
        <v>1431</v>
      </c>
      <c r="G1139" t="s">
        <v>289</v>
      </c>
      <c r="H1139" s="47" t="s">
        <v>1355</v>
      </c>
      <c r="I1139" s="47" t="s">
        <v>1356</v>
      </c>
      <c r="J1139" t="s">
        <v>371</v>
      </c>
      <c r="K1139">
        <v>411</v>
      </c>
      <c r="L1139">
        <v>559</v>
      </c>
      <c r="M1139">
        <v>411</v>
      </c>
      <c r="N1139">
        <v>559</v>
      </c>
      <c r="O1139" s="24">
        <v>376</v>
      </c>
      <c r="P1139" s="24">
        <v>548</v>
      </c>
      <c r="Q1139">
        <v>360</v>
      </c>
      <c r="R1139">
        <v>592</v>
      </c>
      <c r="S1139">
        <v>432</v>
      </c>
      <c r="T1139">
        <v>687</v>
      </c>
      <c r="U1139">
        <v>432</v>
      </c>
      <c r="V1139">
        <v>687</v>
      </c>
    </row>
    <row r="1140" spans="2:22" x14ac:dyDescent="0.35">
      <c r="B1140" s="46" t="s">
        <v>1432</v>
      </c>
      <c r="D1140" t="s">
        <v>1338</v>
      </c>
      <c r="E1140" t="s">
        <v>1339</v>
      </c>
      <c r="F1140" s="46" t="s">
        <v>1432</v>
      </c>
      <c r="G1140" t="s">
        <v>255</v>
      </c>
      <c r="H1140" s="47" t="s">
        <v>467</v>
      </c>
      <c r="I1140" s="47" t="s">
        <v>1352</v>
      </c>
      <c r="J1140" t="s">
        <v>2753</v>
      </c>
      <c r="K1140">
        <v>1187</v>
      </c>
      <c r="L1140">
        <v>1385</v>
      </c>
      <c r="M1140">
        <v>1187</v>
      </c>
      <c r="N1140">
        <v>1385</v>
      </c>
      <c r="O1140" s="24">
        <v>1101</v>
      </c>
      <c r="P1140" s="24">
        <v>1312</v>
      </c>
      <c r="Q1140">
        <v>1118</v>
      </c>
      <c r="R1140">
        <v>1411</v>
      </c>
      <c r="S1140">
        <v>1228</v>
      </c>
      <c r="T1140">
        <v>1588</v>
      </c>
      <c r="U1140">
        <v>1228</v>
      </c>
      <c r="V1140">
        <v>1588</v>
      </c>
    </row>
    <row r="1141" spans="2:22" x14ac:dyDescent="0.35">
      <c r="B1141" s="46" t="s">
        <v>1433</v>
      </c>
      <c r="D1141" t="s">
        <v>1338</v>
      </c>
      <c r="E1141" t="s">
        <v>1339</v>
      </c>
      <c r="F1141" s="46" t="s">
        <v>1433</v>
      </c>
      <c r="G1141" t="s">
        <v>283</v>
      </c>
      <c r="H1141" s="47" t="s">
        <v>1366</v>
      </c>
      <c r="I1141" s="47" t="s">
        <v>1367</v>
      </c>
      <c r="J1141" t="s">
        <v>2754</v>
      </c>
      <c r="K1141">
        <v>1040</v>
      </c>
      <c r="L1141">
        <v>1416</v>
      </c>
      <c r="M1141">
        <v>1040</v>
      </c>
      <c r="N1141">
        <v>1416</v>
      </c>
      <c r="O1141" s="24">
        <v>918</v>
      </c>
      <c r="P1141" s="24">
        <v>1288</v>
      </c>
      <c r="Q1141">
        <v>737</v>
      </c>
      <c r="R1141">
        <v>1237</v>
      </c>
      <c r="S1141">
        <v>736</v>
      </c>
      <c r="T1141">
        <v>1233</v>
      </c>
      <c r="U1141">
        <v>736</v>
      </c>
      <c r="V1141">
        <v>1233</v>
      </c>
    </row>
    <row r="1142" spans="2:22" x14ac:dyDescent="0.35">
      <c r="B1142" s="46" t="s">
        <v>1434</v>
      </c>
      <c r="D1142" t="s">
        <v>1338</v>
      </c>
      <c r="E1142" t="s">
        <v>1339</v>
      </c>
      <c r="F1142" s="46" t="s">
        <v>1434</v>
      </c>
      <c r="G1142" t="s">
        <v>235</v>
      </c>
      <c r="H1142" s="47" t="s">
        <v>419</v>
      </c>
      <c r="I1142" s="47" t="s">
        <v>1340</v>
      </c>
      <c r="J1142" t="s">
        <v>375</v>
      </c>
      <c r="K1142">
        <v>392</v>
      </c>
      <c r="L1142">
        <v>563</v>
      </c>
      <c r="M1142">
        <v>392</v>
      </c>
      <c r="N1142">
        <v>563</v>
      </c>
      <c r="O1142" s="24">
        <v>401</v>
      </c>
      <c r="P1142" s="24">
        <v>562</v>
      </c>
      <c r="Q1142">
        <v>300</v>
      </c>
      <c r="R1142">
        <v>575</v>
      </c>
      <c r="S1142">
        <v>334</v>
      </c>
      <c r="T1142">
        <v>600</v>
      </c>
      <c r="U1142">
        <v>334</v>
      </c>
      <c r="V1142">
        <v>600</v>
      </c>
    </row>
    <row r="1143" spans="2:22" x14ac:dyDescent="0.35">
      <c r="B1143" s="46" t="s">
        <v>1435</v>
      </c>
      <c r="D1143" t="s">
        <v>1338</v>
      </c>
      <c r="E1143" t="s">
        <v>1339</v>
      </c>
      <c r="F1143" s="46" t="s">
        <v>1435</v>
      </c>
      <c r="G1143" t="s">
        <v>239</v>
      </c>
      <c r="H1143" s="47" t="s">
        <v>450</v>
      </c>
      <c r="I1143" s="47" t="s">
        <v>1369</v>
      </c>
      <c r="J1143" t="s">
        <v>2755</v>
      </c>
      <c r="K1143">
        <v>1978</v>
      </c>
      <c r="L1143">
        <v>3405</v>
      </c>
      <c r="M1143">
        <v>1978</v>
      </c>
      <c r="N1143">
        <v>3405</v>
      </c>
      <c r="O1143" s="24">
        <v>1656</v>
      </c>
      <c r="P1143" s="24">
        <v>3009</v>
      </c>
      <c r="Q1143">
        <v>1738</v>
      </c>
      <c r="R1143">
        <v>3192</v>
      </c>
      <c r="S1143">
        <v>2024</v>
      </c>
      <c r="T1143">
        <v>3729</v>
      </c>
      <c r="U1143">
        <v>2024</v>
      </c>
      <c r="V1143">
        <v>3729</v>
      </c>
    </row>
    <row r="1144" spans="2:22" x14ac:dyDescent="0.35">
      <c r="B1144" s="46" t="s">
        <v>1436</v>
      </c>
      <c r="D1144" t="s">
        <v>1338</v>
      </c>
      <c r="E1144" t="s">
        <v>1339</v>
      </c>
      <c r="F1144" s="46" t="s">
        <v>1436</v>
      </c>
      <c r="G1144" t="s">
        <v>279</v>
      </c>
      <c r="H1144" s="47" t="s">
        <v>1347</v>
      </c>
      <c r="I1144" s="47" t="s">
        <v>1348</v>
      </c>
      <c r="J1144" t="s">
        <v>530</v>
      </c>
      <c r="K1144">
        <v>1079</v>
      </c>
      <c r="L1144">
        <v>1245</v>
      </c>
      <c r="M1144">
        <v>1079</v>
      </c>
      <c r="N1144">
        <v>1245</v>
      </c>
      <c r="O1144" s="24">
        <v>1040</v>
      </c>
      <c r="P1144" s="24">
        <v>1160</v>
      </c>
      <c r="Q1144">
        <v>954</v>
      </c>
      <c r="R1144">
        <v>1297</v>
      </c>
      <c r="S1144">
        <v>1034</v>
      </c>
      <c r="T1144">
        <v>1474</v>
      </c>
      <c r="U1144">
        <v>1034</v>
      </c>
      <c r="V1144">
        <v>1474</v>
      </c>
    </row>
    <row r="1145" spans="2:22" x14ac:dyDescent="0.35">
      <c r="B1145" s="46" t="s">
        <v>1437</v>
      </c>
      <c r="D1145" t="s">
        <v>1338</v>
      </c>
      <c r="E1145" t="s">
        <v>1339</v>
      </c>
      <c r="F1145" s="46" t="s">
        <v>1437</v>
      </c>
      <c r="G1145" t="s">
        <v>283</v>
      </c>
      <c r="H1145" s="47" t="s">
        <v>1366</v>
      </c>
      <c r="I1145" s="47" t="s">
        <v>1367</v>
      </c>
      <c r="J1145" t="s">
        <v>398</v>
      </c>
      <c r="K1145">
        <v>633</v>
      </c>
      <c r="L1145">
        <v>842</v>
      </c>
      <c r="M1145">
        <v>633</v>
      </c>
      <c r="N1145">
        <v>842</v>
      </c>
      <c r="O1145" s="24">
        <v>639</v>
      </c>
      <c r="P1145" s="24">
        <v>871</v>
      </c>
      <c r="Q1145">
        <v>605</v>
      </c>
      <c r="R1145">
        <v>876</v>
      </c>
      <c r="S1145">
        <v>707</v>
      </c>
      <c r="T1145">
        <v>994</v>
      </c>
      <c r="U1145">
        <v>707</v>
      </c>
      <c r="V1145">
        <v>994</v>
      </c>
    </row>
    <row r="1146" spans="2:22" x14ac:dyDescent="0.35">
      <c r="B1146" s="46" t="s">
        <v>1438</v>
      </c>
      <c r="D1146" t="s">
        <v>1338</v>
      </c>
      <c r="E1146" t="s">
        <v>1339</v>
      </c>
      <c r="F1146" s="46" t="s">
        <v>1438</v>
      </c>
      <c r="G1146" t="s">
        <v>235</v>
      </c>
      <c r="H1146" s="47" t="s">
        <v>419</v>
      </c>
      <c r="I1146" s="47" t="s">
        <v>1340</v>
      </c>
      <c r="J1146" t="s">
        <v>729</v>
      </c>
      <c r="K1146">
        <v>152</v>
      </c>
      <c r="L1146">
        <v>192</v>
      </c>
      <c r="M1146">
        <v>152</v>
      </c>
      <c r="N1146">
        <v>192</v>
      </c>
      <c r="O1146" s="24">
        <v>171</v>
      </c>
      <c r="P1146" s="24">
        <v>211</v>
      </c>
      <c r="Q1146">
        <v>83</v>
      </c>
      <c r="R1146">
        <v>186</v>
      </c>
      <c r="S1146">
        <v>121</v>
      </c>
      <c r="T1146">
        <v>223</v>
      </c>
      <c r="U1146">
        <v>121</v>
      </c>
      <c r="V1146">
        <v>223</v>
      </c>
    </row>
    <row r="1147" spans="2:22" x14ac:dyDescent="0.35">
      <c r="B1147" s="46" t="s">
        <v>1439</v>
      </c>
      <c r="D1147" t="s">
        <v>1338</v>
      </c>
      <c r="E1147" t="s">
        <v>1339</v>
      </c>
      <c r="F1147" s="46" t="s">
        <v>1439</v>
      </c>
      <c r="G1147" t="s">
        <v>235</v>
      </c>
      <c r="H1147" s="47" t="s">
        <v>419</v>
      </c>
      <c r="I1147" s="47" t="s">
        <v>1340</v>
      </c>
      <c r="J1147" t="s">
        <v>2756</v>
      </c>
      <c r="K1147">
        <v>222</v>
      </c>
      <c r="L1147">
        <v>316</v>
      </c>
      <c r="M1147">
        <v>222</v>
      </c>
      <c r="N1147">
        <v>316</v>
      </c>
      <c r="O1147" s="24">
        <v>205</v>
      </c>
      <c r="P1147" s="24">
        <v>291</v>
      </c>
      <c r="Q1147">
        <v>168</v>
      </c>
      <c r="R1147">
        <v>301</v>
      </c>
      <c r="S1147">
        <v>192</v>
      </c>
      <c r="T1147">
        <v>315</v>
      </c>
      <c r="U1147">
        <v>192</v>
      </c>
      <c r="V1147">
        <v>315</v>
      </c>
    </row>
    <row r="1148" spans="2:22" x14ac:dyDescent="0.35">
      <c r="B1148" s="46" t="s">
        <v>1440</v>
      </c>
      <c r="D1148" t="s">
        <v>1338</v>
      </c>
      <c r="E1148" t="s">
        <v>1339</v>
      </c>
      <c r="F1148" s="46" t="s">
        <v>1440</v>
      </c>
      <c r="G1148" t="s">
        <v>259</v>
      </c>
      <c r="H1148" s="47" t="s">
        <v>477</v>
      </c>
      <c r="I1148" s="47" t="s">
        <v>1345</v>
      </c>
      <c r="J1148" t="s">
        <v>377</v>
      </c>
      <c r="K1148">
        <v>427</v>
      </c>
      <c r="L1148">
        <v>601</v>
      </c>
      <c r="M1148">
        <v>427</v>
      </c>
      <c r="N1148">
        <v>601</v>
      </c>
      <c r="O1148" s="24">
        <v>400</v>
      </c>
      <c r="P1148" s="24">
        <v>574</v>
      </c>
      <c r="Q1148">
        <v>380</v>
      </c>
      <c r="R1148">
        <v>584</v>
      </c>
      <c r="S1148">
        <v>471</v>
      </c>
      <c r="T1148">
        <v>746</v>
      </c>
      <c r="U1148">
        <v>471</v>
      </c>
      <c r="V1148">
        <v>746</v>
      </c>
    </row>
    <row r="1149" spans="2:22" x14ac:dyDescent="0.35">
      <c r="B1149" s="46" t="s">
        <v>1441</v>
      </c>
      <c r="D1149" t="s">
        <v>1338</v>
      </c>
      <c r="E1149" t="s">
        <v>1339</v>
      </c>
      <c r="F1149" s="46" t="s">
        <v>1441</v>
      </c>
      <c r="G1149" t="s">
        <v>231</v>
      </c>
      <c r="H1149" s="47" t="s">
        <v>393</v>
      </c>
      <c r="I1149" s="47" t="s">
        <v>1342</v>
      </c>
      <c r="J1149" t="s">
        <v>2757</v>
      </c>
      <c r="K1149">
        <v>554</v>
      </c>
      <c r="L1149">
        <v>726</v>
      </c>
      <c r="M1149">
        <v>554</v>
      </c>
      <c r="N1149">
        <v>726</v>
      </c>
      <c r="O1149" s="24">
        <v>477</v>
      </c>
      <c r="P1149" s="24">
        <v>726</v>
      </c>
      <c r="Q1149">
        <v>472</v>
      </c>
      <c r="R1149">
        <v>708</v>
      </c>
      <c r="S1149">
        <v>524</v>
      </c>
      <c r="T1149">
        <v>785</v>
      </c>
      <c r="U1149">
        <v>524</v>
      </c>
      <c r="V1149">
        <v>785</v>
      </c>
    </row>
    <row r="1150" spans="2:22" x14ac:dyDescent="0.35">
      <c r="B1150" s="46" t="s">
        <v>1442</v>
      </c>
      <c r="D1150" t="s">
        <v>1338</v>
      </c>
      <c r="E1150" t="s">
        <v>1339</v>
      </c>
      <c r="F1150" s="46" t="s">
        <v>1442</v>
      </c>
      <c r="G1150" t="s">
        <v>283</v>
      </c>
      <c r="H1150" s="47" t="s">
        <v>1366</v>
      </c>
      <c r="I1150" s="47" t="s">
        <v>1367</v>
      </c>
      <c r="J1150" t="s">
        <v>2758</v>
      </c>
      <c r="K1150">
        <v>216</v>
      </c>
      <c r="L1150">
        <v>257</v>
      </c>
      <c r="M1150">
        <v>216</v>
      </c>
      <c r="N1150">
        <v>257</v>
      </c>
      <c r="O1150" s="24">
        <v>201</v>
      </c>
      <c r="P1150" s="24">
        <v>247</v>
      </c>
      <c r="Q1150">
        <v>162</v>
      </c>
      <c r="R1150">
        <v>240</v>
      </c>
      <c r="S1150">
        <v>166</v>
      </c>
      <c r="T1150">
        <v>236</v>
      </c>
      <c r="U1150">
        <v>166</v>
      </c>
      <c r="V1150">
        <v>236</v>
      </c>
    </row>
    <row r="1151" spans="2:22" x14ac:dyDescent="0.35">
      <c r="B1151" s="46" t="s">
        <v>1443</v>
      </c>
      <c r="D1151" t="s">
        <v>1338</v>
      </c>
      <c r="E1151" t="s">
        <v>1339</v>
      </c>
      <c r="F1151" s="46" t="s">
        <v>1443</v>
      </c>
      <c r="G1151" t="s">
        <v>283</v>
      </c>
      <c r="H1151" s="47" t="s">
        <v>1366</v>
      </c>
      <c r="I1151" s="47" t="s">
        <v>1367</v>
      </c>
      <c r="J1151" t="s">
        <v>2759</v>
      </c>
      <c r="K1151">
        <v>222</v>
      </c>
      <c r="L1151">
        <v>299</v>
      </c>
      <c r="M1151">
        <v>222</v>
      </c>
      <c r="N1151">
        <v>299</v>
      </c>
      <c r="O1151" s="24">
        <v>224</v>
      </c>
      <c r="P1151" s="24">
        <v>307</v>
      </c>
      <c r="Q1151">
        <v>200</v>
      </c>
      <c r="R1151">
        <v>301</v>
      </c>
      <c r="S1151">
        <v>256</v>
      </c>
      <c r="T1151">
        <v>359</v>
      </c>
      <c r="U1151">
        <v>256</v>
      </c>
      <c r="V1151">
        <v>359</v>
      </c>
    </row>
    <row r="1152" spans="2:22" x14ac:dyDescent="0.35">
      <c r="B1152" s="46" t="s">
        <v>1444</v>
      </c>
      <c r="D1152" t="s">
        <v>1338</v>
      </c>
      <c r="E1152" t="s">
        <v>1339</v>
      </c>
      <c r="F1152" s="46" t="s">
        <v>1444</v>
      </c>
      <c r="G1152" t="s">
        <v>255</v>
      </c>
      <c r="H1152" s="47" t="s">
        <v>467</v>
      </c>
      <c r="I1152" s="47" t="s">
        <v>1352</v>
      </c>
      <c r="J1152" t="s">
        <v>2760</v>
      </c>
      <c r="K1152">
        <v>9258</v>
      </c>
      <c r="L1152">
        <v>13154</v>
      </c>
      <c r="M1152">
        <v>9258</v>
      </c>
      <c r="N1152">
        <v>13154</v>
      </c>
      <c r="O1152" s="24">
        <v>7988</v>
      </c>
      <c r="P1152" s="24">
        <v>12201</v>
      </c>
      <c r="Q1152">
        <v>8067</v>
      </c>
      <c r="R1152">
        <v>12872</v>
      </c>
      <c r="S1152">
        <v>8900</v>
      </c>
      <c r="T1152">
        <v>14523</v>
      </c>
      <c r="U1152">
        <v>8900</v>
      </c>
      <c r="V1152">
        <v>14523</v>
      </c>
    </row>
    <row r="1153" spans="2:22" x14ac:dyDescent="0.35">
      <c r="B1153" s="46" t="s">
        <v>1445</v>
      </c>
      <c r="D1153" t="s">
        <v>1338</v>
      </c>
      <c r="E1153" t="s">
        <v>1339</v>
      </c>
      <c r="F1153" s="46" t="s">
        <v>1445</v>
      </c>
      <c r="G1153" t="s">
        <v>235</v>
      </c>
      <c r="H1153" s="47" t="s">
        <v>419</v>
      </c>
      <c r="I1153" s="47" t="s">
        <v>1340</v>
      </c>
      <c r="J1153" t="s">
        <v>251</v>
      </c>
      <c r="K1153">
        <v>333</v>
      </c>
      <c r="L1153">
        <v>392</v>
      </c>
      <c r="M1153">
        <v>333</v>
      </c>
      <c r="N1153">
        <v>392</v>
      </c>
      <c r="O1153" s="24">
        <v>317</v>
      </c>
      <c r="P1153" s="24">
        <v>375</v>
      </c>
      <c r="Q1153">
        <v>283</v>
      </c>
      <c r="R1153">
        <v>371</v>
      </c>
      <c r="S1153">
        <v>318</v>
      </c>
      <c r="T1153">
        <v>447</v>
      </c>
      <c r="U1153">
        <v>318</v>
      </c>
      <c r="V1153">
        <v>447</v>
      </c>
    </row>
    <row r="1154" spans="2:22" x14ac:dyDescent="0.35">
      <c r="B1154" s="46" t="s">
        <v>1446</v>
      </c>
      <c r="D1154" t="s">
        <v>1338</v>
      </c>
      <c r="E1154" t="s">
        <v>1339</v>
      </c>
      <c r="F1154" s="46" t="s">
        <v>1446</v>
      </c>
      <c r="G1154" t="s">
        <v>235</v>
      </c>
      <c r="H1154" s="47" t="s">
        <v>419</v>
      </c>
      <c r="I1154" s="47" t="s">
        <v>1340</v>
      </c>
      <c r="J1154" t="s">
        <v>2761</v>
      </c>
      <c r="K1154">
        <v>409</v>
      </c>
      <c r="L1154">
        <v>542</v>
      </c>
      <c r="M1154">
        <v>409</v>
      </c>
      <c r="N1154">
        <v>542</v>
      </c>
      <c r="O1154" s="24">
        <v>328</v>
      </c>
      <c r="P1154" s="24">
        <v>480</v>
      </c>
      <c r="Q1154">
        <v>347</v>
      </c>
      <c r="R1154">
        <v>532</v>
      </c>
      <c r="S1154">
        <v>369</v>
      </c>
      <c r="T1154">
        <v>590</v>
      </c>
      <c r="U1154">
        <v>369</v>
      </c>
      <c r="V1154">
        <v>590</v>
      </c>
    </row>
    <row r="1155" spans="2:22" x14ac:dyDescent="0.35">
      <c r="B1155" s="46" t="s">
        <v>1447</v>
      </c>
      <c r="D1155" t="s">
        <v>1338</v>
      </c>
      <c r="E1155" t="s">
        <v>1339</v>
      </c>
      <c r="F1155" s="46" t="s">
        <v>1447</v>
      </c>
      <c r="G1155" t="s">
        <v>289</v>
      </c>
      <c r="H1155" s="47" t="s">
        <v>1355</v>
      </c>
      <c r="I1155" s="47" t="s">
        <v>1356</v>
      </c>
      <c r="J1155" t="s">
        <v>2762</v>
      </c>
      <c r="K1155">
        <v>1193</v>
      </c>
      <c r="L1155">
        <v>1579</v>
      </c>
      <c r="M1155">
        <v>1193</v>
      </c>
      <c r="N1155">
        <v>1579</v>
      </c>
      <c r="O1155" s="24">
        <v>1027</v>
      </c>
      <c r="P1155" s="24">
        <v>1503</v>
      </c>
      <c r="Q1155">
        <v>1002</v>
      </c>
      <c r="R1155">
        <v>1524</v>
      </c>
      <c r="S1155">
        <v>1398</v>
      </c>
      <c r="T1155">
        <v>1955</v>
      </c>
      <c r="U1155">
        <v>1398</v>
      </c>
      <c r="V1155">
        <v>1955</v>
      </c>
    </row>
    <row r="1156" spans="2:22" x14ac:dyDescent="0.35">
      <c r="B1156" s="46" t="s">
        <v>1448</v>
      </c>
      <c r="D1156" t="s">
        <v>1338</v>
      </c>
      <c r="E1156" t="s">
        <v>1339</v>
      </c>
      <c r="F1156" s="46" t="s">
        <v>1448</v>
      </c>
      <c r="G1156" t="s">
        <v>283</v>
      </c>
      <c r="H1156" s="47" t="s">
        <v>1366</v>
      </c>
      <c r="I1156" s="47" t="s">
        <v>1367</v>
      </c>
      <c r="J1156" t="s">
        <v>2763</v>
      </c>
      <c r="K1156">
        <v>29263</v>
      </c>
      <c r="L1156">
        <v>45042</v>
      </c>
      <c r="M1156">
        <v>29263</v>
      </c>
      <c r="N1156">
        <v>45042</v>
      </c>
      <c r="O1156" s="24">
        <v>24909</v>
      </c>
      <c r="P1156" s="24">
        <v>39810</v>
      </c>
      <c r="Q1156">
        <v>25883</v>
      </c>
      <c r="R1156">
        <v>42588</v>
      </c>
      <c r="S1156">
        <v>29867</v>
      </c>
      <c r="T1156">
        <v>48200</v>
      </c>
      <c r="U1156">
        <v>29867</v>
      </c>
      <c r="V1156">
        <v>48200</v>
      </c>
    </row>
    <row r="1157" spans="2:22" x14ac:dyDescent="0.35">
      <c r="B1157" s="46" t="s">
        <v>1449</v>
      </c>
      <c r="D1157" t="s">
        <v>1338</v>
      </c>
      <c r="E1157" t="s">
        <v>1339</v>
      </c>
      <c r="F1157" s="46" t="s">
        <v>1449</v>
      </c>
      <c r="G1157" t="s">
        <v>235</v>
      </c>
      <c r="H1157" s="47" t="s">
        <v>419</v>
      </c>
      <c r="I1157" s="47" t="s">
        <v>1340</v>
      </c>
      <c r="J1157" t="s">
        <v>405</v>
      </c>
      <c r="K1157">
        <v>488</v>
      </c>
      <c r="L1157">
        <v>577</v>
      </c>
      <c r="M1157">
        <v>488</v>
      </c>
      <c r="N1157">
        <v>577</v>
      </c>
      <c r="O1157" s="24">
        <v>431</v>
      </c>
      <c r="P1157" s="24">
        <v>509</v>
      </c>
      <c r="Q1157">
        <v>411</v>
      </c>
      <c r="R1157">
        <v>557</v>
      </c>
      <c r="S1157">
        <v>394</v>
      </c>
      <c r="T1157">
        <v>584</v>
      </c>
      <c r="U1157">
        <v>394</v>
      </c>
      <c r="V1157">
        <v>584</v>
      </c>
    </row>
    <row r="1158" spans="2:22" x14ac:dyDescent="0.35">
      <c r="B1158" s="46" t="s">
        <v>1450</v>
      </c>
      <c r="D1158" t="s">
        <v>1338</v>
      </c>
      <c r="E1158" t="s">
        <v>1339</v>
      </c>
      <c r="F1158" s="46" t="s">
        <v>1450</v>
      </c>
      <c r="G1158" t="s">
        <v>265</v>
      </c>
      <c r="H1158" s="47" t="s">
        <v>501</v>
      </c>
      <c r="I1158" s="47" t="s">
        <v>1387</v>
      </c>
      <c r="J1158" t="s">
        <v>2764</v>
      </c>
      <c r="K1158">
        <v>109</v>
      </c>
      <c r="L1158">
        <v>153</v>
      </c>
      <c r="M1158">
        <v>109</v>
      </c>
      <c r="N1158">
        <v>153</v>
      </c>
      <c r="O1158" s="24">
        <v>103</v>
      </c>
      <c r="P1158" s="24">
        <v>150</v>
      </c>
      <c r="Q1158">
        <v>106</v>
      </c>
      <c r="R1158">
        <v>164</v>
      </c>
      <c r="S1158">
        <v>123</v>
      </c>
      <c r="T1158">
        <v>192</v>
      </c>
      <c r="U1158">
        <v>123</v>
      </c>
      <c r="V1158">
        <v>192</v>
      </c>
    </row>
    <row r="1159" spans="2:22" x14ac:dyDescent="0.35">
      <c r="B1159" s="46" t="s">
        <v>1451</v>
      </c>
      <c r="D1159" t="s">
        <v>1338</v>
      </c>
      <c r="E1159" t="s">
        <v>1339</v>
      </c>
      <c r="F1159" s="46" t="s">
        <v>1451</v>
      </c>
      <c r="G1159" t="s">
        <v>255</v>
      </c>
      <c r="H1159" s="47" t="s">
        <v>467</v>
      </c>
      <c r="I1159" s="47" t="s">
        <v>1352</v>
      </c>
      <c r="J1159" t="s">
        <v>1572</v>
      </c>
      <c r="K1159">
        <v>191</v>
      </c>
      <c r="L1159">
        <v>250</v>
      </c>
      <c r="M1159">
        <v>191</v>
      </c>
      <c r="N1159">
        <v>250</v>
      </c>
      <c r="O1159" s="24">
        <v>167</v>
      </c>
      <c r="P1159" s="24">
        <v>213</v>
      </c>
      <c r="Q1159">
        <v>152</v>
      </c>
      <c r="R1159">
        <v>210</v>
      </c>
      <c r="S1159">
        <v>176</v>
      </c>
      <c r="T1159">
        <v>246</v>
      </c>
      <c r="U1159">
        <v>176</v>
      </c>
      <c r="V1159">
        <v>246</v>
      </c>
    </row>
    <row r="1160" spans="2:22" x14ac:dyDescent="0.35">
      <c r="B1160" s="46" t="s">
        <v>1452</v>
      </c>
      <c r="D1160" t="s">
        <v>1338</v>
      </c>
      <c r="E1160" t="s">
        <v>1339</v>
      </c>
      <c r="F1160" s="46" t="s">
        <v>1452</v>
      </c>
      <c r="G1160" t="s">
        <v>265</v>
      </c>
      <c r="H1160" s="47" t="s">
        <v>501</v>
      </c>
      <c r="I1160" s="47" t="s">
        <v>1387</v>
      </c>
      <c r="J1160" t="s">
        <v>528</v>
      </c>
      <c r="K1160">
        <v>704</v>
      </c>
      <c r="L1160">
        <v>968</v>
      </c>
      <c r="M1160">
        <v>704</v>
      </c>
      <c r="N1160">
        <v>968</v>
      </c>
      <c r="O1160" s="24">
        <v>662</v>
      </c>
      <c r="P1160" s="24">
        <v>894</v>
      </c>
      <c r="Q1160">
        <v>618</v>
      </c>
      <c r="R1160">
        <v>914</v>
      </c>
      <c r="S1160">
        <v>845</v>
      </c>
      <c r="T1160">
        <v>1204</v>
      </c>
      <c r="U1160">
        <v>845</v>
      </c>
      <c r="V1160">
        <v>1204</v>
      </c>
    </row>
    <row r="1161" spans="2:22" x14ac:dyDescent="0.35">
      <c r="B1161" s="46" t="s">
        <v>1453</v>
      </c>
      <c r="D1161" t="s">
        <v>1338</v>
      </c>
      <c r="E1161" t="s">
        <v>1339</v>
      </c>
      <c r="F1161" s="46" t="s">
        <v>1453</v>
      </c>
      <c r="G1161" t="s">
        <v>265</v>
      </c>
      <c r="H1161" s="47" t="s">
        <v>501</v>
      </c>
      <c r="I1161" s="47" t="s">
        <v>1387</v>
      </c>
      <c r="J1161" t="s">
        <v>2765</v>
      </c>
      <c r="K1161">
        <v>395</v>
      </c>
      <c r="L1161">
        <v>507</v>
      </c>
      <c r="M1161">
        <v>395</v>
      </c>
      <c r="N1161">
        <v>507</v>
      </c>
      <c r="O1161" s="24">
        <v>375</v>
      </c>
      <c r="P1161" s="24">
        <v>488</v>
      </c>
      <c r="Q1161">
        <v>390</v>
      </c>
      <c r="R1161">
        <v>515</v>
      </c>
      <c r="S1161">
        <v>451</v>
      </c>
      <c r="T1161">
        <v>593</v>
      </c>
      <c r="U1161">
        <v>451</v>
      </c>
      <c r="V1161">
        <v>593</v>
      </c>
    </row>
    <row r="1162" spans="2:22" x14ac:dyDescent="0.35">
      <c r="B1162" s="46" t="s">
        <v>1454</v>
      </c>
      <c r="D1162" t="s">
        <v>1338</v>
      </c>
      <c r="E1162" t="s">
        <v>1339</v>
      </c>
      <c r="F1162" s="46" t="s">
        <v>1454</v>
      </c>
      <c r="G1162" t="s">
        <v>265</v>
      </c>
      <c r="H1162" s="47" t="s">
        <v>501</v>
      </c>
      <c r="I1162" s="47" t="s">
        <v>1387</v>
      </c>
      <c r="J1162" t="s">
        <v>249</v>
      </c>
      <c r="K1162">
        <v>206</v>
      </c>
      <c r="L1162">
        <v>299</v>
      </c>
      <c r="M1162">
        <v>206</v>
      </c>
      <c r="N1162">
        <v>299</v>
      </c>
      <c r="O1162" s="24">
        <v>193</v>
      </c>
      <c r="P1162" s="24">
        <v>279</v>
      </c>
      <c r="Q1162">
        <v>145</v>
      </c>
      <c r="R1162">
        <v>254</v>
      </c>
      <c r="S1162">
        <v>155</v>
      </c>
      <c r="T1162">
        <v>256</v>
      </c>
      <c r="U1162">
        <v>155</v>
      </c>
      <c r="V1162">
        <v>256</v>
      </c>
    </row>
    <row r="1163" spans="2:22" x14ac:dyDescent="0.35">
      <c r="B1163" s="46" t="s">
        <v>1455</v>
      </c>
      <c r="D1163" t="s">
        <v>1338</v>
      </c>
      <c r="E1163" t="s">
        <v>1339</v>
      </c>
      <c r="F1163" s="46" t="s">
        <v>1455</v>
      </c>
      <c r="G1163" t="s">
        <v>265</v>
      </c>
      <c r="H1163" s="47" t="s">
        <v>501</v>
      </c>
      <c r="I1163" s="47" t="s">
        <v>1387</v>
      </c>
      <c r="J1163" t="s">
        <v>2766</v>
      </c>
      <c r="K1163">
        <v>643</v>
      </c>
      <c r="L1163">
        <v>921</v>
      </c>
      <c r="M1163">
        <v>643</v>
      </c>
      <c r="N1163">
        <v>921</v>
      </c>
      <c r="O1163" s="24">
        <v>666</v>
      </c>
      <c r="P1163" s="24">
        <v>935</v>
      </c>
      <c r="Q1163">
        <v>613</v>
      </c>
      <c r="R1163">
        <v>926</v>
      </c>
      <c r="S1163">
        <v>815</v>
      </c>
      <c r="T1163">
        <v>1127</v>
      </c>
      <c r="U1163">
        <v>815</v>
      </c>
      <c r="V1163">
        <v>1127</v>
      </c>
    </row>
    <row r="1164" spans="2:22" x14ac:dyDescent="0.35">
      <c r="B1164" s="46" t="s">
        <v>1456</v>
      </c>
      <c r="D1164" t="s">
        <v>1338</v>
      </c>
      <c r="E1164" t="s">
        <v>1339</v>
      </c>
      <c r="F1164" s="46" t="s">
        <v>1456</v>
      </c>
      <c r="G1164" t="s">
        <v>289</v>
      </c>
      <c r="H1164" s="47" t="s">
        <v>1355</v>
      </c>
      <c r="I1164" s="47" t="s">
        <v>1356</v>
      </c>
      <c r="J1164" t="s">
        <v>448</v>
      </c>
      <c r="K1164">
        <v>1531</v>
      </c>
      <c r="L1164">
        <v>1857</v>
      </c>
      <c r="M1164">
        <v>1531</v>
      </c>
      <c r="N1164">
        <v>1857</v>
      </c>
      <c r="O1164" s="24">
        <v>1458</v>
      </c>
      <c r="P1164" s="24">
        <v>1719</v>
      </c>
      <c r="Q1164">
        <v>1352</v>
      </c>
      <c r="R1164">
        <v>1901</v>
      </c>
      <c r="S1164">
        <v>1541</v>
      </c>
      <c r="T1164">
        <v>2263</v>
      </c>
      <c r="U1164">
        <v>1541</v>
      </c>
      <c r="V1164">
        <v>2263</v>
      </c>
    </row>
    <row r="1165" spans="2:22" x14ac:dyDescent="0.35">
      <c r="B1165" s="46" t="s">
        <v>1457</v>
      </c>
      <c r="D1165" t="s">
        <v>1338</v>
      </c>
      <c r="E1165" t="s">
        <v>1339</v>
      </c>
      <c r="F1165" s="46" t="s">
        <v>1457</v>
      </c>
      <c r="G1165" t="s">
        <v>279</v>
      </c>
      <c r="H1165" s="47" t="s">
        <v>1347</v>
      </c>
      <c r="I1165" s="47" t="s">
        <v>1348</v>
      </c>
      <c r="J1165" t="s">
        <v>1801</v>
      </c>
      <c r="K1165">
        <v>141</v>
      </c>
      <c r="L1165">
        <v>199</v>
      </c>
      <c r="M1165">
        <v>141</v>
      </c>
      <c r="N1165">
        <v>199</v>
      </c>
      <c r="O1165" s="24">
        <v>162</v>
      </c>
      <c r="P1165" s="24">
        <v>202</v>
      </c>
      <c r="Q1165">
        <v>131</v>
      </c>
      <c r="R1165">
        <v>206</v>
      </c>
      <c r="S1165">
        <v>133</v>
      </c>
      <c r="T1165">
        <v>205</v>
      </c>
      <c r="U1165">
        <v>133</v>
      </c>
      <c r="V1165">
        <v>205</v>
      </c>
    </row>
    <row r="1166" spans="2:22" x14ac:dyDescent="0.35">
      <c r="B1166" s="46" t="s">
        <v>1458</v>
      </c>
      <c r="D1166" t="s">
        <v>1338</v>
      </c>
      <c r="E1166" t="s">
        <v>1339</v>
      </c>
      <c r="F1166" s="46" t="s">
        <v>1458</v>
      </c>
      <c r="G1166" t="s">
        <v>235</v>
      </c>
      <c r="H1166" s="47" t="s">
        <v>419</v>
      </c>
      <c r="I1166" s="47" t="s">
        <v>1340</v>
      </c>
      <c r="J1166" t="s">
        <v>2767</v>
      </c>
      <c r="K1166">
        <v>2459</v>
      </c>
      <c r="L1166">
        <v>2940</v>
      </c>
      <c r="M1166">
        <v>2459</v>
      </c>
      <c r="N1166">
        <v>2940</v>
      </c>
      <c r="O1166" s="24">
        <v>2361</v>
      </c>
      <c r="P1166" s="24">
        <v>2712</v>
      </c>
      <c r="Q1166">
        <v>2418</v>
      </c>
      <c r="R1166">
        <v>2971</v>
      </c>
      <c r="S1166">
        <v>2677</v>
      </c>
      <c r="T1166">
        <v>3492</v>
      </c>
      <c r="U1166">
        <v>2677</v>
      </c>
      <c r="V1166">
        <v>3492</v>
      </c>
    </row>
    <row r="1167" spans="2:22" x14ac:dyDescent="0.35">
      <c r="B1167" s="46" t="s">
        <v>1459</v>
      </c>
      <c r="D1167" t="s">
        <v>1338</v>
      </c>
      <c r="E1167" t="s">
        <v>1339</v>
      </c>
      <c r="F1167" s="46" t="s">
        <v>1459</v>
      </c>
      <c r="G1167" t="s">
        <v>279</v>
      </c>
      <c r="H1167" s="47" t="s">
        <v>1347</v>
      </c>
      <c r="I1167" s="47" t="s">
        <v>1348</v>
      </c>
      <c r="J1167" t="s">
        <v>2768</v>
      </c>
      <c r="K1167">
        <v>699</v>
      </c>
      <c r="L1167">
        <v>872</v>
      </c>
      <c r="M1167">
        <v>699</v>
      </c>
      <c r="N1167">
        <v>872</v>
      </c>
      <c r="O1167" s="24">
        <v>687</v>
      </c>
      <c r="P1167" s="24">
        <v>854</v>
      </c>
      <c r="Q1167">
        <v>572</v>
      </c>
      <c r="R1167">
        <v>880</v>
      </c>
      <c r="S1167">
        <v>704</v>
      </c>
      <c r="T1167">
        <v>1034</v>
      </c>
      <c r="U1167">
        <v>704</v>
      </c>
      <c r="V1167">
        <v>1034</v>
      </c>
    </row>
    <row r="1168" spans="2:22" x14ac:dyDescent="0.35">
      <c r="B1168" s="46" t="s">
        <v>1461</v>
      </c>
      <c r="D1168" t="s">
        <v>1338</v>
      </c>
      <c r="E1168" t="s">
        <v>1339</v>
      </c>
      <c r="F1168" s="46" t="s">
        <v>1461</v>
      </c>
      <c r="G1168" t="s">
        <v>283</v>
      </c>
      <c r="H1168" s="47" t="s">
        <v>1366</v>
      </c>
      <c r="I1168" s="47" t="s">
        <v>1367</v>
      </c>
      <c r="J1168" t="s">
        <v>2769</v>
      </c>
      <c r="K1168">
        <v>517</v>
      </c>
      <c r="L1168">
        <v>646</v>
      </c>
      <c r="M1168">
        <v>517</v>
      </c>
      <c r="N1168">
        <v>646</v>
      </c>
      <c r="O1168" s="24">
        <v>532</v>
      </c>
      <c r="P1168" s="24">
        <v>655</v>
      </c>
      <c r="Q1168">
        <v>550</v>
      </c>
      <c r="R1168">
        <v>750</v>
      </c>
      <c r="S1168">
        <v>617</v>
      </c>
      <c r="T1168">
        <v>901</v>
      </c>
      <c r="U1168">
        <v>617</v>
      </c>
      <c r="V1168">
        <v>901</v>
      </c>
    </row>
    <row r="1169" spans="2:22" x14ac:dyDescent="0.35">
      <c r="B1169" s="46" t="s">
        <v>1462</v>
      </c>
      <c r="D1169" t="s">
        <v>1338</v>
      </c>
      <c r="E1169" t="s">
        <v>1339</v>
      </c>
      <c r="F1169" s="46" t="s">
        <v>1462</v>
      </c>
      <c r="G1169" t="s">
        <v>255</v>
      </c>
      <c r="H1169" s="47" t="s">
        <v>467</v>
      </c>
      <c r="I1169" s="47" t="s">
        <v>1352</v>
      </c>
      <c r="J1169" t="s">
        <v>873</v>
      </c>
      <c r="K1169">
        <v>711</v>
      </c>
      <c r="L1169">
        <v>985</v>
      </c>
      <c r="M1169">
        <v>711</v>
      </c>
      <c r="N1169">
        <v>985</v>
      </c>
      <c r="O1169" s="24">
        <v>694</v>
      </c>
      <c r="P1169" s="24">
        <v>967</v>
      </c>
      <c r="Q1169">
        <v>694</v>
      </c>
      <c r="R1169">
        <v>1024</v>
      </c>
      <c r="S1169">
        <v>839</v>
      </c>
      <c r="T1169">
        <v>1266</v>
      </c>
      <c r="U1169">
        <v>839</v>
      </c>
      <c r="V1169">
        <v>1266</v>
      </c>
    </row>
    <row r="1170" spans="2:22" x14ac:dyDescent="0.35">
      <c r="B1170" s="46" t="s">
        <v>1463</v>
      </c>
      <c r="D1170" t="s">
        <v>1338</v>
      </c>
      <c r="E1170" t="s">
        <v>1339</v>
      </c>
      <c r="F1170" s="46" t="s">
        <v>1463</v>
      </c>
      <c r="G1170" t="s">
        <v>265</v>
      </c>
      <c r="H1170" s="47" t="s">
        <v>501</v>
      </c>
      <c r="I1170" s="47" t="s">
        <v>1387</v>
      </c>
      <c r="J1170" t="s">
        <v>385</v>
      </c>
      <c r="K1170">
        <v>461</v>
      </c>
      <c r="L1170">
        <v>563</v>
      </c>
      <c r="M1170">
        <v>461</v>
      </c>
      <c r="N1170">
        <v>563</v>
      </c>
      <c r="O1170" s="24">
        <v>379</v>
      </c>
      <c r="P1170" s="24">
        <v>529</v>
      </c>
      <c r="Q1170">
        <v>374</v>
      </c>
      <c r="R1170">
        <v>553</v>
      </c>
      <c r="S1170">
        <v>471</v>
      </c>
      <c r="T1170">
        <v>722</v>
      </c>
      <c r="U1170">
        <v>471</v>
      </c>
      <c r="V1170">
        <v>722</v>
      </c>
    </row>
    <row r="1171" spans="2:22" x14ac:dyDescent="0.35">
      <c r="B1171" s="46" t="s">
        <v>1464</v>
      </c>
      <c r="D1171" t="s">
        <v>1338</v>
      </c>
      <c r="E1171" t="s">
        <v>1339</v>
      </c>
      <c r="F1171" s="46" t="s">
        <v>1464</v>
      </c>
      <c r="G1171" t="s">
        <v>265</v>
      </c>
      <c r="H1171" s="47" t="s">
        <v>501</v>
      </c>
      <c r="I1171" s="47" t="s">
        <v>1387</v>
      </c>
      <c r="J1171" t="s">
        <v>894</v>
      </c>
      <c r="K1171">
        <v>330</v>
      </c>
      <c r="L1171">
        <v>428</v>
      </c>
      <c r="M1171">
        <v>330</v>
      </c>
      <c r="N1171">
        <v>428</v>
      </c>
      <c r="O1171" s="24">
        <v>312</v>
      </c>
      <c r="P1171" s="24">
        <v>395</v>
      </c>
      <c r="Q1171">
        <v>323</v>
      </c>
      <c r="R1171">
        <v>418</v>
      </c>
      <c r="S1171">
        <v>409</v>
      </c>
      <c r="T1171">
        <v>502</v>
      </c>
      <c r="U1171">
        <v>409</v>
      </c>
      <c r="V1171">
        <v>502</v>
      </c>
    </row>
    <row r="1172" spans="2:22" x14ac:dyDescent="0.35">
      <c r="B1172" s="46" t="s">
        <v>1465</v>
      </c>
      <c r="D1172" t="s">
        <v>1338</v>
      </c>
      <c r="E1172" t="s">
        <v>1339</v>
      </c>
      <c r="F1172" s="46" t="s">
        <v>1465</v>
      </c>
      <c r="G1172" t="s">
        <v>289</v>
      </c>
      <c r="H1172" s="47" t="s">
        <v>1355</v>
      </c>
      <c r="I1172" s="47" t="s">
        <v>1356</v>
      </c>
      <c r="J1172" t="s">
        <v>924</v>
      </c>
      <c r="K1172">
        <v>1371</v>
      </c>
      <c r="L1172">
        <v>1608</v>
      </c>
      <c r="M1172">
        <v>1371</v>
      </c>
      <c r="N1172">
        <v>1608</v>
      </c>
      <c r="O1172" s="24">
        <v>1330</v>
      </c>
      <c r="P1172" s="24">
        <v>1526</v>
      </c>
      <c r="Q1172">
        <v>1276</v>
      </c>
      <c r="R1172">
        <v>1698</v>
      </c>
      <c r="S1172">
        <v>1415</v>
      </c>
      <c r="T1172">
        <v>1960</v>
      </c>
      <c r="U1172">
        <v>1415</v>
      </c>
      <c r="V1172">
        <v>1960</v>
      </c>
    </row>
    <row r="1173" spans="2:22" x14ac:dyDescent="0.35">
      <c r="B1173" s="46" t="s">
        <v>1466</v>
      </c>
      <c r="D1173" t="s">
        <v>1338</v>
      </c>
      <c r="E1173" t="s">
        <v>1339</v>
      </c>
      <c r="F1173" s="46" t="s">
        <v>1466</v>
      </c>
      <c r="G1173" t="s">
        <v>279</v>
      </c>
      <c r="H1173" s="47" t="s">
        <v>1347</v>
      </c>
      <c r="I1173" s="47" t="s">
        <v>1348</v>
      </c>
      <c r="J1173" t="s">
        <v>799</v>
      </c>
      <c r="K1173">
        <v>79</v>
      </c>
      <c r="L1173">
        <v>93</v>
      </c>
      <c r="M1173">
        <v>79</v>
      </c>
      <c r="N1173">
        <v>93</v>
      </c>
      <c r="O1173" s="24">
        <v>73</v>
      </c>
      <c r="P1173" s="24">
        <v>90</v>
      </c>
      <c r="Q1173">
        <v>63</v>
      </c>
      <c r="R1173">
        <v>88</v>
      </c>
      <c r="S1173">
        <v>72</v>
      </c>
      <c r="T1173">
        <v>94</v>
      </c>
      <c r="U1173">
        <v>72</v>
      </c>
      <c r="V1173">
        <v>94</v>
      </c>
    </row>
    <row r="1174" spans="2:22" x14ac:dyDescent="0.35">
      <c r="B1174" s="46" t="s">
        <v>1467</v>
      </c>
      <c r="D1174" t="s">
        <v>1338</v>
      </c>
      <c r="E1174" t="s">
        <v>1339</v>
      </c>
      <c r="F1174" s="46" t="s">
        <v>1467</v>
      </c>
      <c r="G1174" t="s">
        <v>231</v>
      </c>
      <c r="H1174" s="47" t="s">
        <v>393</v>
      </c>
      <c r="I1174" s="47" t="s">
        <v>1342</v>
      </c>
      <c r="J1174" t="s">
        <v>2770</v>
      </c>
      <c r="K1174">
        <v>770</v>
      </c>
      <c r="L1174">
        <v>888</v>
      </c>
      <c r="M1174">
        <v>770</v>
      </c>
      <c r="N1174">
        <v>888</v>
      </c>
      <c r="O1174" s="24">
        <v>713</v>
      </c>
      <c r="P1174" s="24">
        <v>781</v>
      </c>
      <c r="Q1174">
        <v>704</v>
      </c>
      <c r="R1174">
        <v>898</v>
      </c>
      <c r="S1174">
        <v>772</v>
      </c>
      <c r="T1174">
        <v>997</v>
      </c>
      <c r="U1174">
        <v>772</v>
      </c>
      <c r="V1174">
        <v>997</v>
      </c>
    </row>
    <row r="1175" spans="2:22" x14ac:dyDescent="0.35">
      <c r="B1175" s="46" t="s">
        <v>1468</v>
      </c>
      <c r="D1175" t="s">
        <v>1338</v>
      </c>
      <c r="E1175" t="s">
        <v>1339</v>
      </c>
      <c r="F1175" s="46" t="s">
        <v>1468</v>
      </c>
      <c r="G1175" t="s">
        <v>279</v>
      </c>
      <c r="H1175" s="47" t="s">
        <v>1347</v>
      </c>
      <c r="I1175" s="47" t="s">
        <v>1348</v>
      </c>
      <c r="J1175" t="s">
        <v>1469</v>
      </c>
      <c r="K1175">
        <v>8801</v>
      </c>
      <c r="L1175">
        <v>14539</v>
      </c>
      <c r="M1175">
        <v>8801</v>
      </c>
      <c r="N1175">
        <v>14539</v>
      </c>
      <c r="O1175" s="24">
        <v>6915</v>
      </c>
      <c r="P1175" s="24">
        <v>11900</v>
      </c>
      <c r="Q1175">
        <v>7032</v>
      </c>
      <c r="R1175">
        <v>12481</v>
      </c>
      <c r="S1175">
        <v>8528</v>
      </c>
      <c r="T1175">
        <v>14178</v>
      </c>
      <c r="U1175">
        <v>8528</v>
      </c>
      <c r="V1175">
        <v>14178</v>
      </c>
    </row>
    <row r="1176" spans="2:22" x14ac:dyDescent="0.35">
      <c r="B1176" s="46" t="s">
        <v>1470</v>
      </c>
      <c r="D1176" t="s">
        <v>1471</v>
      </c>
      <c r="E1176" t="s">
        <v>1472</v>
      </c>
      <c r="F1176" s="46" t="s">
        <v>1470</v>
      </c>
      <c r="G1176" t="s">
        <v>231</v>
      </c>
      <c r="H1176" s="23">
        <v>1</v>
      </c>
      <c r="I1176" s="23" t="s">
        <v>1473</v>
      </c>
      <c r="J1176" t="s">
        <v>1474</v>
      </c>
      <c r="K1176">
        <v>962</v>
      </c>
      <c r="L1176">
        <v>1249</v>
      </c>
      <c r="M1176" s="24">
        <v>794</v>
      </c>
      <c r="N1176" s="24">
        <v>1162</v>
      </c>
      <c r="O1176" s="24">
        <v>785</v>
      </c>
      <c r="P1176" s="24">
        <v>1225</v>
      </c>
      <c r="Q1176">
        <v>762</v>
      </c>
      <c r="R1176">
        <v>1353</v>
      </c>
      <c r="S1176">
        <v>848</v>
      </c>
      <c r="T1176">
        <v>1582</v>
      </c>
      <c r="U1176">
        <v>848</v>
      </c>
      <c r="V1176">
        <v>1582</v>
      </c>
    </row>
    <row r="1177" spans="2:22" x14ac:dyDescent="0.35">
      <c r="B1177" s="46" t="s">
        <v>1475</v>
      </c>
      <c r="D1177" t="s">
        <v>1471</v>
      </c>
      <c r="E1177" t="s">
        <v>1472</v>
      </c>
      <c r="F1177" s="46" t="s">
        <v>1475</v>
      </c>
      <c r="G1177" t="s">
        <v>231</v>
      </c>
      <c r="H1177" s="23">
        <v>1</v>
      </c>
      <c r="I1177" s="23" t="s">
        <v>1473</v>
      </c>
      <c r="J1177" t="s">
        <v>1476</v>
      </c>
      <c r="K1177">
        <v>13626</v>
      </c>
      <c r="L1177">
        <v>21283</v>
      </c>
      <c r="M1177" s="24">
        <v>11558</v>
      </c>
      <c r="N1177" s="24">
        <v>20707</v>
      </c>
      <c r="O1177" s="24">
        <v>11042</v>
      </c>
      <c r="P1177" s="24">
        <v>21002</v>
      </c>
      <c r="Q1177">
        <v>10799</v>
      </c>
      <c r="R1177">
        <v>23208</v>
      </c>
      <c r="S1177">
        <v>12825</v>
      </c>
      <c r="T1177">
        <v>28120</v>
      </c>
      <c r="U1177">
        <v>12825</v>
      </c>
      <c r="V1177">
        <v>28120</v>
      </c>
    </row>
    <row r="1178" spans="2:22" x14ac:dyDescent="0.35">
      <c r="B1178" s="46" t="s">
        <v>1477</v>
      </c>
      <c r="D1178" t="s">
        <v>1471</v>
      </c>
      <c r="E1178" t="s">
        <v>1472</v>
      </c>
      <c r="F1178" s="46" t="s">
        <v>1477</v>
      </c>
      <c r="G1178" t="s">
        <v>231</v>
      </c>
      <c r="H1178" s="23">
        <v>1</v>
      </c>
      <c r="I1178" s="23" t="s">
        <v>1473</v>
      </c>
      <c r="J1178" t="s">
        <v>323</v>
      </c>
      <c r="K1178">
        <v>1198</v>
      </c>
      <c r="L1178">
        <v>1599</v>
      </c>
      <c r="M1178" s="24">
        <v>1084</v>
      </c>
      <c r="N1178" s="24">
        <v>1627</v>
      </c>
      <c r="O1178" s="24">
        <v>1045</v>
      </c>
      <c r="P1178" s="24">
        <v>1661</v>
      </c>
      <c r="Q1178">
        <v>1068</v>
      </c>
      <c r="R1178">
        <v>1825</v>
      </c>
      <c r="S1178">
        <v>1511</v>
      </c>
      <c r="T1178">
        <v>2373</v>
      </c>
      <c r="U1178">
        <v>1511</v>
      </c>
      <c r="V1178">
        <v>2373</v>
      </c>
    </row>
    <row r="1179" spans="2:22" x14ac:dyDescent="0.35">
      <c r="B1179" s="46" t="s">
        <v>1478</v>
      </c>
      <c r="D1179" t="s">
        <v>1471</v>
      </c>
      <c r="E1179" t="s">
        <v>1472</v>
      </c>
      <c r="F1179" s="46" t="s">
        <v>1478</v>
      </c>
      <c r="G1179" t="s">
        <v>231</v>
      </c>
      <c r="H1179" s="23">
        <v>1</v>
      </c>
      <c r="I1179" s="23" t="s">
        <v>1473</v>
      </c>
      <c r="J1179" t="s">
        <v>329</v>
      </c>
      <c r="K1179">
        <v>546</v>
      </c>
      <c r="L1179">
        <v>733</v>
      </c>
      <c r="M1179" s="24">
        <v>450</v>
      </c>
      <c r="N1179" s="24">
        <v>726</v>
      </c>
      <c r="O1179" s="24">
        <v>430</v>
      </c>
      <c r="P1179" s="24">
        <v>714</v>
      </c>
      <c r="Q1179">
        <v>418</v>
      </c>
      <c r="R1179">
        <v>763</v>
      </c>
      <c r="S1179">
        <v>593</v>
      </c>
      <c r="T1179">
        <v>954</v>
      </c>
      <c r="U1179">
        <v>593</v>
      </c>
      <c r="V1179">
        <v>954</v>
      </c>
    </row>
    <row r="1180" spans="2:22" x14ac:dyDescent="0.35">
      <c r="B1180" s="46" t="s">
        <v>1479</v>
      </c>
      <c r="D1180" t="s">
        <v>1471</v>
      </c>
      <c r="E1180" t="s">
        <v>1472</v>
      </c>
      <c r="F1180" s="46" t="s">
        <v>1479</v>
      </c>
      <c r="G1180" t="s">
        <v>231</v>
      </c>
      <c r="H1180" s="23">
        <v>1</v>
      </c>
      <c r="I1180" s="23" t="s">
        <v>1473</v>
      </c>
      <c r="J1180" t="s">
        <v>1480</v>
      </c>
      <c r="K1180">
        <v>333</v>
      </c>
      <c r="L1180">
        <v>410</v>
      </c>
      <c r="M1180" s="24">
        <v>304</v>
      </c>
      <c r="N1180" s="24">
        <v>434</v>
      </c>
      <c r="O1180" s="24">
        <v>246</v>
      </c>
      <c r="P1180" s="24">
        <v>406</v>
      </c>
      <c r="Q1180">
        <v>245</v>
      </c>
      <c r="R1180">
        <v>428</v>
      </c>
      <c r="S1180">
        <v>288</v>
      </c>
      <c r="T1180">
        <v>502</v>
      </c>
      <c r="U1180">
        <v>288</v>
      </c>
      <c r="V1180">
        <v>502</v>
      </c>
    </row>
    <row r="1181" spans="2:22" x14ac:dyDescent="0.35">
      <c r="B1181" s="46" t="s">
        <v>1481</v>
      </c>
      <c r="D1181" t="s">
        <v>1471</v>
      </c>
      <c r="E1181" t="s">
        <v>1472</v>
      </c>
      <c r="F1181" s="46" t="s">
        <v>1481</v>
      </c>
      <c r="G1181" t="s">
        <v>231</v>
      </c>
      <c r="H1181" s="23">
        <v>1</v>
      </c>
      <c r="I1181" s="23" t="s">
        <v>1473</v>
      </c>
      <c r="J1181" t="s">
        <v>1482</v>
      </c>
      <c r="K1181">
        <v>2520</v>
      </c>
      <c r="L1181">
        <v>3541</v>
      </c>
      <c r="M1181" s="24">
        <v>2163</v>
      </c>
      <c r="N1181" s="24">
        <v>3426</v>
      </c>
      <c r="O1181" s="24">
        <v>2049</v>
      </c>
      <c r="P1181" s="24">
        <v>3470</v>
      </c>
      <c r="Q1181">
        <v>1905</v>
      </c>
      <c r="R1181">
        <v>3741</v>
      </c>
      <c r="S1181">
        <v>2310</v>
      </c>
      <c r="T1181">
        <v>4592</v>
      </c>
      <c r="U1181">
        <v>2310</v>
      </c>
      <c r="V1181">
        <v>4592</v>
      </c>
    </row>
    <row r="1182" spans="2:22" x14ac:dyDescent="0.35">
      <c r="B1182" s="46" t="s">
        <v>1483</v>
      </c>
      <c r="D1182" t="s">
        <v>1471</v>
      </c>
      <c r="E1182" t="s">
        <v>1472</v>
      </c>
      <c r="F1182" s="46" t="s">
        <v>1483</v>
      </c>
      <c r="G1182" t="s">
        <v>231</v>
      </c>
      <c r="H1182" s="23">
        <v>1</v>
      </c>
      <c r="I1182" s="23" t="s">
        <v>1473</v>
      </c>
      <c r="J1182" t="s">
        <v>1484</v>
      </c>
      <c r="K1182">
        <v>4403</v>
      </c>
      <c r="L1182">
        <v>6522</v>
      </c>
      <c r="M1182" s="24">
        <v>3589</v>
      </c>
      <c r="N1182" s="24">
        <v>6222</v>
      </c>
      <c r="O1182" s="24">
        <v>3406</v>
      </c>
      <c r="P1182" s="24">
        <v>6342</v>
      </c>
      <c r="Q1182">
        <v>3377</v>
      </c>
      <c r="R1182">
        <v>6853</v>
      </c>
      <c r="S1182">
        <v>3978</v>
      </c>
      <c r="T1182">
        <v>8331</v>
      </c>
      <c r="U1182">
        <v>3978</v>
      </c>
      <c r="V1182">
        <v>8331</v>
      </c>
    </row>
    <row r="1183" spans="2:22" x14ac:dyDescent="0.35">
      <c r="B1183" s="46" t="s">
        <v>1485</v>
      </c>
      <c r="D1183" t="s">
        <v>1471</v>
      </c>
      <c r="E1183" t="s">
        <v>1472</v>
      </c>
      <c r="F1183" s="46" t="s">
        <v>1485</v>
      </c>
      <c r="G1183" t="s">
        <v>231</v>
      </c>
      <c r="H1183" s="23">
        <v>1</v>
      </c>
      <c r="I1183" s="23" t="s">
        <v>1473</v>
      </c>
      <c r="J1183" t="s">
        <v>357</v>
      </c>
      <c r="K1183">
        <v>1356</v>
      </c>
      <c r="L1183">
        <v>1939</v>
      </c>
      <c r="M1183" s="24">
        <v>1167</v>
      </c>
      <c r="N1183" s="24">
        <v>1837</v>
      </c>
      <c r="O1183" s="24">
        <v>1068</v>
      </c>
      <c r="P1183" s="24">
        <v>1890</v>
      </c>
      <c r="Q1183">
        <v>987</v>
      </c>
      <c r="R1183">
        <v>2020</v>
      </c>
      <c r="S1183">
        <v>1202</v>
      </c>
      <c r="T1183">
        <v>2485</v>
      </c>
      <c r="U1183">
        <v>1202</v>
      </c>
      <c r="V1183">
        <v>2485</v>
      </c>
    </row>
    <row r="1184" spans="2:22" x14ac:dyDescent="0.35">
      <c r="B1184" s="46" t="s">
        <v>1486</v>
      </c>
      <c r="D1184" t="s">
        <v>1471</v>
      </c>
      <c r="E1184" t="s">
        <v>1472</v>
      </c>
      <c r="F1184" s="46" t="s">
        <v>1486</v>
      </c>
      <c r="G1184" t="s">
        <v>231</v>
      </c>
      <c r="H1184" s="23">
        <v>1</v>
      </c>
      <c r="I1184" s="23" t="s">
        <v>1473</v>
      </c>
      <c r="J1184" t="s">
        <v>361</v>
      </c>
      <c r="K1184">
        <v>1665</v>
      </c>
      <c r="L1184">
        <v>2322</v>
      </c>
      <c r="M1184" s="24">
        <v>1476</v>
      </c>
      <c r="N1184" s="24">
        <v>2359</v>
      </c>
      <c r="O1184" s="24">
        <v>1418</v>
      </c>
      <c r="P1184" s="24">
        <v>2455</v>
      </c>
      <c r="Q1184">
        <v>1316</v>
      </c>
      <c r="R1184">
        <v>2628</v>
      </c>
      <c r="S1184">
        <v>1643</v>
      </c>
      <c r="T1184">
        <v>3258</v>
      </c>
      <c r="U1184">
        <v>1643</v>
      </c>
      <c r="V1184">
        <v>3258</v>
      </c>
    </row>
    <row r="1185" spans="2:22" x14ac:dyDescent="0.35">
      <c r="B1185" s="46" t="s">
        <v>1487</v>
      </c>
      <c r="D1185" t="s">
        <v>1471</v>
      </c>
      <c r="E1185" t="s">
        <v>1472</v>
      </c>
      <c r="F1185" s="46" t="s">
        <v>1487</v>
      </c>
      <c r="G1185" t="s">
        <v>231</v>
      </c>
      <c r="H1185" s="23">
        <v>1</v>
      </c>
      <c r="I1185" s="23" t="s">
        <v>1473</v>
      </c>
      <c r="J1185" t="s">
        <v>287</v>
      </c>
      <c r="K1185">
        <v>1072</v>
      </c>
      <c r="L1185">
        <v>1560</v>
      </c>
      <c r="M1185" s="24">
        <v>908</v>
      </c>
      <c r="N1185" s="24">
        <v>1497</v>
      </c>
      <c r="O1185" s="24">
        <v>879</v>
      </c>
      <c r="P1185" s="24">
        <v>1488</v>
      </c>
      <c r="Q1185">
        <v>826</v>
      </c>
      <c r="R1185">
        <v>1628</v>
      </c>
      <c r="S1185">
        <v>1025</v>
      </c>
      <c r="T1185">
        <v>2077</v>
      </c>
      <c r="U1185">
        <v>1025</v>
      </c>
      <c r="V1185">
        <v>2077</v>
      </c>
    </row>
    <row r="1186" spans="2:22" x14ac:dyDescent="0.35">
      <c r="B1186" s="46" t="s">
        <v>1488</v>
      </c>
      <c r="D1186" t="s">
        <v>1471</v>
      </c>
      <c r="E1186" t="s">
        <v>1472</v>
      </c>
      <c r="F1186" s="46" t="s">
        <v>1488</v>
      </c>
      <c r="G1186" t="s">
        <v>231</v>
      </c>
      <c r="H1186" s="23">
        <v>1</v>
      </c>
      <c r="I1186" s="23" t="s">
        <v>1473</v>
      </c>
      <c r="J1186" t="s">
        <v>1489</v>
      </c>
      <c r="K1186">
        <v>1507</v>
      </c>
      <c r="L1186">
        <v>1956</v>
      </c>
      <c r="M1186" s="24">
        <v>1281</v>
      </c>
      <c r="N1186" s="24">
        <v>1903</v>
      </c>
      <c r="O1186" s="24">
        <v>1292</v>
      </c>
      <c r="P1186" s="24">
        <v>2087</v>
      </c>
      <c r="Q1186">
        <v>1238</v>
      </c>
      <c r="R1186">
        <v>2305</v>
      </c>
      <c r="S1186">
        <v>1658</v>
      </c>
      <c r="T1186">
        <v>3074</v>
      </c>
      <c r="U1186">
        <v>1658</v>
      </c>
      <c r="V1186">
        <v>3074</v>
      </c>
    </row>
    <row r="1187" spans="2:22" x14ac:dyDescent="0.35">
      <c r="B1187" s="46" t="s">
        <v>1490</v>
      </c>
      <c r="D1187" t="s">
        <v>1471</v>
      </c>
      <c r="E1187" t="s">
        <v>1472</v>
      </c>
      <c r="F1187" s="46" t="s">
        <v>1490</v>
      </c>
      <c r="G1187" t="s">
        <v>231</v>
      </c>
      <c r="H1187" s="23">
        <v>1</v>
      </c>
      <c r="I1187" s="23" t="s">
        <v>1473</v>
      </c>
      <c r="J1187" t="s">
        <v>791</v>
      </c>
      <c r="K1187">
        <v>727</v>
      </c>
      <c r="L1187">
        <v>941</v>
      </c>
      <c r="M1187" s="24">
        <v>646</v>
      </c>
      <c r="N1187" s="24">
        <v>912</v>
      </c>
      <c r="O1187" s="24">
        <v>617</v>
      </c>
      <c r="P1187" s="24">
        <v>921</v>
      </c>
      <c r="Q1187">
        <v>618</v>
      </c>
      <c r="R1187">
        <v>1002</v>
      </c>
      <c r="S1187">
        <v>808</v>
      </c>
      <c r="T1187">
        <v>1312</v>
      </c>
      <c r="U1187">
        <v>808</v>
      </c>
      <c r="V1187">
        <v>1312</v>
      </c>
    </row>
    <row r="1188" spans="2:22" x14ac:dyDescent="0.35">
      <c r="B1188" s="46" t="s">
        <v>1491</v>
      </c>
      <c r="D1188" t="s">
        <v>1471</v>
      </c>
      <c r="E1188" t="s">
        <v>1472</v>
      </c>
      <c r="F1188" s="46" t="s">
        <v>1491</v>
      </c>
      <c r="G1188" t="s">
        <v>231</v>
      </c>
      <c r="H1188" s="23">
        <v>1</v>
      </c>
      <c r="I1188" s="23" t="s">
        <v>1473</v>
      </c>
      <c r="J1188" t="s">
        <v>530</v>
      </c>
      <c r="K1188">
        <v>856</v>
      </c>
      <c r="L1188">
        <v>1250</v>
      </c>
      <c r="M1188" s="24">
        <v>742</v>
      </c>
      <c r="N1188" s="24">
        <v>1229</v>
      </c>
      <c r="O1188" s="24">
        <v>678</v>
      </c>
      <c r="P1188" s="24">
        <v>1212</v>
      </c>
      <c r="Q1188">
        <v>684</v>
      </c>
      <c r="R1188">
        <v>1318</v>
      </c>
      <c r="S1188">
        <v>856</v>
      </c>
      <c r="T1188">
        <v>1601</v>
      </c>
      <c r="U1188">
        <v>856</v>
      </c>
      <c r="V1188">
        <v>1601</v>
      </c>
    </row>
    <row r="1189" spans="2:22" x14ac:dyDescent="0.35">
      <c r="B1189" s="46" t="s">
        <v>1492</v>
      </c>
      <c r="D1189" t="s">
        <v>1471</v>
      </c>
      <c r="E1189" t="s">
        <v>1472</v>
      </c>
      <c r="F1189" s="46" t="s">
        <v>1492</v>
      </c>
      <c r="G1189" t="s">
        <v>231</v>
      </c>
      <c r="H1189" s="23">
        <v>1</v>
      </c>
      <c r="I1189" s="23" t="s">
        <v>1473</v>
      </c>
      <c r="J1189" t="s">
        <v>1493</v>
      </c>
      <c r="K1189">
        <v>2249</v>
      </c>
      <c r="L1189">
        <v>3143</v>
      </c>
      <c r="M1189" s="24">
        <v>1911</v>
      </c>
      <c r="N1189" s="24">
        <v>3065</v>
      </c>
      <c r="O1189" s="24">
        <v>1915</v>
      </c>
      <c r="P1189" s="24">
        <v>3121</v>
      </c>
      <c r="Q1189">
        <v>1823</v>
      </c>
      <c r="R1189">
        <v>3342</v>
      </c>
      <c r="S1189">
        <v>2434</v>
      </c>
      <c r="T1189">
        <v>4339</v>
      </c>
      <c r="U1189">
        <v>2434</v>
      </c>
      <c r="V1189">
        <v>4339</v>
      </c>
    </row>
    <row r="1190" spans="2:22" x14ac:dyDescent="0.35">
      <c r="B1190" s="46" t="s">
        <v>1494</v>
      </c>
      <c r="D1190" t="s">
        <v>1471</v>
      </c>
      <c r="E1190" t="s">
        <v>1472</v>
      </c>
      <c r="F1190" s="46" t="s">
        <v>1494</v>
      </c>
      <c r="G1190" t="s">
        <v>231</v>
      </c>
      <c r="H1190" s="23">
        <v>1</v>
      </c>
      <c r="I1190" s="23" t="s">
        <v>1473</v>
      </c>
      <c r="J1190" t="s">
        <v>1495</v>
      </c>
      <c r="K1190">
        <v>604</v>
      </c>
      <c r="L1190">
        <v>839</v>
      </c>
      <c r="M1190" s="24">
        <v>505</v>
      </c>
      <c r="N1190" s="24">
        <v>859</v>
      </c>
      <c r="O1190" s="24">
        <v>449</v>
      </c>
      <c r="P1190" s="24">
        <v>896</v>
      </c>
      <c r="Q1190">
        <v>422</v>
      </c>
      <c r="R1190">
        <v>1007</v>
      </c>
      <c r="S1190">
        <v>526</v>
      </c>
      <c r="T1190">
        <v>1247</v>
      </c>
      <c r="U1190">
        <v>526</v>
      </c>
      <c r="V1190">
        <v>1247</v>
      </c>
    </row>
    <row r="1191" spans="2:22" x14ac:dyDescent="0.35">
      <c r="B1191" s="46" t="s">
        <v>1496</v>
      </c>
      <c r="D1191" t="s">
        <v>1471</v>
      </c>
      <c r="E1191" t="s">
        <v>1472</v>
      </c>
      <c r="F1191" s="46" t="s">
        <v>1496</v>
      </c>
      <c r="G1191" t="s">
        <v>231</v>
      </c>
      <c r="H1191" s="23">
        <v>1</v>
      </c>
      <c r="I1191" s="23" t="s">
        <v>1473</v>
      </c>
      <c r="J1191" t="s">
        <v>1497</v>
      </c>
      <c r="K1191">
        <v>1771</v>
      </c>
      <c r="L1191">
        <v>2527</v>
      </c>
      <c r="M1191" s="24">
        <v>1494</v>
      </c>
      <c r="N1191" s="24">
        <v>2420</v>
      </c>
      <c r="O1191" s="24">
        <v>1346</v>
      </c>
      <c r="P1191" s="24">
        <v>2409</v>
      </c>
      <c r="Q1191">
        <v>1254</v>
      </c>
      <c r="R1191">
        <v>2619</v>
      </c>
      <c r="S1191">
        <v>1469</v>
      </c>
      <c r="T1191">
        <v>3069</v>
      </c>
      <c r="U1191">
        <v>1469</v>
      </c>
      <c r="V1191">
        <v>3069</v>
      </c>
    </row>
    <row r="1192" spans="2:22" x14ac:dyDescent="0.35">
      <c r="B1192" s="46" t="s">
        <v>1498</v>
      </c>
      <c r="D1192" t="s">
        <v>1471</v>
      </c>
      <c r="E1192" t="s">
        <v>1472</v>
      </c>
      <c r="F1192" s="46" t="s">
        <v>1498</v>
      </c>
      <c r="G1192" t="s">
        <v>231</v>
      </c>
      <c r="H1192" s="23">
        <v>1</v>
      </c>
      <c r="I1192" s="23" t="s">
        <v>1473</v>
      </c>
      <c r="J1192" t="s">
        <v>1499</v>
      </c>
      <c r="K1192">
        <v>773</v>
      </c>
      <c r="L1192">
        <v>1095</v>
      </c>
      <c r="M1192" s="24">
        <v>649</v>
      </c>
      <c r="N1192" s="24">
        <v>1073</v>
      </c>
      <c r="O1192" s="24">
        <v>600</v>
      </c>
      <c r="P1192" s="24">
        <v>1101</v>
      </c>
      <c r="Q1192">
        <v>589</v>
      </c>
      <c r="R1192">
        <v>1201</v>
      </c>
      <c r="S1192">
        <v>807</v>
      </c>
      <c r="T1192">
        <v>1554</v>
      </c>
      <c r="U1192">
        <v>807</v>
      </c>
      <c r="V1192">
        <v>1554</v>
      </c>
    </row>
    <row r="1193" spans="2:22" x14ac:dyDescent="0.35">
      <c r="B1193" s="46" t="s">
        <v>1500</v>
      </c>
      <c r="D1193" t="s">
        <v>1471</v>
      </c>
      <c r="E1193" t="s">
        <v>1472</v>
      </c>
      <c r="F1193" s="46" t="s">
        <v>1500</v>
      </c>
      <c r="G1193" t="s">
        <v>235</v>
      </c>
      <c r="H1193" s="23">
        <v>2</v>
      </c>
      <c r="I1193" s="23" t="s">
        <v>1501</v>
      </c>
      <c r="J1193" t="s">
        <v>1502</v>
      </c>
      <c r="K1193">
        <v>1401</v>
      </c>
      <c r="L1193">
        <v>1838</v>
      </c>
      <c r="M1193" s="24">
        <v>1149</v>
      </c>
      <c r="N1193" s="24">
        <v>1816</v>
      </c>
      <c r="O1193" s="24">
        <v>1139</v>
      </c>
      <c r="P1193" s="24">
        <v>1910</v>
      </c>
      <c r="Q1193">
        <v>1133</v>
      </c>
      <c r="R1193">
        <v>2140</v>
      </c>
      <c r="S1193">
        <v>1417</v>
      </c>
      <c r="T1193">
        <v>2541</v>
      </c>
      <c r="U1193">
        <v>1417</v>
      </c>
      <c r="V1193">
        <v>2541</v>
      </c>
    </row>
    <row r="1194" spans="2:22" x14ac:dyDescent="0.35">
      <c r="B1194" s="46" t="s">
        <v>1503</v>
      </c>
      <c r="D1194" t="s">
        <v>1471</v>
      </c>
      <c r="E1194" t="s">
        <v>1472</v>
      </c>
      <c r="F1194" s="46" t="s">
        <v>1503</v>
      </c>
      <c r="G1194" t="s">
        <v>235</v>
      </c>
      <c r="H1194" s="23">
        <v>2</v>
      </c>
      <c r="I1194" s="23" t="s">
        <v>1501</v>
      </c>
      <c r="J1194" t="s">
        <v>856</v>
      </c>
      <c r="K1194">
        <v>2695</v>
      </c>
      <c r="L1194">
        <v>3631</v>
      </c>
      <c r="M1194" s="24">
        <v>2426</v>
      </c>
      <c r="N1194" s="24">
        <v>3679</v>
      </c>
      <c r="O1194" s="24">
        <v>2472</v>
      </c>
      <c r="P1194" s="24">
        <v>3856</v>
      </c>
      <c r="Q1194">
        <v>2549</v>
      </c>
      <c r="R1194">
        <v>4265</v>
      </c>
      <c r="S1194">
        <v>2958</v>
      </c>
      <c r="T1194">
        <v>5231</v>
      </c>
      <c r="U1194">
        <v>2958</v>
      </c>
      <c r="V1194">
        <v>5231</v>
      </c>
    </row>
    <row r="1195" spans="2:22" x14ac:dyDescent="0.35">
      <c r="B1195" s="46" t="s">
        <v>1504</v>
      </c>
      <c r="D1195" t="s">
        <v>1471</v>
      </c>
      <c r="E1195" t="s">
        <v>1472</v>
      </c>
      <c r="F1195" s="46" t="s">
        <v>1504</v>
      </c>
      <c r="G1195" t="s">
        <v>235</v>
      </c>
      <c r="H1195" s="23">
        <v>2</v>
      </c>
      <c r="I1195" s="23" t="s">
        <v>1501</v>
      </c>
      <c r="J1195" t="s">
        <v>1505</v>
      </c>
      <c r="K1195">
        <v>3081</v>
      </c>
      <c r="L1195">
        <v>3904</v>
      </c>
      <c r="M1195" s="24">
        <v>2677</v>
      </c>
      <c r="N1195" s="24">
        <v>3982</v>
      </c>
      <c r="O1195" s="24">
        <v>2938</v>
      </c>
      <c r="P1195" s="24">
        <v>4489</v>
      </c>
      <c r="Q1195">
        <v>3096</v>
      </c>
      <c r="R1195">
        <v>4971</v>
      </c>
      <c r="S1195">
        <v>3306</v>
      </c>
      <c r="T1195">
        <v>5829</v>
      </c>
      <c r="U1195">
        <v>3306</v>
      </c>
      <c r="V1195">
        <v>5829</v>
      </c>
    </row>
    <row r="1196" spans="2:22" x14ac:dyDescent="0.35">
      <c r="B1196" s="46" t="s">
        <v>1506</v>
      </c>
      <c r="D1196" t="s">
        <v>1471</v>
      </c>
      <c r="E1196" t="s">
        <v>1472</v>
      </c>
      <c r="F1196" s="46" t="s">
        <v>1506</v>
      </c>
      <c r="G1196" t="s">
        <v>235</v>
      </c>
      <c r="H1196" s="23">
        <v>2</v>
      </c>
      <c r="I1196" s="23" t="s">
        <v>1501</v>
      </c>
      <c r="J1196" t="s">
        <v>1507</v>
      </c>
      <c r="K1196">
        <v>6396</v>
      </c>
      <c r="L1196">
        <v>8355</v>
      </c>
      <c r="M1196" s="24">
        <v>5360</v>
      </c>
      <c r="N1196" s="24">
        <v>8270</v>
      </c>
      <c r="O1196" s="24">
        <v>5460</v>
      </c>
      <c r="P1196" s="24">
        <v>8860</v>
      </c>
      <c r="Q1196">
        <v>5739</v>
      </c>
      <c r="R1196">
        <v>9884</v>
      </c>
      <c r="S1196">
        <v>6537</v>
      </c>
      <c r="T1196">
        <v>12269</v>
      </c>
      <c r="U1196">
        <v>6537</v>
      </c>
      <c r="V1196">
        <v>12269</v>
      </c>
    </row>
    <row r="1197" spans="2:22" x14ac:dyDescent="0.35">
      <c r="B1197" s="46" t="s">
        <v>1508</v>
      </c>
      <c r="D1197" t="s">
        <v>1471</v>
      </c>
      <c r="E1197" t="s">
        <v>1472</v>
      </c>
      <c r="F1197" s="46" t="s">
        <v>1508</v>
      </c>
      <c r="G1197" t="s">
        <v>235</v>
      </c>
      <c r="H1197" s="23">
        <v>2</v>
      </c>
      <c r="I1197" s="23" t="s">
        <v>1501</v>
      </c>
      <c r="J1197" t="s">
        <v>1509</v>
      </c>
      <c r="K1197">
        <v>7207</v>
      </c>
      <c r="L1197">
        <v>10330</v>
      </c>
      <c r="M1197" s="24">
        <v>6001</v>
      </c>
      <c r="N1197" s="24">
        <v>10151</v>
      </c>
      <c r="O1197" s="24">
        <v>6317</v>
      </c>
      <c r="P1197" s="24">
        <v>11100</v>
      </c>
      <c r="Q1197">
        <v>5885</v>
      </c>
      <c r="R1197">
        <v>12072</v>
      </c>
      <c r="S1197">
        <v>7296</v>
      </c>
      <c r="T1197">
        <v>14471</v>
      </c>
      <c r="U1197">
        <v>7296</v>
      </c>
      <c r="V1197">
        <v>14471</v>
      </c>
    </row>
    <row r="1198" spans="2:22" x14ac:dyDescent="0.35">
      <c r="B1198" s="46" t="s">
        <v>1510</v>
      </c>
      <c r="D1198" t="s">
        <v>1471</v>
      </c>
      <c r="E1198" t="s">
        <v>1472</v>
      </c>
      <c r="F1198" s="46" t="s">
        <v>1510</v>
      </c>
      <c r="G1198" t="s">
        <v>239</v>
      </c>
      <c r="H1198" s="23">
        <v>3</v>
      </c>
      <c r="I1198" s="23" t="s">
        <v>1511</v>
      </c>
      <c r="J1198" t="s">
        <v>1512</v>
      </c>
      <c r="K1198">
        <v>569</v>
      </c>
      <c r="L1198">
        <v>744</v>
      </c>
      <c r="M1198" s="24">
        <v>459</v>
      </c>
      <c r="N1198" s="24">
        <v>694</v>
      </c>
      <c r="O1198" s="24">
        <v>442</v>
      </c>
      <c r="P1198" s="24">
        <v>692</v>
      </c>
      <c r="Q1198">
        <v>345</v>
      </c>
      <c r="R1198">
        <v>693</v>
      </c>
      <c r="S1198">
        <v>382</v>
      </c>
      <c r="T1198">
        <v>788</v>
      </c>
      <c r="U1198">
        <v>382</v>
      </c>
      <c r="V1198">
        <v>788</v>
      </c>
    </row>
    <row r="1199" spans="2:22" x14ac:dyDescent="0.35">
      <c r="B1199" s="46" t="s">
        <v>1513</v>
      </c>
      <c r="D1199" t="s">
        <v>1471</v>
      </c>
      <c r="E1199" t="s">
        <v>1472</v>
      </c>
      <c r="F1199" s="46" t="s">
        <v>1513</v>
      </c>
      <c r="G1199" t="s">
        <v>239</v>
      </c>
      <c r="H1199" s="23">
        <v>3</v>
      </c>
      <c r="I1199" s="23" t="s">
        <v>1511</v>
      </c>
      <c r="J1199" t="s">
        <v>1514</v>
      </c>
      <c r="K1199">
        <v>1409</v>
      </c>
      <c r="L1199">
        <v>1898</v>
      </c>
      <c r="M1199" s="24">
        <v>1250</v>
      </c>
      <c r="N1199" s="24">
        <v>1838</v>
      </c>
      <c r="O1199" s="24">
        <v>1110</v>
      </c>
      <c r="P1199" s="24">
        <v>1775</v>
      </c>
      <c r="Q1199">
        <v>1053</v>
      </c>
      <c r="R1199">
        <v>1836</v>
      </c>
      <c r="S1199">
        <v>1065</v>
      </c>
      <c r="T1199">
        <v>2107</v>
      </c>
      <c r="U1199">
        <v>1065</v>
      </c>
      <c r="V1199">
        <v>2107</v>
      </c>
    </row>
    <row r="1200" spans="2:22" x14ac:dyDescent="0.35">
      <c r="B1200" s="46" t="s">
        <v>1515</v>
      </c>
      <c r="D1200" t="s">
        <v>1471</v>
      </c>
      <c r="E1200" t="s">
        <v>1472</v>
      </c>
      <c r="F1200" s="46" t="s">
        <v>1515</v>
      </c>
      <c r="G1200" t="s">
        <v>239</v>
      </c>
      <c r="H1200" s="23">
        <v>3</v>
      </c>
      <c r="I1200" s="23" t="s">
        <v>1511</v>
      </c>
      <c r="J1200" t="s">
        <v>1516</v>
      </c>
      <c r="K1200">
        <v>2447</v>
      </c>
      <c r="L1200">
        <v>3618</v>
      </c>
      <c r="M1200" s="24">
        <v>2049</v>
      </c>
      <c r="N1200" s="24">
        <v>3525</v>
      </c>
      <c r="O1200" s="24">
        <v>1832</v>
      </c>
      <c r="P1200" s="24">
        <v>3425</v>
      </c>
      <c r="Q1200">
        <v>1801</v>
      </c>
      <c r="R1200">
        <v>3614</v>
      </c>
      <c r="S1200">
        <v>2106</v>
      </c>
      <c r="T1200">
        <v>4185</v>
      </c>
      <c r="U1200">
        <v>2106</v>
      </c>
      <c r="V1200">
        <v>4185</v>
      </c>
    </row>
    <row r="1201" spans="2:22" x14ac:dyDescent="0.35">
      <c r="B1201" s="46" t="s">
        <v>1517</v>
      </c>
      <c r="D1201" t="s">
        <v>1471</v>
      </c>
      <c r="E1201" t="s">
        <v>1472</v>
      </c>
      <c r="F1201" s="46" t="s">
        <v>1517</v>
      </c>
      <c r="G1201" t="s">
        <v>239</v>
      </c>
      <c r="H1201" s="23">
        <v>3</v>
      </c>
      <c r="I1201" s="23" t="s">
        <v>1511</v>
      </c>
      <c r="J1201" t="s">
        <v>875</v>
      </c>
      <c r="K1201">
        <v>2812</v>
      </c>
      <c r="L1201">
        <v>3441</v>
      </c>
      <c r="M1201" s="24">
        <v>2407</v>
      </c>
      <c r="N1201" s="24">
        <v>3253</v>
      </c>
      <c r="O1201" s="24">
        <v>1924</v>
      </c>
      <c r="P1201" s="24">
        <v>3113</v>
      </c>
      <c r="Q1201">
        <v>1691</v>
      </c>
      <c r="R1201">
        <v>3050</v>
      </c>
      <c r="S1201">
        <v>2146</v>
      </c>
      <c r="T1201">
        <v>3793</v>
      </c>
      <c r="U1201">
        <v>2146</v>
      </c>
      <c r="V1201">
        <v>3793</v>
      </c>
    </row>
    <row r="1202" spans="2:22" x14ac:dyDescent="0.35">
      <c r="B1202" s="46" t="s">
        <v>1518</v>
      </c>
      <c r="D1202" t="s">
        <v>1471</v>
      </c>
      <c r="E1202" t="s">
        <v>1472</v>
      </c>
      <c r="F1202" s="46" t="s">
        <v>1518</v>
      </c>
      <c r="G1202" t="s">
        <v>255</v>
      </c>
      <c r="H1202" s="23">
        <v>4</v>
      </c>
      <c r="I1202" s="23" t="s">
        <v>1519</v>
      </c>
      <c r="J1202" t="s">
        <v>1520</v>
      </c>
      <c r="K1202">
        <v>670</v>
      </c>
      <c r="L1202">
        <v>919</v>
      </c>
      <c r="M1202" s="24">
        <v>617</v>
      </c>
      <c r="N1202" s="24">
        <v>866</v>
      </c>
      <c r="O1202" s="24">
        <v>583</v>
      </c>
      <c r="P1202" s="24">
        <v>840</v>
      </c>
      <c r="Q1202">
        <v>564</v>
      </c>
      <c r="R1202">
        <v>896</v>
      </c>
      <c r="S1202">
        <v>676</v>
      </c>
      <c r="T1202">
        <v>1118</v>
      </c>
      <c r="U1202">
        <v>676</v>
      </c>
      <c r="V1202">
        <v>1118</v>
      </c>
    </row>
    <row r="1203" spans="2:22" x14ac:dyDescent="0.35">
      <c r="B1203" s="46" t="s">
        <v>1521</v>
      </c>
      <c r="D1203" t="s">
        <v>1471</v>
      </c>
      <c r="E1203" t="s">
        <v>1472</v>
      </c>
      <c r="F1203" s="46" t="s">
        <v>1521</v>
      </c>
      <c r="G1203" t="s">
        <v>255</v>
      </c>
      <c r="H1203" s="23">
        <v>4</v>
      </c>
      <c r="I1203" s="23" t="s">
        <v>1519</v>
      </c>
      <c r="J1203" t="s">
        <v>1522</v>
      </c>
      <c r="K1203">
        <v>7066</v>
      </c>
      <c r="L1203">
        <v>10478</v>
      </c>
      <c r="M1203" s="24">
        <v>5748</v>
      </c>
      <c r="N1203" s="24">
        <v>9894</v>
      </c>
      <c r="O1203" s="24">
        <v>4862</v>
      </c>
      <c r="P1203" s="24">
        <v>9986</v>
      </c>
      <c r="Q1203">
        <v>4592</v>
      </c>
      <c r="R1203">
        <v>10375</v>
      </c>
      <c r="S1203">
        <v>7875</v>
      </c>
      <c r="T1203">
        <v>14953</v>
      </c>
      <c r="U1203">
        <v>7875</v>
      </c>
      <c r="V1203">
        <v>14953</v>
      </c>
    </row>
    <row r="1204" spans="2:22" x14ac:dyDescent="0.35">
      <c r="B1204" s="46" t="s">
        <v>1523</v>
      </c>
      <c r="D1204" t="s">
        <v>1471</v>
      </c>
      <c r="E1204" t="s">
        <v>1472</v>
      </c>
      <c r="F1204" s="46" t="s">
        <v>1523</v>
      </c>
      <c r="G1204" t="s">
        <v>255</v>
      </c>
      <c r="H1204" s="23">
        <v>4</v>
      </c>
      <c r="I1204" s="23" t="s">
        <v>1519</v>
      </c>
      <c r="J1204" t="s">
        <v>1524</v>
      </c>
      <c r="K1204">
        <v>42326</v>
      </c>
      <c r="L1204">
        <v>62633</v>
      </c>
      <c r="M1204" s="24">
        <v>37509</v>
      </c>
      <c r="N1204" s="24">
        <v>60229</v>
      </c>
      <c r="O1204" s="24">
        <v>32830</v>
      </c>
      <c r="P1204" s="24">
        <v>60438</v>
      </c>
      <c r="Q1204">
        <v>31020</v>
      </c>
      <c r="R1204">
        <v>63724</v>
      </c>
      <c r="S1204">
        <v>45797</v>
      </c>
      <c r="T1204">
        <v>84786</v>
      </c>
      <c r="U1204">
        <v>45797</v>
      </c>
      <c r="V1204">
        <v>84786</v>
      </c>
    </row>
    <row r="1205" spans="2:22" x14ac:dyDescent="0.35">
      <c r="B1205" s="46" t="s">
        <v>1525</v>
      </c>
      <c r="D1205" t="s">
        <v>1471</v>
      </c>
      <c r="E1205" t="s">
        <v>1472</v>
      </c>
      <c r="F1205" s="46" t="s">
        <v>1525</v>
      </c>
      <c r="G1205" t="s">
        <v>255</v>
      </c>
      <c r="H1205" s="23">
        <v>4</v>
      </c>
      <c r="I1205" s="23" t="s">
        <v>1519</v>
      </c>
      <c r="J1205" t="s">
        <v>1526</v>
      </c>
      <c r="K1205">
        <v>4788</v>
      </c>
      <c r="L1205">
        <v>6464</v>
      </c>
      <c r="M1205" s="24">
        <v>4241</v>
      </c>
      <c r="N1205" s="24">
        <v>6221</v>
      </c>
      <c r="O1205" s="24">
        <v>3636</v>
      </c>
      <c r="P1205" s="24">
        <v>6105</v>
      </c>
      <c r="Q1205">
        <v>3080</v>
      </c>
      <c r="R1205">
        <v>5913</v>
      </c>
      <c r="S1205">
        <v>4399</v>
      </c>
      <c r="T1205">
        <v>7775</v>
      </c>
      <c r="U1205">
        <v>4399</v>
      </c>
      <c r="V1205">
        <v>7775</v>
      </c>
    </row>
    <row r="1206" spans="2:22" x14ac:dyDescent="0.35">
      <c r="B1206" s="46" t="s">
        <v>1527</v>
      </c>
      <c r="D1206" t="s">
        <v>1471</v>
      </c>
      <c r="E1206" t="s">
        <v>1472</v>
      </c>
      <c r="F1206" s="46" t="s">
        <v>1527</v>
      </c>
      <c r="G1206" t="s">
        <v>255</v>
      </c>
      <c r="H1206" s="23">
        <v>4</v>
      </c>
      <c r="I1206" s="23" t="s">
        <v>1519</v>
      </c>
      <c r="J1206" t="s">
        <v>1528</v>
      </c>
      <c r="K1206">
        <v>2024</v>
      </c>
      <c r="L1206">
        <v>2865</v>
      </c>
      <c r="M1206" s="24">
        <v>1625</v>
      </c>
      <c r="N1206" s="24">
        <v>2771</v>
      </c>
      <c r="O1206" s="24">
        <v>1376</v>
      </c>
      <c r="P1206" s="24">
        <v>2591</v>
      </c>
      <c r="Q1206">
        <v>1276</v>
      </c>
      <c r="R1206">
        <v>2664</v>
      </c>
      <c r="S1206">
        <v>1728</v>
      </c>
      <c r="T1206">
        <v>3254</v>
      </c>
      <c r="U1206">
        <v>1728</v>
      </c>
      <c r="V1206">
        <v>3254</v>
      </c>
    </row>
    <row r="1207" spans="2:22" x14ac:dyDescent="0.35">
      <c r="B1207" s="46" t="s">
        <v>1529</v>
      </c>
      <c r="D1207" t="s">
        <v>1471</v>
      </c>
      <c r="E1207" t="s">
        <v>1472</v>
      </c>
      <c r="F1207" s="46" t="s">
        <v>1529</v>
      </c>
      <c r="G1207" t="s">
        <v>255</v>
      </c>
      <c r="H1207" s="23">
        <v>4</v>
      </c>
      <c r="I1207" s="23" t="s">
        <v>1519</v>
      </c>
      <c r="J1207" t="s">
        <v>518</v>
      </c>
      <c r="K1207">
        <v>9222</v>
      </c>
      <c r="L1207">
        <v>13665</v>
      </c>
      <c r="M1207" s="24">
        <v>7944</v>
      </c>
      <c r="N1207" s="24">
        <v>13352</v>
      </c>
      <c r="O1207" s="24">
        <v>6834</v>
      </c>
      <c r="P1207" s="24">
        <v>13479</v>
      </c>
      <c r="Q1207">
        <v>6441</v>
      </c>
      <c r="R1207">
        <v>13966</v>
      </c>
      <c r="S1207">
        <v>9087</v>
      </c>
      <c r="T1207">
        <v>17838</v>
      </c>
      <c r="U1207">
        <v>9087</v>
      </c>
      <c r="V1207">
        <v>17838</v>
      </c>
    </row>
    <row r="1208" spans="2:22" x14ac:dyDescent="0.35">
      <c r="B1208" s="46" t="s">
        <v>1530</v>
      </c>
      <c r="D1208" t="s">
        <v>1471</v>
      </c>
      <c r="E1208" t="s">
        <v>1472</v>
      </c>
      <c r="F1208" s="46" t="s">
        <v>1530</v>
      </c>
      <c r="G1208" t="s">
        <v>259</v>
      </c>
      <c r="H1208" s="23">
        <v>5</v>
      </c>
      <c r="I1208" s="23" t="s">
        <v>1531</v>
      </c>
      <c r="J1208" t="s">
        <v>481</v>
      </c>
      <c r="K1208">
        <v>2629</v>
      </c>
      <c r="L1208">
        <v>3723</v>
      </c>
      <c r="M1208" s="24">
        <v>2219</v>
      </c>
      <c r="N1208" s="24">
        <v>3530</v>
      </c>
      <c r="O1208" s="24">
        <v>2039</v>
      </c>
      <c r="P1208" s="24">
        <v>3464</v>
      </c>
      <c r="Q1208">
        <v>1990</v>
      </c>
      <c r="R1208">
        <v>3554</v>
      </c>
      <c r="S1208">
        <v>1935</v>
      </c>
      <c r="T1208">
        <v>4191</v>
      </c>
      <c r="U1208">
        <v>1935</v>
      </c>
      <c r="V1208">
        <v>4191</v>
      </c>
    </row>
    <row r="1209" spans="2:22" x14ac:dyDescent="0.35">
      <c r="B1209" s="46" t="s">
        <v>1532</v>
      </c>
      <c r="D1209" t="s">
        <v>1471</v>
      </c>
      <c r="E1209" t="s">
        <v>1472</v>
      </c>
      <c r="F1209" s="46" t="s">
        <v>1532</v>
      </c>
      <c r="G1209" t="s">
        <v>259</v>
      </c>
      <c r="H1209" s="23">
        <v>5</v>
      </c>
      <c r="I1209" s="23" t="s">
        <v>1531</v>
      </c>
      <c r="J1209" t="s">
        <v>1533</v>
      </c>
      <c r="K1209">
        <v>5875</v>
      </c>
      <c r="L1209">
        <v>8527</v>
      </c>
      <c r="M1209" s="24">
        <v>5080</v>
      </c>
      <c r="N1209" s="24">
        <v>8177</v>
      </c>
      <c r="O1209" s="24">
        <v>4233</v>
      </c>
      <c r="P1209" s="24">
        <v>7975</v>
      </c>
      <c r="Q1209">
        <v>3906</v>
      </c>
      <c r="R1209">
        <v>8057</v>
      </c>
      <c r="S1209">
        <v>6653</v>
      </c>
      <c r="T1209">
        <v>12155</v>
      </c>
      <c r="U1209">
        <v>6653</v>
      </c>
      <c r="V1209">
        <v>12155</v>
      </c>
    </row>
    <row r="1210" spans="2:22" x14ac:dyDescent="0.35">
      <c r="B1210" s="46" t="s">
        <v>1534</v>
      </c>
      <c r="D1210" t="s">
        <v>1471</v>
      </c>
      <c r="E1210" t="s">
        <v>1472</v>
      </c>
      <c r="F1210" s="46" t="s">
        <v>1534</v>
      </c>
      <c r="G1210" t="s">
        <v>259</v>
      </c>
      <c r="H1210" s="23">
        <v>5</v>
      </c>
      <c r="I1210" s="23" t="s">
        <v>1531</v>
      </c>
      <c r="J1210" t="s">
        <v>494</v>
      </c>
      <c r="K1210">
        <v>2717</v>
      </c>
      <c r="L1210">
        <v>3874</v>
      </c>
      <c r="M1210" s="24">
        <v>2254</v>
      </c>
      <c r="N1210" s="24">
        <v>3754</v>
      </c>
      <c r="O1210" s="24">
        <v>2027</v>
      </c>
      <c r="P1210" s="24">
        <v>3730</v>
      </c>
      <c r="Q1210">
        <v>1880</v>
      </c>
      <c r="R1210">
        <v>3843</v>
      </c>
      <c r="S1210">
        <v>2740</v>
      </c>
      <c r="T1210">
        <v>5118</v>
      </c>
      <c r="U1210">
        <v>2740</v>
      </c>
      <c r="V1210">
        <v>5118</v>
      </c>
    </row>
    <row r="1211" spans="2:22" x14ac:dyDescent="0.35">
      <c r="B1211" s="46" t="s">
        <v>1535</v>
      </c>
      <c r="D1211" t="s">
        <v>1471</v>
      </c>
      <c r="E1211" t="s">
        <v>1472</v>
      </c>
      <c r="F1211" s="46" t="s">
        <v>1535</v>
      </c>
      <c r="G1211" t="s">
        <v>265</v>
      </c>
      <c r="H1211" s="23">
        <v>6</v>
      </c>
      <c r="I1211" s="23" t="s">
        <v>1536</v>
      </c>
      <c r="J1211" t="s">
        <v>1537</v>
      </c>
      <c r="K1211">
        <v>6163</v>
      </c>
      <c r="L1211">
        <v>8239</v>
      </c>
      <c r="M1211" s="24">
        <v>5621</v>
      </c>
      <c r="N1211" s="24">
        <v>8076</v>
      </c>
      <c r="O1211" s="24">
        <v>4952</v>
      </c>
      <c r="P1211" s="24">
        <v>8098</v>
      </c>
      <c r="Q1211">
        <v>4504</v>
      </c>
      <c r="R1211">
        <v>8379</v>
      </c>
      <c r="S1211">
        <v>5562</v>
      </c>
      <c r="T1211">
        <v>10337</v>
      </c>
      <c r="U1211">
        <v>5562</v>
      </c>
      <c r="V1211">
        <v>10337</v>
      </c>
    </row>
    <row r="1212" spans="2:22" x14ac:dyDescent="0.35">
      <c r="B1212" s="46" t="s">
        <v>1538</v>
      </c>
      <c r="D1212" t="s">
        <v>1471</v>
      </c>
      <c r="E1212" t="s">
        <v>1472</v>
      </c>
      <c r="F1212" s="46" t="s">
        <v>1538</v>
      </c>
      <c r="G1212" t="s">
        <v>265</v>
      </c>
      <c r="H1212" s="23">
        <v>6</v>
      </c>
      <c r="I1212" s="23" t="s">
        <v>1536</v>
      </c>
      <c r="J1212" t="s">
        <v>1539</v>
      </c>
      <c r="K1212">
        <v>1559</v>
      </c>
      <c r="L1212">
        <v>2149</v>
      </c>
      <c r="M1212" s="24">
        <v>1370</v>
      </c>
      <c r="N1212" s="24">
        <v>2036</v>
      </c>
      <c r="O1212" s="24">
        <v>1141</v>
      </c>
      <c r="P1212" s="24">
        <v>2056</v>
      </c>
      <c r="Q1212">
        <v>1024</v>
      </c>
      <c r="R1212">
        <v>2073</v>
      </c>
      <c r="S1212">
        <v>1245</v>
      </c>
      <c r="T1212">
        <v>2501</v>
      </c>
      <c r="U1212">
        <v>1245</v>
      </c>
      <c r="V1212">
        <v>2501</v>
      </c>
    </row>
    <row r="1213" spans="2:22" x14ac:dyDescent="0.35">
      <c r="B1213" s="46" t="s">
        <v>1540</v>
      </c>
      <c r="D1213" t="s">
        <v>1471</v>
      </c>
      <c r="E1213" t="s">
        <v>1472</v>
      </c>
      <c r="F1213" s="46" t="s">
        <v>1540</v>
      </c>
      <c r="G1213" t="s">
        <v>265</v>
      </c>
      <c r="H1213" s="23">
        <v>6</v>
      </c>
      <c r="I1213" s="23" t="s">
        <v>1536</v>
      </c>
      <c r="J1213" t="s">
        <v>831</v>
      </c>
      <c r="K1213">
        <v>13465</v>
      </c>
      <c r="L1213">
        <v>18419</v>
      </c>
      <c r="M1213" s="24">
        <v>11973</v>
      </c>
      <c r="N1213" s="24">
        <v>17704</v>
      </c>
      <c r="O1213" s="24">
        <v>10414</v>
      </c>
      <c r="P1213" s="24">
        <v>17730</v>
      </c>
      <c r="Q1213">
        <v>9550</v>
      </c>
      <c r="R1213">
        <v>18774</v>
      </c>
      <c r="S1213">
        <v>11980</v>
      </c>
      <c r="T1213">
        <v>23622</v>
      </c>
      <c r="U1213">
        <v>11980</v>
      </c>
      <c r="V1213">
        <v>23622</v>
      </c>
    </row>
    <row r="1214" spans="2:22" x14ac:dyDescent="0.35">
      <c r="B1214" s="46" t="s">
        <v>1541</v>
      </c>
      <c r="D1214" t="s">
        <v>1471</v>
      </c>
      <c r="E1214" t="s">
        <v>1472</v>
      </c>
      <c r="F1214" s="46" t="s">
        <v>1541</v>
      </c>
      <c r="G1214" t="s">
        <v>265</v>
      </c>
      <c r="H1214" s="23">
        <v>6</v>
      </c>
      <c r="I1214" s="23" t="s">
        <v>1536</v>
      </c>
      <c r="J1214" t="s">
        <v>1542</v>
      </c>
      <c r="K1214">
        <v>1806</v>
      </c>
      <c r="L1214">
        <v>2255</v>
      </c>
      <c r="M1214" s="24">
        <v>1565</v>
      </c>
      <c r="N1214" s="24">
        <v>2192</v>
      </c>
      <c r="O1214" s="24">
        <v>1337</v>
      </c>
      <c r="P1214" s="24">
        <v>2204</v>
      </c>
      <c r="Q1214">
        <v>1116</v>
      </c>
      <c r="R1214">
        <v>2128</v>
      </c>
      <c r="S1214">
        <v>1360</v>
      </c>
      <c r="T1214">
        <v>2566</v>
      </c>
      <c r="U1214">
        <v>1360</v>
      </c>
      <c r="V1214">
        <v>2566</v>
      </c>
    </row>
    <row r="1215" spans="2:22" x14ac:dyDescent="0.35">
      <c r="B1215" s="46" t="s">
        <v>1543</v>
      </c>
      <c r="D1215" t="s">
        <v>1471</v>
      </c>
      <c r="E1215" t="s">
        <v>1472</v>
      </c>
      <c r="F1215" s="46" t="s">
        <v>1543</v>
      </c>
      <c r="G1215" t="s">
        <v>265</v>
      </c>
      <c r="H1215" s="23">
        <v>6</v>
      </c>
      <c r="I1215" s="23" t="s">
        <v>1536</v>
      </c>
      <c r="J1215" t="s">
        <v>1544</v>
      </c>
      <c r="K1215">
        <v>2778</v>
      </c>
      <c r="L1215">
        <v>3629</v>
      </c>
      <c r="M1215" s="24">
        <v>2526</v>
      </c>
      <c r="N1215" s="24">
        <v>3533</v>
      </c>
      <c r="O1215" s="24">
        <v>2470</v>
      </c>
      <c r="P1215" s="24">
        <v>3675</v>
      </c>
      <c r="Q1215">
        <v>2341</v>
      </c>
      <c r="R1215">
        <v>3801</v>
      </c>
      <c r="S1215">
        <v>2669</v>
      </c>
      <c r="T1215">
        <v>4456</v>
      </c>
      <c r="U1215">
        <v>2669</v>
      </c>
      <c r="V1215">
        <v>4456</v>
      </c>
    </row>
    <row r="1216" spans="2:22" x14ac:dyDescent="0.35">
      <c r="B1216" s="46" t="s">
        <v>1545</v>
      </c>
      <c r="D1216" t="s">
        <v>1471</v>
      </c>
      <c r="E1216" t="s">
        <v>1472</v>
      </c>
      <c r="F1216" s="46" t="s">
        <v>1545</v>
      </c>
      <c r="G1216" t="s">
        <v>265</v>
      </c>
      <c r="H1216" s="23">
        <v>6</v>
      </c>
      <c r="I1216" s="23" t="s">
        <v>1536</v>
      </c>
      <c r="J1216" t="s">
        <v>1546</v>
      </c>
      <c r="K1216">
        <v>1426</v>
      </c>
      <c r="L1216">
        <v>1798</v>
      </c>
      <c r="M1216" s="24">
        <v>1322</v>
      </c>
      <c r="N1216" s="24">
        <v>1775</v>
      </c>
      <c r="O1216" s="24">
        <v>1105</v>
      </c>
      <c r="P1216" s="24">
        <v>1777</v>
      </c>
      <c r="Q1216">
        <v>939</v>
      </c>
      <c r="R1216">
        <v>1719</v>
      </c>
      <c r="S1216">
        <v>1141</v>
      </c>
      <c r="T1216">
        <v>2096</v>
      </c>
      <c r="U1216">
        <v>1141</v>
      </c>
      <c r="V1216">
        <v>2096</v>
      </c>
    </row>
    <row r="1217" spans="2:22" x14ac:dyDescent="0.35">
      <c r="B1217" s="46" t="s">
        <v>1547</v>
      </c>
      <c r="D1217" t="s">
        <v>1471</v>
      </c>
      <c r="E1217" t="s">
        <v>1472</v>
      </c>
      <c r="F1217" s="46" t="s">
        <v>1547</v>
      </c>
      <c r="G1217" t="s">
        <v>273</v>
      </c>
      <c r="H1217" s="23">
        <v>7</v>
      </c>
      <c r="I1217" s="23" t="s">
        <v>1548</v>
      </c>
      <c r="J1217" t="s">
        <v>1549</v>
      </c>
      <c r="K1217">
        <v>22375</v>
      </c>
      <c r="L1217">
        <v>29467</v>
      </c>
      <c r="M1217" s="24">
        <v>20140</v>
      </c>
      <c r="N1217" s="24">
        <v>28680</v>
      </c>
      <c r="O1217" s="24">
        <v>17821</v>
      </c>
      <c r="P1217" s="24">
        <v>28516</v>
      </c>
      <c r="Q1217">
        <v>16026</v>
      </c>
      <c r="R1217">
        <v>29040</v>
      </c>
      <c r="S1217">
        <v>19501</v>
      </c>
      <c r="T1217">
        <v>35599</v>
      </c>
      <c r="U1217">
        <v>19501</v>
      </c>
      <c r="V1217">
        <v>35599</v>
      </c>
    </row>
    <row r="1218" spans="2:22" x14ac:dyDescent="0.35">
      <c r="B1218" s="46" t="s">
        <v>1550</v>
      </c>
      <c r="D1218" t="s">
        <v>1471</v>
      </c>
      <c r="E1218" t="s">
        <v>1472</v>
      </c>
      <c r="F1218" s="46" t="s">
        <v>1550</v>
      </c>
      <c r="G1218" t="s">
        <v>273</v>
      </c>
      <c r="H1218" s="23">
        <v>7</v>
      </c>
      <c r="I1218" s="23" t="s">
        <v>1548</v>
      </c>
      <c r="J1218" t="s">
        <v>377</v>
      </c>
      <c r="K1218">
        <v>5536</v>
      </c>
      <c r="L1218">
        <v>7207</v>
      </c>
      <c r="M1218" s="24">
        <v>4790</v>
      </c>
      <c r="N1218" s="24">
        <v>6891</v>
      </c>
      <c r="O1218" s="24">
        <v>4069</v>
      </c>
      <c r="P1218" s="24">
        <v>6685</v>
      </c>
      <c r="Q1218">
        <v>3646</v>
      </c>
      <c r="R1218">
        <v>6681</v>
      </c>
      <c r="S1218">
        <v>4417</v>
      </c>
      <c r="T1218">
        <v>8207</v>
      </c>
      <c r="U1218">
        <v>4417</v>
      </c>
      <c r="V1218">
        <v>8207</v>
      </c>
    </row>
    <row r="1219" spans="2:22" x14ac:dyDescent="0.35">
      <c r="B1219" s="46" t="s">
        <v>1551</v>
      </c>
      <c r="D1219" t="s">
        <v>1471</v>
      </c>
      <c r="E1219" t="s">
        <v>1472</v>
      </c>
      <c r="F1219" s="46" t="s">
        <v>1551</v>
      </c>
      <c r="G1219" t="s">
        <v>273</v>
      </c>
      <c r="H1219" s="23">
        <v>7</v>
      </c>
      <c r="I1219" s="23" t="s">
        <v>1548</v>
      </c>
      <c r="J1219" t="s">
        <v>1552</v>
      </c>
      <c r="K1219">
        <v>3486</v>
      </c>
      <c r="L1219">
        <v>4324</v>
      </c>
      <c r="M1219" s="24">
        <v>2893</v>
      </c>
      <c r="N1219" s="24">
        <v>3984</v>
      </c>
      <c r="O1219" s="24">
        <v>2269</v>
      </c>
      <c r="P1219" s="24">
        <v>3750</v>
      </c>
      <c r="Q1219">
        <v>1992</v>
      </c>
      <c r="R1219">
        <v>3737</v>
      </c>
      <c r="S1219">
        <v>2430</v>
      </c>
      <c r="T1219">
        <v>4463</v>
      </c>
      <c r="U1219">
        <v>2430</v>
      </c>
      <c r="V1219">
        <v>4463</v>
      </c>
    </row>
    <row r="1220" spans="2:22" x14ac:dyDescent="0.35">
      <c r="B1220" s="46" t="s">
        <v>1553</v>
      </c>
      <c r="D1220" t="s">
        <v>1471</v>
      </c>
      <c r="E1220" t="s">
        <v>1472</v>
      </c>
      <c r="F1220" s="46" t="s">
        <v>1553</v>
      </c>
      <c r="G1220" t="s">
        <v>279</v>
      </c>
      <c r="H1220" s="23">
        <v>8</v>
      </c>
      <c r="I1220" s="23" t="s">
        <v>1554</v>
      </c>
      <c r="J1220" t="s">
        <v>301</v>
      </c>
      <c r="K1220">
        <v>827</v>
      </c>
      <c r="L1220">
        <v>1053</v>
      </c>
      <c r="M1220" s="24">
        <v>646</v>
      </c>
      <c r="N1220" s="24">
        <v>961</v>
      </c>
      <c r="O1220" s="24">
        <v>670</v>
      </c>
      <c r="P1220" s="24">
        <v>1016</v>
      </c>
      <c r="Q1220">
        <v>479</v>
      </c>
      <c r="R1220">
        <v>1058</v>
      </c>
      <c r="S1220">
        <v>567</v>
      </c>
      <c r="T1220">
        <v>1176</v>
      </c>
      <c r="U1220">
        <v>567</v>
      </c>
      <c r="V1220">
        <v>1176</v>
      </c>
    </row>
    <row r="1221" spans="2:22" x14ac:dyDescent="0.35">
      <c r="B1221" s="46" t="s">
        <v>1555</v>
      </c>
      <c r="D1221" t="s">
        <v>1471</v>
      </c>
      <c r="E1221" t="s">
        <v>1472</v>
      </c>
      <c r="F1221" s="46" t="s">
        <v>1555</v>
      </c>
      <c r="G1221" t="s">
        <v>279</v>
      </c>
      <c r="H1221" s="23">
        <v>8</v>
      </c>
      <c r="I1221" s="23" t="s">
        <v>1554</v>
      </c>
      <c r="J1221" t="s">
        <v>1556</v>
      </c>
      <c r="K1221">
        <v>3565</v>
      </c>
      <c r="L1221">
        <v>4905</v>
      </c>
      <c r="M1221" s="24">
        <v>2998</v>
      </c>
      <c r="N1221" s="24">
        <v>4767</v>
      </c>
      <c r="O1221" s="24">
        <v>2899</v>
      </c>
      <c r="P1221" s="24">
        <v>4804</v>
      </c>
      <c r="Q1221">
        <v>2155</v>
      </c>
      <c r="R1221">
        <v>4917</v>
      </c>
      <c r="S1221">
        <v>2341</v>
      </c>
      <c r="T1221">
        <v>5436</v>
      </c>
      <c r="U1221">
        <v>2341</v>
      </c>
      <c r="V1221">
        <v>5436</v>
      </c>
    </row>
    <row r="1222" spans="2:22" x14ac:dyDescent="0.35">
      <c r="B1222" s="46" t="s">
        <v>1557</v>
      </c>
      <c r="D1222" t="s">
        <v>1471</v>
      </c>
      <c r="E1222" t="s">
        <v>1472</v>
      </c>
      <c r="F1222" s="46" t="s">
        <v>1557</v>
      </c>
      <c r="G1222" t="s">
        <v>283</v>
      </c>
      <c r="H1222" s="23">
        <v>9</v>
      </c>
      <c r="I1222" s="23" t="s">
        <v>1558</v>
      </c>
      <c r="J1222" t="s">
        <v>1559</v>
      </c>
      <c r="K1222">
        <v>1081</v>
      </c>
      <c r="L1222">
        <v>1349</v>
      </c>
      <c r="M1222" s="24">
        <v>981</v>
      </c>
      <c r="N1222" s="24">
        <v>1335</v>
      </c>
      <c r="O1222" s="24">
        <v>963</v>
      </c>
      <c r="P1222" s="24">
        <v>1371</v>
      </c>
      <c r="Q1222">
        <v>692</v>
      </c>
      <c r="R1222">
        <v>1412</v>
      </c>
      <c r="S1222">
        <v>1057</v>
      </c>
      <c r="T1222">
        <v>1922</v>
      </c>
      <c r="U1222">
        <v>1057</v>
      </c>
      <c r="V1222">
        <v>1922</v>
      </c>
    </row>
    <row r="1223" spans="2:22" x14ac:dyDescent="0.35">
      <c r="B1223" s="46" t="s">
        <v>1560</v>
      </c>
      <c r="D1223" t="s">
        <v>1471</v>
      </c>
      <c r="E1223" t="s">
        <v>1472</v>
      </c>
      <c r="F1223" s="46" t="s">
        <v>1560</v>
      </c>
      <c r="G1223" t="s">
        <v>283</v>
      </c>
      <c r="H1223" s="23">
        <v>9</v>
      </c>
      <c r="I1223" s="23" t="s">
        <v>1558</v>
      </c>
      <c r="J1223" t="s">
        <v>1561</v>
      </c>
      <c r="K1223">
        <v>7985</v>
      </c>
      <c r="L1223">
        <v>10160</v>
      </c>
      <c r="M1223" s="24">
        <v>7333</v>
      </c>
      <c r="N1223" s="24">
        <v>9934</v>
      </c>
      <c r="O1223" s="24">
        <v>7553</v>
      </c>
      <c r="P1223" s="24">
        <v>10606</v>
      </c>
      <c r="Q1223">
        <v>6500</v>
      </c>
      <c r="R1223">
        <v>11596</v>
      </c>
      <c r="S1223">
        <v>8479</v>
      </c>
      <c r="T1223">
        <v>14568</v>
      </c>
      <c r="U1223">
        <v>8479</v>
      </c>
      <c r="V1223">
        <v>14568</v>
      </c>
    </row>
    <row r="1224" spans="2:22" x14ac:dyDescent="0.35">
      <c r="B1224" s="46" t="s">
        <v>1562</v>
      </c>
      <c r="D1224" t="s">
        <v>1471</v>
      </c>
      <c r="E1224" t="s">
        <v>1472</v>
      </c>
      <c r="F1224" s="46" t="s">
        <v>1562</v>
      </c>
      <c r="G1224" t="s">
        <v>283</v>
      </c>
      <c r="H1224" s="23">
        <v>9</v>
      </c>
      <c r="I1224" s="23" t="s">
        <v>1558</v>
      </c>
      <c r="J1224" t="s">
        <v>1563</v>
      </c>
      <c r="K1224">
        <v>3318</v>
      </c>
      <c r="L1224">
        <v>4401</v>
      </c>
      <c r="M1224" s="24">
        <v>2845</v>
      </c>
      <c r="N1224" s="24">
        <v>4292</v>
      </c>
      <c r="O1224" s="24">
        <v>2646</v>
      </c>
      <c r="P1224" s="24">
        <v>4229</v>
      </c>
      <c r="Q1224">
        <v>2198</v>
      </c>
      <c r="R1224">
        <v>4377</v>
      </c>
      <c r="S1224">
        <v>2995</v>
      </c>
      <c r="T1224">
        <v>5644</v>
      </c>
      <c r="U1224">
        <v>2995</v>
      </c>
      <c r="V1224">
        <v>5644</v>
      </c>
    </row>
    <row r="1225" spans="2:22" x14ac:dyDescent="0.35">
      <c r="B1225" s="46" t="s">
        <v>1564</v>
      </c>
      <c r="D1225" t="s">
        <v>1471</v>
      </c>
      <c r="E1225" t="s">
        <v>1472</v>
      </c>
      <c r="F1225" s="46" t="s">
        <v>1564</v>
      </c>
      <c r="G1225" t="s">
        <v>283</v>
      </c>
      <c r="H1225" s="23">
        <v>9</v>
      </c>
      <c r="I1225" s="23" t="s">
        <v>1558</v>
      </c>
      <c r="J1225" t="s">
        <v>1565</v>
      </c>
      <c r="K1225">
        <v>1251</v>
      </c>
      <c r="L1225">
        <v>1543</v>
      </c>
      <c r="M1225" s="24">
        <v>1169</v>
      </c>
      <c r="N1225" s="24">
        <v>1559</v>
      </c>
      <c r="O1225" s="24">
        <v>1133</v>
      </c>
      <c r="P1225" s="24">
        <v>1594</v>
      </c>
      <c r="Q1225">
        <v>961</v>
      </c>
      <c r="R1225">
        <v>1749</v>
      </c>
      <c r="S1225">
        <v>1303</v>
      </c>
      <c r="T1225">
        <v>2180</v>
      </c>
      <c r="U1225">
        <v>1303</v>
      </c>
      <c r="V1225">
        <v>2180</v>
      </c>
    </row>
    <row r="1226" spans="2:22" x14ac:dyDescent="0.35">
      <c r="B1226" s="46" t="s">
        <v>1566</v>
      </c>
      <c r="D1226" t="s">
        <v>1471</v>
      </c>
      <c r="E1226" t="s">
        <v>1472</v>
      </c>
      <c r="F1226" s="46" t="s">
        <v>1566</v>
      </c>
      <c r="G1226" t="s">
        <v>283</v>
      </c>
      <c r="H1226" s="23">
        <v>9</v>
      </c>
      <c r="I1226" s="23" t="s">
        <v>1558</v>
      </c>
      <c r="J1226" t="s">
        <v>869</v>
      </c>
      <c r="K1226">
        <v>1213</v>
      </c>
      <c r="L1226">
        <v>1464</v>
      </c>
      <c r="M1226" s="24">
        <v>1110</v>
      </c>
      <c r="N1226" s="24">
        <v>1458</v>
      </c>
      <c r="O1226" s="24">
        <v>1035</v>
      </c>
      <c r="P1226" s="24">
        <v>1407</v>
      </c>
      <c r="Q1226">
        <v>840</v>
      </c>
      <c r="R1226">
        <v>1483</v>
      </c>
      <c r="S1226">
        <v>1133</v>
      </c>
      <c r="T1226">
        <v>1866</v>
      </c>
      <c r="U1226">
        <v>1133</v>
      </c>
      <c r="V1226">
        <v>1866</v>
      </c>
    </row>
    <row r="1227" spans="2:22" x14ac:dyDescent="0.35">
      <c r="B1227" s="46" t="s">
        <v>1567</v>
      </c>
      <c r="D1227" t="s">
        <v>1471</v>
      </c>
      <c r="E1227" t="s">
        <v>1472</v>
      </c>
      <c r="F1227" s="46" t="s">
        <v>1567</v>
      </c>
      <c r="G1227" t="s">
        <v>283</v>
      </c>
      <c r="H1227" s="23">
        <v>9</v>
      </c>
      <c r="I1227" s="23" t="s">
        <v>1558</v>
      </c>
      <c r="J1227" t="s">
        <v>1568</v>
      </c>
      <c r="K1227">
        <v>5246</v>
      </c>
      <c r="L1227">
        <v>5902</v>
      </c>
      <c r="M1227" s="24">
        <v>4857</v>
      </c>
      <c r="N1227" s="24">
        <v>5742</v>
      </c>
      <c r="O1227" s="24">
        <v>5003</v>
      </c>
      <c r="P1227" s="24">
        <v>5976</v>
      </c>
      <c r="Q1227">
        <v>4184</v>
      </c>
      <c r="R1227">
        <v>6256</v>
      </c>
      <c r="S1227">
        <v>4532</v>
      </c>
      <c r="T1227">
        <v>7307</v>
      </c>
      <c r="U1227">
        <v>4532</v>
      </c>
      <c r="V1227">
        <v>7307</v>
      </c>
    </row>
    <row r="1228" spans="2:22" x14ac:dyDescent="0.35">
      <c r="B1228" s="46" t="s">
        <v>1569</v>
      </c>
      <c r="D1228" t="s">
        <v>1471</v>
      </c>
      <c r="E1228" t="s">
        <v>1472</v>
      </c>
      <c r="F1228" s="46" t="s">
        <v>1569</v>
      </c>
      <c r="G1228" t="s">
        <v>283</v>
      </c>
      <c r="H1228" s="23">
        <v>9</v>
      </c>
      <c r="I1228" s="23" t="s">
        <v>1558</v>
      </c>
      <c r="J1228" t="s">
        <v>1570</v>
      </c>
      <c r="K1228">
        <v>1970</v>
      </c>
      <c r="L1228">
        <v>2442</v>
      </c>
      <c r="M1228" s="24">
        <v>1772</v>
      </c>
      <c r="N1228" s="24">
        <v>2400</v>
      </c>
      <c r="O1228" s="24">
        <v>1582</v>
      </c>
      <c r="P1228" s="24">
        <v>2348</v>
      </c>
      <c r="Q1228">
        <v>1239</v>
      </c>
      <c r="R1228">
        <v>2401</v>
      </c>
      <c r="S1228">
        <v>1553</v>
      </c>
      <c r="T1228">
        <v>2846</v>
      </c>
      <c r="U1228">
        <v>1553</v>
      </c>
      <c r="V1228">
        <v>2846</v>
      </c>
    </row>
    <row r="1229" spans="2:22" x14ac:dyDescent="0.35">
      <c r="B1229" s="46" t="s">
        <v>1571</v>
      </c>
      <c r="D1229" t="s">
        <v>1471</v>
      </c>
      <c r="E1229" t="s">
        <v>1472</v>
      </c>
      <c r="F1229" s="46" t="s">
        <v>1571</v>
      </c>
      <c r="G1229" t="s">
        <v>283</v>
      </c>
      <c r="H1229" s="23">
        <v>9</v>
      </c>
      <c r="I1229" s="23" t="s">
        <v>1558</v>
      </c>
      <c r="J1229" t="s">
        <v>1572</v>
      </c>
      <c r="K1229">
        <v>948</v>
      </c>
      <c r="L1229">
        <v>1149</v>
      </c>
      <c r="M1229" s="24">
        <v>844</v>
      </c>
      <c r="N1229" s="24">
        <v>1131</v>
      </c>
      <c r="O1229" s="24">
        <v>829</v>
      </c>
      <c r="P1229" s="24">
        <v>1135</v>
      </c>
      <c r="Q1229">
        <v>674</v>
      </c>
      <c r="R1229">
        <v>1171</v>
      </c>
      <c r="S1229">
        <v>842</v>
      </c>
      <c r="T1229">
        <v>1423</v>
      </c>
      <c r="U1229">
        <v>842</v>
      </c>
      <c r="V1229">
        <v>1423</v>
      </c>
    </row>
    <row r="1230" spans="2:22" x14ac:dyDescent="0.35">
      <c r="B1230" s="46" t="s">
        <v>1573</v>
      </c>
      <c r="D1230" t="s">
        <v>1471</v>
      </c>
      <c r="E1230" t="s">
        <v>1472</v>
      </c>
      <c r="F1230" s="46" t="s">
        <v>1573</v>
      </c>
      <c r="G1230" t="s">
        <v>289</v>
      </c>
      <c r="H1230" s="23">
        <v>10</v>
      </c>
      <c r="I1230" s="23" t="s">
        <v>1574</v>
      </c>
      <c r="J1230" t="s">
        <v>1575</v>
      </c>
      <c r="K1230">
        <v>1537</v>
      </c>
      <c r="L1230">
        <v>2217</v>
      </c>
      <c r="M1230" s="24">
        <v>1307</v>
      </c>
      <c r="N1230" s="24">
        <v>2116</v>
      </c>
      <c r="O1230" s="24">
        <v>1008</v>
      </c>
      <c r="P1230" s="24">
        <v>1826</v>
      </c>
      <c r="Q1230">
        <v>947</v>
      </c>
      <c r="R1230">
        <v>1801</v>
      </c>
      <c r="S1230">
        <v>1259</v>
      </c>
      <c r="T1230">
        <v>2443</v>
      </c>
      <c r="U1230">
        <v>1259</v>
      </c>
      <c r="V1230">
        <v>2443</v>
      </c>
    </row>
    <row r="1231" spans="2:22" x14ac:dyDescent="0.35">
      <c r="B1231" s="46" t="s">
        <v>1576</v>
      </c>
      <c r="D1231" t="s">
        <v>1471</v>
      </c>
      <c r="E1231" t="s">
        <v>1472</v>
      </c>
      <c r="F1231" s="46" t="s">
        <v>1576</v>
      </c>
      <c r="G1231" t="s">
        <v>289</v>
      </c>
      <c r="H1231" s="23">
        <v>10</v>
      </c>
      <c r="I1231" s="23" t="s">
        <v>1574</v>
      </c>
      <c r="J1231" t="s">
        <v>1577</v>
      </c>
      <c r="K1231">
        <v>1356</v>
      </c>
      <c r="L1231">
        <v>1796</v>
      </c>
      <c r="M1231" s="24">
        <v>1165</v>
      </c>
      <c r="N1231" s="24">
        <v>1699</v>
      </c>
      <c r="O1231" s="24">
        <v>933</v>
      </c>
      <c r="P1231" s="24">
        <v>1612</v>
      </c>
      <c r="Q1231">
        <v>873</v>
      </c>
      <c r="R1231">
        <v>1497</v>
      </c>
      <c r="S1231">
        <v>1186</v>
      </c>
      <c r="T1231">
        <v>2059</v>
      </c>
      <c r="U1231">
        <v>1186</v>
      </c>
      <c r="V1231">
        <v>2059</v>
      </c>
    </row>
    <row r="1232" spans="2:22" x14ac:dyDescent="0.35">
      <c r="B1232" s="46" t="s">
        <v>1578</v>
      </c>
      <c r="D1232" t="s">
        <v>1471</v>
      </c>
      <c r="E1232" t="s">
        <v>1472</v>
      </c>
      <c r="F1232" s="46" t="s">
        <v>1578</v>
      </c>
      <c r="G1232" t="s">
        <v>289</v>
      </c>
      <c r="H1232" s="23">
        <v>10</v>
      </c>
      <c r="I1232" s="23" t="s">
        <v>1574</v>
      </c>
      <c r="J1232" t="s">
        <v>873</v>
      </c>
      <c r="K1232">
        <v>536</v>
      </c>
      <c r="L1232">
        <v>688</v>
      </c>
      <c r="M1232" s="24">
        <v>481</v>
      </c>
      <c r="N1232" s="24">
        <v>658</v>
      </c>
      <c r="O1232" s="24">
        <v>326</v>
      </c>
      <c r="P1232" s="24">
        <v>566</v>
      </c>
      <c r="Q1232">
        <v>295</v>
      </c>
      <c r="R1232">
        <v>543</v>
      </c>
      <c r="S1232">
        <v>350</v>
      </c>
      <c r="T1232">
        <v>697</v>
      </c>
      <c r="U1232">
        <v>350</v>
      </c>
      <c r="V1232">
        <v>697</v>
      </c>
    </row>
    <row r="1233" spans="2:22" x14ac:dyDescent="0.35">
      <c r="B1233" s="46" t="s">
        <v>1579</v>
      </c>
      <c r="D1233" t="s">
        <v>1471</v>
      </c>
      <c r="E1233" t="s">
        <v>1472</v>
      </c>
      <c r="F1233" s="46" t="s">
        <v>1579</v>
      </c>
      <c r="G1233" t="s">
        <v>293</v>
      </c>
      <c r="H1233" s="23">
        <v>11</v>
      </c>
      <c r="I1233" s="23" t="s">
        <v>1580</v>
      </c>
      <c r="J1233" t="s">
        <v>1581</v>
      </c>
      <c r="K1233">
        <v>4689</v>
      </c>
      <c r="L1233">
        <v>6635</v>
      </c>
      <c r="M1233" s="24">
        <v>4005</v>
      </c>
      <c r="N1233" s="24">
        <v>6215</v>
      </c>
      <c r="O1233" s="24">
        <v>3932</v>
      </c>
      <c r="P1233" s="24">
        <v>6276</v>
      </c>
      <c r="Q1233">
        <v>3658</v>
      </c>
      <c r="R1233">
        <v>6683</v>
      </c>
      <c r="S1233">
        <v>4520</v>
      </c>
      <c r="T1233">
        <v>8510</v>
      </c>
      <c r="U1233">
        <v>4520</v>
      </c>
      <c r="V1233">
        <v>8510</v>
      </c>
    </row>
    <row r="1234" spans="2:22" x14ac:dyDescent="0.35">
      <c r="B1234" s="46" t="s">
        <v>1582</v>
      </c>
      <c r="D1234" t="s">
        <v>1471</v>
      </c>
      <c r="E1234" t="s">
        <v>1472</v>
      </c>
      <c r="F1234" s="46" t="s">
        <v>1582</v>
      </c>
      <c r="G1234" t="s">
        <v>293</v>
      </c>
      <c r="H1234" s="23">
        <v>11</v>
      </c>
      <c r="I1234" s="23" t="s">
        <v>1580</v>
      </c>
      <c r="J1234" t="s">
        <v>1583</v>
      </c>
      <c r="K1234">
        <v>687</v>
      </c>
      <c r="L1234">
        <v>877</v>
      </c>
      <c r="M1234" s="24">
        <v>592</v>
      </c>
      <c r="N1234" s="24">
        <v>867</v>
      </c>
      <c r="O1234" s="24">
        <v>564</v>
      </c>
      <c r="P1234" s="24">
        <v>847</v>
      </c>
      <c r="Q1234">
        <v>512</v>
      </c>
      <c r="R1234">
        <v>855</v>
      </c>
      <c r="S1234">
        <v>569</v>
      </c>
      <c r="T1234">
        <v>1033</v>
      </c>
      <c r="U1234">
        <v>569</v>
      </c>
      <c r="V1234">
        <v>1033</v>
      </c>
    </row>
    <row r="1235" spans="2:22" x14ac:dyDescent="0.35">
      <c r="B1235" s="46" t="s">
        <v>1584</v>
      </c>
      <c r="D1235" t="s">
        <v>1471</v>
      </c>
      <c r="E1235" t="s">
        <v>1472</v>
      </c>
      <c r="F1235" s="46" t="s">
        <v>1584</v>
      </c>
      <c r="G1235" t="s">
        <v>293</v>
      </c>
      <c r="H1235" s="23">
        <v>11</v>
      </c>
      <c r="I1235" s="23" t="s">
        <v>1580</v>
      </c>
      <c r="J1235" t="s">
        <v>1013</v>
      </c>
      <c r="K1235">
        <v>2240</v>
      </c>
      <c r="L1235">
        <v>3626</v>
      </c>
      <c r="M1235" s="24">
        <v>1839</v>
      </c>
      <c r="N1235" s="24">
        <v>3373</v>
      </c>
      <c r="O1235" s="24">
        <v>1699</v>
      </c>
      <c r="P1235" s="24">
        <v>3307</v>
      </c>
      <c r="Q1235">
        <v>1637</v>
      </c>
      <c r="R1235">
        <v>3633</v>
      </c>
      <c r="S1235">
        <v>2017</v>
      </c>
      <c r="T1235">
        <v>4356</v>
      </c>
      <c r="U1235">
        <v>2017</v>
      </c>
      <c r="V1235">
        <v>4356</v>
      </c>
    </row>
    <row r="1236" spans="2:22" x14ac:dyDescent="0.35">
      <c r="B1236" s="46" t="s">
        <v>1585</v>
      </c>
      <c r="D1236" t="s">
        <v>1471</v>
      </c>
      <c r="E1236" t="s">
        <v>1472</v>
      </c>
      <c r="F1236" s="46" t="s">
        <v>1585</v>
      </c>
      <c r="G1236" t="s">
        <v>293</v>
      </c>
      <c r="H1236" s="23">
        <v>11</v>
      </c>
      <c r="I1236" s="23" t="s">
        <v>1580</v>
      </c>
      <c r="J1236" t="s">
        <v>1586</v>
      </c>
      <c r="K1236">
        <v>8976</v>
      </c>
      <c r="L1236">
        <v>14208</v>
      </c>
      <c r="M1236" s="24">
        <v>7578</v>
      </c>
      <c r="N1236" s="24">
        <v>13028</v>
      </c>
      <c r="O1236" s="24">
        <v>6975</v>
      </c>
      <c r="P1236" s="24">
        <v>12418</v>
      </c>
      <c r="Q1236">
        <v>6437</v>
      </c>
      <c r="R1236">
        <v>13242</v>
      </c>
      <c r="S1236">
        <v>8560</v>
      </c>
      <c r="T1236">
        <v>16479</v>
      </c>
      <c r="U1236">
        <v>8560</v>
      </c>
      <c r="V1236">
        <v>16479</v>
      </c>
    </row>
    <row r="1237" spans="2:22" x14ac:dyDescent="0.35">
      <c r="B1237" s="46" t="s">
        <v>1587</v>
      </c>
      <c r="D1237" t="s">
        <v>1471</v>
      </c>
      <c r="E1237" t="s">
        <v>1472</v>
      </c>
      <c r="F1237" s="46" t="s">
        <v>1587</v>
      </c>
      <c r="G1237" t="s">
        <v>293</v>
      </c>
      <c r="H1237" s="23">
        <v>11</v>
      </c>
      <c r="I1237" s="23" t="s">
        <v>1580</v>
      </c>
      <c r="J1237" t="s">
        <v>237</v>
      </c>
      <c r="K1237">
        <v>1765</v>
      </c>
      <c r="L1237">
        <v>2428</v>
      </c>
      <c r="M1237" s="24">
        <v>1543</v>
      </c>
      <c r="N1237" s="24">
        <v>2279</v>
      </c>
      <c r="O1237" s="24">
        <v>1470</v>
      </c>
      <c r="P1237" s="24">
        <v>2269</v>
      </c>
      <c r="Q1237">
        <v>1367</v>
      </c>
      <c r="R1237">
        <v>2439</v>
      </c>
      <c r="S1237">
        <v>1727</v>
      </c>
      <c r="T1237">
        <v>3060</v>
      </c>
      <c r="U1237">
        <v>1727</v>
      </c>
      <c r="V1237">
        <v>3060</v>
      </c>
    </row>
    <row r="1238" spans="2:22" x14ac:dyDescent="0.35">
      <c r="B1238" s="46" t="s">
        <v>1588</v>
      </c>
      <c r="D1238" t="s">
        <v>1471</v>
      </c>
      <c r="E1238" t="s">
        <v>1472</v>
      </c>
      <c r="F1238" s="46" t="s">
        <v>1588</v>
      </c>
      <c r="G1238" t="s">
        <v>293</v>
      </c>
      <c r="H1238" s="23">
        <v>11</v>
      </c>
      <c r="I1238" s="23" t="s">
        <v>1580</v>
      </c>
      <c r="J1238" t="s">
        <v>706</v>
      </c>
      <c r="K1238">
        <v>3928</v>
      </c>
      <c r="L1238">
        <v>7104</v>
      </c>
      <c r="M1238" s="24">
        <v>3208</v>
      </c>
      <c r="N1238" s="24">
        <v>6507</v>
      </c>
      <c r="O1238" s="24">
        <v>2992</v>
      </c>
      <c r="P1238" s="24">
        <v>6391</v>
      </c>
      <c r="Q1238">
        <v>2797</v>
      </c>
      <c r="R1238">
        <v>6679</v>
      </c>
      <c r="S1238">
        <v>3591</v>
      </c>
      <c r="T1238">
        <v>7721</v>
      </c>
      <c r="U1238">
        <v>3591</v>
      </c>
      <c r="V1238">
        <v>7721</v>
      </c>
    </row>
    <row r="1239" spans="2:22" x14ac:dyDescent="0.35">
      <c r="B1239" s="46" t="s">
        <v>1589</v>
      </c>
      <c r="D1239" t="s">
        <v>1471</v>
      </c>
      <c r="E1239" t="s">
        <v>1472</v>
      </c>
      <c r="F1239" s="46" t="s">
        <v>1589</v>
      </c>
      <c r="G1239" t="s">
        <v>293</v>
      </c>
      <c r="H1239" s="23">
        <v>11</v>
      </c>
      <c r="I1239" s="23" t="s">
        <v>1580</v>
      </c>
      <c r="J1239" t="s">
        <v>1590</v>
      </c>
      <c r="K1239">
        <v>1392</v>
      </c>
      <c r="L1239">
        <v>1814</v>
      </c>
      <c r="M1239" s="24">
        <v>1133</v>
      </c>
      <c r="N1239" s="24">
        <v>1663</v>
      </c>
      <c r="O1239" s="24">
        <v>1082</v>
      </c>
      <c r="P1239" s="24">
        <v>1663</v>
      </c>
      <c r="Q1239">
        <v>987</v>
      </c>
      <c r="R1239">
        <v>1687</v>
      </c>
      <c r="S1239">
        <v>1190</v>
      </c>
      <c r="T1239">
        <v>2055</v>
      </c>
      <c r="U1239">
        <v>1190</v>
      </c>
      <c r="V1239">
        <v>2055</v>
      </c>
    </row>
    <row r="1240" spans="2:22" x14ac:dyDescent="0.35">
      <c r="B1240" s="46" t="s">
        <v>1591</v>
      </c>
      <c r="D1240" t="s">
        <v>1471</v>
      </c>
      <c r="E1240" t="s">
        <v>1472</v>
      </c>
      <c r="F1240" s="46" t="s">
        <v>1591</v>
      </c>
      <c r="G1240" t="s">
        <v>303</v>
      </c>
      <c r="H1240" s="23">
        <v>12</v>
      </c>
      <c r="I1240" s="23" t="s">
        <v>1592</v>
      </c>
      <c r="J1240" t="s">
        <v>1593</v>
      </c>
      <c r="K1240">
        <v>686</v>
      </c>
      <c r="L1240">
        <v>843</v>
      </c>
      <c r="M1240" s="24">
        <v>559</v>
      </c>
      <c r="N1240" s="24">
        <v>768</v>
      </c>
      <c r="O1240" s="24">
        <v>565</v>
      </c>
      <c r="P1240" s="24">
        <v>801</v>
      </c>
      <c r="Q1240">
        <v>487</v>
      </c>
      <c r="R1240">
        <v>842</v>
      </c>
      <c r="S1240">
        <v>625</v>
      </c>
      <c r="T1240">
        <v>994</v>
      </c>
      <c r="U1240">
        <v>625</v>
      </c>
      <c r="V1240">
        <v>994</v>
      </c>
    </row>
    <row r="1241" spans="2:22" x14ac:dyDescent="0.35">
      <c r="B1241" s="46" t="s">
        <v>1594</v>
      </c>
      <c r="D1241" t="s">
        <v>1471</v>
      </c>
      <c r="E1241" t="s">
        <v>1472</v>
      </c>
      <c r="F1241" s="46" t="s">
        <v>1594</v>
      </c>
      <c r="G1241" t="s">
        <v>303</v>
      </c>
      <c r="H1241" s="23">
        <v>12</v>
      </c>
      <c r="I1241" s="23" t="s">
        <v>1592</v>
      </c>
      <c r="J1241" t="s">
        <v>882</v>
      </c>
      <c r="K1241">
        <v>248</v>
      </c>
      <c r="L1241">
        <v>369</v>
      </c>
      <c r="M1241" s="24">
        <v>215</v>
      </c>
      <c r="N1241" s="24">
        <v>346</v>
      </c>
      <c r="O1241" s="24">
        <v>229</v>
      </c>
      <c r="P1241" s="24">
        <v>372</v>
      </c>
      <c r="Q1241">
        <v>215</v>
      </c>
      <c r="R1241">
        <v>377</v>
      </c>
      <c r="S1241">
        <v>278</v>
      </c>
      <c r="T1241">
        <v>495</v>
      </c>
      <c r="U1241">
        <v>278</v>
      </c>
      <c r="V1241">
        <v>495</v>
      </c>
    </row>
    <row r="1242" spans="2:22" x14ac:dyDescent="0.35">
      <c r="B1242" s="46" t="s">
        <v>1595</v>
      </c>
      <c r="D1242" t="s">
        <v>1471</v>
      </c>
      <c r="E1242" t="s">
        <v>1472</v>
      </c>
      <c r="F1242" s="46" t="s">
        <v>1595</v>
      </c>
      <c r="G1242" t="s">
        <v>303</v>
      </c>
      <c r="H1242" s="23">
        <v>12</v>
      </c>
      <c r="I1242" s="23" t="s">
        <v>1592</v>
      </c>
      <c r="J1242" t="s">
        <v>1596</v>
      </c>
      <c r="K1242">
        <v>533</v>
      </c>
      <c r="L1242">
        <v>728</v>
      </c>
      <c r="M1242" s="24">
        <v>458</v>
      </c>
      <c r="N1242" s="24">
        <v>724</v>
      </c>
      <c r="O1242" s="24">
        <v>410</v>
      </c>
      <c r="P1242" s="24">
        <v>727</v>
      </c>
      <c r="Q1242">
        <v>360</v>
      </c>
      <c r="R1242">
        <v>771</v>
      </c>
      <c r="S1242">
        <v>496</v>
      </c>
      <c r="T1242">
        <v>918</v>
      </c>
      <c r="U1242">
        <v>496</v>
      </c>
      <c r="V1242">
        <v>918</v>
      </c>
    </row>
    <row r="1243" spans="2:22" x14ac:dyDescent="0.35">
      <c r="B1243" s="46" t="s">
        <v>1597</v>
      </c>
      <c r="D1243" t="s">
        <v>1471</v>
      </c>
      <c r="E1243" t="s">
        <v>1472</v>
      </c>
      <c r="F1243" s="46" t="s">
        <v>1597</v>
      </c>
      <c r="G1243" t="s">
        <v>303</v>
      </c>
      <c r="H1243" s="23">
        <v>12</v>
      </c>
      <c r="I1243" s="23" t="s">
        <v>1592</v>
      </c>
      <c r="J1243" t="s">
        <v>1598</v>
      </c>
      <c r="K1243">
        <v>1033</v>
      </c>
      <c r="L1243">
        <v>1458</v>
      </c>
      <c r="M1243" s="24">
        <v>902</v>
      </c>
      <c r="N1243" s="24">
        <v>1452</v>
      </c>
      <c r="O1243" s="24">
        <v>832</v>
      </c>
      <c r="P1243" s="24">
        <v>1490</v>
      </c>
      <c r="Q1243">
        <v>780</v>
      </c>
      <c r="R1243">
        <v>1614</v>
      </c>
      <c r="S1243">
        <v>1072</v>
      </c>
      <c r="T1243">
        <v>2018</v>
      </c>
      <c r="U1243">
        <v>1072</v>
      </c>
      <c r="V1243">
        <v>2018</v>
      </c>
    </row>
    <row r="1244" spans="2:22" x14ac:dyDescent="0.35">
      <c r="B1244" s="46" t="s">
        <v>1599</v>
      </c>
      <c r="D1244" t="s">
        <v>1471</v>
      </c>
      <c r="E1244" t="s">
        <v>1472</v>
      </c>
      <c r="F1244" s="46" t="s">
        <v>1599</v>
      </c>
      <c r="G1244" t="s">
        <v>303</v>
      </c>
      <c r="H1244" s="23">
        <v>12</v>
      </c>
      <c r="I1244" s="23" t="s">
        <v>1592</v>
      </c>
      <c r="J1244" t="s">
        <v>1600</v>
      </c>
      <c r="K1244">
        <v>310</v>
      </c>
      <c r="L1244">
        <v>419</v>
      </c>
      <c r="M1244" s="24">
        <v>252</v>
      </c>
      <c r="N1244" s="24">
        <v>387</v>
      </c>
      <c r="O1244" s="24">
        <v>246</v>
      </c>
      <c r="P1244" s="24">
        <v>403</v>
      </c>
      <c r="Q1244">
        <v>242</v>
      </c>
      <c r="R1244">
        <v>436</v>
      </c>
      <c r="S1244">
        <v>328</v>
      </c>
      <c r="T1244">
        <v>529</v>
      </c>
      <c r="U1244">
        <v>328</v>
      </c>
      <c r="V1244">
        <v>529</v>
      </c>
    </row>
    <row r="1245" spans="2:22" x14ac:dyDescent="0.35">
      <c r="B1245" s="46" t="s">
        <v>1601</v>
      </c>
      <c r="D1245" t="s">
        <v>1471</v>
      </c>
      <c r="E1245" t="s">
        <v>1472</v>
      </c>
      <c r="F1245" s="46" t="s">
        <v>1601</v>
      </c>
      <c r="G1245" t="s">
        <v>303</v>
      </c>
      <c r="H1245" s="23">
        <v>12</v>
      </c>
      <c r="I1245" s="23" t="s">
        <v>1592</v>
      </c>
      <c r="J1245" t="s">
        <v>1602</v>
      </c>
      <c r="K1245">
        <v>1935</v>
      </c>
      <c r="L1245">
        <v>2367</v>
      </c>
      <c r="M1245" s="24">
        <v>1655</v>
      </c>
      <c r="N1245" s="24">
        <v>2220</v>
      </c>
      <c r="O1245" s="24">
        <v>1538</v>
      </c>
      <c r="P1245" s="24">
        <v>2163</v>
      </c>
      <c r="Q1245">
        <v>1421</v>
      </c>
      <c r="R1245">
        <v>2391</v>
      </c>
      <c r="S1245">
        <v>2021</v>
      </c>
      <c r="T1245">
        <v>3075</v>
      </c>
      <c r="U1245">
        <v>2021</v>
      </c>
      <c r="V1245">
        <v>3075</v>
      </c>
    </row>
    <row r="1246" spans="2:22" x14ac:dyDescent="0.35">
      <c r="B1246" s="46" t="s">
        <v>1603</v>
      </c>
      <c r="D1246" t="s">
        <v>1471</v>
      </c>
      <c r="E1246" t="s">
        <v>1472</v>
      </c>
      <c r="F1246" s="46" t="s">
        <v>1603</v>
      </c>
      <c r="G1246" t="s">
        <v>303</v>
      </c>
      <c r="H1246" s="23">
        <v>12</v>
      </c>
      <c r="I1246" s="23" t="s">
        <v>1592</v>
      </c>
      <c r="J1246" t="s">
        <v>1604</v>
      </c>
      <c r="K1246">
        <v>677</v>
      </c>
      <c r="L1246">
        <v>807</v>
      </c>
      <c r="M1246" s="24">
        <v>574</v>
      </c>
      <c r="N1246" s="24">
        <v>765</v>
      </c>
      <c r="O1246" s="24">
        <v>490</v>
      </c>
      <c r="P1246" s="24">
        <v>713</v>
      </c>
      <c r="Q1246">
        <v>425</v>
      </c>
      <c r="R1246">
        <v>767</v>
      </c>
      <c r="S1246">
        <v>568</v>
      </c>
      <c r="T1246">
        <v>961</v>
      </c>
      <c r="U1246">
        <v>568</v>
      </c>
      <c r="V1246">
        <v>961</v>
      </c>
    </row>
    <row r="1247" spans="2:22" x14ac:dyDescent="0.35">
      <c r="B1247" s="46" t="s">
        <v>1605</v>
      </c>
      <c r="D1247" t="s">
        <v>1471</v>
      </c>
      <c r="E1247" t="s">
        <v>1472</v>
      </c>
      <c r="F1247" s="46" t="s">
        <v>1605</v>
      </c>
      <c r="G1247" t="s">
        <v>303</v>
      </c>
      <c r="H1247" s="23">
        <v>12</v>
      </c>
      <c r="I1247" s="23" t="s">
        <v>1592</v>
      </c>
      <c r="J1247" t="s">
        <v>683</v>
      </c>
      <c r="K1247">
        <v>1149</v>
      </c>
      <c r="L1247">
        <v>1369</v>
      </c>
      <c r="M1247" s="24">
        <v>992</v>
      </c>
      <c r="N1247" s="24">
        <v>1354</v>
      </c>
      <c r="O1247" s="24">
        <v>944</v>
      </c>
      <c r="P1247" s="24">
        <v>1338</v>
      </c>
      <c r="Q1247">
        <v>764</v>
      </c>
      <c r="R1247">
        <v>1402</v>
      </c>
      <c r="S1247">
        <v>1079</v>
      </c>
      <c r="T1247">
        <v>1720</v>
      </c>
      <c r="U1247">
        <v>1079</v>
      </c>
      <c r="V1247">
        <v>1720</v>
      </c>
    </row>
    <row r="1248" spans="2:22" x14ac:dyDescent="0.35">
      <c r="B1248" s="46" t="s">
        <v>1606</v>
      </c>
      <c r="D1248" t="s">
        <v>1471</v>
      </c>
      <c r="E1248" t="s">
        <v>1472</v>
      </c>
      <c r="F1248" s="46" t="s">
        <v>1606</v>
      </c>
      <c r="G1248" t="s">
        <v>303</v>
      </c>
      <c r="H1248" s="23">
        <v>12</v>
      </c>
      <c r="I1248" s="23" t="s">
        <v>1592</v>
      </c>
      <c r="J1248" t="s">
        <v>1607</v>
      </c>
      <c r="K1248">
        <v>595</v>
      </c>
      <c r="L1248">
        <v>714</v>
      </c>
      <c r="M1248" s="24">
        <v>496</v>
      </c>
      <c r="N1248" s="24">
        <v>698</v>
      </c>
      <c r="O1248" s="24">
        <v>477</v>
      </c>
      <c r="P1248" s="24">
        <v>666</v>
      </c>
      <c r="Q1248">
        <v>450</v>
      </c>
      <c r="R1248">
        <v>744</v>
      </c>
      <c r="S1248">
        <v>619</v>
      </c>
      <c r="T1248">
        <v>991</v>
      </c>
      <c r="U1248">
        <v>619</v>
      </c>
      <c r="V1248">
        <v>991</v>
      </c>
    </row>
    <row r="1249" spans="2:22" x14ac:dyDescent="0.35">
      <c r="B1249" s="46" t="s">
        <v>1608</v>
      </c>
      <c r="D1249" t="s">
        <v>1471</v>
      </c>
      <c r="E1249" t="s">
        <v>1472</v>
      </c>
      <c r="F1249" s="46" t="s">
        <v>1608</v>
      </c>
      <c r="G1249" t="s">
        <v>303</v>
      </c>
      <c r="H1249" s="23">
        <v>12</v>
      </c>
      <c r="I1249" s="23" t="s">
        <v>1592</v>
      </c>
      <c r="J1249" t="s">
        <v>1609</v>
      </c>
      <c r="K1249">
        <v>1261</v>
      </c>
      <c r="L1249">
        <v>1660</v>
      </c>
      <c r="M1249" s="24">
        <v>1091</v>
      </c>
      <c r="N1249" s="24">
        <v>1604</v>
      </c>
      <c r="O1249" s="24">
        <v>1033</v>
      </c>
      <c r="P1249" s="24">
        <v>1594</v>
      </c>
      <c r="Q1249">
        <v>916</v>
      </c>
      <c r="R1249">
        <v>1678</v>
      </c>
      <c r="S1249">
        <v>1308</v>
      </c>
      <c r="T1249">
        <v>2063</v>
      </c>
      <c r="U1249">
        <v>1308</v>
      </c>
      <c r="V1249">
        <v>2063</v>
      </c>
    </row>
    <row r="1250" spans="2:22" x14ac:dyDescent="0.35">
      <c r="B1250" s="46" t="s">
        <v>1610</v>
      </c>
      <c r="D1250" t="s">
        <v>1471</v>
      </c>
      <c r="E1250" t="s">
        <v>1472</v>
      </c>
      <c r="F1250" s="46" t="s">
        <v>1610</v>
      </c>
      <c r="G1250" t="s">
        <v>303</v>
      </c>
      <c r="H1250" s="23">
        <v>12</v>
      </c>
      <c r="I1250" s="23" t="s">
        <v>1592</v>
      </c>
      <c r="J1250" t="s">
        <v>1611</v>
      </c>
      <c r="K1250">
        <v>487</v>
      </c>
      <c r="L1250">
        <v>627</v>
      </c>
      <c r="M1250" s="24">
        <v>399</v>
      </c>
      <c r="N1250" s="24">
        <v>595</v>
      </c>
      <c r="O1250" s="24">
        <v>345</v>
      </c>
      <c r="P1250" s="24">
        <v>573</v>
      </c>
      <c r="Q1250">
        <v>300</v>
      </c>
      <c r="R1250">
        <v>593</v>
      </c>
      <c r="S1250">
        <v>404</v>
      </c>
      <c r="T1250">
        <v>713</v>
      </c>
      <c r="U1250">
        <v>404</v>
      </c>
      <c r="V1250">
        <v>713</v>
      </c>
    </row>
    <row r="1251" spans="2:22" x14ac:dyDescent="0.35">
      <c r="B1251" s="46" t="s">
        <v>1612</v>
      </c>
      <c r="D1251" t="s">
        <v>1471</v>
      </c>
      <c r="E1251" t="s">
        <v>1472</v>
      </c>
      <c r="F1251" s="46" t="s">
        <v>1612</v>
      </c>
      <c r="G1251" t="s">
        <v>311</v>
      </c>
      <c r="H1251" s="23">
        <v>13</v>
      </c>
      <c r="I1251" s="23" t="s">
        <v>1613</v>
      </c>
      <c r="J1251" t="s">
        <v>355</v>
      </c>
      <c r="K1251">
        <v>2188</v>
      </c>
      <c r="L1251">
        <v>3113</v>
      </c>
      <c r="M1251" s="24">
        <v>1907</v>
      </c>
      <c r="N1251" s="24">
        <v>3000</v>
      </c>
      <c r="O1251" s="24">
        <v>1762</v>
      </c>
      <c r="P1251" s="24">
        <v>3002</v>
      </c>
      <c r="Q1251">
        <v>1501</v>
      </c>
      <c r="R1251">
        <v>2964</v>
      </c>
      <c r="S1251">
        <v>2219</v>
      </c>
      <c r="T1251">
        <v>4128</v>
      </c>
      <c r="U1251">
        <v>2219</v>
      </c>
      <c r="V1251">
        <v>4128</v>
      </c>
    </row>
    <row r="1252" spans="2:22" x14ac:dyDescent="0.35">
      <c r="B1252" s="46" t="s">
        <v>1614</v>
      </c>
      <c r="D1252" t="s">
        <v>1471</v>
      </c>
      <c r="E1252" t="s">
        <v>1472</v>
      </c>
      <c r="F1252" s="46" t="s">
        <v>1614</v>
      </c>
      <c r="G1252" t="s">
        <v>311</v>
      </c>
      <c r="H1252" s="23">
        <v>13</v>
      </c>
      <c r="I1252" s="23" t="s">
        <v>1613</v>
      </c>
      <c r="J1252" t="s">
        <v>1615</v>
      </c>
      <c r="K1252">
        <v>5691</v>
      </c>
      <c r="L1252">
        <v>8563</v>
      </c>
      <c r="M1252" s="24">
        <v>4611</v>
      </c>
      <c r="N1252" s="24">
        <v>7792</v>
      </c>
      <c r="O1252" s="24">
        <v>4328</v>
      </c>
      <c r="P1252" s="24">
        <v>7891</v>
      </c>
      <c r="Q1252">
        <v>4063</v>
      </c>
      <c r="R1252">
        <v>8789</v>
      </c>
      <c r="S1252">
        <v>5836</v>
      </c>
      <c r="T1252">
        <v>11423</v>
      </c>
      <c r="U1252">
        <v>5836</v>
      </c>
      <c r="V1252">
        <v>11423</v>
      </c>
    </row>
    <row r="1253" spans="2:22" x14ac:dyDescent="0.35">
      <c r="B1253" s="46" t="s">
        <v>1616</v>
      </c>
      <c r="D1253" t="s">
        <v>1471</v>
      </c>
      <c r="E1253" t="s">
        <v>1472</v>
      </c>
      <c r="F1253" s="46" t="s">
        <v>1616</v>
      </c>
      <c r="G1253" t="s">
        <v>311</v>
      </c>
      <c r="H1253" s="23">
        <v>13</v>
      </c>
      <c r="I1253" s="23" t="s">
        <v>1613</v>
      </c>
      <c r="J1253" t="s">
        <v>1617</v>
      </c>
      <c r="K1253">
        <v>35932</v>
      </c>
      <c r="L1253">
        <v>57544</v>
      </c>
      <c r="M1253" s="24">
        <v>30959</v>
      </c>
      <c r="N1253" s="24">
        <v>53759</v>
      </c>
      <c r="O1253" s="24">
        <v>28168</v>
      </c>
      <c r="P1253" s="24">
        <v>52807</v>
      </c>
      <c r="Q1253">
        <v>27188</v>
      </c>
      <c r="R1253">
        <v>56657</v>
      </c>
      <c r="S1253">
        <v>35598</v>
      </c>
      <c r="T1253">
        <v>70175</v>
      </c>
      <c r="U1253">
        <v>35598</v>
      </c>
      <c r="V1253">
        <v>70175</v>
      </c>
    </row>
    <row r="1254" spans="2:22" x14ac:dyDescent="0.35">
      <c r="B1254" s="46" t="s">
        <v>1618</v>
      </c>
      <c r="D1254" t="s">
        <v>1471</v>
      </c>
      <c r="E1254" t="s">
        <v>1472</v>
      </c>
      <c r="F1254" s="46" t="s">
        <v>1618</v>
      </c>
      <c r="G1254" t="s">
        <v>577</v>
      </c>
      <c r="H1254" s="23">
        <v>14</v>
      </c>
      <c r="I1254" s="23" t="s">
        <v>1619</v>
      </c>
      <c r="J1254" t="s">
        <v>1620</v>
      </c>
      <c r="K1254">
        <v>1877</v>
      </c>
      <c r="L1254">
        <v>2211</v>
      </c>
      <c r="M1254" s="24">
        <v>1570</v>
      </c>
      <c r="N1254" s="24">
        <v>2039</v>
      </c>
      <c r="O1254" s="24">
        <v>1361</v>
      </c>
      <c r="P1254" s="24">
        <v>1885</v>
      </c>
      <c r="Q1254">
        <v>1278</v>
      </c>
      <c r="R1254">
        <v>2029</v>
      </c>
      <c r="S1254">
        <v>1250</v>
      </c>
      <c r="T1254">
        <v>2477</v>
      </c>
      <c r="U1254">
        <v>1250</v>
      </c>
      <c r="V1254">
        <v>2477</v>
      </c>
    </row>
    <row r="1255" spans="2:22" x14ac:dyDescent="0.35">
      <c r="B1255" s="46" t="s">
        <v>1621</v>
      </c>
      <c r="D1255" t="s">
        <v>1471</v>
      </c>
      <c r="E1255" t="s">
        <v>1472</v>
      </c>
      <c r="F1255" s="46" t="s">
        <v>1621</v>
      </c>
      <c r="G1255" t="s">
        <v>577</v>
      </c>
      <c r="H1255" s="23">
        <v>14</v>
      </c>
      <c r="I1255" s="23" t="s">
        <v>1619</v>
      </c>
      <c r="J1255" t="s">
        <v>305</v>
      </c>
      <c r="K1255">
        <v>675</v>
      </c>
      <c r="L1255">
        <v>814</v>
      </c>
      <c r="M1255" s="24">
        <v>611</v>
      </c>
      <c r="N1255" s="24">
        <v>852</v>
      </c>
      <c r="O1255" s="24">
        <v>533</v>
      </c>
      <c r="P1255" s="24">
        <v>791</v>
      </c>
      <c r="Q1255">
        <v>537</v>
      </c>
      <c r="R1255">
        <v>875</v>
      </c>
      <c r="S1255">
        <v>485</v>
      </c>
      <c r="T1255">
        <v>1018</v>
      </c>
      <c r="U1255">
        <v>485</v>
      </c>
      <c r="V1255">
        <v>1018</v>
      </c>
    </row>
    <row r="1256" spans="2:22" x14ac:dyDescent="0.35">
      <c r="B1256" s="46" t="s">
        <v>1622</v>
      </c>
      <c r="D1256" t="s">
        <v>1471</v>
      </c>
      <c r="E1256" t="s">
        <v>1472</v>
      </c>
      <c r="F1256" s="46" t="s">
        <v>1622</v>
      </c>
      <c r="G1256" t="s">
        <v>577</v>
      </c>
      <c r="H1256" s="23">
        <v>14</v>
      </c>
      <c r="I1256" s="23" t="s">
        <v>1619</v>
      </c>
      <c r="J1256" t="s">
        <v>1623</v>
      </c>
      <c r="K1256">
        <v>2576</v>
      </c>
      <c r="L1256">
        <v>3720</v>
      </c>
      <c r="M1256" s="24">
        <v>1878</v>
      </c>
      <c r="N1256" s="24">
        <v>3163</v>
      </c>
      <c r="O1256" s="24">
        <v>1568</v>
      </c>
      <c r="P1256" s="24">
        <v>3007</v>
      </c>
      <c r="Q1256">
        <v>1625</v>
      </c>
      <c r="R1256">
        <v>3232</v>
      </c>
      <c r="S1256">
        <v>2285</v>
      </c>
      <c r="T1256">
        <v>4251</v>
      </c>
      <c r="U1256">
        <v>2285</v>
      </c>
      <c r="V1256">
        <v>4251</v>
      </c>
    </row>
    <row r="1257" spans="2:22" x14ac:dyDescent="0.35">
      <c r="B1257" s="46" t="s">
        <v>1624</v>
      </c>
      <c r="D1257" t="s">
        <v>1471</v>
      </c>
      <c r="E1257" t="s">
        <v>1472</v>
      </c>
      <c r="F1257" s="46" t="s">
        <v>1624</v>
      </c>
      <c r="G1257" t="s">
        <v>577</v>
      </c>
      <c r="H1257" s="23">
        <v>14</v>
      </c>
      <c r="I1257" s="23" t="s">
        <v>1619</v>
      </c>
      <c r="J1257" t="s">
        <v>1625</v>
      </c>
      <c r="K1257">
        <v>7004</v>
      </c>
      <c r="L1257">
        <v>8752</v>
      </c>
      <c r="M1257" s="24">
        <v>5991</v>
      </c>
      <c r="N1257" s="24">
        <v>8454</v>
      </c>
      <c r="O1257" s="24">
        <v>5676</v>
      </c>
      <c r="P1257" s="24">
        <v>8369</v>
      </c>
      <c r="Q1257">
        <v>5673</v>
      </c>
      <c r="R1257">
        <v>9264</v>
      </c>
      <c r="S1257">
        <v>4798</v>
      </c>
      <c r="T1257">
        <v>10171</v>
      </c>
      <c r="U1257">
        <v>4798</v>
      </c>
      <c r="V1257">
        <v>10171</v>
      </c>
    </row>
    <row r="1258" spans="2:22" x14ac:dyDescent="0.35">
      <c r="B1258" s="46" t="s">
        <v>1626</v>
      </c>
      <c r="D1258" t="s">
        <v>1471</v>
      </c>
      <c r="E1258" t="s">
        <v>1472</v>
      </c>
      <c r="F1258" s="46" t="s">
        <v>1626</v>
      </c>
      <c r="G1258" t="s">
        <v>577</v>
      </c>
      <c r="H1258" s="23">
        <v>14</v>
      </c>
      <c r="I1258" s="23" t="s">
        <v>1619</v>
      </c>
      <c r="J1258" t="s">
        <v>894</v>
      </c>
      <c r="K1258">
        <v>2995</v>
      </c>
      <c r="L1258">
        <v>3963</v>
      </c>
      <c r="M1258" s="24">
        <v>2676</v>
      </c>
      <c r="N1258" s="24">
        <v>3966</v>
      </c>
      <c r="O1258" s="24">
        <v>2602</v>
      </c>
      <c r="P1258" s="24">
        <v>4033</v>
      </c>
      <c r="Q1258">
        <v>2649</v>
      </c>
      <c r="R1258">
        <v>4361</v>
      </c>
      <c r="S1258">
        <v>2421</v>
      </c>
      <c r="T1258">
        <v>5266</v>
      </c>
      <c r="U1258">
        <v>2421</v>
      </c>
      <c r="V1258">
        <v>5266</v>
      </c>
    </row>
    <row r="1259" spans="2:22" x14ac:dyDescent="0.35">
      <c r="B1259" s="46" t="s">
        <v>1627</v>
      </c>
      <c r="D1259" t="s">
        <v>1471</v>
      </c>
      <c r="E1259" t="s">
        <v>1472</v>
      </c>
      <c r="F1259" s="46" t="s">
        <v>1627</v>
      </c>
      <c r="G1259" t="s">
        <v>577</v>
      </c>
      <c r="H1259" s="23">
        <v>14</v>
      </c>
      <c r="I1259" s="23" t="s">
        <v>1619</v>
      </c>
      <c r="J1259" t="s">
        <v>1628</v>
      </c>
      <c r="K1259">
        <v>2905</v>
      </c>
      <c r="L1259">
        <v>3637</v>
      </c>
      <c r="M1259" s="24">
        <v>2538</v>
      </c>
      <c r="N1259" s="24">
        <v>3609</v>
      </c>
      <c r="O1259" s="24">
        <v>2435</v>
      </c>
      <c r="P1259" s="24">
        <v>3599</v>
      </c>
      <c r="Q1259">
        <v>2440</v>
      </c>
      <c r="R1259">
        <v>3912</v>
      </c>
      <c r="S1259">
        <v>2365</v>
      </c>
      <c r="T1259">
        <v>4545</v>
      </c>
      <c r="U1259">
        <v>2365</v>
      </c>
      <c r="V1259">
        <v>4545</v>
      </c>
    </row>
    <row r="1260" spans="2:22" x14ac:dyDescent="0.35">
      <c r="B1260" s="46" t="s">
        <v>1629</v>
      </c>
      <c r="D1260" t="s">
        <v>1471</v>
      </c>
      <c r="E1260" t="s">
        <v>1472</v>
      </c>
      <c r="F1260" s="46" t="s">
        <v>1629</v>
      </c>
      <c r="G1260" t="s">
        <v>581</v>
      </c>
      <c r="H1260" s="23">
        <v>15</v>
      </c>
      <c r="I1260" s="23" t="s">
        <v>1630</v>
      </c>
      <c r="J1260" t="s">
        <v>1631</v>
      </c>
      <c r="K1260">
        <v>5179</v>
      </c>
      <c r="L1260">
        <v>7464</v>
      </c>
      <c r="M1260" s="24">
        <v>4347</v>
      </c>
      <c r="N1260" s="24">
        <v>7644</v>
      </c>
      <c r="O1260" s="24">
        <v>4638</v>
      </c>
      <c r="P1260" s="24">
        <v>8328</v>
      </c>
      <c r="Q1260">
        <v>4481</v>
      </c>
      <c r="R1260">
        <v>9151</v>
      </c>
      <c r="S1260">
        <v>5691</v>
      </c>
      <c r="T1260">
        <v>11322</v>
      </c>
      <c r="U1260">
        <v>5691</v>
      </c>
      <c r="V1260">
        <v>11322</v>
      </c>
    </row>
    <row r="1261" spans="2:22" x14ac:dyDescent="0.35">
      <c r="B1261" s="46" t="s">
        <v>1632</v>
      </c>
      <c r="D1261" t="s">
        <v>1471</v>
      </c>
      <c r="E1261" t="s">
        <v>1472</v>
      </c>
      <c r="F1261" s="46" t="s">
        <v>1632</v>
      </c>
      <c r="G1261" t="s">
        <v>581</v>
      </c>
      <c r="H1261" s="23">
        <v>15</v>
      </c>
      <c r="I1261" s="23" t="s">
        <v>1630</v>
      </c>
      <c r="J1261" t="s">
        <v>1633</v>
      </c>
      <c r="K1261">
        <v>1787</v>
      </c>
      <c r="L1261">
        <v>2360</v>
      </c>
      <c r="M1261" s="24">
        <v>1658</v>
      </c>
      <c r="N1261" s="24">
        <v>2392</v>
      </c>
      <c r="O1261" s="24">
        <v>1825</v>
      </c>
      <c r="P1261" s="24">
        <v>2626</v>
      </c>
      <c r="Q1261">
        <v>1848</v>
      </c>
      <c r="R1261">
        <v>2878</v>
      </c>
      <c r="S1261">
        <v>1837</v>
      </c>
      <c r="T1261">
        <v>3442</v>
      </c>
      <c r="U1261">
        <v>1837</v>
      </c>
      <c r="V1261">
        <v>3442</v>
      </c>
    </row>
    <row r="1262" spans="2:22" x14ac:dyDescent="0.35">
      <c r="B1262" s="46" t="s">
        <v>1634</v>
      </c>
      <c r="D1262" t="s">
        <v>1471</v>
      </c>
      <c r="E1262" t="s">
        <v>1472</v>
      </c>
      <c r="F1262" s="46" t="s">
        <v>1634</v>
      </c>
      <c r="G1262" t="s">
        <v>581</v>
      </c>
      <c r="H1262" s="23">
        <v>15</v>
      </c>
      <c r="I1262" s="23" t="s">
        <v>1630</v>
      </c>
      <c r="J1262" t="s">
        <v>1635</v>
      </c>
      <c r="K1262">
        <v>1770</v>
      </c>
      <c r="L1262">
        <v>2202</v>
      </c>
      <c r="M1262" s="24">
        <v>1615</v>
      </c>
      <c r="N1262" s="24">
        <v>2239</v>
      </c>
      <c r="O1262" s="24">
        <v>1666</v>
      </c>
      <c r="P1262" s="24">
        <v>2385</v>
      </c>
      <c r="Q1262">
        <v>1493</v>
      </c>
      <c r="R1262">
        <v>2497</v>
      </c>
      <c r="S1262">
        <v>1898</v>
      </c>
      <c r="T1262">
        <v>3185</v>
      </c>
      <c r="U1262">
        <v>1898</v>
      </c>
      <c r="V1262">
        <v>3185</v>
      </c>
    </row>
    <row r="1263" spans="2:22" x14ac:dyDescent="0.35">
      <c r="B1263" s="46" t="s">
        <v>1636</v>
      </c>
      <c r="D1263" t="s">
        <v>1471</v>
      </c>
      <c r="E1263" t="s">
        <v>1472</v>
      </c>
      <c r="F1263" s="46" t="s">
        <v>1636</v>
      </c>
      <c r="G1263" t="s">
        <v>581</v>
      </c>
      <c r="H1263" s="23">
        <v>15</v>
      </c>
      <c r="I1263" s="23" t="s">
        <v>1630</v>
      </c>
      <c r="J1263" t="s">
        <v>1637</v>
      </c>
      <c r="K1263">
        <v>10380</v>
      </c>
      <c r="L1263">
        <v>15082</v>
      </c>
      <c r="M1263" s="24">
        <v>8613</v>
      </c>
      <c r="N1263" s="24">
        <v>15058</v>
      </c>
      <c r="O1263" s="24">
        <v>8855</v>
      </c>
      <c r="P1263" s="24">
        <v>16037</v>
      </c>
      <c r="Q1263">
        <v>8229</v>
      </c>
      <c r="R1263">
        <v>17182</v>
      </c>
      <c r="S1263">
        <v>10163</v>
      </c>
      <c r="T1263">
        <v>20678</v>
      </c>
      <c r="U1263">
        <v>10163</v>
      </c>
      <c r="V1263">
        <v>20678</v>
      </c>
    </row>
    <row r="1264" spans="2:22" x14ac:dyDescent="0.35">
      <c r="B1264" s="46" t="s">
        <v>1638</v>
      </c>
      <c r="D1264" t="s">
        <v>1471</v>
      </c>
      <c r="E1264" t="s">
        <v>1472</v>
      </c>
      <c r="F1264" s="46" t="s">
        <v>1638</v>
      </c>
      <c r="G1264" t="s">
        <v>581</v>
      </c>
      <c r="H1264" s="23">
        <v>15</v>
      </c>
      <c r="I1264" s="23" t="s">
        <v>1630</v>
      </c>
      <c r="J1264" t="s">
        <v>1639</v>
      </c>
      <c r="K1264">
        <v>4098</v>
      </c>
      <c r="L1264">
        <v>5466</v>
      </c>
      <c r="M1264" s="24">
        <v>3883</v>
      </c>
      <c r="N1264" s="24">
        <v>5975</v>
      </c>
      <c r="O1264" s="24">
        <v>4376</v>
      </c>
      <c r="P1264" s="24">
        <v>6887</v>
      </c>
      <c r="Q1264">
        <v>4466</v>
      </c>
      <c r="R1264">
        <v>7527</v>
      </c>
      <c r="S1264">
        <v>6014</v>
      </c>
      <c r="T1264">
        <v>9233</v>
      </c>
      <c r="U1264">
        <v>6014</v>
      </c>
      <c r="V1264">
        <v>9233</v>
      </c>
    </row>
    <row r="1265" spans="2:22" x14ac:dyDescent="0.35">
      <c r="B1265" s="46" t="s">
        <v>1640</v>
      </c>
      <c r="D1265" t="s">
        <v>1471</v>
      </c>
      <c r="E1265" t="s">
        <v>1472</v>
      </c>
      <c r="F1265" s="46" t="s">
        <v>1640</v>
      </c>
      <c r="G1265" t="s">
        <v>581</v>
      </c>
      <c r="H1265" s="23">
        <v>15</v>
      </c>
      <c r="I1265" s="23" t="s">
        <v>1630</v>
      </c>
      <c r="J1265" t="s">
        <v>1641</v>
      </c>
      <c r="K1265">
        <v>2379</v>
      </c>
      <c r="L1265">
        <v>3405</v>
      </c>
      <c r="M1265" s="24">
        <v>1891</v>
      </c>
      <c r="N1265" s="24">
        <v>3384</v>
      </c>
      <c r="O1265" s="24">
        <v>1930</v>
      </c>
      <c r="P1265" s="24">
        <v>3594</v>
      </c>
      <c r="Q1265">
        <v>1831</v>
      </c>
      <c r="R1265">
        <v>3816</v>
      </c>
      <c r="S1265">
        <v>2325</v>
      </c>
      <c r="T1265">
        <v>4716</v>
      </c>
      <c r="U1265">
        <v>2325</v>
      </c>
      <c r="V1265">
        <v>4716</v>
      </c>
    </row>
    <row r="1266" spans="2:22" x14ac:dyDescent="0.35">
      <c r="B1266" s="46" t="s">
        <v>1642</v>
      </c>
      <c r="D1266" t="s">
        <v>1471</v>
      </c>
      <c r="E1266" t="s">
        <v>1472</v>
      </c>
      <c r="F1266" s="46" t="s">
        <v>1642</v>
      </c>
      <c r="G1266" t="s">
        <v>585</v>
      </c>
      <c r="H1266" s="23">
        <v>16</v>
      </c>
      <c r="I1266" s="23" t="s">
        <v>1643</v>
      </c>
      <c r="J1266" t="s">
        <v>1644</v>
      </c>
      <c r="K1266">
        <v>2858</v>
      </c>
      <c r="L1266">
        <v>3391</v>
      </c>
      <c r="M1266" s="24">
        <v>2493</v>
      </c>
      <c r="N1266" s="24">
        <v>3340</v>
      </c>
      <c r="O1266" s="24">
        <v>2268</v>
      </c>
      <c r="P1266" s="24">
        <v>3261</v>
      </c>
      <c r="Q1266">
        <v>2103</v>
      </c>
      <c r="R1266">
        <v>3543</v>
      </c>
      <c r="S1266">
        <v>2935</v>
      </c>
      <c r="T1266">
        <v>4642</v>
      </c>
      <c r="U1266">
        <v>2935</v>
      </c>
      <c r="V1266">
        <v>4642</v>
      </c>
    </row>
    <row r="1267" spans="2:22" x14ac:dyDescent="0.35">
      <c r="B1267" s="46" t="s">
        <v>1645</v>
      </c>
      <c r="D1267" t="s">
        <v>1471</v>
      </c>
      <c r="E1267" t="s">
        <v>1472</v>
      </c>
      <c r="F1267" s="46" t="s">
        <v>1645</v>
      </c>
      <c r="G1267" t="s">
        <v>585</v>
      </c>
      <c r="H1267" s="23">
        <v>16</v>
      </c>
      <c r="I1267" s="23" t="s">
        <v>1643</v>
      </c>
      <c r="J1267" t="s">
        <v>1646</v>
      </c>
      <c r="K1267">
        <v>3917</v>
      </c>
      <c r="L1267">
        <v>5206</v>
      </c>
      <c r="M1267" s="24">
        <v>3372</v>
      </c>
      <c r="N1267" s="24">
        <v>5088</v>
      </c>
      <c r="O1267" s="24">
        <v>3276</v>
      </c>
      <c r="P1267" s="24">
        <v>5274</v>
      </c>
      <c r="Q1267">
        <v>3115</v>
      </c>
      <c r="R1267">
        <v>5609</v>
      </c>
      <c r="S1267">
        <v>4020</v>
      </c>
      <c r="T1267">
        <v>6817</v>
      </c>
      <c r="U1267">
        <v>4020</v>
      </c>
      <c r="V1267">
        <v>6817</v>
      </c>
    </row>
    <row r="1268" spans="2:22" x14ac:dyDescent="0.35">
      <c r="B1268" s="46" t="s">
        <v>1647</v>
      </c>
      <c r="D1268" t="s">
        <v>1471</v>
      </c>
      <c r="E1268" t="s">
        <v>1472</v>
      </c>
      <c r="F1268" s="46" t="s">
        <v>1647</v>
      </c>
      <c r="G1268" t="s">
        <v>585</v>
      </c>
      <c r="H1268" s="23">
        <v>16</v>
      </c>
      <c r="I1268" s="23" t="s">
        <v>1643</v>
      </c>
      <c r="J1268" t="s">
        <v>1648</v>
      </c>
      <c r="K1268">
        <v>3851</v>
      </c>
      <c r="L1268">
        <v>4851</v>
      </c>
      <c r="M1268" s="24">
        <v>3455</v>
      </c>
      <c r="N1268" s="24">
        <v>4816</v>
      </c>
      <c r="O1268" s="24">
        <v>3331</v>
      </c>
      <c r="P1268" s="24">
        <v>4932</v>
      </c>
      <c r="Q1268">
        <v>3312</v>
      </c>
      <c r="R1268">
        <v>5389</v>
      </c>
      <c r="S1268">
        <v>4114</v>
      </c>
      <c r="T1268">
        <v>6490</v>
      </c>
      <c r="U1268">
        <v>4114</v>
      </c>
      <c r="V1268">
        <v>6490</v>
      </c>
    </row>
    <row r="1269" spans="2:22" x14ac:dyDescent="0.35">
      <c r="B1269" s="46" t="s">
        <v>1649</v>
      </c>
      <c r="D1269" t="s">
        <v>1471</v>
      </c>
      <c r="E1269" t="s">
        <v>1472</v>
      </c>
      <c r="F1269" s="46" t="s">
        <v>1649</v>
      </c>
      <c r="G1269" t="s">
        <v>585</v>
      </c>
      <c r="H1269" s="23">
        <v>16</v>
      </c>
      <c r="I1269" s="23" t="s">
        <v>1643</v>
      </c>
      <c r="J1269" t="s">
        <v>1650</v>
      </c>
      <c r="K1269">
        <v>3141</v>
      </c>
      <c r="L1269">
        <v>4559</v>
      </c>
      <c r="M1269" s="24">
        <v>2607</v>
      </c>
      <c r="N1269" s="24">
        <v>4520</v>
      </c>
      <c r="O1269" s="24">
        <v>2431</v>
      </c>
      <c r="P1269" s="24">
        <v>4529</v>
      </c>
      <c r="Q1269">
        <v>2294</v>
      </c>
      <c r="R1269">
        <v>4841</v>
      </c>
      <c r="S1269">
        <v>2713</v>
      </c>
      <c r="T1269">
        <v>5672</v>
      </c>
      <c r="U1269">
        <v>2713</v>
      </c>
      <c r="V1269">
        <v>5672</v>
      </c>
    </row>
    <row r="1270" spans="2:22" x14ac:dyDescent="0.35">
      <c r="B1270" s="46" t="s">
        <v>1651</v>
      </c>
      <c r="D1270" t="s">
        <v>1471</v>
      </c>
      <c r="E1270" t="s">
        <v>1472</v>
      </c>
      <c r="F1270" s="46" t="s">
        <v>1651</v>
      </c>
      <c r="G1270" t="s">
        <v>585</v>
      </c>
      <c r="H1270" s="23">
        <v>16</v>
      </c>
      <c r="I1270" s="23" t="s">
        <v>1643</v>
      </c>
      <c r="J1270" t="s">
        <v>1652</v>
      </c>
      <c r="K1270">
        <v>284</v>
      </c>
      <c r="L1270">
        <v>384</v>
      </c>
      <c r="M1270" s="24">
        <v>229</v>
      </c>
      <c r="N1270" s="24">
        <v>355</v>
      </c>
      <c r="O1270" s="24">
        <v>215</v>
      </c>
      <c r="P1270" s="24">
        <v>339</v>
      </c>
      <c r="Q1270">
        <v>212</v>
      </c>
      <c r="R1270">
        <v>368</v>
      </c>
      <c r="S1270">
        <v>261</v>
      </c>
      <c r="T1270">
        <v>473</v>
      </c>
      <c r="U1270">
        <v>261</v>
      </c>
      <c r="V1270">
        <v>473</v>
      </c>
    </row>
    <row r="1271" spans="2:22" x14ac:dyDescent="0.35">
      <c r="B1271" s="46" t="s">
        <v>1653</v>
      </c>
      <c r="D1271" t="s">
        <v>1471</v>
      </c>
      <c r="E1271" t="s">
        <v>1472</v>
      </c>
      <c r="F1271" s="46" t="s">
        <v>1653</v>
      </c>
      <c r="G1271" t="s">
        <v>585</v>
      </c>
      <c r="H1271" s="23">
        <v>16</v>
      </c>
      <c r="I1271" s="23" t="s">
        <v>1643</v>
      </c>
      <c r="J1271" t="s">
        <v>983</v>
      </c>
      <c r="K1271">
        <v>463</v>
      </c>
      <c r="L1271">
        <v>562</v>
      </c>
      <c r="M1271" s="24">
        <v>406</v>
      </c>
      <c r="N1271" s="24">
        <v>517</v>
      </c>
      <c r="O1271" s="24">
        <v>380</v>
      </c>
      <c r="P1271" s="24">
        <v>537</v>
      </c>
      <c r="Q1271">
        <v>360</v>
      </c>
      <c r="R1271">
        <v>572</v>
      </c>
      <c r="S1271">
        <v>488</v>
      </c>
      <c r="T1271">
        <v>727</v>
      </c>
      <c r="U1271">
        <v>488</v>
      </c>
      <c r="V1271">
        <v>727</v>
      </c>
    </row>
    <row r="1272" spans="2:22" x14ac:dyDescent="0.35">
      <c r="B1272" s="46" t="s">
        <v>1654</v>
      </c>
      <c r="D1272" t="s">
        <v>1471</v>
      </c>
      <c r="E1272" t="s">
        <v>1472</v>
      </c>
      <c r="F1272" s="46" t="s">
        <v>1654</v>
      </c>
      <c r="G1272" t="s">
        <v>585</v>
      </c>
      <c r="H1272" s="23">
        <v>16</v>
      </c>
      <c r="I1272" s="23" t="s">
        <v>1643</v>
      </c>
      <c r="J1272" t="s">
        <v>1655</v>
      </c>
      <c r="K1272">
        <v>1774</v>
      </c>
      <c r="L1272">
        <v>2287</v>
      </c>
      <c r="M1272" s="24">
        <v>1589</v>
      </c>
      <c r="N1272" s="24">
        <v>2244</v>
      </c>
      <c r="O1272" s="24">
        <v>1482</v>
      </c>
      <c r="P1272" s="24">
        <v>2217</v>
      </c>
      <c r="Q1272">
        <v>1486</v>
      </c>
      <c r="R1272">
        <v>2386</v>
      </c>
      <c r="S1272">
        <v>2118</v>
      </c>
      <c r="T1272">
        <v>3184</v>
      </c>
      <c r="U1272">
        <v>2118</v>
      </c>
      <c r="V1272">
        <v>3184</v>
      </c>
    </row>
    <row r="1273" spans="2:22" x14ac:dyDescent="0.35">
      <c r="B1273" s="46" t="s">
        <v>1656</v>
      </c>
      <c r="D1273" t="s">
        <v>1471</v>
      </c>
      <c r="E1273" t="s">
        <v>1472</v>
      </c>
      <c r="F1273" s="46" t="s">
        <v>1656</v>
      </c>
      <c r="G1273" t="s">
        <v>585</v>
      </c>
      <c r="H1273" s="23">
        <v>16</v>
      </c>
      <c r="I1273" s="23" t="s">
        <v>1643</v>
      </c>
      <c r="J1273" t="s">
        <v>1657</v>
      </c>
      <c r="K1273">
        <v>548</v>
      </c>
      <c r="L1273">
        <v>707</v>
      </c>
      <c r="M1273" s="24">
        <v>482</v>
      </c>
      <c r="N1273" s="24">
        <v>704</v>
      </c>
      <c r="O1273" s="24">
        <v>448</v>
      </c>
      <c r="P1273" s="24">
        <v>682</v>
      </c>
      <c r="Q1273">
        <v>421</v>
      </c>
      <c r="R1273">
        <v>695</v>
      </c>
      <c r="S1273">
        <v>529</v>
      </c>
      <c r="T1273">
        <v>931</v>
      </c>
      <c r="U1273">
        <v>529</v>
      </c>
      <c r="V1273">
        <v>931</v>
      </c>
    </row>
    <row r="1274" spans="2:22" x14ac:dyDescent="0.35">
      <c r="B1274" s="46" t="s">
        <v>1658</v>
      </c>
      <c r="D1274" t="s">
        <v>1471</v>
      </c>
      <c r="E1274" t="s">
        <v>1472</v>
      </c>
      <c r="F1274" s="46" t="s">
        <v>1658</v>
      </c>
      <c r="G1274" t="s">
        <v>585</v>
      </c>
      <c r="H1274" s="23">
        <v>16</v>
      </c>
      <c r="I1274" s="23" t="s">
        <v>1643</v>
      </c>
      <c r="J1274" t="s">
        <v>1659</v>
      </c>
      <c r="K1274">
        <v>332</v>
      </c>
      <c r="L1274">
        <v>385</v>
      </c>
      <c r="M1274" s="24">
        <v>299</v>
      </c>
      <c r="N1274" s="24">
        <v>363</v>
      </c>
      <c r="O1274" s="24">
        <v>235</v>
      </c>
      <c r="P1274" s="24">
        <v>327</v>
      </c>
      <c r="Q1274">
        <v>219</v>
      </c>
      <c r="R1274">
        <v>356</v>
      </c>
      <c r="S1274">
        <v>258</v>
      </c>
      <c r="T1274">
        <v>403</v>
      </c>
      <c r="U1274">
        <v>258</v>
      </c>
      <c r="V1274">
        <v>403</v>
      </c>
    </row>
    <row r="1275" spans="2:22" x14ac:dyDescent="0.35">
      <c r="B1275" s="46" t="s">
        <v>1660</v>
      </c>
      <c r="D1275" t="s">
        <v>1471</v>
      </c>
      <c r="E1275" t="s">
        <v>1472</v>
      </c>
      <c r="F1275" s="46" t="s">
        <v>1660</v>
      </c>
      <c r="G1275" t="s">
        <v>585</v>
      </c>
      <c r="H1275" s="23">
        <v>16</v>
      </c>
      <c r="I1275" s="23" t="s">
        <v>1643</v>
      </c>
      <c r="J1275" t="s">
        <v>385</v>
      </c>
      <c r="K1275">
        <v>610</v>
      </c>
      <c r="L1275">
        <v>750</v>
      </c>
      <c r="M1275" s="24">
        <v>563</v>
      </c>
      <c r="N1275" s="24">
        <v>770</v>
      </c>
      <c r="O1275" s="24">
        <v>496</v>
      </c>
      <c r="P1275" s="24">
        <v>716</v>
      </c>
      <c r="Q1275">
        <v>469</v>
      </c>
      <c r="R1275">
        <v>726</v>
      </c>
      <c r="S1275">
        <v>593</v>
      </c>
      <c r="T1275">
        <v>877</v>
      </c>
      <c r="U1275">
        <v>593</v>
      </c>
      <c r="V1275">
        <v>877</v>
      </c>
    </row>
    <row r="1276" spans="2:22" x14ac:dyDescent="0.35">
      <c r="B1276" s="46" t="s">
        <v>1661</v>
      </c>
      <c r="D1276" t="s">
        <v>1662</v>
      </c>
      <c r="E1276" t="s">
        <v>1663</v>
      </c>
      <c r="F1276" s="46" t="s">
        <v>1661</v>
      </c>
      <c r="G1276" t="s">
        <v>231</v>
      </c>
      <c r="H1276" s="23">
        <v>1</v>
      </c>
      <c r="I1276" s="23" t="s">
        <v>1664</v>
      </c>
      <c r="J1276" t="s">
        <v>1665</v>
      </c>
      <c r="K1276">
        <v>638</v>
      </c>
      <c r="L1276">
        <v>807</v>
      </c>
      <c r="M1276" s="24">
        <v>512</v>
      </c>
      <c r="N1276" s="24">
        <v>760</v>
      </c>
      <c r="O1276" s="24">
        <v>424</v>
      </c>
      <c r="P1276" s="24">
        <v>758</v>
      </c>
      <c r="Q1276">
        <v>386</v>
      </c>
      <c r="R1276">
        <v>795</v>
      </c>
      <c r="S1276">
        <v>492</v>
      </c>
      <c r="T1276">
        <v>1167</v>
      </c>
      <c r="U1276">
        <v>492</v>
      </c>
      <c r="V1276">
        <v>1167</v>
      </c>
    </row>
    <row r="1277" spans="2:22" x14ac:dyDescent="0.35">
      <c r="B1277" s="46" t="s">
        <v>1666</v>
      </c>
      <c r="D1277" t="s">
        <v>1662</v>
      </c>
      <c r="E1277" t="s">
        <v>1663</v>
      </c>
      <c r="F1277" s="46" t="s">
        <v>1666</v>
      </c>
      <c r="G1277" t="s">
        <v>235</v>
      </c>
      <c r="H1277" s="23">
        <v>2</v>
      </c>
      <c r="I1277" s="23" t="s">
        <v>1667</v>
      </c>
      <c r="J1277" t="s">
        <v>1668</v>
      </c>
      <c r="K1277">
        <v>3801</v>
      </c>
      <c r="L1277">
        <v>5136</v>
      </c>
      <c r="M1277" s="24">
        <v>3294</v>
      </c>
      <c r="N1277" s="24">
        <v>5287</v>
      </c>
      <c r="O1277" s="24">
        <v>2530</v>
      </c>
      <c r="P1277" s="24">
        <v>5277</v>
      </c>
      <c r="Q1277">
        <v>2092</v>
      </c>
      <c r="R1277">
        <v>5675</v>
      </c>
      <c r="S1277">
        <v>3084</v>
      </c>
      <c r="T1277">
        <v>7670</v>
      </c>
      <c r="U1277">
        <v>3084</v>
      </c>
      <c r="V1277">
        <v>7670</v>
      </c>
    </row>
    <row r="1278" spans="2:22" x14ac:dyDescent="0.35">
      <c r="B1278" s="46" t="s">
        <v>1669</v>
      </c>
      <c r="D1278" t="s">
        <v>1662</v>
      </c>
      <c r="E1278" t="s">
        <v>1663</v>
      </c>
      <c r="F1278" s="46" t="s">
        <v>1669</v>
      </c>
      <c r="G1278" t="s">
        <v>239</v>
      </c>
      <c r="H1278" s="23">
        <v>3</v>
      </c>
      <c r="I1278" s="23" t="s">
        <v>1670</v>
      </c>
      <c r="J1278" t="s">
        <v>1671</v>
      </c>
      <c r="K1278">
        <v>166</v>
      </c>
      <c r="L1278">
        <v>206</v>
      </c>
      <c r="M1278" s="24">
        <v>165</v>
      </c>
      <c r="N1278" s="24">
        <v>259</v>
      </c>
      <c r="O1278" s="24">
        <v>104</v>
      </c>
      <c r="P1278" s="24">
        <v>221</v>
      </c>
      <c r="Q1278">
        <v>87</v>
      </c>
      <c r="R1278">
        <v>232</v>
      </c>
      <c r="S1278">
        <v>194</v>
      </c>
      <c r="T1278">
        <v>384</v>
      </c>
      <c r="U1278">
        <v>194</v>
      </c>
      <c r="V1278">
        <v>384</v>
      </c>
    </row>
    <row r="1279" spans="2:22" x14ac:dyDescent="0.35">
      <c r="B1279" s="46" t="s">
        <v>1672</v>
      </c>
      <c r="D1279" t="s">
        <v>1662</v>
      </c>
      <c r="E1279" t="s">
        <v>1663</v>
      </c>
      <c r="F1279" s="46" t="s">
        <v>1672</v>
      </c>
      <c r="G1279" t="s">
        <v>255</v>
      </c>
      <c r="H1279" s="23">
        <v>4</v>
      </c>
      <c r="I1279" s="23" t="s">
        <v>1673</v>
      </c>
      <c r="J1279" t="s">
        <v>1674</v>
      </c>
      <c r="K1279">
        <v>5861</v>
      </c>
      <c r="L1279">
        <v>8195</v>
      </c>
      <c r="M1279" s="24">
        <v>4543</v>
      </c>
      <c r="N1279" s="24">
        <v>8109</v>
      </c>
      <c r="O1279" s="24">
        <v>3944</v>
      </c>
      <c r="P1279" s="24">
        <v>8242</v>
      </c>
      <c r="Q1279">
        <v>3986</v>
      </c>
      <c r="R1279">
        <v>8892</v>
      </c>
      <c r="S1279">
        <v>4623</v>
      </c>
      <c r="T1279">
        <v>11595</v>
      </c>
      <c r="U1279">
        <v>4623</v>
      </c>
      <c r="V1279">
        <v>11595</v>
      </c>
    </row>
    <row r="1280" spans="2:22" x14ac:dyDescent="0.35">
      <c r="B1280" s="46" t="s">
        <v>1675</v>
      </c>
      <c r="D1280" t="s">
        <v>1662</v>
      </c>
      <c r="E1280" t="s">
        <v>1663</v>
      </c>
      <c r="F1280" s="46" t="s">
        <v>1675</v>
      </c>
      <c r="G1280" t="s">
        <v>259</v>
      </c>
      <c r="H1280" s="23">
        <v>5</v>
      </c>
      <c r="I1280" s="23" t="s">
        <v>1676</v>
      </c>
      <c r="J1280" t="s">
        <v>1677</v>
      </c>
      <c r="K1280">
        <v>381</v>
      </c>
      <c r="L1280">
        <v>497</v>
      </c>
      <c r="M1280" s="24">
        <v>348</v>
      </c>
      <c r="N1280" s="24">
        <v>556</v>
      </c>
      <c r="O1280" s="24">
        <v>219</v>
      </c>
      <c r="P1280" s="24">
        <v>484</v>
      </c>
      <c r="Q1280">
        <v>205</v>
      </c>
      <c r="R1280">
        <v>512</v>
      </c>
      <c r="S1280">
        <v>250</v>
      </c>
      <c r="T1280">
        <v>629</v>
      </c>
      <c r="U1280">
        <v>250</v>
      </c>
      <c r="V1280">
        <v>629</v>
      </c>
    </row>
    <row r="1281" spans="2:22" x14ac:dyDescent="0.35">
      <c r="B1281" s="46" t="s">
        <v>1678</v>
      </c>
      <c r="D1281" t="s">
        <v>1662</v>
      </c>
      <c r="E1281" t="s">
        <v>1663</v>
      </c>
      <c r="F1281" s="46" t="s">
        <v>1678</v>
      </c>
      <c r="G1281" t="s">
        <v>265</v>
      </c>
      <c r="H1281" s="23">
        <v>6</v>
      </c>
      <c r="I1281" s="23" t="s">
        <v>1679</v>
      </c>
      <c r="J1281" t="s">
        <v>1680</v>
      </c>
      <c r="K1281">
        <v>421</v>
      </c>
      <c r="L1281">
        <v>535</v>
      </c>
      <c r="M1281" s="24">
        <v>329</v>
      </c>
      <c r="N1281" s="24">
        <v>520</v>
      </c>
      <c r="O1281" s="24">
        <v>243</v>
      </c>
      <c r="P1281" s="24">
        <v>545</v>
      </c>
      <c r="Q1281">
        <v>203</v>
      </c>
      <c r="R1281">
        <v>534</v>
      </c>
      <c r="S1281">
        <v>346</v>
      </c>
      <c r="T1281">
        <v>745</v>
      </c>
      <c r="U1281">
        <v>346</v>
      </c>
      <c r="V1281">
        <v>745</v>
      </c>
    </row>
    <row r="1282" spans="2:22" x14ac:dyDescent="0.35">
      <c r="B1282" s="46" t="s">
        <v>1681</v>
      </c>
      <c r="D1282" t="s">
        <v>1662</v>
      </c>
      <c r="E1282" t="s">
        <v>1663</v>
      </c>
      <c r="F1282" s="46" t="s">
        <v>1681</v>
      </c>
      <c r="G1282" t="s">
        <v>273</v>
      </c>
      <c r="H1282" s="23">
        <v>7</v>
      </c>
      <c r="I1282" s="23" t="s">
        <v>1682</v>
      </c>
      <c r="J1282" t="s">
        <v>1644</v>
      </c>
      <c r="K1282">
        <v>5897</v>
      </c>
      <c r="L1282">
        <v>8953</v>
      </c>
      <c r="M1282" s="24">
        <v>4531</v>
      </c>
      <c r="N1282" s="24">
        <v>8482</v>
      </c>
      <c r="O1282" s="24">
        <v>3743</v>
      </c>
      <c r="P1282" s="24">
        <v>8363</v>
      </c>
      <c r="Q1282">
        <v>3854</v>
      </c>
      <c r="R1282">
        <v>8962</v>
      </c>
      <c r="S1282">
        <v>3960</v>
      </c>
      <c r="T1282">
        <v>12116</v>
      </c>
      <c r="U1282">
        <v>3960</v>
      </c>
      <c r="V1282">
        <v>12116</v>
      </c>
    </row>
    <row r="1283" spans="2:22" x14ac:dyDescent="0.35">
      <c r="B1283" s="46" t="s">
        <v>1683</v>
      </c>
      <c r="D1283" t="s">
        <v>1662</v>
      </c>
      <c r="E1283" t="s">
        <v>1663</v>
      </c>
      <c r="F1283" s="46" t="s">
        <v>1683</v>
      </c>
      <c r="G1283" t="s">
        <v>279</v>
      </c>
      <c r="H1283" s="23">
        <v>8</v>
      </c>
      <c r="I1283" s="23" t="s">
        <v>1684</v>
      </c>
      <c r="J1283" t="s">
        <v>1685</v>
      </c>
      <c r="K1283">
        <v>5571</v>
      </c>
      <c r="L1283">
        <v>8086</v>
      </c>
      <c r="M1283" s="24">
        <v>4425</v>
      </c>
      <c r="N1283" s="24">
        <v>8180</v>
      </c>
      <c r="O1283" s="24">
        <v>3770</v>
      </c>
      <c r="P1283" s="24">
        <v>8317</v>
      </c>
      <c r="Q1283">
        <v>3360</v>
      </c>
      <c r="R1283">
        <v>8914</v>
      </c>
      <c r="S1283">
        <v>5264</v>
      </c>
      <c r="T1283">
        <v>12748</v>
      </c>
      <c r="U1283">
        <v>5264</v>
      </c>
      <c r="V1283">
        <v>12748</v>
      </c>
    </row>
    <row r="1284" spans="2:22" x14ac:dyDescent="0.35">
      <c r="B1284" s="46" t="s">
        <v>1686</v>
      </c>
      <c r="D1284" t="s">
        <v>1662</v>
      </c>
      <c r="E1284" t="s">
        <v>1663</v>
      </c>
      <c r="F1284" s="46" t="s">
        <v>1686</v>
      </c>
      <c r="G1284" t="s">
        <v>283</v>
      </c>
      <c r="H1284" s="23">
        <v>9</v>
      </c>
      <c r="I1284" s="23" t="s">
        <v>1687</v>
      </c>
      <c r="J1284" t="s">
        <v>233</v>
      </c>
      <c r="K1284">
        <v>439</v>
      </c>
      <c r="L1284">
        <v>606</v>
      </c>
      <c r="M1284" s="24">
        <v>359</v>
      </c>
      <c r="N1284" s="24">
        <v>629</v>
      </c>
      <c r="O1284" s="24">
        <v>265</v>
      </c>
      <c r="P1284" s="24">
        <v>587</v>
      </c>
      <c r="Q1284">
        <v>212</v>
      </c>
      <c r="R1284">
        <v>630</v>
      </c>
      <c r="S1284">
        <v>296</v>
      </c>
      <c r="T1284">
        <v>924</v>
      </c>
      <c r="U1284">
        <v>296</v>
      </c>
      <c r="V1284">
        <v>924</v>
      </c>
    </row>
    <row r="1285" spans="2:22" x14ac:dyDescent="0.35">
      <c r="B1285" s="46" t="s">
        <v>1688</v>
      </c>
      <c r="D1285" t="s">
        <v>1662</v>
      </c>
      <c r="E1285" t="s">
        <v>1663</v>
      </c>
      <c r="F1285" s="46" t="s">
        <v>1688</v>
      </c>
      <c r="G1285" t="s">
        <v>289</v>
      </c>
      <c r="H1285" s="23">
        <v>10</v>
      </c>
      <c r="I1285" s="23" t="s">
        <v>1689</v>
      </c>
      <c r="J1285" t="s">
        <v>1690</v>
      </c>
      <c r="K1285">
        <v>13713</v>
      </c>
      <c r="L1285">
        <v>21879</v>
      </c>
      <c r="M1285" s="24">
        <v>10297</v>
      </c>
      <c r="N1285" s="24">
        <v>21636</v>
      </c>
      <c r="O1285" s="24">
        <v>7293</v>
      </c>
      <c r="P1285" s="24">
        <v>20850</v>
      </c>
      <c r="Q1285">
        <v>7294</v>
      </c>
      <c r="R1285">
        <v>22181</v>
      </c>
      <c r="S1285">
        <v>8837</v>
      </c>
      <c r="T1285">
        <v>27577</v>
      </c>
      <c r="U1285">
        <v>8837</v>
      </c>
      <c r="V1285">
        <v>27577</v>
      </c>
    </row>
    <row r="1286" spans="2:22" x14ac:dyDescent="0.35">
      <c r="B1286" s="46" t="s">
        <v>1691</v>
      </c>
      <c r="D1286" t="s">
        <v>1662</v>
      </c>
      <c r="E1286" t="s">
        <v>1663</v>
      </c>
      <c r="F1286" s="46" t="s">
        <v>1691</v>
      </c>
      <c r="G1286" t="s">
        <v>293</v>
      </c>
      <c r="H1286" s="23">
        <v>11</v>
      </c>
      <c r="I1286" s="23" t="s">
        <v>1692</v>
      </c>
      <c r="J1286" t="s">
        <v>323</v>
      </c>
      <c r="K1286">
        <v>1332</v>
      </c>
      <c r="L1286">
        <v>1753</v>
      </c>
      <c r="M1286" s="24">
        <v>1073</v>
      </c>
      <c r="N1286" s="24">
        <v>1787</v>
      </c>
      <c r="O1286" s="24">
        <v>957</v>
      </c>
      <c r="P1286" s="24">
        <v>1847</v>
      </c>
      <c r="Q1286">
        <v>1041</v>
      </c>
      <c r="R1286">
        <v>2159</v>
      </c>
      <c r="S1286">
        <v>1425</v>
      </c>
      <c r="T1286">
        <v>2940</v>
      </c>
      <c r="U1286">
        <v>1425</v>
      </c>
      <c r="V1286">
        <v>2940</v>
      </c>
    </row>
    <row r="1287" spans="2:22" x14ac:dyDescent="0.35">
      <c r="B1287" s="46" t="s">
        <v>1693</v>
      </c>
      <c r="D1287" t="s">
        <v>1662</v>
      </c>
      <c r="E1287" t="s">
        <v>1663</v>
      </c>
      <c r="F1287" s="46" t="s">
        <v>1693</v>
      </c>
      <c r="G1287" t="s">
        <v>303</v>
      </c>
      <c r="H1287" s="23">
        <v>12</v>
      </c>
      <c r="I1287" s="23" t="s">
        <v>1694</v>
      </c>
      <c r="J1287" t="s">
        <v>1695</v>
      </c>
      <c r="K1287">
        <v>908</v>
      </c>
      <c r="L1287">
        <v>1184</v>
      </c>
      <c r="M1287" s="24">
        <v>690</v>
      </c>
      <c r="N1287" s="24">
        <v>1121</v>
      </c>
      <c r="O1287" s="24">
        <v>557</v>
      </c>
      <c r="P1287" s="24">
        <v>1061</v>
      </c>
      <c r="Q1287">
        <v>552</v>
      </c>
      <c r="R1287">
        <v>1218</v>
      </c>
      <c r="S1287">
        <v>650</v>
      </c>
      <c r="T1287">
        <v>1692</v>
      </c>
      <c r="U1287">
        <v>650</v>
      </c>
      <c r="V1287">
        <v>1692</v>
      </c>
    </row>
    <row r="1288" spans="2:22" x14ac:dyDescent="0.35">
      <c r="B1288" s="46" t="s">
        <v>1696</v>
      </c>
      <c r="D1288" t="s">
        <v>1662</v>
      </c>
      <c r="E1288" t="s">
        <v>1663</v>
      </c>
      <c r="F1288" s="46" t="s">
        <v>1696</v>
      </c>
      <c r="G1288" t="s">
        <v>311</v>
      </c>
      <c r="H1288" s="23">
        <v>13</v>
      </c>
      <c r="I1288" s="23" t="s">
        <v>1697</v>
      </c>
      <c r="J1288" t="s">
        <v>1698</v>
      </c>
      <c r="K1288">
        <v>1047</v>
      </c>
      <c r="L1288">
        <v>1374</v>
      </c>
      <c r="M1288" s="24">
        <v>860</v>
      </c>
      <c r="N1288" s="24">
        <v>1330</v>
      </c>
      <c r="O1288" s="24">
        <v>699</v>
      </c>
      <c r="P1288" s="24">
        <v>1231</v>
      </c>
      <c r="Q1288">
        <v>554</v>
      </c>
      <c r="R1288">
        <v>1301</v>
      </c>
      <c r="S1288">
        <v>688</v>
      </c>
      <c r="T1288">
        <v>1710</v>
      </c>
      <c r="U1288">
        <v>688</v>
      </c>
      <c r="V1288">
        <v>1710</v>
      </c>
    </row>
    <row r="1289" spans="2:22" x14ac:dyDescent="0.35">
      <c r="B1289" s="46" t="s">
        <v>1699</v>
      </c>
      <c r="D1289" t="s">
        <v>1662</v>
      </c>
      <c r="E1289" t="s">
        <v>1663</v>
      </c>
      <c r="F1289" s="46" t="s">
        <v>1699</v>
      </c>
      <c r="G1289" t="s">
        <v>577</v>
      </c>
      <c r="H1289" s="23">
        <v>14</v>
      </c>
      <c r="I1289" s="23" t="s">
        <v>1700</v>
      </c>
      <c r="J1289" t="s">
        <v>1701</v>
      </c>
      <c r="K1289">
        <v>1054</v>
      </c>
      <c r="L1289">
        <v>1379</v>
      </c>
      <c r="M1289" s="24">
        <v>887</v>
      </c>
      <c r="N1289" s="24">
        <v>1435</v>
      </c>
      <c r="O1289" s="24">
        <v>809</v>
      </c>
      <c r="P1289" s="24">
        <v>1434</v>
      </c>
      <c r="Q1289">
        <v>758</v>
      </c>
      <c r="R1289">
        <v>1474</v>
      </c>
      <c r="S1289">
        <v>770</v>
      </c>
      <c r="T1289">
        <v>1911</v>
      </c>
      <c r="U1289">
        <v>770</v>
      </c>
      <c r="V1289">
        <v>1911</v>
      </c>
    </row>
    <row r="1290" spans="2:22" x14ac:dyDescent="0.35">
      <c r="B1290" s="46" t="s">
        <v>1702</v>
      </c>
      <c r="D1290" t="s">
        <v>1662</v>
      </c>
      <c r="E1290" t="s">
        <v>1663</v>
      </c>
      <c r="F1290" s="46" t="s">
        <v>1702</v>
      </c>
      <c r="G1290" t="s">
        <v>581</v>
      </c>
      <c r="H1290" s="23">
        <v>15</v>
      </c>
      <c r="I1290" s="23" t="s">
        <v>1703</v>
      </c>
      <c r="J1290" t="s">
        <v>1704</v>
      </c>
      <c r="K1290">
        <v>1859</v>
      </c>
      <c r="L1290">
        <v>2341</v>
      </c>
      <c r="M1290" s="24">
        <v>1671</v>
      </c>
      <c r="N1290" s="24">
        <v>2521</v>
      </c>
      <c r="O1290" s="24">
        <v>732</v>
      </c>
      <c r="P1290" s="24">
        <v>2182</v>
      </c>
      <c r="Q1290">
        <v>723</v>
      </c>
      <c r="R1290">
        <v>2154</v>
      </c>
      <c r="S1290">
        <v>1086</v>
      </c>
      <c r="T1290">
        <v>2706</v>
      </c>
      <c r="U1290">
        <v>1086</v>
      </c>
      <c r="V1290">
        <v>2706</v>
      </c>
    </row>
    <row r="1291" spans="2:22" x14ac:dyDescent="0.35">
      <c r="B1291" s="46" t="s">
        <v>1705</v>
      </c>
      <c r="D1291" t="s">
        <v>1662</v>
      </c>
      <c r="E1291" t="s">
        <v>1663</v>
      </c>
      <c r="F1291" s="46" t="s">
        <v>1705</v>
      </c>
      <c r="G1291" t="s">
        <v>585</v>
      </c>
      <c r="H1291" s="23">
        <v>16</v>
      </c>
      <c r="I1291" s="23" t="s">
        <v>1706</v>
      </c>
      <c r="J1291" t="s">
        <v>1707</v>
      </c>
      <c r="K1291">
        <v>2043</v>
      </c>
      <c r="L1291">
        <v>2697</v>
      </c>
      <c r="M1291" s="24">
        <v>1652</v>
      </c>
      <c r="N1291" s="24">
        <v>2688</v>
      </c>
      <c r="O1291" s="24">
        <v>1482</v>
      </c>
      <c r="P1291" s="24">
        <v>2772</v>
      </c>
      <c r="Q1291">
        <v>1105</v>
      </c>
      <c r="R1291">
        <v>2790</v>
      </c>
      <c r="S1291">
        <v>1271</v>
      </c>
      <c r="T1291">
        <v>3303</v>
      </c>
      <c r="U1291">
        <v>1271</v>
      </c>
      <c r="V1291">
        <v>3303</v>
      </c>
    </row>
    <row r="1292" spans="2:22" x14ac:dyDescent="0.35">
      <c r="B1292" s="46" t="s">
        <v>1708</v>
      </c>
      <c r="D1292" t="s">
        <v>1662</v>
      </c>
      <c r="E1292" t="s">
        <v>1663</v>
      </c>
      <c r="F1292" s="46" t="s">
        <v>1708</v>
      </c>
      <c r="G1292" t="s">
        <v>588</v>
      </c>
      <c r="H1292" s="23">
        <v>17</v>
      </c>
      <c r="I1292" s="23" t="s">
        <v>1709</v>
      </c>
      <c r="J1292" t="s">
        <v>1710</v>
      </c>
      <c r="K1292">
        <v>787</v>
      </c>
      <c r="L1292">
        <v>984</v>
      </c>
      <c r="M1292" s="24">
        <v>604</v>
      </c>
      <c r="N1292" s="24">
        <v>952</v>
      </c>
      <c r="O1292" s="24">
        <v>554</v>
      </c>
      <c r="P1292" s="24">
        <v>950</v>
      </c>
      <c r="Q1292">
        <v>355</v>
      </c>
      <c r="R1292">
        <v>975</v>
      </c>
      <c r="S1292">
        <v>462</v>
      </c>
      <c r="T1292">
        <v>1243</v>
      </c>
      <c r="U1292">
        <v>462</v>
      </c>
      <c r="V1292">
        <v>1243</v>
      </c>
    </row>
    <row r="1293" spans="2:22" x14ac:dyDescent="0.35">
      <c r="B1293" s="46" t="s">
        <v>1711</v>
      </c>
      <c r="D1293" t="s">
        <v>1662</v>
      </c>
      <c r="E1293" t="s">
        <v>1663</v>
      </c>
      <c r="F1293" s="46" t="s">
        <v>1711</v>
      </c>
      <c r="G1293" t="s">
        <v>592</v>
      </c>
      <c r="H1293" s="23">
        <v>18</v>
      </c>
      <c r="I1293" s="23" t="s">
        <v>1712</v>
      </c>
      <c r="J1293" t="s">
        <v>1713</v>
      </c>
      <c r="K1293">
        <v>4420</v>
      </c>
      <c r="L1293">
        <v>6394</v>
      </c>
      <c r="M1293" s="24">
        <v>3506</v>
      </c>
      <c r="N1293" s="24">
        <v>6515</v>
      </c>
      <c r="O1293" s="24">
        <v>2994</v>
      </c>
      <c r="P1293" s="24">
        <v>6474</v>
      </c>
      <c r="Q1293">
        <v>2608</v>
      </c>
      <c r="R1293">
        <v>6597</v>
      </c>
      <c r="S1293">
        <v>3670</v>
      </c>
      <c r="T1293">
        <v>8629</v>
      </c>
      <c r="U1293">
        <v>3670</v>
      </c>
      <c r="V1293">
        <v>8629</v>
      </c>
    </row>
    <row r="1294" spans="2:22" x14ac:dyDescent="0.35">
      <c r="B1294" s="46" t="s">
        <v>1714</v>
      </c>
      <c r="D1294" t="s">
        <v>1662</v>
      </c>
      <c r="E1294" t="s">
        <v>1663</v>
      </c>
      <c r="F1294" s="46" t="s">
        <v>1714</v>
      </c>
      <c r="G1294" t="s">
        <v>595</v>
      </c>
      <c r="H1294" s="23">
        <v>19</v>
      </c>
      <c r="I1294" s="23" t="s">
        <v>1715</v>
      </c>
      <c r="J1294" t="s">
        <v>1716</v>
      </c>
      <c r="K1294">
        <v>611</v>
      </c>
      <c r="L1294">
        <v>773</v>
      </c>
      <c r="M1294" s="24">
        <v>525</v>
      </c>
      <c r="N1294" s="24">
        <v>805</v>
      </c>
      <c r="O1294" s="24">
        <v>322</v>
      </c>
      <c r="P1294" s="24">
        <v>772</v>
      </c>
      <c r="Q1294">
        <v>284</v>
      </c>
      <c r="R1294">
        <v>898</v>
      </c>
      <c r="S1294">
        <v>488</v>
      </c>
      <c r="T1294">
        <v>1234</v>
      </c>
      <c r="U1294">
        <v>488</v>
      </c>
      <c r="V1294">
        <v>1234</v>
      </c>
    </row>
    <row r="1295" spans="2:22" x14ac:dyDescent="0.35">
      <c r="B1295" s="46" t="s">
        <v>1717</v>
      </c>
      <c r="D1295" t="s">
        <v>1662</v>
      </c>
      <c r="E1295" t="s">
        <v>1663</v>
      </c>
      <c r="F1295" s="46" t="s">
        <v>1717</v>
      </c>
      <c r="G1295" t="s">
        <v>599</v>
      </c>
      <c r="H1295" s="23">
        <v>20</v>
      </c>
      <c r="I1295" s="23" t="s">
        <v>1718</v>
      </c>
      <c r="J1295" t="s">
        <v>1719</v>
      </c>
      <c r="K1295">
        <v>669</v>
      </c>
      <c r="L1295">
        <v>932</v>
      </c>
      <c r="M1295" s="24">
        <v>544</v>
      </c>
      <c r="N1295" s="24">
        <v>914</v>
      </c>
      <c r="O1295" s="24">
        <v>429</v>
      </c>
      <c r="P1295" s="24">
        <v>882</v>
      </c>
      <c r="Q1295">
        <v>450</v>
      </c>
      <c r="R1295">
        <v>949</v>
      </c>
      <c r="S1295">
        <v>615</v>
      </c>
      <c r="T1295">
        <v>1274</v>
      </c>
      <c r="U1295">
        <v>615</v>
      </c>
      <c r="V1295">
        <v>1274</v>
      </c>
    </row>
    <row r="1296" spans="2:22" x14ac:dyDescent="0.35">
      <c r="B1296" s="46" t="s">
        <v>1720</v>
      </c>
      <c r="D1296" t="s">
        <v>1662</v>
      </c>
      <c r="E1296" t="s">
        <v>1663</v>
      </c>
      <c r="F1296" s="46" t="s">
        <v>1720</v>
      </c>
      <c r="G1296" t="s">
        <v>603</v>
      </c>
      <c r="H1296" s="23">
        <v>21</v>
      </c>
      <c r="I1296" s="23" t="s">
        <v>1721</v>
      </c>
      <c r="J1296" t="s">
        <v>1722</v>
      </c>
      <c r="K1296">
        <v>4266</v>
      </c>
      <c r="L1296">
        <v>5902</v>
      </c>
      <c r="M1296" s="24">
        <v>3502</v>
      </c>
      <c r="N1296" s="24">
        <v>5854</v>
      </c>
      <c r="O1296" s="24">
        <v>2049</v>
      </c>
      <c r="P1296" s="24">
        <v>4889</v>
      </c>
      <c r="Q1296">
        <v>2060</v>
      </c>
      <c r="R1296">
        <v>4741</v>
      </c>
      <c r="S1296">
        <v>2899</v>
      </c>
      <c r="T1296">
        <v>6470</v>
      </c>
      <c r="U1296">
        <v>2899</v>
      </c>
      <c r="V1296">
        <v>6470</v>
      </c>
    </row>
    <row r="1297" spans="2:22" x14ac:dyDescent="0.35">
      <c r="B1297" s="46" t="s">
        <v>1723</v>
      </c>
      <c r="D1297" t="s">
        <v>1662</v>
      </c>
      <c r="E1297" t="s">
        <v>1663</v>
      </c>
      <c r="F1297" s="46" t="s">
        <v>1723</v>
      </c>
      <c r="G1297" t="s">
        <v>607</v>
      </c>
      <c r="H1297" s="23">
        <v>22</v>
      </c>
      <c r="I1297" s="23" t="s">
        <v>1724</v>
      </c>
      <c r="J1297" t="s">
        <v>1725</v>
      </c>
      <c r="K1297">
        <v>2369</v>
      </c>
      <c r="L1297">
        <v>3323</v>
      </c>
      <c r="M1297" s="24">
        <v>1910</v>
      </c>
      <c r="N1297" s="24">
        <v>3331</v>
      </c>
      <c r="O1297" s="24">
        <v>1585</v>
      </c>
      <c r="P1297" s="24">
        <v>3309</v>
      </c>
      <c r="Q1297">
        <v>1441</v>
      </c>
      <c r="R1297">
        <v>3441</v>
      </c>
      <c r="S1297">
        <v>1690</v>
      </c>
      <c r="T1297">
        <v>4468</v>
      </c>
      <c r="U1297">
        <v>1690</v>
      </c>
      <c r="V1297">
        <v>4468</v>
      </c>
    </row>
    <row r="1298" spans="2:22" x14ac:dyDescent="0.35">
      <c r="B1298" s="46" t="s">
        <v>1726</v>
      </c>
      <c r="D1298" t="s">
        <v>1662</v>
      </c>
      <c r="E1298" t="s">
        <v>1663</v>
      </c>
      <c r="F1298" s="46" t="s">
        <v>1726</v>
      </c>
      <c r="G1298" t="s">
        <v>611</v>
      </c>
      <c r="H1298" s="23">
        <v>23</v>
      </c>
      <c r="I1298" s="23" t="s">
        <v>1727</v>
      </c>
      <c r="J1298" t="s">
        <v>1728</v>
      </c>
      <c r="K1298">
        <v>16827</v>
      </c>
      <c r="L1298">
        <v>24805</v>
      </c>
      <c r="M1298" s="24">
        <v>13503</v>
      </c>
      <c r="N1298" s="24">
        <v>24797</v>
      </c>
      <c r="O1298" s="24">
        <v>11557</v>
      </c>
      <c r="P1298" s="24">
        <v>25538</v>
      </c>
      <c r="Q1298">
        <v>10082</v>
      </c>
      <c r="R1298">
        <v>27336</v>
      </c>
      <c r="S1298">
        <v>12418</v>
      </c>
      <c r="T1298">
        <v>33560</v>
      </c>
      <c r="U1298">
        <v>12418</v>
      </c>
      <c r="V1298">
        <v>33560</v>
      </c>
    </row>
    <row r="1299" spans="2:22" x14ac:dyDescent="0.35">
      <c r="B1299" s="46" t="s">
        <v>1729</v>
      </c>
      <c r="D1299" t="s">
        <v>1662</v>
      </c>
      <c r="E1299" t="s">
        <v>1663</v>
      </c>
      <c r="F1299" s="46" t="s">
        <v>1729</v>
      </c>
      <c r="G1299" t="s">
        <v>615</v>
      </c>
      <c r="H1299" s="23">
        <v>24</v>
      </c>
      <c r="I1299" s="23" t="s">
        <v>1730</v>
      </c>
      <c r="J1299" t="s">
        <v>1731</v>
      </c>
      <c r="K1299">
        <v>1732</v>
      </c>
      <c r="L1299">
        <v>2316</v>
      </c>
      <c r="M1299" s="24">
        <v>1338</v>
      </c>
      <c r="N1299" s="24">
        <v>2203</v>
      </c>
      <c r="O1299" s="24">
        <v>1159</v>
      </c>
      <c r="P1299" s="24">
        <v>2194</v>
      </c>
      <c r="Q1299">
        <v>980</v>
      </c>
      <c r="R1299">
        <v>2242</v>
      </c>
      <c r="S1299">
        <v>1256</v>
      </c>
      <c r="T1299">
        <v>2639</v>
      </c>
      <c r="U1299">
        <v>1256</v>
      </c>
      <c r="V1299">
        <v>2639</v>
      </c>
    </row>
    <row r="1300" spans="2:22" x14ac:dyDescent="0.35">
      <c r="B1300" s="46" t="s">
        <v>1732</v>
      </c>
      <c r="D1300" t="s">
        <v>1662</v>
      </c>
      <c r="E1300" t="s">
        <v>1663</v>
      </c>
      <c r="F1300" s="46" t="s">
        <v>1732</v>
      </c>
      <c r="G1300" t="s">
        <v>619</v>
      </c>
      <c r="H1300" s="23">
        <v>25</v>
      </c>
      <c r="I1300" s="23" t="s">
        <v>1733</v>
      </c>
      <c r="J1300" t="s">
        <v>1734</v>
      </c>
      <c r="K1300">
        <v>548</v>
      </c>
      <c r="L1300">
        <v>765</v>
      </c>
      <c r="M1300" s="24">
        <v>418</v>
      </c>
      <c r="N1300" s="24">
        <v>772</v>
      </c>
      <c r="O1300" s="24">
        <v>411</v>
      </c>
      <c r="P1300" s="24">
        <v>814</v>
      </c>
      <c r="Q1300">
        <v>424</v>
      </c>
      <c r="R1300">
        <v>836</v>
      </c>
      <c r="S1300">
        <v>410</v>
      </c>
      <c r="T1300">
        <v>1132</v>
      </c>
      <c r="U1300">
        <v>410</v>
      </c>
      <c r="V1300">
        <v>1132</v>
      </c>
    </row>
    <row r="1301" spans="2:22" x14ac:dyDescent="0.35">
      <c r="B1301" s="46" t="s">
        <v>1735</v>
      </c>
      <c r="D1301" t="s">
        <v>1662</v>
      </c>
      <c r="E1301" t="s">
        <v>1663</v>
      </c>
      <c r="F1301" s="46" t="s">
        <v>1735</v>
      </c>
      <c r="G1301" t="s">
        <v>623</v>
      </c>
      <c r="H1301" s="23">
        <v>26</v>
      </c>
      <c r="I1301" s="23" t="s">
        <v>1736</v>
      </c>
      <c r="J1301" t="s">
        <v>1737</v>
      </c>
      <c r="K1301">
        <v>16200</v>
      </c>
      <c r="L1301">
        <v>22418</v>
      </c>
      <c r="M1301" s="24">
        <v>13352</v>
      </c>
      <c r="N1301" s="24">
        <v>22576</v>
      </c>
      <c r="O1301" s="24">
        <v>11374</v>
      </c>
      <c r="P1301" s="24">
        <v>22769</v>
      </c>
      <c r="Q1301">
        <v>10708</v>
      </c>
      <c r="R1301">
        <v>24480</v>
      </c>
      <c r="S1301">
        <v>14037</v>
      </c>
      <c r="T1301">
        <v>33363</v>
      </c>
      <c r="U1301">
        <v>14037</v>
      </c>
      <c r="V1301">
        <v>33363</v>
      </c>
    </row>
    <row r="1302" spans="2:22" x14ac:dyDescent="0.35">
      <c r="B1302" s="46" t="s">
        <v>1738</v>
      </c>
      <c r="D1302" t="s">
        <v>1662</v>
      </c>
      <c r="E1302" t="s">
        <v>1663</v>
      </c>
      <c r="F1302" s="46" t="s">
        <v>1738</v>
      </c>
      <c r="G1302" t="s">
        <v>627</v>
      </c>
      <c r="H1302" s="23">
        <v>27</v>
      </c>
      <c r="I1302" s="23" t="s">
        <v>1739</v>
      </c>
      <c r="J1302" t="s">
        <v>837</v>
      </c>
      <c r="K1302">
        <v>852</v>
      </c>
      <c r="L1302">
        <v>1289</v>
      </c>
      <c r="M1302" s="24">
        <v>651</v>
      </c>
      <c r="N1302" s="24">
        <v>1339</v>
      </c>
      <c r="O1302" s="24">
        <v>628</v>
      </c>
      <c r="P1302" s="24">
        <v>1367</v>
      </c>
      <c r="Q1302">
        <v>720</v>
      </c>
      <c r="R1302">
        <v>1503</v>
      </c>
      <c r="S1302">
        <v>727</v>
      </c>
      <c r="T1302">
        <v>2132</v>
      </c>
      <c r="U1302">
        <v>727</v>
      </c>
      <c r="V1302">
        <v>2132</v>
      </c>
    </row>
    <row r="1303" spans="2:22" x14ac:dyDescent="0.35">
      <c r="B1303" s="46" t="s">
        <v>1740</v>
      </c>
      <c r="D1303" t="s">
        <v>1662</v>
      </c>
      <c r="E1303" t="s">
        <v>1663</v>
      </c>
      <c r="F1303" s="46" t="s">
        <v>1740</v>
      </c>
      <c r="G1303" t="s">
        <v>631</v>
      </c>
      <c r="H1303" s="23">
        <v>28</v>
      </c>
      <c r="I1303" s="23" t="s">
        <v>1741</v>
      </c>
      <c r="J1303" t="s">
        <v>1742</v>
      </c>
      <c r="K1303">
        <v>2014</v>
      </c>
      <c r="L1303">
        <v>2741</v>
      </c>
      <c r="M1303" s="24">
        <v>1657</v>
      </c>
      <c r="N1303" s="24">
        <v>2788</v>
      </c>
      <c r="O1303" s="24">
        <v>1383</v>
      </c>
      <c r="P1303" s="24">
        <v>2836</v>
      </c>
      <c r="Q1303">
        <v>1323</v>
      </c>
      <c r="R1303">
        <v>3151</v>
      </c>
      <c r="S1303">
        <v>1569</v>
      </c>
      <c r="T1303">
        <v>4133</v>
      </c>
      <c r="U1303">
        <v>1569</v>
      </c>
      <c r="V1303">
        <v>4133</v>
      </c>
    </row>
    <row r="1304" spans="2:22" x14ac:dyDescent="0.35">
      <c r="B1304" s="46" t="s">
        <v>1743</v>
      </c>
      <c r="D1304" t="s">
        <v>1662</v>
      </c>
      <c r="E1304" t="s">
        <v>1663</v>
      </c>
      <c r="F1304" s="46" t="s">
        <v>1743</v>
      </c>
      <c r="G1304" t="s">
        <v>635</v>
      </c>
      <c r="H1304" s="23">
        <v>29</v>
      </c>
      <c r="I1304" s="23" t="s">
        <v>1744</v>
      </c>
      <c r="J1304" t="s">
        <v>1745</v>
      </c>
      <c r="K1304">
        <v>2616</v>
      </c>
      <c r="L1304">
        <v>3749</v>
      </c>
      <c r="M1304" s="24">
        <v>2137</v>
      </c>
      <c r="N1304" s="24">
        <v>3690</v>
      </c>
      <c r="O1304" s="24">
        <v>1458</v>
      </c>
      <c r="P1304" s="24">
        <v>3657</v>
      </c>
      <c r="Q1304">
        <v>1565</v>
      </c>
      <c r="R1304">
        <v>3892</v>
      </c>
      <c r="S1304">
        <v>1865</v>
      </c>
      <c r="T1304">
        <v>5258</v>
      </c>
      <c r="U1304">
        <v>1865</v>
      </c>
      <c r="V1304">
        <v>5258</v>
      </c>
    </row>
    <row r="1305" spans="2:22" x14ac:dyDescent="0.35">
      <c r="B1305" s="46" t="s">
        <v>1746</v>
      </c>
      <c r="D1305" t="s">
        <v>1662</v>
      </c>
      <c r="E1305" t="s">
        <v>1663</v>
      </c>
      <c r="F1305" s="46" t="s">
        <v>1746</v>
      </c>
      <c r="G1305" t="s">
        <v>639</v>
      </c>
      <c r="H1305" s="23">
        <v>30</v>
      </c>
      <c r="I1305" s="23" t="s">
        <v>1747</v>
      </c>
      <c r="J1305" t="s">
        <v>962</v>
      </c>
      <c r="K1305">
        <v>1580</v>
      </c>
      <c r="L1305">
        <v>2085</v>
      </c>
      <c r="M1305" s="24">
        <v>1320</v>
      </c>
      <c r="N1305" s="24">
        <v>2079</v>
      </c>
      <c r="O1305" s="24">
        <v>1154</v>
      </c>
      <c r="P1305" s="24">
        <v>2102</v>
      </c>
      <c r="Q1305">
        <v>816</v>
      </c>
      <c r="R1305">
        <v>2124</v>
      </c>
      <c r="S1305">
        <v>1180</v>
      </c>
      <c r="T1305">
        <v>2783</v>
      </c>
      <c r="U1305">
        <v>1180</v>
      </c>
      <c r="V1305">
        <v>2783</v>
      </c>
    </row>
    <row r="1306" spans="2:22" x14ac:dyDescent="0.35">
      <c r="B1306" s="46" t="s">
        <v>1748</v>
      </c>
      <c r="D1306" t="s">
        <v>1662</v>
      </c>
      <c r="E1306" t="s">
        <v>1663</v>
      </c>
      <c r="F1306" s="46" t="s">
        <v>1748</v>
      </c>
      <c r="G1306" t="s">
        <v>643</v>
      </c>
      <c r="H1306" s="23">
        <v>31</v>
      </c>
      <c r="I1306" s="23" t="s">
        <v>1749</v>
      </c>
      <c r="J1306" t="s">
        <v>237</v>
      </c>
      <c r="K1306">
        <v>458</v>
      </c>
      <c r="L1306">
        <v>667</v>
      </c>
      <c r="M1306" s="24">
        <v>369</v>
      </c>
      <c r="N1306" s="24">
        <v>656</v>
      </c>
      <c r="O1306" s="24">
        <v>320</v>
      </c>
      <c r="P1306" s="24">
        <v>601</v>
      </c>
      <c r="Q1306">
        <v>281</v>
      </c>
      <c r="R1306">
        <v>668</v>
      </c>
      <c r="S1306">
        <v>283</v>
      </c>
      <c r="T1306">
        <v>805</v>
      </c>
      <c r="U1306">
        <v>283</v>
      </c>
      <c r="V1306">
        <v>805</v>
      </c>
    </row>
    <row r="1307" spans="2:22" x14ac:dyDescent="0.35">
      <c r="B1307" s="46" t="s">
        <v>1750</v>
      </c>
      <c r="D1307" t="s">
        <v>1662</v>
      </c>
      <c r="E1307" t="s">
        <v>1663</v>
      </c>
      <c r="F1307" s="46" t="s">
        <v>1750</v>
      </c>
      <c r="G1307" t="s">
        <v>646</v>
      </c>
      <c r="H1307" s="23">
        <v>32</v>
      </c>
      <c r="I1307" s="23" t="s">
        <v>1751</v>
      </c>
      <c r="J1307" t="s">
        <v>1752</v>
      </c>
      <c r="K1307">
        <v>7815</v>
      </c>
      <c r="L1307">
        <v>11213</v>
      </c>
      <c r="M1307" s="24">
        <v>6202</v>
      </c>
      <c r="N1307" s="24">
        <v>11272</v>
      </c>
      <c r="O1307" s="24">
        <v>5733</v>
      </c>
      <c r="P1307" s="24">
        <v>11760</v>
      </c>
      <c r="Q1307">
        <v>5943</v>
      </c>
      <c r="R1307">
        <v>13555</v>
      </c>
      <c r="S1307">
        <v>5948</v>
      </c>
      <c r="T1307">
        <v>18145</v>
      </c>
      <c r="U1307">
        <v>5948</v>
      </c>
      <c r="V1307">
        <v>18145</v>
      </c>
    </row>
    <row r="1308" spans="2:22" x14ac:dyDescent="0.35">
      <c r="B1308" s="46" t="s">
        <v>1753</v>
      </c>
      <c r="D1308" t="s">
        <v>1662</v>
      </c>
      <c r="E1308" t="s">
        <v>1663</v>
      </c>
      <c r="F1308" s="46" t="s">
        <v>1753</v>
      </c>
      <c r="G1308" t="s">
        <v>649</v>
      </c>
      <c r="H1308" s="23">
        <v>33</v>
      </c>
      <c r="I1308" s="23" t="s">
        <v>1754</v>
      </c>
      <c r="J1308" t="s">
        <v>1755</v>
      </c>
      <c r="K1308">
        <v>197</v>
      </c>
      <c r="L1308">
        <v>244</v>
      </c>
      <c r="M1308" s="24">
        <v>153</v>
      </c>
      <c r="N1308" s="24">
        <v>234</v>
      </c>
      <c r="O1308" s="24">
        <v>96</v>
      </c>
      <c r="P1308" s="24">
        <v>225</v>
      </c>
      <c r="Q1308">
        <v>98</v>
      </c>
      <c r="R1308">
        <v>247</v>
      </c>
      <c r="S1308">
        <v>136</v>
      </c>
      <c r="T1308">
        <v>303</v>
      </c>
      <c r="U1308">
        <v>136</v>
      </c>
      <c r="V1308">
        <v>303</v>
      </c>
    </row>
    <row r="1309" spans="2:22" x14ac:dyDescent="0.35">
      <c r="B1309" s="46" t="s">
        <v>1756</v>
      </c>
      <c r="D1309" t="s">
        <v>1662</v>
      </c>
      <c r="E1309" t="s">
        <v>1663</v>
      </c>
      <c r="F1309" s="46" t="s">
        <v>1756</v>
      </c>
      <c r="G1309" t="s">
        <v>652</v>
      </c>
      <c r="H1309" s="23">
        <v>34</v>
      </c>
      <c r="I1309" s="23" t="s">
        <v>1757</v>
      </c>
      <c r="J1309" t="s">
        <v>365</v>
      </c>
      <c r="K1309">
        <v>1030</v>
      </c>
      <c r="L1309">
        <v>1342</v>
      </c>
      <c r="M1309" s="24">
        <v>781</v>
      </c>
      <c r="N1309" s="24">
        <v>1280</v>
      </c>
      <c r="O1309" s="24">
        <v>512</v>
      </c>
      <c r="P1309" s="24">
        <v>1048</v>
      </c>
      <c r="Q1309">
        <v>508</v>
      </c>
      <c r="R1309">
        <v>993</v>
      </c>
      <c r="S1309">
        <v>700</v>
      </c>
      <c r="T1309">
        <v>1398</v>
      </c>
      <c r="U1309">
        <v>700</v>
      </c>
      <c r="V1309">
        <v>1398</v>
      </c>
    </row>
    <row r="1310" spans="2:22" x14ac:dyDescent="0.35">
      <c r="B1310" s="46" t="s">
        <v>1758</v>
      </c>
      <c r="D1310" t="s">
        <v>1662</v>
      </c>
      <c r="E1310" t="s">
        <v>1663</v>
      </c>
      <c r="F1310" s="46" t="s">
        <v>1758</v>
      </c>
      <c r="G1310" t="s">
        <v>656</v>
      </c>
      <c r="H1310" s="23">
        <v>35</v>
      </c>
      <c r="I1310" s="23" t="s">
        <v>1759</v>
      </c>
      <c r="J1310" t="s">
        <v>1760</v>
      </c>
      <c r="K1310">
        <v>609</v>
      </c>
      <c r="L1310">
        <v>786</v>
      </c>
      <c r="M1310" s="24">
        <v>431</v>
      </c>
      <c r="N1310" s="24">
        <v>694</v>
      </c>
      <c r="O1310" s="24">
        <v>398</v>
      </c>
      <c r="P1310" s="24">
        <v>722</v>
      </c>
      <c r="Q1310">
        <v>276</v>
      </c>
      <c r="R1310">
        <v>727</v>
      </c>
      <c r="S1310">
        <v>360</v>
      </c>
      <c r="T1310">
        <v>880</v>
      </c>
      <c r="U1310">
        <v>360</v>
      </c>
      <c r="V1310">
        <v>880</v>
      </c>
    </row>
    <row r="1311" spans="2:22" x14ac:dyDescent="0.35">
      <c r="B1311" s="46" t="s">
        <v>1761</v>
      </c>
      <c r="D1311" t="s">
        <v>1662</v>
      </c>
      <c r="E1311" t="s">
        <v>1663</v>
      </c>
      <c r="F1311" s="46" t="s">
        <v>1761</v>
      </c>
      <c r="G1311" t="s">
        <v>659</v>
      </c>
      <c r="H1311" s="23">
        <v>36</v>
      </c>
      <c r="I1311" s="23" t="s">
        <v>1762</v>
      </c>
      <c r="J1311" t="s">
        <v>1763</v>
      </c>
      <c r="K1311">
        <v>927</v>
      </c>
      <c r="L1311">
        <v>1258</v>
      </c>
      <c r="M1311" s="24">
        <v>696</v>
      </c>
      <c r="N1311" s="24">
        <v>1205</v>
      </c>
      <c r="O1311" s="24">
        <v>660</v>
      </c>
      <c r="P1311" s="24">
        <v>1332</v>
      </c>
      <c r="Q1311">
        <v>555</v>
      </c>
      <c r="R1311">
        <v>1449</v>
      </c>
      <c r="S1311">
        <v>718</v>
      </c>
      <c r="T1311">
        <v>1815</v>
      </c>
      <c r="U1311">
        <v>718</v>
      </c>
      <c r="V1311">
        <v>1815</v>
      </c>
    </row>
    <row r="1312" spans="2:22" x14ac:dyDescent="0.35">
      <c r="B1312" s="46" t="s">
        <v>1764</v>
      </c>
      <c r="D1312" t="s">
        <v>1662</v>
      </c>
      <c r="E1312" t="s">
        <v>1663</v>
      </c>
      <c r="F1312" s="46" t="s">
        <v>1764</v>
      </c>
      <c r="G1312" t="s">
        <v>663</v>
      </c>
      <c r="H1312" s="23">
        <v>37</v>
      </c>
      <c r="I1312" s="23" t="s">
        <v>1765</v>
      </c>
      <c r="J1312" t="s">
        <v>811</v>
      </c>
      <c r="K1312">
        <v>1984</v>
      </c>
      <c r="L1312">
        <v>2810</v>
      </c>
      <c r="M1312" s="24">
        <v>1563</v>
      </c>
      <c r="N1312" s="24">
        <v>2821</v>
      </c>
      <c r="O1312" s="24">
        <v>1459</v>
      </c>
      <c r="P1312" s="24">
        <v>2968</v>
      </c>
      <c r="Q1312">
        <v>1411</v>
      </c>
      <c r="R1312">
        <v>3136</v>
      </c>
      <c r="S1312">
        <v>1840</v>
      </c>
      <c r="T1312">
        <v>4210</v>
      </c>
      <c r="U1312">
        <v>1840</v>
      </c>
      <c r="V1312">
        <v>4210</v>
      </c>
    </row>
    <row r="1313" spans="2:22" x14ac:dyDescent="0.35">
      <c r="B1313" s="46" t="s">
        <v>1766</v>
      </c>
      <c r="D1313" t="s">
        <v>1662</v>
      </c>
      <c r="E1313" t="s">
        <v>1663</v>
      </c>
      <c r="F1313" s="46" t="s">
        <v>1766</v>
      </c>
      <c r="G1313" t="s">
        <v>667</v>
      </c>
      <c r="H1313" s="23">
        <v>38</v>
      </c>
      <c r="I1313" s="23" t="s">
        <v>1767</v>
      </c>
      <c r="J1313" t="s">
        <v>1768</v>
      </c>
      <c r="K1313">
        <v>2802</v>
      </c>
      <c r="L1313">
        <v>3723</v>
      </c>
      <c r="M1313" s="24">
        <v>2348</v>
      </c>
      <c r="N1313" s="24">
        <v>3608</v>
      </c>
      <c r="O1313" s="24">
        <v>1735</v>
      </c>
      <c r="P1313" s="24">
        <v>3288</v>
      </c>
      <c r="Q1313">
        <v>1521</v>
      </c>
      <c r="R1313">
        <v>3365</v>
      </c>
      <c r="S1313">
        <v>1958</v>
      </c>
      <c r="T1313">
        <v>4508</v>
      </c>
      <c r="U1313">
        <v>1958</v>
      </c>
      <c r="V1313">
        <v>4508</v>
      </c>
    </row>
    <row r="1314" spans="2:22" x14ac:dyDescent="0.35">
      <c r="B1314" s="46" t="s">
        <v>1769</v>
      </c>
      <c r="D1314" t="s">
        <v>1662</v>
      </c>
      <c r="E1314" t="s">
        <v>1663</v>
      </c>
      <c r="F1314" s="46" t="s">
        <v>1769</v>
      </c>
      <c r="G1314" t="s">
        <v>671</v>
      </c>
      <c r="H1314" s="23">
        <v>39</v>
      </c>
      <c r="I1314" s="23" t="s">
        <v>1770</v>
      </c>
      <c r="J1314" t="s">
        <v>373</v>
      </c>
      <c r="K1314">
        <v>3756</v>
      </c>
      <c r="L1314">
        <v>5057</v>
      </c>
      <c r="M1314" s="24">
        <v>2968</v>
      </c>
      <c r="N1314" s="24">
        <v>4929</v>
      </c>
      <c r="O1314" s="24">
        <v>2546</v>
      </c>
      <c r="P1314" s="24">
        <v>5021</v>
      </c>
      <c r="Q1314">
        <v>2542</v>
      </c>
      <c r="R1314">
        <v>5458</v>
      </c>
      <c r="S1314">
        <v>2963</v>
      </c>
      <c r="T1314">
        <v>7048</v>
      </c>
      <c r="U1314">
        <v>2963</v>
      </c>
      <c r="V1314">
        <v>7048</v>
      </c>
    </row>
    <row r="1315" spans="2:22" x14ac:dyDescent="0.35">
      <c r="B1315" s="46" t="s">
        <v>1771</v>
      </c>
      <c r="D1315" t="s">
        <v>1662</v>
      </c>
      <c r="E1315" t="s">
        <v>1663</v>
      </c>
      <c r="F1315" s="46" t="s">
        <v>1771</v>
      </c>
      <c r="G1315" t="s">
        <v>674</v>
      </c>
      <c r="H1315" s="23">
        <v>40</v>
      </c>
      <c r="I1315" s="23" t="s">
        <v>1772</v>
      </c>
      <c r="J1315" t="s">
        <v>1773</v>
      </c>
      <c r="K1315">
        <v>11146</v>
      </c>
      <c r="L1315">
        <v>15951</v>
      </c>
      <c r="M1315" s="24">
        <v>8888</v>
      </c>
      <c r="N1315" s="24">
        <v>15599</v>
      </c>
      <c r="O1315" s="24">
        <v>8095</v>
      </c>
      <c r="P1315" s="24">
        <v>15627</v>
      </c>
      <c r="Q1315">
        <v>8451</v>
      </c>
      <c r="R1315">
        <v>17706</v>
      </c>
      <c r="S1315">
        <v>9732</v>
      </c>
      <c r="T1315">
        <v>22898</v>
      </c>
      <c r="U1315">
        <v>9732</v>
      </c>
      <c r="V1315">
        <v>22898</v>
      </c>
    </row>
    <row r="1316" spans="2:22" x14ac:dyDescent="0.35">
      <c r="B1316" s="46" t="s">
        <v>1774</v>
      </c>
      <c r="D1316" t="s">
        <v>1662</v>
      </c>
      <c r="E1316" t="s">
        <v>1663</v>
      </c>
      <c r="F1316" s="46" t="s">
        <v>1774</v>
      </c>
      <c r="G1316" t="s">
        <v>678</v>
      </c>
      <c r="H1316" s="23">
        <v>41</v>
      </c>
      <c r="I1316" s="23" t="s">
        <v>1775</v>
      </c>
      <c r="J1316" t="s">
        <v>1776</v>
      </c>
      <c r="K1316">
        <v>470</v>
      </c>
      <c r="L1316">
        <v>595</v>
      </c>
      <c r="M1316" s="24">
        <v>416</v>
      </c>
      <c r="N1316" s="24">
        <v>611</v>
      </c>
      <c r="O1316" s="24">
        <v>307</v>
      </c>
      <c r="P1316" s="24">
        <v>545</v>
      </c>
      <c r="Q1316">
        <v>289</v>
      </c>
      <c r="R1316">
        <v>563</v>
      </c>
      <c r="S1316">
        <v>428</v>
      </c>
      <c r="T1316">
        <v>789</v>
      </c>
      <c r="U1316">
        <v>428</v>
      </c>
      <c r="V1316">
        <v>789</v>
      </c>
    </row>
    <row r="1317" spans="2:22" x14ac:dyDescent="0.35">
      <c r="B1317" s="46" t="s">
        <v>1777</v>
      </c>
      <c r="D1317" t="s">
        <v>1662</v>
      </c>
      <c r="E1317" t="s">
        <v>1663</v>
      </c>
      <c r="F1317" s="46" t="s">
        <v>1777</v>
      </c>
      <c r="G1317" t="s">
        <v>681</v>
      </c>
      <c r="H1317" s="23">
        <v>42</v>
      </c>
      <c r="I1317" s="23" t="s">
        <v>1778</v>
      </c>
      <c r="J1317" t="s">
        <v>1779</v>
      </c>
      <c r="K1317">
        <v>8307</v>
      </c>
      <c r="L1317">
        <v>11310</v>
      </c>
      <c r="M1317" s="24">
        <v>6841</v>
      </c>
      <c r="N1317" s="24">
        <v>11772</v>
      </c>
      <c r="O1317" s="24">
        <v>6404</v>
      </c>
      <c r="P1317" s="24">
        <v>12119</v>
      </c>
      <c r="Q1317">
        <v>5568</v>
      </c>
      <c r="R1317">
        <v>13544</v>
      </c>
      <c r="S1317">
        <v>8895</v>
      </c>
      <c r="T1317">
        <v>17962</v>
      </c>
      <c r="U1317">
        <v>8895</v>
      </c>
      <c r="V1317">
        <v>17962</v>
      </c>
    </row>
    <row r="1318" spans="2:22" x14ac:dyDescent="0.35">
      <c r="B1318" s="46" t="s">
        <v>1780</v>
      </c>
      <c r="D1318" t="s">
        <v>1662</v>
      </c>
      <c r="E1318" t="s">
        <v>1663</v>
      </c>
      <c r="F1318" s="46" t="s">
        <v>1780</v>
      </c>
      <c r="G1318" t="s">
        <v>685</v>
      </c>
      <c r="H1318" s="23">
        <v>43</v>
      </c>
      <c r="I1318" s="23" t="s">
        <v>1781</v>
      </c>
      <c r="J1318" t="s">
        <v>379</v>
      </c>
      <c r="K1318">
        <v>2795</v>
      </c>
      <c r="L1318">
        <v>3850</v>
      </c>
      <c r="M1318" s="24">
        <v>2227</v>
      </c>
      <c r="N1318" s="24">
        <v>3739</v>
      </c>
      <c r="O1318" s="24">
        <v>1970</v>
      </c>
      <c r="P1318" s="24">
        <v>3677</v>
      </c>
      <c r="Q1318">
        <v>1816</v>
      </c>
      <c r="R1318">
        <v>3881</v>
      </c>
      <c r="S1318">
        <v>2079</v>
      </c>
      <c r="T1318">
        <v>4886</v>
      </c>
      <c r="U1318">
        <v>2079</v>
      </c>
      <c r="V1318">
        <v>4886</v>
      </c>
    </row>
    <row r="1319" spans="2:22" x14ac:dyDescent="0.35">
      <c r="B1319" s="46" t="s">
        <v>1782</v>
      </c>
      <c r="D1319" t="s">
        <v>1662</v>
      </c>
      <c r="E1319" t="s">
        <v>1663</v>
      </c>
      <c r="F1319" s="46" t="s">
        <v>1782</v>
      </c>
      <c r="G1319" t="s">
        <v>689</v>
      </c>
      <c r="H1319" s="23">
        <v>44</v>
      </c>
      <c r="I1319" s="23" t="s">
        <v>1783</v>
      </c>
      <c r="J1319" t="s">
        <v>518</v>
      </c>
      <c r="K1319">
        <v>570</v>
      </c>
      <c r="L1319">
        <v>723</v>
      </c>
      <c r="M1319" s="24">
        <v>412</v>
      </c>
      <c r="N1319" s="24">
        <v>652</v>
      </c>
      <c r="O1319" s="24">
        <v>401</v>
      </c>
      <c r="P1319" s="24">
        <v>658</v>
      </c>
      <c r="Q1319">
        <v>375</v>
      </c>
      <c r="R1319">
        <v>754</v>
      </c>
      <c r="S1319">
        <v>588</v>
      </c>
      <c r="T1319">
        <v>1040</v>
      </c>
      <c r="U1319">
        <v>588</v>
      </c>
      <c r="V1319">
        <v>1040</v>
      </c>
    </row>
    <row r="1320" spans="2:22" x14ac:dyDescent="0.35">
      <c r="B1320" s="46" t="s">
        <v>1784</v>
      </c>
      <c r="D1320" t="s">
        <v>1662</v>
      </c>
      <c r="E1320" t="s">
        <v>1663</v>
      </c>
      <c r="F1320" s="46" t="s">
        <v>1784</v>
      </c>
      <c r="G1320" t="s">
        <v>692</v>
      </c>
      <c r="H1320" s="23">
        <v>45</v>
      </c>
      <c r="I1320" s="23" t="s">
        <v>1785</v>
      </c>
      <c r="J1320" t="s">
        <v>1786</v>
      </c>
      <c r="K1320">
        <v>1023</v>
      </c>
      <c r="L1320">
        <v>1303</v>
      </c>
      <c r="M1320" s="24">
        <v>767</v>
      </c>
      <c r="N1320" s="24">
        <v>1246</v>
      </c>
      <c r="O1320" s="24">
        <v>707</v>
      </c>
      <c r="P1320" s="24">
        <v>1217</v>
      </c>
      <c r="Q1320">
        <v>530</v>
      </c>
      <c r="R1320">
        <v>1186</v>
      </c>
      <c r="S1320">
        <v>693</v>
      </c>
      <c r="T1320">
        <v>1347</v>
      </c>
      <c r="U1320">
        <v>693</v>
      </c>
      <c r="V1320">
        <v>1347</v>
      </c>
    </row>
    <row r="1321" spans="2:22" x14ac:dyDescent="0.35">
      <c r="B1321" s="46" t="s">
        <v>1787</v>
      </c>
      <c r="D1321" t="s">
        <v>1662</v>
      </c>
      <c r="E1321" t="s">
        <v>1663</v>
      </c>
      <c r="F1321" s="46" t="s">
        <v>1787</v>
      </c>
      <c r="G1321" t="s">
        <v>696</v>
      </c>
      <c r="H1321" s="23">
        <v>46</v>
      </c>
      <c r="I1321" s="23" t="s">
        <v>1788</v>
      </c>
      <c r="J1321" t="s">
        <v>1789</v>
      </c>
      <c r="K1321">
        <v>7517</v>
      </c>
      <c r="L1321">
        <v>11047</v>
      </c>
      <c r="M1321" s="24">
        <v>5708</v>
      </c>
      <c r="N1321" s="24">
        <v>10723</v>
      </c>
      <c r="O1321" s="24">
        <v>4121</v>
      </c>
      <c r="P1321" s="24">
        <v>10498</v>
      </c>
      <c r="Q1321">
        <v>4354</v>
      </c>
      <c r="R1321">
        <v>11230</v>
      </c>
      <c r="S1321">
        <v>4567</v>
      </c>
      <c r="T1321">
        <v>14223</v>
      </c>
      <c r="U1321">
        <v>4567</v>
      </c>
      <c r="V1321">
        <v>14223</v>
      </c>
    </row>
    <row r="1322" spans="2:22" x14ac:dyDescent="0.35">
      <c r="B1322" s="46" t="s">
        <v>1790</v>
      </c>
      <c r="D1322" t="s">
        <v>1791</v>
      </c>
      <c r="E1322" t="s">
        <v>1792</v>
      </c>
      <c r="F1322" s="46" t="s">
        <v>1790</v>
      </c>
      <c r="G1322" t="s">
        <v>231</v>
      </c>
      <c r="H1322" s="23">
        <v>1</v>
      </c>
      <c r="I1322" s="23" t="s">
        <v>1793</v>
      </c>
      <c r="J1322" t="s">
        <v>1794</v>
      </c>
      <c r="K1322">
        <v>1148</v>
      </c>
      <c r="L1322">
        <v>1615</v>
      </c>
      <c r="M1322" s="24">
        <v>1043</v>
      </c>
      <c r="N1322" s="24">
        <v>1569</v>
      </c>
      <c r="O1322" s="24">
        <v>834</v>
      </c>
      <c r="P1322" s="24">
        <v>1414</v>
      </c>
      <c r="Q1322">
        <v>846</v>
      </c>
      <c r="R1322">
        <v>1473</v>
      </c>
      <c r="S1322">
        <v>1331</v>
      </c>
      <c r="T1322">
        <v>2002</v>
      </c>
      <c r="U1322">
        <v>1331</v>
      </c>
      <c r="V1322">
        <v>2002</v>
      </c>
    </row>
    <row r="1323" spans="2:22" x14ac:dyDescent="0.35">
      <c r="B1323" s="46" t="s">
        <v>1795</v>
      </c>
      <c r="D1323" t="s">
        <v>1791</v>
      </c>
      <c r="E1323" t="s">
        <v>1792</v>
      </c>
      <c r="F1323" s="46" t="s">
        <v>1795</v>
      </c>
      <c r="G1323" t="s">
        <v>231</v>
      </c>
      <c r="H1323" s="23">
        <v>1</v>
      </c>
      <c r="I1323" s="23" t="s">
        <v>1793</v>
      </c>
      <c r="J1323" t="s">
        <v>305</v>
      </c>
      <c r="K1323">
        <v>1281</v>
      </c>
      <c r="L1323">
        <v>1828</v>
      </c>
      <c r="M1323" s="24">
        <v>1129</v>
      </c>
      <c r="N1323" s="24">
        <v>1731</v>
      </c>
      <c r="O1323" s="24">
        <v>941</v>
      </c>
      <c r="P1323" s="24">
        <v>1605</v>
      </c>
      <c r="Q1323">
        <v>898</v>
      </c>
      <c r="R1323">
        <v>1673</v>
      </c>
      <c r="S1323">
        <v>1377</v>
      </c>
      <c r="T1323">
        <v>2249</v>
      </c>
      <c r="U1323">
        <v>1377</v>
      </c>
      <c r="V1323">
        <v>2249</v>
      </c>
    </row>
    <row r="1324" spans="2:22" x14ac:dyDescent="0.35">
      <c r="B1324" s="46" t="s">
        <v>1796</v>
      </c>
      <c r="D1324" t="s">
        <v>1791</v>
      </c>
      <c r="E1324" t="s">
        <v>1792</v>
      </c>
      <c r="F1324" s="46" t="s">
        <v>1796</v>
      </c>
      <c r="G1324" t="s">
        <v>231</v>
      </c>
      <c r="H1324" s="23">
        <v>1</v>
      </c>
      <c r="I1324" s="23" t="s">
        <v>1793</v>
      </c>
      <c r="J1324" t="s">
        <v>1062</v>
      </c>
      <c r="K1324">
        <v>176</v>
      </c>
      <c r="L1324">
        <v>227</v>
      </c>
      <c r="M1324" s="24">
        <v>182</v>
      </c>
      <c r="N1324" s="24">
        <v>227</v>
      </c>
      <c r="O1324" s="24">
        <v>141</v>
      </c>
      <c r="P1324" s="24">
        <v>209</v>
      </c>
      <c r="Q1324">
        <v>117</v>
      </c>
      <c r="R1324">
        <v>189</v>
      </c>
      <c r="S1324">
        <v>156</v>
      </c>
      <c r="T1324">
        <v>223</v>
      </c>
      <c r="U1324">
        <v>156</v>
      </c>
      <c r="V1324">
        <v>223</v>
      </c>
    </row>
    <row r="1325" spans="2:22" x14ac:dyDescent="0.35">
      <c r="B1325" s="46" t="s">
        <v>1797</v>
      </c>
      <c r="D1325" t="s">
        <v>1791</v>
      </c>
      <c r="E1325" t="s">
        <v>1792</v>
      </c>
      <c r="F1325" s="46" t="s">
        <v>1797</v>
      </c>
      <c r="G1325" t="s">
        <v>231</v>
      </c>
      <c r="H1325" s="23">
        <v>1</v>
      </c>
      <c r="I1325" s="23" t="s">
        <v>1793</v>
      </c>
      <c r="J1325" t="s">
        <v>1798</v>
      </c>
      <c r="K1325">
        <v>988</v>
      </c>
      <c r="L1325">
        <v>1373</v>
      </c>
      <c r="M1325" s="24">
        <v>916</v>
      </c>
      <c r="N1325" s="24">
        <v>1323</v>
      </c>
      <c r="O1325" s="24">
        <v>709</v>
      </c>
      <c r="P1325" s="24">
        <v>1218</v>
      </c>
      <c r="Q1325">
        <v>620</v>
      </c>
      <c r="R1325">
        <v>1283</v>
      </c>
      <c r="S1325">
        <v>1017</v>
      </c>
      <c r="T1325">
        <v>1814</v>
      </c>
      <c r="U1325">
        <v>1017</v>
      </c>
      <c r="V1325">
        <v>1814</v>
      </c>
    </row>
    <row r="1326" spans="2:22" x14ac:dyDescent="0.35">
      <c r="B1326" s="46" t="s">
        <v>1799</v>
      </c>
      <c r="D1326" t="s">
        <v>1791</v>
      </c>
      <c r="E1326" t="s">
        <v>1792</v>
      </c>
      <c r="F1326" s="46" t="s">
        <v>1799</v>
      </c>
      <c r="G1326" t="s">
        <v>231</v>
      </c>
      <c r="H1326" s="23">
        <v>1</v>
      </c>
      <c r="I1326" s="23" t="s">
        <v>1793</v>
      </c>
      <c r="J1326" t="s">
        <v>535</v>
      </c>
      <c r="K1326">
        <v>284</v>
      </c>
      <c r="L1326">
        <v>422</v>
      </c>
      <c r="M1326" s="24">
        <v>252</v>
      </c>
      <c r="N1326" s="24">
        <v>415</v>
      </c>
      <c r="O1326" s="24">
        <v>208</v>
      </c>
      <c r="P1326" s="24">
        <v>373</v>
      </c>
      <c r="Q1326">
        <v>213</v>
      </c>
      <c r="R1326">
        <v>378</v>
      </c>
      <c r="S1326">
        <v>352</v>
      </c>
      <c r="T1326">
        <v>540</v>
      </c>
      <c r="U1326">
        <v>352</v>
      </c>
      <c r="V1326">
        <v>540</v>
      </c>
    </row>
    <row r="1327" spans="2:22" x14ac:dyDescent="0.35">
      <c r="B1327" s="46" t="s">
        <v>1800</v>
      </c>
      <c r="D1327" t="s">
        <v>1791</v>
      </c>
      <c r="E1327" t="s">
        <v>1792</v>
      </c>
      <c r="F1327" s="46" t="s">
        <v>1800</v>
      </c>
      <c r="G1327" t="s">
        <v>231</v>
      </c>
      <c r="H1327" s="23">
        <v>1</v>
      </c>
      <c r="I1327" s="23" t="s">
        <v>1793</v>
      </c>
      <c r="J1327" t="s">
        <v>1801</v>
      </c>
      <c r="K1327">
        <v>3104</v>
      </c>
      <c r="L1327">
        <v>4626</v>
      </c>
      <c r="M1327" s="24">
        <v>2947</v>
      </c>
      <c r="N1327" s="24">
        <v>4540</v>
      </c>
      <c r="O1327" s="24">
        <v>2445</v>
      </c>
      <c r="P1327" s="24">
        <v>4243</v>
      </c>
      <c r="Q1327">
        <v>2253</v>
      </c>
      <c r="R1327">
        <v>4308</v>
      </c>
      <c r="S1327">
        <v>3481</v>
      </c>
      <c r="T1327">
        <v>6029</v>
      </c>
      <c r="U1327">
        <v>3481</v>
      </c>
      <c r="V1327">
        <v>6029</v>
      </c>
    </row>
    <row r="1328" spans="2:22" x14ac:dyDescent="0.35">
      <c r="B1328" s="46" t="s">
        <v>1802</v>
      </c>
      <c r="D1328" t="s">
        <v>1791</v>
      </c>
      <c r="E1328" t="s">
        <v>1792</v>
      </c>
      <c r="F1328" s="46" t="s">
        <v>1802</v>
      </c>
      <c r="G1328" t="s">
        <v>231</v>
      </c>
      <c r="H1328" s="23">
        <v>1</v>
      </c>
      <c r="I1328" s="23" t="s">
        <v>1793</v>
      </c>
      <c r="J1328" t="s">
        <v>1803</v>
      </c>
      <c r="K1328">
        <v>376</v>
      </c>
      <c r="L1328">
        <v>495</v>
      </c>
      <c r="M1328" s="24">
        <v>326</v>
      </c>
      <c r="N1328" s="24">
        <v>475</v>
      </c>
      <c r="O1328" s="24">
        <v>291</v>
      </c>
      <c r="P1328" s="24">
        <v>434</v>
      </c>
      <c r="Q1328">
        <v>263</v>
      </c>
      <c r="R1328">
        <v>436</v>
      </c>
      <c r="S1328">
        <v>385</v>
      </c>
      <c r="T1328">
        <v>570</v>
      </c>
      <c r="U1328">
        <v>385</v>
      </c>
      <c r="V1328">
        <v>570</v>
      </c>
    </row>
    <row r="1329" spans="2:22" x14ac:dyDescent="0.35">
      <c r="B1329" s="46" t="s">
        <v>1804</v>
      </c>
      <c r="D1329" t="s">
        <v>1791</v>
      </c>
      <c r="E1329" t="s">
        <v>1792</v>
      </c>
      <c r="F1329" s="46" t="s">
        <v>1804</v>
      </c>
      <c r="G1329" t="s">
        <v>231</v>
      </c>
      <c r="H1329" s="23">
        <v>1</v>
      </c>
      <c r="I1329" s="23" t="s">
        <v>1793</v>
      </c>
      <c r="J1329" t="s">
        <v>385</v>
      </c>
      <c r="K1329">
        <v>2833</v>
      </c>
      <c r="L1329">
        <v>4282</v>
      </c>
      <c r="M1329" s="24">
        <v>2576</v>
      </c>
      <c r="N1329" s="24">
        <v>4136</v>
      </c>
      <c r="O1329" s="24">
        <v>2241</v>
      </c>
      <c r="P1329" s="24">
        <v>3973</v>
      </c>
      <c r="Q1329">
        <v>2168</v>
      </c>
      <c r="R1329">
        <v>4015</v>
      </c>
      <c r="S1329">
        <v>3128</v>
      </c>
      <c r="T1329">
        <v>5159</v>
      </c>
      <c r="U1329">
        <v>3128</v>
      </c>
      <c r="V1329">
        <v>5159</v>
      </c>
    </row>
    <row r="1330" spans="2:22" x14ac:dyDescent="0.35">
      <c r="B1330" s="46" t="s">
        <v>1805</v>
      </c>
      <c r="D1330" t="s">
        <v>1791</v>
      </c>
      <c r="E1330" t="s">
        <v>1792</v>
      </c>
      <c r="F1330" s="46" t="s">
        <v>1805</v>
      </c>
      <c r="G1330" t="s">
        <v>235</v>
      </c>
      <c r="H1330" s="23">
        <v>2</v>
      </c>
      <c r="I1330" s="23" t="s">
        <v>1806</v>
      </c>
      <c r="J1330" t="s">
        <v>1674</v>
      </c>
      <c r="K1330">
        <v>1896</v>
      </c>
      <c r="L1330">
        <v>2396</v>
      </c>
      <c r="M1330" s="24">
        <v>1513</v>
      </c>
      <c r="N1330" s="24">
        <v>2335</v>
      </c>
      <c r="O1330" s="24">
        <v>1166</v>
      </c>
      <c r="P1330" s="24">
        <v>2051</v>
      </c>
      <c r="Q1330">
        <v>1200</v>
      </c>
      <c r="R1330">
        <v>2129</v>
      </c>
      <c r="S1330">
        <v>1787</v>
      </c>
      <c r="T1330">
        <v>2844</v>
      </c>
      <c r="U1330">
        <v>1787</v>
      </c>
      <c r="V1330">
        <v>2844</v>
      </c>
    </row>
    <row r="1331" spans="2:22" x14ac:dyDescent="0.35">
      <c r="B1331" s="46" t="s">
        <v>1807</v>
      </c>
      <c r="D1331" t="s">
        <v>1791</v>
      </c>
      <c r="E1331" t="s">
        <v>1792</v>
      </c>
      <c r="F1331" s="46" t="s">
        <v>1807</v>
      </c>
      <c r="G1331" t="s">
        <v>235</v>
      </c>
      <c r="H1331" s="23">
        <v>2</v>
      </c>
      <c r="I1331" s="23" t="s">
        <v>1806</v>
      </c>
      <c r="J1331" t="s">
        <v>243</v>
      </c>
      <c r="K1331">
        <v>3432</v>
      </c>
      <c r="L1331">
        <v>4401</v>
      </c>
      <c r="M1331" s="24">
        <v>2561</v>
      </c>
      <c r="N1331" s="24">
        <v>4247</v>
      </c>
      <c r="O1331" s="24">
        <v>2024</v>
      </c>
      <c r="P1331" s="24">
        <v>3814</v>
      </c>
      <c r="Q1331">
        <v>1949</v>
      </c>
      <c r="R1331">
        <v>3924</v>
      </c>
      <c r="S1331">
        <v>2816</v>
      </c>
      <c r="T1331">
        <v>5149</v>
      </c>
      <c r="U1331">
        <v>2816</v>
      </c>
      <c r="V1331">
        <v>5149</v>
      </c>
    </row>
    <row r="1332" spans="2:22" x14ac:dyDescent="0.35">
      <c r="B1332" s="46" t="s">
        <v>1808</v>
      </c>
      <c r="D1332" t="s">
        <v>1791</v>
      </c>
      <c r="E1332" t="s">
        <v>1792</v>
      </c>
      <c r="F1332" s="46" t="s">
        <v>1808</v>
      </c>
      <c r="G1332" t="s">
        <v>235</v>
      </c>
      <c r="H1332" s="23">
        <v>2</v>
      </c>
      <c r="I1332" s="23" t="s">
        <v>1806</v>
      </c>
      <c r="J1332" t="s">
        <v>1809</v>
      </c>
      <c r="K1332">
        <v>926</v>
      </c>
      <c r="L1332">
        <v>1061</v>
      </c>
      <c r="M1332" s="24">
        <v>789</v>
      </c>
      <c r="N1332" s="24">
        <v>1080</v>
      </c>
      <c r="O1332" s="24">
        <v>593</v>
      </c>
      <c r="P1332" s="24">
        <v>912</v>
      </c>
      <c r="Q1332">
        <v>575</v>
      </c>
      <c r="R1332">
        <v>920</v>
      </c>
      <c r="S1332">
        <v>911</v>
      </c>
      <c r="T1332">
        <v>1345</v>
      </c>
      <c r="U1332">
        <v>911</v>
      </c>
      <c r="V1332">
        <v>1345</v>
      </c>
    </row>
    <row r="1333" spans="2:22" x14ac:dyDescent="0.35">
      <c r="B1333" s="46" t="s">
        <v>1810</v>
      </c>
      <c r="D1333" t="s">
        <v>1791</v>
      </c>
      <c r="E1333" t="s">
        <v>1792</v>
      </c>
      <c r="F1333" s="46" t="s">
        <v>1810</v>
      </c>
      <c r="G1333" t="s">
        <v>235</v>
      </c>
      <c r="H1333" s="23">
        <v>2</v>
      </c>
      <c r="I1333" s="23" t="s">
        <v>1806</v>
      </c>
      <c r="J1333" t="s">
        <v>1270</v>
      </c>
      <c r="K1333">
        <v>838</v>
      </c>
      <c r="L1333">
        <v>1028</v>
      </c>
      <c r="M1333" s="24">
        <v>722</v>
      </c>
      <c r="N1333" s="24">
        <v>1044</v>
      </c>
      <c r="O1333" s="24">
        <v>616</v>
      </c>
      <c r="P1333" s="24">
        <v>957</v>
      </c>
      <c r="Q1333">
        <v>604</v>
      </c>
      <c r="R1333">
        <v>976</v>
      </c>
      <c r="S1333">
        <v>825</v>
      </c>
      <c r="T1333">
        <v>1232</v>
      </c>
      <c r="U1333">
        <v>825</v>
      </c>
      <c r="V1333">
        <v>1232</v>
      </c>
    </row>
    <row r="1334" spans="2:22" x14ac:dyDescent="0.35">
      <c r="B1334" s="46" t="s">
        <v>1811</v>
      </c>
      <c r="D1334" t="s">
        <v>1791</v>
      </c>
      <c r="E1334" t="s">
        <v>1792</v>
      </c>
      <c r="F1334" s="46" t="s">
        <v>1811</v>
      </c>
      <c r="G1334" t="s">
        <v>235</v>
      </c>
      <c r="H1334" s="23">
        <v>2</v>
      </c>
      <c r="I1334" s="23" t="s">
        <v>1806</v>
      </c>
      <c r="J1334" t="s">
        <v>1812</v>
      </c>
      <c r="K1334">
        <v>992</v>
      </c>
      <c r="L1334">
        <v>1179</v>
      </c>
      <c r="M1334" s="24">
        <v>857</v>
      </c>
      <c r="N1334" s="24">
        <v>1247</v>
      </c>
      <c r="O1334" s="24">
        <v>631</v>
      </c>
      <c r="P1334" s="24">
        <v>1051</v>
      </c>
      <c r="Q1334">
        <v>622</v>
      </c>
      <c r="R1334">
        <v>1154</v>
      </c>
      <c r="S1334">
        <v>1079</v>
      </c>
      <c r="T1334">
        <v>1722</v>
      </c>
      <c r="U1334">
        <v>1079</v>
      </c>
      <c r="V1334">
        <v>1722</v>
      </c>
    </row>
    <row r="1335" spans="2:22" x14ac:dyDescent="0.35">
      <c r="B1335" s="46" t="s">
        <v>1813</v>
      </c>
      <c r="D1335" t="s">
        <v>1791</v>
      </c>
      <c r="E1335" t="s">
        <v>1792</v>
      </c>
      <c r="F1335" s="46" t="s">
        <v>1813</v>
      </c>
      <c r="G1335" t="s">
        <v>235</v>
      </c>
      <c r="H1335" s="23">
        <v>2</v>
      </c>
      <c r="I1335" s="23" t="s">
        <v>1806</v>
      </c>
      <c r="J1335" t="s">
        <v>1814</v>
      </c>
      <c r="K1335">
        <v>654</v>
      </c>
      <c r="L1335">
        <v>765</v>
      </c>
      <c r="M1335" s="24">
        <v>501</v>
      </c>
      <c r="N1335" s="24">
        <v>772</v>
      </c>
      <c r="O1335" s="24">
        <v>389</v>
      </c>
      <c r="P1335" s="24">
        <v>642</v>
      </c>
      <c r="Q1335">
        <v>407</v>
      </c>
      <c r="R1335">
        <v>708</v>
      </c>
      <c r="S1335">
        <v>669</v>
      </c>
      <c r="T1335">
        <v>1044</v>
      </c>
      <c r="U1335">
        <v>669</v>
      </c>
      <c r="V1335">
        <v>1044</v>
      </c>
    </row>
    <row r="1336" spans="2:22" x14ac:dyDescent="0.35">
      <c r="B1336" s="46" t="s">
        <v>1815</v>
      </c>
      <c r="D1336" t="s">
        <v>1791</v>
      </c>
      <c r="E1336" t="s">
        <v>1792</v>
      </c>
      <c r="F1336" s="46" t="s">
        <v>1815</v>
      </c>
      <c r="G1336" t="s">
        <v>235</v>
      </c>
      <c r="H1336" s="23">
        <v>2</v>
      </c>
      <c r="I1336" s="23" t="s">
        <v>1806</v>
      </c>
      <c r="J1336" t="s">
        <v>1816</v>
      </c>
      <c r="K1336">
        <v>1558</v>
      </c>
      <c r="L1336">
        <v>1895</v>
      </c>
      <c r="M1336" s="24">
        <v>1344</v>
      </c>
      <c r="N1336" s="24">
        <v>2012</v>
      </c>
      <c r="O1336" s="24">
        <v>973</v>
      </c>
      <c r="P1336" s="24">
        <v>1726</v>
      </c>
      <c r="Q1336">
        <v>995</v>
      </c>
      <c r="R1336">
        <v>1822</v>
      </c>
      <c r="S1336">
        <v>1433</v>
      </c>
      <c r="T1336">
        <v>2396</v>
      </c>
      <c r="U1336">
        <v>1433</v>
      </c>
      <c r="V1336">
        <v>2396</v>
      </c>
    </row>
    <row r="1337" spans="2:22" x14ac:dyDescent="0.35">
      <c r="B1337" s="46" t="s">
        <v>1817</v>
      </c>
      <c r="D1337" t="s">
        <v>1791</v>
      </c>
      <c r="E1337" t="s">
        <v>1792</v>
      </c>
      <c r="F1337" s="46" t="s">
        <v>1817</v>
      </c>
      <c r="G1337" t="s">
        <v>235</v>
      </c>
      <c r="H1337" s="23">
        <v>2</v>
      </c>
      <c r="I1337" s="23" t="s">
        <v>1806</v>
      </c>
      <c r="J1337" t="s">
        <v>247</v>
      </c>
      <c r="K1337">
        <v>1445</v>
      </c>
      <c r="L1337">
        <v>1819</v>
      </c>
      <c r="M1337" s="24">
        <v>1139</v>
      </c>
      <c r="N1337" s="24">
        <v>1730</v>
      </c>
      <c r="O1337" s="24">
        <v>898</v>
      </c>
      <c r="P1337" s="24">
        <v>1552</v>
      </c>
      <c r="Q1337">
        <v>865</v>
      </c>
      <c r="R1337">
        <v>1575</v>
      </c>
      <c r="S1337">
        <v>1306</v>
      </c>
      <c r="T1337">
        <v>2160</v>
      </c>
      <c r="U1337">
        <v>1306</v>
      </c>
      <c r="V1337">
        <v>2160</v>
      </c>
    </row>
    <row r="1338" spans="2:22" x14ac:dyDescent="0.35">
      <c r="B1338" s="46" t="s">
        <v>1818</v>
      </c>
      <c r="D1338" t="s">
        <v>1791</v>
      </c>
      <c r="E1338" t="s">
        <v>1792</v>
      </c>
      <c r="F1338" s="46" t="s">
        <v>1818</v>
      </c>
      <c r="G1338" t="s">
        <v>235</v>
      </c>
      <c r="H1338" s="23">
        <v>2</v>
      </c>
      <c r="I1338" s="23" t="s">
        <v>1806</v>
      </c>
      <c r="J1338" t="s">
        <v>1819</v>
      </c>
      <c r="K1338">
        <v>13215</v>
      </c>
      <c r="L1338">
        <v>17856</v>
      </c>
      <c r="M1338" s="24">
        <v>10325</v>
      </c>
      <c r="N1338" s="24">
        <v>17091</v>
      </c>
      <c r="O1338" s="24">
        <v>8119</v>
      </c>
      <c r="P1338" s="24">
        <v>15353</v>
      </c>
      <c r="Q1338">
        <v>8152</v>
      </c>
      <c r="R1338">
        <v>16176</v>
      </c>
      <c r="S1338">
        <v>11373</v>
      </c>
      <c r="T1338">
        <v>20478</v>
      </c>
      <c r="U1338">
        <v>11373</v>
      </c>
      <c r="V1338">
        <v>20478</v>
      </c>
    </row>
    <row r="1339" spans="2:22" x14ac:dyDescent="0.35">
      <c r="B1339" s="46" t="s">
        <v>1820</v>
      </c>
      <c r="D1339" t="s">
        <v>1791</v>
      </c>
      <c r="E1339" t="s">
        <v>1792</v>
      </c>
      <c r="F1339" s="46" t="s">
        <v>1820</v>
      </c>
      <c r="G1339" t="s">
        <v>235</v>
      </c>
      <c r="H1339" s="23">
        <v>2</v>
      </c>
      <c r="I1339" s="23" t="s">
        <v>1806</v>
      </c>
      <c r="J1339" t="s">
        <v>1821</v>
      </c>
      <c r="K1339">
        <v>1327</v>
      </c>
      <c r="L1339">
        <v>1761</v>
      </c>
      <c r="M1339" s="24">
        <v>1011</v>
      </c>
      <c r="N1339" s="24">
        <v>1646</v>
      </c>
      <c r="O1339" s="24">
        <v>750</v>
      </c>
      <c r="P1339" s="24">
        <v>1481</v>
      </c>
      <c r="Q1339">
        <v>747</v>
      </c>
      <c r="R1339">
        <v>1551</v>
      </c>
      <c r="S1339">
        <v>1157</v>
      </c>
      <c r="T1339">
        <v>2112</v>
      </c>
      <c r="U1339">
        <v>1157</v>
      </c>
      <c r="V1339">
        <v>2112</v>
      </c>
    </row>
    <row r="1340" spans="2:22" x14ac:dyDescent="0.35">
      <c r="B1340" s="46" t="s">
        <v>1822</v>
      </c>
      <c r="D1340" t="s">
        <v>1791</v>
      </c>
      <c r="E1340" t="s">
        <v>1792</v>
      </c>
      <c r="F1340" s="46" t="s">
        <v>1822</v>
      </c>
      <c r="G1340" t="s">
        <v>235</v>
      </c>
      <c r="H1340" s="23">
        <v>2</v>
      </c>
      <c r="I1340" s="23" t="s">
        <v>1806</v>
      </c>
      <c r="J1340" t="s">
        <v>369</v>
      </c>
      <c r="K1340">
        <v>1150</v>
      </c>
      <c r="L1340">
        <v>1373</v>
      </c>
      <c r="M1340" s="24">
        <v>888</v>
      </c>
      <c r="N1340" s="24">
        <v>1345</v>
      </c>
      <c r="O1340" s="24">
        <v>717</v>
      </c>
      <c r="P1340" s="24">
        <v>1197</v>
      </c>
      <c r="Q1340">
        <v>597</v>
      </c>
      <c r="R1340">
        <v>1173</v>
      </c>
      <c r="S1340">
        <v>895</v>
      </c>
      <c r="T1340">
        <v>1540</v>
      </c>
      <c r="U1340">
        <v>895</v>
      </c>
      <c r="V1340">
        <v>1540</v>
      </c>
    </row>
    <row r="1341" spans="2:22" x14ac:dyDescent="0.35">
      <c r="B1341" s="46" t="s">
        <v>1823</v>
      </c>
      <c r="D1341" t="s">
        <v>1791</v>
      </c>
      <c r="E1341" t="s">
        <v>1792</v>
      </c>
      <c r="F1341" s="46" t="s">
        <v>1823</v>
      </c>
      <c r="G1341" t="s">
        <v>235</v>
      </c>
      <c r="H1341" s="23">
        <v>2</v>
      </c>
      <c r="I1341" s="23" t="s">
        <v>1806</v>
      </c>
      <c r="J1341" t="s">
        <v>263</v>
      </c>
      <c r="K1341">
        <v>328</v>
      </c>
      <c r="L1341">
        <v>415</v>
      </c>
      <c r="M1341" s="24">
        <v>290</v>
      </c>
      <c r="N1341" s="24">
        <v>412</v>
      </c>
      <c r="O1341" s="24">
        <v>187</v>
      </c>
      <c r="P1341" s="24">
        <v>309</v>
      </c>
      <c r="Q1341">
        <v>180</v>
      </c>
      <c r="R1341">
        <v>329</v>
      </c>
      <c r="S1341">
        <v>285</v>
      </c>
      <c r="T1341">
        <v>473</v>
      </c>
      <c r="U1341">
        <v>285</v>
      </c>
      <c r="V1341">
        <v>473</v>
      </c>
    </row>
    <row r="1342" spans="2:22" x14ac:dyDescent="0.35">
      <c r="B1342" s="46" t="s">
        <v>1824</v>
      </c>
      <c r="D1342" t="s">
        <v>1791</v>
      </c>
      <c r="E1342" t="s">
        <v>1792</v>
      </c>
      <c r="F1342" s="46" t="s">
        <v>1824</v>
      </c>
      <c r="G1342" t="s">
        <v>235</v>
      </c>
      <c r="H1342" s="23">
        <v>2</v>
      </c>
      <c r="I1342" s="23" t="s">
        <v>1806</v>
      </c>
      <c r="J1342" t="s">
        <v>1825</v>
      </c>
      <c r="K1342">
        <v>1080</v>
      </c>
      <c r="L1342">
        <v>1342</v>
      </c>
      <c r="M1342" s="24">
        <v>828</v>
      </c>
      <c r="N1342" s="24">
        <v>1367</v>
      </c>
      <c r="O1342" s="24">
        <v>628</v>
      </c>
      <c r="P1342" s="24">
        <v>1188</v>
      </c>
      <c r="Q1342">
        <v>639</v>
      </c>
      <c r="R1342">
        <v>1210</v>
      </c>
      <c r="S1342">
        <v>941</v>
      </c>
      <c r="T1342">
        <v>1606</v>
      </c>
      <c r="U1342">
        <v>941</v>
      </c>
      <c r="V1342">
        <v>1606</v>
      </c>
    </row>
    <row r="1343" spans="2:22" x14ac:dyDescent="0.35">
      <c r="B1343" s="46" t="s">
        <v>1826</v>
      </c>
      <c r="D1343" t="s">
        <v>1791</v>
      </c>
      <c r="E1343" t="s">
        <v>1792</v>
      </c>
      <c r="F1343" s="46" t="s">
        <v>1826</v>
      </c>
      <c r="G1343" t="s">
        <v>235</v>
      </c>
      <c r="H1343" s="23">
        <v>2</v>
      </c>
      <c r="I1343" s="23" t="s">
        <v>1806</v>
      </c>
      <c r="J1343" t="s">
        <v>528</v>
      </c>
      <c r="K1343">
        <v>471</v>
      </c>
      <c r="L1343">
        <v>590</v>
      </c>
      <c r="M1343" s="24">
        <v>414</v>
      </c>
      <c r="N1343" s="24">
        <v>618</v>
      </c>
      <c r="O1343" s="24">
        <v>286</v>
      </c>
      <c r="P1343" s="24">
        <v>520</v>
      </c>
      <c r="Q1343">
        <v>281</v>
      </c>
      <c r="R1343">
        <v>558</v>
      </c>
      <c r="S1343">
        <v>404</v>
      </c>
      <c r="T1343">
        <v>715</v>
      </c>
      <c r="U1343">
        <v>404</v>
      </c>
      <c r="V1343">
        <v>715</v>
      </c>
    </row>
    <row r="1344" spans="2:22" x14ac:dyDescent="0.35">
      <c r="B1344" s="46" t="s">
        <v>1827</v>
      </c>
      <c r="D1344" t="s">
        <v>1791</v>
      </c>
      <c r="E1344" t="s">
        <v>1792</v>
      </c>
      <c r="F1344" s="46" t="s">
        <v>1827</v>
      </c>
      <c r="G1344" t="s">
        <v>235</v>
      </c>
      <c r="H1344" s="23">
        <v>2</v>
      </c>
      <c r="I1344" s="23" t="s">
        <v>1806</v>
      </c>
      <c r="J1344" t="s">
        <v>512</v>
      </c>
      <c r="K1344">
        <v>3956</v>
      </c>
      <c r="L1344">
        <v>4961</v>
      </c>
      <c r="M1344" s="24">
        <v>3005</v>
      </c>
      <c r="N1344" s="24">
        <v>4784</v>
      </c>
      <c r="O1344" s="24">
        <v>2287</v>
      </c>
      <c r="P1344" s="24">
        <v>4133</v>
      </c>
      <c r="Q1344">
        <v>2205</v>
      </c>
      <c r="R1344">
        <v>4314</v>
      </c>
      <c r="S1344">
        <v>3131</v>
      </c>
      <c r="T1344">
        <v>5422</v>
      </c>
      <c r="U1344">
        <v>3131</v>
      </c>
      <c r="V1344">
        <v>5422</v>
      </c>
    </row>
    <row r="1345" spans="2:22" x14ac:dyDescent="0.35">
      <c r="B1345" s="46" t="s">
        <v>1828</v>
      </c>
      <c r="D1345" t="s">
        <v>1791</v>
      </c>
      <c r="E1345" t="s">
        <v>1792</v>
      </c>
      <c r="F1345" s="46" t="s">
        <v>1828</v>
      </c>
      <c r="G1345" t="s">
        <v>235</v>
      </c>
      <c r="H1345" s="23">
        <v>2</v>
      </c>
      <c r="I1345" s="23" t="s">
        <v>1806</v>
      </c>
      <c r="J1345" t="s">
        <v>518</v>
      </c>
      <c r="K1345">
        <v>501</v>
      </c>
      <c r="L1345">
        <v>607</v>
      </c>
      <c r="M1345" s="24">
        <v>408</v>
      </c>
      <c r="N1345" s="24">
        <v>639</v>
      </c>
      <c r="O1345" s="24">
        <v>352</v>
      </c>
      <c r="P1345" s="24">
        <v>593</v>
      </c>
      <c r="Q1345">
        <v>296</v>
      </c>
      <c r="R1345">
        <v>535</v>
      </c>
      <c r="S1345">
        <v>454</v>
      </c>
      <c r="T1345">
        <v>729</v>
      </c>
      <c r="U1345">
        <v>454</v>
      </c>
      <c r="V1345">
        <v>729</v>
      </c>
    </row>
    <row r="1346" spans="2:22" x14ac:dyDescent="0.35">
      <c r="B1346" s="46" t="s">
        <v>1829</v>
      </c>
      <c r="D1346" t="s">
        <v>1791</v>
      </c>
      <c r="E1346" t="s">
        <v>1792</v>
      </c>
      <c r="F1346" s="46" t="s">
        <v>1829</v>
      </c>
      <c r="G1346" t="s">
        <v>239</v>
      </c>
      <c r="H1346" s="23">
        <v>3</v>
      </c>
      <c r="I1346" s="23" t="s">
        <v>1830</v>
      </c>
      <c r="J1346" t="s">
        <v>1831</v>
      </c>
      <c r="K1346">
        <v>327</v>
      </c>
      <c r="L1346">
        <v>368</v>
      </c>
      <c r="M1346" s="24">
        <v>249</v>
      </c>
      <c r="N1346" s="24">
        <v>372</v>
      </c>
      <c r="O1346" s="24">
        <v>175</v>
      </c>
      <c r="P1346" s="24">
        <v>304</v>
      </c>
      <c r="Q1346">
        <v>180</v>
      </c>
      <c r="R1346">
        <v>318</v>
      </c>
      <c r="S1346">
        <v>249</v>
      </c>
      <c r="T1346">
        <v>470</v>
      </c>
      <c r="U1346">
        <v>249</v>
      </c>
      <c r="V1346">
        <v>470</v>
      </c>
    </row>
    <row r="1347" spans="2:22" x14ac:dyDescent="0.35">
      <c r="B1347" s="46" t="s">
        <v>1832</v>
      </c>
      <c r="D1347" t="s">
        <v>1791</v>
      </c>
      <c r="E1347" t="s">
        <v>1792</v>
      </c>
      <c r="F1347" s="46" t="s">
        <v>1832</v>
      </c>
      <c r="G1347" t="s">
        <v>239</v>
      </c>
      <c r="H1347" s="23">
        <v>3</v>
      </c>
      <c r="I1347" s="23" t="s">
        <v>1830</v>
      </c>
      <c r="J1347" t="s">
        <v>490</v>
      </c>
      <c r="K1347">
        <v>3071</v>
      </c>
      <c r="L1347">
        <v>3638</v>
      </c>
      <c r="M1347" s="24">
        <v>2138</v>
      </c>
      <c r="N1347" s="24">
        <v>3572</v>
      </c>
      <c r="O1347" s="24">
        <v>1567</v>
      </c>
      <c r="P1347" s="24">
        <v>3001</v>
      </c>
      <c r="Q1347">
        <v>1590</v>
      </c>
      <c r="R1347">
        <v>3094</v>
      </c>
      <c r="S1347">
        <v>2122</v>
      </c>
      <c r="T1347">
        <v>3930</v>
      </c>
      <c r="U1347">
        <v>2122</v>
      </c>
      <c r="V1347">
        <v>3930</v>
      </c>
    </row>
    <row r="1348" spans="2:22" x14ac:dyDescent="0.35">
      <c r="B1348" s="46" t="s">
        <v>1833</v>
      </c>
      <c r="D1348" t="s">
        <v>1791</v>
      </c>
      <c r="E1348" t="s">
        <v>1792</v>
      </c>
      <c r="F1348" s="46" t="s">
        <v>1833</v>
      </c>
      <c r="G1348" t="s">
        <v>239</v>
      </c>
      <c r="H1348" s="23">
        <v>3</v>
      </c>
      <c r="I1348" s="23" t="s">
        <v>1830</v>
      </c>
      <c r="J1348" t="s">
        <v>355</v>
      </c>
      <c r="K1348">
        <v>1066</v>
      </c>
      <c r="L1348">
        <v>1265</v>
      </c>
      <c r="M1348" s="24">
        <v>738</v>
      </c>
      <c r="N1348" s="24">
        <v>1226</v>
      </c>
      <c r="O1348" s="24">
        <v>544</v>
      </c>
      <c r="P1348" s="24">
        <v>1082</v>
      </c>
      <c r="Q1348">
        <v>478</v>
      </c>
      <c r="R1348">
        <v>1061</v>
      </c>
      <c r="S1348">
        <v>643</v>
      </c>
      <c r="T1348">
        <v>1338</v>
      </c>
      <c r="U1348">
        <v>643</v>
      </c>
      <c r="V1348">
        <v>1338</v>
      </c>
    </row>
    <row r="1349" spans="2:22" x14ac:dyDescent="0.35">
      <c r="B1349" s="46" t="s">
        <v>1834</v>
      </c>
      <c r="D1349" t="s">
        <v>1791</v>
      </c>
      <c r="E1349" t="s">
        <v>1792</v>
      </c>
      <c r="F1349" s="46" t="s">
        <v>1834</v>
      </c>
      <c r="G1349" t="s">
        <v>239</v>
      </c>
      <c r="H1349" s="23">
        <v>3</v>
      </c>
      <c r="I1349" s="23" t="s">
        <v>1830</v>
      </c>
      <c r="J1349" t="s">
        <v>1835</v>
      </c>
      <c r="K1349">
        <v>460</v>
      </c>
      <c r="L1349">
        <v>525</v>
      </c>
      <c r="M1349" s="24">
        <v>325</v>
      </c>
      <c r="N1349" s="24">
        <v>518</v>
      </c>
      <c r="O1349" s="24">
        <v>207</v>
      </c>
      <c r="P1349" s="24">
        <v>396</v>
      </c>
      <c r="Q1349">
        <f>O1349</f>
        <v>207</v>
      </c>
      <c r="R1349">
        <v>416</v>
      </c>
      <c r="S1349">
        <v>284</v>
      </c>
      <c r="T1349">
        <v>570</v>
      </c>
      <c r="U1349">
        <v>284</v>
      </c>
      <c r="V1349">
        <v>570</v>
      </c>
    </row>
    <row r="1350" spans="2:22" x14ac:dyDescent="0.35">
      <c r="B1350" s="46" t="s">
        <v>1836</v>
      </c>
      <c r="D1350" t="s">
        <v>1791</v>
      </c>
      <c r="E1350" t="s">
        <v>1792</v>
      </c>
      <c r="F1350" s="46" t="s">
        <v>1836</v>
      </c>
      <c r="G1350" t="s">
        <v>239</v>
      </c>
      <c r="H1350" s="23">
        <v>3</v>
      </c>
      <c r="I1350" s="23" t="s">
        <v>1830</v>
      </c>
      <c r="J1350" t="s">
        <v>613</v>
      </c>
      <c r="K1350">
        <v>11260</v>
      </c>
      <c r="L1350">
        <v>14096</v>
      </c>
      <c r="M1350" s="24">
        <v>7877</v>
      </c>
      <c r="N1350" s="24">
        <v>13472</v>
      </c>
      <c r="O1350" s="24">
        <v>5836</v>
      </c>
      <c r="P1350" s="24">
        <v>11533</v>
      </c>
      <c r="Q1350">
        <v>6024</v>
      </c>
      <c r="R1350">
        <v>12047</v>
      </c>
      <c r="S1350">
        <v>7741</v>
      </c>
      <c r="T1350">
        <v>15128</v>
      </c>
      <c r="U1350">
        <v>7741</v>
      </c>
      <c r="V1350">
        <v>15128</v>
      </c>
    </row>
    <row r="1351" spans="2:22" x14ac:dyDescent="0.35">
      <c r="B1351" s="46" t="s">
        <v>1837</v>
      </c>
      <c r="D1351" t="s">
        <v>1791</v>
      </c>
      <c r="E1351" t="s">
        <v>1792</v>
      </c>
      <c r="F1351" s="46" t="s">
        <v>1837</v>
      </c>
      <c r="G1351" t="s">
        <v>239</v>
      </c>
      <c r="H1351" s="23">
        <v>3</v>
      </c>
      <c r="I1351" s="23" t="s">
        <v>1830</v>
      </c>
      <c r="J1351" t="s">
        <v>365</v>
      </c>
      <c r="K1351">
        <v>732</v>
      </c>
      <c r="L1351">
        <v>868</v>
      </c>
      <c r="M1351" s="24">
        <v>532</v>
      </c>
      <c r="N1351" s="24">
        <v>835</v>
      </c>
      <c r="O1351" s="24">
        <v>414</v>
      </c>
      <c r="P1351" s="24">
        <v>737</v>
      </c>
      <c r="Q1351">
        <v>404</v>
      </c>
      <c r="R1351">
        <v>728</v>
      </c>
      <c r="S1351">
        <v>563</v>
      </c>
      <c r="T1351">
        <v>985</v>
      </c>
      <c r="U1351">
        <v>563</v>
      </c>
      <c r="V1351">
        <v>985</v>
      </c>
    </row>
    <row r="1352" spans="2:22" x14ac:dyDescent="0.35">
      <c r="B1352" s="46" t="s">
        <v>1838</v>
      </c>
      <c r="D1352" t="s">
        <v>1791</v>
      </c>
      <c r="E1352" t="s">
        <v>1792</v>
      </c>
      <c r="F1352" s="46" t="s">
        <v>1838</v>
      </c>
      <c r="G1352" t="s">
        <v>239</v>
      </c>
      <c r="H1352" s="23">
        <v>3</v>
      </c>
      <c r="I1352" s="23" t="s">
        <v>1830</v>
      </c>
      <c r="J1352" t="s">
        <v>1839</v>
      </c>
      <c r="K1352">
        <v>1381</v>
      </c>
      <c r="L1352">
        <v>1594</v>
      </c>
      <c r="M1352" s="24">
        <v>918</v>
      </c>
      <c r="N1352" s="24">
        <v>1465</v>
      </c>
      <c r="O1352" s="24">
        <v>624</v>
      </c>
      <c r="P1352" s="24">
        <v>1204</v>
      </c>
      <c r="Q1352">
        <v>644</v>
      </c>
      <c r="R1352">
        <v>1250</v>
      </c>
      <c r="S1352">
        <v>949</v>
      </c>
      <c r="T1352">
        <v>1789</v>
      </c>
      <c r="U1352">
        <v>949</v>
      </c>
      <c r="V1352">
        <v>1789</v>
      </c>
    </row>
    <row r="1353" spans="2:22" x14ac:dyDescent="0.35">
      <c r="B1353" s="46" t="s">
        <v>1840</v>
      </c>
      <c r="D1353" t="s">
        <v>1791</v>
      </c>
      <c r="E1353" t="s">
        <v>1792</v>
      </c>
      <c r="F1353" s="46" t="s">
        <v>1840</v>
      </c>
      <c r="G1353" t="s">
        <v>239</v>
      </c>
      <c r="H1353" s="23">
        <v>3</v>
      </c>
      <c r="I1353" s="23" t="s">
        <v>1830</v>
      </c>
      <c r="J1353" t="s">
        <v>1841</v>
      </c>
      <c r="K1353">
        <v>312</v>
      </c>
      <c r="L1353">
        <v>346</v>
      </c>
      <c r="M1353" s="24">
        <v>231</v>
      </c>
      <c r="N1353" s="24">
        <v>322</v>
      </c>
      <c r="O1353" s="24">
        <v>165</v>
      </c>
      <c r="P1353" s="24">
        <v>276</v>
      </c>
      <c r="Q1353">
        <v>154</v>
      </c>
      <c r="R1353">
        <v>271</v>
      </c>
      <c r="S1353">
        <v>191</v>
      </c>
      <c r="T1353">
        <v>360</v>
      </c>
      <c r="U1353">
        <v>191</v>
      </c>
      <c r="V1353">
        <v>360</v>
      </c>
    </row>
    <row r="1354" spans="2:22" x14ac:dyDescent="0.35">
      <c r="B1354" s="46" t="s">
        <v>1842</v>
      </c>
      <c r="D1354" t="s">
        <v>1791</v>
      </c>
      <c r="E1354" t="s">
        <v>1792</v>
      </c>
      <c r="F1354" s="46" t="s">
        <v>1842</v>
      </c>
      <c r="G1354" t="s">
        <v>239</v>
      </c>
      <c r="H1354" s="23">
        <v>3</v>
      </c>
      <c r="I1354" s="23" t="s">
        <v>1830</v>
      </c>
      <c r="J1354" t="s">
        <v>530</v>
      </c>
      <c r="K1354">
        <v>509</v>
      </c>
      <c r="L1354">
        <v>590</v>
      </c>
      <c r="M1354" s="24">
        <v>391</v>
      </c>
      <c r="N1354" s="24">
        <v>614</v>
      </c>
      <c r="O1354" s="24">
        <v>300</v>
      </c>
      <c r="P1354" s="24">
        <v>534</v>
      </c>
      <c r="Q1354">
        <v>310</v>
      </c>
      <c r="R1354">
        <v>530</v>
      </c>
      <c r="S1354">
        <v>399</v>
      </c>
      <c r="T1354">
        <v>661</v>
      </c>
      <c r="U1354">
        <v>399</v>
      </c>
      <c r="V1354">
        <v>661</v>
      </c>
    </row>
    <row r="1355" spans="2:22" x14ac:dyDescent="0.35">
      <c r="B1355" s="46" t="s">
        <v>1843</v>
      </c>
      <c r="D1355" t="s">
        <v>1791</v>
      </c>
      <c r="E1355" t="s">
        <v>1792</v>
      </c>
      <c r="F1355" s="46" t="s">
        <v>1843</v>
      </c>
      <c r="G1355" t="s">
        <v>239</v>
      </c>
      <c r="H1355" s="23">
        <v>3</v>
      </c>
      <c r="I1355" s="23" t="s">
        <v>1830</v>
      </c>
      <c r="J1355" t="s">
        <v>1844</v>
      </c>
      <c r="K1355">
        <v>722</v>
      </c>
      <c r="L1355">
        <v>829</v>
      </c>
      <c r="M1355" s="24">
        <v>483</v>
      </c>
      <c r="N1355" s="24">
        <v>759</v>
      </c>
      <c r="O1355" s="24">
        <v>326</v>
      </c>
      <c r="P1355" s="24">
        <v>638</v>
      </c>
      <c r="Q1355">
        <v>332</v>
      </c>
      <c r="R1355">
        <v>658</v>
      </c>
      <c r="S1355">
        <v>465</v>
      </c>
      <c r="T1355">
        <v>854</v>
      </c>
      <c r="U1355">
        <v>465</v>
      </c>
      <c r="V1355">
        <v>854</v>
      </c>
    </row>
    <row r="1356" spans="2:22" x14ac:dyDescent="0.35">
      <c r="B1356" s="46" t="s">
        <v>1845</v>
      </c>
      <c r="D1356" t="s">
        <v>1791</v>
      </c>
      <c r="E1356" t="s">
        <v>1792</v>
      </c>
      <c r="F1356" s="46" t="s">
        <v>1845</v>
      </c>
      <c r="G1356" t="s">
        <v>239</v>
      </c>
      <c r="H1356" s="23">
        <v>3</v>
      </c>
      <c r="I1356" s="23" t="s">
        <v>1830</v>
      </c>
      <c r="J1356" t="s">
        <v>1846</v>
      </c>
      <c r="K1356">
        <v>482</v>
      </c>
      <c r="L1356">
        <v>571</v>
      </c>
      <c r="M1356" s="24">
        <v>288</v>
      </c>
      <c r="N1356" s="24">
        <v>484</v>
      </c>
      <c r="O1356" s="24">
        <v>0</v>
      </c>
      <c r="P1356" s="24">
        <v>440</v>
      </c>
      <c r="Q1356">
        <v>244</v>
      </c>
      <c r="R1356">
        <v>447</v>
      </c>
      <c r="S1356">
        <v>299</v>
      </c>
      <c r="T1356">
        <v>596</v>
      </c>
      <c r="U1356">
        <v>299</v>
      </c>
      <c r="V1356">
        <v>596</v>
      </c>
    </row>
    <row r="1357" spans="2:22" x14ac:dyDescent="0.35">
      <c r="B1357" s="46" t="s">
        <v>1847</v>
      </c>
      <c r="D1357" t="s">
        <v>1791</v>
      </c>
      <c r="E1357" t="s">
        <v>1792</v>
      </c>
      <c r="F1357" s="46" t="s">
        <v>1847</v>
      </c>
      <c r="G1357" t="s">
        <v>255</v>
      </c>
      <c r="H1357" s="23">
        <v>4</v>
      </c>
      <c r="I1357" s="23" t="s">
        <v>1848</v>
      </c>
      <c r="J1357" t="s">
        <v>1849</v>
      </c>
      <c r="K1357">
        <v>857</v>
      </c>
      <c r="L1357">
        <v>1342</v>
      </c>
      <c r="M1357" s="24">
        <v>676</v>
      </c>
      <c r="N1357" s="24">
        <v>1240</v>
      </c>
      <c r="O1357" s="24">
        <v>652</v>
      </c>
      <c r="P1357" s="24">
        <v>1210</v>
      </c>
      <c r="Q1357">
        <v>743</v>
      </c>
      <c r="R1357">
        <v>1340</v>
      </c>
      <c r="S1357">
        <v>937</v>
      </c>
      <c r="T1357">
        <v>1719</v>
      </c>
      <c r="U1357">
        <v>937</v>
      </c>
      <c r="V1357">
        <v>1719</v>
      </c>
    </row>
    <row r="1358" spans="2:22" x14ac:dyDescent="0.35">
      <c r="B1358" s="46" t="s">
        <v>1850</v>
      </c>
      <c r="D1358" t="s">
        <v>1791</v>
      </c>
      <c r="E1358" t="s">
        <v>1792</v>
      </c>
      <c r="F1358" s="46" t="s">
        <v>1850</v>
      </c>
      <c r="G1358" t="s">
        <v>255</v>
      </c>
      <c r="H1358" s="23">
        <v>4</v>
      </c>
      <c r="I1358" s="23" t="s">
        <v>1848</v>
      </c>
      <c r="J1358" t="s">
        <v>1537</v>
      </c>
      <c r="K1358">
        <v>18056</v>
      </c>
      <c r="L1358">
        <v>30994</v>
      </c>
      <c r="M1358" s="24">
        <v>16246</v>
      </c>
      <c r="N1358" s="24">
        <v>29564</v>
      </c>
      <c r="O1358" s="24">
        <v>14231</v>
      </c>
      <c r="P1358" s="24">
        <v>26705</v>
      </c>
      <c r="Q1358">
        <v>15796</v>
      </c>
      <c r="R1358">
        <v>28984</v>
      </c>
      <c r="S1358">
        <v>20546</v>
      </c>
      <c r="T1358">
        <v>36717</v>
      </c>
      <c r="U1358">
        <v>20546</v>
      </c>
      <c r="V1358">
        <v>36717</v>
      </c>
    </row>
    <row r="1359" spans="2:22" x14ac:dyDescent="0.35">
      <c r="B1359" s="46" t="s">
        <v>1851</v>
      </c>
      <c r="D1359" t="s">
        <v>1791</v>
      </c>
      <c r="E1359" t="s">
        <v>1792</v>
      </c>
      <c r="F1359" s="46" t="s">
        <v>1851</v>
      </c>
      <c r="G1359" t="s">
        <v>255</v>
      </c>
      <c r="H1359" s="23">
        <v>4</v>
      </c>
      <c r="I1359" s="23" t="s">
        <v>1848</v>
      </c>
      <c r="J1359" t="s">
        <v>301</v>
      </c>
      <c r="K1359">
        <v>2335</v>
      </c>
      <c r="L1359">
        <v>3647</v>
      </c>
      <c r="M1359" s="24">
        <v>2124</v>
      </c>
      <c r="N1359" s="24">
        <v>3638</v>
      </c>
      <c r="O1359" s="24">
        <v>1919</v>
      </c>
      <c r="P1359" s="24">
        <v>3348</v>
      </c>
      <c r="Q1359">
        <v>2227</v>
      </c>
      <c r="R1359">
        <v>3854</v>
      </c>
      <c r="S1359">
        <v>3289</v>
      </c>
      <c r="T1359">
        <v>5503</v>
      </c>
      <c r="U1359">
        <v>3289</v>
      </c>
      <c r="V1359">
        <v>5503</v>
      </c>
    </row>
    <row r="1360" spans="2:22" x14ac:dyDescent="0.35">
      <c r="B1360" s="46" t="s">
        <v>1852</v>
      </c>
      <c r="D1360" t="s">
        <v>1791</v>
      </c>
      <c r="E1360" t="s">
        <v>1792</v>
      </c>
      <c r="F1360" s="46" t="s">
        <v>1852</v>
      </c>
      <c r="G1360" t="s">
        <v>255</v>
      </c>
      <c r="H1360" s="23">
        <v>4</v>
      </c>
      <c r="I1360" s="23" t="s">
        <v>1848</v>
      </c>
      <c r="J1360" t="s">
        <v>1853</v>
      </c>
      <c r="K1360">
        <v>1153</v>
      </c>
      <c r="L1360">
        <v>1932</v>
      </c>
      <c r="M1360" s="24">
        <v>1025</v>
      </c>
      <c r="N1360" s="24">
        <v>1859</v>
      </c>
      <c r="O1360" s="24">
        <v>917</v>
      </c>
      <c r="P1360" s="24">
        <v>1739</v>
      </c>
      <c r="Q1360">
        <v>969</v>
      </c>
      <c r="R1360">
        <v>1776</v>
      </c>
      <c r="S1360">
        <v>1350</v>
      </c>
      <c r="T1360">
        <v>2329</v>
      </c>
      <c r="U1360">
        <v>1350</v>
      </c>
      <c r="V1360">
        <v>2329</v>
      </c>
    </row>
    <row r="1361" spans="2:22" x14ac:dyDescent="0.35">
      <c r="B1361" s="46" t="s">
        <v>1854</v>
      </c>
      <c r="D1361" t="s">
        <v>1791</v>
      </c>
      <c r="E1361" t="s">
        <v>1792</v>
      </c>
      <c r="F1361" s="46" t="s">
        <v>1854</v>
      </c>
      <c r="G1361" t="s">
        <v>255</v>
      </c>
      <c r="H1361" s="23">
        <v>4</v>
      </c>
      <c r="I1361" s="23" t="s">
        <v>1848</v>
      </c>
      <c r="J1361" t="s">
        <v>1493</v>
      </c>
      <c r="K1361">
        <v>5082</v>
      </c>
      <c r="L1361">
        <v>8305</v>
      </c>
      <c r="M1361" s="24">
        <v>4804</v>
      </c>
      <c r="N1361" s="24">
        <v>8282</v>
      </c>
      <c r="O1361" s="24">
        <v>4425</v>
      </c>
      <c r="P1361" s="24">
        <v>7898</v>
      </c>
      <c r="Q1361">
        <v>5361</v>
      </c>
      <c r="R1361">
        <v>9053</v>
      </c>
      <c r="S1361">
        <v>8397</v>
      </c>
      <c r="T1361">
        <v>13343</v>
      </c>
      <c r="U1361">
        <v>8397</v>
      </c>
      <c r="V1361">
        <v>13343</v>
      </c>
    </row>
    <row r="1362" spans="2:22" x14ac:dyDescent="0.35">
      <c r="B1362" s="46" t="s">
        <v>1855</v>
      </c>
      <c r="D1362" t="s">
        <v>1791</v>
      </c>
      <c r="E1362" t="s">
        <v>1792</v>
      </c>
      <c r="F1362" s="46" t="s">
        <v>1855</v>
      </c>
      <c r="G1362" t="s">
        <v>255</v>
      </c>
      <c r="H1362" s="23">
        <v>4</v>
      </c>
      <c r="I1362" s="23" t="s">
        <v>1848</v>
      </c>
      <c r="J1362" t="s">
        <v>1856</v>
      </c>
      <c r="K1362">
        <v>3245</v>
      </c>
      <c r="L1362">
        <v>5483</v>
      </c>
      <c r="M1362" s="24">
        <v>2908</v>
      </c>
      <c r="N1362" s="24">
        <v>5333</v>
      </c>
      <c r="O1362" s="24">
        <v>2689</v>
      </c>
      <c r="P1362" s="24">
        <v>5004</v>
      </c>
      <c r="Q1362">
        <v>2951</v>
      </c>
      <c r="R1362">
        <v>5356</v>
      </c>
      <c r="S1362">
        <v>3875</v>
      </c>
      <c r="T1362">
        <v>6965</v>
      </c>
      <c r="U1362">
        <v>3875</v>
      </c>
      <c r="V1362">
        <v>6965</v>
      </c>
    </row>
    <row r="1363" spans="2:22" x14ac:dyDescent="0.35">
      <c r="B1363" s="46" t="s">
        <v>1857</v>
      </c>
      <c r="D1363" t="s">
        <v>1791</v>
      </c>
      <c r="E1363" t="s">
        <v>1792</v>
      </c>
      <c r="F1363" s="46" t="s">
        <v>1857</v>
      </c>
      <c r="G1363" t="s">
        <v>255</v>
      </c>
      <c r="H1363" s="23">
        <v>4</v>
      </c>
      <c r="I1363" s="23" t="s">
        <v>1848</v>
      </c>
      <c r="J1363" t="s">
        <v>1858</v>
      </c>
      <c r="K1363">
        <v>151</v>
      </c>
      <c r="L1363">
        <v>216</v>
      </c>
      <c r="M1363" s="24">
        <v>121</v>
      </c>
      <c r="N1363" s="24">
        <v>197</v>
      </c>
      <c r="O1363" s="24">
        <v>106</v>
      </c>
      <c r="P1363" s="24">
        <v>175</v>
      </c>
      <c r="Q1363">
        <v>127</v>
      </c>
      <c r="R1363">
        <v>217</v>
      </c>
      <c r="S1363">
        <v>167</v>
      </c>
      <c r="T1363">
        <v>283</v>
      </c>
      <c r="U1363">
        <v>167</v>
      </c>
      <c r="V1363">
        <v>283</v>
      </c>
    </row>
    <row r="1364" spans="2:22" x14ac:dyDescent="0.35">
      <c r="B1364" s="46" t="s">
        <v>1859</v>
      </c>
      <c r="D1364" t="s">
        <v>1791</v>
      </c>
      <c r="E1364" t="s">
        <v>1792</v>
      </c>
      <c r="F1364" s="46" t="s">
        <v>1859</v>
      </c>
      <c r="G1364" t="s">
        <v>255</v>
      </c>
      <c r="H1364" s="23">
        <v>4</v>
      </c>
      <c r="I1364" s="23" t="s">
        <v>1848</v>
      </c>
      <c r="J1364" t="s">
        <v>1860</v>
      </c>
      <c r="K1364">
        <v>4327</v>
      </c>
      <c r="L1364">
        <v>9087</v>
      </c>
      <c r="M1364" s="24">
        <v>3875</v>
      </c>
      <c r="N1364" s="24">
        <v>8542</v>
      </c>
      <c r="O1364" s="24">
        <v>3348</v>
      </c>
      <c r="P1364" s="24">
        <v>7813</v>
      </c>
      <c r="Q1364">
        <v>3850</v>
      </c>
      <c r="R1364">
        <v>8595</v>
      </c>
      <c r="S1364">
        <v>4893</v>
      </c>
      <c r="T1364">
        <v>10705</v>
      </c>
      <c r="U1364">
        <v>4893</v>
      </c>
      <c r="V1364">
        <v>10705</v>
      </c>
    </row>
    <row r="1365" spans="2:22" x14ac:dyDescent="0.35">
      <c r="B1365" s="46" t="s">
        <v>1861</v>
      </c>
      <c r="D1365" t="s">
        <v>1791</v>
      </c>
      <c r="E1365" t="s">
        <v>1792</v>
      </c>
      <c r="F1365" s="46" t="s">
        <v>1861</v>
      </c>
      <c r="G1365" t="s">
        <v>255</v>
      </c>
      <c r="H1365" s="23">
        <v>4</v>
      </c>
      <c r="I1365" s="23" t="s">
        <v>1848</v>
      </c>
      <c r="J1365" t="s">
        <v>1628</v>
      </c>
      <c r="K1365">
        <v>2508</v>
      </c>
      <c r="L1365">
        <v>4329</v>
      </c>
      <c r="M1365" s="24">
        <v>2153</v>
      </c>
      <c r="N1365" s="24">
        <v>4069</v>
      </c>
      <c r="O1365" s="24">
        <v>1985</v>
      </c>
      <c r="P1365" s="24">
        <v>3794</v>
      </c>
      <c r="Q1365">
        <v>2276</v>
      </c>
      <c r="R1365">
        <v>4189</v>
      </c>
      <c r="S1365">
        <v>3039</v>
      </c>
      <c r="T1365">
        <v>5446</v>
      </c>
      <c r="U1365">
        <v>3039</v>
      </c>
      <c r="V1365">
        <v>5446</v>
      </c>
    </row>
    <row r="1366" spans="2:22" x14ac:dyDescent="0.35">
      <c r="B1366" s="46" t="s">
        <v>1862</v>
      </c>
      <c r="D1366" t="s">
        <v>1791</v>
      </c>
      <c r="E1366" t="s">
        <v>1792</v>
      </c>
      <c r="F1366" s="46" t="s">
        <v>1862</v>
      </c>
      <c r="G1366" t="s">
        <v>259</v>
      </c>
      <c r="H1366" s="23">
        <v>5</v>
      </c>
      <c r="I1366" s="23" t="s">
        <v>1863</v>
      </c>
      <c r="J1366" t="s">
        <v>456</v>
      </c>
      <c r="K1366">
        <v>476</v>
      </c>
      <c r="L1366">
        <v>544</v>
      </c>
      <c r="M1366" s="24">
        <v>464</v>
      </c>
      <c r="N1366" s="24">
        <v>554</v>
      </c>
      <c r="O1366" s="24">
        <v>298</v>
      </c>
      <c r="P1366" s="24">
        <v>508</v>
      </c>
      <c r="Q1366">
        <f>O1366</f>
        <v>298</v>
      </c>
      <c r="R1366">
        <v>465</v>
      </c>
      <c r="S1366">
        <v>338</v>
      </c>
      <c r="T1366">
        <v>599</v>
      </c>
      <c r="U1366">
        <v>338</v>
      </c>
      <c r="V1366">
        <v>599</v>
      </c>
    </row>
    <row r="1367" spans="2:22" x14ac:dyDescent="0.35">
      <c r="B1367" s="46" t="s">
        <v>1864</v>
      </c>
      <c r="D1367" t="s">
        <v>1791</v>
      </c>
      <c r="E1367" t="s">
        <v>1792</v>
      </c>
      <c r="F1367" s="46" t="s">
        <v>1864</v>
      </c>
      <c r="G1367" t="s">
        <v>259</v>
      </c>
      <c r="H1367" s="23">
        <v>5</v>
      </c>
      <c r="I1367" s="23" t="s">
        <v>1863</v>
      </c>
      <c r="J1367" t="s">
        <v>463</v>
      </c>
      <c r="K1367">
        <v>769</v>
      </c>
      <c r="L1367">
        <v>872</v>
      </c>
      <c r="M1367" s="24">
        <v>710</v>
      </c>
      <c r="N1367" s="24">
        <v>820</v>
      </c>
      <c r="O1367" s="24">
        <v>465</v>
      </c>
      <c r="P1367" s="24">
        <v>777</v>
      </c>
      <c r="Q1367">
        <f>O1367</f>
        <v>465</v>
      </c>
      <c r="R1367">
        <v>718</v>
      </c>
      <c r="S1367">
        <v>547</v>
      </c>
      <c r="T1367">
        <v>993</v>
      </c>
      <c r="U1367">
        <v>547</v>
      </c>
      <c r="V1367">
        <v>993</v>
      </c>
    </row>
    <row r="1368" spans="2:22" x14ac:dyDescent="0.35">
      <c r="B1368" s="46" t="s">
        <v>1865</v>
      </c>
      <c r="D1368" t="s">
        <v>1791</v>
      </c>
      <c r="E1368" t="s">
        <v>1792</v>
      </c>
      <c r="F1368" s="46" t="s">
        <v>1865</v>
      </c>
      <c r="G1368" t="s">
        <v>259</v>
      </c>
      <c r="H1368" s="23">
        <v>5</v>
      </c>
      <c r="I1368" s="23" t="s">
        <v>1863</v>
      </c>
      <c r="J1368" t="s">
        <v>1695</v>
      </c>
      <c r="K1368">
        <v>444</v>
      </c>
      <c r="L1368">
        <v>511</v>
      </c>
      <c r="M1368" s="24">
        <v>429</v>
      </c>
      <c r="N1368" s="24">
        <v>494</v>
      </c>
      <c r="O1368" s="24">
        <v>258</v>
      </c>
      <c r="P1368" s="24">
        <v>425</v>
      </c>
      <c r="Q1368">
        <v>208</v>
      </c>
      <c r="R1368">
        <v>409</v>
      </c>
      <c r="S1368">
        <v>245</v>
      </c>
      <c r="T1368">
        <v>494</v>
      </c>
      <c r="U1368">
        <v>245</v>
      </c>
      <c r="V1368">
        <v>494</v>
      </c>
    </row>
    <row r="1369" spans="2:22" x14ac:dyDescent="0.35">
      <c r="B1369" s="46" t="s">
        <v>1866</v>
      </c>
      <c r="D1369" t="s">
        <v>1791</v>
      </c>
      <c r="E1369" t="s">
        <v>1792</v>
      </c>
      <c r="F1369" s="46" t="s">
        <v>1866</v>
      </c>
      <c r="G1369" t="s">
        <v>259</v>
      </c>
      <c r="H1369" s="23">
        <v>5</v>
      </c>
      <c r="I1369" s="23" t="s">
        <v>1863</v>
      </c>
      <c r="J1369" t="s">
        <v>1867</v>
      </c>
      <c r="K1369">
        <v>463</v>
      </c>
      <c r="L1369">
        <v>526</v>
      </c>
      <c r="M1369" s="24">
        <v>425</v>
      </c>
      <c r="N1369" s="24">
        <v>493</v>
      </c>
      <c r="O1369" s="24">
        <v>251</v>
      </c>
      <c r="P1369" s="24">
        <v>437</v>
      </c>
      <c r="Q1369">
        <f>O1369</f>
        <v>251</v>
      </c>
      <c r="R1369">
        <v>425</v>
      </c>
      <c r="S1369">
        <v>279</v>
      </c>
      <c r="T1369">
        <v>518</v>
      </c>
      <c r="U1369">
        <v>279</v>
      </c>
      <c r="V1369">
        <v>518</v>
      </c>
    </row>
    <row r="1370" spans="2:22" x14ac:dyDescent="0.35">
      <c r="B1370" s="46" t="s">
        <v>1868</v>
      </c>
      <c r="D1370" t="s">
        <v>1791</v>
      </c>
      <c r="E1370" t="s">
        <v>1792</v>
      </c>
      <c r="F1370" s="46" t="s">
        <v>1868</v>
      </c>
      <c r="G1370" t="s">
        <v>259</v>
      </c>
      <c r="H1370" s="23">
        <v>5</v>
      </c>
      <c r="I1370" s="23" t="s">
        <v>1863</v>
      </c>
      <c r="J1370" t="s">
        <v>1039</v>
      </c>
      <c r="K1370">
        <v>429</v>
      </c>
      <c r="L1370">
        <v>497</v>
      </c>
      <c r="M1370" s="24">
        <v>417</v>
      </c>
      <c r="N1370" s="24">
        <v>497</v>
      </c>
      <c r="O1370" s="24">
        <v>272</v>
      </c>
      <c r="P1370" s="24">
        <v>472</v>
      </c>
      <c r="Q1370">
        <f>O1370</f>
        <v>272</v>
      </c>
      <c r="R1370">
        <v>424</v>
      </c>
      <c r="S1370">
        <v>289</v>
      </c>
      <c r="T1370">
        <v>544</v>
      </c>
      <c r="U1370">
        <v>289</v>
      </c>
      <c r="V1370">
        <v>544</v>
      </c>
    </row>
    <row r="1371" spans="2:22" x14ac:dyDescent="0.35">
      <c r="B1371" s="46" t="s">
        <v>1869</v>
      </c>
      <c r="D1371" t="s">
        <v>1791</v>
      </c>
      <c r="E1371" t="s">
        <v>1792</v>
      </c>
      <c r="F1371" s="46" t="s">
        <v>1869</v>
      </c>
      <c r="G1371" t="s">
        <v>259</v>
      </c>
      <c r="H1371" s="23">
        <v>5</v>
      </c>
      <c r="I1371" s="23" t="s">
        <v>1863</v>
      </c>
      <c r="J1371" t="s">
        <v>1870</v>
      </c>
      <c r="K1371">
        <v>1055</v>
      </c>
      <c r="L1371">
        <v>1224</v>
      </c>
      <c r="M1371" s="24">
        <v>1003</v>
      </c>
      <c r="N1371" s="24">
        <v>1199</v>
      </c>
      <c r="O1371" s="24">
        <v>654</v>
      </c>
      <c r="P1371" s="24">
        <v>1124</v>
      </c>
      <c r="Q1371">
        <f>O1371</f>
        <v>654</v>
      </c>
      <c r="R1371">
        <v>1000</v>
      </c>
      <c r="S1371">
        <v>0</v>
      </c>
      <c r="T1371">
        <v>1226</v>
      </c>
      <c r="U1371">
        <v>0</v>
      </c>
      <c r="V1371">
        <v>1226</v>
      </c>
    </row>
    <row r="1372" spans="2:22" x14ac:dyDescent="0.35">
      <c r="B1372" s="46" t="s">
        <v>1871</v>
      </c>
      <c r="D1372" t="s">
        <v>1791</v>
      </c>
      <c r="E1372" t="s">
        <v>1792</v>
      </c>
      <c r="F1372" s="46" t="s">
        <v>1871</v>
      </c>
      <c r="G1372" t="s">
        <v>259</v>
      </c>
      <c r="H1372" s="23">
        <v>5</v>
      </c>
      <c r="I1372" s="23" t="s">
        <v>1863</v>
      </c>
      <c r="J1372" t="s">
        <v>1872</v>
      </c>
      <c r="K1372">
        <v>1313</v>
      </c>
      <c r="L1372">
        <v>1571</v>
      </c>
      <c r="M1372" s="24">
        <v>1280</v>
      </c>
      <c r="N1372" s="24">
        <v>1511</v>
      </c>
      <c r="O1372" s="24">
        <v>830</v>
      </c>
      <c r="P1372" s="24">
        <v>1436</v>
      </c>
      <c r="Q1372">
        <f>O1372</f>
        <v>830</v>
      </c>
      <c r="R1372">
        <v>1252</v>
      </c>
      <c r="S1372">
        <v>899</v>
      </c>
      <c r="T1372">
        <v>1638</v>
      </c>
      <c r="U1372">
        <v>899</v>
      </c>
      <c r="V1372">
        <v>1638</v>
      </c>
    </row>
    <row r="1373" spans="2:22" x14ac:dyDescent="0.35">
      <c r="B1373" s="46" t="s">
        <v>1873</v>
      </c>
      <c r="D1373" t="s">
        <v>1791</v>
      </c>
      <c r="E1373" t="s">
        <v>1792</v>
      </c>
      <c r="F1373" s="46" t="s">
        <v>1873</v>
      </c>
      <c r="G1373" t="s">
        <v>259</v>
      </c>
      <c r="H1373" s="23">
        <v>5</v>
      </c>
      <c r="I1373" s="23" t="s">
        <v>1863</v>
      </c>
      <c r="J1373" t="s">
        <v>1874</v>
      </c>
      <c r="K1373">
        <v>716</v>
      </c>
      <c r="L1373">
        <v>817</v>
      </c>
      <c r="M1373" s="24">
        <v>684</v>
      </c>
      <c r="N1373" s="24">
        <v>786</v>
      </c>
      <c r="O1373" s="24">
        <v>404</v>
      </c>
      <c r="P1373" s="24">
        <v>696</v>
      </c>
      <c r="Q1373">
        <v>316</v>
      </c>
      <c r="R1373">
        <v>631</v>
      </c>
      <c r="S1373">
        <v>489</v>
      </c>
      <c r="T1373">
        <v>784</v>
      </c>
      <c r="U1373">
        <v>489</v>
      </c>
      <c r="V1373">
        <v>784</v>
      </c>
    </row>
    <row r="1374" spans="2:22" x14ac:dyDescent="0.35">
      <c r="B1374" s="46" t="s">
        <v>1875</v>
      </c>
      <c r="D1374" t="s">
        <v>1791</v>
      </c>
      <c r="E1374" t="s">
        <v>1792</v>
      </c>
      <c r="F1374" s="46" t="s">
        <v>1875</v>
      </c>
      <c r="G1374" t="s">
        <v>259</v>
      </c>
      <c r="H1374" s="23">
        <v>5</v>
      </c>
      <c r="I1374" s="23" t="s">
        <v>1863</v>
      </c>
      <c r="J1374" t="s">
        <v>1876</v>
      </c>
      <c r="K1374">
        <v>804</v>
      </c>
      <c r="L1374">
        <v>956</v>
      </c>
      <c r="M1374" s="24">
        <v>770</v>
      </c>
      <c r="N1374" s="24">
        <v>921</v>
      </c>
      <c r="O1374" s="24">
        <v>540</v>
      </c>
      <c r="P1374" s="24">
        <v>874</v>
      </c>
      <c r="Q1374">
        <v>424</v>
      </c>
      <c r="R1374">
        <v>798</v>
      </c>
      <c r="S1374">
        <v>582</v>
      </c>
      <c r="T1374">
        <v>1016</v>
      </c>
      <c r="U1374">
        <v>582</v>
      </c>
      <c r="V1374">
        <v>1016</v>
      </c>
    </row>
    <row r="1375" spans="2:22" x14ac:dyDescent="0.35">
      <c r="B1375" s="46" t="s">
        <v>1877</v>
      </c>
      <c r="D1375" t="s">
        <v>1791</v>
      </c>
      <c r="E1375" t="s">
        <v>1792</v>
      </c>
      <c r="F1375" s="46" t="s">
        <v>1877</v>
      </c>
      <c r="G1375" t="s">
        <v>259</v>
      </c>
      <c r="H1375" s="23">
        <v>5</v>
      </c>
      <c r="I1375" s="23" t="s">
        <v>1863</v>
      </c>
      <c r="J1375" t="s">
        <v>1484</v>
      </c>
      <c r="K1375">
        <v>978</v>
      </c>
      <c r="L1375">
        <v>1141</v>
      </c>
      <c r="M1375" s="24">
        <v>926</v>
      </c>
      <c r="N1375" s="24">
        <v>1094</v>
      </c>
      <c r="O1375" s="24">
        <v>544</v>
      </c>
      <c r="P1375" s="24">
        <v>952</v>
      </c>
      <c r="Q1375">
        <f>O1375</f>
        <v>544</v>
      </c>
      <c r="R1375">
        <v>849</v>
      </c>
      <c r="S1375">
        <v>536</v>
      </c>
      <c r="T1375">
        <v>1014</v>
      </c>
      <c r="U1375">
        <v>536</v>
      </c>
      <c r="V1375">
        <v>1014</v>
      </c>
    </row>
    <row r="1376" spans="2:22" x14ac:dyDescent="0.35">
      <c r="B1376" s="46" t="s">
        <v>1878</v>
      </c>
      <c r="D1376" t="s">
        <v>1791</v>
      </c>
      <c r="E1376" t="s">
        <v>1792</v>
      </c>
      <c r="F1376" s="46" t="s">
        <v>1878</v>
      </c>
      <c r="G1376" t="s">
        <v>259</v>
      </c>
      <c r="H1376" s="23">
        <v>5</v>
      </c>
      <c r="I1376" s="23" t="s">
        <v>1863</v>
      </c>
      <c r="J1376" t="s">
        <v>269</v>
      </c>
      <c r="K1376">
        <v>1020</v>
      </c>
      <c r="L1376">
        <v>1182</v>
      </c>
      <c r="M1376" s="24">
        <v>1061</v>
      </c>
      <c r="N1376" s="24">
        <v>1256</v>
      </c>
      <c r="O1376" s="24">
        <v>605</v>
      </c>
      <c r="P1376" s="24">
        <v>1149</v>
      </c>
      <c r="Q1376">
        <f>O1376</f>
        <v>605</v>
      </c>
      <c r="R1376">
        <v>1044</v>
      </c>
      <c r="S1376">
        <v>570</v>
      </c>
      <c r="T1376">
        <v>1283</v>
      </c>
      <c r="U1376">
        <v>570</v>
      </c>
      <c r="V1376">
        <v>1283</v>
      </c>
    </row>
    <row r="1377" spans="2:22" x14ac:dyDescent="0.35">
      <c r="B1377" s="46" t="s">
        <v>1879</v>
      </c>
      <c r="D1377" t="s">
        <v>1791</v>
      </c>
      <c r="E1377" t="s">
        <v>1792</v>
      </c>
      <c r="F1377" s="46" t="s">
        <v>1879</v>
      </c>
      <c r="G1377" t="s">
        <v>259</v>
      </c>
      <c r="H1377" s="23">
        <v>5</v>
      </c>
      <c r="I1377" s="23" t="s">
        <v>1863</v>
      </c>
      <c r="J1377" t="s">
        <v>654</v>
      </c>
      <c r="K1377">
        <v>129</v>
      </c>
      <c r="L1377">
        <v>148</v>
      </c>
      <c r="M1377" s="24">
        <v>143</v>
      </c>
      <c r="N1377" s="24">
        <v>161</v>
      </c>
      <c r="O1377" s="24">
        <v>0</v>
      </c>
      <c r="P1377" s="24">
        <v>138</v>
      </c>
      <c r="Q1377">
        <v>0</v>
      </c>
      <c r="R1377">
        <v>123</v>
      </c>
      <c r="S1377">
        <v>0</v>
      </c>
      <c r="T1377">
        <v>174</v>
      </c>
      <c r="U1377">
        <v>0</v>
      </c>
      <c r="V1377">
        <v>174</v>
      </c>
    </row>
    <row r="1378" spans="2:22" x14ac:dyDescent="0.35">
      <c r="B1378" s="46" t="s">
        <v>1880</v>
      </c>
      <c r="D1378" t="s">
        <v>1791</v>
      </c>
      <c r="E1378" t="s">
        <v>1792</v>
      </c>
      <c r="F1378" s="46" t="s">
        <v>1880</v>
      </c>
      <c r="G1378" t="s">
        <v>259</v>
      </c>
      <c r="H1378" s="23">
        <v>5</v>
      </c>
      <c r="I1378" s="23" t="s">
        <v>1863</v>
      </c>
      <c r="J1378" t="s">
        <v>287</v>
      </c>
      <c r="K1378">
        <v>2951</v>
      </c>
      <c r="L1378">
        <v>3510</v>
      </c>
      <c r="M1378" s="24">
        <v>2755</v>
      </c>
      <c r="N1378" s="24">
        <v>3357</v>
      </c>
      <c r="O1378" s="24">
        <v>1908</v>
      </c>
      <c r="P1378" s="24">
        <v>3167</v>
      </c>
      <c r="Q1378">
        <v>1469</v>
      </c>
      <c r="R1378">
        <v>2928</v>
      </c>
      <c r="S1378">
        <v>2146</v>
      </c>
      <c r="T1378">
        <v>3684</v>
      </c>
      <c r="U1378">
        <v>2146</v>
      </c>
      <c r="V1378">
        <v>3684</v>
      </c>
    </row>
    <row r="1379" spans="2:22" x14ac:dyDescent="0.35">
      <c r="B1379" s="46" t="s">
        <v>1881</v>
      </c>
      <c r="D1379" t="s">
        <v>1791</v>
      </c>
      <c r="E1379" t="s">
        <v>1792</v>
      </c>
      <c r="F1379" s="46" t="s">
        <v>1881</v>
      </c>
      <c r="G1379" t="s">
        <v>259</v>
      </c>
      <c r="H1379" s="23">
        <v>5</v>
      </c>
      <c r="I1379" s="23" t="s">
        <v>1863</v>
      </c>
      <c r="J1379" t="s">
        <v>1882</v>
      </c>
      <c r="K1379">
        <v>790</v>
      </c>
      <c r="L1379">
        <v>889</v>
      </c>
      <c r="M1379" s="24">
        <v>731</v>
      </c>
      <c r="N1379" s="24">
        <v>851</v>
      </c>
      <c r="O1379" s="24">
        <v>463</v>
      </c>
      <c r="P1379" s="24">
        <v>751</v>
      </c>
      <c r="Q1379">
        <v>419</v>
      </c>
      <c r="R1379">
        <v>761</v>
      </c>
      <c r="S1379">
        <v>589</v>
      </c>
      <c r="T1379">
        <v>967</v>
      </c>
      <c r="U1379">
        <v>589</v>
      </c>
      <c r="V1379">
        <v>967</v>
      </c>
    </row>
    <row r="1380" spans="2:22" x14ac:dyDescent="0.35">
      <c r="B1380" s="46" t="s">
        <v>1883</v>
      </c>
      <c r="D1380" t="s">
        <v>1791</v>
      </c>
      <c r="E1380" t="s">
        <v>1792</v>
      </c>
      <c r="F1380" s="46" t="s">
        <v>1883</v>
      </c>
      <c r="G1380" t="s">
        <v>259</v>
      </c>
      <c r="H1380" s="23">
        <v>5</v>
      </c>
      <c r="I1380" s="23" t="s">
        <v>1863</v>
      </c>
      <c r="J1380" t="s">
        <v>1884</v>
      </c>
      <c r="K1380">
        <v>783</v>
      </c>
      <c r="L1380">
        <v>903</v>
      </c>
      <c r="M1380" s="24">
        <v>732</v>
      </c>
      <c r="N1380" s="24">
        <v>842</v>
      </c>
      <c r="O1380" s="24">
        <v>444</v>
      </c>
      <c r="P1380" s="24">
        <v>723</v>
      </c>
      <c r="Q1380">
        <f>O1380</f>
        <v>444</v>
      </c>
      <c r="R1380">
        <v>634</v>
      </c>
      <c r="S1380">
        <v>0</v>
      </c>
      <c r="T1380">
        <v>911</v>
      </c>
      <c r="U1380">
        <v>0</v>
      </c>
      <c r="V1380">
        <v>911</v>
      </c>
    </row>
    <row r="1381" spans="2:22" x14ac:dyDescent="0.35">
      <c r="B1381" s="46" t="s">
        <v>1885</v>
      </c>
      <c r="D1381" t="s">
        <v>1791</v>
      </c>
      <c r="E1381" t="s">
        <v>1792</v>
      </c>
      <c r="F1381" s="46" t="s">
        <v>1885</v>
      </c>
      <c r="G1381" t="s">
        <v>259</v>
      </c>
      <c r="H1381" s="23">
        <v>5</v>
      </c>
      <c r="I1381" s="23" t="s">
        <v>1863</v>
      </c>
      <c r="J1381" t="s">
        <v>1886</v>
      </c>
      <c r="K1381">
        <v>673</v>
      </c>
      <c r="L1381">
        <v>782</v>
      </c>
      <c r="M1381" s="24">
        <v>728</v>
      </c>
      <c r="N1381" s="24">
        <v>849</v>
      </c>
      <c r="O1381" s="24">
        <v>449</v>
      </c>
      <c r="P1381" s="24">
        <v>771</v>
      </c>
      <c r="Q1381">
        <f>O1381</f>
        <v>449</v>
      </c>
      <c r="R1381">
        <v>709</v>
      </c>
      <c r="S1381">
        <v>464</v>
      </c>
      <c r="T1381">
        <v>867</v>
      </c>
      <c r="U1381">
        <v>464</v>
      </c>
      <c r="V1381">
        <v>867</v>
      </c>
    </row>
    <row r="1382" spans="2:22" x14ac:dyDescent="0.35">
      <c r="B1382" s="46" t="s">
        <v>1887</v>
      </c>
      <c r="D1382" t="s">
        <v>1791</v>
      </c>
      <c r="E1382" t="s">
        <v>1792</v>
      </c>
      <c r="F1382" s="46" t="s">
        <v>1887</v>
      </c>
      <c r="G1382" t="s">
        <v>265</v>
      </c>
      <c r="H1382" s="23">
        <v>6</v>
      </c>
      <c r="I1382" s="23" t="s">
        <v>1888</v>
      </c>
      <c r="J1382" t="s">
        <v>353</v>
      </c>
      <c r="K1382">
        <v>1146</v>
      </c>
      <c r="L1382">
        <v>1394</v>
      </c>
      <c r="M1382" s="24">
        <v>874</v>
      </c>
      <c r="N1382" s="24">
        <v>1273</v>
      </c>
      <c r="O1382" s="24">
        <v>680</v>
      </c>
      <c r="P1382" s="24">
        <v>1113</v>
      </c>
      <c r="Q1382">
        <v>763</v>
      </c>
      <c r="R1382">
        <v>1249</v>
      </c>
      <c r="S1382">
        <v>1083</v>
      </c>
      <c r="T1382">
        <v>1703</v>
      </c>
      <c r="U1382">
        <v>1083</v>
      </c>
      <c r="V1382">
        <v>1703</v>
      </c>
    </row>
    <row r="1383" spans="2:22" x14ac:dyDescent="0.35">
      <c r="B1383" s="46" t="s">
        <v>1889</v>
      </c>
      <c r="D1383" t="s">
        <v>1791</v>
      </c>
      <c r="E1383" t="s">
        <v>1792</v>
      </c>
      <c r="F1383" s="46" t="s">
        <v>1889</v>
      </c>
      <c r="G1383" t="s">
        <v>265</v>
      </c>
      <c r="H1383" s="23">
        <v>6</v>
      </c>
      <c r="I1383" s="23" t="s">
        <v>1888</v>
      </c>
      <c r="J1383" t="s">
        <v>1482</v>
      </c>
      <c r="K1383">
        <v>393</v>
      </c>
      <c r="L1383">
        <v>487</v>
      </c>
      <c r="M1383" s="24">
        <v>359</v>
      </c>
      <c r="N1383" s="24">
        <v>482</v>
      </c>
      <c r="O1383" s="24">
        <v>267</v>
      </c>
      <c r="P1383" s="24">
        <v>407</v>
      </c>
      <c r="Q1383">
        <v>305</v>
      </c>
      <c r="R1383">
        <v>476</v>
      </c>
      <c r="S1383">
        <v>466</v>
      </c>
      <c r="T1383">
        <v>676</v>
      </c>
      <c r="U1383">
        <v>466</v>
      </c>
      <c r="V1383">
        <v>676</v>
      </c>
    </row>
    <row r="1384" spans="2:22" x14ac:dyDescent="0.35">
      <c r="B1384" s="46" t="s">
        <v>1890</v>
      </c>
      <c r="D1384" t="s">
        <v>1791</v>
      </c>
      <c r="E1384" t="s">
        <v>1792</v>
      </c>
      <c r="F1384" s="46" t="s">
        <v>1890</v>
      </c>
      <c r="G1384" t="s">
        <v>265</v>
      </c>
      <c r="H1384" s="23">
        <v>6</v>
      </c>
      <c r="I1384" s="23" t="s">
        <v>1888</v>
      </c>
      <c r="J1384" t="s">
        <v>277</v>
      </c>
      <c r="K1384">
        <v>443</v>
      </c>
      <c r="L1384">
        <v>526</v>
      </c>
      <c r="M1384" s="24">
        <v>352</v>
      </c>
      <c r="N1384" s="24">
        <v>528</v>
      </c>
      <c r="O1384" s="24">
        <v>235</v>
      </c>
      <c r="P1384" s="24">
        <v>417</v>
      </c>
      <c r="Q1384">
        <v>254</v>
      </c>
      <c r="R1384">
        <v>443</v>
      </c>
      <c r="S1384">
        <v>409</v>
      </c>
      <c r="T1384">
        <v>641</v>
      </c>
      <c r="U1384">
        <v>409</v>
      </c>
      <c r="V1384">
        <v>641</v>
      </c>
    </row>
    <row r="1385" spans="2:22" x14ac:dyDescent="0.35">
      <c r="B1385" s="46" t="s">
        <v>1891</v>
      </c>
      <c r="D1385" t="s">
        <v>1791</v>
      </c>
      <c r="E1385" t="s">
        <v>1792</v>
      </c>
      <c r="F1385" s="46" t="s">
        <v>1891</v>
      </c>
      <c r="G1385" t="s">
        <v>265</v>
      </c>
      <c r="H1385" s="23">
        <v>6</v>
      </c>
      <c r="I1385" s="23" t="s">
        <v>1888</v>
      </c>
      <c r="J1385" t="s">
        <v>249</v>
      </c>
      <c r="K1385">
        <v>23186</v>
      </c>
      <c r="L1385">
        <v>30340</v>
      </c>
      <c r="M1385" s="24">
        <v>19265</v>
      </c>
      <c r="N1385" s="24">
        <v>28947</v>
      </c>
      <c r="O1385" s="24">
        <v>15095</v>
      </c>
      <c r="P1385" s="24">
        <v>24588</v>
      </c>
      <c r="Q1385">
        <v>16759</v>
      </c>
      <c r="R1385">
        <v>28095</v>
      </c>
      <c r="S1385">
        <v>25007</v>
      </c>
      <c r="T1385">
        <v>38776</v>
      </c>
      <c r="U1385">
        <v>25007</v>
      </c>
      <c r="V1385">
        <v>38776</v>
      </c>
    </row>
    <row r="1386" spans="2:22" x14ac:dyDescent="0.35">
      <c r="B1386" s="46" t="s">
        <v>1892</v>
      </c>
      <c r="D1386" t="s">
        <v>1791</v>
      </c>
      <c r="E1386" t="s">
        <v>1792</v>
      </c>
      <c r="F1386" s="46" t="s">
        <v>1892</v>
      </c>
      <c r="G1386" t="s">
        <v>265</v>
      </c>
      <c r="H1386" s="23">
        <v>6</v>
      </c>
      <c r="I1386" s="23" t="s">
        <v>1888</v>
      </c>
      <c r="J1386" t="s">
        <v>1893</v>
      </c>
      <c r="K1386">
        <v>1196</v>
      </c>
      <c r="L1386">
        <v>1465</v>
      </c>
      <c r="M1386" s="24">
        <v>1002</v>
      </c>
      <c r="N1386" s="24">
        <v>1395</v>
      </c>
      <c r="O1386" s="24">
        <v>826</v>
      </c>
      <c r="P1386" s="24">
        <v>1208</v>
      </c>
      <c r="Q1386">
        <v>880</v>
      </c>
      <c r="R1386">
        <v>1317</v>
      </c>
      <c r="S1386">
        <v>1261</v>
      </c>
      <c r="T1386">
        <v>1813</v>
      </c>
      <c r="U1386">
        <v>1261</v>
      </c>
      <c r="V1386">
        <v>1813</v>
      </c>
    </row>
    <row r="1387" spans="2:22" x14ac:dyDescent="0.35">
      <c r="B1387" s="46" t="s">
        <v>1894</v>
      </c>
      <c r="D1387" t="s">
        <v>1791</v>
      </c>
      <c r="E1387" t="s">
        <v>1792</v>
      </c>
      <c r="F1387" s="46" t="s">
        <v>1894</v>
      </c>
      <c r="G1387" t="s">
        <v>273</v>
      </c>
      <c r="H1387" s="23">
        <v>7</v>
      </c>
      <c r="I1387" s="23" t="s">
        <v>1895</v>
      </c>
      <c r="J1387" t="s">
        <v>1896</v>
      </c>
      <c r="K1387">
        <v>384</v>
      </c>
      <c r="L1387">
        <v>474</v>
      </c>
      <c r="M1387" s="24">
        <v>390</v>
      </c>
      <c r="N1387" s="24">
        <v>496</v>
      </c>
      <c r="O1387" s="24">
        <v>385</v>
      </c>
      <c r="P1387" s="24">
        <v>495</v>
      </c>
      <c r="Q1387">
        <v>357</v>
      </c>
      <c r="R1387">
        <v>514</v>
      </c>
      <c r="S1387">
        <v>328</v>
      </c>
      <c r="T1387">
        <v>636</v>
      </c>
      <c r="U1387">
        <v>328</v>
      </c>
      <c r="V1387">
        <v>636</v>
      </c>
    </row>
    <row r="1388" spans="2:22" x14ac:dyDescent="0.35">
      <c r="B1388" s="46" t="s">
        <v>1897</v>
      </c>
      <c r="D1388" t="s">
        <v>1791</v>
      </c>
      <c r="E1388" t="s">
        <v>1792</v>
      </c>
      <c r="F1388" s="46" t="s">
        <v>1897</v>
      </c>
      <c r="G1388" t="s">
        <v>273</v>
      </c>
      <c r="H1388" s="23">
        <v>7</v>
      </c>
      <c r="I1388" s="23" t="s">
        <v>1895</v>
      </c>
      <c r="J1388" t="s">
        <v>329</v>
      </c>
      <c r="K1388">
        <v>320</v>
      </c>
      <c r="L1388">
        <v>367</v>
      </c>
      <c r="M1388" s="24">
        <v>310</v>
      </c>
      <c r="N1388" s="24">
        <v>368</v>
      </c>
      <c r="O1388" s="24">
        <v>304</v>
      </c>
      <c r="P1388" s="24">
        <v>353</v>
      </c>
      <c r="Q1388">
        <v>289</v>
      </c>
      <c r="R1388">
        <v>357</v>
      </c>
      <c r="S1388">
        <v>221</v>
      </c>
      <c r="T1388">
        <v>396</v>
      </c>
      <c r="U1388">
        <v>221</v>
      </c>
      <c r="V1388">
        <v>396</v>
      </c>
    </row>
    <row r="1389" spans="2:22" x14ac:dyDescent="0.35">
      <c r="B1389" s="46" t="s">
        <v>1898</v>
      </c>
      <c r="D1389" t="s">
        <v>1791</v>
      </c>
      <c r="E1389" t="s">
        <v>1792</v>
      </c>
      <c r="F1389" s="46" t="s">
        <v>1898</v>
      </c>
      <c r="G1389" t="s">
        <v>273</v>
      </c>
      <c r="H1389" s="23">
        <v>7</v>
      </c>
      <c r="I1389" s="23" t="s">
        <v>1895</v>
      </c>
      <c r="J1389" t="s">
        <v>1561</v>
      </c>
      <c r="K1389">
        <v>1707</v>
      </c>
      <c r="L1389">
        <v>2044</v>
      </c>
      <c r="M1389" s="24">
        <v>1717</v>
      </c>
      <c r="N1389" s="24">
        <v>2083</v>
      </c>
      <c r="O1389" s="24">
        <v>1624</v>
      </c>
      <c r="P1389" s="24">
        <v>2032</v>
      </c>
      <c r="Q1389">
        <v>1659</v>
      </c>
      <c r="R1389">
        <v>2228</v>
      </c>
      <c r="S1389">
        <v>1267</v>
      </c>
      <c r="T1389">
        <v>2625</v>
      </c>
      <c r="U1389">
        <v>1267</v>
      </c>
      <c r="V1389">
        <v>2625</v>
      </c>
    </row>
    <row r="1390" spans="2:22" x14ac:dyDescent="0.35">
      <c r="B1390" s="46" t="s">
        <v>1899</v>
      </c>
      <c r="D1390" t="s">
        <v>1791</v>
      </c>
      <c r="E1390" t="s">
        <v>1792</v>
      </c>
      <c r="F1390" s="46" t="s">
        <v>1899</v>
      </c>
      <c r="G1390" t="s">
        <v>273</v>
      </c>
      <c r="H1390" s="23">
        <v>7</v>
      </c>
      <c r="I1390" s="23" t="s">
        <v>1895</v>
      </c>
      <c r="J1390" t="s">
        <v>349</v>
      </c>
      <c r="K1390">
        <v>561</v>
      </c>
      <c r="L1390">
        <v>671</v>
      </c>
      <c r="M1390" s="24">
        <v>556</v>
      </c>
      <c r="N1390" s="24">
        <v>689</v>
      </c>
      <c r="O1390" s="24">
        <v>507</v>
      </c>
      <c r="P1390" s="24">
        <v>668</v>
      </c>
      <c r="Q1390">
        <v>518</v>
      </c>
      <c r="R1390">
        <v>735</v>
      </c>
      <c r="S1390">
        <v>411</v>
      </c>
      <c r="T1390">
        <v>871</v>
      </c>
      <c r="U1390">
        <v>411</v>
      </c>
      <c r="V1390">
        <v>871</v>
      </c>
    </row>
    <row r="1391" spans="2:22" x14ac:dyDescent="0.35">
      <c r="B1391" s="46" t="s">
        <v>1900</v>
      </c>
      <c r="D1391" t="s">
        <v>1791</v>
      </c>
      <c r="E1391" t="s">
        <v>1792</v>
      </c>
      <c r="F1391" s="46" t="s">
        <v>1900</v>
      </c>
      <c r="G1391" t="s">
        <v>273</v>
      </c>
      <c r="H1391" s="23">
        <v>7</v>
      </c>
      <c r="I1391" s="23" t="s">
        <v>1895</v>
      </c>
      <c r="J1391" t="s">
        <v>1901</v>
      </c>
      <c r="K1391">
        <v>581</v>
      </c>
      <c r="L1391">
        <v>683</v>
      </c>
      <c r="M1391" s="24">
        <v>550</v>
      </c>
      <c r="N1391" s="24">
        <v>649</v>
      </c>
      <c r="O1391" s="24">
        <v>607</v>
      </c>
      <c r="P1391" s="24">
        <v>730</v>
      </c>
      <c r="Q1391">
        <v>655</v>
      </c>
      <c r="R1391">
        <v>801</v>
      </c>
      <c r="S1391">
        <v>490</v>
      </c>
      <c r="T1391">
        <v>984</v>
      </c>
      <c r="U1391">
        <v>490</v>
      </c>
      <c r="V1391">
        <v>984</v>
      </c>
    </row>
    <row r="1392" spans="2:22" x14ac:dyDescent="0.35">
      <c r="B1392" s="46" t="s">
        <v>1902</v>
      </c>
      <c r="D1392" t="s">
        <v>1791</v>
      </c>
      <c r="E1392" t="s">
        <v>1792</v>
      </c>
      <c r="F1392" s="46" t="s">
        <v>1902</v>
      </c>
      <c r="G1392" t="s">
        <v>273</v>
      </c>
      <c r="H1392" s="23">
        <v>7</v>
      </c>
      <c r="I1392" s="23" t="s">
        <v>1895</v>
      </c>
      <c r="J1392" t="s">
        <v>357</v>
      </c>
      <c r="K1392">
        <v>415</v>
      </c>
      <c r="L1392">
        <v>460</v>
      </c>
      <c r="M1392" s="24">
        <v>400</v>
      </c>
      <c r="N1392" s="24">
        <v>457</v>
      </c>
      <c r="O1392" s="24">
        <v>363</v>
      </c>
      <c r="P1392" s="24">
        <v>418</v>
      </c>
      <c r="Q1392">
        <v>322</v>
      </c>
      <c r="R1392">
        <v>418</v>
      </c>
      <c r="S1392">
        <v>278</v>
      </c>
      <c r="T1392">
        <v>501</v>
      </c>
      <c r="U1392">
        <v>278</v>
      </c>
      <c r="V1392">
        <v>501</v>
      </c>
    </row>
    <row r="1393" spans="2:22" x14ac:dyDescent="0.35">
      <c r="B1393" s="46" t="s">
        <v>1903</v>
      </c>
      <c r="D1393" t="s">
        <v>1791</v>
      </c>
      <c r="E1393" t="s">
        <v>1792</v>
      </c>
      <c r="F1393" s="46" t="s">
        <v>1903</v>
      </c>
      <c r="G1393" t="s">
        <v>273</v>
      </c>
      <c r="H1393" s="23">
        <v>7</v>
      </c>
      <c r="I1393" s="23" t="s">
        <v>1895</v>
      </c>
      <c r="J1393" t="s">
        <v>361</v>
      </c>
      <c r="K1393">
        <v>692</v>
      </c>
      <c r="L1393">
        <v>807</v>
      </c>
      <c r="M1393" s="24">
        <v>731</v>
      </c>
      <c r="N1393" s="24">
        <v>858</v>
      </c>
      <c r="O1393" s="24">
        <v>687</v>
      </c>
      <c r="P1393" s="24">
        <v>846</v>
      </c>
      <c r="Q1393">
        <v>616</v>
      </c>
      <c r="R1393">
        <v>798</v>
      </c>
      <c r="S1393">
        <v>499</v>
      </c>
      <c r="T1393">
        <v>909</v>
      </c>
      <c r="U1393">
        <v>499</v>
      </c>
      <c r="V1393">
        <v>909</v>
      </c>
    </row>
    <row r="1394" spans="2:22" x14ac:dyDescent="0.35">
      <c r="B1394" s="46" t="s">
        <v>1904</v>
      </c>
      <c r="D1394" t="s">
        <v>1791</v>
      </c>
      <c r="E1394" t="s">
        <v>1792</v>
      </c>
      <c r="F1394" s="46" t="s">
        <v>1904</v>
      </c>
      <c r="G1394" t="s">
        <v>273</v>
      </c>
      <c r="H1394" s="23">
        <v>7</v>
      </c>
      <c r="I1394" s="23" t="s">
        <v>1895</v>
      </c>
      <c r="J1394" t="s">
        <v>1905</v>
      </c>
      <c r="K1394">
        <v>735</v>
      </c>
      <c r="L1394">
        <v>846</v>
      </c>
      <c r="M1394" s="24">
        <v>724</v>
      </c>
      <c r="N1394" s="24">
        <v>860</v>
      </c>
      <c r="O1394" s="24">
        <v>708</v>
      </c>
      <c r="P1394" s="24">
        <v>843</v>
      </c>
      <c r="Q1394">
        <v>659</v>
      </c>
      <c r="R1394">
        <v>856</v>
      </c>
      <c r="S1394">
        <v>439</v>
      </c>
      <c r="T1394">
        <v>987</v>
      </c>
      <c r="U1394">
        <v>439</v>
      </c>
      <c r="V1394">
        <v>987</v>
      </c>
    </row>
    <row r="1395" spans="2:22" x14ac:dyDescent="0.35">
      <c r="B1395" s="46" t="s">
        <v>1906</v>
      </c>
      <c r="D1395" t="s">
        <v>1791</v>
      </c>
      <c r="E1395" t="s">
        <v>1792</v>
      </c>
      <c r="F1395" s="46" t="s">
        <v>1906</v>
      </c>
      <c r="G1395" t="s">
        <v>273</v>
      </c>
      <c r="H1395" s="23">
        <v>7</v>
      </c>
      <c r="I1395" s="23" t="s">
        <v>1895</v>
      </c>
      <c r="J1395" t="s">
        <v>1907</v>
      </c>
      <c r="K1395">
        <v>180</v>
      </c>
      <c r="L1395">
        <v>211</v>
      </c>
      <c r="M1395" s="24">
        <v>184</v>
      </c>
      <c r="N1395" s="24">
        <v>217</v>
      </c>
      <c r="O1395" s="24">
        <v>166</v>
      </c>
      <c r="P1395" s="24">
        <v>208</v>
      </c>
      <c r="Q1395">
        <v>166</v>
      </c>
      <c r="R1395">
        <v>225</v>
      </c>
      <c r="S1395">
        <v>128</v>
      </c>
      <c r="T1395">
        <v>275</v>
      </c>
      <c r="U1395">
        <v>128</v>
      </c>
      <c r="V1395">
        <v>275</v>
      </c>
    </row>
    <row r="1396" spans="2:22" x14ac:dyDescent="0.35">
      <c r="B1396" s="46" t="s">
        <v>1908</v>
      </c>
      <c r="D1396" t="s">
        <v>1791</v>
      </c>
      <c r="E1396" t="s">
        <v>1792</v>
      </c>
      <c r="F1396" s="46" t="s">
        <v>1908</v>
      </c>
      <c r="G1396" t="s">
        <v>273</v>
      </c>
      <c r="H1396" s="23">
        <v>7</v>
      </c>
      <c r="I1396" s="23" t="s">
        <v>1895</v>
      </c>
      <c r="J1396" t="s">
        <v>729</v>
      </c>
      <c r="K1396">
        <v>2499</v>
      </c>
      <c r="L1396">
        <v>3045</v>
      </c>
      <c r="M1396" s="24">
        <v>2495</v>
      </c>
      <c r="N1396" s="24">
        <v>3109</v>
      </c>
      <c r="O1396" s="24">
        <v>2410</v>
      </c>
      <c r="P1396" s="24">
        <v>3114</v>
      </c>
      <c r="Q1396">
        <v>2391</v>
      </c>
      <c r="R1396">
        <v>3294</v>
      </c>
      <c r="S1396">
        <v>1631</v>
      </c>
      <c r="T1396">
        <v>3671</v>
      </c>
      <c r="U1396">
        <v>1631</v>
      </c>
      <c r="V1396">
        <v>3671</v>
      </c>
    </row>
    <row r="1397" spans="2:22" x14ac:dyDescent="0.35">
      <c r="B1397" s="46" t="s">
        <v>1909</v>
      </c>
      <c r="D1397" t="s">
        <v>1791</v>
      </c>
      <c r="E1397" t="s">
        <v>1792</v>
      </c>
      <c r="F1397" s="46" t="s">
        <v>1909</v>
      </c>
      <c r="G1397" t="s">
        <v>273</v>
      </c>
      <c r="H1397" s="23">
        <v>7</v>
      </c>
      <c r="I1397" s="23" t="s">
        <v>1895</v>
      </c>
      <c r="J1397" t="s">
        <v>1319</v>
      </c>
      <c r="K1397">
        <v>556</v>
      </c>
      <c r="L1397">
        <v>656</v>
      </c>
      <c r="M1397" s="24">
        <v>530</v>
      </c>
      <c r="N1397" s="24">
        <v>645</v>
      </c>
      <c r="O1397" s="24">
        <v>496</v>
      </c>
      <c r="P1397" s="24">
        <v>634</v>
      </c>
      <c r="Q1397">
        <v>463</v>
      </c>
      <c r="R1397">
        <v>630</v>
      </c>
      <c r="S1397">
        <v>330</v>
      </c>
      <c r="T1397">
        <v>726</v>
      </c>
      <c r="U1397">
        <v>330</v>
      </c>
      <c r="V1397">
        <v>726</v>
      </c>
    </row>
    <row r="1398" spans="2:22" x14ac:dyDescent="0.35">
      <c r="B1398" s="46" t="s">
        <v>1910</v>
      </c>
      <c r="D1398" t="s">
        <v>1791</v>
      </c>
      <c r="E1398" t="s">
        <v>1792</v>
      </c>
      <c r="F1398" s="46" t="s">
        <v>1910</v>
      </c>
      <c r="G1398" t="s">
        <v>273</v>
      </c>
      <c r="H1398" s="23">
        <v>7</v>
      </c>
      <c r="I1398" s="23" t="s">
        <v>1895</v>
      </c>
      <c r="J1398" t="s">
        <v>411</v>
      </c>
      <c r="K1398">
        <v>197</v>
      </c>
      <c r="L1398">
        <v>229</v>
      </c>
      <c r="M1398" s="24">
        <v>184</v>
      </c>
      <c r="N1398" s="24">
        <v>221</v>
      </c>
      <c r="O1398" s="24">
        <v>156</v>
      </c>
      <c r="P1398" s="24">
        <v>196</v>
      </c>
      <c r="Q1398">
        <v>141</v>
      </c>
      <c r="R1398">
        <v>193</v>
      </c>
      <c r="S1398">
        <v>87</v>
      </c>
      <c r="T1398">
        <v>199</v>
      </c>
      <c r="U1398">
        <v>87</v>
      </c>
      <c r="V1398">
        <v>199</v>
      </c>
    </row>
    <row r="1399" spans="2:22" x14ac:dyDescent="0.35">
      <c r="B1399" s="46" t="s">
        <v>1911</v>
      </c>
      <c r="D1399" t="s">
        <v>1791</v>
      </c>
      <c r="E1399" t="s">
        <v>1792</v>
      </c>
      <c r="F1399" s="46" t="s">
        <v>1911</v>
      </c>
      <c r="G1399" t="s">
        <v>273</v>
      </c>
      <c r="H1399" s="23">
        <v>7</v>
      </c>
      <c r="I1399" s="23" t="s">
        <v>1895</v>
      </c>
      <c r="J1399" t="s">
        <v>873</v>
      </c>
      <c r="K1399">
        <v>1152</v>
      </c>
      <c r="L1399">
        <v>1374</v>
      </c>
      <c r="M1399" s="24">
        <v>1127</v>
      </c>
      <c r="N1399" s="24">
        <v>1389</v>
      </c>
      <c r="O1399" s="24">
        <v>1095</v>
      </c>
      <c r="P1399" s="24">
        <v>1379</v>
      </c>
      <c r="Q1399">
        <v>1010</v>
      </c>
      <c r="R1399">
        <v>1360</v>
      </c>
      <c r="S1399">
        <v>784</v>
      </c>
      <c r="T1399">
        <v>1644</v>
      </c>
      <c r="U1399">
        <v>784</v>
      </c>
      <c r="V1399">
        <v>1644</v>
      </c>
    </row>
    <row r="1400" spans="2:22" x14ac:dyDescent="0.35">
      <c r="B1400" s="46" t="s">
        <v>1912</v>
      </c>
      <c r="D1400" t="s">
        <v>1791</v>
      </c>
      <c r="E1400" t="s">
        <v>1792</v>
      </c>
      <c r="F1400" s="46" t="s">
        <v>1912</v>
      </c>
      <c r="G1400" t="s">
        <v>273</v>
      </c>
      <c r="H1400" s="23">
        <v>7</v>
      </c>
      <c r="I1400" s="23" t="s">
        <v>1895</v>
      </c>
      <c r="J1400" t="s">
        <v>417</v>
      </c>
      <c r="K1400">
        <v>984</v>
      </c>
      <c r="L1400">
        <v>1142</v>
      </c>
      <c r="M1400" s="24">
        <v>1049</v>
      </c>
      <c r="N1400" s="24">
        <v>1240</v>
      </c>
      <c r="O1400" s="24">
        <v>948</v>
      </c>
      <c r="P1400" s="24">
        <v>1190</v>
      </c>
      <c r="Q1400">
        <v>971</v>
      </c>
      <c r="R1400">
        <v>1286</v>
      </c>
      <c r="S1400">
        <v>605</v>
      </c>
      <c r="T1400">
        <v>1461</v>
      </c>
      <c r="U1400">
        <v>605</v>
      </c>
      <c r="V1400">
        <v>1461</v>
      </c>
    </row>
    <row r="1401" spans="2:22" x14ac:dyDescent="0.35">
      <c r="B1401" s="46" t="s">
        <v>1913</v>
      </c>
      <c r="D1401" t="s">
        <v>1791</v>
      </c>
      <c r="E1401" t="s">
        <v>1792</v>
      </c>
      <c r="F1401" s="46" t="s">
        <v>1913</v>
      </c>
      <c r="G1401" t="s">
        <v>279</v>
      </c>
      <c r="H1401" s="23">
        <v>8</v>
      </c>
      <c r="I1401" s="23" t="s">
        <v>1914</v>
      </c>
      <c r="J1401" t="s">
        <v>1915</v>
      </c>
      <c r="K1401">
        <v>1122</v>
      </c>
      <c r="L1401">
        <v>1408</v>
      </c>
      <c r="M1401" s="24">
        <v>1106</v>
      </c>
      <c r="N1401" s="24">
        <v>1383</v>
      </c>
      <c r="O1401" s="24">
        <v>994</v>
      </c>
      <c r="P1401" s="24">
        <v>1305</v>
      </c>
      <c r="Q1401">
        <v>608</v>
      </c>
      <c r="R1401">
        <v>1327</v>
      </c>
      <c r="S1401">
        <v>684</v>
      </c>
      <c r="T1401">
        <v>1553</v>
      </c>
      <c r="U1401">
        <v>684</v>
      </c>
      <c r="V1401">
        <v>1553</v>
      </c>
    </row>
    <row r="1402" spans="2:22" x14ac:dyDescent="0.35">
      <c r="B1402" s="46" t="s">
        <v>1916</v>
      </c>
      <c r="D1402" t="s">
        <v>1791</v>
      </c>
      <c r="E1402" t="s">
        <v>1792</v>
      </c>
      <c r="F1402" s="46" t="s">
        <v>1916</v>
      </c>
      <c r="G1402" t="s">
        <v>279</v>
      </c>
      <c r="H1402" s="23">
        <v>8</v>
      </c>
      <c r="I1402" s="23" t="s">
        <v>1914</v>
      </c>
      <c r="J1402" t="s">
        <v>333</v>
      </c>
      <c r="K1402">
        <v>1430</v>
      </c>
      <c r="L1402">
        <v>1729</v>
      </c>
      <c r="M1402" s="24">
        <v>1399</v>
      </c>
      <c r="N1402" s="24">
        <v>1693</v>
      </c>
      <c r="O1402" s="24">
        <v>1365</v>
      </c>
      <c r="P1402" s="24">
        <v>1725</v>
      </c>
      <c r="Q1402">
        <v>819</v>
      </c>
      <c r="R1402">
        <v>1775</v>
      </c>
      <c r="S1402">
        <v>852</v>
      </c>
      <c r="T1402">
        <v>1953</v>
      </c>
      <c r="U1402">
        <v>852</v>
      </c>
      <c r="V1402">
        <v>1953</v>
      </c>
    </row>
    <row r="1403" spans="2:22" x14ac:dyDescent="0.35">
      <c r="B1403" s="46" t="s">
        <v>1917</v>
      </c>
      <c r="D1403" t="s">
        <v>1791</v>
      </c>
      <c r="E1403" t="s">
        <v>1792</v>
      </c>
      <c r="F1403" s="46" t="s">
        <v>1917</v>
      </c>
      <c r="G1403" t="s">
        <v>279</v>
      </c>
      <c r="H1403" s="23">
        <v>8</v>
      </c>
      <c r="I1403" s="23" t="s">
        <v>1914</v>
      </c>
      <c r="J1403" t="s">
        <v>1918</v>
      </c>
      <c r="K1403">
        <v>1474</v>
      </c>
      <c r="L1403">
        <v>1831</v>
      </c>
      <c r="M1403" s="24">
        <v>1466</v>
      </c>
      <c r="N1403" s="24">
        <v>1797</v>
      </c>
      <c r="O1403" s="24">
        <v>1319</v>
      </c>
      <c r="P1403" s="24">
        <v>1738</v>
      </c>
      <c r="Q1403">
        <v>801</v>
      </c>
      <c r="R1403">
        <v>1769</v>
      </c>
      <c r="S1403">
        <v>770</v>
      </c>
      <c r="T1403">
        <v>1944</v>
      </c>
      <c r="U1403">
        <v>770</v>
      </c>
      <c r="V1403">
        <v>1944</v>
      </c>
    </row>
    <row r="1404" spans="2:22" x14ac:dyDescent="0.35">
      <c r="B1404" s="46" t="s">
        <v>1919</v>
      </c>
      <c r="D1404" t="s">
        <v>1791</v>
      </c>
      <c r="E1404" t="s">
        <v>1792</v>
      </c>
      <c r="F1404" s="46" t="s">
        <v>1919</v>
      </c>
      <c r="G1404" t="s">
        <v>279</v>
      </c>
      <c r="H1404" s="23">
        <v>8</v>
      </c>
      <c r="I1404" s="23" t="s">
        <v>1914</v>
      </c>
      <c r="J1404" t="s">
        <v>1920</v>
      </c>
      <c r="K1404">
        <v>870</v>
      </c>
      <c r="L1404">
        <v>1047</v>
      </c>
      <c r="M1404" s="24">
        <v>859</v>
      </c>
      <c r="N1404" s="24">
        <v>1044</v>
      </c>
      <c r="O1404" s="24">
        <v>878</v>
      </c>
      <c r="P1404" s="24">
        <v>1063</v>
      </c>
      <c r="Q1404">
        <v>462</v>
      </c>
      <c r="R1404">
        <v>1074</v>
      </c>
      <c r="S1404">
        <v>450</v>
      </c>
      <c r="T1404">
        <v>1138</v>
      </c>
      <c r="U1404">
        <v>450</v>
      </c>
      <c r="V1404">
        <v>1138</v>
      </c>
    </row>
    <row r="1405" spans="2:22" x14ac:dyDescent="0.35">
      <c r="B1405" s="46" t="s">
        <v>1921</v>
      </c>
      <c r="D1405" t="s">
        <v>1791</v>
      </c>
      <c r="E1405" t="s">
        <v>1792</v>
      </c>
      <c r="F1405" s="46" t="s">
        <v>1921</v>
      </c>
      <c r="G1405" t="s">
        <v>279</v>
      </c>
      <c r="H1405" s="23">
        <v>8</v>
      </c>
      <c r="I1405" s="23" t="s">
        <v>1914</v>
      </c>
      <c r="J1405" t="s">
        <v>1922</v>
      </c>
      <c r="K1405">
        <v>790</v>
      </c>
      <c r="L1405">
        <v>921</v>
      </c>
      <c r="M1405" s="24">
        <v>821</v>
      </c>
      <c r="N1405" s="24">
        <v>941</v>
      </c>
      <c r="O1405" s="24">
        <v>752</v>
      </c>
      <c r="P1405" s="24">
        <v>871</v>
      </c>
      <c r="Q1405">
        <v>453</v>
      </c>
      <c r="R1405">
        <v>869</v>
      </c>
      <c r="S1405">
        <v>388</v>
      </c>
      <c r="T1405">
        <v>887</v>
      </c>
      <c r="U1405">
        <v>388</v>
      </c>
      <c r="V1405">
        <v>887</v>
      </c>
    </row>
    <row r="1406" spans="2:22" x14ac:dyDescent="0.35">
      <c r="B1406" s="46" t="s">
        <v>1923</v>
      </c>
      <c r="D1406" t="s">
        <v>1791</v>
      </c>
      <c r="E1406" t="s">
        <v>1792</v>
      </c>
      <c r="F1406" s="46" t="s">
        <v>1923</v>
      </c>
      <c r="G1406" t="s">
        <v>279</v>
      </c>
      <c r="H1406" s="23">
        <v>8</v>
      </c>
      <c r="I1406" s="23" t="s">
        <v>1914</v>
      </c>
      <c r="J1406" t="s">
        <v>271</v>
      </c>
      <c r="K1406">
        <v>169</v>
      </c>
      <c r="L1406">
        <v>202</v>
      </c>
      <c r="M1406" s="24">
        <v>157</v>
      </c>
      <c r="N1406" s="24">
        <v>194</v>
      </c>
      <c r="O1406" s="24">
        <v>155</v>
      </c>
      <c r="P1406" s="24">
        <v>180</v>
      </c>
      <c r="Q1406">
        <v>90</v>
      </c>
      <c r="R1406">
        <v>175</v>
      </c>
      <c r="S1406">
        <v>112</v>
      </c>
      <c r="T1406">
        <v>195</v>
      </c>
      <c r="U1406">
        <v>112</v>
      </c>
      <c r="V1406">
        <v>195</v>
      </c>
    </row>
    <row r="1407" spans="2:22" x14ac:dyDescent="0.35">
      <c r="B1407" s="46" t="s">
        <v>1924</v>
      </c>
      <c r="D1407" t="s">
        <v>1791</v>
      </c>
      <c r="E1407" t="s">
        <v>1792</v>
      </c>
      <c r="F1407" s="46" t="s">
        <v>1924</v>
      </c>
      <c r="G1407" t="s">
        <v>279</v>
      </c>
      <c r="H1407" s="23">
        <v>8</v>
      </c>
      <c r="I1407" s="23" t="s">
        <v>1914</v>
      </c>
      <c r="J1407" t="s">
        <v>1281</v>
      </c>
      <c r="K1407">
        <v>409</v>
      </c>
      <c r="L1407">
        <v>482</v>
      </c>
      <c r="M1407" s="24">
        <v>422</v>
      </c>
      <c r="N1407" s="24">
        <v>502</v>
      </c>
      <c r="O1407" s="24">
        <v>389</v>
      </c>
      <c r="P1407" s="24">
        <v>465</v>
      </c>
      <c r="Q1407">
        <v>255</v>
      </c>
      <c r="R1407">
        <v>477</v>
      </c>
      <c r="S1407">
        <v>301</v>
      </c>
      <c r="T1407">
        <v>554</v>
      </c>
      <c r="U1407">
        <v>301</v>
      </c>
      <c r="V1407">
        <v>554</v>
      </c>
    </row>
    <row r="1408" spans="2:22" x14ac:dyDescent="0.35">
      <c r="B1408" s="46" t="s">
        <v>1925</v>
      </c>
      <c r="D1408" t="s">
        <v>1791</v>
      </c>
      <c r="E1408" t="s">
        <v>1792</v>
      </c>
      <c r="F1408" s="46" t="s">
        <v>1925</v>
      </c>
      <c r="G1408" t="s">
        <v>279</v>
      </c>
      <c r="H1408" s="23">
        <v>8</v>
      </c>
      <c r="I1408" s="23" t="s">
        <v>1914</v>
      </c>
      <c r="J1408" t="s">
        <v>261</v>
      </c>
      <c r="K1408">
        <v>1601</v>
      </c>
      <c r="L1408">
        <v>1832</v>
      </c>
      <c r="M1408" s="24">
        <v>1546</v>
      </c>
      <c r="N1408" s="24">
        <v>1769</v>
      </c>
      <c r="O1408" s="24">
        <v>1399</v>
      </c>
      <c r="P1408" s="24">
        <v>1665</v>
      </c>
      <c r="Q1408">
        <v>649</v>
      </c>
      <c r="R1408">
        <v>1603</v>
      </c>
      <c r="S1408">
        <v>647</v>
      </c>
      <c r="T1408">
        <v>1719</v>
      </c>
      <c r="U1408">
        <v>647</v>
      </c>
      <c r="V1408">
        <v>1719</v>
      </c>
    </row>
    <row r="1409" spans="2:22" x14ac:dyDescent="0.35">
      <c r="B1409" s="46" t="s">
        <v>1926</v>
      </c>
      <c r="D1409" t="s">
        <v>1791</v>
      </c>
      <c r="E1409" t="s">
        <v>1792</v>
      </c>
      <c r="F1409" s="46" t="s">
        <v>1926</v>
      </c>
      <c r="G1409" t="s">
        <v>279</v>
      </c>
      <c r="H1409" s="23">
        <v>8</v>
      </c>
      <c r="I1409" s="23" t="s">
        <v>1914</v>
      </c>
      <c r="J1409" t="s">
        <v>1927</v>
      </c>
      <c r="K1409">
        <v>385</v>
      </c>
      <c r="L1409">
        <v>455</v>
      </c>
      <c r="M1409" s="24">
        <v>391</v>
      </c>
      <c r="N1409" s="24">
        <v>456</v>
      </c>
      <c r="O1409" s="24">
        <v>333</v>
      </c>
      <c r="P1409" s="24">
        <v>407</v>
      </c>
      <c r="Q1409">
        <f>O1409</f>
        <v>333</v>
      </c>
      <c r="R1409">
        <v>396</v>
      </c>
      <c r="S1409">
        <v>157</v>
      </c>
      <c r="T1409">
        <v>456</v>
      </c>
      <c r="U1409">
        <v>157</v>
      </c>
      <c r="V1409">
        <v>456</v>
      </c>
    </row>
    <row r="1410" spans="2:22" x14ac:dyDescent="0.35">
      <c r="B1410" s="46" t="s">
        <v>1928</v>
      </c>
      <c r="D1410" t="s">
        <v>1791</v>
      </c>
      <c r="E1410" t="s">
        <v>1792</v>
      </c>
      <c r="F1410" s="46" t="s">
        <v>1928</v>
      </c>
      <c r="G1410" t="s">
        <v>279</v>
      </c>
      <c r="H1410" s="23">
        <v>8</v>
      </c>
      <c r="I1410" s="23" t="s">
        <v>1914</v>
      </c>
      <c r="J1410" t="s">
        <v>494</v>
      </c>
      <c r="K1410">
        <v>1277</v>
      </c>
      <c r="L1410">
        <v>1453</v>
      </c>
      <c r="M1410" s="24">
        <v>1225</v>
      </c>
      <c r="N1410" s="24">
        <v>1415</v>
      </c>
      <c r="O1410" s="24">
        <v>1221</v>
      </c>
      <c r="P1410" s="24">
        <v>1470</v>
      </c>
      <c r="Q1410">
        <v>589</v>
      </c>
      <c r="R1410">
        <v>1481</v>
      </c>
      <c r="S1410">
        <v>535</v>
      </c>
      <c r="T1410">
        <v>1452</v>
      </c>
      <c r="U1410">
        <v>535</v>
      </c>
      <c r="V1410">
        <v>1452</v>
      </c>
    </row>
    <row r="1411" spans="2:22" x14ac:dyDescent="0.35">
      <c r="B1411" s="46" t="s">
        <v>1929</v>
      </c>
      <c r="D1411" t="s">
        <v>1791</v>
      </c>
      <c r="E1411" t="s">
        <v>1792</v>
      </c>
      <c r="F1411" s="46" t="s">
        <v>1929</v>
      </c>
      <c r="G1411" t="s">
        <v>279</v>
      </c>
      <c r="H1411" s="23">
        <v>8</v>
      </c>
      <c r="I1411" s="23" t="s">
        <v>1914</v>
      </c>
      <c r="J1411" t="s">
        <v>367</v>
      </c>
      <c r="K1411">
        <v>747</v>
      </c>
      <c r="L1411">
        <v>902</v>
      </c>
      <c r="M1411" s="24">
        <v>735</v>
      </c>
      <c r="N1411" s="24">
        <v>932</v>
      </c>
      <c r="O1411" s="24">
        <v>695</v>
      </c>
      <c r="P1411" s="24">
        <v>890</v>
      </c>
      <c r="Q1411">
        <v>419</v>
      </c>
      <c r="R1411">
        <v>927</v>
      </c>
      <c r="S1411">
        <v>442</v>
      </c>
      <c r="T1411">
        <v>1039</v>
      </c>
      <c r="U1411">
        <v>442</v>
      </c>
      <c r="V1411">
        <v>1039</v>
      </c>
    </row>
    <row r="1412" spans="2:22" x14ac:dyDescent="0.35">
      <c r="B1412" s="46" t="s">
        <v>1930</v>
      </c>
      <c r="D1412" t="s">
        <v>1791</v>
      </c>
      <c r="E1412" t="s">
        <v>1792</v>
      </c>
      <c r="F1412" s="46" t="s">
        <v>1930</v>
      </c>
      <c r="G1412" t="s">
        <v>279</v>
      </c>
      <c r="H1412" s="23">
        <v>8</v>
      </c>
      <c r="I1412" s="23" t="s">
        <v>1914</v>
      </c>
      <c r="J1412" t="s">
        <v>1931</v>
      </c>
      <c r="K1412">
        <v>2470</v>
      </c>
      <c r="L1412">
        <v>3123</v>
      </c>
      <c r="M1412" s="24">
        <v>2392</v>
      </c>
      <c r="N1412" s="24">
        <v>3058</v>
      </c>
      <c r="O1412" s="24">
        <v>2263</v>
      </c>
      <c r="P1412" s="24">
        <v>3006</v>
      </c>
      <c r="Q1412">
        <v>1403</v>
      </c>
      <c r="R1412">
        <v>3171</v>
      </c>
      <c r="S1412">
        <v>1502</v>
      </c>
      <c r="T1412">
        <v>3672</v>
      </c>
      <c r="U1412">
        <v>1502</v>
      </c>
      <c r="V1412">
        <v>3672</v>
      </c>
    </row>
    <row r="1413" spans="2:22" x14ac:dyDescent="0.35">
      <c r="B1413" s="46" t="s">
        <v>1932</v>
      </c>
      <c r="D1413" t="s">
        <v>1791</v>
      </c>
      <c r="E1413" t="s">
        <v>1792</v>
      </c>
      <c r="F1413" s="46" t="s">
        <v>1932</v>
      </c>
      <c r="G1413" t="s">
        <v>279</v>
      </c>
      <c r="H1413" s="23">
        <v>8</v>
      </c>
      <c r="I1413" s="23" t="s">
        <v>1914</v>
      </c>
      <c r="J1413" t="s">
        <v>1556</v>
      </c>
      <c r="K1413">
        <v>174</v>
      </c>
      <c r="L1413">
        <v>197</v>
      </c>
      <c r="M1413" s="24">
        <v>161</v>
      </c>
      <c r="N1413" s="24">
        <v>190</v>
      </c>
      <c r="O1413" s="24">
        <v>140</v>
      </c>
      <c r="P1413" s="24">
        <v>187</v>
      </c>
      <c r="Q1413">
        <f>O1413</f>
        <v>140</v>
      </c>
      <c r="R1413">
        <v>176</v>
      </c>
      <c r="S1413">
        <v>68</v>
      </c>
      <c r="T1413">
        <v>180</v>
      </c>
      <c r="U1413">
        <v>68</v>
      </c>
      <c r="V1413">
        <v>180</v>
      </c>
    </row>
    <row r="1414" spans="2:22" x14ac:dyDescent="0.35">
      <c r="B1414" s="46" t="s">
        <v>1933</v>
      </c>
      <c r="D1414" t="s">
        <v>1791</v>
      </c>
      <c r="E1414" t="s">
        <v>1792</v>
      </c>
      <c r="F1414" s="46" t="s">
        <v>1933</v>
      </c>
      <c r="G1414" t="s">
        <v>279</v>
      </c>
      <c r="H1414" s="23">
        <v>8</v>
      </c>
      <c r="I1414" s="23" t="s">
        <v>1914</v>
      </c>
      <c r="J1414" t="s">
        <v>371</v>
      </c>
      <c r="K1414">
        <v>251</v>
      </c>
      <c r="L1414">
        <v>276</v>
      </c>
      <c r="M1414" s="24">
        <v>248</v>
      </c>
      <c r="N1414" s="24">
        <v>284</v>
      </c>
      <c r="O1414" s="24">
        <v>236</v>
      </c>
      <c r="P1414" s="24">
        <v>268</v>
      </c>
      <c r="Q1414">
        <f>O1414</f>
        <v>236</v>
      </c>
      <c r="R1414">
        <v>260</v>
      </c>
      <c r="S1414">
        <v>126</v>
      </c>
      <c r="T1414">
        <v>260</v>
      </c>
      <c r="U1414">
        <v>126</v>
      </c>
      <c r="V1414">
        <v>260</v>
      </c>
    </row>
    <row r="1415" spans="2:22" x14ac:dyDescent="0.35">
      <c r="B1415" s="46" t="s">
        <v>1934</v>
      </c>
      <c r="D1415" t="s">
        <v>1791</v>
      </c>
      <c r="E1415" t="s">
        <v>1792</v>
      </c>
      <c r="F1415" s="46" t="s">
        <v>1934</v>
      </c>
      <c r="G1415" t="s">
        <v>279</v>
      </c>
      <c r="H1415" s="23">
        <v>8</v>
      </c>
      <c r="I1415" s="23" t="s">
        <v>1914</v>
      </c>
      <c r="J1415" t="s">
        <v>915</v>
      </c>
      <c r="K1415">
        <v>347</v>
      </c>
      <c r="L1415">
        <v>418</v>
      </c>
      <c r="M1415" s="24">
        <v>322</v>
      </c>
      <c r="N1415" s="24">
        <v>402</v>
      </c>
      <c r="O1415" s="24">
        <v>331</v>
      </c>
      <c r="P1415" s="24">
        <v>413</v>
      </c>
      <c r="Q1415">
        <v>189</v>
      </c>
      <c r="R1415">
        <v>365</v>
      </c>
      <c r="S1415">
        <v>178</v>
      </c>
      <c r="T1415">
        <v>406</v>
      </c>
      <c r="U1415">
        <v>178</v>
      </c>
      <c r="V1415">
        <v>406</v>
      </c>
    </row>
    <row r="1416" spans="2:22" x14ac:dyDescent="0.35">
      <c r="B1416" s="46" t="s">
        <v>1935</v>
      </c>
      <c r="D1416" t="s">
        <v>1791</v>
      </c>
      <c r="E1416" t="s">
        <v>1792</v>
      </c>
      <c r="F1416" s="46" t="s">
        <v>1935</v>
      </c>
      <c r="G1416" t="s">
        <v>279</v>
      </c>
      <c r="H1416" s="23">
        <v>8</v>
      </c>
      <c r="I1416" s="23" t="s">
        <v>1914</v>
      </c>
      <c r="J1416" t="s">
        <v>894</v>
      </c>
      <c r="K1416">
        <v>660</v>
      </c>
      <c r="L1416">
        <v>734</v>
      </c>
      <c r="M1416" s="24">
        <v>628</v>
      </c>
      <c r="N1416" s="24">
        <v>734</v>
      </c>
      <c r="O1416" s="24">
        <v>611</v>
      </c>
      <c r="P1416" s="24">
        <v>774</v>
      </c>
      <c r="Q1416">
        <f>O1416</f>
        <v>611</v>
      </c>
      <c r="R1416">
        <v>769</v>
      </c>
      <c r="S1416">
        <v>259</v>
      </c>
      <c r="T1416">
        <v>822</v>
      </c>
      <c r="U1416">
        <v>259</v>
      </c>
      <c r="V1416">
        <v>822</v>
      </c>
    </row>
    <row r="1417" spans="2:22" x14ac:dyDescent="0.35">
      <c r="B1417" s="46" t="s">
        <v>1936</v>
      </c>
      <c r="D1417" t="s">
        <v>1460</v>
      </c>
      <c r="E1417" t="s">
        <v>1937</v>
      </c>
      <c r="F1417" s="46" t="s">
        <v>1936</v>
      </c>
      <c r="G1417" t="s">
        <v>231</v>
      </c>
      <c r="H1417" s="47" t="s">
        <v>393</v>
      </c>
      <c r="I1417" s="47" t="s">
        <v>1938</v>
      </c>
      <c r="J1417" t="s">
        <v>1939</v>
      </c>
      <c r="K1417">
        <v>562</v>
      </c>
      <c r="L1417">
        <v>1017</v>
      </c>
      <c r="M1417" s="24">
        <v>496</v>
      </c>
      <c r="N1417" s="24">
        <v>979</v>
      </c>
      <c r="O1417" s="24">
        <v>590</v>
      </c>
      <c r="P1417" s="24">
        <v>1023</v>
      </c>
      <c r="Q1417">
        <v>527</v>
      </c>
      <c r="R1417">
        <v>1088</v>
      </c>
      <c r="S1417">
        <v>792</v>
      </c>
      <c r="T1417">
        <v>1356</v>
      </c>
      <c r="U1417">
        <v>792</v>
      </c>
      <c r="V1417">
        <v>1356</v>
      </c>
    </row>
    <row r="1418" spans="2:22" x14ac:dyDescent="0.35">
      <c r="B1418" s="46" t="s">
        <v>1940</v>
      </c>
      <c r="D1418" t="s">
        <v>1460</v>
      </c>
      <c r="E1418" t="s">
        <v>1937</v>
      </c>
      <c r="F1418" s="46" t="s">
        <v>1940</v>
      </c>
      <c r="G1418" t="s">
        <v>231</v>
      </c>
      <c r="H1418" s="47" t="s">
        <v>393</v>
      </c>
      <c r="I1418" s="47" t="s">
        <v>1938</v>
      </c>
      <c r="J1418" t="s">
        <v>1941</v>
      </c>
      <c r="K1418">
        <v>235</v>
      </c>
      <c r="L1418">
        <v>437</v>
      </c>
      <c r="M1418" s="24">
        <v>168</v>
      </c>
      <c r="N1418" s="24">
        <v>979</v>
      </c>
      <c r="O1418" s="24">
        <v>229</v>
      </c>
      <c r="P1418" s="24">
        <v>445</v>
      </c>
      <c r="Q1418">
        <v>283</v>
      </c>
      <c r="R1418">
        <v>498</v>
      </c>
      <c r="S1418">
        <v>371</v>
      </c>
      <c r="T1418">
        <v>752</v>
      </c>
      <c r="U1418">
        <v>371</v>
      </c>
      <c r="V1418">
        <v>752</v>
      </c>
    </row>
    <row r="1419" spans="2:22" x14ac:dyDescent="0.35">
      <c r="B1419" s="46" t="s">
        <v>1942</v>
      </c>
      <c r="D1419" t="s">
        <v>1460</v>
      </c>
      <c r="E1419" t="s">
        <v>1937</v>
      </c>
      <c r="F1419" s="46" t="s">
        <v>1942</v>
      </c>
      <c r="G1419" t="s">
        <v>231</v>
      </c>
      <c r="H1419" s="47" t="s">
        <v>393</v>
      </c>
      <c r="I1419" s="47" t="s">
        <v>1938</v>
      </c>
      <c r="J1419" t="s">
        <v>1943</v>
      </c>
      <c r="K1419">
        <v>137</v>
      </c>
      <c r="L1419">
        <v>272</v>
      </c>
      <c r="M1419" s="24">
        <v>134</v>
      </c>
      <c r="N1419" s="24">
        <v>979</v>
      </c>
      <c r="O1419" s="24">
        <v>148</v>
      </c>
      <c r="P1419" s="24">
        <v>294</v>
      </c>
      <c r="Q1419">
        <v>139</v>
      </c>
      <c r="R1419">
        <v>305</v>
      </c>
      <c r="S1419">
        <v>232</v>
      </c>
      <c r="T1419">
        <v>394</v>
      </c>
      <c r="U1419">
        <v>232</v>
      </c>
      <c r="V1419">
        <v>394</v>
      </c>
    </row>
    <row r="1420" spans="2:22" x14ac:dyDescent="0.35">
      <c r="B1420" s="46" t="s">
        <v>1944</v>
      </c>
      <c r="D1420" t="s">
        <v>1460</v>
      </c>
      <c r="E1420" t="s">
        <v>1937</v>
      </c>
      <c r="F1420" s="46" t="s">
        <v>1944</v>
      </c>
      <c r="G1420" t="s">
        <v>231</v>
      </c>
      <c r="H1420" s="47" t="s">
        <v>393</v>
      </c>
      <c r="I1420" s="47" t="s">
        <v>1938</v>
      </c>
      <c r="J1420" t="s">
        <v>1945</v>
      </c>
      <c r="K1420">
        <v>254</v>
      </c>
      <c r="L1420">
        <v>551</v>
      </c>
      <c r="M1420" s="24">
        <v>263</v>
      </c>
      <c r="N1420" s="24">
        <v>979</v>
      </c>
      <c r="O1420" s="24">
        <v>308</v>
      </c>
      <c r="P1420" s="24">
        <v>582</v>
      </c>
      <c r="Q1420">
        <v>258</v>
      </c>
      <c r="R1420">
        <v>590</v>
      </c>
      <c r="S1420">
        <v>413</v>
      </c>
      <c r="T1420">
        <v>744</v>
      </c>
      <c r="U1420">
        <v>413</v>
      </c>
      <c r="V1420">
        <v>744</v>
      </c>
    </row>
    <row r="1421" spans="2:22" x14ac:dyDescent="0.35">
      <c r="B1421" s="46" t="s">
        <v>1946</v>
      </c>
      <c r="D1421" t="s">
        <v>1460</v>
      </c>
      <c r="E1421" t="s">
        <v>1937</v>
      </c>
      <c r="F1421" s="46" t="s">
        <v>1946</v>
      </c>
      <c r="G1421" t="s">
        <v>231</v>
      </c>
      <c r="H1421" s="47" t="s">
        <v>393</v>
      </c>
      <c r="I1421" s="47" t="s">
        <v>1938</v>
      </c>
      <c r="J1421" t="s">
        <v>1947</v>
      </c>
      <c r="K1421">
        <v>387</v>
      </c>
      <c r="L1421">
        <v>740</v>
      </c>
      <c r="M1421" s="24">
        <v>325</v>
      </c>
      <c r="N1421" s="24">
        <v>979</v>
      </c>
      <c r="O1421" s="24">
        <v>335</v>
      </c>
      <c r="P1421" s="24">
        <v>651</v>
      </c>
      <c r="Q1421">
        <v>404</v>
      </c>
      <c r="R1421">
        <v>704</v>
      </c>
      <c r="S1421">
        <v>629</v>
      </c>
      <c r="T1421">
        <v>1007</v>
      </c>
      <c r="U1421">
        <v>629</v>
      </c>
      <c r="V1421">
        <v>1007</v>
      </c>
    </row>
    <row r="1422" spans="2:22" x14ac:dyDescent="0.35">
      <c r="B1422" s="46" t="s">
        <v>1948</v>
      </c>
      <c r="D1422" t="s">
        <v>1460</v>
      </c>
      <c r="E1422" t="s">
        <v>1937</v>
      </c>
      <c r="F1422" s="46" t="s">
        <v>1948</v>
      </c>
      <c r="G1422" t="s">
        <v>231</v>
      </c>
      <c r="H1422" s="47" t="s">
        <v>393</v>
      </c>
      <c r="I1422" s="47" t="s">
        <v>1938</v>
      </c>
      <c r="J1422" t="s">
        <v>1949</v>
      </c>
      <c r="K1422">
        <v>55</v>
      </c>
      <c r="L1422">
        <v>108</v>
      </c>
      <c r="M1422" s="24">
        <v>39</v>
      </c>
      <c r="N1422" s="24">
        <v>979</v>
      </c>
      <c r="O1422" s="24">
        <v>40</v>
      </c>
      <c r="P1422" s="24">
        <v>73</v>
      </c>
      <c r="Q1422">
        <v>65</v>
      </c>
      <c r="R1422">
        <v>115</v>
      </c>
      <c r="S1422">
        <v>89</v>
      </c>
      <c r="T1422">
        <v>130</v>
      </c>
      <c r="U1422">
        <v>89</v>
      </c>
      <c r="V1422">
        <v>130</v>
      </c>
    </row>
    <row r="1423" spans="2:22" x14ac:dyDescent="0.35">
      <c r="B1423" s="46" t="s">
        <v>1950</v>
      </c>
      <c r="D1423" t="s">
        <v>1460</v>
      </c>
      <c r="E1423" t="s">
        <v>1937</v>
      </c>
      <c r="F1423" s="46" t="s">
        <v>1950</v>
      </c>
      <c r="G1423" t="s">
        <v>231</v>
      </c>
      <c r="H1423" s="47" t="s">
        <v>393</v>
      </c>
      <c r="I1423" s="47" t="s">
        <v>1938</v>
      </c>
      <c r="J1423" t="s">
        <v>1951</v>
      </c>
      <c r="K1423">
        <v>114</v>
      </c>
      <c r="L1423">
        <v>219</v>
      </c>
      <c r="M1423" s="24">
        <v>103</v>
      </c>
      <c r="N1423" s="24">
        <v>979</v>
      </c>
      <c r="O1423" s="24">
        <v>97</v>
      </c>
      <c r="P1423" s="24">
        <v>191</v>
      </c>
      <c r="Q1423">
        <v>116</v>
      </c>
      <c r="R1423">
        <v>188</v>
      </c>
      <c r="S1423">
        <v>174</v>
      </c>
      <c r="T1423">
        <v>289</v>
      </c>
      <c r="U1423">
        <v>174</v>
      </c>
      <c r="V1423">
        <v>289</v>
      </c>
    </row>
    <row r="1424" spans="2:22" x14ac:dyDescent="0.35">
      <c r="B1424" s="46" t="s">
        <v>1952</v>
      </c>
      <c r="D1424" t="s">
        <v>1460</v>
      </c>
      <c r="E1424" t="s">
        <v>1937</v>
      </c>
      <c r="F1424" s="46" t="s">
        <v>1952</v>
      </c>
      <c r="G1424" t="s">
        <v>231</v>
      </c>
      <c r="H1424" s="47" t="s">
        <v>393</v>
      </c>
      <c r="I1424" s="47" t="s">
        <v>1938</v>
      </c>
      <c r="J1424" t="s">
        <v>983</v>
      </c>
      <c r="K1424">
        <v>243</v>
      </c>
      <c r="L1424">
        <v>456</v>
      </c>
      <c r="M1424" s="24">
        <v>200</v>
      </c>
      <c r="N1424" s="24">
        <v>979</v>
      </c>
      <c r="O1424" s="24">
        <v>216</v>
      </c>
      <c r="P1424" s="24">
        <v>431</v>
      </c>
      <c r="Q1424">
        <v>250</v>
      </c>
      <c r="R1424">
        <v>467</v>
      </c>
      <c r="S1424">
        <v>308</v>
      </c>
      <c r="T1424">
        <v>645</v>
      </c>
      <c r="U1424">
        <v>308</v>
      </c>
      <c r="V1424">
        <v>645</v>
      </c>
    </row>
    <row r="1425" spans="2:22" x14ac:dyDescent="0.35">
      <c r="B1425" s="46" t="s">
        <v>1953</v>
      </c>
      <c r="D1425" t="s">
        <v>1460</v>
      </c>
      <c r="E1425" t="s">
        <v>1937</v>
      </c>
      <c r="F1425" s="46" t="s">
        <v>1953</v>
      </c>
      <c r="G1425" t="s">
        <v>231</v>
      </c>
      <c r="H1425" s="47" t="s">
        <v>393</v>
      </c>
      <c r="I1425" s="47" t="s">
        <v>1938</v>
      </c>
      <c r="J1425" t="s">
        <v>1954</v>
      </c>
      <c r="K1425">
        <v>17</v>
      </c>
      <c r="L1425">
        <v>28</v>
      </c>
      <c r="M1425" s="24">
        <v>0</v>
      </c>
      <c r="N1425" s="24">
        <v>979</v>
      </c>
      <c r="O1425" s="24">
        <v>14</v>
      </c>
      <c r="P1425" s="24">
        <v>22</v>
      </c>
      <c r="Q1425">
        <v>18</v>
      </c>
      <c r="R1425">
        <v>26</v>
      </c>
      <c r="S1425">
        <v>16</v>
      </c>
      <c r="T1425">
        <v>29</v>
      </c>
      <c r="U1425">
        <v>16</v>
      </c>
      <c r="V1425">
        <v>29</v>
      </c>
    </row>
    <row r="1426" spans="2:22" x14ac:dyDescent="0.35">
      <c r="B1426" s="46" t="s">
        <v>1955</v>
      </c>
      <c r="D1426" t="s">
        <v>1460</v>
      </c>
      <c r="E1426" t="s">
        <v>1937</v>
      </c>
      <c r="F1426" s="46" t="s">
        <v>1955</v>
      </c>
      <c r="G1426" t="s">
        <v>231</v>
      </c>
      <c r="H1426" s="47" t="s">
        <v>393</v>
      </c>
      <c r="I1426" s="47" t="s">
        <v>1938</v>
      </c>
      <c r="J1426" t="s">
        <v>791</v>
      </c>
      <c r="K1426">
        <v>78</v>
      </c>
      <c r="L1426">
        <v>178</v>
      </c>
      <c r="M1426" s="24">
        <v>58</v>
      </c>
      <c r="N1426" s="24">
        <v>979</v>
      </c>
      <c r="O1426" s="24">
        <v>84</v>
      </c>
      <c r="P1426" s="24">
        <v>192</v>
      </c>
      <c r="Q1426">
        <v>102</v>
      </c>
      <c r="R1426">
        <v>206</v>
      </c>
      <c r="S1426">
        <v>142</v>
      </c>
      <c r="T1426">
        <v>247</v>
      </c>
      <c r="U1426">
        <v>142</v>
      </c>
      <c r="V1426">
        <v>247</v>
      </c>
    </row>
    <row r="1427" spans="2:22" x14ac:dyDescent="0.35">
      <c r="B1427" s="46" t="s">
        <v>1956</v>
      </c>
      <c r="D1427" t="s">
        <v>1460</v>
      </c>
      <c r="E1427" t="s">
        <v>1937</v>
      </c>
      <c r="F1427" s="46" t="s">
        <v>1956</v>
      </c>
      <c r="G1427" t="s">
        <v>231</v>
      </c>
      <c r="H1427" s="47" t="s">
        <v>393</v>
      </c>
      <c r="I1427" s="47" t="s">
        <v>1938</v>
      </c>
      <c r="J1427" t="s">
        <v>1957</v>
      </c>
      <c r="K1427">
        <v>222</v>
      </c>
      <c r="L1427">
        <v>421</v>
      </c>
      <c r="M1427" s="24">
        <v>149</v>
      </c>
      <c r="N1427" s="24">
        <v>979</v>
      </c>
      <c r="O1427" s="24">
        <v>179</v>
      </c>
      <c r="P1427" s="24">
        <v>344</v>
      </c>
      <c r="Q1427">
        <v>232</v>
      </c>
      <c r="R1427">
        <v>403</v>
      </c>
      <c r="S1427">
        <v>310</v>
      </c>
      <c r="T1427">
        <v>500</v>
      </c>
      <c r="U1427">
        <v>310</v>
      </c>
      <c r="V1427">
        <v>500</v>
      </c>
    </row>
    <row r="1428" spans="2:22" x14ac:dyDescent="0.35">
      <c r="B1428" s="46" t="s">
        <v>1958</v>
      </c>
      <c r="D1428" t="s">
        <v>1460</v>
      </c>
      <c r="E1428" t="s">
        <v>1937</v>
      </c>
      <c r="F1428" s="46" t="s">
        <v>1958</v>
      </c>
      <c r="G1428" t="s">
        <v>231</v>
      </c>
      <c r="H1428" s="47" t="s">
        <v>393</v>
      </c>
      <c r="I1428" s="47" t="s">
        <v>1938</v>
      </c>
      <c r="J1428" t="s">
        <v>1959</v>
      </c>
      <c r="K1428">
        <v>171</v>
      </c>
      <c r="L1428">
        <v>374</v>
      </c>
      <c r="M1428" s="24">
        <v>166</v>
      </c>
      <c r="N1428" s="24">
        <v>979</v>
      </c>
      <c r="O1428" s="24">
        <v>178</v>
      </c>
      <c r="P1428" s="24">
        <v>357</v>
      </c>
      <c r="Q1428">
        <v>215</v>
      </c>
      <c r="R1428">
        <v>395</v>
      </c>
      <c r="S1428">
        <v>302</v>
      </c>
      <c r="T1428">
        <v>557</v>
      </c>
      <c r="U1428">
        <v>302</v>
      </c>
      <c r="V1428">
        <v>557</v>
      </c>
    </row>
    <row r="1429" spans="2:22" x14ac:dyDescent="0.35">
      <c r="B1429" s="46" t="s">
        <v>1960</v>
      </c>
      <c r="D1429" t="s">
        <v>1460</v>
      </c>
      <c r="E1429" t="s">
        <v>1937</v>
      </c>
      <c r="F1429" s="46" t="s">
        <v>1960</v>
      </c>
      <c r="G1429" t="s">
        <v>231</v>
      </c>
      <c r="H1429" s="47" t="s">
        <v>393</v>
      </c>
      <c r="I1429" s="47" t="s">
        <v>1938</v>
      </c>
      <c r="J1429" t="s">
        <v>1961</v>
      </c>
      <c r="K1429">
        <v>211</v>
      </c>
      <c r="L1429">
        <v>413</v>
      </c>
      <c r="M1429" s="24">
        <v>167</v>
      </c>
      <c r="N1429" s="24">
        <v>979</v>
      </c>
      <c r="O1429" s="24">
        <v>209</v>
      </c>
      <c r="P1429" s="24">
        <v>412</v>
      </c>
      <c r="Q1429">
        <v>254</v>
      </c>
      <c r="R1429">
        <v>481</v>
      </c>
      <c r="S1429">
        <v>351</v>
      </c>
      <c r="T1429">
        <v>579</v>
      </c>
      <c r="U1429">
        <v>351</v>
      </c>
      <c r="V1429">
        <v>579</v>
      </c>
    </row>
    <row r="1430" spans="2:22" x14ac:dyDescent="0.35">
      <c r="B1430" s="46" t="s">
        <v>1962</v>
      </c>
      <c r="D1430" t="s">
        <v>1460</v>
      </c>
      <c r="E1430" t="s">
        <v>1937</v>
      </c>
      <c r="F1430" s="46" t="s">
        <v>1962</v>
      </c>
      <c r="G1430" t="s">
        <v>231</v>
      </c>
      <c r="H1430" s="47" t="s">
        <v>393</v>
      </c>
      <c r="I1430" s="47" t="s">
        <v>1938</v>
      </c>
      <c r="J1430" t="s">
        <v>1963</v>
      </c>
      <c r="K1430">
        <v>68</v>
      </c>
      <c r="L1430">
        <v>142</v>
      </c>
      <c r="M1430" s="24">
        <v>69</v>
      </c>
      <c r="N1430" s="24">
        <v>979</v>
      </c>
      <c r="O1430" s="24">
        <v>58</v>
      </c>
      <c r="P1430" s="24">
        <v>141</v>
      </c>
      <c r="Q1430">
        <v>83</v>
      </c>
      <c r="R1430">
        <v>147</v>
      </c>
      <c r="S1430">
        <v>219</v>
      </c>
      <c r="T1430">
        <v>302</v>
      </c>
      <c r="U1430">
        <v>219</v>
      </c>
      <c r="V1430">
        <v>302</v>
      </c>
    </row>
    <row r="1431" spans="2:22" x14ac:dyDescent="0.35">
      <c r="B1431" s="46" t="s">
        <v>1964</v>
      </c>
      <c r="D1431" t="s">
        <v>1460</v>
      </c>
      <c r="E1431" t="s">
        <v>1937</v>
      </c>
      <c r="F1431" s="46" t="s">
        <v>1964</v>
      </c>
      <c r="G1431" t="s">
        <v>231</v>
      </c>
      <c r="H1431" s="47" t="s">
        <v>393</v>
      </c>
      <c r="I1431" s="47" t="s">
        <v>1938</v>
      </c>
      <c r="J1431" t="s">
        <v>949</v>
      </c>
      <c r="K1431">
        <v>205</v>
      </c>
      <c r="L1431">
        <v>376</v>
      </c>
      <c r="M1431" s="24">
        <v>160</v>
      </c>
      <c r="N1431" s="24">
        <v>979</v>
      </c>
      <c r="O1431" s="24">
        <v>166</v>
      </c>
      <c r="P1431" s="24">
        <v>340</v>
      </c>
      <c r="Q1431">
        <v>223</v>
      </c>
      <c r="R1431">
        <v>378</v>
      </c>
      <c r="S1431">
        <v>318</v>
      </c>
      <c r="T1431">
        <v>529</v>
      </c>
      <c r="U1431">
        <v>318</v>
      </c>
      <c r="V1431">
        <v>529</v>
      </c>
    </row>
    <row r="1432" spans="2:22" x14ac:dyDescent="0.35">
      <c r="B1432" s="46" t="s">
        <v>1965</v>
      </c>
      <c r="D1432" t="s">
        <v>1460</v>
      </c>
      <c r="E1432" t="s">
        <v>1937</v>
      </c>
      <c r="F1432" s="46" t="s">
        <v>1965</v>
      </c>
      <c r="G1432" t="s">
        <v>231</v>
      </c>
      <c r="H1432" s="47" t="s">
        <v>393</v>
      </c>
      <c r="I1432" s="47" t="s">
        <v>1938</v>
      </c>
      <c r="J1432" t="s">
        <v>1966</v>
      </c>
      <c r="K1432">
        <v>28</v>
      </c>
      <c r="L1432">
        <v>55</v>
      </c>
      <c r="M1432" s="24">
        <v>22</v>
      </c>
      <c r="N1432" s="24">
        <v>979</v>
      </c>
      <c r="O1432" s="24">
        <v>26</v>
      </c>
      <c r="P1432" s="24">
        <v>54</v>
      </c>
      <c r="Q1432">
        <v>17</v>
      </c>
      <c r="R1432">
        <v>52</v>
      </c>
      <c r="S1432">
        <v>23</v>
      </c>
      <c r="T1432">
        <v>54</v>
      </c>
      <c r="U1432">
        <v>23</v>
      </c>
      <c r="V1432">
        <v>54</v>
      </c>
    </row>
    <row r="1433" spans="2:22" x14ac:dyDescent="0.35">
      <c r="B1433" s="46" t="s">
        <v>1967</v>
      </c>
      <c r="D1433" t="s">
        <v>1460</v>
      </c>
      <c r="E1433" t="s">
        <v>1937</v>
      </c>
      <c r="F1433" s="46" t="s">
        <v>1967</v>
      </c>
      <c r="G1433" t="s">
        <v>231</v>
      </c>
      <c r="H1433" s="47" t="s">
        <v>393</v>
      </c>
      <c r="I1433" s="47" t="s">
        <v>1938</v>
      </c>
      <c r="J1433" t="s">
        <v>760</v>
      </c>
      <c r="K1433">
        <v>1800</v>
      </c>
      <c r="L1433">
        <v>3491</v>
      </c>
      <c r="M1433" s="24">
        <v>1561</v>
      </c>
      <c r="N1433" s="24">
        <v>979</v>
      </c>
      <c r="O1433" s="24">
        <v>1701</v>
      </c>
      <c r="P1433" s="24">
        <v>3507</v>
      </c>
      <c r="Q1433">
        <v>3070</v>
      </c>
      <c r="R1433">
        <v>4698</v>
      </c>
      <c r="S1433">
        <v>3697</v>
      </c>
      <c r="T1433">
        <v>6302</v>
      </c>
      <c r="U1433">
        <v>3697</v>
      </c>
      <c r="V1433">
        <v>6302</v>
      </c>
    </row>
    <row r="1434" spans="2:22" x14ac:dyDescent="0.35">
      <c r="B1434" s="46" t="s">
        <v>1968</v>
      </c>
      <c r="D1434" t="s">
        <v>1460</v>
      </c>
      <c r="E1434" t="s">
        <v>1937</v>
      </c>
      <c r="F1434" s="46" t="s">
        <v>1968</v>
      </c>
      <c r="G1434" t="s">
        <v>231</v>
      </c>
      <c r="H1434" s="47" t="s">
        <v>393</v>
      </c>
      <c r="I1434" s="47" t="s">
        <v>1938</v>
      </c>
      <c r="J1434" t="s">
        <v>1969</v>
      </c>
      <c r="K1434">
        <v>32</v>
      </c>
      <c r="L1434">
        <v>55</v>
      </c>
      <c r="M1434" s="24">
        <v>24</v>
      </c>
      <c r="N1434" s="24">
        <v>979</v>
      </c>
      <c r="O1434" s="24">
        <v>21</v>
      </c>
      <c r="P1434" s="24">
        <v>44</v>
      </c>
      <c r="Q1434">
        <v>25</v>
      </c>
      <c r="R1434">
        <v>54</v>
      </c>
      <c r="S1434">
        <v>40</v>
      </c>
      <c r="T1434">
        <v>91</v>
      </c>
      <c r="U1434">
        <v>40</v>
      </c>
      <c r="V1434">
        <v>91</v>
      </c>
    </row>
    <row r="1435" spans="2:22" x14ac:dyDescent="0.35">
      <c r="B1435" s="46" t="s">
        <v>1970</v>
      </c>
      <c r="D1435" t="s">
        <v>1460</v>
      </c>
      <c r="E1435" t="s">
        <v>1937</v>
      </c>
      <c r="F1435" s="46" t="s">
        <v>1970</v>
      </c>
      <c r="G1435" t="s">
        <v>235</v>
      </c>
      <c r="H1435" s="47" t="s">
        <v>419</v>
      </c>
      <c r="I1435" s="47" t="s">
        <v>1971</v>
      </c>
      <c r="J1435" t="s">
        <v>1972</v>
      </c>
      <c r="K1435">
        <v>40</v>
      </c>
      <c r="L1435">
        <v>70</v>
      </c>
      <c r="M1435" s="24">
        <v>33</v>
      </c>
      <c r="N1435" s="24">
        <v>65</v>
      </c>
      <c r="O1435" s="24">
        <v>31</v>
      </c>
      <c r="P1435" s="24">
        <v>94</v>
      </c>
      <c r="Q1435">
        <v>43</v>
      </c>
      <c r="R1435">
        <v>96</v>
      </c>
      <c r="S1435">
        <v>79</v>
      </c>
      <c r="T1435">
        <v>166</v>
      </c>
      <c r="U1435">
        <v>79</v>
      </c>
      <c r="V1435">
        <v>166</v>
      </c>
    </row>
    <row r="1436" spans="2:22" x14ac:dyDescent="0.35">
      <c r="B1436" s="46" t="s">
        <v>1973</v>
      </c>
      <c r="D1436" t="s">
        <v>1460</v>
      </c>
      <c r="E1436" t="s">
        <v>1937</v>
      </c>
      <c r="F1436" s="46" t="s">
        <v>1973</v>
      </c>
      <c r="G1436" t="s">
        <v>235</v>
      </c>
      <c r="H1436" s="47" t="s">
        <v>419</v>
      </c>
      <c r="I1436" s="47" t="s">
        <v>1971</v>
      </c>
      <c r="J1436" t="s">
        <v>1974</v>
      </c>
      <c r="K1436">
        <v>44</v>
      </c>
      <c r="L1436">
        <v>76</v>
      </c>
      <c r="M1436" s="24">
        <v>52</v>
      </c>
      <c r="N1436" s="24">
        <v>83</v>
      </c>
      <c r="O1436" s="24">
        <v>43</v>
      </c>
      <c r="P1436" s="24">
        <v>73</v>
      </c>
      <c r="Q1436">
        <v>47</v>
      </c>
      <c r="R1436">
        <v>91</v>
      </c>
      <c r="S1436">
        <v>56</v>
      </c>
      <c r="T1436">
        <v>98</v>
      </c>
      <c r="U1436">
        <v>56</v>
      </c>
      <c r="V1436">
        <v>98</v>
      </c>
    </row>
    <row r="1437" spans="2:22" x14ac:dyDescent="0.35">
      <c r="B1437" s="46" t="s">
        <v>1975</v>
      </c>
      <c r="D1437" t="s">
        <v>1460</v>
      </c>
      <c r="E1437" t="s">
        <v>1937</v>
      </c>
      <c r="F1437" s="46" t="s">
        <v>1975</v>
      </c>
      <c r="G1437" t="s">
        <v>235</v>
      </c>
      <c r="H1437" s="47" t="s">
        <v>419</v>
      </c>
      <c r="I1437" s="47" t="s">
        <v>1971</v>
      </c>
      <c r="J1437" t="s">
        <v>1976</v>
      </c>
      <c r="K1437">
        <v>103</v>
      </c>
      <c r="L1437">
        <v>156</v>
      </c>
      <c r="M1437" s="24">
        <v>81</v>
      </c>
      <c r="N1437" s="24">
        <v>146</v>
      </c>
      <c r="O1437" s="24">
        <v>65</v>
      </c>
      <c r="P1437" s="24">
        <v>164</v>
      </c>
      <c r="Q1437">
        <v>76</v>
      </c>
      <c r="R1437">
        <v>168</v>
      </c>
      <c r="S1437">
        <v>108</v>
      </c>
      <c r="T1437">
        <v>208</v>
      </c>
      <c r="U1437">
        <v>108</v>
      </c>
      <c r="V1437">
        <v>208</v>
      </c>
    </row>
    <row r="1438" spans="2:22" x14ac:dyDescent="0.35">
      <c r="B1438" s="46" t="s">
        <v>1977</v>
      </c>
      <c r="D1438" t="s">
        <v>1460</v>
      </c>
      <c r="E1438" t="s">
        <v>1937</v>
      </c>
      <c r="F1438" s="46" t="s">
        <v>1977</v>
      </c>
      <c r="G1438" t="s">
        <v>235</v>
      </c>
      <c r="H1438" s="47" t="s">
        <v>419</v>
      </c>
      <c r="I1438" s="47" t="s">
        <v>1971</v>
      </c>
      <c r="J1438" t="s">
        <v>1978</v>
      </c>
      <c r="K1438">
        <v>149</v>
      </c>
      <c r="L1438">
        <v>269</v>
      </c>
      <c r="M1438" s="24">
        <v>108</v>
      </c>
      <c r="N1438" s="24">
        <v>237</v>
      </c>
      <c r="O1438" s="24">
        <v>103</v>
      </c>
      <c r="P1438" s="24">
        <v>232</v>
      </c>
      <c r="Q1438">
        <v>119</v>
      </c>
      <c r="R1438">
        <v>263</v>
      </c>
      <c r="S1438">
        <v>217</v>
      </c>
      <c r="T1438">
        <v>376</v>
      </c>
      <c r="U1438">
        <v>217</v>
      </c>
      <c r="V1438">
        <v>376</v>
      </c>
    </row>
    <row r="1439" spans="2:22" x14ac:dyDescent="0.35">
      <c r="B1439" s="46" t="s">
        <v>1979</v>
      </c>
      <c r="D1439" t="s">
        <v>1460</v>
      </c>
      <c r="E1439" t="s">
        <v>1937</v>
      </c>
      <c r="F1439" s="46" t="s">
        <v>1979</v>
      </c>
      <c r="G1439" t="s">
        <v>235</v>
      </c>
      <c r="H1439" s="47" t="s">
        <v>419</v>
      </c>
      <c r="I1439" s="47" t="s">
        <v>1971</v>
      </c>
      <c r="J1439" t="s">
        <v>1980</v>
      </c>
      <c r="K1439">
        <v>104</v>
      </c>
      <c r="L1439">
        <v>178</v>
      </c>
      <c r="M1439" s="24">
        <v>101</v>
      </c>
      <c r="N1439" s="24">
        <v>166</v>
      </c>
      <c r="O1439" s="24">
        <v>79</v>
      </c>
      <c r="P1439" s="24">
        <v>166</v>
      </c>
      <c r="Q1439">
        <v>110</v>
      </c>
      <c r="R1439">
        <v>199</v>
      </c>
      <c r="S1439">
        <v>145</v>
      </c>
      <c r="T1439">
        <v>273</v>
      </c>
      <c r="U1439">
        <v>145</v>
      </c>
      <c r="V1439">
        <v>273</v>
      </c>
    </row>
    <row r="1440" spans="2:22" x14ac:dyDescent="0.35">
      <c r="B1440" s="46" t="s">
        <v>1981</v>
      </c>
      <c r="D1440" t="s">
        <v>1460</v>
      </c>
      <c r="E1440" t="s">
        <v>1937</v>
      </c>
      <c r="F1440" s="46" t="s">
        <v>1981</v>
      </c>
      <c r="G1440" t="s">
        <v>235</v>
      </c>
      <c r="H1440" s="47" t="s">
        <v>419</v>
      </c>
      <c r="I1440" s="47" t="s">
        <v>1971</v>
      </c>
      <c r="J1440" t="s">
        <v>1982</v>
      </c>
      <c r="K1440">
        <v>53</v>
      </c>
      <c r="L1440">
        <v>106</v>
      </c>
      <c r="M1440" s="24">
        <v>34</v>
      </c>
      <c r="N1440" s="24">
        <v>107</v>
      </c>
      <c r="O1440" s="24">
        <v>35</v>
      </c>
      <c r="P1440" s="24">
        <v>82</v>
      </c>
      <c r="Q1440">
        <v>33</v>
      </c>
      <c r="R1440">
        <v>82</v>
      </c>
      <c r="S1440">
        <v>53</v>
      </c>
      <c r="T1440">
        <v>121</v>
      </c>
      <c r="U1440">
        <v>53</v>
      </c>
      <c r="V1440">
        <v>121</v>
      </c>
    </row>
    <row r="1441" spans="2:22" x14ac:dyDescent="0.35">
      <c r="B1441" s="46" t="s">
        <v>1983</v>
      </c>
      <c r="D1441" t="s">
        <v>1460</v>
      </c>
      <c r="E1441" t="s">
        <v>1937</v>
      </c>
      <c r="F1441" s="46" t="s">
        <v>1983</v>
      </c>
      <c r="G1441" t="s">
        <v>235</v>
      </c>
      <c r="H1441" s="47" t="s">
        <v>419</v>
      </c>
      <c r="I1441" s="47" t="s">
        <v>1971</v>
      </c>
      <c r="J1441" t="s">
        <v>1984</v>
      </c>
      <c r="K1441">
        <v>117</v>
      </c>
      <c r="L1441">
        <v>262</v>
      </c>
      <c r="M1441" s="24">
        <v>99</v>
      </c>
      <c r="N1441" s="24">
        <v>224</v>
      </c>
      <c r="O1441" s="24">
        <v>114</v>
      </c>
      <c r="P1441" s="24">
        <v>254</v>
      </c>
      <c r="Q1441">
        <v>103</v>
      </c>
      <c r="R1441">
        <v>271</v>
      </c>
      <c r="S1441">
        <v>184</v>
      </c>
      <c r="T1441">
        <v>367</v>
      </c>
      <c r="U1441">
        <v>184</v>
      </c>
      <c r="V1441">
        <v>367</v>
      </c>
    </row>
    <row r="1442" spans="2:22" x14ac:dyDescent="0.35">
      <c r="B1442" s="46" t="s">
        <v>1985</v>
      </c>
      <c r="D1442" t="s">
        <v>1460</v>
      </c>
      <c r="E1442" t="s">
        <v>1937</v>
      </c>
      <c r="F1442" s="46" t="s">
        <v>1985</v>
      </c>
      <c r="G1442" t="s">
        <v>235</v>
      </c>
      <c r="H1442" s="47" t="s">
        <v>419</v>
      </c>
      <c r="I1442" s="47" t="s">
        <v>1971</v>
      </c>
      <c r="J1442" t="s">
        <v>1986</v>
      </c>
      <c r="K1442">
        <v>280</v>
      </c>
      <c r="L1442">
        <v>491</v>
      </c>
      <c r="M1442" s="24">
        <v>223</v>
      </c>
      <c r="N1442" s="24">
        <v>463</v>
      </c>
      <c r="O1442" s="24">
        <v>243</v>
      </c>
      <c r="P1442" s="24">
        <v>495</v>
      </c>
      <c r="Q1442">
        <v>271</v>
      </c>
      <c r="R1442">
        <v>537</v>
      </c>
      <c r="S1442">
        <v>415</v>
      </c>
      <c r="T1442">
        <v>684</v>
      </c>
      <c r="U1442">
        <v>415</v>
      </c>
      <c r="V1442">
        <v>684</v>
      </c>
    </row>
    <row r="1443" spans="2:22" x14ac:dyDescent="0.35">
      <c r="B1443" s="46" t="s">
        <v>1987</v>
      </c>
      <c r="D1443" t="s">
        <v>1460</v>
      </c>
      <c r="E1443" t="s">
        <v>1937</v>
      </c>
      <c r="F1443" s="46" t="s">
        <v>1987</v>
      </c>
      <c r="G1443" t="s">
        <v>235</v>
      </c>
      <c r="H1443" s="47" t="s">
        <v>419</v>
      </c>
      <c r="I1443" s="47" t="s">
        <v>1971</v>
      </c>
      <c r="J1443" t="s">
        <v>1988</v>
      </c>
      <c r="K1443">
        <v>76</v>
      </c>
      <c r="L1443">
        <v>138</v>
      </c>
      <c r="M1443" s="24">
        <v>73</v>
      </c>
      <c r="N1443" s="24">
        <v>130</v>
      </c>
      <c r="O1443" s="24">
        <v>61</v>
      </c>
      <c r="P1443" s="24">
        <v>115</v>
      </c>
      <c r="Q1443">
        <v>48</v>
      </c>
      <c r="R1443">
        <v>103</v>
      </c>
      <c r="S1443">
        <v>101</v>
      </c>
      <c r="T1443">
        <v>185</v>
      </c>
      <c r="U1443">
        <v>101</v>
      </c>
      <c r="V1443">
        <v>185</v>
      </c>
    </row>
    <row r="1444" spans="2:22" x14ac:dyDescent="0.35">
      <c r="B1444" s="46" t="s">
        <v>1989</v>
      </c>
      <c r="D1444" t="s">
        <v>1460</v>
      </c>
      <c r="E1444" t="s">
        <v>1937</v>
      </c>
      <c r="F1444" s="46" t="s">
        <v>1989</v>
      </c>
      <c r="G1444" t="s">
        <v>235</v>
      </c>
      <c r="H1444" s="47" t="s">
        <v>419</v>
      </c>
      <c r="I1444" s="47" t="s">
        <v>1971</v>
      </c>
      <c r="J1444" t="s">
        <v>1990</v>
      </c>
      <c r="K1444">
        <v>241</v>
      </c>
      <c r="L1444">
        <v>504</v>
      </c>
      <c r="M1444" s="24">
        <v>199</v>
      </c>
      <c r="N1444" s="24">
        <v>454</v>
      </c>
      <c r="O1444" s="24">
        <v>249</v>
      </c>
      <c r="P1444" s="24">
        <v>473</v>
      </c>
      <c r="Q1444">
        <v>358</v>
      </c>
      <c r="R1444">
        <v>622</v>
      </c>
      <c r="S1444">
        <v>662</v>
      </c>
      <c r="T1444">
        <v>987</v>
      </c>
      <c r="U1444">
        <v>662</v>
      </c>
      <c r="V1444">
        <v>987</v>
      </c>
    </row>
    <row r="1445" spans="2:22" x14ac:dyDescent="0.35">
      <c r="B1445" s="46" t="s">
        <v>1991</v>
      </c>
      <c r="D1445" t="s">
        <v>1460</v>
      </c>
      <c r="E1445" t="s">
        <v>1937</v>
      </c>
      <c r="F1445" s="46" t="s">
        <v>1991</v>
      </c>
      <c r="G1445" t="s">
        <v>235</v>
      </c>
      <c r="H1445" s="47" t="s">
        <v>419</v>
      </c>
      <c r="I1445" s="47" t="s">
        <v>1971</v>
      </c>
      <c r="J1445" t="s">
        <v>941</v>
      </c>
      <c r="K1445">
        <v>54</v>
      </c>
      <c r="L1445">
        <v>100</v>
      </c>
      <c r="M1445" s="24">
        <v>50</v>
      </c>
      <c r="N1445" s="24">
        <v>96</v>
      </c>
      <c r="O1445" s="24">
        <v>60</v>
      </c>
      <c r="P1445" s="24">
        <v>110</v>
      </c>
      <c r="Q1445">
        <v>59</v>
      </c>
      <c r="R1445">
        <v>116</v>
      </c>
      <c r="S1445">
        <v>107</v>
      </c>
      <c r="T1445">
        <v>188</v>
      </c>
      <c r="U1445">
        <v>107</v>
      </c>
      <c r="V1445">
        <v>188</v>
      </c>
    </row>
    <row r="1446" spans="2:22" x14ac:dyDescent="0.35">
      <c r="B1446" s="46" t="s">
        <v>1992</v>
      </c>
      <c r="D1446" t="s">
        <v>1460</v>
      </c>
      <c r="E1446" t="s">
        <v>1937</v>
      </c>
      <c r="F1446" s="46" t="s">
        <v>1992</v>
      </c>
      <c r="G1446" t="s">
        <v>235</v>
      </c>
      <c r="H1446" s="47" t="s">
        <v>419</v>
      </c>
      <c r="I1446" s="47" t="s">
        <v>1971</v>
      </c>
      <c r="J1446" t="s">
        <v>1993</v>
      </c>
      <c r="K1446">
        <v>80</v>
      </c>
      <c r="L1446">
        <v>137</v>
      </c>
      <c r="M1446" s="24">
        <v>75</v>
      </c>
      <c r="N1446" s="24">
        <v>136</v>
      </c>
      <c r="O1446" s="24">
        <v>71</v>
      </c>
      <c r="P1446" s="24">
        <v>137</v>
      </c>
      <c r="Q1446">
        <v>89</v>
      </c>
      <c r="R1446">
        <v>151</v>
      </c>
      <c r="S1446">
        <v>220</v>
      </c>
      <c r="T1446">
        <v>339</v>
      </c>
      <c r="U1446">
        <v>220</v>
      </c>
      <c r="V1446">
        <v>339</v>
      </c>
    </row>
    <row r="1447" spans="2:22" x14ac:dyDescent="0.35">
      <c r="B1447" s="46" t="s">
        <v>1994</v>
      </c>
      <c r="D1447" t="s">
        <v>1460</v>
      </c>
      <c r="E1447" t="s">
        <v>1937</v>
      </c>
      <c r="F1447" s="46" t="s">
        <v>1994</v>
      </c>
      <c r="G1447" t="s">
        <v>235</v>
      </c>
      <c r="H1447" s="47" t="s">
        <v>419</v>
      </c>
      <c r="I1447" s="47" t="s">
        <v>1971</v>
      </c>
      <c r="J1447" t="s">
        <v>1995</v>
      </c>
      <c r="K1447">
        <v>55</v>
      </c>
      <c r="L1447">
        <v>157</v>
      </c>
      <c r="M1447" s="24">
        <v>49</v>
      </c>
      <c r="N1447" s="24">
        <v>135</v>
      </c>
      <c r="O1447" s="24">
        <v>43</v>
      </c>
      <c r="P1447" s="24">
        <v>111</v>
      </c>
      <c r="Q1447">
        <v>34</v>
      </c>
      <c r="R1447">
        <v>100</v>
      </c>
      <c r="S1447">
        <v>62</v>
      </c>
      <c r="T1447">
        <v>153</v>
      </c>
      <c r="U1447">
        <v>62</v>
      </c>
      <c r="V1447">
        <v>153</v>
      </c>
    </row>
    <row r="1448" spans="2:22" x14ac:dyDescent="0.35">
      <c r="B1448" s="46" t="s">
        <v>1996</v>
      </c>
      <c r="D1448" t="s">
        <v>1460</v>
      </c>
      <c r="E1448" t="s">
        <v>1937</v>
      </c>
      <c r="F1448" s="46" t="s">
        <v>1996</v>
      </c>
      <c r="G1448" t="s">
        <v>235</v>
      </c>
      <c r="H1448" s="47" t="s">
        <v>419</v>
      </c>
      <c r="I1448" s="47" t="s">
        <v>1971</v>
      </c>
      <c r="J1448" t="s">
        <v>1997</v>
      </c>
      <c r="K1448">
        <v>61</v>
      </c>
      <c r="L1448">
        <v>143</v>
      </c>
      <c r="M1448" s="24">
        <v>48</v>
      </c>
      <c r="N1448" s="24">
        <v>124</v>
      </c>
      <c r="O1448" s="24">
        <v>41</v>
      </c>
      <c r="P1448" s="24">
        <v>133</v>
      </c>
      <c r="Q1448">
        <v>54</v>
      </c>
      <c r="R1448">
        <v>156</v>
      </c>
      <c r="S1448">
        <v>94</v>
      </c>
      <c r="T1448">
        <v>217</v>
      </c>
      <c r="U1448">
        <v>94</v>
      </c>
      <c r="V1448">
        <v>217</v>
      </c>
    </row>
    <row r="1449" spans="2:22" x14ac:dyDescent="0.35">
      <c r="B1449" s="46" t="s">
        <v>1998</v>
      </c>
      <c r="D1449" t="s">
        <v>1460</v>
      </c>
      <c r="E1449" t="s">
        <v>1937</v>
      </c>
      <c r="F1449" s="46" t="s">
        <v>1998</v>
      </c>
      <c r="G1449" t="s">
        <v>235</v>
      </c>
      <c r="H1449" s="47" t="s">
        <v>419</v>
      </c>
      <c r="I1449" s="47" t="s">
        <v>1971</v>
      </c>
      <c r="J1449" t="s">
        <v>1999</v>
      </c>
      <c r="K1449">
        <v>277</v>
      </c>
      <c r="L1449">
        <v>513</v>
      </c>
      <c r="M1449" s="24">
        <v>246</v>
      </c>
      <c r="N1449" s="24">
        <v>490</v>
      </c>
      <c r="O1449" s="24">
        <v>204</v>
      </c>
      <c r="P1449" s="24">
        <v>469</v>
      </c>
      <c r="Q1449">
        <v>282</v>
      </c>
      <c r="R1449">
        <v>539</v>
      </c>
      <c r="S1449">
        <v>462</v>
      </c>
      <c r="T1449">
        <v>784</v>
      </c>
      <c r="U1449">
        <v>462</v>
      </c>
      <c r="V1449">
        <v>784</v>
      </c>
    </row>
    <row r="1450" spans="2:22" x14ac:dyDescent="0.35">
      <c r="B1450" s="46" t="s">
        <v>2000</v>
      </c>
      <c r="D1450" t="s">
        <v>1460</v>
      </c>
      <c r="E1450" t="s">
        <v>1937</v>
      </c>
      <c r="F1450" s="46" t="s">
        <v>2000</v>
      </c>
      <c r="G1450" t="s">
        <v>235</v>
      </c>
      <c r="H1450" s="47" t="s">
        <v>419</v>
      </c>
      <c r="I1450" s="47" t="s">
        <v>1971</v>
      </c>
      <c r="J1450" t="s">
        <v>2001</v>
      </c>
      <c r="K1450">
        <v>62</v>
      </c>
      <c r="L1450">
        <v>98</v>
      </c>
      <c r="M1450" s="24">
        <v>53</v>
      </c>
      <c r="N1450" s="24">
        <v>109</v>
      </c>
      <c r="O1450" s="24">
        <v>56</v>
      </c>
      <c r="P1450" s="24">
        <v>97</v>
      </c>
      <c r="Q1450">
        <v>59</v>
      </c>
      <c r="R1450">
        <v>108</v>
      </c>
      <c r="S1450">
        <v>144</v>
      </c>
      <c r="T1450">
        <v>202</v>
      </c>
      <c r="U1450">
        <v>144</v>
      </c>
      <c r="V1450">
        <v>202</v>
      </c>
    </row>
    <row r="1451" spans="2:22" x14ac:dyDescent="0.35">
      <c r="B1451" s="46" t="s">
        <v>2002</v>
      </c>
      <c r="D1451" t="s">
        <v>1460</v>
      </c>
      <c r="E1451" t="s">
        <v>1937</v>
      </c>
      <c r="F1451" s="46" t="s">
        <v>2002</v>
      </c>
      <c r="G1451" t="s">
        <v>235</v>
      </c>
      <c r="H1451" s="47" t="s">
        <v>419</v>
      </c>
      <c r="I1451" s="47" t="s">
        <v>1971</v>
      </c>
      <c r="J1451" t="s">
        <v>1556</v>
      </c>
      <c r="K1451">
        <v>225</v>
      </c>
      <c r="L1451">
        <v>401</v>
      </c>
      <c r="M1451" s="24">
        <v>171</v>
      </c>
      <c r="N1451" s="24">
        <v>379</v>
      </c>
      <c r="O1451" s="24">
        <v>215</v>
      </c>
      <c r="P1451" s="24">
        <v>415</v>
      </c>
      <c r="Q1451">
        <v>293</v>
      </c>
      <c r="R1451">
        <v>471</v>
      </c>
      <c r="S1451">
        <v>461</v>
      </c>
      <c r="T1451">
        <v>725</v>
      </c>
      <c r="U1451">
        <v>461</v>
      </c>
      <c r="V1451">
        <v>725</v>
      </c>
    </row>
    <row r="1452" spans="2:22" x14ac:dyDescent="0.35">
      <c r="B1452" s="46" t="s">
        <v>2003</v>
      </c>
      <c r="D1452" t="s">
        <v>1460</v>
      </c>
      <c r="E1452" t="s">
        <v>1937</v>
      </c>
      <c r="F1452" s="46" t="s">
        <v>2003</v>
      </c>
      <c r="G1452" t="s">
        <v>235</v>
      </c>
      <c r="H1452" s="47" t="s">
        <v>419</v>
      </c>
      <c r="I1452" s="47" t="s">
        <v>1971</v>
      </c>
      <c r="J1452" t="s">
        <v>2004</v>
      </c>
      <c r="K1452">
        <v>154</v>
      </c>
      <c r="L1452">
        <v>269</v>
      </c>
      <c r="M1452" s="24">
        <v>113</v>
      </c>
      <c r="N1452" s="24">
        <v>228</v>
      </c>
      <c r="O1452" s="24">
        <v>112</v>
      </c>
      <c r="P1452" s="24">
        <v>236</v>
      </c>
      <c r="Q1452">
        <v>220</v>
      </c>
      <c r="R1452">
        <v>328</v>
      </c>
      <c r="S1452">
        <v>429</v>
      </c>
      <c r="T1452">
        <v>595</v>
      </c>
      <c r="U1452">
        <v>429</v>
      </c>
      <c r="V1452">
        <v>595</v>
      </c>
    </row>
    <row r="1453" spans="2:22" x14ac:dyDescent="0.35">
      <c r="B1453" s="46" t="s">
        <v>2005</v>
      </c>
      <c r="D1453" t="s">
        <v>1460</v>
      </c>
      <c r="E1453" t="s">
        <v>1937</v>
      </c>
      <c r="F1453" s="46" t="s">
        <v>2005</v>
      </c>
      <c r="G1453" t="s">
        <v>235</v>
      </c>
      <c r="H1453" s="47" t="s">
        <v>419</v>
      </c>
      <c r="I1453" s="47" t="s">
        <v>1971</v>
      </c>
      <c r="J1453" t="s">
        <v>2006</v>
      </c>
      <c r="K1453">
        <v>36</v>
      </c>
      <c r="L1453">
        <v>86</v>
      </c>
      <c r="M1453" s="24">
        <v>40</v>
      </c>
      <c r="N1453" s="24">
        <v>88</v>
      </c>
      <c r="O1453" s="24">
        <v>38</v>
      </c>
      <c r="P1453" s="24">
        <v>110</v>
      </c>
      <c r="Q1453">
        <v>28</v>
      </c>
      <c r="R1453">
        <v>105</v>
      </c>
      <c r="S1453">
        <v>48</v>
      </c>
      <c r="T1453">
        <v>116</v>
      </c>
      <c r="U1453">
        <v>48</v>
      </c>
      <c r="V1453">
        <v>116</v>
      </c>
    </row>
    <row r="1454" spans="2:22" x14ac:dyDescent="0.35">
      <c r="B1454" s="46" t="s">
        <v>2007</v>
      </c>
      <c r="D1454" t="s">
        <v>1460</v>
      </c>
      <c r="E1454" t="s">
        <v>1937</v>
      </c>
      <c r="F1454" s="46" t="s">
        <v>2007</v>
      </c>
      <c r="G1454" t="s">
        <v>235</v>
      </c>
      <c r="H1454" s="47" t="s">
        <v>419</v>
      </c>
      <c r="I1454" s="47" t="s">
        <v>1971</v>
      </c>
      <c r="J1454" t="s">
        <v>2008</v>
      </c>
      <c r="K1454">
        <v>166</v>
      </c>
      <c r="L1454">
        <v>273</v>
      </c>
      <c r="M1454" s="24">
        <v>130</v>
      </c>
      <c r="N1454" s="24">
        <v>255</v>
      </c>
      <c r="O1454" s="24">
        <v>122</v>
      </c>
      <c r="P1454" s="24">
        <v>258</v>
      </c>
      <c r="Q1454">
        <v>119</v>
      </c>
      <c r="R1454">
        <v>264</v>
      </c>
      <c r="S1454">
        <v>184</v>
      </c>
      <c r="T1454">
        <v>313</v>
      </c>
      <c r="U1454">
        <v>184</v>
      </c>
      <c r="V1454">
        <v>313</v>
      </c>
    </row>
    <row r="1455" spans="2:22" x14ac:dyDescent="0.35">
      <c r="B1455" s="46" t="s">
        <v>2009</v>
      </c>
      <c r="D1455" t="s">
        <v>1460</v>
      </c>
      <c r="E1455" t="s">
        <v>1937</v>
      </c>
      <c r="F1455" s="46" t="s">
        <v>2009</v>
      </c>
      <c r="G1455" t="s">
        <v>235</v>
      </c>
      <c r="H1455" s="47" t="s">
        <v>419</v>
      </c>
      <c r="I1455" s="47" t="s">
        <v>1971</v>
      </c>
      <c r="J1455" t="s">
        <v>2010</v>
      </c>
      <c r="K1455">
        <v>1679</v>
      </c>
      <c r="L1455">
        <v>2613</v>
      </c>
      <c r="M1455" s="24">
        <v>1540</v>
      </c>
      <c r="N1455" s="24">
        <v>2627</v>
      </c>
      <c r="O1455" s="24">
        <v>1259</v>
      </c>
      <c r="P1455" s="24">
        <v>2503</v>
      </c>
      <c r="Q1455">
        <v>1314</v>
      </c>
      <c r="R1455">
        <v>2546</v>
      </c>
      <c r="S1455">
        <v>2599</v>
      </c>
      <c r="T1455">
        <v>4075</v>
      </c>
      <c r="U1455">
        <v>2599</v>
      </c>
      <c r="V1455">
        <v>4075</v>
      </c>
    </row>
    <row r="1456" spans="2:22" x14ac:dyDescent="0.35">
      <c r="B1456" s="46" t="s">
        <v>2011</v>
      </c>
      <c r="D1456" t="s">
        <v>1460</v>
      </c>
      <c r="E1456" t="s">
        <v>1937</v>
      </c>
      <c r="F1456" s="46" t="s">
        <v>2011</v>
      </c>
      <c r="G1456" t="s">
        <v>235</v>
      </c>
      <c r="H1456" s="47" t="s">
        <v>419</v>
      </c>
      <c r="I1456" s="47" t="s">
        <v>1971</v>
      </c>
      <c r="J1456" t="s">
        <v>2012</v>
      </c>
      <c r="K1456">
        <v>1945</v>
      </c>
      <c r="L1456">
        <v>3500</v>
      </c>
      <c r="M1456" s="24">
        <v>1707</v>
      </c>
      <c r="N1456" s="24">
        <v>3574</v>
      </c>
      <c r="O1456" s="24">
        <v>1218</v>
      </c>
      <c r="P1456" s="24">
        <v>3353</v>
      </c>
      <c r="Q1456">
        <v>1146</v>
      </c>
      <c r="R1456">
        <v>3026</v>
      </c>
      <c r="S1456">
        <v>2202</v>
      </c>
      <c r="T1456">
        <v>4373</v>
      </c>
      <c r="U1456">
        <v>2202</v>
      </c>
      <c r="V1456">
        <v>4373</v>
      </c>
    </row>
    <row r="1457" spans="2:22" x14ac:dyDescent="0.35">
      <c r="B1457" s="46" t="s">
        <v>2013</v>
      </c>
      <c r="D1457" t="s">
        <v>1460</v>
      </c>
      <c r="E1457" t="s">
        <v>1937</v>
      </c>
      <c r="F1457" s="46" t="s">
        <v>2013</v>
      </c>
      <c r="G1457" t="s">
        <v>235</v>
      </c>
      <c r="H1457" s="47" t="s">
        <v>419</v>
      </c>
      <c r="I1457" s="47" t="s">
        <v>1971</v>
      </c>
      <c r="J1457" t="s">
        <v>2014</v>
      </c>
      <c r="K1457">
        <v>0</v>
      </c>
      <c r="L1457">
        <v>0</v>
      </c>
      <c r="M1457" s="24">
        <v>0</v>
      </c>
      <c r="N1457" s="24">
        <v>12</v>
      </c>
      <c r="O1457" s="24">
        <v>0</v>
      </c>
      <c r="P1457" s="24">
        <v>15</v>
      </c>
      <c r="Q1457">
        <v>0</v>
      </c>
      <c r="R1457">
        <v>12</v>
      </c>
      <c r="S1457">
        <v>11</v>
      </c>
      <c r="T1457">
        <v>29</v>
      </c>
      <c r="U1457">
        <v>11</v>
      </c>
      <c r="V1457">
        <v>29</v>
      </c>
    </row>
    <row r="1458" spans="2:22" x14ac:dyDescent="0.35">
      <c r="B1458" s="46" t="s">
        <v>2015</v>
      </c>
      <c r="D1458" t="s">
        <v>1460</v>
      </c>
      <c r="E1458" t="s">
        <v>1937</v>
      </c>
      <c r="F1458" s="46" t="s">
        <v>2015</v>
      </c>
      <c r="G1458" t="s">
        <v>235</v>
      </c>
      <c r="H1458" s="47" t="s">
        <v>419</v>
      </c>
      <c r="I1458" s="47" t="s">
        <v>1971</v>
      </c>
      <c r="J1458" t="s">
        <v>2016</v>
      </c>
      <c r="K1458">
        <v>59</v>
      </c>
      <c r="L1458">
        <v>0</v>
      </c>
      <c r="M1458" s="24">
        <v>35</v>
      </c>
      <c r="N1458" s="24">
        <v>100</v>
      </c>
      <c r="O1458" s="24">
        <v>42</v>
      </c>
      <c r="P1458" s="24">
        <v>96</v>
      </c>
      <c r="Q1458">
        <v>44</v>
      </c>
      <c r="R1458">
        <v>96</v>
      </c>
      <c r="S1458">
        <v>62</v>
      </c>
      <c r="T1458">
        <v>113</v>
      </c>
      <c r="U1458">
        <v>62</v>
      </c>
      <c r="V1458">
        <v>113</v>
      </c>
    </row>
    <row r="1459" spans="2:22" x14ac:dyDescent="0.35">
      <c r="B1459" s="46" t="s">
        <v>2017</v>
      </c>
      <c r="D1459" t="s">
        <v>1460</v>
      </c>
      <c r="E1459" t="s">
        <v>1937</v>
      </c>
      <c r="F1459" s="46" t="s">
        <v>2017</v>
      </c>
      <c r="G1459" t="s">
        <v>235</v>
      </c>
      <c r="H1459" s="47" t="s">
        <v>419</v>
      </c>
      <c r="I1459" s="47" t="s">
        <v>1971</v>
      </c>
      <c r="J1459" t="s">
        <v>2018</v>
      </c>
      <c r="K1459">
        <v>176</v>
      </c>
      <c r="L1459">
        <v>0</v>
      </c>
      <c r="M1459" s="24">
        <v>165</v>
      </c>
      <c r="N1459" s="24">
        <v>272</v>
      </c>
      <c r="O1459" s="24">
        <v>153</v>
      </c>
      <c r="P1459" s="24">
        <v>326</v>
      </c>
      <c r="Q1459">
        <v>209</v>
      </c>
      <c r="R1459">
        <v>383</v>
      </c>
      <c r="S1459">
        <v>313</v>
      </c>
      <c r="T1459">
        <v>520</v>
      </c>
      <c r="U1459">
        <v>313</v>
      </c>
      <c r="V1459">
        <v>520</v>
      </c>
    </row>
    <row r="1460" spans="2:22" x14ac:dyDescent="0.35">
      <c r="B1460" s="46" t="s">
        <v>2019</v>
      </c>
      <c r="D1460" t="s">
        <v>1460</v>
      </c>
      <c r="E1460" t="s">
        <v>1937</v>
      </c>
      <c r="F1460" s="46" t="s">
        <v>2019</v>
      </c>
      <c r="G1460" t="s">
        <v>235</v>
      </c>
      <c r="H1460" s="47" t="s">
        <v>419</v>
      </c>
      <c r="I1460" s="47" t="s">
        <v>1971</v>
      </c>
      <c r="J1460" t="s">
        <v>971</v>
      </c>
      <c r="K1460">
        <v>84</v>
      </c>
      <c r="L1460">
        <v>186</v>
      </c>
      <c r="M1460" s="24">
        <v>73</v>
      </c>
      <c r="N1460" s="24">
        <v>191</v>
      </c>
      <c r="O1460" s="24">
        <v>57</v>
      </c>
      <c r="P1460" s="24">
        <v>173</v>
      </c>
      <c r="Q1460">
        <v>63</v>
      </c>
      <c r="R1460">
        <v>159</v>
      </c>
      <c r="S1460">
        <v>116</v>
      </c>
      <c r="T1460">
        <v>243</v>
      </c>
      <c r="U1460">
        <v>116</v>
      </c>
      <c r="V1460">
        <v>243</v>
      </c>
    </row>
    <row r="1461" spans="2:22" x14ac:dyDescent="0.35">
      <c r="B1461" s="46" t="s">
        <v>2020</v>
      </c>
      <c r="D1461" t="s">
        <v>1460</v>
      </c>
      <c r="E1461" t="s">
        <v>1937</v>
      </c>
      <c r="F1461" s="46" t="s">
        <v>2020</v>
      </c>
      <c r="G1461" t="s">
        <v>239</v>
      </c>
      <c r="H1461" s="47" t="s">
        <v>450</v>
      </c>
      <c r="I1461" s="47" t="s">
        <v>2021</v>
      </c>
      <c r="J1461" t="s">
        <v>2022</v>
      </c>
      <c r="K1461">
        <v>1718</v>
      </c>
      <c r="L1461">
        <v>2872</v>
      </c>
      <c r="M1461" s="24">
        <v>1556</v>
      </c>
      <c r="N1461" s="24">
        <v>2647</v>
      </c>
      <c r="O1461" s="24">
        <v>1347</v>
      </c>
      <c r="P1461" s="24">
        <v>2412</v>
      </c>
      <c r="Q1461">
        <v>1709</v>
      </c>
      <c r="R1461">
        <v>2935</v>
      </c>
      <c r="S1461">
        <v>2783</v>
      </c>
      <c r="T1461">
        <v>4829</v>
      </c>
      <c r="U1461">
        <v>2783</v>
      </c>
      <c r="V1461">
        <v>4829</v>
      </c>
    </row>
    <row r="1462" spans="2:22" x14ac:dyDescent="0.35">
      <c r="B1462" s="46" t="s">
        <v>2023</v>
      </c>
      <c r="D1462" t="s">
        <v>1460</v>
      </c>
      <c r="E1462" t="s">
        <v>1937</v>
      </c>
      <c r="F1462" s="46" t="s">
        <v>2023</v>
      </c>
      <c r="G1462" t="s">
        <v>239</v>
      </c>
      <c r="H1462" s="47" t="s">
        <v>450</v>
      </c>
      <c r="I1462" s="47" t="s">
        <v>2021</v>
      </c>
      <c r="J1462" t="s">
        <v>2024</v>
      </c>
      <c r="K1462">
        <v>448</v>
      </c>
      <c r="L1462">
        <v>615</v>
      </c>
      <c r="M1462" s="24">
        <v>421</v>
      </c>
      <c r="N1462" s="24">
        <v>577</v>
      </c>
      <c r="O1462" s="24">
        <v>362</v>
      </c>
      <c r="P1462" s="24">
        <v>545</v>
      </c>
      <c r="Q1462">
        <v>380</v>
      </c>
      <c r="R1462">
        <v>614</v>
      </c>
      <c r="S1462">
        <v>509</v>
      </c>
      <c r="T1462">
        <v>872</v>
      </c>
      <c r="U1462">
        <v>509</v>
      </c>
      <c r="V1462">
        <v>872</v>
      </c>
    </row>
    <row r="1463" spans="2:22" x14ac:dyDescent="0.35">
      <c r="B1463" s="46" t="s">
        <v>2025</v>
      </c>
      <c r="D1463" t="s">
        <v>1460</v>
      </c>
      <c r="E1463" t="s">
        <v>1937</v>
      </c>
      <c r="F1463" s="46" t="s">
        <v>2025</v>
      </c>
      <c r="G1463" t="s">
        <v>239</v>
      </c>
      <c r="H1463" s="47" t="s">
        <v>450</v>
      </c>
      <c r="I1463" s="47" t="s">
        <v>2021</v>
      </c>
      <c r="J1463" t="s">
        <v>2026</v>
      </c>
      <c r="K1463">
        <v>1219</v>
      </c>
      <c r="L1463">
        <v>1636</v>
      </c>
      <c r="M1463" s="24">
        <v>1079</v>
      </c>
      <c r="N1463" s="24">
        <v>1501</v>
      </c>
      <c r="O1463" s="24">
        <v>1018</v>
      </c>
      <c r="P1463" s="24">
        <v>1528</v>
      </c>
      <c r="Q1463">
        <v>997</v>
      </c>
      <c r="R1463">
        <v>1722</v>
      </c>
      <c r="S1463">
        <v>1272</v>
      </c>
      <c r="T1463">
        <v>2472</v>
      </c>
      <c r="U1463">
        <v>1272</v>
      </c>
      <c r="V1463">
        <v>2472</v>
      </c>
    </row>
    <row r="1464" spans="2:22" x14ac:dyDescent="0.35">
      <c r="B1464" s="46" t="s">
        <v>2027</v>
      </c>
      <c r="D1464" t="s">
        <v>1460</v>
      </c>
      <c r="E1464" t="s">
        <v>1937</v>
      </c>
      <c r="F1464" s="46" t="s">
        <v>2027</v>
      </c>
      <c r="G1464" t="s">
        <v>239</v>
      </c>
      <c r="H1464" s="47" t="s">
        <v>450</v>
      </c>
      <c r="I1464" s="47" t="s">
        <v>2021</v>
      </c>
      <c r="J1464" t="s">
        <v>1505</v>
      </c>
      <c r="K1464">
        <v>795</v>
      </c>
      <c r="L1464">
        <v>1252</v>
      </c>
      <c r="M1464" s="24">
        <v>710</v>
      </c>
      <c r="N1464" s="24">
        <v>1196</v>
      </c>
      <c r="O1464" s="24">
        <v>638</v>
      </c>
      <c r="P1464" s="24">
        <v>1114</v>
      </c>
      <c r="Q1464">
        <v>962</v>
      </c>
      <c r="R1464">
        <v>1519</v>
      </c>
      <c r="S1464">
        <v>1491</v>
      </c>
      <c r="T1464">
        <v>2510</v>
      </c>
      <c r="U1464">
        <v>1491</v>
      </c>
      <c r="V1464">
        <v>2510</v>
      </c>
    </row>
    <row r="1465" spans="2:22" x14ac:dyDescent="0.35">
      <c r="B1465" s="46" t="s">
        <v>2028</v>
      </c>
      <c r="D1465" t="s">
        <v>1460</v>
      </c>
      <c r="E1465" t="s">
        <v>1937</v>
      </c>
      <c r="F1465" s="46" t="s">
        <v>2028</v>
      </c>
      <c r="G1465" t="s">
        <v>239</v>
      </c>
      <c r="H1465" s="47" t="s">
        <v>450</v>
      </c>
      <c r="I1465" s="47" t="s">
        <v>2021</v>
      </c>
      <c r="J1465" t="s">
        <v>353</v>
      </c>
      <c r="K1465">
        <v>612</v>
      </c>
      <c r="L1465">
        <v>861</v>
      </c>
      <c r="M1465" s="24">
        <v>490</v>
      </c>
      <c r="N1465" s="24">
        <v>740</v>
      </c>
      <c r="O1465" s="24">
        <v>422</v>
      </c>
      <c r="P1465" s="24">
        <v>671</v>
      </c>
      <c r="Q1465">
        <v>411</v>
      </c>
      <c r="R1465">
        <v>724</v>
      </c>
      <c r="S1465">
        <v>611</v>
      </c>
      <c r="T1465">
        <v>1063</v>
      </c>
      <c r="U1465">
        <v>611</v>
      </c>
      <c r="V1465">
        <v>1063</v>
      </c>
    </row>
    <row r="1466" spans="2:22" x14ac:dyDescent="0.35">
      <c r="B1466" s="46" t="s">
        <v>2029</v>
      </c>
      <c r="D1466" t="s">
        <v>1460</v>
      </c>
      <c r="E1466" t="s">
        <v>1937</v>
      </c>
      <c r="F1466" s="46" t="s">
        <v>2029</v>
      </c>
      <c r="G1466" t="s">
        <v>239</v>
      </c>
      <c r="H1466" s="47" t="s">
        <v>450</v>
      </c>
      <c r="I1466" s="47" t="s">
        <v>2021</v>
      </c>
      <c r="J1466" t="s">
        <v>2030</v>
      </c>
      <c r="K1466">
        <v>4021</v>
      </c>
      <c r="L1466">
        <v>7817</v>
      </c>
      <c r="M1466" s="24">
        <v>3522</v>
      </c>
      <c r="N1466" s="24">
        <v>7225</v>
      </c>
      <c r="O1466" s="24">
        <v>3502</v>
      </c>
      <c r="P1466" s="24">
        <v>7184</v>
      </c>
      <c r="Q1466">
        <v>3992</v>
      </c>
      <c r="R1466">
        <v>8407</v>
      </c>
      <c r="S1466">
        <v>4865</v>
      </c>
      <c r="T1466">
        <v>11764</v>
      </c>
      <c r="U1466">
        <v>4865</v>
      </c>
      <c r="V1466">
        <v>11764</v>
      </c>
    </row>
    <row r="1467" spans="2:22" x14ac:dyDescent="0.35">
      <c r="B1467" s="46" t="s">
        <v>2031</v>
      </c>
      <c r="D1467" t="s">
        <v>1460</v>
      </c>
      <c r="E1467" t="s">
        <v>1937</v>
      </c>
      <c r="F1467" s="46" t="s">
        <v>2031</v>
      </c>
      <c r="G1467" t="s">
        <v>239</v>
      </c>
      <c r="H1467" s="47" t="s">
        <v>450</v>
      </c>
      <c r="I1467" s="47" t="s">
        <v>2021</v>
      </c>
      <c r="J1467" t="s">
        <v>237</v>
      </c>
      <c r="K1467">
        <v>301</v>
      </c>
      <c r="L1467">
        <v>423</v>
      </c>
      <c r="M1467" s="24">
        <v>279</v>
      </c>
      <c r="N1467" s="24">
        <v>402</v>
      </c>
      <c r="O1467" s="24">
        <v>236</v>
      </c>
      <c r="P1467" s="24">
        <v>376</v>
      </c>
      <c r="Q1467">
        <v>232</v>
      </c>
      <c r="R1467">
        <v>436</v>
      </c>
      <c r="S1467">
        <v>372</v>
      </c>
      <c r="T1467">
        <v>639</v>
      </c>
      <c r="U1467">
        <v>372</v>
      </c>
      <c r="V1467">
        <v>639</v>
      </c>
    </row>
    <row r="1468" spans="2:22" x14ac:dyDescent="0.35">
      <c r="B1468" s="46" t="s">
        <v>2032</v>
      </c>
      <c r="D1468" t="s">
        <v>1460</v>
      </c>
      <c r="E1468" t="s">
        <v>1937</v>
      </c>
      <c r="F1468" s="46" t="s">
        <v>2032</v>
      </c>
      <c r="G1468" t="s">
        <v>239</v>
      </c>
      <c r="H1468" s="47" t="s">
        <v>450</v>
      </c>
      <c r="I1468" s="47" t="s">
        <v>2021</v>
      </c>
      <c r="J1468" t="s">
        <v>2033</v>
      </c>
      <c r="K1468">
        <v>614</v>
      </c>
      <c r="L1468">
        <v>805</v>
      </c>
      <c r="M1468" s="24">
        <v>547</v>
      </c>
      <c r="N1468" s="24">
        <v>756</v>
      </c>
      <c r="O1468" s="24">
        <v>481</v>
      </c>
      <c r="P1468" s="24">
        <v>727</v>
      </c>
      <c r="Q1468">
        <v>473</v>
      </c>
      <c r="R1468">
        <v>773</v>
      </c>
      <c r="S1468">
        <v>547</v>
      </c>
      <c r="T1468">
        <v>1004</v>
      </c>
      <c r="U1468">
        <v>547</v>
      </c>
      <c r="V1468">
        <v>1004</v>
      </c>
    </row>
    <row r="1469" spans="2:22" x14ac:dyDescent="0.35">
      <c r="B1469" s="46" t="s">
        <v>2034</v>
      </c>
      <c r="D1469" t="s">
        <v>1460</v>
      </c>
      <c r="E1469" t="s">
        <v>1937</v>
      </c>
      <c r="F1469" s="46" t="s">
        <v>2034</v>
      </c>
      <c r="G1469" t="s">
        <v>239</v>
      </c>
      <c r="H1469" s="47" t="s">
        <v>450</v>
      </c>
      <c r="I1469" s="47" t="s">
        <v>2021</v>
      </c>
      <c r="J1469" t="s">
        <v>2035</v>
      </c>
      <c r="K1469">
        <v>29873</v>
      </c>
      <c r="L1469">
        <v>58557</v>
      </c>
      <c r="M1469" s="24">
        <v>25846</v>
      </c>
      <c r="N1469" s="24">
        <v>53309</v>
      </c>
      <c r="O1469" s="24">
        <v>25505</v>
      </c>
      <c r="P1469" s="24">
        <v>52062</v>
      </c>
      <c r="Q1469">
        <v>25710</v>
      </c>
      <c r="R1469">
        <v>57331</v>
      </c>
      <c r="S1469">
        <v>35209</v>
      </c>
      <c r="T1469">
        <v>75084</v>
      </c>
      <c r="U1469">
        <v>35209</v>
      </c>
      <c r="V1469">
        <v>75084</v>
      </c>
    </row>
    <row r="1470" spans="2:22" x14ac:dyDescent="0.35">
      <c r="B1470" s="46" t="s">
        <v>2036</v>
      </c>
      <c r="D1470" t="s">
        <v>1460</v>
      </c>
      <c r="E1470" t="s">
        <v>1937</v>
      </c>
      <c r="F1470" s="46" t="s">
        <v>2036</v>
      </c>
      <c r="G1470" t="s">
        <v>239</v>
      </c>
      <c r="H1470" s="47" t="s">
        <v>450</v>
      </c>
      <c r="I1470" s="47" t="s">
        <v>2021</v>
      </c>
      <c r="J1470" t="s">
        <v>1860</v>
      </c>
      <c r="K1470">
        <v>10104</v>
      </c>
      <c r="L1470">
        <v>20660</v>
      </c>
      <c r="M1470" s="24">
        <v>9221</v>
      </c>
      <c r="N1470" s="24">
        <v>19447</v>
      </c>
      <c r="O1470" s="24">
        <v>9632</v>
      </c>
      <c r="P1470" s="24">
        <v>19916</v>
      </c>
      <c r="Q1470">
        <v>10722</v>
      </c>
      <c r="R1470">
        <v>23068</v>
      </c>
      <c r="S1470">
        <v>14681</v>
      </c>
      <c r="T1470">
        <v>31389</v>
      </c>
      <c r="U1470">
        <v>14681</v>
      </c>
      <c r="V1470">
        <v>31389</v>
      </c>
    </row>
    <row r="1471" spans="2:22" x14ac:dyDescent="0.35">
      <c r="B1471" s="46" t="s">
        <v>2037</v>
      </c>
      <c r="D1471" t="s">
        <v>1460</v>
      </c>
      <c r="E1471" t="s">
        <v>1937</v>
      </c>
      <c r="F1471" s="46" t="s">
        <v>2037</v>
      </c>
      <c r="G1471" t="s">
        <v>255</v>
      </c>
      <c r="H1471" s="47" t="s">
        <v>467</v>
      </c>
      <c r="I1471" s="47" t="s">
        <v>2038</v>
      </c>
      <c r="J1471" t="s">
        <v>2039</v>
      </c>
      <c r="K1471">
        <v>2087</v>
      </c>
      <c r="L1471">
        <v>3008</v>
      </c>
      <c r="M1471" s="24">
        <v>2359</v>
      </c>
      <c r="N1471" s="24">
        <v>3328</v>
      </c>
      <c r="O1471" s="24">
        <v>2924</v>
      </c>
      <c r="P1471" s="24">
        <v>3823</v>
      </c>
      <c r="Q1471">
        <v>3756</v>
      </c>
      <c r="R1471">
        <v>4600</v>
      </c>
      <c r="S1471">
        <v>5124</v>
      </c>
      <c r="T1471">
        <v>6275</v>
      </c>
      <c r="U1471">
        <v>5124</v>
      </c>
      <c r="V1471">
        <v>6275</v>
      </c>
    </row>
    <row r="1472" spans="2:22" x14ac:dyDescent="0.35">
      <c r="B1472" s="46" t="s">
        <v>2040</v>
      </c>
      <c r="D1472" t="s">
        <v>1460</v>
      </c>
      <c r="E1472" t="s">
        <v>1937</v>
      </c>
      <c r="F1472" s="46" t="s">
        <v>2040</v>
      </c>
      <c r="G1472" t="s">
        <v>255</v>
      </c>
      <c r="H1472" s="47" t="s">
        <v>467</v>
      </c>
      <c r="I1472" s="47" t="s">
        <v>2038</v>
      </c>
      <c r="J1472" t="s">
        <v>1876</v>
      </c>
      <c r="K1472">
        <v>732</v>
      </c>
      <c r="L1472">
        <v>1375</v>
      </c>
      <c r="M1472" s="24">
        <v>693</v>
      </c>
      <c r="N1472" s="24">
        <v>1356</v>
      </c>
      <c r="O1472" s="24">
        <v>572</v>
      </c>
      <c r="P1472" s="24">
        <v>1271</v>
      </c>
      <c r="Q1472">
        <v>545</v>
      </c>
      <c r="R1472">
        <v>1258</v>
      </c>
      <c r="S1472">
        <v>929</v>
      </c>
      <c r="T1472">
        <v>1835</v>
      </c>
      <c r="U1472">
        <v>929</v>
      </c>
      <c r="V1472">
        <v>1835</v>
      </c>
    </row>
    <row r="1473" spans="2:22" x14ac:dyDescent="0.35">
      <c r="B1473" s="46" t="s">
        <v>2041</v>
      </c>
      <c r="D1473" t="s">
        <v>1460</v>
      </c>
      <c r="E1473" t="s">
        <v>1937</v>
      </c>
      <c r="F1473" s="46" t="s">
        <v>2041</v>
      </c>
      <c r="G1473" t="s">
        <v>255</v>
      </c>
      <c r="H1473" s="47" t="s">
        <v>467</v>
      </c>
      <c r="I1473" s="47" t="s">
        <v>2038</v>
      </c>
      <c r="J1473" t="s">
        <v>271</v>
      </c>
      <c r="K1473">
        <v>792</v>
      </c>
      <c r="L1473">
        <v>1026</v>
      </c>
      <c r="M1473" s="24">
        <v>1008</v>
      </c>
      <c r="N1473" s="24">
        <v>1255</v>
      </c>
      <c r="O1473" s="24">
        <v>1334</v>
      </c>
      <c r="P1473" s="24">
        <v>1558</v>
      </c>
      <c r="Q1473">
        <v>421</v>
      </c>
      <c r="R1473">
        <v>1372</v>
      </c>
      <c r="S1473">
        <v>1459</v>
      </c>
      <c r="T1473">
        <v>1684</v>
      </c>
      <c r="U1473">
        <v>1459</v>
      </c>
      <c r="V1473">
        <v>1684</v>
      </c>
    </row>
    <row r="1474" spans="2:22" x14ac:dyDescent="0.35">
      <c r="B1474" s="46" t="s">
        <v>2042</v>
      </c>
      <c r="D1474" t="s">
        <v>1460</v>
      </c>
      <c r="E1474" t="s">
        <v>1937</v>
      </c>
      <c r="F1474" s="46" t="s">
        <v>2042</v>
      </c>
      <c r="G1474" t="s">
        <v>255</v>
      </c>
      <c r="H1474" s="47" t="s">
        <v>467</v>
      </c>
      <c r="I1474" s="47" t="s">
        <v>2038</v>
      </c>
      <c r="J1474" t="s">
        <v>837</v>
      </c>
      <c r="K1474">
        <v>661</v>
      </c>
      <c r="L1474">
        <v>1025</v>
      </c>
      <c r="M1474" s="24">
        <v>532</v>
      </c>
      <c r="N1474" s="24">
        <v>1011</v>
      </c>
      <c r="O1474" s="24">
        <v>460</v>
      </c>
      <c r="P1474" s="24">
        <v>923</v>
      </c>
      <c r="Q1474">
        <v>499</v>
      </c>
      <c r="R1474">
        <v>1042</v>
      </c>
      <c r="S1474">
        <v>977</v>
      </c>
      <c r="T1474">
        <v>1602</v>
      </c>
      <c r="U1474">
        <v>977</v>
      </c>
      <c r="V1474">
        <v>1602</v>
      </c>
    </row>
    <row r="1475" spans="2:22" x14ac:dyDescent="0.35">
      <c r="B1475" s="46" t="s">
        <v>2043</v>
      </c>
      <c r="D1475" t="s">
        <v>1460</v>
      </c>
      <c r="E1475" t="s">
        <v>1937</v>
      </c>
      <c r="F1475" s="46" t="s">
        <v>2043</v>
      </c>
      <c r="G1475" t="s">
        <v>255</v>
      </c>
      <c r="H1475" s="47" t="s">
        <v>467</v>
      </c>
      <c r="I1475" s="47" t="s">
        <v>2038</v>
      </c>
      <c r="J1475" t="s">
        <v>247</v>
      </c>
      <c r="K1475">
        <v>4722</v>
      </c>
      <c r="L1475">
        <v>7932</v>
      </c>
      <c r="M1475" s="24">
        <v>4094</v>
      </c>
      <c r="N1475" s="24">
        <v>7287</v>
      </c>
      <c r="O1475" s="24">
        <v>4123</v>
      </c>
      <c r="P1475" s="24">
        <v>7144</v>
      </c>
      <c r="Q1475">
        <v>4164</v>
      </c>
      <c r="R1475">
        <v>8135</v>
      </c>
      <c r="S1475">
        <v>9026</v>
      </c>
      <c r="T1475">
        <v>11965</v>
      </c>
      <c r="U1475">
        <v>9026</v>
      </c>
      <c r="V1475">
        <v>11965</v>
      </c>
    </row>
    <row r="1476" spans="2:22" x14ac:dyDescent="0.35">
      <c r="B1476" s="46" t="s">
        <v>2044</v>
      </c>
      <c r="D1476" t="s">
        <v>1460</v>
      </c>
      <c r="E1476" t="s">
        <v>1937</v>
      </c>
      <c r="F1476" s="46" t="s">
        <v>2044</v>
      </c>
      <c r="G1476" t="s">
        <v>255</v>
      </c>
      <c r="H1476" s="47" t="s">
        <v>467</v>
      </c>
      <c r="I1476" s="47" t="s">
        <v>2038</v>
      </c>
      <c r="J1476" t="s">
        <v>2045</v>
      </c>
      <c r="K1476">
        <v>1289</v>
      </c>
      <c r="L1476">
        <v>2235</v>
      </c>
      <c r="M1476" s="24">
        <v>1300</v>
      </c>
      <c r="N1476" s="24">
        <v>2243</v>
      </c>
      <c r="O1476" s="24">
        <v>1564</v>
      </c>
      <c r="P1476" s="24">
        <v>2377</v>
      </c>
      <c r="Q1476">
        <v>891</v>
      </c>
      <c r="R1476">
        <v>2404</v>
      </c>
      <c r="S1476">
        <v>2189</v>
      </c>
      <c r="T1476">
        <v>3190</v>
      </c>
      <c r="U1476">
        <v>2189</v>
      </c>
      <c r="V1476">
        <v>3190</v>
      </c>
    </row>
    <row r="1477" spans="2:22" x14ac:dyDescent="0.35">
      <c r="B1477" s="46" t="s">
        <v>2046</v>
      </c>
      <c r="D1477" t="s">
        <v>1460</v>
      </c>
      <c r="E1477" t="s">
        <v>1937</v>
      </c>
      <c r="F1477" s="46" t="s">
        <v>2046</v>
      </c>
      <c r="G1477" t="s">
        <v>255</v>
      </c>
      <c r="H1477" s="47" t="s">
        <v>467</v>
      </c>
      <c r="I1477" s="47" t="s">
        <v>2038</v>
      </c>
      <c r="J1477" t="s">
        <v>461</v>
      </c>
      <c r="K1477">
        <v>223</v>
      </c>
      <c r="L1477">
        <v>379</v>
      </c>
      <c r="M1477" s="24">
        <v>163</v>
      </c>
      <c r="N1477" s="24">
        <v>332</v>
      </c>
      <c r="O1477" s="24">
        <v>148</v>
      </c>
      <c r="P1477" s="24">
        <v>311</v>
      </c>
      <c r="Q1477">
        <v>168</v>
      </c>
      <c r="R1477">
        <v>362</v>
      </c>
      <c r="S1477">
        <v>294</v>
      </c>
      <c r="T1477">
        <v>473</v>
      </c>
      <c r="U1477">
        <v>294</v>
      </c>
      <c r="V1477">
        <v>473</v>
      </c>
    </row>
    <row r="1478" spans="2:22" x14ac:dyDescent="0.35">
      <c r="B1478" s="46" t="s">
        <v>2047</v>
      </c>
      <c r="D1478" t="s">
        <v>1460</v>
      </c>
      <c r="E1478" t="s">
        <v>1937</v>
      </c>
      <c r="F1478" s="46" t="s">
        <v>2047</v>
      </c>
      <c r="G1478" t="s">
        <v>255</v>
      </c>
      <c r="H1478" s="47" t="s">
        <v>467</v>
      </c>
      <c r="I1478" s="47" t="s">
        <v>2038</v>
      </c>
      <c r="J1478" t="s">
        <v>706</v>
      </c>
      <c r="K1478">
        <v>1354</v>
      </c>
      <c r="L1478">
        <v>1960</v>
      </c>
      <c r="M1478" s="24">
        <v>1309</v>
      </c>
      <c r="N1478" s="24">
        <v>2042</v>
      </c>
      <c r="O1478" s="24">
        <v>1189</v>
      </c>
      <c r="P1478" s="24">
        <v>1950</v>
      </c>
      <c r="Q1478">
        <v>1115</v>
      </c>
      <c r="R1478">
        <v>2086</v>
      </c>
      <c r="S1478">
        <v>1666</v>
      </c>
      <c r="T1478">
        <v>2891</v>
      </c>
      <c r="U1478">
        <v>1666</v>
      </c>
      <c r="V1478">
        <v>2891</v>
      </c>
    </row>
    <row r="1479" spans="2:22" x14ac:dyDescent="0.35">
      <c r="B1479" s="46" t="s">
        <v>2048</v>
      </c>
      <c r="D1479" t="s">
        <v>1460</v>
      </c>
      <c r="E1479" t="s">
        <v>1937</v>
      </c>
      <c r="F1479" s="46" t="s">
        <v>2048</v>
      </c>
      <c r="G1479" t="s">
        <v>255</v>
      </c>
      <c r="H1479" s="47" t="s">
        <v>467</v>
      </c>
      <c r="I1479" s="47" t="s">
        <v>2038</v>
      </c>
      <c r="J1479" t="s">
        <v>530</v>
      </c>
      <c r="K1479">
        <v>1390</v>
      </c>
      <c r="L1479">
        <v>2213</v>
      </c>
      <c r="M1479" s="24">
        <v>1483</v>
      </c>
      <c r="N1479" s="24">
        <v>2445</v>
      </c>
      <c r="O1479" s="24">
        <v>1178</v>
      </c>
      <c r="P1479" s="24">
        <v>2273</v>
      </c>
      <c r="Q1479">
        <v>1796</v>
      </c>
      <c r="R1479">
        <v>2683</v>
      </c>
      <c r="S1479">
        <v>2660</v>
      </c>
      <c r="T1479">
        <v>4130</v>
      </c>
      <c r="U1479">
        <v>2660</v>
      </c>
      <c r="V1479">
        <v>4130</v>
      </c>
    </row>
    <row r="1480" spans="2:22" x14ac:dyDescent="0.35">
      <c r="B1480" s="46" t="s">
        <v>2049</v>
      </c>
      <c r="D1480" t="s">
        <v>1460</v>
      </c>
      <c r="E1480" t="s">
        <v>1937</v>
      </c>
      <c r="F1480" s="46" t="s">
        <v>2049</v>
      </c>
      <c r="G1480" t="s">
        <v>255</v>
      </c>
      <c r="H1480" s="47" t="s">
        <v>467</v>
      </c>
      <c r="I1480" s="47" t="s">
        <v>2038</v>
      </c>
      <c r="J1480" t="s">
        <v>2050</v>
      </c>
      <c r="K1480">
        <v>217</v>
      </c>
      <c r="L1480">
        <v>376</v>
      </c>
      <c r="M1480" s="24">
        <v>211</v>
      </c>
      <c r="N1480" s="24">
        <v>393</v>
      </c>
      <c r="O1480" s="24">
        <v>228</v>
      </c>
      <c r="P1480" s="24">
        <v>420</v>
      </c>
      <c r="Q1480">
        <v>316</v>
      </c>
      <c r="R1480">
        <v>480</v>
      </c>
      <c r="S1480">
        <v>473</v>
      </c>
      <c r="T1480">
        <v>654</v>
      </c>
      <c r="U1480">
        <v>473</v>
      </c>
      <c r="V1480">
        <v>654</v>
      </c>
    </row>
    <row r="1481" spans="2:22" x14ac:dyDescent="0.35">
      <c r="B1481" s="46" t="s">
        <v>2051</v>
      </c>
      <c r="D1481" t="s">
        <v>1460</v>
      </c>
      <c r="E1481" t="s">
        <v>1937</v>
      </c>
      <c r="F1481" s="46" t="s">
        <v>2051</v>
      </c>
      <c r="G1481" t="s">
        <v>255</v>
      </c>
      <c r="H1481" s="47" t="s">
        <v>467</v>
      </c>
      <c r="I1481" s="47" t="s">
        <v>2038</v>
      </c>
      <c r="J1481" t="s">
        <v>2052</v>
      </c>
      <c r="K1481">
        <v>188</v>
      </c>
      <c r="L1481">
        <v>285</v>
      </c>
      <c r="M1481" s="24">
        <v>230</v>
      </c>
      <c r="N1481" s="24">
        <v>339</v>
      </c>
      <c r="O1481" s="24">
        <v>354</v>
      </c>
      <c r="P1481" s="24">
        <v>442</v>
      </c>
      <c r="Q1481">
        <v>428</v>
      </c>
      <c r="R1481">
        <v>539</v>
      </c>
      <c r="S1481">
        <v>634</v>
      </c>
      <c r="T1481">
        <v>749</v>
      </c>
      <c r="U1481">
        <v>634</v>
      </c>
      <c r="V1481">
        <v>749</v>
      </c>
    </row>
    <row r="1482" spans="2:22" x14ac:dyDescent="0.35">
      <c r="B1482" s="46" t="s">
        <v>2053</v>
      </c>
      <c r="D1482" t="s">
        <v>1460</v>
      </c>
      <c r="E1482" t="s">
        <v>1937</v>
      </c>
      <c r="F1482" s="46" t="s">
        <v>2053</v>
      </c>
      <c r="G1482" t="s">
        <v>255</v>
      </c>
      <c r="H1482" s="47" t="s">
        <v>467</v>
      </c>
      <c r="I1482" s="47" t="s">
        <v>2038</v>
      </c>
      <c r="J1482" t="s">
        <v>2054</v>
      </c>
      <c r="K1482">
        <v>703</v>
      </c>
      <c r="L1482">
        <v>1091</v>
      </c>
      <c r="M1482" s="24">
        <v>867</v>
      </c>
      <c r="N1482" s="24">
        <v>1312</v>
      </c>
      <c r="O1482" s="24">
        <v>664</v>
      </c>
      <c r="P1482" s="24">
        <v>1221</v>
      </c>
      <c r="Q1482">
        <v>501</v>
      </c>
      <c r="R1482">
        <v>1083</v>
      </c>
      <c r="S1482">
        <v>1078</v>
      </c>
      <c r="T1482">
        <v>1613</v>
      </c>
      <c r="U1482">
        <v>1078</v>
      </c>
      <c r="V1482">
        <v>1613</v>
      </c>
    </row>
    <row r="1483" spans="2:22" x14ac:dyDescent="0.35">
      <c r="B1483" s="46" t="s">
        <v>2055</v>
      </c>
      <c r="D1483" t="s">
        <v>1460</v>
      </c>
      <c r="E1483" t="s">
        <v>1937</v>
      </c>
      <c r="F1483" s="46" t="s">
        <v>2055</v>
      </c>
      <c r="G1483" t="s">
        <v>255</v>
      </c>
      <c r="H1483" s="47" t="s">
        <v>467</v>
      </c>
      <c r="I1483" s="47" t="s">
        <v>2038</v>
      </c>
      <c r="J1483" t="s">
        <v>249</v>
      </c>
      <c r="K1483">
        <v>554</v>
      </c>
      <c r="L1483">
        <v>866</v>
      </c>
      <c r="M1483" s="24">
        <v>567</v>
      </c>
      <c r="N1483" s="24">
        <v>913</v>
      </c>
      <c r="O1483" s="24">
        <v>650</v>
      </c>
      <c r="P1483" s="24">
        <v>959</v>
      </c>
      <c r="Q1483">
        <v>833</v>
      </c>
      <c r="R1483">
        <v>1143</v>
      </c>
      <c r="S1483">
        <v>1068</v>
      </c>
      <c r="T1483">
        <v>1464</v>
      </c>
      <c r="U1483">
        <v>1068</v>
      </c>
      <c r="V1483">
        <v>1464</v>
      </c>
    </row>
    <row r="1484" spans="2:22" x14ac:dyDescent="0.35">
      <c r="B1484" s="46" t="s">
        <v>2056</v>
      </c>
      <c r="D1484" t="s">
        <v>1460</v>
      </c>
      <c r="E1484" t="s">
        <v>1937</v>
      </c>
      <c r="F1484" s="46" t="s">
        <v>2056</v>
      </c>
      <c r="G1484" t="s">
        <v>255</v>
      </c>
      <c r="H1484" s="47" t="s">
        <v>467</v>
      </c>
      <c r="I1484" s="47" t="s">
        <v>2038</v>
      </c>
      <c r="J1484" t="s">
        <v>2057</v>
      </c>
      <c r="K1484">
        <v>300</v>
      </c>
      <c r="L1484">
        <v>445</v>
      </c>
      <c r="M1484" s="24">
        <v>405</v>
      </c>
      <c r="N1484" s="24">
        <v>549</v>
      </c>
      <c r="O1484" s="24">
        <v>725</v>
      </c>
      <c r="P1484" s="24">
        <v>829</v>
      </c>
      <c r="Q1484">
        <v>226</v>
      </c>
      <c r="R1484">
        <v>395</v>
      </c>
      <c r="S1484">
        <v>796</v>
      </c>
      <c r="T1484">
        <v>966</v>
      </c>
      <c r="U1484">
        <v>796</v>
      </c>
      <c r="V1484">
        <v>966</v>
      </c>
    </row>
    <row r="1485" spans="2:22" x14ac:dyDescent="0.35">
      <c r="B1485" s="46" t="s">
        <v>2058</v>
      </c>
      <c r="D1485" t="s">
        <v>1460</v>
      </c>
      <c r="E1485" t="s">
        <v>1937</v>
      </c>
      <c r="F1485" s="46" t="s">
        <v>2058</v>
      </c>
      <c r="G1485" t="s">
        <v>255</v>
      </c>
      <c r="H1485" s="47" t="s">
        <v>467</v>
      </c>
      <c r="I1485" s="47" t="s">
        <v>2038</v>
      </c>
      <c r="J1485" t="s">
        <v>2059</v>
      </c>
      <c r="K1485">
        <v>248</v>
      </c>
      <c r="L1485">
        <v>444</v>
      </c>
      <c r="M1485" s="24">
        <v>205</v>
      </c>
      <c r="N1485" s="24">
        <v>483</v>
      </c>
      <c r="O1485" s="24">
        <v>258</v>
      </c>
      <c r="P1485" s="24">
        <v>495</v>
      </c>
      <c r="Q1485">
        <v>220</v>
      </c>
      <c r="R1485">
        <v>552</v>
      </c>
      <c r="S1485">
        <v>562</v>
      </c>
      <c r="T1485">
        <v>832</v>
      </c>
      <c r="U1485">
        <v>562</v>
      </c>
      <c r="V1485">
        <v>832</v>
      </c>
    </row>
    <row r="1486" spans="2:22" x14ac:dyDescent="0.35">
      <c r="B1486" s="46" t="s">
        <v>2060</v>
      </c>
      <c r="D1486" t="s">
        <v>1460</v>
      </c>
      <c r="E1486" t="s">
        <v>1937</v>
      </c>
      <c r="F1486" s="46" t="s">
        <v>2060</v>
      </c>
      <c r="G1486" t="s">
        <v>259</v>
      </c>
      <c r="H1486" s="47" t="s">
        <v>477</v>
      </c>
      <c r="I1486" s="47" t="s">
        <v>2061</v>
      </c>
      <c r="J1486" t="s">
        <v>2062</v>
      </c>
      <c r="K1486">
        <v>12770</v>
      </c>
      <c r="L1486">
        <v>16098</v>
      </c>
      <c r="M1486" s="24">
        <v>12098</v>
      </c>
      <c r="N1486" s="24">
        <v>15197</v>
      </c>
      <c r="O1486" s="24">
        <v>12215</v>
      </c>
      <c r="P1486" s="24">
        <v>15092</v>
      </c>
      <c r="Q1486">
        <v>15265</v>
      </c>
      <c r="R1486">
        <v>20051</v>
      </c>
      <c r="S1486">
        <v>27871</v>
      </c>
      <c r="T1486">
        <v>34068</v>
      </c>
      <c r="U1486">
        <v>27871</v>
      </c>
      <c r="V1486">
        <v>34068</v>
      </c>
    </row>
    <row r="1487" spans="2:22" x14ac:dyDescent="0.35">
      <c r="B1487" s="46" t="s">
        <v>2063</v>
      </c>
      <c r="D1487" t="s">
        <v>1460</v>
      </c>
      <c r="E1487" t="s">
        <v>1937</v>
      </c>
      <c r="F1487" s="46" t="s">
        <v>2063</v>
      </c>
      <c r="G1487" t="s">
        <v>259</v>
      </c>
      <c r="H1487" s="47" t="s">
        <v>477</v>
      </c>
      <c r="I1487" s="47" t="s">
        <v>2061</v>
      </c>
      <c r="J1487" t="s">
        <v>2064</v>
      </c>
      <c r="K1487">
        <v>14</v>
      </c>
      <c r="L1487">
        <v>20</v>
      </c>
      <c r="M1487" s="24">
        <v>0</v>
      </c>
      <c r="N1487" s="24">
        <v>0</v>
      </c>
      <c r="O1487" s="24">
        <v>0</v>
      </c>
      <c r="P1487" s="24">
        <v>15</v>
      </c>
      <c r="Q1487">
        <v>0</v>
      </c>
      <c r="R1487">
        <v>15</v>
      </c>
      <c r="S1487">
        <v>12</v>
      </c>
      <c r="T1487">
        <v>21</v>
      </c>
      <c r="U1487">
        <v>12</v>
      </c>
      <c r="V1487">
        <v>21</v>
      </c>
    </row>
    <row r="1488" spans="2:22" x14ac:dyDescent="0.35">
      <c r="B1488" s="46" t="s">
        <v>2065</v>
      </c>
      <c r="D1488" t="s">
        <v>1460</v>
      </c>
      <c r="E1488" t="s">
        <v>1937</v>
      </c>
      <c r="F1488" s="46" t="s">
        <v>2065</v>
      </c>
      <c r="G1488" t="s">
        <v>259</v>
      </c>
      <c r="H1488" s="47" t="s">
        <v>477</v>
      </c>
      <c r="I1488" s="47" t="s">
        <v>2061</v>
      </c>
      <c r="J1488" t="s">
        <v>2066</v>
      </c>
      <c r="K1488">
        <v>889</v>
      </c>
      <c r="L1488">
        <v>972</v>
      </c>
      <c r="M1488" s="24">
        <v>963</v>
      </c>
      <c r="N1488" s="24">
        <v>1019</v>
      </c>
      <c r="O1488" s="24">
        <v>968</v>
      </c>
      <c r="P1488" s="24">
        <v>1072</v>
      </c>
      <c r="Q1488">
        <v>1015</v>
      </c>
      <c r="R1488">
        <v>1150</v>
      </c>
      <c r="S1488">
        <v>1616</v>
      </c>
      <c r="T1488">
        <v>1825</v>
      </c>
      <c r="U1488">
        <v>1616</v>
      </c>
      <c r="V1488">
        <v>1825</v>
      </c>
    </row>
    <row r="1489" spans="2:22" x14ac:dyDescent="0.35">
      <c r="B1489" s="46" t="s">
        <v>2067</v>
      </c>
      <c r="D1489" t="s">
        <v>1460</v>
      </c>
      <c r="E1489" t="s">
        <v>1937</v>
      </c>
      <c r="F1489" s="46" t="s">
        <v>2067</v>
      </c>
      <c r="G1489" t="s">
        <v>265</v>
      </c>
      <c r="H1489" s="47" t="s">
        <v>501</v>
      </c>
      <c r="I1489" s="47" t="s">
        <v>2068</v>
      </c>
      <c r="J1489" t="s">
        <v>2069</v>
      </c>
      <c r="K1489">
        <v>3282</v>
      </c>
      <c r="L1489">
        <v>4997</v>
      </c>
      <c r="M1489" s="24">
        <v>2497</v>
      </c>
      <c r="N1489" s="24">
        <v>4081</v>
      </c>
      <c r="O1489" s="24">
        <v>2443</v>
      </c>
      <c r="P1489" s="24">
        <v>4315</v>
      </c>
      <c r="Q1489">
        <v>2615</v>
      </c>
      <c r="R1489">
        <v>5167</v>
      </c>
      <c r="S1489">
        <v>4726</v>
      </c>
      <c r="T1489">
        <v>7640</v>
      </c>
      <c r="U1489">
        <v>4726</v>
      </c>
      <c r="V1489">
        <v>7640</v>
      </c>
    </row>
    <row r="1490" spans="2:22" x14ac:dyDescent="0.35">
      <c r="B1490" s="46" t="s">
        <v>2070</v>
      </c>
      <c r="D1490" t="s">
        <v>1460</v>
      </c>
      <c r="E1490" t="s">
        <v>1937</v>
      </c>
      <c r="F1490" s="46" t="s">
        <v>2070</v>
      </c>
      <c r="G1490" t="s">
        <v>265</v>
      </c>
      <c r="H1490" s="47" t="s">
        <v>501</v>
      </c>
      <c r="I1490" s="47" t="s">
        <v>2068</v>
      </c>
      <c r="J1490" t="s">
        <v>2071</v>
      </c>
      <c r="K1490">
        <v>376</v>
      </c>
      <c r="L1490">
        <v>562</v>
      </c>
      <c r="M1490" s="24">
        <v>295</v>
      </c>
      <c r="N1490" s="24">
        <v>444</v>
      </c>
      <c r="O1490" s="24">
        <v>260</v>
      </c>
      <c r="P1490" s="24">
        <v>424</v>
      </c>
      <c r="Q1490">
        <v>267</v>
      </c>
      <c r="R1490">
        <v>496</v>
      </c>
      <c r="S1490">
        <v>430</v>
      </c>
      <c r="T1490">
        <v>741</v>
      </c>
      <c r="U1490">
        <v>430</v>
      </c>
      <c r="V1490">
        <v>741</v>
      </c>
    </row>
    <row r="1491" spans="2:22" x14ac:dyDescent="0.35">
      <c r="B1491" s="46" t="s">
        <v>2072</v>
      </c>
      <c r="D1491" t="s">
        <v>1460</v>
      </c>
      <c r="E1491" t="s">
        <v>1937</v>
      </c>
      <c r="F1491" s="46" t="s">
        <v>2072</v>
      </c>
      <c r="G1491" t="s">
        <v>265</v>
      </c>
      <c r="H1491" s="47" t="s">
        <v>501</v>
      </c>
      <c r="I1491" s="47" t="s">
        <v>2068</v>
      </c>
      <c r="J1491" t="s">
        <v>2073</v>
      </c>
      <c r="K1491">
        <v>522</v>
      </c>
      <c r="L1491">
        <v>743</v>
      </c>
      <c r="M1491" s="24">
        <v>478</v>
      </c>
      <c r="N1491" s="24">
        <v>649</v>
      </c>
      <c r="O1491" s="24">
        <v>432</v>
      </c>
      <c r="P1491" s="24">
        <v>681</v>
      </c>
      <c r="Q1491">
        <v>457</v>
      </c>
      <c r="R1491">
        <v>783</v>
      </c>
      <c r="S1491">
        <v>911</v>
      </c>
      <c r="T1491">
        <v>1400</v>
      </c>
      <c r="U1491">
        <v>911</v>
      </c>
      <c r="V1491">
        <v>1400</v>
      </c>
    </row>
    <row r="1492" spans="2:22" x14ac:dyDescent="0.35">
      <c r="B1492" s="46" t="s">
        <v>2074</v>
      </c>
      <c r="D1492" t="s">
        <v>1460</v>
      </c>
      <c r="E1492" t="s">
        <v>1937</v>
      </c>
      <c r="F1492" s="46" t="s">
        <v>2074</v>
      </c>
      <c r="G1492" t="s">
        <v>265</v>
      </c>
      <c r="H1492" s="47" t="s">
        <v>501</v>
      </c>
      <c r="I1492" s="47" t="s">
        <v>2068</v>
      </c>
      <c r="J1492" t="s">
        <v>661</v>
      </c>
      <c r="K1492">
        <v>359</v>
      </c>
      <c r="L1492">
        <v>617</v>
      </c>
      <c r="M1492" s="24">
        <v>292</v>
      </c>
      <c r="N1492" s="24">
        <v>568</v>
      </c>
      <c r="O1492" s="24">
        <v>357</v>
      </c>
      <c r="P1492" s="24">
        <v>640</v>
      </c>
      <c r="Q1492">
        <v>314</v>
      </c>
      <c r="R1492">
        <v>612</v>
      </c>
      <c r="S1492">
        <v>535</v>
      </c>
      <c r="T1492">
        <v>811</v>
      </c>
      <c r="U1492">
        <v>535</v>
      </c>
      <c r="V1492">
        <v>811</v>
      </c>
    </row>
    <row r="1493" spans="2:22" x14ac:dyDescent="0.35">
      <c r="B1493" s="46" t="s">
        <v>2075</v>
      </c>
      <c r="D1493" t="s">
        <v>1460</v>
      </c>
      <c r="E1493" t="s">
        <v>1937</v>
      </c>
      <c r="F1493" s="46" t="s">
        <v>2075</v>
      </c>
      <c r="G1493" t="s">
        <v>265</v>
      </c>
      <c r="H1493" s="47" t="s">
        <v>501</v>
      </c>
      <c r="I1493" s="47" t="s">
        <v>2068</v>
      </c>
      <c r="J1493" t="s">
        <v>287</v>
      </c>
      <c r="K1493">
        <v>219</v>
      </c>
      <c r="L1493">
        <v>295</v>
      </c>
      <c r="M1493" s="24">
        <v>192</v>
      </c>
      <c r="N1493" s="24">
        <v>249</v>
      </c>
      <c r="O1493" s="24">
        <v>197</v>
      </c>
      <c r="P1493" s="24">
        <v>273</v>
      </c>
      <c r="Q1493">
        <v>202</v>
      </c>
      <c r="R1493">
        <v>317</v>
      </c>
      <c r="S1493">
        <v>434</v>
      </c>
      <c r="T1493">
        <v>550</v>
      </c>
      <c r="U1493">
        <v>434</v>
      </c>
      <c r="V1493">
        <v>550</v>
      </c>
    </row>
    <row r="1494" spans="2:22" x14ac:dyDescent="0.35">
      <c r="B1494" s="46" t="s">
        <v>2076</v>
      </c>
      <c r="D1494" t="s">
        <v>1460</v>
      </c>
      <c r="E1494" t="s">
        <v>1937</v>
      </c>
      <c r="F1494" s="46" t="s">
        <v>2076</v>
      </c>
      <c r="G1494" t="s">
        <v>265</v>
      </c>
      <c r="H1494" s="47" t="s">
        <v>501</v>
      </c>
      <c r="I1494" s="47" t="s">
        <v>2068</v>
      </c>
      <c r="J1494" t="s">
        <v>2077</v>
      </c>
      <c r="K1494">
        <v>430</v>
      </c>
      <c r="L1494">
        <v>719</v>
      </c>
      <c r="M1494" s="24">
        <v>379</v>
      </c>
      <c r="N1494" s="24">
        <v>693</v>
      </c>
      <c r="O1494" s="24">
        <v>416</v>
      </c>
      <c r="P1494" s="24">
        <v>720</v>
      </c>
      <c r="Q1494">
        <v>410</v>
      </c>
      <c r="R1494">
        <v>789</v>
      </c>
      <c r="S1494">
        <v>590</v>
      </c>
      <c r="T1494">
        <v>1090</v>
      </c>
      <c r="U1494">
        <v>590</v>
      </c>
      <c r="V1494">
        <v>1090</v>
      </c>
    </row>
    <row r="1495" spans="2:22" x14ac:dyDescent="0.35">
      <c r="B1495" s="46" t="s">
        <v>2078</v>
      </c>
      <c r="D1495" t="s">
        <v>1460</v>
      </c>
      <c r="E1495" t="s">
        <v>1937</v>
      </c>
      <c r="F1495" s="46" t="s">
        <v>2078</v>
      </c>
      <c r="G1495" t="s">
        <v>265</v>
      </c>
      <c r="H1495" s="47" t="s">
        <v>501</v>
      </c>
      <c r="I1495" s="47" t="s">
        <v>2068</v>
      </c>
      <c r="J1495" t="s">
        <v>1853</v>
      </c>
      <c r="K1495">
        <v>350</v>
      </c>
      <c r="L1495">
        <v>563</v>
      </c>
      <c r="M1495" s="24">
        <v>325</v>
      </c>
      <c r="N1495" s="24">
        <v>537</v>
      </c>
      <c r="O1495" s="24">
        <v>688</v>
      </c>
      <c r="P1495" s="24">
        <v>875</v>
      </c>
      <c r="Q1495">
        <v>304</v>
      </c>
      <c r="R1495">
        <v>668</v>
      </c>
      <c r="S1495">
        <v>361</v>
      </c>
      <c r="T1495">
        <v>622</v>
      </c>
      <c r="U1495">
        <v>361</v>
      </c>
      <c r="V1495">
        <v>622</v>
      </c>
    </row>
    <row r="1496" spans="2:22" x14ac:dyDescent="0.35">
      <c r="B1496" s="46" t="s">
        <v>2079</v>
      </c>
      <c r="D1496" t="s">
        <v>1460</v>
      </c>
      <c r="E1496" t="s">
        <v>1937</v>
      </c>
      <c r="F1496" s="46" t="s">
        <v>2079</v>
      </c>
      <c r="G1496" t="s">
        <v>265</v>
      </c>
      <c r="H1496" s="47" t="s">
        <v>501</v>
      </c>
      <c r="I1496" s="47" t="s">
        <v>2068</v>
      </c>
      <c r="J1496" t="s">
        <v>385</v>
      </c>
      <c r="K1496">
        <v>709</v>
      </c>
      <c r="L1496">
        <v>1317</v>
      </c>
      <c r="M1496" s="24">
        <v>659</v>
      </c>
      <c r="N1496" s="24">
        <v>1273</v>
      </c>
      <c r="O1496" s="24">
        <v>823</v>
      </c>
      <c r="P1496" s="24">
        <v>1382</v>
      </c>
      <c r="Q1496">
        <v>590</v>
      </c>
      <c r="R1496">
        <v>1307</v>
      </c>
      <c r="S1496">
        <v>788</v>
      </c>
      <c r="T1496">
        <v>1479</v>
      </c>
      <c r="U1496">
        <v>788</v>
      </c>
      <c r="V1496">
        <v>1479</v>
      </c>
    </row>
    <row r="1497" spans="2:22" x14ac:dyDescent="0.35">
      <c r="B1497" s="46" t="s">
        <v>2080</v>
      </c>
      <c r="D1497" t="s">
        <v>1460</v>
      </c>
      <c r="E1497" t="s">
        <v>1937</v>
      </c>
      <c r="F1497" s="46" t="s">
        <v>2080</v>
      </c>
      <c r="G1497" t="s">
        <v>273</v>
      </c>
      <c r="H1497" s="47" t="s">
        <v>524</v>
      </c>
      <c r="I1497" s="47" t="s">
        <v>2081</v>
      </c>
      <c r="J1497" t="s">
        <v>2082</v>
      </c>
      <c r="K1497">
        <v>723</v>
      </c>
      <c r="L1497">
        <v>1157</v>
      </c>
      <c r="M1497" s="24">
        <v>597</v>
      </c>
      <c r="N1497" s="24">
        <v>1141</v>
      </c>
      <c r="O1497" s="24">
        <v>612</v>
      </c>
      <c r="P1497" s="24">
        <v>1186</v>
      </c>
      <c r="Q1497">
        <v>583</v>
      </c>
      <c r="R1497">
        <v>1201</v>
      </c>
      <c r="S1497">
        <v>917</v>
      </c>
      <c r="T1497">
        <v>1651</v>
      </c>
      <c r="U1497">
        <v>917</v>
      </c>
      <c r="V1497">
        <v>1651</v>
      </c>
    </row>
    <row r="1498" spans="2:22" x14ac:dyDescent="0.35">
      <c r="B1498" s="46" t="s">
        <v>2083</v>
      </c>
      <c r="D1498" t="s">
        <v>1460</v>
      </c>
      <c r="E1498" t="s">
        <v>1937</v>
      </c>
      <c r="F1498" s="46" t="s">
        <v>2083</v>
      </c>
      <c r="G1498" t="s">
        <v>273</v>
      </c>
      <c r="H1498" s="47" t="s">
        <v>524</v>
      </c>
      <c r="I1498" s="47" t="s">
        <v>2081</v>
      </c>
      <c r="J1498" t="s">
        <v>2084</v>
      </c>
      <c r="K1498">
        <v>420</v>
      </c>
      <c r="L1498">
        <v>677</v>
      </c>
      <c r="M1498" s="24">
        <v>342</v>
      </c>
      <c r="N1498" s="24">
        <v>664</v>
      </c>
      <c r="O1498" s="24">
        <v>298</v>
      </c>
      <c r="P1498" s="24">
        <v>642</v>
      </c>
      <c r="Q1498">
        <v>318</v>
      </c>
      <c r="R1498">
        <v>643</v>
      </c>
      <c r="S1498">
        <v>585</v>
      </c>
      <c r="T1498">
        <v>990</v>
      </c>
      <c r="U1498">
        <v>585</v>
      </c>
      <c r="V1498">
        <v>990</v>
      </c>
    </row>
    <row r="1499" spans="2:22" x14ac:dyDescent="0.35">
      <c r="B1499" s="46" t="s">
        <v>2085</v>
      </c>
      <c r="D1499" t="s">
        <v>1460</v>
      </c>
      <c r="E1499" t="s">
        <v>1937</v>
      </c>
      <c r="F1499" s="46" t="s">
        <v>2085</v>
      </c>
      <c r="G1499" t="s">
        <v>273</v>
      </c>
      <c r="H1499" s="47" t="s">
        <v>524</v>
      </c>
      <c r="I1499" s="47" t="s">
        <v>2081</v>
      </c>
      <c r="J1499" t="s">
        <v>2086</v>
      </c>
      <c r="K1499">
        <v>985</v>
      </c>
      <c r="L1499">
        <v>1484</v>
      </c>
      <c r="M1499" s="24">
        <v>747</v>
      </c>
      <c r="N1499" s="24">
        <v>1375</v>
      </c>
      <c r="O1499" s="24">
        <v>693</v>
      </c>
      <c r="P1499" s="24">
        <v>1317</v>
      </c>
      <c r="Q1499">
        <v>783</v>
      </c>
      <c r="R1499">
        <v>1474</v>
      </c>
      <c r="S1499">
        <v>1434</v>
      </c>
      <c r="T1499">
        <v>2222</v>
      </c>
      <c r="U1499">
        <v>1434</v>
      </c>
      <c r="V1499">
        <v>2222</v>
      </c>
    </row>
    <row r="1500" spans="2:22" x14ac:dyDescent="0.35">
      <c r="B1500" s="46" t="s">
        <v>2087</v>
      </c>
      <c r="D1500" t="s">
        <v>1460</v>
      </c>
      <c r="E1500" t="s">
        <v>1937</v>
      </c>
      <c r="F1500" s="46" t="s">
        <v>2087</v>
      </c>
      <c r="G1500" t="s">
        <v>273</v>
      </c>
      <c r="H1500" s="47" t="s">
        <v>524</v>
      </c>
      <c r="I1500" s="47" t="s">
        <v>2081</v>
      </c>
      <c r="J1500" t="s">
        <v>2088</v>
      </c>
      <c r="K1500">
        <v>562</v>
      </c>
      <c r="L1500">
        <v>871</v>
      </c>
      <c r="M1500" s="24">
        <v>489</v>
      </c>
      <c r="N1500" s="24">
        <v>889</v>
      </c>
      <c r="O1500" s="24">
        <v>404</v>
      </c>
      <c r="P1500" s="24">
        <v>829</v>
      </c>
      <c r="Q1500">
        <v>484</v>
      </c>
      <c r="R1500">
        <v>927</v>
      </c>
      <c r="S1500">
        <v>815</v>
      </c>
      <c r="T1500">
        <v>1303</v>
      </c>
      <c r="U1500">
        <v>815</v>
      </c>
      <c r="V1500">
        <v>1303</v>
      </c>
    </row>
    <row r="1501" spans="2:22" x14ac:dyDescent="0.35">
      <c r="B1501" s="46" t="s">
        <v>2089</v>
      </c>
      <c r="D1501" t="s">
        <v>1460</v>
      </c>
      <c r="E1501" t="s">
        <v>1937</v>
      </c>
      <c r="F1501" s="46" t="s">
        <v>2089</v>
      </c>
      <c r="G1501" t="s">
        <v>273</v>
      </c>
      <c r="H1501" s="47" t="s">
        <v>524</v>
      </c>
      <c r="I1501" s="47" t="s">
        <v>2081</v>
      </c>
      <c r="J1501" t="s">
        <v>2090</v>
      </c>
      <c r="K1501">
        <v>240</v>
      </c>
      <c r="L1501">
        <v>377</v>
      </c>
      <c r="M1501" s="24">
        <v>151</v>
      </c>
      <c r="N1501" s="24">
        <v>301</v>
      </c>
      <c r="O1501" s="24">
        <v>134</v>
      </c>
      <c r="P1501" s="24">
        <v>290</v>
      </c>
      <c r="Q1501">
        <v>156</v>
      </c>
      <c r="R1501">
        <v>337</v>
      </c>
      <c r="S1501">
        <v>279</v>
      </c>
      <c r="T1501">
        <v>477</v>
      </c>
      <c r="U1501">
        <v>279</v>
      </c>
      <c r="V1501">
        <v>477</v>
      </c>
    </row>
    <row r="1502" spans="2:22" x14ac:dyDescent="0.35">
      <c r="B1502" s="46" t="s">
        <v>2091</v>
      </c>
      <c r="D1502" t="s">
        <v>1460</v>
      </c>
      <c r="E1502" t="s">
        <v>1937</v>
      </c>
      <c r="F1502" s="46" t="s">
        <v>2091</v>
      </c>
      <c r="G1502" t="s">
        <v>273</v>
      </c>
      <c r="H1502" s="47" t="s">
        <v>524</v>
      </c>
      <c r="I1502" s="47" t="s">
        <v>2081</v>
      </c>
      <c r="J1502" t="s">
        <v>2092</v>
      </c>
      <c r="K1502">
        <v>6277</v>
      </c>
      <c r="L1502">
        <v>10767</v>
      </c>
      <c r="M1502" s="24">
        <v>5779</v>
      </c>
      <c r="N1502" s="24">
        <v>10619</v>
      </c>
      <c r="O1502" s="24">
        <v>4800</v>
      </c>
      <c r="P1502" s="24">
        <v>10269</v>
      </c>
      <c r="Q1502">
        <v>5496</v>
      </c>
      <c r="R1502">
        <v>10904</v>
      </c>
      <c r="S1502">
        <v>7871</v>
      </c>
      <c r="T1502">
        <v>14734</v>
      </c>
      <c r="U1502">
        <v>7871</v>
      </c>
      <c r="V1502">
        <v>14734</v>
      </c>
    </row>
    <row r="1503" spans="2:22" x14ac:dyDescent="0.35">
      <c r="B1503" s="46" t="s">
        <v>2093</v>
      </c>
      <c r="D1503" t="s">
        <v>1460</v>
      </c>
      <c r="E1503" t="s">
        <v>1937</v>
      </c>
      <c r="F1503" s="46" t="s">
        <v>2093</v>
      </c>
      <c r="G1503" t="s">
        <v>273</v>
      </c>
      <c r="H1503" s="47" t="s">
        <v>524</v>
      </c>
      <c r="I1503" s="47" t="s">
        <v>2081</v>
      </c>
      <c r="J1503" t="s">
        <v>2094</v>
      </c>
      <c r="K1503">
        <v>146</v>
      </c>
      <c r="L1503">
        <v>234</v>
      </c>
      <c r="M1503" s="24">
        <v>107</v>
      </c>
      <c r="N1503" s="24">
        <v>218</v>
      </c>
      <c r="O1503" s="24">
        <v>98</v>
      </c>
      <c r="P1503" s="24">
        <v>190</v>
      </c>
      <c r="Q1503">
        <v>94</v>
      </c>
      <c r="R1503">
        <v>179</v>
      </c>
      <c r="S1503">
        <v>189</v>
      </c>
      <c r="T1503">
        <v>313</v>
      </c>
      <c r="U1503">
        <v>189</v>
      </c>
      <c r="V1503">
        <v>313</v>
      </c>
    </row>
    <row r="1504" spans="2:22" x14ac:dyDescent="0.35">
      <c r="B1504" s="46" t="s">
        <v>2095</v>
      </c>
      <c r="D1504" t="s">
        <v>1460</v>
      </c>
      <c r="E1504" t="s">
        <v>1937</v>
      </c>
      <c r="F1504" s="46" t="s">
        <v>2095</v>
      </c>
      <c r="G1504" t="s">
        <v>273</v>
      </c>
      <c r="H1504" s="47" t="s">
        <v>524</v>
      </c>
      <c r="I1504" s="47" t="s">
        <v>2081</v>
      </c>
      <c r="J1504" t="s">
        <v>2096</v>
      </c>
      <c r="K1504">
        <v>1229</v>
      </c>
      <c r="L1504">
        <v>2095</v>
      </c>
      <c r="M1504" s="24">
        <v>1064</v>
      </c>
      <c r="N1504" s="24">
        <v>2044</v>
      </c>
      <c r="O1504" s="24">
        <v>1111</v>
      </c>
      <c r="P1504" s="24">
        <v>2124</v>
      </c>
      <c r="Q1504">
        <v>1226</v>
      </c>
      <c r="R1504">
        <v>2352</v>
      </c>
      <c r="S1504">
        <v>1628</v>
      </c>
      <c r="T1504">
        <v>3079</v>
      </c>
      <c r="U1504">
        <v>1628</v>
      </c>
      <c r="V1504">
        <v>3079</v>
      </c>
    </row>
    <row r="1505" spans="2:22" x14ac:dyDescent="0.35">
      <c r="B1505" s="46" t="s">
        <v>2097</v>
      </c>
      <c r="D1505" t="s">
        <v>1460</v>
      </c>
      <c r="E1505" t="s">
        <v>1937</v>
      </c>
      <c r="F1505" s="46" t="s">
        <v>2097</v>
      </c>
      <c r="G1505" t="s">
        <v>279</v>
      </c>
      <c r="H1505" s="47" t="s">
        <v>1347</v>
      </c>
      <c r="I1505" s="47" t="s">
        <v>2098</v>
      </c>
      <c r="J1505" t="s">
        <v>2099</v>
      </c>
      <c r="K1505">
        <v>24924</v>
      </c>
      <c r="L1505">
        <v>43027</v>
      </c>
      <c r="M1505" s="24">
        <v>23462</v>
      </c>
      <c r="N1505" s="24">
        <v>43185</v>
      </c>
      <c r="O1505" s="24">
        <v>25943</v>
      </c>
      <c r="P1505" s="24">
        <v>46638</v>
      </c>
      <c r="Q1505">
        <v>30675</v>
      </c>
      <c r="R1505">
        <v>55865</v>
      </c>
      <c r="S1505">
        <v>41620</v>
      </c>
      <c r="T1505">
        <v>72579</v>
      </c>
      <c r="U1505">
        <v>41620</v>
      </c>
      <c r="V1505">
        <v>72579</v>
      </c>
    </row>
    <row r="1506" spans="2:22" x14ac:dyDescent="0.35">
      <c r="B1506" s="46" t="s">
        <v>2100</v>
      </c>
      <c r="D1506" t="s">
        <v>1460</v>
      </c>
      <c r="E1506" t="s">
        <v>1937</v>
      </c>
      <c r="F1506" s="46" t="s">
        <v>2100</v>
      </c>
      <c r="G1506" t="s">
        <v>279</v>
      </c>
      <c r="H1506" s="47" t="s">
        <v>1347</v>
      </c>
      <c r="I1506" s="47" t="s">
        <v>2098</v>
      </c>
      <c r="J1506" t="s">
        <v>347</v>
      </c>
      <c r="K1506">
        <v>69480</v>
      </c>
      <c r="L1506">
        <v>106923</v>
      </c>
      <c r="M1506" s="24">
        <v>60786</v>
      </c>
      <c r="N1506" s="24">
        <v>100002</v>
      </c>
      <c r="O1506" s="24">
        <v>61232</v>
      </c>
      <c r="P1506" s="24">
        <v>101386</v>
      </c>
      <c r="Q1506">
        <v>66825</v>
      </c>
      <c r="R1506">
        <v>114858</v>
      </c>
      <c r="S1506">
        <v>100102</v>
      </c>
      <c r="T1506">
        <v>160646</v>
      </c>
      <c r="U1506">
        <v>100102</v>
      </c>
      <c r="V1506">
        <v>160646</v>
      </c>
    </row>
    <row r="1507" spans="2:22" x14ac:dyDescent="0.35">
      <c r="B1507" s="46" t="s">
        <v>2101</v>
      </c>
      <c r="D1507" t="s">
        <v>1460</v>
      </c>
      <c r="E1507" t="s">
        <v>1937</v>
      </c>
      <c r="F1507" s="46" t="s">
        <v>2101</v>
      </c>
      <c r="G1507" t="s">
        <v>279</v>
      </c>
      <c r="H1507" s="47" t="s">
        <v>1347</v>
      </c>
      <c r="I1507" s="47" t="s">
        <v>2098</v>
      </c>
      <c r="J1507" t="s">
        <v>2102</v>
      </c>
      <c r="K1507">
        <v>5185</v>
      </c>
      <c r="L1507">
        <v>8119</v>
      </c>
      <c r="M1507" s="24">
        <v>4700</v>
      </c>
      <c r="N1507" s="24">
        <v>8088</v>
      </c>
      <c r="O1507" s="24">
        <v>5642</v>
      </c>
      <c r="P1507" s="24">
        <v>8861</v>
      </c>
      <c r="Q1507">
        <v>4308</v>
      </c>
      <c r="R1507">
        <v>7866</v>
      </c>
      <c r="S1507">
        <v>4030</v>
      </c>
      <c r="T1507">
        <v>8732</v>
      </c>
      <c r="U1507">
        <v>4030</v>
      </c>
      <c r="V1507">
        <v>8732</v>
      </c>
    </row>
    <row r="1508" spans="2:22" x14ac:dyDescent="0.35">
      <c r="B1508" s="46" t="s">
        <v>2103</v>
      </c>
      <c r="D1508" t="s">
        <v>1460</v>
      </c>
      <c r="E1508" t="s">
        <v>1937</v>
      </c>
      <c r="F1508" s="46" t="s">
        <v>2103</v>
      </c>
      <c r="G1508" t="s">
        <v>279</v>
      </c>
      <c r="H1508" s="47" t="s">
        <v>1347</v>
      </c>
      <c r="I1508" s="47" t="s">
        <v>2098</v>
      </c>
      <c r="J1508" t="s">
        <v>2104</v>
      </c>
      <c r="K1508">
        <v>1993</v>
      </c>
      <c r="L1508">
        <v>3387</v>
      </c>
      <c r="M1508" s="24">
        <v>1746</v>
      </c>
      <c r="N1508" s="24">
        <v>3106</v>
      </c>
      <c r="O1508" s="24">
        <v>1431</v>
      </c>
      <c r="P1508" s="24">
        <v>2677</v>
      </c>
      <c r="Q1508">
        <v>1433</v>
      </c>
      <c r="R1508">
        <v>2657</v>
      </c>
      <c r="S1508">
        <v>2427</v>
      </c>
      <c r="T1508">
        <v>4154</v>
      </c>
      <c r="U1508">
        <v>2427</v>
      </c>
      <c r="V1508">
        <v>4154</v>
      </c>
    </row>
    <row r="1509" spans="2:22" x14ac:dyDescent="0.35">
      <c r="B1509" s="46" t="s">
        <v>2105</v>
      </c>
      <c r="D1509" t="s">
        <v>1460</v>
      </c>
      <c r="E1509" t="s">
        <v>1937</v>
      </c>
      <c r="F1509" s="46" t="s">
        <v>2105</v>
      </c>
      <c r="G1509" t="s">
        <v>279</v>
      </c>
      <c r="H1509" s="47" t="s">
        <v>1347</v>
      </c>
      <c r="I1509" s="47" t="s">
        <v>2098</v>
      </c>
      <c r="J1509" t="s">
        <v>2106</v>
      </c>
      <c r="K1509">
        <v>2984</v>
      </c>
      <c r="L1509">
        <v>5157</v>
      </c>
      <c r="M1509" s="24">
        <v>3103</v>
      </c>
      <c r="N1509" s="24">
        <v>5656</v>
      </c>
      <c r="O1509" s="24">
        <v>3750</v>
      </c>
      <c r="P1509" s="24">
        <v>6421</v>
      </c>
      <c r="Q1509">
        <v>6203</v>
      </c>
      <c r="R1509">
        <v>8935</v>
      </c>
      <c r="S1509">
        <v>9877</v>
      </c>
      <c r="T1509">
        <v>13727</v>
      </c>
      <c r="U1509">
        <v>9877</v>
      </c>
      <c r="V1509">
        <v>13727</v>
      </c>
    </row>
    <row r="1510" spans="2:22" x14ac:dyDescent="0.35">
      <c r="B1510" s="46" t="s">
        <v>2107</v>
      </c>
      <c r="D1510" t="s">
        <v>1460</v>
      </c>
      <c r="E1510" t="s">
        <v>1937</v>
      </c>
      <c r="F1510" s="46" t="s">
        <v>2107</v>
      </c>
      <c r="G1510" t="s">
        <v>279</v>
      </c>
      <c r="H1510" s="47" t="s">
        <v>1347</v>
      </c>
      <c r="I1510" s="47" t="s">
        <v>2098</v>
      </c>
      <c r="J1510" t="s">
        <v>2108</v>
      </c>
      <c r="K1510">
        <v>863</v>
      </c>
      <c r="L1510">
        <v>1643</v>
      </c>
      <c r="M1510" s="24">
        <v>745</v>
      </c>
      <c r="N1510" s="24">
        <v>1552</v>
      </c>
      <c r="O1510" s="24">
        <v>940</v>
      </c>
      <c r="P1510" s="24">
        <v>1632</v>
      </c>
      <c r="Q1510">
        <v>814</v>
      </c>
      <c r="R1510">
        <v>1761</v>
      </c>
      <c r="S1510">
        <v>1720</v>
      </c>
      <c r="T1510">
        <v>2607</v>
      </c>
      <c r="U1510">
        <v>1720</v>
      </c>
      <c r="V1510">
        <v>2607</v>
      </c>
    </row>
    <row r="1511" spans="2:22" x14ac:dyDescent="0.35">
      <c r="B1511" s="46" t="s">
        <v>2109</v>
      </c>
      <c r="D1511" t="s">
        <v>1460</v>
      </c>
      <c r="E1511" t="s">
        <v>1937</v>
      </c>
      <c r="F1511" s="46" t="s">
        <v>2109</v>
      </c>
      <c r="G1511" t="s">
        <v>279</v>
      </c>
      <c r="H1511" s="47" t="s">
        <v>1347</v>
      </c>
      <c r="I1511" s="47" t="s">
        <v>2098</v>
      </c>
      <c r="J1511" t="s">
        <v>2110</v>
      </c>
      <c r="K1511">
        <v>1676</v>
      </c>
      <c r="L1511">
        <v>3052</v>
      </c>
      <c r="M1511" s="24">
        <v>1666</v>
      </c>
      <c r="N1511" s="24">
        <v>3160</v>
      </c>
      <c r="O1511" s="24">
        <v>1588</v>
      </c>
      <c r="P1511" s="24">
        <v>3213</v>
      </c>
      <c r="Q1511">
        <v>2041</v>
      </c>
      <c r="R1511">
        <v>3913</v>
      </c>
      <c r="S1511">
        <v>2359</v>
      </c>
      <c r="T1511">
        <v>5166</v>
      </c>
      <c r="U1511">
        <v>2359</v>
      </c>
      <c r="V1511">
        <v>5166</v>
      </c>
    </row>
    <row r="1512" spans="2:22" x14ac:dyDescent="0.35">
      <c r="B1512" s="46" t="s">
        <v>2111</v>
      </c>
      <c r="D1512" t="s">
        <v>1460</v>
      </c>
      <c r="E1512" t="s">
        <v>1937</v>
      </c>
      <c r="F1512" s="46" t="s">
        <v>2111</v>
      </c>
      <c r="G1512" t="s">
        <v>283</v>
      </c>
      <c r="H1512" s="47" t="s">
        <v>1366</v>
      </c>
      <c r="I1512" s="47" t="s">
        <v>2112</v>
      </c>
      <c r="J1512" t="s">
        <v>2113</v>
      </c>
      <c r="K1512">
        <v>286</v>
      </c>
      <c r="L1512">
        <v>572</v>
      </c>
      <c r="M1512" s="24">
        <v>204</v>
      </c>
      <c r="N1512" s="24">
        <v>489</v>
      </c>
      <c r="O1512" s="24">
        <v>222</v>
      </c>
      <c r="P1512" s="24">
        <v>484</v>
      </c>
      <c r="Q1512">
        <v>228</v>
      </c>
      <c r="R1512">
        <v>496</v>
      </c>
      <c r="S1512">
        <v>324</v>
      </c>
      <c r="T1512">
        <v>601</v>
      </c>
      <c r="U1512">
        <v>324</v>
      </c>
      <c r="V1512">
        <v>601</v>
      </c>
    </row>
    <row r="1513" spans="2:22" x14ac:dyDescent="0.35">
      <c r="B1513" s="46" t="s">
        <v>2114</v>
      </c>
      <c r="D1513" t="s">
        <v>1460</v>
      </c>
      <c r="E1513" t="s">
        <v>1937</v>
      </c>
      <c r="F1513" s="46" t="s">
        <v>2114</v>
      </c>
      <c r="G1513" t="s">
        <v>283</v>
      </c>
      <c r="H1513" s="47" t="s">
        <v>1366</v>
      </c>
      <c r="I1513" s="47" t="s">
        <v>2112</v>
      </c>
      <c r="J1513" t="s">
        <v>2115</v>
      </c>
      <c r="K1513">
        <v>80</v>
      </c>
      <c r="L1513">
        <v>128</v>
      </c>
      <c r="M1513" s="24">
        <v>85</v>
      </c>
      <c r="N1513" s="24">
        <v>123</v>
      </c>
      <c r="O1513" s="24">
        <v>98</v>
      </c>
      <c r="P1513" s="24">
        <v>133</v>
      </c>
      <c r="Q1513">
        <v>111</v>
      </c>
      <c r="R1513">
        <v>140</v>
      </c>
      <c r="S1513">
        <v>136</v>
      </c>
      <c r="T1513">
        <v>173</v>
      </c>
      <c r="U1513">
        <v>136</v>
      </c>
      <c r="V1513">
        <v>173</v>
      </c>
    </row>
    <row r="1514" spans="2:22" x14ac:dyDescent="0.35">
      <c r="B1514" s="46" t="s">
        <v>2116</v>
      </c>
      <c r="D1514" t="s">
        <v>1460</v>
      </c>
      <c r="E1514" t="s">
        <v>1937</v>
      </c>
      <c r="F1514" s="46" t="s">
        <v>2116</v>
      </c>
      <c r="G1514" t="s">
        <v>283</v>
      </c>
      <c r="H1514" s="47" t="s">
        <v>1366</v>
      </c>
      <c r="I1514" s="47" t="s">
        <v>2112</v>
      </c>
      <c r="J1514" t="s">
        <v>2117</v>
      </c>
      <c r="K1514">
        <v>33241</v>
      </c>
      <c r="L1514">
        <v>48495</v>
      </c>
      <c r="M1514" s="24">
        <v>29155</v>
      </c>
      <c r="N1514" s="24">
        <v>44199</v>
      </c>
      <c r="O1514" s="24">
        <v>27254</v>
      </c>
      <c r="P1514" s="24">
        <v>41838</v>
      </c>
      <c r="Q1514">
        <v>31216</v>
      </c>
      <c r="R1514">
        <v>49386</v>
      </c>
      <c r="S1514">
        <v>45410</v>
      </c>
      <c r="T1514">
        <v>68792</v>
      </c>
      <c r="U1514">
        <v>45410</v>
      </c>
      <c r="V1514">
        <v>68792</v>
      </c>
    </row>
    <row r="1515" spans="2:22" x14ac:dyDescent="0.35">
      <c r="B1515" s="46" t="s">
        <v>2118</v>
      </c>
      <c r="D1515" t="s">
        <v>1460</v>
      </c>
      <c r="E1515" t="s">
        <v>1937</v>
      </c>
      <c r="F1515" s="46" t="s">
        <v>2118</v>
      </c>
      <c r="G1515" t="s">
        <v>283</v>
      </c>
      <c r="H1515" s="47" t="s">
        <v>1366</v>
      </c>
      <c r="I1515" s="47" t="s">
        <v>2112</v>
      </c>
      <c r="J1515" t="s">
        <v>2119</v>
      </c>
      <c r="K1515">
        <v>206</v>
      </c>
      <c r="L1515">
        <v>289</v>
      </c>
      <c r="M1515" s="24">
        <v>150</v>
      </c>
      <c r="N1515" s="24">
        <v>242</v>
      </c>
      <c r="O1515" s="24">
        <v>183</v>
      </c>
      <c r="P1515" s="24">
        <v>243</v>
      </c>
      <c r="Q1515">
        <v>186</v>
      </c>
      <c r="R1515">
        <v>238</v>
      </c>
      <c r="S1515">
        <v>289</v>
      </c>
      <c r="T1515">
        <v>391</v>
      </c>
      <c r="U1515">
        <v>289</v>
      </c>
      <c r="V1515">
        <v>391</v>
      </c>
    </row>
    <row r="1516" spans="2:22" x14ac:dyDescent="0.35">
      <c r="B1516" s="46" t="s">
        <v>2120</v>
      </c>
      <c r="D1516" t="s">
        <v>1460</v>
      </c>
      <c r="E1516" t="s">
        <v>1937</v>
      </c>
      <c r="F1516" s="46" t="s">
        <v>2120</v>
      </c>
      <c r="G1516" t="s">
        <v>283</v>
      </c>
      <c r="H1516" s="47" t="s">
        <v>1366</v>
      </c>
      <c r="I1516" s="47" t="s">
        <v>2112</v>
      </c>
      <c r="J1516" t="s">
        <v>959</v>
      </c>
      <c r="K1516">
        <v>52</v>
      </c>
      <c r="L1516">
        <v>95</v>
      </c>
      <c r="M1516" s="24">
        <v>45</v>
      </c>
      <c r="N1516" s="24">
        <v>92</v>
      </c>
      <c r="O1516" s="24">
        <v>43</v>
      </c>
      <c r="P1516" s="24">
        <v>93</v>
      </c>
      <c r="Q1516">
        <v>48</v>
      </c>
      <c r="R1516">
        <v>94</v>
      </c>
      <c r="S1516">
        <v>95</v>
      </c>
      <c r="T1516">
        <v>157</v>
      </c>
      <c r="U1516">
        <v>95</v>
      </c>
      <c r="V1516">
        <v>157</v>
      </c>
    </row>
    <row r="1517" spans="2:22" x14ac:dyDescent="0.35">
      <c r="B1517" s="46" t="s">
        <v>2121</v>
      </c>
      <c r="D1517" t="s">
        <v>1460</v>
      </c>
      <c r="E1517" t="s">
        <v>1937</v>
      </c>
      <c r="F1517" s="46" t="s">
        <v>2121</v>
      </c>
      <c r="G1517" t="s">
        <v>283</v>
      </c>
      <c r="H1517" s="47" t="s">
        <v>1366</v>
      </c>
      <c r="I1517" s="47" t="s">
        <v>2112</v>
      </c>
      <c r="J1517" t="s">
        <v>2122</v>
      </c>
      <c r="K1517">
        <v>174</v>
      </c>
      <c r="L1517">
        <v>321</v>
      </c>
      <c r="M1517" s="24">
        <v>145</v>
      </c>
      <c r="N1517" s="24">
        <v>291</v>
      </c>
      <c r="O1517" s="24">
        <v>163</v>
      </c>
      <c r="P1517" s="24">
        <v>320</v>
      </c>
      <c r="Q1517">
        <v>332</v>
      </c>
      <c r="R1517">
        <v>475</v>
      </c>
      <c r="S1517">
        <v>657</v>
      </c>
      <c r="T1517">
        <v>822</v>
      </c>
      <c r="U1517">
        <v>657</v>
      </c>
      <c r="V1517">
        <v>822</v>
      </c>
    </row>
    <row r="1518" spans="2:22" x14ac:dyDescent="0.35">
      <c r="B1518" s="46" t="s">
        <v>2123</v>
      </c>
      <c r="D1518" t="s">
        <v>1460</v>
      </c>
      <c r="E1518" t="s">
        <v>1937</v>
      </c>
      <c r="F1518" s="46" t="s">
        <v>2123</v>
      </c>
      <c r="G1518" t="s">
        <v>289</v>
      </c>
      <c r="H1518" s="47" t="s">
        <v>1355</v>
      </c>
      <c r="I1518" s="47" t="s">
        <v>2124</v>
      </c>
      <c r="J1518" t="s">
        <v>2125</v>
      </c>
      <c r="K1518">
        <v>7880</v>
      </c>
      <c r="L1518">
        <v>12387</v>
      </c>
      <c r="M1518" s="24">
        <v>7369</v>
      </c>
      <c r="N1518" s="24">
        <v>12107</v>
      </c>
      <c r="O1518" s="24">
        <v>5909</v>
      </c>
      <c r="P1518" s="24">
        <v>11755</v>
      </c>
      <c r="Q1518">
        <v>6377</v>
      </c>
      <c r="R1518">
        <v>12619</v>
      </c>
      <c r="S1518">
        <v>10596</v>
      </c>
      <c r="T1518">
        <v>18525</v>
      </c>
      <c r="U1518">
        <v>10596</v>
      </c>
      <c r="V1518">
        <v>18525</v>
      </c>
    </row>
    <row r="1519" spans="2:22" x14ac:dyDescent="0.35">
      <c r="B1519" s="46" t="s">
        <v>2126</v>
      </c>
      <c r="D1519" t="s">
        <v>1460</v>
      </c>
      <c r="E1519" t="s">
        <v>1937</v>
      </c>
      <c r="F1519" s="46" t="s">
        <v>2126</v>
      </c>
      <c r="G1519" t="s">
        <v>289</v>
      </c>
      <c r="H1519" s="47" t="s">
        <v>1355</v>
      </c>
      <c r="I1519" s="47" t="s">
        <v>2124</v>
      </c>
      <c r="J1519" t="s">
        <v>905</v>
      </c>
      <c r="K1519">
        <v>156668</v>
      </c>
      <c r="L1519">
        <v>229493</v>
      </c>
      <c r="M1519" s="24">
        <v>146877</v>
      </c>
      <c r="N1519" s="24">
        <v>226991</v>
      </c>
      <c r="O1519" s="24">
        <v>157596</v>
      </c>
      <c r="P1519" s="24">
        <v>235021</v>
      </c>
      <c r="Q1519">
        <v>171506</v>
      </c>
      <c r="R1519">
        <v>274556</v>
      </c>
      <c r="S1519">
        <v>264384</v>
      </c>
      <c r="T1519">
        <v>384697</v>
      </c>
      <c r="U1519">
        <v>264384</v>
      </c>
      <c r="V1519">
        <v>384697</v>
      </c>
    </row>
    <row r="1520" spans="2:22" x14ac:dyDescent="0.35">
      <c r="B1520" s="46" t="s">
        <v>2127</v>
      </c>
      <c r="D1520" t="s">
        <v>1460</v>
      </c>
      <c r="E1520" t="s">
        <v>1937</v>
      </c>
      <c r="F1520" s="46" t="s">
        <v>2127</v>
      </c>
      <c r="G1520" t="s">
        <v>293</v>
      </c>
      <c r="H1520" s="47" t="s">
        <v>2128</v>
      </c>
      <c r="I1520" s="47" t="s">
        <v>2129</v>
      </c>
      <c r="J1520" t="s">
        <v>2130</v>
      </c>
      <c r="K1520">
        <v>3720</v>
      </c>
      <c r="L1520">
        <v>5705</v>
      </c>
      <c r="M1520" s="24">
        <v>3309</v>
      </c>
      <c r="N1520" s="24">
        <v>5714</v>
      </c>
      <c r="O1520" s="24">
        <v>3447</v>
      </c>
      <c r="P1520" s="24">
        <v>6326</v>
      </c>
      <c r="Q1520">
        <v>3880</v>
      </c>
      <c r="R1520">
        <v>7479</v>
      </c>
      <c r="S1520">
        <v>7680</v>
      </c>
      <c r="T1520">
        <v>12639</v>
      </c>
      <c r="U1520">
        <v>7680</v>
      </c>
      <c r="V1520">
        <v>12639</v>
      </c>
    </row>
    <row r="1521" spans="2:22" x14ac:dyDescent="0.35">
      <c r="B1521" s="46" t="s">
        <v>2131</v>
      </c>
      <c r="D1521" t="s">
        <v>1460</v>
      </c>
      <c r="E1521" t="s">
        <v>1937</v>
      </c>
      <c r="F1521" s="46" t="s">
        <v>2131</v>
      </c>
      <c r="G1521" t="s">
        <v>293</v>
      </c>
      <c r="H1521" s="47" t="s">
        <v>2128</v>
      </c>
      <c r="I1521" s="47" t="s">
        <v>2129</v>
      </c>
      <c r="J1521" t="s">
        <v>2132</v>
      </c>
      <c r="K1521">
        <v>674</v>
      </c>
      <c r="L1521">
        <v>1228</v>
      </c>
      <c r="M1521" s="24">
        <v>668</v>
      </c>
      <c r="N1521" s="24">
        <v>1245</v>
      </c>
      <c r="O1521" s="24">
        <v>837</v>
      </c>
      <c r="P1521" s="24">
        <v>1418</v>
      </c>
      <c r="Q1521">
        <v>713</v>
      </c>
      <c r="R1521">
        <v>1509</v>
      </c>
      <c r="S1521">
        <v>1154</v>
      </c>
      <c r="T1521">
        <v>2008</v>
      </c>
      <c r="U1521">
        <v>1154</v>
      </c>
      <c r="V1521">
        <v>2008</v>
      </c>
    </row>
    <row r="1522" spans="2:22" x14ac:dyDescent="0.35">
      <c r="B1522" s="46" t="s">
        <v>2133</v>
      </c>
      <c r="D1522" t="s">
        <v>1460</v>
      </c>
      <c r="E1522" t="s">
        <v>1937</v>
      </c>
      <c r="F1522" s="46" t="s">
        <v>2133</v>
      </c>
      <c r="G1522" t="s">
        <v>293</v>
      </c>
      <c r="H1522" s="47" t="s">
        <v>2128</v>
      </c>
      <c r="I1522" s="47" t="s">
        <v>2129</v>
      </c>
      <c r="J1522" t="s">
        <v>613</v>
      </c>
      <c r="K1522">
        <v>219</v>
      </c>
      <c r="L1522">
        <v>362</v>
      </c>
      <c r="M1522" s="24">
        <v>149</v>
      </c>
      <c r="N1522" s="24">
        <v>303</v>
      </c>
      <c r="O1522" s="24">
        <v>163</v>
      </c>
      <c r="P1522" s="24">
        <v>285</v>
      </c>
      <c r="Q1522">
        <v>168</v>
      </c>
      <c r="R1522">
        <v>301</v>
      </c>
      <c r="S1522">
        <v>247</v>
      </c>
      <c r="T1522">
        <v>419</v>
      </c>
      <c r="U1522">
        <v>247</v>
      </c>
      <c r="V1522">
        <v>419</v>
      </c>
    </row>
    <row r="1523" spans="2:22" x14ac:dyDescent="0.35">
      <c r="B1523" s="46" t="s">
        <v>2134</v>
      </c>
      <c r="D1523" t="s">
        <v>1460</v>
      </c>
      <c r="E1523" t="s">
        <v>1937</v>
      </c>
      <c r="F1523" s="46" t="s">
        <v>2134</v>
      </c>
      <c r="G1523" t="s">
        <v>293</v>
      </c>
      <c r="H1523" s="47" t="s">
        <v>2128</v>
      </c>
      <c r="I1523" s="47" t="s">
        <v>2129</v>
      </c>
      <c r="J1523" t="s">
        <v>2135</v>
      </c>
      <c r="K1523">
        <v>347</v>
      </c>
      <c r="L1523">
        <v>670</v>
      </c>
      <c r="M1523" s="24">
        <v>318</v>
      </c>
      <c r="N1523" s="24">
        <v>704</v>
      </c>
      <c r="O1523" s="24">
        <v>346</v>
      </c>
      <c r="P1523" s="24">
        <v>761</v>
      </c>
      <c r="Q1523">
        <v>343</v>
      </c>
      <c r="R1523">
        <v>758</v>
      </c>
      <c r="S1523">
        <v>514</v>
      </c>
      <c r="T1523">
        <v>1021</v>
      </c>
      <c r="U1523">
        <v>514</v>
      </c>
      <c r="V1523">
        <v>1021</v>
      </c>
    </row>
    <row r="1524" spans="2:22" x14ac:dyDescent="0.35">
      <c r="B1524" s="46" t="s">
        <v>2136</v>
      </c>
      <c r="D1524" t="s">
        <v>1460</v>
      </c>
      <c r="E1524" t="s">
        <v>1937</v>
      </c>
      <c r="F1524" s="46" t="s">
        <v>2136</v>
      </c>
      <c r="G1524" t="s">
        <v>293</v>
      </c>
      <c r="H1524" s="47" t="s">
        <v>2128</v>
      </c>
      <c r="I1524" s="47" t="s">
        <v>2129</v>
      </c>
      <c r="J1524" t="s">
        <v>2137</v>
      </c>
      <c r="K1524">
        <v>94</v>
      </c>
      <c r="L1524">
        <v>179</v>
      </c>
      <c r="M1524" s="24">
        <v>77</v>
      </c>
      <c r="N1524" s="24">
        <v>161</v>
      </c>
      <c r="O1524" s="24">
        <v>86</v>
      </c>
      <c r="P1524" s="24">
        <v>166</v>
      </c>
      <c r="Q1524">
        <v>76</v>
      </c>
      <c r="R1524">
        <v>177</v>
      </c>
      <c r="S1524">
        <v>134</v>
      </c>
      <c r="T1524">
        <v>238</v>
      </c>
      <c r="U1524">
        <v>134</v>
      </c>
      <c r="V1524">
        <v>238</v>
      </c>
    </row>
    <row r="1525" spans="2:22" x14ac:dyDescent="0.35">
      <c r="B1525" s="46" t="s">
        <v>2138</v>
      </c>
      <c r="D1525" t="s">
        <v>1460</v>
      </c>
      <c r="E1525" t="s">
        <v>1937</v>
      </c>
      <c r="F1525" s="46" t="s">
        <v>2138</v>
      </c>
      <c r="G1525" t="s">
        <v>293</v>
      </c>
      <c r="H1525" s="47" t="s">
        <v>2128</v>
      </c>
      <c r="I1525" s="47" t="s">
        <v>2129</v>
      </c>
      <c r="J1525" t="s">
        <v>2139</v>
      </c>
      <c r="K1525">
        <v>151</v>
      </c>
      <c r="L1525">
        <v>240</v>
      </c>
      <c r="M1525" s="24">
        <v>120</v>
      </c>
      <c r="N1525" s="24">
        <v>242</v>
      </c>
      <c r="O1525" s="24">
        <v>118</v>
      </c>
      <c r="P1525" s="24">
        <v>223</v>
      </c>
      <c r="Q1525">
        <v>121</v>
      </c>
      <c r="R1525">
        <v>250</v>
      </c>
      <c r="S1525">
        <v>175</v>
      </c>
      <c r="T1525">
        <v>340</v>
      </c>
      <c r="U1525">
        <v>175</v>
      </c>
      <c r="V1525">
        <v>340</v>
      </c>
    </row>
    <row r="1526" spans="2:22" x14ac:dyDescent="0.35">
      <c r="B1526" s="46" t="s">
        <v>2140</v>
      </c>
      <c r="D1526" t="s">
        <v>1460</v>
      </c>
      <c r="E1526" t="s">
        <v>1937</v>
      </c>
      <c r="F1526" s="46" t="s">
        <v>2140</v>
      </c>
      <c r="G1526" t="s">
        <v>303</v>
      </c>
      <c r="H1526" s="47" t="s">
        <v>2141</v>
      </c>
      <c r="I1526" s="47" t="s">
        <v>2142</v>
      </c>
      <c r="J1526" t="s">
        <v>583</v>
      </c>
      <c r="K1526">
        <v>268</v>
      </c>
      <c r="L1526">
        <v>395</v>
      </c>
      <c r="M1526" s="24">
        <v>254</v>
      </c>
      <c r="N1526" s="24">
        <v>381</v>
      </c>
      <c r="O1526" s="24">
        <v>328</v>
      </c>
      <c r="P1526" s="24">
        <v>497</v>
      </c>
      <c r="Q1526">
        <v>515</v>
      </c>
      <c r="R1526">
        <v>688</v>
      </c>
      <c r="S1526">
        <v>1224</v>
      </c>
      <c r="T1526">
        <v>1452</v>
      </c>
      <c r="U1526">
        <v>1224</v>
      </c>
      <c r="V1526">
        <v>1452</v>
      </c>
    </row>
    <row r="1527" spans="2:22" x14ac:dyDescent="0.35">
      <c r="B1527" s="46" t="s">
        <v>2143</v>
      </c>
      <c r="D1527" t="s">
        <v>1460</v>
      </c>
      <c r="E1527" t="s">
        <v>1937</v>
      </c>
      <c r="F1527" s="46" t="s">
        <v>2143</v>
      </c>
      <c r="G1527" t="s">
        <v>303</v>
      </c>
      <c r="H1527" s="47" t="s">
        <v>2141</v>
      </c>
      <c r="I1527" s="47" t="s">
        <v>2142</v>
      </c>
      <c r="J1527" t="s">
        <v>2144</v>
      </c>
      <c r="K1527">
        <v>109</v>
      </c>
      <c r="L1527">
        <v>177</v>
      </c>
      <c r="M1527" s="24">
        <v>100</v>
      </c>
      <c r="N1527" s="24">
        <v>217</v>
      </c>
      <c r="O1527" s="24">
        <v>180</v>
      </c>
      <c r="P1527" s="24">
        <v>252</v>
      </c>
      <c r="Q1527">
        <v>606</v>
      </c>
      <c r="R1527">
        <v>718</v>
      </c>
      <c r="S1527">
        <v>736</v>
      </c>
      <c r="T1527">
        <v>863</v>
      </c>
      <c r="U1527">
        <v>736</v>
      </c>
      <c r="V1527">
        <v>863</v>
      </c>
    </row>
    <row r="1528" spans="2:22" x14ac:dyDescent="0.35">
      <c r="B1528" s="46" t="s">
        <v>2145</v>
      </c>
      <c r="D1528" t="s">
        <v>1460</v>
      </c>
      <c r="E1528" t="s">
        <v>1937</v>
      </c>
      <c r="F1528" s="46" t="s">
        <v>2145</v>
      </c>
      <c r="G1528" t="s">
        <v>303</v>
      </c>
      <c r="H1528" s="47" t="s">
        <v>2141</v>
      </c>
      <c r="I1528" s="47" t="s">
        <v>2142</v>
      </c>
      <c r="J1528" t="s">
        <v>2146</v>
      </c>
      <c r="K1528">
        <v>30</v>
      </c>
      <c r="L1528">
        <v>48</v>
      </c>
      <c r="M1528" s="24">
        <v>21</v>
      </c>
      <c r="N1528" s="24">
        <v>27</v>
      </c>
      <c r="O1528" s="24">
        <v>24</v>
      </c>
      <c r="P1528" s="24">
        <v>37</v>
      </c>
      <c r="Q1528">
        <v>24</v>
      </c>
      <c r="R1528">
        <v>47</v>
      </c>
      <c r="S1528">
        <v>35</v>
      </c>
      <c r="T1528">
        <v>55</v>
      </c>
      <c r="U1528">
        <v>35</v>
      </c>
      <c r="V1528">
        <v>55</v>
      </c>
    </row>
    <row r="1529" spans="2:22" x14ac:dyDescent="0.35">
      <c r="B1529" s="46" t="s">
        <v>2147</v>
      </c>
      <c r="D1529" t="s">
        <v>1460</v>
      </c>
      <c r="E1529" t="s">
        <v>1937</v>
      </c>
      <c r="F1529" s="46" t="s">
        <v>2147</v>
      </c>
      <c r="G1529" t="s">
        <v>303</v>
      </c>
      <c r="H1529" s="47" t="s">
        <v>2141</v>
      </c>
      <c r="I1529" s="47" t="s">
        <v>2142</v>
      </c>
      <c r="J1529" t="s">
        <v>2148</v>
      </c>
      <c r="K1529">
        <v>8449</v>
      </c>
      <c r="L1529">
        <v>12496</v>
      </c>
      <c r="M1529" s="24">
        <v>8009</v>
      </c>
      <c r="N1529" s="24">
        <v>11904</v>
      </c>
      <c r="O1529" s="24">
        <v>7706</v>
      </c>
      <c r="P1529" s="24">
        <v>12315</v>
      </c>
      <c r="Q1529">
        <v>8856</v>
      </c>
      <c r="R1529">
        <v>14728</v>
      </c>
      <c r="S1529">
        <v>19694</v>
      </c>
      <c r="T1529">
        <v>23582</v>
      </c>
      <c r="U1529">
        <v>19694</v>
      </c>
      <c r="V1529">
        <v>23582</v>
      </c>
    </row>
    <row r="1530" spans="2:22" x14ac:dyDescent="0.35">
      <c r="B1530" s="46" t="s">
        <v>2149</v>
      </c>
      <c r="D1530" t="s">
        <v>1460</v>
      </c>
      <c r="E1530" t="s">
        <v>1937</v>
      </c>
      <c r="F1530" s="46" t="s">
        <v>2149</v>
      </c>
      <c r="G1530" t="s">
        <v>303</v>
      </c>
      <c r="H1530" s="47" t="s">
        <v>2141</v>
      </c>
      <c r="I1530" s="47" t="s">
        <v>2142</v>
      </c>
      <c r="J1530" t="s">
        <v>2150</v>
      </c>
      <c r="K1530">
        <v>458</v>
      </c>
      <c r="L1530">
        <v>583</v>
      </c>
      <c r="M1530" s="24">
        <v>419</v>
      </c>
      <c r="N1530" s="24">
        <v>630</v>
      </c>
      <c r="O1530" s="24">
        <v>637</v>
      </c>
      <c r="P1530" s="24">
        <v>914</v>
      </c>
      <c r="Q1530">
        <v>878</v>
      </c>
      <c r="R1530">
        <v>1255</v>
      </c>
      <c r="S1530">
        <v>1711</v>
      </c>
      <c r="T1530">
        <v>2045</v>
      </c>
      <c r="U1530">
        <v>1711</v>
      </c>
      <c r="V1530">
        <v>2045</v>
      </c>
    </row>
    <row r="1531" spans="2:22" x14ac:dyDescent="0.35">
      <c r="B1531" s="46" t="s">
        <v>2151</v>
      </c>
      <c r="D1531" t="s">
        <v>1460</v>
      </c>
      <c r="E1531" t="s">
        <v>1937</v>
      </c>
      <c r="F1531" s="46" t="s">
        <v>2151</v>
      </c>
      <c r="G1531" t="s">
        <v>311</v>
      </c>
      <c r="H1531" s="47" t="s">
        <v>2152</v>
      </c>
      <c r="I1531" s="47" t="s">
        <v>2153</v>
      </c>
      <c r="J1531" t="s">
        <v>2154</v>
      </c>
      <c r="K1531">
        <v>3233</v>
      </c>
      <c r="L1531">
        <v>5333</v>
      </c>
      <c r="M1531" s="24">
        <v>2498</v>
      </c>
      <c r="N1531" s="24">
        <v>5318</v>
      </c>
      <c r="O1531" s="24">
        <v>2272</v>
      </c>
      <c r="P1531" s="24">
        <v>5144</v>
      </c>
      <c r="Q1531">
        <v>2496</v>
      </c>
      <c r="R1531">
        <v>5656</v>
      </c>
      <c r="S1531">
        <v>5041</v>
      </c>
      <c r="T1531">
        <v>8407</v>
      </c>
      <c r="U1531">
        <v>5041</v>
      </c>
      <c r="V1531">
        <v>8407</v>
      </c>
    </row>
    <row r="1532" spans="2:22" x14ac:dyDescent="0.35">
      <c r="B1532" s="46" t="s">
        <v>2155</v>
      </c>
      <c r="D1532" t="s">
        <v>1460</v>
      </c>
      <c r="E1532" t="s">
        <v>1937</v>
      </c>
      <c r="F1532" s="46" t="s">
        <v>2155</v>
      </c>
      <c r="G1532" t="s">
        <v>311</v>
      </c>
      <c r="H1532" s="47" t="s">
        <v>2152</v>
      </c>
      <c r="I1532" s="47" t="s">
        <v>2153</v>
      </c>
      <c r="J1532" t="s">
        <v>1250</v>
      </c>
      <c r="K1532">
        <v>1449</v>
      </c>
      <c r="L1532">
        <v>2520</v>
      </c>
      <c r="M1532" s="24">
        <v>1009</v>
      </c>
      <c r="N1532" s="24">
        <v>2323</v>
      </c>
      <c r="O1532" s="24">
        <v>878</v>
      </c>
      <c r="P1532" s="24">
        <v>2151</v>
      </c>
      <c r="Q1532">
        <v>1212</v>
      </c>
      <c r="R1532">
        <v>2561</v>
      </c>
      <c r="S1532">
        <v>2348</v>
      </c>
      <c r="T1532">
        <v>3873</v>
      </c>
      <c r="U1532">
        <v>2348</v>
      </c>
      <c r="V1532">
        <v>3873</v>
      </c>
    </row>
    <row r="1533" spans="2:22" x14ac:dyDescent="0.35">
      <c r="B1533" s="46" t="s">
        <v>2156</v>
      </c>
      <c r="D1533" t="s">
        <v>1460</v>
      </c>
      <c r="E1533" t="s">
        <v>1937</v>
      </c>
      <c r="F1533" s="46" t="s">
        <v>2156</v>
      </c>
      <c r="G1533" t="s">
        <v>311</v>
      </c>
      <c r="H1533" s="47" t="s">
        <v>2152</v>
      </c>
      <c r="I1533" s="47" t="s">
        <v>2153</v>
      </c>
      <c r="J1533" t="s">
        <v>365</v>
      </c>
      <c r="K1533">
        <v>257</v>
      </c>
      <c r="L1533">
        <v>443</v>
      </c>
      <c r="M1533" s="24">
        <v>189</v>
      </c>
      <c r="N1533" s="24">
        <v>406</v>
      </c>
      <c r="O1533" s="24">
        <v>171</v>
      </c>
      <c r="P1533" s="24">
        <v>398</v>
      </c>
      <c r="Q1533">
        <v>186</v>
      </c>
      <c r="R1533">
        <v>430</v>
      </c>
      <c r="S1533">
        <v>327</v>
      </c>
      <c r="T1533">
        <v>573</v>
      </c>
      <c r="U1533">
        <v>327</v>
      </c>
      <c r="V1533">
        <v>573</v>
      </c>
    </row>
    <row r="1534" spans="2:22" x14ac:dyDescent="0.35">
      <c r="B1534" s="46" t="s">
        <v>2157</v>
      </c>
      <c r="D1534" t="s">
        <v>1460</v>
      </c>
      <c r="E1534" t="s">
        <v>1937</v>
      </c>
      <c r="F1534" s="46" t="s">
        <v>2157</v>
      </c>
      <c r="G1534" t="s">
        <v>311</v>
      </c>
      <c r="H1534" s="47" t="s">
        <v>2152</v>
      </c>
      <c r="I1534" s="47" t="s">
        <v>2153</v>
      </c>
      <c r="J1534" t="s">
        <v>1310</v>
      </c>
      <c r="K1534">
        <v>498</v>
      </c>
      <c r="L1534">
        <v>903</v>
      </c>
      <c r="M1534" s="24">
        <v>502</v>
      </c>
      <c r="N1534" s="24">
        <v>932</v>
      </c>
      <c r="O1534" s="24">
        <v>620</v>
      </c>
      <c r="P1534" s="24">
        <v>1038</v>
      </c>
      <c r="Q1534">
        <v>530</v>
      </c>
      <c r="R1534">
        <v>1004</v>
      </c>
      <c r="S1534">
        <v>924</v>
      </c>
      <c r="T1534">
        <v>1364</v>
      </c>
      <c r="U1534">
        <v>924</v>
      </c>
      <c r="V1534">
        <v>1364</v>
      </c>
    </row>
    <row r="1535" spans="2:22" x14ac:dyDescent="0.35">
      <c r="B1535" s="46" t="s">
        <v>2158</v>
      </c>
      <c r="D1535" t="s">
        <v>1460</v>
      </c>
      <c r="E1535" t="s">
        <v>1937</v>
      </c>
      <c r="F1535" s="46" t="s">
        <v>2158</v>
      </c>
      <c r="G1535" t="s">
        <v>311</v>
      </c>
      <c r="H1535" s="47" t="s">
        <v>2152</v>
      </c>
      <c r="I1535" s="47" t="s">
        <v>2153</v>
      </c>
      <c r="J1535" t="s">
        <v>2159</v>
      </c>
      <c r="K1535">
        <v>1069</v>
      </c>
      <c r="L1535">
        <v>1798</v>
      </c>
      <c r="M1535" s="24">
        <v>986</v>
      </c>
      <c r="N1535" s="24">
        <v>1847</v>
      </c>
      <c r="O1535" s="24">
        <v>1282</v>
      </c>
      <c r="P1535" s="24">
        <v>2051</v>
      </c>
      <c r="Q1535">
        <v>921</v>
      </c>
      <c r="R1535">
        <v>1897</v>
      </c>
      <c r="S1535">
        <v>1473</v>
      </c>
      <c r="T1535">
        <v>2403</v>
      </c>
      <c r="U1535">
        <v>1473</v>
      </c>
      <c r="V1535">
        <v>2403</v>
      </c>
    </row>
    <row r="1536" spans="2:22" x14ac:dyDescent="0.35">
      <c r="B1536" s="46" t="s">
        <v>2160</v>
      </c>
      <c r="D1536" t="s">
        <v>1460</v>
      </c>
      <c r="E1536" t="s">
        <v>1937</v>
      </c>
      <c r="F1536" s="46" t="s">
        <v>2160</v>
      </c>
      <c r="G1536" t="s">
        <v>311</v>
      </c>
      <c r="H1536" s="47" t="s">
        <v>2152</v>
      </c>
      <c r="I1536" s="47" t="s">
        <v>2153</v>
      </c>
      <c r="J1536" t="s">
        <v>2161</v>
      </c>
      <c r="K1536">
        <v>932</v>
      </c>
      <c r="L1536">
        <v>1670</v>
      </c>
      <c r="M1536" s="24">
        <v>721</v>
      </c>
      <c r="N1536" s="24">
        <v>1624</v>
      </c>
      <c r="O1536" s="24">
        <v>660</v>
      </c>
      <c r="P1536" s="24">
        <v>1503</v>
      </c>
      <c r="Q1536">
        <v>991</v>
      </c>
      <c r="R1536">
        <v>1796</v>
      </c>
      <c r="S1536">
        <v>1501</v>
      </c>
      <c r="T1536">
        <v>2575</v>
      </c>
      <c r="U1536">
        <v>1501</v>
      </c>
      <c r="V1536">
        <v>2575</v>
      </c>
    </row>
    <row r="1537" spans="2:22" x14ac:dyDescent="0.35">
      <c r="B1537" s="46" t="s">
        <v>2162</v>
      </c>
      <c r="D1537" t="s">
        <v>1460</v>
      </c>
      <c r="E1537" t="s">
        <v>1937</v>
      </c>
      <c r="F1537" s="46" t="s">
        <v>2162</v>
      </c>
      <c r="G1537" t="s">
        <v>577</v>
      </c>
      <c r="H1537" s="47" t="s">
        <v>2163</v>
      </c>
      <c r="I1537" s="47" t="s">
        <v>2164</v>
      </c>
      <c r="J1537" t="s">
        <v>2165</v>
      </c>
      <c r="K1537">
        <v>165</v>
      </c>
      <c r="L1537">
        <v>294</v>
      </c>
      <c r="M1537" s="24">
        <v>166</v>
      </c>
      <c r="N1537" s="24">
        <v>307</v>
      </c>
      <c r="O1537" s="24">
        <v>177</v>
      </c>
      <c r="P1537" s="24">
        <v>314</v>
      </c>
      <c r="Q1537">
        <v>227</v>
      </c>
      <c r="R1537">
        <v>363</v>
      </c>
      <c r="S1537">
        <v>334</v>
      </c>
      <c r="T1537">
        <v>481</v>
      </c>
      <c r="U1537">
        <v>334</v>
      </c>
      <c r="V1537">
        <v>481</v>
      </c>
    </row>
    <row r="1538" spans="2:22" x14ac:dyDescent="0.35">
      <c r="B1538" s="46" t="s">
        <v>2166</v>
      </c>
      <c r="D1538" t="s">
        <v>1460</v>
      </c>
      <c r="E1538" t="s">
        <v>1937</v>
      </c>
      <c r="F1538" s="46" t="s">
        <v>2166</v>
      </c>
      <c r="G1538" t="s">
        <v>577</v>
      </c>
      <c r="H1538" s="47" t="s">
        <v>2163</v>
      </c>
      <c r="I1538" s="47" t="s">
        <v>2164</v>
      </c>
      <c r="J1538" t="s">
        <v>2167</v>
      </c>
      <c r="K1538">
        <v>51</v>
      </c>
      <c r="L1538">
        <v>78</v>
      </c>
      <c r="M1538" s="24">
        <v>48</v>
      </c>
      <c r="N1538" s="24">
        <v>81</v>
      </c>
      <c r="O1538" s="24">
        <v>51</v>
      </c>
      <c r="P1538" s="24">
        <v>88</v>
      </c>
      <c r="Q1538">
        <v>62</v>
      </c>
      <c r="R1538">
        <v>99</v>
      </c>
      <c r="S1538">
        <v>124</v>
      </c>
      <c r="T1538">
        <v>183</v>
      </c>
      <c r="U1538">
        <v>124</v>
      </c>
      <c r="V1538">
        <v>183</v>
      </c>
    </row>
    <row r="1539" spans="2:22" x14ac:dyDescent="0.35">
      <c r="B1539" s="46" t="s">
        <v>2168</v>
      </c>
      <c r="D1539" t="s">
        <v>1460</v>
      </c>
      <c r="E1539" t="s">
        <v>1937</v>
      </c>
      <c r="F1539" s="46" t="s">
        <v>2168</v>
      </c>
      <c r="G1539" t="s">
        <v>577</v>
      </c>
      <c r="H1539" s="47" t="s">
        <v>2163</v>
      </c>
      <c r="I1539" s="47" t="s">
        <v>2164</v>
      </c>
      <c r="J1539" t="s">
        <v>2169</v>
      </c>
      <c r="K1539">
        <v>120</v>
      </c>
      <c r="L1539">
        <v>188</v>
      </c>
      <c r="M1539" s="24">
        <v>90</v>
      </c>
      <c r="N1539" s="24">
        <v>184</v>
      </c>
      <c r="O1539" s="24">
        <v>91</v>
      </c>
      <c r="P1539" s="24">
        <v>170</v>
      </c>
      <c r="Q1539">
        <v>114</v>
      </c>
      <c r="R1539">
        <v>194</v>
      </c>
      <c r="S1539">
        <v>215</v>
      </c>
      <c r="T1539">
        <v>337</v>
      </c>
      <c r="U1539">
        <v>215</v>
      </c>
      <c r="V1539">
        <v>337</v>
      </c>
    </row>
    <row r="1540" spans="2:22" x14ac:dyDescent="0.35">
      <c r="B1540" s="46" t="s">
        <v>2170</v>
      </c>
      <c r="D1540" t="s">
        <v>1460</v>
      </c>
      <c r="E1540" t="s">
        <v>1937</v>
      </c>
      <c r="F1540" s="46" t="s">
        <v>2170</v>
      </c>
      <c r="G1540" t="s">
        <v>577</v>
      </c>
      <c r="H1540" s="47" t="s">
        <v>2163</v>
      </c>
      <c r="I1540" s="47" t="s">
        <v>2164</v>
      </c>
      <c r="J1540" t="s">
        <v>2171</v>
      </c>
      <c r="K1540">
        <v>22</v>
      </c>
      <c r="L1540">
        <v>52</v>
      </c>
      <c r="M1540" s="24">
        <v>25</v>
      </c>
      <c r="N1540" s="24">
        <v>58</v>
      </c>
      <c r="O1540" s="24">
        <v>26</v>
      </c>
      <c r="P1540" s="24">
        <v>63</v>
      </c>
      <c r="Q1540">
        <v>23</v>
      </c>
      <c r="R1540">
        <v>49</v>
      </c>
      <c r="S1540">
        <v>41</v>
      </c>
      <c r="T1540">
        <v>90</v>
      </c>
      <c r="U1540">
        <v>41</v>
      </c>
      <c r="V1540">
        <v>90</v>
      </c>
    </row>
    <row r="1541" spans="2:22" x14ac:dyDescent="0.35">
      <c r="B1541" s="46" t="s">
        <v>2172</v>
      </c>
      <c r="D1541" t="s">
        <v>1460</v>
      </c>
      <c r="E1541" t="s">
        <v>1937</v>
      </c>
      <c r="F1541" s="46" t="s">
        <v>2172</v>
      </c>
      <c r="G1541" t="s">
        <v>577</v>
      </c>
      <c r="H1541" s="47" t="s">
        <v>2163</v>
      </c>
      <c r="I1541" s="47" t="s">
        <v>2164</v>
      </c>
      <c r="J1541" t="s">
        <v>996</v>
      </c>
      <c r="K1541">
        <v>119</v>
      </c>
      <c r="L1541">
        <v>196</v>
      </c>
      <c r="M1541" s="24">
        <v>80</v>
      </c>
      <c r="N1541" s="24">
        <v>159</v>
      </c>
      <c r="O1541" s="24">
        <v>101</v>
      </c>
      <c r="P1541" s="24">
        <v>176</v>
      </c>
      <c r="Q1541">
        <v>127</v>
      </c>
      <c r="R1541">
        <v>206</v>
      </c>
      <c r="S1541">
        <v>271</v>
      </c>
      <c r="T1541">
        <v>378</v>
      </c>
      <c r="U1541">
        <v>271</v>
      </c>
      <c r="V1541">
        <v>378</v>
      </c>
    </row>
    <row r="1542" spans="2:22" x14ac:dyDescent="0.35">
      <c r="B1542" s="46" t="s">
        <v>2173</v>
      </c>
      <c r="D1542" t="s">
        <v>1460</v>
      </c>
      <c r="E1542" t="s">
        <v>1937</v>
      </c>
      <c r="F1542" s="46" t="s">
        <v>2173</v>
      </c>
      <c r="G1542" t="s">
        <v>577</v>
      </c>
      <c r="H1542" s="47" t="s">
        <v>2163</v>
      </c>
      <c r="I1542" s="47" t="s">
        <v>2164</v>
      </c>
      <c r="J1542" t="s">
        <v>2174</v>
      </c>
      <c r="K1542">
        <v>83</v>
      </c>
      <c r="L1542">
        <v>153</v>
      </c>
      <c r="M1542" s="24">
        <v>72</v>
      </c>
      <c r="N1542" s="24">
        <v>126</v>
      </c>
      <c r="O1542" s="24">
        <v>57</v>
      </c>
      <c r="P1542" s="24">
        <v>118</v>
      </c>
      <c r="Q1542">
        <v>89</v>
      </c>
      <c r="R1542">
        <v>145</v>
      </c>
      <c r="S1542">
        <v>118</v>
      </c>
      <c r="T1542">
        <v>229</v>
      </c>
      <c r="U1542">
        <v>118</v>
      </c>
      <c r="V1542">
        <v>229</v>
      </c>
    </row>
    <row r="1543" spans="2:22" x14ac:dyDescent="0.35">
      <c r="B1543" s="46" t="s">
        <v>2175</v>
      </c>
      <c r="D1543" t="s">
        <v>1460</v>
      </c>
      <c r="E1543" t="s">
        <v>1937</v>
      </c>
      <c r="F1543" s="46" t="s">
        <v>2175</v>
      </c>
      <c r="G1543" t="s">
        <v>577</v>
      </c>
      <c r="H1543" s="47" t="s">
        <v>2163</v>
      </c>
      <c r="I1543" s="47" t="s">
        <v>2164</v>
      </c>
      <c r="J1543" t="s">
        <v>307</v>
      </c>
      <c r="K1543">
        <v>597</v>
      </c>
      <c r="L1543">
        <v>959</v>
      </c>
      <c r="M1543" s="24">
        <v>484</v>
      </c>
      <c r="N1543" s="24">
        <v>905</v>
      </c>
      <c r="O1543" s="24">
        <v>520</v>
      </c>
      <c r="P1543" s="24">
        <v>938</v>
      </c>
      <c r="Q1543">
        <v>666</v>
      </c>
      <c r="R1543">
        <v>1048</v>
      </c>
      <c r="S1543">
        <v>974</v>
      </c>
      <c r="T1543">
        <v>1415</v>
      </c>
      <c r="U1543">
        <v>974</v>
      </c>
      <c r="V1543">
        <v>1415</v>
      </c>
    </row>
    <row r="1544" spans="2:22" x14ac:dyDescent="0.35">
      <c r="B1544" s="46" t="s">
        <v>2176</v>
      </c>
      <c r="D1544" t="s">
        <v>1460</v>
      </c>
      <c r="E1544" t="s">
        <v>1937</v>
      </c>
      <c r="F1544" s="46" t="s">
        <v>2176</v>
      </c>
      <c r="G1544" t="s">
        <v>577</v>
      </c>
      <c r="H1544" s="47" t="s">
        <v>2163</v>
      </c>
      <c r="I1544" s="47" t="s">
        <v>2164</v>
      </c>
      <c r="J1544" t="s">
        <v>2177</v>
      </c>
      <c r="K1544">
        <v>301</v>
      </c>
      <c r="L1544">
        <v>571</v>
      </c>
      <c r="M1544" s="24">
        <v>259</v>
      </c>
      <c r="N1544" s="24">
        <v>580</v>
      </c>
      <c r="O1544" s="24">
        <v>244</v>
      </c>
      <c r="P1544" s="24">
        <v>559</v>
      </c>
      <c r="Q1544">
        <v>379</v>
      </c>
      <c r="R1544">
        <v>672</v>
      </c>
      <c r="S1544">
        <v>646</v>
      </c>
      <c r="T1544">
        <v>1040</v>
      </c>
      <c r="U1544">
        <v>646</v>
      </c>
      <c r="V1544">
        <v>1040</v>
      </c>
    </row>
    <row r="1545" spans="2:22" x14ac:dyDescent="0.35">
      <c r="B1545" s="46" t="s">
        <v>2178</v>
      </c>
      <c r="D1545" t="s">
        <v>1460</v>
      </c>
      <c r="E1545" t="s">
        <v>1937</v>
      </c>
      <c r="F1545" s="46" t="s">
        <v>2178</v>
      </c>
      <c r="G1545" t="s">
        <v>577</v>
      </c>
      <c r="H1545" s="47" t="s">
        <v>2163</v>
      </c>
      <c r="I1545" s="47" t="s">
        <v>2164</v>
      </c>
      <c r="J1545" t="s">
        <v>2179</v>
      </c>
      <c r="K1545">
        <v>273</v>
      </c>
      <c r="L1545">
        <v>455</v>
      </c>
      <c r="M1545" s="24">
        <v>203</v>
      </c>
      <c r="N1545" s="24">
        <v>393</v>
      </c>
      <c r="O1545" s="24">
        <v>201</v>
      </c>
      <c r="P1545" s="24">
        <v>393</v>
      </c>
      <c r="Q1545">
        <v>243</v>
      </c>
      <c r="R1545">
        <v>414</v>
      </c>
      <c r="S1545">
        <v>365</v>
      </c>
      <c r="T1545">
        <v>582</v>
      </c>
      <c r="U1545">
        <v>365</v>
      </c>
      <c r="V1545">
        <v>582</v>
      </c>
    </row>
    <row r="1546" spans="2:22" x14ac:dyDescent="0.35">
      <c r="B1546" s="46" t="s">
        <v>2180</v>
      </c>
      <c r="D1546" t="s">
        <v>1460</v>
      </c>
      <c r="E1546" t="s">
        <v>1937</v>
      </c>
      <c r="F1546" s="46" t="s">
        <v>2180</v>
      </c>
      <c r="G1546" t="s">
        <v>577</v>
      </c>
      <c r="H1546" s="47" t="s">
        <v>2163</v>
      </c>
      <c r="I1546" s="47" t="s">
        <v>2164</v>
      </c>
      <c r="J1546" t="s">
        <v>2181</v>
      </c>
      <c r="K1546">
        <v>4086</v>
      </c>
      <c r="L1546">
        <v>8197</v>
      </c>
      <c r="M1546" s="24">
        <v>3390</v>
      </c>
      <c r="N1546" s="24">
        <v>7751</v>
      </c>
      <c r="O1546" s="24">
        <v>3890</v>
      </c>
      <c r="P1546" s="24">
        <v>8330</v>
      </c>
      <c r="Q1546">
        <v>4803</v>
      </c>
      <c r="R1546">
        <v>10145</v>
      </c>
      <c r="S1546">
        <v>8402</v>
      </c>
      <c r="T1546">
        <v>14732</v>
      </c>
      <c r="U1546">
        <v>8402</v>
      </c>
      <c r="V1546">
        <v>14732</v>
      </c>
    </row>
    <row r="1547" spans="2:22" x14ac:dyDescent="0.35">
      <c r="B1547" s="46" t="s">
        <v>2182</v>
      </c>
      <c r="D1547" t="s">
        <v>1460</v>
      </c>
      <c r="E1547" t="s">
        <v>1937</v>
      </c>
      <c r="F1547" s="46" t="s">
        <v>2182</v>
      </c>
      <c r="G1547" t="s">
        <v>577</v>
      </c>
      <c r="H1547" s="47" t="s">
        <v>2163</v>
      </c>
      <c r="I1547" s="47" t="s">
        <v>2164</v>
      </c>
      <c r="J1547" t="s">
        <v>2183</v>
      </c>
      <c r="K1547">
        <v>109</v>
      </c>
      <c r="L1547">
        <v>174</v>
      </c>
      <c r="M1547" s="24">
        <v>85</v>
      </c>
      <c r="N1547" s="24">
        <v>156</v>
      </c>
      <c r="O1547" s="24">
        <v>77</v>
      </c>
      <c r="P1547" s="24">
        <v>157</v>
      </c>
      <c r="Q1547">
        <v>128</v>
      </c>
      <c r="R1547">
        <v>212</v>
      </c>
      <c r="S1547">
        <v>152</v>
      </c>
      <c r="T1547">
        <v>297</v>
      </c>
      <c r="U1547">
        <v>152</v>
      </c>
      <c r="V1547">
        <v>297</v>
      </c>
    </row>
    <row r="1548" spans="2:22" x14ac:dyDescent="0.35">
      <c r="B1548" s="46" t="s">
        <v>2184</v>
      </c>
      <c r="D1548" t="s">
        <v>1460</v>
      </c>
      <c r="E1548" t="s">
        <v>1937</v>
      </c>
      <c r="F1548" s="46" t="s">
        <v>2184</v>
      </c>
      <c r="G1548" t="s">
        <v>577</v>
      </c>
      <c r="H1548" s="47" t="s">
        <v>2163</v>
      </c>
      <c r="I1548" s="47" t="s">
        <v>2164</v>
      </c>
      <c r="J1548" t="s">
        <v>2185</v>
      </c>
      <c r="K1548">
        <v>15</v>
      </c>
      <c r="L1548">
        <v>40</v>
      </c>
      <c r="M1548" s="24">
        <v>23</v>
      </c>
      <c r="N1548" s="24">
        <v>56</v>
      </c>
      <c r="O1548" s="24">
        <v>25</v>
      </c>
      <c r="P1548" s="24">
        <v>40</v>
      </c>
      <c r="Q1548">
        <v>31</v>
      </c>
      <c r="R1548">
        <v>49</v>
      </c>
      <c r="S1548">
        <v>38</v>
      </c>
      <c r="T1548">
        <v>57</v>
      </c>
      <c r="U1548">
        <v>38</v>
      </c>
      <c r="V1548">
        <v>57</v>
      </c>
    </row>
    <row r="1549" spans="2:22" x14ac:dyDescent="0.35">
      <c r="B1549" s="46" t="s">
        <v>2186</v>
      </c>
      <c r="D1549" t="s">
        <v>1460</v>
      </c>
      <c r="E1549" t="s">
        <v>1937</v>
      </c>
      <c r="F1549" s="46" t="s">
        <v>2186</v>
      </c>
      <c r="G1549" t="s">
        <v>577</v>
      </c>
      <c r="H1549" s="47" t="s">
        <v>2163</v>
      </c>
      <c r="I1549" s="47" t="s">
        <v>2164</v>
      </c>
      <c r="J1549" t="s">
        <v>2187</v>
      </c>
      <c r="K1549">
        <v>177</v>
      </c>
      <c r="L1549">
        <v>328</v>
      </c>
      <c r="M1549" s="24">
        <v>142</v>
      </c>
      <c r="N1549" s="24">
        <v>302</v>
      </c>
      <c r="O1549" s="24">
        <v>129</v>
      </c>
      <c r="P1549" s="24">
        <v>296</v>
      </c>
      <c r="Q1549">
        <v>204</v>
      </c>
      <c r="R1549">
        <v>378</v>
      </c>
      <c r="S1549">
        <v>361</v>
      </c>
      <c r="T1549">
        <v>597</v>
      </c>
      <c r="U1549">
        <v>361</v>
      </c>
      <c r="V1549">
        <v>597</v>
      </c>
    </row>
    <row r="1550" spans="2:22" x14ac:dyDescent="0.35">
      <c r="B1550" s="46" t="s">
        <v>2188</v>
      </c>
      <c r="D1550" t="s">
        <v>1460</v>
      </c>
      <c r="E1550" t="s">
        <v>1937</v>
      </c>
      <c r="F1550" s="46" t="s">
        <v>2188</v>
      </c>
      <c r="G1550" t="s">
        <v>577</v>
      </c>
      <c r="H1550" s="47" t="s">
        <v>2163</v>
      </c>
      <c r="I1550" s="47" t="s">
        <v>2164</v>
      </c>
      <c r="J1550" t="s">
        <v>2189</v>
      </c>
      <c r="K1550">
        <v>98</v>
      </c>
      <c r="L1550">
        <v>204</v>
      </c>
      <c r="M1550" s="24">
        <v>75</v>
      </c>
      <c r="N1550" s="24">
        <v>191</v>
      </c>
      <c r="O1550" s="24">
        <v>110</v>
      </c>
      <c r="P1550" s="24">
        <v>217</v>
      </c>
      <c r="Q1550">
        <v>197</v>
      </c>
      <c r="R1550">
        <v>327</v>
      </c>
      <c r="S1550">
        <v>384</v>
      </c>
      <c r="T1550">
        <v>527</v>
      </c>
      <c r="U1550">
        <v>384</v>
      </c>
      <c r="V1550">
        <v>527</v>
      </c>
    </row>
    <row r="1551" spans="2:22" x14ac:dyDescent="0.35">
      <c r="B1551" s="46" t="s">
        <v>2190</v>
      </c>
      <c r="D1551" t="s">
        <v>1460</v>
      </c>
      <c r="E1551" t="s">
        <v>1937</v>
      </c>
      <c r="F1551" s="46" t="s">
        <v>2190</v>
      </c>
      <c r="G1551" t="s">
        <v>581</v>
      </c>
      <c r="H1551" s="47" t="s">
        <v>2191</v>
      </c>
      <c r="I1551" s="47" t="s">
        <v>2192</v>
      </c>
      <c r="J1551" t="s">
        <v>1031</v>
      </c>
      <c r="K1551">
        <v>133</v>
      </c>
      <c r="L1551">
        <v>162</v>
      </c>
      <c r="M1551" s="24">
        <v>105</v>
      </c>
      <c r="N1551" s="24">
        <v>132</v>
      </c>
      <c r="O1551" s="24">
        <v>107</v>
      </c>
      <c r="P1551" s="24">
        <v>142</v>
      </c>
      <c r="Q1551">
        <v>142</v>
      </c>
      <c r="R1551">
        <v>186</v>
      </c>
      <c r="S1551">
        <v>322</v>
      </c>
      <c r="T1551">
        <v>391</v>
      </c>
      <c r="U1551">
        <v>322</v>
      </c>
      <c r="V1551">
        <v>391</v>
      </c>
    </row>
    <row r="1552" spans="2:22" x14ac:dyDescent="0.35">
      <c r="B1552" s="46" t="s">
        <v>2193</v>
      </c>
      <c r="D1552" t="s">
        <v>1460</v>
      </c>
      <c r="E1552" t="s">
        <v>1937</v>
      </c>
      <c r="F1552" s="46" t="s">
        <v>2193</v>
      </c>
      <c r="G1552" t="s">
        <v>581</v>
      </c>
      <c r="H1552" s="47" t="s">
        <v>2191</v>
      </c>
      <c r="I1552" s="47" t="s">
        <v>2192</v>
      </c>
      <c r="J1552" t="s">
        <v>2194</v>
      </c>
      <c r="K1552">
        <v>29180</v>
      </c>
      <c r="L1552">
        <v>33709</v>
      </c>
      <c r="M1552" s="24">
        <v>30717</v>
      </c>
      <c r="N1552" s="24">
        <v>34619</v>
      </c>
      <c r="O1552" s="24">
        <v>34832</v>
      </c>
      <c r="P1552" s="24">
        <v>41025</v>
      </c>
      <c r="Q1552">
        <v>41268</v>
      </c>
      <c r="R1552">
        <v>52618</v>
      </c>
      <c r="S1552">
        <v>83253</v>
      </c>
      <c r="T1552">
        <v>96239</v>
      </c>
      <c r="U1552">
        <v>83253</v>
      </c>
      <c r="V1552">
        <v>96239</v>
      </c>
    </row>
    <row r="1553" spans="2:22" x14ac:dyDescent="0.35">
      <c r="B1553" s="46" t="s">
        <v>2195</v>
      </c>
      <c r="D1553" t="s">
        <v>1460</v>
      </c>
      <c r="E1553" t="s">
        <v>1937</v>
      </c>
      <c r="F1553" s="46" t="s">
        <v>2195</v>
      </c>
      <c r="G1553" t="s">
        <v>581</v>
      </c>
      <c r="H1553" s="47" t="s">
        <v>2191</v>
      </c>
      <c r="I1553" s="47" t="s">
        <v>2192</v>
      </c>
      <c r="J1553" t="s">
        <v>2196</v>
      </c>
      <c r="K1553">
        <v>2683</v>
      </c>
      <c r="L1553">
        <v>3186</v>
      </c>
      <c r="M1553" s="24">
        <v>2913</v>
      </c>
      <c r="N1553" s="24">
        <v>3350</v>
      </c>
      <c r="O1553" s="24">
        <v>3557</v>
      </c>
      <c r="P1553" s="24">
        <v>4155</v>
      </c>
      <c r="Q1553">
        <v>4456</v>
      </c>
      <c r="R1553">
        <v>5608</v>
      </c>
      <c r="S1553">
        <v>10637</v>
      </c>
      <c r="T1553">
        <v>11424</v>
      </c>
      <c r="U1553">
        <v>10637</v>
      </c>
      <c r="V1553">
        <v>11424</v>
      </c>
    </row>
    <row r="1554" spans="2:22" x14ac:dyDescent="0.35">
      <c r="B1554" s="46" t="s">
        <v>2197</v>
      </c>
      <c r="D1554" t="s">
        <v>1460</v>
      </c>
      <c r="E1554" t="s">
        <v>1937</v>
      </c>
      <c r="F1554" s="46" t="s">
        <v>2197</v>
      </c>
      <c r="G1554" t="s">
        <v>585</v>
      </c>
      <c r="H1554" s="47" t="s">
        <v>2198</v>
      </c>
      <c r="I1554" s="47" t="s">
        <v>2199</v>
      </c>
      <c r="J1554" t="s">
        <v>2200</v>
      </c>
      <c r="K1554">
        <v>191</v>
      </c>
      <c r="L1554">
        <v>385</v>
      </c>
      <c r="M1554" s="24">
        <v>148</v>
      </c>
      <c r="N1554" s="24">
        <v>388</v>
      </c>
      <c r="O1554" s="24">
        <v>142</v>
      </c>
      <c r="P1554" s="24">
        <v>361</v>
      </c>
      <c r="Q1554">
        <v>214</v>
      </c>
      <c r="R1554">
        <v>474</v>
      </c>
      <c r="S1554">
        <v>446</v>
      </c>
      <c r="T1554">
        <v>852</v>
      </c>
      <c r="U1554">
        <v>446</v>
      </c>
      <c r="V1554">
        <v>852</v>
      </c>
    </row>
    <row r="1555" spans="2:22" x14ac:dyDescent="0.35">
      <c r="B1555" s="46" t="s">
        <v>2201</v>
      </c>
      <c r="D1555" t="s">
        <v>1460</v>
      </c>
      <c r="E1555" t="s">
        <v>1937</v>
      </c>
      <c r="F1555" s="46" t="s">
        <v>2201</v>
      </c>
      <c r="G1555" t="s">
        <v>585</v>
      </c>
      <c r="H1555" s="47" t="s">
        <v>2198</v>
      </c>
      <c r="I1555" s="47" t="s">
        <v>2199</v>
      </c>
      <c r="J1555" t="s">
        <v>2202</v>
      </c>
      <c r="K1555">
        <v>12</v>
      </c>
      <c r="L1555">
        <v>26</v>
      </c>
      <c r="M1555" s="24">
        <v>0</v>
      </c>
      <c r="N1555" s="24">
        <v>31</v>
      </c>
      <c r="O1555" s="24">
        <v>14</v>
      </c>
      <c r="P1555" s="24">
        <v>34</v>
      </c>
      <c r="Q1555">
        <v>44</v>
      </c>
      <c r="R1555">
        <v>65</v>
      </c>
      <c r="S1555">
        <v>133</v>
      </c>
      <c r="T1555">
        <v>185</v>
      </c>
      <c r="U1555">
        <v>133</v>
      </c>
      <c r="V1555">
        <v>185</v>
      </c>
    </row>
    <row r="1556" spans="2:22" x14ac:dyDescent="0.35">
      <c r="B1556" s="46" t="s">
        <v>2203</v>
      </c>
      <c r="D1556" t="s">
        <v>1460</v>
      </c>
      <c r="E1556" t="s">
        <v>1937</v>
      </c>
      <c r="F1556" s="46" t="s">
        <v>2203</v>
      </c>
      <c r="G1556" t="s">
        <v>585</v>
      </c>
      <c r="H1556" s="47" t="s">
        <v>2198</v>
      </c>
      <c r="I1556" s="47" t="s">
        <v>2199</v>
      </c>
      <c r="J1556" t="s">
        <v>2204</v>
      </c>
      <c r="K1556">
        <v>60</v>
      </c>
      <c r="L1556">
        <v>113</v>
      </c>
      <c r="M1556" s="24">
        <v>63</v>
      </c>
      <c r="N1556" s="24">
        <v>117</v>
      </c>
      <c r="O1556" s="24">
        <v>55</v>
      </c>
      <c r="P1556" s="24">
        <v>118</v>
      </c>
      <c r="Q1556">
        <v>84</v>
      </c>
      <c r="R1556">
        <v>148</v>
      </c>
      <c r="S1556">
        <v>234</v>
      </c>
      <c r="T1556">
        <v>323</v>
      </c>
      <c r="U1556">
        <v>234</v>
      </c>
      <c r="V1556">
        <v>323</v>
      </c>
    </row>
    <row r="1557" spans="2:22" x14ac:dyDescent="0.35">
      <c r="B1557" s="46" t="s">
        <v>2205</v>
      </c>
      <c r="D1557" t="s">
        <v>1460</v>
      </c>
      <c r="E1557" t="s">
        <v>1937</v>
      </c>
      <c r="F1557" s="46" t="s">
        <v>2205</v>
      </c>
      <c r="G1557" t="s">
        <v>585</v>
      </c>
      <c r="H1557" s="47" t="s">
        <v>2198</v>
      </c>
      <c r="I1557" s="47" t="s">
        <v>2199</v>
      </c>
      <c r="J1557" t="s">
        <v>936</v>
      </c>
      <c r="K1557">
        <v>194</v>
      </c>
      <c r="L1557">
        <v>352</v>
      </c>
      <c r="M1557" s="24">
        <v>142</v>
      </c>
      <c r="N1557" s="24">
        <v>294</v>
      </c>
      <c r="O1557" s="24">
        <v>121</v>
      </c>
      <c r="P1557" s="24">
        <v>282</v>
      </c>
      <c r="Q1557">
        <v>181</v>
      </c>
      <c r="R1557">
        <v>315</v>
      </c>
      <c r="S1557">
        <v>323</v>
      </c>
      <c r="T1557">
        <v>501</v>
      </c>
      <c r="U1557">
        <v>323</v>
      </c>
      <c r="V1557">
        <v>501</v>
      </c>
    </row>
    <row r="1558" spans="2:22" x14ac:dyDescent="0.35">
      <c r="B1558" s="46" t="s">
        <v>2206</v>
      </c>
      <c r="D1558" t="s">
        <v>1460</v>
      </c>
      <c r="E1558" t="s">
        <v>1937</v>
      </c>
      <c r="F1558" s="46" t="s">
        <v>2206</v>
      </c>
      <c r="G1558" t="s">
        <v>585</v>
      </c>
      <c r="H1558" s="47" t="s">
        <v>2198</v>
      </c>
      <c r="I1558" s="47" t="s">
        <v>2199</v>
      </c>
      <c r="J1558" t="s">
        <v>2207</v>
      </c>
      <c r="K1558">
        <v>2073</v>
      </c>
      <c r="L1558">
        <v>3760</v>
      </c>
      <c r="M1558" s="24">
        <v>1690</v>
      </c>
      <c r="N1558" s="24">
        <v>3675</v>
      </c>
      <c r="O1558" s="24">
        <v>2157</v>
      </c>
      <c r="P1558" s="24">
        <v>4150</v>
      </c>
      <c r="Q1558">
        <v>4210</v>
      </c>
      <c r="R1558">
        <v>6222</v>
      </c>
      <c r="S1558">
        <v>7176</v>
      </c>
      <c r="T1558">
        <v>11320</v>
      </c>
      <c r="U1558">
        <v>7176</v>
      </c>
      <c r="V1558">
        <v>11320</v>
      </c>
    </row>
    <row r="1559" spans="2:22" x14ac:dyDescent="0.35">
      <c r="B1559" s="46" t="s">
        <v>2208</v>
      </c>
      <c r="D1559" t="s">
        <v>1460</v>
      </c>
      <c r="E1559" t="s">
        <v>1937</v>
      </c>
      <c r="F1559" s="46" t="s">
        <v>2208</v>
      </c>
      <c r="G1559" t="s">
        <v>585</v>
      </c>
      <c r="H1559" s="47" t="s">
        <v>2198</v>
      </c>
      <c r="I1559" s="47" t="s">
        <v>2199</v>
      </c>
      <c r="J1559" t="s">
        <v>2209</v>
      </c>
      <c r="K1559">
        <v>216</v>
      </c>
      <c r="L1559">
        <v>374</v>
      </c>
      <c r="M1559" s="24">
        <v>202</v>
      </c>
      <c r="N1559" s="24">
        <v>391</v>
      </c>
      <c r="O1559" s="24">
        <v>218</v>
      </c>
      <c r="P1559" s="24">
        <v>372</v>
      </c>
      <c r="Q1559">
        <v>268</v>
      </c>
      <c r="R1559">
        <v>433</v>
      </c>
      <c r="S1559">
        <v>529</v>
      </c>
      <c r="T1559">
        <v>777</v>
      </c>
      <c r="U1559">
        <v>529</v>
      </c>
      <c r="V1559">
        <v>777</v>
      </c>
    </row>
    <row r="1560" spans="2:22" x14ac:dyDescent="0.35">
      <c r="B1560" s="46" t="s">
        <v>2210</v>
      </c>
      <c r="D1560" t="s">
        <v>1460</v>
      </c>
      <c r="E1560" t="s">
        <v>1937</v>
      </c>
      <c r="F1560" s="46" t="s">
        <v>2210</v>
      </c>
      <c r="G1560" t="s">
        <v>585</v>
      </c>
      <c r="H1560" s="47" t="s">
        <v>2198</v>
      </c>
      <c r="I1560" s="47" t="s">
        <v>2199</v>
      </c>
      <c r="J1560" t="s">
        <v>2211</v>
      </c>
      <c r="K1560">
        <v>25</v>
      </c>
      <c r="L1560">
        <v>56</v>
      </c>
      <c r="M1560" s="24">
        <v>22</v>
      </c>
      <c r="N1560" s="24">
        <v>47</v>
      </c>
      <c r="O1560" s="24">
        <v>17</v>
      </c>
      <c r="P1560" s="24">
        <v>42</v>
      </c>
      <c r="Q1560">
        <v>17</v>
      </c>
      <c r="R1560">
        <v>38</v>
      </c>
      <c r="S1560">
        <v>21</v>
      </c>
      <c r="T1560">
        <v>52</v>
      </c>
      <c r="U1560">
        <v>21</v>
      </c>
      <c r="V1560">
        <v>52</v>
      </c>
    </row>
    <row r="1561" spans="2:22" x14ac:dyDescent="0.35">
      <c r="B1561" s="46" t="s">
        <v>2212</v>
      </c>
      <c r="D1561" t="s">
        <v>1460</v>
      </c>
      <c r="E1561" t="s">
        <v>1937</v>
      </c>
      <c r="F1561" s="46" t="s">
        <v>2212</v>
      </c>
      <c r="G1561" t="s">
        <v>585</v>
      </c>
      <c r="H1561" s="47" t="s">
        <v>2198</v>
      </c>
      <c r="I1561" s="47" t="s">
        <v>2199</v>
      </c>
      <c r="J1561" t="s">
        <v>520</v>
      </c>
      <c r="K1561">
        <v>474</v>
      </c>
      <c r="L1561">
        <v>861</v>
      </c>
      <c r="M1561" s="24">
        <v>358</v>
      </c>
      <c r="N1561" s="24">
        <v>775</v>
      </c>
      <c r="O1561" s="24">
        <v>361</v>
      </c>
      <c r="P1561" s="24">
        <v>725</v>
      </c>
      <c r="Q1561">
        <v>440</v>
      </c>
      <c r="R1561">
        <v>801</v>
      </c>
      <c r="S1561">
        <v>694</v>
      </c>
      <c r="T1561">
        <v>1207</v>
      </c>
      <c r="U1561">
        <v>694</v>
      </c>
      <c r="V1561">
        <v>1207</v>
      </c>
    </row>
    <row r="1562" spans="2:22" x14ac:dyDescent="0.35">
      <c r="B1562" s="46" t="s">
        <v>2213</v>
      </c>
      <c r="D1562" t="s">
        <v>1460</v>
      </c>
      <c r="E1562" t="s">
        <v>1937</v>
      </c>
      <c r="F1562" s="46" t="s">
        <v>2213</v>
      </c>
      <c r="G1562" t="s">
        <v>585</v>
      </c>
      <c r="H1562" s="47" t="s">
        <v>2198</v>
      </c>
      <c r="I1562" s="47" t="s">
        <v>2199</v>
      </c>
      <c r="J1562" t="s">
        <v>2214</v>
      </c>
      <c r="K1562">
        <v>0</v>
      </c>
      <c r="L1562">
        <v>0</v>
      </c>
      <c r="M1562" s="24">
        <v>0</v>
      </c>
      <c r="N1562" s="24">
        <v>0</v>
      </c>
      <c r="O1562" s="24">
        <v>0</v>
      </c>
      <c r="P1562" s="24">
        <v>0</v>
      </c>
      <c r="Q1562">
        <v>0</v>
      </c>
      <c r="R1562">
        <v>0</v>
      </c>
      <c r="S1562">
        <v>0</v>
      </c>
      <c r="T1562">
        <v>0</v>
      </c>
      <c r="U1562">
        <v>0</v>
      </c>
      <c r="V1562">
        <v>0</v>
      </c>
    </row>
    <row r="1563" spans="2:22" x14ac:dyDescent="0.35">
      <c r="B1563" s="46" t="s">
        <v>2215</v>
      </c>
      <c r="D1563" t="s">
        <v>1460</v>
      </c>
      <c r="E1563" t="s">
        <v>1937</v>
      </c>
      <c r="F1563" s="46" t="s">
        <v>2215</v>
      </c>
      <c r="G1563" t="s">
        <v>585</v>
      </c>
      <c r="H1563" s="47" t="s">
        <v>2198</v>
      </c>
      <c r="I1563" s="47" t="s">
        <v>2199</v>
      </c>
      <c r="J1563" t="s">
        <v>683</v>
      </c>
      <c r="K1563">
        <v>67</v>
      </c>
      <c r="L1563">
        <v>120</v>
      </c>
      <c r="M1563" s="24">
        <v>48</v>
      </c>
      <c r="N1563" s="24">
        <v>103</v>
      </c>
      <c r="O1563" s="24">
        <v>46</v>
      </c>
      <c r="P1563" s="24">
        <v>103</v>
      </c>
      <c r="Q1563">
        <v>54</v>
      </c>
      <c r="R1563">
        <v>100</v>
      </c>
      <c r="S1563">
        <v>109</v>
      </c>
      <c r="T1563">
        <v>197</v>
      </c>
      <c r="U1563">
        <v>109</v>
      </c>
      <c r="V1563">
        <v>197</v>
      </c>
    </row>
    <row r="1564" spans="2:22" x14ac:dyDescent="0.35">
      <c r="B1564" s="46" t="s">
        <v>2216</v>
      </c>
      <c r="D1564" t="s">
        <v>1460</v>
      </c>
      <c r="E1564" t="s">
        <v>1937</v>
      </c>
      <c r="F1564" s="46" t="s">
        <v>2216</v>
      </c>
      <c r="G1564" t="s">
        <v>585</v>
      </c>
      <c r="H1564" s="47" t="s">
        <v>2198</v>
      </c>
      <c r="I1564" s="47" t="s">
        <v>2199</v>
      </c>
      <c r="J1564" t="s">
        <v>2217</v>
      </c>
      <c r="K1564">
        <v>1920</v>
      </c>
      <c r="L1564">
        <v>3978</v>
      </c>
      <c r="M1564" s="24">
        <v>1541</v>
      </c>
      <c r="N1564" s="24">
        <v>3724</v>
      </c>
      <c r="O1564" s="24">
        <v>1886</v>
      </c>
      <c r="P1564" s="24">
        <v>3933</v>
      </c>
      <c r="Q1564">
        <v>3128</v>
      </c>
      <c r="R1564">
        <v>5260</v>
      </c>
      <c r="S1564">
        <v>5975</v>
      </c>
      <c r="T1564">
        <v>9095</v>
      </c>
      <c r="U1564">
        <v>5975</v>
      </c>
      <c r="V1564">
        <v>9095</v>
      </c>
    </row>
    <row r="1565" spans="2:22" x14ac:dyDescent="0.35">
      <c r="B1565" s="46" t="s">
        <v>2218</v>
      </c>
      <c r="D1565" t="s">
        <v>1460</v>
      </c>
      <c r="E1565" t="s">
        <v>1937</v>
      </c>
      <c r="F1565" s="46" t="s">
        <v>2218</v>
      </c>
      <c r="G1565" t="s">
        <v>585</v>
      </c>
      <c r="H1565" s="47" t="s">
        <v>2198</v>
      </c>
      <c r="I1565" s="47" t="s">
        <v>2199</v>
      </c>
      <c r="J1565" t="s">
        <v>2219</v>
      </c>
      <c r="K1565">
        <v>260</v>
      </c>
      <c r="L1565">
        <v>469</v>
      </c>
      <c r="M1565" s="24">
        <v>238</v>
      </c>
      <c r="N1565" s="24">
        <v>446</v>
      </c>
      <c r="O1565" s="24">
        <v>270</v>
      </c>
      <c r="P1565" s="24">
        <v>445</v>
      </c>
      <c r="Q1565">
        <v>405</v>
      </c>
      <c r="R1565">
        <v>570</v>
      </c>
      <c r="S1565">
        <v>782</v>
      </c>
      <c r="T1565">
        <v>1056</v>
      </c>
      <c r="U1565">
        <v>782</v>
      </c>
      <c r="V1565">
        <v>1056</v>
      </c>
    </row>
    <row r="1566" spans="2:22" x14ac:dyDescent="0.35">
      <c r="B1566" s="46" t="s">
        <v>2220</v>
      </c>
      <c r="D1566" t="s">
        <v>1460</v>
      </c>
      <c r="E1566" t="s">
        <v>1937</v>
      </c>
      <c r="F1566" s="46" t="s">
        <v>2220</v>
      </c>
      <c r="G1566" t="s">
        <v>585</v>
      </c>
      <c r="H1566" s="47" t="s">
        <v>2198</v>
      </c>
      <c r="I1566" s="47" t="s">
        <v>2199</v>
      </c>
      <c r="J1566" t="s">
        <v>2221</v>
      </c>
      <c r="K1566">
        <v>155</v>
      </c>
      <c r="L1566">
        <v>327</v>
      </c>
      <c r="M1566" s="24">
        <v>123</v>
      </c>
      <c r="N1566" s="24">
        <v>272</v>
      </c>
      <c r="O1566" s="24">
        <v>165</v>
      </c>
      <c r="P1566" s="24">
        <v>324</v>
      </c>
      <c r="Q1566">
        <v>220</v>
      </c>
      <c r="R1566">
        <v>378</v>
      </c>
      <c r="S1566">
        <v>515</v>
      </c>
      <c r="T1566">
        <v>740</v>
      </c>
      <c r="U1566">
        <v>515</v>
      </c>
      <c r="V1566">
        <v>740</v>
      </c>
    </row>
    <row r="1567" spans="2:22" x14ac:dyDescent="0.35">
      <c r="B1567" s="46" t="s">
        <v>2222</v>
      </c>
      <c r="D1567" t="s">
        <v>1460</v>
      </c>
      <c r="E1567" t="s">
        <v>1937</v>
      </c>
      <c r="F1567" s="46" t="s">
        <v>2222</v>
      </c>
      <c r="G1567" t="s">
        <v>585</v>
      </c>
      <c r="H1567" s="47" t="s">
        <v>2198</v>
      </c>
      <c r="I1567" s="47" t="s">
        <v>2199</v>
      </c>
      <c r="J1567" t="s">
        <v>797</v>
      </c>
      <c r="K1567">
        <v>1346</v>
      </c>
      <c r="L1567">
        <v>1527</v>
      </c>
      <c r="M1567" s="24">
        <v>158</v>
      </c>
      <c r="N1567" s="24">
        <v>191</v>
      </c>
      <c r="O1567" s="24">
        <v>58</v>
      </c>
      <c r="P1567" s="24">
        <v>69</v>
      </c>
      <c r="Q1567">
        <v>30</v>
      </c>
      <c r="R1567">
        <v>42</v>
      </c>
      <c r="S1567">
        <v>45</v>
      </c>
      <c r="T1567">
        <v>59</v>
      </c>
      <c r="U1567">
        <v>45</v>
      </c>
      <c r="V1567">
        <v>59</v>
      </c>
    </row>
    <row r="1568" spans="2:22" x14ac:dyDescent="0.35">
      <c r="B1568" s="46" t="s">
        <v>2223</v>
      </c>
      <c r="D1568" t="s">
        <v>1460</v>
      </c>
      <c r="E1568" t="s">
        <v>1937</v>
      </c>
      <c r="F1568" s="46" t="s">
        <v>2223</v>
      </c>
      <c r="G1568" t="s">
        <v>585</v>
      </c>
      <c r="H1568" s="47" t="s">
        <v>2198</v>
      </c>
      <c r="I1568" s="47" t="s">
        <v>2199</v>
      </c>
      <c r="J1568" t="s">
        <v>2224</v>
      </c>
      <c r="K1568">
        <v>25</v>
      </c>
      <c r="L1568">
        <v>58</v>
      </c>
      <c r="M1568" s="24">
        <v>0</v>
      </c>
      <c r="N1568" s="24">
        <v>42</v>
      </c>
      <c r="O1568" s="24">
        <v>26</v>
      </c>
      <c r="P1568" s="24">
        <v>70</v>
      </c>
      <c r="Q1568">
        <v>38</v>
      </c>
      <c r="R1568">
        <v>71</v>
      </c>
      <c r="S1568">
        <v>83</v>
      </c>
      <c r="T1568">
        <v>136</v>
      </c>
      <c r="U1568">
        <v>83</v>
      </c>
      <c r="V1568">
        <v>136</v>
      </c>
    </row>
    <row r="1569" spans="2:22" x14ac:dyDescent="0.35">
      <c r="B1569" s="46" t="s">
        <v>2225</v>
      </c>
      <c r="D1569" t="s">
        <v>1460</v>
      </c>
      <c r="E1569" t="s">
        <v>1937</v>
      </c>
      <c r="F1569" s="46" t="s">
        <v>2225</v>
      </c>
      <c r="G1569" t="s">
        <v>585</v>
      </c>
      <c r="H1569" s="47" t="s">
        <v>2198</v>
      </c>
      <c r="I1569" s="47" t="s">
        <v>2199</v>
      </c>
      <c r="J1569" t="s">
        <v>2226</v>
      </c>
      <c r="K1569">
        <v>145</v>
      </c>
      <c r="L1569">
        <v>291</v>
      </c>
      <c r="M1569" s="24">
        <v>106</v>
      </c>
      <c r="N1569" s="24">
        <v>271</v>
      </c>
      <c r="O1569" s="24">
        <v>127</v>
      </c>
      <c r="P1569" s="24">
        <v>247</v>
      </c>
      <c r="Q1569">
        <v>184</v>
      </c>
      <c r="R1569">
        <v>310</v>
      </c>
      <c r="S1569">
        <v>405</v>
      </c>
      <c r="T1569">
        <v>598</v>
      </c>
      <c r="U1569">
        <v>405</v>
      </c>
      <c r="V1569">
        <v>598</v>
      </c>
    </row>
    <row r="1570" spans="2:22" x14ac:dyDescent="0.35">
      <c r="B1570" s="46" t="s">
        <v>2227</v>
      </c>
      <c r="D1570" t="s">
        <v>1460</v>
      </c>
      <c r="E1570" t="s">
        <v>1937</v>
      </c>
      <c r="F1570" s="46" t="s">
        <v>2227</v>
      </c>
      <c r="G1570" t="s">
        <v>585</v>
      </c>
      <c r="H1570" s="47" t="s">
        <v>2198</v>
      </c>
      <c r="I1570" s="47" t="s">
        <v>2199</v>
      </c>
      <c r="J1570" t="s">
        <v>2228</v>
      </c>
      <c r="K1570">
        <v>133</v>
      </c>
      <c r="L1570">
        <v>244</v>
      </c>
      <c r="M1570" s="24">
        <v>94</v>
      </c>
      <c r="N1570" s="24">
        <v>234</v>
      </c>
      <c r="O1570" s="24">
        <v>98</v>
      </c>
      <c r="P1570" s="24">
        <v>246</v>
      </c>
      <c r="Q1570">
        <v>270</v>
      </c>
      <c r="R1570">
        <v>423</v>
      </c>
      <c r="S1570">
        <v>482</v>
      </c>
      <c r="T1570">
        <v>664</v>
      </c>
      <c r="U1570">
        <v>482</v>
      </c>
      <c r="V1570">
        <v>664</v>
      </c>
    </row>
    <row r="1571" spans="2:22" x14ac:dyDescent="0.35">
      <c r="B1571" s="46" t="s">
        <v>2229</v>
      </c>
      <c r="D1571" t="s">
        <v>1460</v>
      </c>
      <c r="E1571" t="s">
        <v>1937</v>
      </c>
      <c r="F1571" s="46" t="s">
        <v>2229</v>
      </c>
      <c r="G1571" t="s">
        <v>588</v>
      </c>
      <c r="H1571" s="47" t="s">
        <v>2230</v>
      </c>
      <c r="I1571" s="47" t="s">
        <v>2231</v>
      </c>
      <c r="J1571" t="s">
        <v>2232</v>
      </c>
      <c r="K1571">
        <v>47</v>
      </c>
      <c r="L1571">
        <v>97</v>
      </c>
      <c r="M1571" s="24">
        <v>31</v>
      </c>
      <c r="N1571" s="24">
        <v>72</v>
      </c>
      <c r="O1571" s="24">
        <v>46</v>
      </c>
      <c r="P1571" s="24">
        <v>105</v>
      </c>
      <c r="Q1571">
        <v>65</v>
      </c>
      <c r="R1571">
        <v>111</v>
      </c>
      <c r="S1571">
        <v>86</v>
      </c>
      <c r="T1571">
        <v>150</v>
      </c>
      <c r="U1571">
        <v>86</v>
      </c>
      <c r="V1571">
        <v>150</v>
      </c>
    </row>
    <row r="1572" spans="2:22" x14ac:dyDescent="0.35">
      <c r="B1572" s="46" t="s">
        <v>2233</v>
      </c>
      <c r="D1572" t="s">
        <v>1460</v>
      </c>
      <c r="E1572" t="s">
        <v>1937</v>
      </c>
      <c r="F1572" s="46" t="s">
        <v>2233</v>
      </c>
      <c r="G1572" t="s">
        <v>588</v>
      </c>
      <c r="H1572" s="47" t="s">
        <v>2230</v>
      </c>
      <c r="I1572" s="47" t="s">
        <v>2231</v>
      </c>
      <c r="J1572" t="s">
        <v>2234</v>
      </c>
      <c r="K1572">
        <v>51</v>
      </c>
      <c r="L1572">
        <v>70</v>
      </c>
      <c r="M1572" s="24">
        <v>43</v>
      </c>
      <c r="N1572" s="24">
        <v>61</v>
      </c>
      <c r="O1572" s="24">
        <v>43</v>
      </c>
      <c r="P1572" s="24">
        <v>70</v>
      </c>
      <c r="Q1572">
        <v>45</v>
      </c>
      <c r="R1572">
        <v>77</v>
      </c>
      <c r="S1572">
        <v>71</v>
      </c>
      <c r="T1572">
        <v>103</v>
      </c>
      <c r="U1572">
        <v>71</v>
      </c>
      <c r="V1572">
        <v>103</v>
      </c>
    </row>
    <row r="1573" spans="2:22" x14ac:dyDescent="0.35">
      <c r="B1573" s="46" t="s">
        <v>2235</v>
      </c>
      <c r="D1573" t="s">
        <v>1460</v>
      </c>
      <c r="E1573" t="s">
        <v>1937</v>
      </c>
      <c r="F1573" s="46" t="s">
        <v>2235</v>
      </c>
      <c r="G1573" t="s">
        <v>588</v>
      </c>
      <c r="H1573" s="47" t="s">
        <v>2230</v>
      </c>
      <c r="I1573" s="47" t="s">
        <v>2231</v>
      </c>
      <c r="J1573" t="s">
        <v>1867</v>
      </c>
      <c r="K1573">
        <v>72</v>
      </c>
      <c r="L1573">
        <v>99</v>
      </c>
      <c r="M1573" s="24">
        <v>59</v>
      </c>
      <c r="N1573" s="24">
        <v>93</v>
      </c>
      <c r="O1573" s="24">
        <v>87</v>
      </c>
      <c r="P1573" s="24">
        <v>161</v>
      </c>
      <c r="Q1573">
        <v>93</v>
      </c>
      <c r="R1573">
        <v>165</v>
      </c>
      <c r="S1573">
        <v>187</v>
      </c>
      <c r="T1573">
        <v>306</v>
      </c>
      <c r="U1573">
        <v>187</v>
      </c>
      <c r="V1573">
        <v>306</v>
      </c>
    </row>
    <row r="1574" spans="2:22" x14ac:dyDescent="0.35">
      <c r="B1574" s="46" t="s">
        <v>2236</v>
      </c>
      <c r="D1574" t="s">
        <v>1460</v>
      </c>
      <c r="E1574" t="s">
        <v>1937</v>
      </c>
      <c r="F1574" s="46" t="s">
        <v>2236</v>
      </c>
      <c r="G1574" t="s">
        <v>588</v>
      </c>
      <c r="H1574" s="47" t="s">
        <v>2230</v>
      </c>
      <c r="I1574" s="47" t="s">
        <v>2231</v>
      </c>
      <c r="J1574" t="s">
        <v>2237</v>
      </c>
      <c r="K1574">
        <v>40</v>
      </c>
      <c r="L1574">
        <v>55</v>
      </c>
      <c r="M1574" s="24">
        <v>47</v>
      </c>
      <c r="N1574" s="24">
        <v>60</v>
      </c>
      <c r="O1574" s="24">
        <v>59</v>
      </c>
      <c r="P1574" s="24">
        <v>79</v>
      </c>
      <c r="Q1574">
        <v>40</v>
      </c>
      <c r="R1574">
        <v>75</v>
      </c>
      <c r="S1574">
        <v>87</v>
      </c>
      <c r="T1574">
        <v>156</v>
      </c>
      <c r="U1574">
        <v>87</v>
      </c>
      <c r="V1574">
        <v>156</v>
      </c>
    </row>
    <row r="1575" spans="2:22" x14ac:dyDescent="0.35">
      <c r="B1575" s="46" t="s">
        <v>2238</v>
      </c>
      <c r="D1575" t="s">
        <v>1460</v>
      </c>
      <c r="E1575" t="s">
        <v>1937</v>
      </c>
      <c r="F1575" s="46" t="s">
        <v>2238</v>
      </c>
      <c r="G1575" t="s">
        <v>588</v>
      </c>
      <c r="H1575" s="47" t="s">
        <v>2230</v>
      </c>
      <c r="I1575" s="47" t="s">
        <v>2231</v>
      </c>
      <c r="J1575" t="s">
        <v>2239</v>
      </c>
      <c r="K1575">
        <v>207</v>
      </c>
      <c r="L1575">
        <v>353</v>
      </c>
      <c r="M1575" s="24">
        <v>223</v>
      </c>
      <c r="N1575" s="24">
        <v>371</v>
      </c>
      <c r="O1575" s="24">
        <v>290</v>
      </c>
      <c r="P1575" s="24">
        <v>421</v>
      </c>
      <c r="Q1575">
        <v>170</v>
      </c>
      <c r="R1575">
        <v>374</v>
      </c>
      <c r="S1575">
        <v>304</v>
      </c>
      <c r="T1575">
        <v>475</v>
      </c>
      <c r="U1575">
        <v>304</v>
      </c>
      <c r="V1575">
        <v>475</v>
      </c>
    </row>
    <row r="1576" spans="2:22" x14ac:dyDescent="0.35">
      <c r="B1576" s="46" t="s">
        <v>2240</v>
      </c>
      <c r="D1576" t="s">
        <v>1460</v>
      </c>
      <c r="E1576" t="s">
        <v>1937</v>
      </c>
      <c r="F1576" s="46" t="s">
        <v>2240</v>
      </c>
      <c r="G1576" t="s">
        <v>588</v>
      </c>
      <c r="H1576" s="47" t="s">
        <v>2230</v>
      </c>
      <c r="I1576" s="47" t="s">
        <v>2231</v>
      </c>
      <c r="J1576" t="s">
        <v>2241</v>
      </c>
      <c r="K1576">
        <v>186</v>
      </c>
      <c r="L1576">
        <v>221</v>
      </c>
      <c r="M1576" s="24">
        <v>168</v>
      </c>
      <c r="N1576" s="24">
        <v>195</v>
      </c>
      <c r="O1576" s="24">
        <v>190</v>
      </c>
      <c r="P1576" s="24">
        <v>250</v>
      </c>
      <c r="Q1576">
        <v>195</v>
      </c>
      <c r="R1576">
        <v>265</v>
      </c>
      <c r="S1576">
        <v>248</v>
      </c>
      <c r="T1576">
        <v>322</v>
      </c>
      <c r="U1576">
        <v>248</v>
      </c>
      <c r="V1576">
        <v>322</v>
      </c>
    </row>
    <row r="1577" spans="2:22" x14ac:dyDescent="0.35">
      <c r="B1577" s="46" t="s">
        <v>2242</v>
      </c>
      <c r="D1577" t="s">
        <v>1460</v>
      </c>
      <c r="E1577" t="s">
        <v>1937</v>
      </c>
      <c r="F1577" s="46" t="s">
        <v>2242</v>
      </c>
      <c r="G1577" t="s">
        <v>588</v>
      </c>
      <c r="H1577" s="47" t="s">
        <v>2230</v>
      </c>
      <c r="I1577" s="47" t="s">
        <v>2231</v>
      </c>
      <c r="J1577" t="s">
        <v>2243</v>
      </c>
      <c r="K1577">
        <v>161</v>
      </c>
      <c r="L1577">
        <v>201</v>
      </c>
      <c r="M1577" s="24">
        <v>146</v>
      </c>
      <c r="N1577" s="24">
        <v>192</v>
      </c>
      <c r="O1577" s="24">
        <v>134</v>
      </c>
      <c r="P1577" s="24">
        <v>181</v>
      </c>
      <c r="Q1577">
        <v>142</v>
      </c>
      <c r="R1577">
        <v>204</v>
      </c>
      <c r="S1577">
        <v>195</v>
      </c>
      <c r="T1577">
        <v>282</v>
      </c>
      <c r="U1577">
        <v>195</v>
      </c>
      <c r="V1577">
        <v>282</v>
      </c>
    </row>
    <row r="1578" spans="2:22" x14ac:dyDescent="0.35">
      <c r="B1578" s="46" t="s">
        <v>2244</v>
      </c>
      <c r="D1578" t="s">
        <v>1460</v>
      </c>
      <c r="E1578" t="s">
        <v>1937</v>
      </c>
      <c r="F1578" s="46" t="s">
        <v>2244</v>
      </c>
      <c r="G1578" t="s">
        <v>588</v>
      </c>
      <c r="H1578" s="47" t="s">
        <v>2230</v>
      </c>
      <c r="I1578" s="47" t="s">
        <v>2231</v>
      </c>
      <c r="J1578" t="s">
        <v>2245</v>
      </c>
      <c r="K1578">
        <v>53</v>
      </c>
      <c r="L1578">
        <v>64</v>
      </c>
      <c r="M1578" s="24">
        <v>40</v>
      </c>
      <c r="N1578" s="24">
        <v>59</v>
      </c>
      <c r="O1578" s="24">
        <v>39</v>
      </c>
      <c r="P1578" s="24">
        <v>60</v>
      </c>
      <c r="Q1578">
        <v>36</v>
      </c>
      <c r="R1578">
        <v>54</v>
      </c>
      <c r="S1578">
        <v>55</v>
      </c>
      <c r="T1578">
        <v>84</v>
      </c>
      <c r="U1578">
        <v>55</v>
      </c>
      <c r="V1578">
        <v>84</v>
      </c>
    </row>
    <row r="1579" spans="2:22" x14ac:dyDescent="0.35">
      <c r="B1579" s="46" t="s">
        <v>2246</v>
      </c>
      <c r="D1579" t="s">
        <v>1460</v>
      </c>
      <c r="E1579" t="s">
        <v>1937</v>
      </c>
      <c r="F1579" s="46" t="s">
        <v>2246</v>
      </c>
      <c r="G1579" t="s">
        <v>588</v>
      </c>
      <c r="H1579" s="47" t="s">
        <v>2230</v>
      </c>
      <c r="I1579" s="47" t="s">
        <v>2231</v>
      </c>
      <c r="J1579" t="s">
        <v>2247</v>
      </c>
      <c r="K1579">
        <v>55</v>
      </c>
      <c r="L1579">
        <v>106</v>
      </c>
      <c r="M1579" s="24">
        <v>51</v>
      </c>
      <c r="N1579" s="24">
        <v>132</v>
      </c>
      <c r="O1579" s="24">
        <v>56</v>
      </c>
      <c r="P1579" s="24">
        <v>120</v>
      </c>
      <c r="Q1579">
        <v>92</v>
      </c>
      <c r="R1579">
        <v>149</v>
      </c>
      <c r="S1579">
        <v>137</v>
      </c>
      <c r="T1579">
        <v>217</v>
      </c>
      <c r="U1579">
        <v>137</v>
      </c>
      <c r="V1579">
        <v>217</v>
      </c>
    </row>
    <row r="1580" spans="2:22" x14ac:dyDescent="0.35">
      <c r="B1580" s="46" t="s">
        <v>2248</v>
      </c>
      <c r="D1580" t="s">
        <v>1460</v>
      </c>
      <c r="E1580" t="s">
        <v>1937</v>
      </c>
      <c r="F1580" s="46" t="s">
        <v>2248</v>
      </c>
      <c r="G1580" t="s">
        <v>588</v>
      </c>
      <c r="H1580" s="47" t="s">
        <v>2230</v>
      </c>
      <c r="I1580" s="47" t="s">
        <v>2231</v>
      </c>
      <c r="J1580" t="s">
        <v>2249</v>
      </c>
      <c r="K1580">
        <v>60</v>
      </c>
      <c r="L1580">
        <v>77</v>
      </c>
      <c r="M1580" s="24">
        <v>49</v>
      </c>
      <c r="N1580" s="24">
        <v>73</v>
      </c>
      <c r="O1580" s="24">
        <v>44</v>
      </c>
      <c r="P1580" s="24">
        <v>77</v>
      </c>
      <c r="Q1580">
        <v>50</v>
      </c>
      <c r="R1580">
        <v>82</v>
      </c>
      <c r="S1580">
        <v>78</v>
      </c>
      <c r="T1580">
        <v>114</v>
      </c>
      <c r="U1580">
        <v>78</v>
      </c>
      <c r="V1580">
        <v>114</v>
      </c>
    </row>
    <row r="1581" spans="2:22" x14ac:dyDescent="0.35">
      <c r="B1581" s="46" t="s">
        <v>2250</v>
      </c>
      <c r="D1581" t="s">
        <v>1460</v>
      </c>
      <c r="E1581" t="s">
        <v>1937</v>
      </c>
      <c r="F1581" s="46" t="s">
        <v>2250</v>
      </c>
      <c r="G1581" t="s">
        <v>588</v>
      </c>
      <c r="H1581" s="47" t="s">
        <v>2230</v>
      </c>
      <c r="I1581" s="47" t="s">
        <v>2231</v>
      </c>
      <c r="J1581" t="s">
        <v>2251</v>
      </c>
      <c r="K1581">
        <v>30</v>
      </c>
      <c r="L1581">
        <v>57</v>
      </c>
      <c r="M1581" s="24">
        <v>28</v>
      </c>
      <c r="N1581" s="24">
        <v>56</v>
      </c>
      <c r="O1581" s="24">
        <v>31</v>
      </c>
      <c r="P1581" s="24">
        <v>57</v>
      </c>
      <c r="Q1581">
        <v>50</v>
      </c>
      <c r="R1581">
        <v>77</v>
      </c>
      <c r="S1581">
        <v>55</v>
      </c>
      <c r="T1581">
        <v>86</v>
      </c>
      <c r="U1581">
        <v>55</v>
      </c>
      <c r="V1581">
        <v>86</v>
      </c>
    </row>
    <row r="1582" spans="2:22" x14ac:dyDescent="0.35">
      <c r="B1582" s="46" t="s">
        <v>2252</v>
      </c>
      <c r="D1582" t="s">
        <v>1460</v>
      </c>
      <c r="E1582" t="s">
        <v>1937</v>
      </c>
      <c r="F1582" s="46" t="s">
        <v>2252</v>
      </c>
      <c r="G1582" t="s">
        <v>588</v>
      </c>
      <c r="H1582" s="47" t="s">
        <v>2230</v>
      </c>
      <c r="I1582" s="47" t="s">
        <v>2231</v>
      </c>
      <c r="J1582" t="s">
        <v>2253</v>
      </c>
      <c r="K1582">
        <v>105</v>
      </c>
      <c r="L1582">
        <v>168</v>
      </c>
      <c r="M1582" s="24">
        <v>86</v>
      </c>
      <c r="N1582" s="24">
        <v>149</v>
      </c>
      <c r="O1582" s="24">
        <v>85</v>
      </c>
      <c r="P1582" s="24">
        <v>149</v>
      </c>
      <c r="Q1582">
        <v>70</v>
      </c>
      <c r="R1582">
        <v>147</v>
      </c>
      <c r="S1582">
        <v>107</v>
      </c>
      <c r="T1582">
        <v>207</v>
      </c>
      <c r="U1582">
        <v>107</v>
      </c>
      <c r="V1582">
        <v>207</v>
      </c>
    </row>
    <row r="1583" spans="2:22" x14ac:dyDescent="0.35">
      <c r="B1583" s="46" t="s">
        <v>2254</v>
      </c>
      <c r="D1583" t="s">
        <v>1460</v>
      </c>
      <c r="E1583" t="s">
        <v>1937</v>
      </c>
      <c r="F1583" s="46" t="s">
        <v>2254</v>
      </c>
      <c r="G1583" t="s">
        <v>588</v>
      </c>
      <c r="H1583" s="47" t="s">
        <v>2230</v>
      </c>
      <c r="I1583" s="47" t="s">
        <v>2231</v>
      </c>
      <c r="J1583" t="s">
        <v>2255</v>
      </c>
      <c r="K1583">
        <v>2093</v>
      </c>
      <c r="L1583">
        <v>3576</v>
      </c>
      <c r="M1583" s="24">
        <v>1849</v>
      </c>
      <c r="N1583" s="24">
        <v>3591</v>
      </c>
      <c r="O1583" s="24">
        <v>1974</v>
      </c>
      <c r="P1583" s="24">
        <v>3537</v>
      </c>
      <c r="Q1583">
        <v>2499</v>
      </c>
      <c r="R1583">
        <v>3972</v>
      </c>
      <c r="S1583">
        <v>3042</v>
      </c>
      <c r="T1583">
        <v>5416</v>
      </c>
      <c r="U1583">
        <v>3042</v>
      </c>
      <c r="V1583">
        <v>5416</v>
      </c>
    </row>
    <row r="1584" spans="2:22" x14ac:dyDescent="0.35">
      <c r="B1584" s="46" t="s">
        <v>2256</v>
      </c>
      <c r="D1584" t="s">
        <v>1460</v>
      </c>
      <c r="E1584" t="s">
        <v>1937</v>
      </c>
      <c r="F1584" s="46" t="s">
        <v>2256</v>
      </c>
      <c r="G1584" t="s">
        <v>592</v>
      </c>
      <c r="H1584" s="47" t="s">
        <v>2257</v>
      </c>
      <c r="I1584" s="47" t="s">
        <v>2258</v>
      </c>
      <c r="J1584" t="s">
        <v>2259</v>
      </c>
      <c r="K1584">
        <v>1223</v>
      </c>
      <c r="L1584">
        <v>1963</v>
      </c>
      <c r="M1584" s="24">
        <v>1170</v>
      </c>
      <c r="N1584" s="24">
        <v>1985</v>
      </c>
      <c r="O1584" s="24">
        <v>1340</v>
      </c>
      <c r="P1584" s="24">
        <v>2059</v>
      </c>
      <c r="Q1584">
        <v>1141</v>
      </c>
      <c r="R1584">
        <v>1949</v>
      </c>
      <c r="S1584">
        <v>1557</v>
      </c>
      <c r="T1584">
        <v>2689</v>
      </c>
      <c r="U1584">
        <v>1557</v>
      </c>
      <c r="V1584">
        <v>2689</v>
      </c>
    </row>
    <row r="1585" spans="2:22" x14ac:dyDescent="0.35">
      <c r="B1585" s="46" t="s">
        <v>2260</v>
      </c>
      <c r="D1585" t="s">
        <v>1460</v>
      </c>
      <c r="E1585" t="s">
        <v>1937</v>
      </c>
      <c r="F1585" s="46" t="s">
        <v>2260</v>
      </c>
      <c r="G1585" t="s">
        <v>592</v>
      </c>
      <c r="H1585" s="47" t="s">
        <v>2257</v>
      </c>
      <c r="I1585" s="47" t="s">
        <v>2258</v>
      </c>
      <c r="J1585" t="s">
        <v>2261</v>
      </c>
      <c r="K1585">
        <v>544</v>
      </c>
      <c r="L1585">
        <v>780</v>
      </c>
      <c r="M1585" s="24">
        <v>544</v>
      </c>
      <c r="N1585" s="24">
        <v>768</v>
      </c>
      <c r="O1585" s="24">
        <v>496</v>
      </c>
      <c r="P1585" s="24">
        <v>763</v>
      </c>
      <c r="Q1585">
        <v>530</v>
      </c>
      <c r="R1585">
        <v>829</v>
      </c>
      <c r="S1585">
        <v>724</v>
      </c>
      <c r="T1585">
        <v>1159</v>
      </c>
      <c r="U1585">
        <v>724</v>
      </c>
      <c r="V1585">
        <v>1159</v>
      </c>
    </row>
    <row r="1586" spans="2:22" x14ac:dyDescent="0.35">
      <c r="B1586" s="46" t="s">
        <v>2262</v>
      </c>
      <c r="D1586" t="s">
        <v>1460</v>
      </c>
      <c r="E1586" t="s">
        <v>1937</v>
      </c>
      <c r="F1586" s="46" t="s">
        <v>2262</v>
      </c>
      <c r="G1586" t="s">
        <v>592</v>
      </c>
      <c r="H1586" s="47" t="s">
        <v>2257</v>
      </c>
      <c r="I1586" s="47" t="s">
        <v>2258</v>
      </c>
      <c r="J1586" t="s">
        <v>2263</v>
      </c>
      <c r="K1586">
        <v>53982</v>
      </c>
      <c r="L1586">
        <v>73621</v>
      </c>
      <c r="M1586" s="24">
        <v>46549</v>
      </c>
      <c r="N1586" s="24">
        <v>65590</v>
      </c>
      <c r="O1586" s="24">
        <v>43518</v>
      </c>
      <c r="P1586" s="24">
        <v>64992</v>
      </c>
      <c r="Q1586">
        <v>42962</v>
      </c>
      <c r="R1586">
        <v>73387</v>
      </c>
      <c r="S1586">
        <v>62782</v>
      </c>
      <c r="T1586">
        <v>103772</v>
      </c>
      <c r="U1586">
        <v>62782</v>
      </c>
      <c r="V1586">
        <v>103772</v>
      </c>
    </row>
    <row r="1587" spans="2:22" x14ac:dyDescent="0.35">
      <c r="B1587" s="46" t="s">
        <v>2264</v>
      </c>
      <c r="D1587" t="s">
        <v>1460</v>
      </c>
      <c r="E1587" t="s">
        <v>1937</v>
      </c>
      <c r="F1587" s="46" t="s">
        <v>2264</v>
      </c>
      <c r="G1587" t="s">
        <v>592</v>
      </c>
      <c r="H1587" s="47" t="s">
        <v>2257</v>
      </c>
      <c r="I1587" s="47" t="s">
        <v>2258</v>
      </c>
      <c r="J1587" t="s">
        <v>2265</v>
      </c>
      <c r="K1587">
        <v>2949</v>
      </c>
      <c r="L1587">
        <v>4851</v>
      </c>
      <c r="M1587" s="24">
        <v>2504</v>
      </c>
      <c r="N1587" s="24">
        <v>4534</v>
      </c>
      <c r="O1587" s="24">
        <v>2413</v>
      </c>
      <c r="P1587" s="24">
        <v>4930</v>
      </c>
      <c r="Q1587">
        <v>2875</v>
      </c>
      <c r="R1587">
        <v>5831</v>
      </c>
      <c r="S1587">
        <v>3910</v>
      </c>
      <c r="T1587">
        <v>8458</v>
      </c>
      <c r="U1587">
        <v>3910</v>
      </c>
      <c r="V1587">
        <v>8458</v>
      </c>
    </row>
    <row r="1588" spans="2:22" x14ac:dyDescent="0.35">
      <c r="B1588" s="46" t="s">
        <v>2266</v>
      </c>
      <c r="D1588" t="s">
        <v>1460</v>
      </c>
      <c r="E1588" t="s">
        <v>1937</v>
      </c>
      <c r="F1588" s="46" t="s">
        <v>2266</v>
      </c>
      <c r="G1588" t="s">
        <v>592</v>
      </c>
      <c r="H1588" s="47" t="s">
        <v>2257</v>
      </c>
      <c r="I1588" s="47" t="s">
        <v>2258</v>
      </c>
      <c r="J1588" t="s">
        <v>2267</v>
      </c>
      <c r="K1588">
        <v>330</v>
      </c>
      <c r="L1588">
        <v>492</v>
      </c>
      <c r="M1588" s="24">
        <v>270</v>
      </c>
      <c r="N1588" s="24">
        <v>455</v>
      </c>
      <c r="O1588" s="24">
        <v>248</v>
      </c>
      <c r="P1588" s="24">
        <v>419</v>
      </c>
      <c r="Q1588">
        <v>291</v>
      </c>
      <c r="R1588">
        <v>423</v>
      </c>
      <c r="S1588">
        <v>518</v>
      </c>
      <c r="T1588">
        <v>716</v>
      </c>
      <c r="U1588">
        <v>518</v>
      </c>
      <c r="V1588">
        <v>716</v>
      </c>
    </row>
    <row r="1589" spans="2:22" x14ac:dyDescent="0.35">
      <c r="B1589" s="46" t="s">
        <v>2268</v>
      </c>
      <c r="D1589" t="s">
        <v>1460</v>
      </c>
      <c r="E1589" t="s">
        <v>1937</v>
      </c>
      <c r="F1589" s="46" t="s">
        <v>2268</v>
      </c>
      <c r="G1589" t="s">
        <v>592</v>
      </c>
      <c r="H1589" s="47" t="s">
        <v>2257</v>
      </c>
      <c r="I1589" s="47" t="s">
        <v>2258</v>
      </c>
      <c r="J1589" t="s">
        <v>2269</v>
      </c>
      <c r="K1589">
        <v>72</v>
      </c>
      <c r="L1589">
        <v>112</v>
      </c>
      <c r="M1589" s="24">
        <v>72</v>
      </c>
      <c r="N1589" s="24">
        <v>103</v>
      </c>
      <c r="O1589" s="24">
        <v>67</v>
      </c>
      <c r="P1589" s="24">
        <v>112</v>
      </c>
      <c r="Q1589">
        <v>72</v>
      </c>
      <c r="R1589">
        <v>150</v>
      </c>
      <c r="S1589">
        <v>179</v>
      </c>
      <c r="T1589">
        <v>261</v>
      </c>
      <c r="U1589">
        <v>179</v>
      </c>
      <c r="V1589">
        <v>261</v>
      </c>
    </row>
    <row r="1590" spans="2:22" x14ac:dyDescent="0.35">
      <c r="B1590" s="46" t="s">
        <v>2270</v>
      </c>
      <c r="D1590" t="s">
        <v>1460</v>
      </c>
      <c r="E1590" t="s">
        <v>1937</v>
      </c>
      <c r="F1590" s="46" t="s">
        <v>2270</v>
      </c>
      <c r="G1590" t="s">
        <v>592</v>
      </c>
      <c r="H1590" s="47" t="s">
        <v>2257</v>
      </c>
      <c r="I1590" s="47" t="s">
        <v>2258</v>
      </c>
      <c r="J1590" t="s">
        <v>2271</v>
      </c>
      <c r="K1590">
        <v>531</v>
      </c>
      <c r="L1590">
        <v>760</v>
      </c>
      <c r="M1590" s="24">
        <v>460</v>
      </c>
      <c r="N1590" s="24">
        <v>688</v>
      </c>
      <c r="O1590" s="24">
        <v>473</v>
      </c>
      <c r="P1590" s="24">
        <v>689</v>
      </c>
      <c r="Q1590">
        <v>381</v>
      </c>
      <c r="R1590">
        <v>715</v>
      </c>
      <c r="S1590">
        <v>593</v>
      </c>
      <c r="T1590">
        <v>880</v>
      </c>
      <c r="U1590">
        <v>593</v>
      </c>
      <c r="V1590">
        <v>880</v>
      </c>
    </row>
    <row r="1591" spans="2:22" x14ac:dyDescent="0.35">
      <c r="B1591" s="46" t="s">
        <v>2272</v>
      </c>
      <c r="D1591" t="s">
        <v>1460</v>
      </c>
      <c r="E1591" t="s">
        <v>1937</v>
      </c>
      <c r="F1591" s="46" t="s">
        <v>2272</v>
      </c>
      <c r="G1591" t="s">
        <v>592</v>
      </c>
      <c r="H1591" s="47" t="s">
        <v>2257</v>
      </c>
      <c r="I1591" s="47" t="s">
        <v>2258</v>
      </c>
      <c r="J1591" t="s">
        <v>2273</v>
      </c>
      <c r="K1591">
        <v>1646</v>
      </c>
      <c r="L1591">
        <v>2061</v>
      </c>
      <c r="M1591" s="24">
        <v>1733</v>
      </c>
      <c r="N1591" s="24">
        <v>2093</v>
      </c>
      <c r="O1591" s="24">
        <v>1811</v>
      </c>
      <c r="P1591" s="24">
        <v>2222</v>
      </c>
      <c r="Q1591">
        <v>1888</v>
      </c>
      <c r="R1591">
        <v>2284</v>
      </c>
      <c r="S1591">
        <v>2501</v>
      </c>
      <c r="T1591">
        <v>2976</v>
      </c>
      <c r="U1591">
        <v>2501</v>
      </c>
      <c r="V1591">
        <v>2976</v>
      </c>
    </row>
    <row r="1592" spans="2:22" x14ac:dyDescent="0.35">
      <c r="B1592" s="46" t="s">
        <v>2274</v>
      </c>
      <c r="D1592" t="s">
        <v>1460</v>
      </c>
      <c r="E1592" t="s">
        <v>1937</v>
      </c>
      <c r="F1592" s="46" t="s">
        <v>2274</v>
      </c>
      <c r="G1592" t="s">
        <v>592</v>
      </c>
      <c r="H1592" s="47" t="s">
        <v>2257</v>
      </c>
      <c r="I1592" s="47" t="s">
        <v>2258</v>
      </c>
      <c r="J1592" t="s">
        <v>2275</v>
      </c>
      <c r="K1592">
        <v>331</v>
      </c>
      <c r="L1592">
        <v>548</v>
      </c>
      <c r="M1592" s="24">
        <v>320</v>
      </c>
      <c r="N1592" s="24">
        <v>547</v>
      </c>
      <c r="O1592" s="24">
        <v>330</v>
      </c>
      <c r="P1592" s="24">
        <v>544</v>
      </c>
      <c r="Q1592">
        <v>285</v>
      </c>
      <c r="R1592">
        <v>561</v>
      </c>
      <c r="S1592">
        <v>551</v>
      </c>
      <c r="T1592">
        <v>860</v>
      </c>
      <c r="U1592">
        <v>551</v>
      </c>
      <c r="V1592">
        <v>860</v>
      </c>
    </row>
    <row r="1593" spans="2:22" x14ac:dyDescent="0.35">
      <c r="B1593" s="46" t="s">
        <v>2276</v>
      </c>
      <c r="D1593" t="s">
        <v>1460</v>
      </c>
      <c r="E1593" t="s">
        <v>1937</v>
      </c>
      <c r="F1593" s="46" t="s">
        <v>2276</v>
      </c>
      <c r="G1593" t="s">
        <v>592</v>
      </c>
      <c r="H1593" s="47" t="s">
        <v>2257</v>
      </c>
      <c r="I1593" s="47" t="s">
        <v>2258</v>
      </c>
      <c r="J1593" t="s">
        <v>2277</v>
      </c>
      <c r="K1593">
        <v>2587</v>
      </c>
      <c r="L1593">
        <v>4576</v>
      </c>
      <c r="M1593" s="24">
        <v>2389</v>
      </c>
      <c r="N1593" s="24">
        <v>4723</v>
      </c>
      <c r="O1593" s="24">
        <v>2144</v>
      </c>
      <c r="P1593" s="24">
        <v>4541</v>
      </c>
      <c r="Q1593">
        <v>2282</v>
      </c>
      <c r="R1593">
        <v>4734</v>
      </c>
      <c r="S1593">
        <v>2980</v>
      </c>
      <c r="T1593">
        <v>6249</v>
      </c>
      <c r="U1593">
        <v>2980</v>
      </c>
      <c r="V1593">
        <v>6249</v>
      </c>
    </row>
    <row r="1594" spans="2:22" x14ac:dyDescent="0.35">
      <c r="B1594" s="46" t="s">
        <v>2278</v>
      </c>
      <c r="D1594" t="s">
        <v>1460</v>
      </c>
      <c r="E1594" t="s">
        <v>1937</v>
      </c>
      <c r="F1594" s="46" t="s">
        <v>2278</v>
      </c>
      <c r="G1594" t="s">
        <v>592</v>
      </c>
      <c r="H1594" s="47" t="s">
        <v>2257</v>
      </c>
      <c r="I1594" s="47" t="s">
        <v>2258</v>
      </c>
      <c r="J1594" t="s">
        <v>2279</v>
      </c>
      <c r="K1594">
        <v>898</v>
      </c>
      <c r="L1594">
        <v>1416</v>
      </c>
      <c r="M1594" s="24">
        <v>820</v>
      </c>
      <c r="N1594" s="24">
        <v>1311</v>
      </c>
      <c r="O1594" s="24">
        <v>834</v>
      </c>
      <c r="P1594" s="24">
        <v>1390</v>
      </c>
      <c r="Q1594">
        <v>953</v>
      </c>
      <c r="R1594">
        <v>1677</v>
      </c>
      <c r="S1594">
        <v>1302</v>
      </c>
      <c r="T1594">
        <v>2394</v>
      </c>
      <c r="U1594">
        <v>1302</v>
      </c>
      <c r="V1594">
        <v>2394</v>
      </c>
    </row>
    <row r="1595" spans="2:22" x14ac:dyDescent="0.35">
      <c r="B1595" s="46" t="s">
        <v>2280</v>
      </c>
      <c r="D1595" t="s">
        <v>1460</v>
      </c>
      <c r="E1595" t="s">
        <v>1937</v>
      </c>
      <c r="F1595" s="46" t="s">
        <v>2280</v>
      </c>
      <c r="G1595" t="s">
        <v>592</v>
      </c>
      <c r="H1595" s="47" t="s">
        <v>2257</v>
      </c>
      <c r="I1595" s="47" t="s">
        <v>2258</v>
      </c>
      <c r="J1595" t="s">
        <v>2281</v>
      </c>
      <c r="K1595">
        <v>1692</v>
      </c>
      <c r="L1595">
        <v>2155</v>
      </c>
      <c r="M1595" s="24">
        <v>1571</v>
      </c>
      <c r="N1595" s="24">
        <v>1989</v>
      </c>
      <c r="O1595" s="24">
        <v>1468</v>
      </c>
      <c r="P1595" s="24">
        <v>2021</v>
      </c>
      <c r="Q1595">
        <v>1550</v>
      </c>
      <c r="R1595">
        <v>2211</v>
      </c>
      <c r="S1595">
        <v>2151</v>
      </c>
      <c r="T1595">
        <v>3100</v>
      </c>
      <c r="U1595">
        <v>2151</v>
      </c>
      <c r="V1595">
        <v>3100</v>
      </c>
    </row>
    <row r="1596" spans="2:22" x14ac:dyDescent="0.35">
      <c r="B1596" s="46" t="s">
        <v>2282</v>
      </c>
      <c r="D1596" t="s">
        <v>1460</v>
      </c>
      <c r="E1596" t="s">
        <v>1937</v>
      </c>
      <c r="F1596" s="46" t="s">
        <v>2282</v>
      </c>
      <c r="G1596" t="s">
        <v>592</v>
      </c>
      <c r="H1596" s="47" t="s">
        <v>2257</v>
      </c>
      <c r="I1596" s="47" t="s">
        <v>2258</v>
      </c>
      <c r="J1596" t="s">
        <v>2283</v>
      </c>
      <c r="K1596">
        <v>66</v>
      </c>
      <c r="L1596">
        <v>120</v>
      </c>
      <c r="M1596" s="24">
        <v>73</v>
      </c>
      <c r="N1596" s="24">
        <v>136</v>
      </c>
      <c r="O1596" s="24">
        <v>64</v>
      </c>
      <c r="P1596" s="24">
        <v>114</v>
      </c>
      <c r="Q1596">
        <v>48</v>
      </c>
      <c r="R1596">
        <v>124</v>
      </c>
      <c r="S1596">
        <v>126</v>
      </c>
      <c r="T1596">
        <v>204</v>
      </c>
      <c r="U1596">
        <v>126</v>
      </c>
      <c r="V1596">
        <v>204</v>
      </c>
    </row>
    <row r="1597" spans="2:22" x14ac:dyDescent="0.35">
      <c r="B1597" s="46" t="s">
        <v>2284</v>
      </c>
      <c r="D1597" t="s">
        <v>1460</v>
      </c>
      <c r="E1597" t="s">
        <v>1937</v>
      </c>
      <c r="F1597" s="46" t="s">
        <v>2284</v>
      </c>
      <c r="G1597" t="s">
        <v>592</v>
      </c>
      <c r="H1597" s="47" t="s">
        <v>2257</v>
      </c>
      <c r="I1597" s="47" t="s">
        <v>2258</v>
      </c>
      <c r="J1597" t="s">
        <v>2285</v>
      </c>
      <c r="K1597">
        <v>160</v>
      </c>
      <c r="L1597">
        <v>234</v>
      </c>
      <c r="M1597" s="24">
        <v>154</v>
      </c>
      <c r="N1597" s="24">
        <v>245</v>
      </c>
      <c r="O1597" s="24">
        <v>156</v>
      </c>
      <c r="P1597" s="24">
        <v>244</v>
      </c>
      <c r="Q1597">
        <v>192</v>
      </c>
      <c r="R1597">
        <v>263</v>
      </c>
      <c r="S1597">
        <v>228</v>
      </c>
      <c r="T1597">
        <v>310</v>
      </c>
      <c r="U1597">
        <v>228</v>
      </c>
      <c r="V1597">
        <v>310</v>
      </c>
    </row>
    <row r="1598" spans="2:22" x14ac:dyDescent="0.35">
      <c r="B1598" s="46" t="s">
        <v>2286</v>
      </c>
      <c r="D1598" t="s">
        <v>1460</v>
      </c>
      <c r="E1598" t="s">
        <v>1937</v>
      </c>
      <c r="F1598" s="46" t="s">
        <v>2286</v>
      </c>
      <c r="G1598" t="s">
        <v>592</v>
      </c>
      <c r="H1598" s="47" t="s">
        <v>2257</v>
      </c>
      <c r="I1598" s="47" t="s">
        <v>2258</v>
      </c>
      <c r="J1598" t="s">
        <v>2287</v>
      </c>
      <c r="K1598">
        <v>1919</v>
      </c>
      <c r="L1598">
        <v>2853</v>
      </c>
      <c r="M1598" s="24">
        <v>1823</v>
      </c>
      <c r="N1598" s="24">
        <v>2846</v>
      </c>
      <c r="O1598" s="24">
        <v>2145</v>
      </c>
      <c r="P1598" s="24">
        <v>3074</v>
      </c>
      <c r="Q1598">
        <v>3456</v>
      </c>
      <c r="R1598">
        <v>4459</v>
      </c>
      <c r="S1598">
        <v>5601</v>
      </c>
      <c r="T1598">
        <v>7501</v>
      </c>
      <c r="U1598">
        <v>5601</v>
      </c>
      <c r="V1598">
        <v>7501</v>
      </c>
    </row>
    <row r="1599" spans="2:22" x14ac:dyDescent="0.35">
      <c r="B1599" s="46" t="s">
        <v>2288</v>
      </c>
      <c r="D1599" t="s">
        <v>1460</v>
      </c>
      <c r="E1599" t="s">
        <v>1937</v>
      </c>
      <c r="F1599" s="46" t="s">
        <v>2288</v>
      </c>
      <c r="G1599" t="s">
        <v>592</v>
      </c>
      <c r="H1599" s="47" t="s">
        <v>2257</v>
      </c>
      <c r="I1599" s="47" t="s">
        <v>2258</v>
      </c>
      <c r="J1599" t="s">
        <v>2289</v>
      </c>
      <c r="K1599">
        <v>1279</v>
      </c>
      <c r="L1599">
        <v>1869</v>
      </c>
      <c r="M1599" s="24">
        <v>1113</v>
      </c>
      <c r="N1599" s="24">
        <v>1551</v>
      </c>
      <c r="O1599" s="24">
        <v>1024</v>
      </c>
      <c r="P1599" s="24">
        <v>1560</v>
      </c>
      <c r="Q1599">
        <v>1203</v>
      </c>
      <c r="R1599">
        <v>1725</v>
      </c>
      <c r="S1599">
        <v>1743</v>
      </c>
      <c r="T1599">
        <v>2537</v>
      </c>
      <c r="U1599">
        <v>1743</v>
      </c>
      <c r="V1599">
        <v>2537</v>
      </c>
    </row>
    <row r="1600" spans="2:22" x14ac:dyDescent="0.35">
      <c r="B1600" s="46" t="s">
        <v>2290</v>
      </c>
      <c r="D1600" t="s">
        <v>1460</v>
      </c>
      <c r="E1600" t="s">
        <v>1937</v>
      </c>
      <c r="F1600" s="46" t="s">
        <v>2290</v>
      </c>
      <c r="G1600" t="s">
        <v>592</v>
      </c>
      <c r="H1600" s="47" t="s">
        <v>2257</v>
      </c>
      <c r="I1600" s="47" t="s">
        <v>2258</v>
      </c>
      <c r="J1600" t="s">
        <v>2291</v>
      </c>
      <c r="K1600">
        <v>82</v>
      </c>
      <c r="L1600">
        <v>162</v>
      </c>
      <c r="M1600" s="24">
        <v>77</v>
      </c>
      <c r="N1600" s="24">
        <v>150</v>
      </c>
      <c r="O1600" s="24">
        <v>89</v>
      </c>
      <c r="P1600" s="24">
        <v>154</v>
      </c>
      <c r="Q1600">
        <v>90</v>
      </c>
      <c r="R1600">
        <v>171</v>
      </c>
      <c r="S1600">
        <v>113</v>
      </c>
      <c r="T1600">
        <v>195</v>
      </c>
      <c r="U1600">
        <v>113</v>
      </c>
      <c r="V1600">
        <v>195</v>
      </c>
    </row>
    <row r="1601" spans="2:22" x14ac:dyDescent="0.35">
      <c r="B1601" s="46" t="s">
        <v>2292</v>
      </c>
      <c r="D1601" t="s">
        <v>1460</v>
      </c>
      <c r="E1601" t="s">
        <v>1937</v>
      </c>
      <c r="F1601" s="46" t="s">
        <v>2292</v>
      </c>
      <c r="G1601" t="s">
        <v>592</v>
      </c>
      <c r="H1601" s="47" t="s">
        <v>2257</v>
      </c>
      <c r="I1601" s="47" t="s">
        <v>2258</v>
      </c>
      <c r="J1601" t="s">
        <v>2293</v>
      </c>
      <c r="K1601">
        <v>925</v>
      </c>
      <c r="L1601">
        <v>1375</v>
      </c>
      <c r="M1601" s="24">
        <v>855</v>
      </c>
      <c r="N1601" s="24">
        <v>1358</v>
      </c>
      <c r="O1601" s="24">
        <v>834</v>
      </c>
      <c r="P1601" s="24">
        <v>1253</v>
      </c>
      <c r="Q1601">
        <v>909</v>
      </c>
      <c r="R1601">
        <v>1308</v>
      </c>
      <c r="S1601">
        <v>1563</v>
      </c>
      <c r="T1601">
        <v>2026</v>
      </c>
      <c r="U1601">
        <v>1563</v>
      </c>
      <c r="V1601">
        <v>2026</v>
      </c>
    </row>
    <row r="1602" spans="2:22" x14ac:dyDescent="0.35">
      <c r="B1602" s="46" t="s">
        <v>2294</v>
      </c>
      <c r="D1602" t="s">
        <v>1460</v>
      </c>
      <c r="E1602" t="s">
        <v>1937</v>
      </c>
      <c r="F1602" s="46" t="s">
        <v>2294</v>
      </c>
      <c r="G1602" t="s">
        <v>592</v>
      </c>
      <c r="H1602" s="47" t="s">
        <v>2257</v>
      </c>
      <c r="I1602" s="47" t="s">
        <v>2258</v>
      </c>
      <c r="J1602" t="s">
        <v>2295</v>
      </c>
      <c r="K1602">
        <v>2047</v>
      </c>
      <c r="L1602">
        <v>3049</v>
      </c>
      <c r="M1602" s="24">
        <v>2035</v>
      </c>
      <c r="N1602" s="24">
        <v>3116</v>
      </c>
      <c r="O1602" s="24">
        <v>2439</v>
      </c>
      <c r="P1602" s="24">
        <v>3478</v>
      </c>
      <c r="Q1602">
        <v>1475</v>
      </c>
      <c r="R1602">
        <v>3920</v>
      </c>
      <c r="S1602">
        <v>3559</v>
      </c>
      <c r="T1602">
        <v>4936</v>
      </c>
      <c r="U1602">
        <v>3559</v>
      </c>
      <c r="V1602">
        <v>4936</v>
      </c>
    </row>
    <row r="1603" spans="2:22" x14ac:dyDescent="0.35">
      <c r="B1603" s="46" t="s">
        <v>2296</v>
      </c>
      <c r="D1603" t="s">
        <v>1460</v>
      </c>
      <c r="E1603" t="s">
        <v>1937</v>
      </c>
      <c r="F1603" s="46" t="s">
        <v>2296</v>
      </c>
      <c r="G1603" t="s">
        <v>592</v>
      </c>
      <c r="H1603" s="47" t="s">
        <v>2257</v>
      </c>
      <c r="I1603" s="47" t="s">
        <v>2258</v>
      </c>
      <c r="J1603" t="s">
        <v>1628</v>
      </c>
      <c r="K1603">
        <v>1003</v>
      </c>
      <c r="L1603">
        <v>1828</v>
      </c>
      <c r="M1603" s="24">
        <v>859</v>
      </c>
      <c r="N1603" s="24">
        <v>1673</v>
      </c>
      <c r="O1603" s="24">
        <v>915</v>
      </c>
      <c r="P1603" s="24">
        <v>1677</v>
      </c>
      <c r="Q1603">
        <v>1081</v>
      </c>
      <c r="R1603">
        <v>1799</v>
      </c>
      <c r="S1603">
        <v>1561</v>
      </c>
      <c r="T1603">
        <v>2482</v>
      </c>
      <c r="U1603">
        <v>1561</v>
      </c>
      <c r="V1603">
        <v>2482</v>
      </c>
    </row>
    <row r="1604" spans="2:22" x14ac:dyDescent="0.35">
      <c r="B1604" s="46" t="s">
        <v>2297</v>
      </c>
      <c r="D1604" t="s">
        <v>1460</v>
      </c>
      <c r="E1604" t="s">
        <v>1937</v>
      </c>
      <c r="F1604" s="46" t="s">
        <v>2297</v>
      </c>
      <c r="G1604" t="s">
        <v>592</v>
      </c>
      <c r="H1604" s="47" t="s">
        <v>2257</v>
      </c>
      <c r="I1604" s="47" t="s">
        <v>2258</v>
      </c>
      <c r="J1604" t="s">
        <v>2298</v>
      </c>
      <c r="K1604">
        <v>388</v>
      </c>
      <c r="L1604">
        <v>542</v>
      </c>
      <c r="M1604" s="24">
        <v>336</v>
      </c>
      <c r="N1604" s="24">
        <v>517</v>
      </c>
      <c r="O1604" s="24">
        <v>344</v>
      </c>
      <c r="P1604" s="24">
        <v>528</v>
      </c>
      <c r="Q1604">
        <v>406</v>
      </c>
      <c r="R1604">
        <v>550</v>
      </c>
      <c r="S1604">
        <v>541</v>
      </c>
      <c r="T1604">
        <v>755</v>
      </c>
      <c r="U1604">
        <v>541</v>
      </c>
      <c r="V1604">
        <v>755</v>
      </c>
    </row>
    <row r="1605" spans="2:22" x14ac:dyDescent="0.35">
      <c r="B1605" s="46" t="s">
        <v>2299</v>
      </c>
      <c r="D1605" t="s">
        <v>1460</v>
      </c>
      <c r="E1605" t="s">
        <v>1937</v>
      </c>
      <c r="F1605" s="46" t="s">
        <v>2299</v>
      </c>
      <c r="G1605" t="s">
        <v>595</v>
      </c>
      <c r="H1605" s="47" t="s">
        <v>2300</v>
      </c>
      <c r="I1605" s="47" t="s">
        <v>2301</v>
      </c>
      <c r="J1605" t="s">
        <v>2302</v>
      </c>
      <c r="K1605">
        <v>564</v>
      </c>
      <c r="L1605">
        <v>1155</v>
      </c>
      <c r="M1605" s="24">
        <v>557</v>
      </c>
      <c r="N1605" s="24">
        <v>1229</v>
      </c>
      <c r="O1605" s="24">
        <v>703</v>
      </c>
      <c r="P1605" s="24">
        <v>1305</v>
      </c>
      <c r="Q1605">
        <v>669</v>
      </c>
      <c r="R1605">
        <v>1482</v>
      </c>
      <c r="S1605">
        <v>1260</v>
      </c>
      <c r="T1605">
        <v>2089</v>
      </c>
      <c r="U1605">
        <v>1260</v>
      </c>
      <c r="V1605">
        <v>2089</v>
      </c>
    </row>
    <row r="1606" spans="2:22" x14ac:dyDescent="0.35">
      <c r="B1606" s="46" t="s">
        <v>2303</v>
      </c>
      <c r="D1606" t="s">
        <v>1460</v>
      </c>
      <c r="E1606" t="s">
        <v>1937</v>
      </c>
      <c r="F1606" s="46" t="s">
        <v>2303</v>
      </c>
      <c r="G1606" t="s">
        <v>595</v>
      </c>
      <c r="H1606" s="47" t="s">
        <v>2300</v>
      </c>
      <c r="I1606" s="47" t="s">
        <v>2301</v>
      </c>
      <c r="J1606" t="s">
        <v>927</v>
      </c>
      <c r="K1606">
        <v>520</v>
      </c>
      <c r="L1606">
        <v>929</v>
      </c>
      <c r="M1606" s="24">
        <v>501</v>
      </c>
      <c r="N1606" s="24">
        <v>975</v>
      </c>
      <c r="O1606" s="24">
        <v>509</v>
      </c>
      <c r="P1606" s="24">
        <v>964</v>
      </c>
      <c r="Q1606">
        <v>623</v>
      </c>
      <c r="R1606">
        <v>1090</v>
      </c>
      <c r="S1606">
        <v>880</v>
      </c>
      <c r="T1606">
        <v>1578</v>
      </c>
      <c r="U1606">
        <v>880</v>
      </c>
      <c r="V1606">
        <v>1578</v>
      </c>
    </row>
    <row r="1607" spans="2:22" x14ac:dyDescent="0.35">
      <c r="B1607" s="46" t="s">
        <v>2304</v>
      </c>
      <c r="D1607" t="s">
        <v>1460</v>
      </c>
      <c r="E1607" t="s">
        <v>1937</v>
      </c>
      <c r="F1607" s="46" t="s">
        <v>2304</v>
      </c>
      <c r="G1607" t="s">
        <v>595</v>
      </c>
      <c r="H1607" s="47" t="s">
        <v>2300</v>
      </c>
      <c r="I1607" s="47" t="s">
        <v>2301</v>
      </c>
      <c r="J1607" t="s">
        <v>2305</v>
      </c>
      <c r="K1607">
        <v>2343</v>
      </c>
      <c r="L1607">
        <v>4036</v>
      </c>
      <c r="M1607" s="24">
        <v>2336</v>
      </c>
      <c r="N1607" s="24">
        <v>4348</v>
      </c>
      <c r="O1607" s="24">
        <v>2734</v>
      </c>
      <c r="P1607" s="24">
        <v>4760</v>
      </c>
      <c r="Q1607">
        <v>2030</v>
      </c>
      <c r="R1607">
        <v>4846</v>
      </c>
      <c r="S1607">
        <v>2903</v>
      </c>
      <c r="T1607">
        <v>6426</v>
      </c>
      <c r="U1607">
        <v>2903</v>
      </c>
      <c r="V1607">
        <v>6426</v>
      </c>
    </row>
    <row r="1608" spans="2:22" x14ac:dyDescent="0.35">
      <c r="B1608" s="46" t="s">
        <v>2306</v>
      </c>
      <c r="D1608" t="s">
        <v>1460</v>
      </c>
      <c r="E1608" t="s">
        <v>1937</v>
      </c>
      <c r="F1608" s="46" t="s">
        <v>2306</v>
      </c>
      <c r="G1608" t="s">
        <v>599</v>
      </c>
      <c r="H1608" s="47" t="s">
        <v>2307</v>
      </c>
      <c r="I1608" s="47" t="s">
        <v>2308</v>
      </c>
      <c r="J1608" t="s">
        <v>2309</v>
      </c>
      <c r="K1608">
        <v>1627</v>
      </c>
      <c r="L1608">
        <v>2741</v>
      </c>
      <c r="M1608" s="24">
        <v>1718</v>
      </c>
      <c r="N1608" s="24">
        <v>3047</v>
      </c>
      <c r="O1608" s="24">
        <v>1920</v>
      </c>
      <c r="P1608" s="24">
        <v>3187</v>
      </c>
      <c r="Q1608">
        <v>1630</v>
      </c>
      <c r="R1608">
        <v>3466</v>
      </c>
      <c r="S1608">
        <v>2440</v>
      </c>
      <c r="T1608">
        <v>4295</v>
      </c>
      <c r="U1608">
        <v>2440</v>
      </c>
      <c r="V1608">
        <v>4295</v>
      </c>
    </row>
    <row r="1609" spans="2:22" x14ac:dyDescent="0.35">
      <c r="B1609" s="46" t="s">
        <v>2310</v>
      </c>
      <c r="D1609" t="s">
        <v>1460</v>
      </c>
      <c r="E1609" t="s">
        <v>1937</v>
      </c>
      <c r="F1609" s="46" t="s">
        <v>2310</v>
      </c>
      <c r="G1609" t="s">
        <v>599</v>
      </c>
      <c r="H1609" s="47" t="s">
        <v>2307</v>
      </c>
      <c r="I1609" s="47" t="s">
        <v>2308</v>
      </c>
      <c r="J1609" t="s">
        <v>2311</v>
      </c>
      <c r="K1609">
        <v>306</v>
      </c>
      <c r="L1609">
        <v>487</v>
      </c>
      <c r="M1609" s="24">
        <v>322</v>
      </c>
      <c r="N1609" s="24">
        <v>553</v>
      </c>
      <c r="O1609" s="24">
        <v>375</v>
      </c>
      <c r="P1609" s="24">
        <v>647</v>
      </c>
      <c r="Q1609">
        <v>330</v>
      </c>
      <c r="R1609">
        <v>613</v>
      </c>
      <c r="S1609">
        <v>498</v>
      </c>
      <c r="T1609">
        <v>815</v>
      </c>
      <c r="U1609">
        <v>498</v>
      </c>
      <c r="V1609">
        <v>815</v>
      </c>
    </row>
    <row r="1610" spans="2:22" x14ac:dyDescent="0.35">
      <c r="B1610" s="46" t="s">
        <v>2312</v>
      </c>
      <c r="D1610" t="s">
        <v>1460</v>
      </c>
      <c r="E1610" t="s">
        <v>1937</v>
      </c>
      <c r="F1610" s="46" t="s">
        <v>2312</v>
      </c>
      <c r="G1610" t="s">
        <v>599</v>
      </c>
      <c r="H1610" s="47" t="s">
        <v>2307</v>
      </c>
      <c r="I1610" s="47" t="s">
        <v>2308</v>
      </c>
      <c r="J1610" t="s">
        <v>2313</v>
      </c>
      <c r="K1610">
        <v>490</v>
      </c>
      <c r="L1610">
        <v>900</v>
      </c>
      <c r="M1610" s="24">
        <v>391</v>
      </c>
      <c r="N1610" s="24">
        <v>836</v>
      </c>
      <c r="O1610" s="24">
        <v>379</v>
      </c>
      <c r="P1610" s="24">
        <v>857</v>
      </c>
      <c r="Q1610">
        <v>424</v>
      </c>
      <c r="R1610">
        <v>909</v>
      </c>
      <c r="S1610">
        <v>809</v>
      </c>
      <c r="T1610">
        <v>1371</v>
      </c>
      <c r="U1610">
        <v>809</v>
      </c>
      <c r="V1610">
        <v>1371</v>
      </c>
    </row>
    <row r="1611" spans="2:22" x14ac:dyDescent="0.35">
      <c r="B1611" s="46" t="s">
        <v>2314</v>
      </c>
      <c r="D1611" t="s">
        <v>1460</v>
      </c>
      <c r="E1611" t="s">
        <v>1937</v>
      </c>
      <c r="F1611" s="46" t="s">
        <v>2314</v>
      </c>
      <c r="G1611" t="s">
        <v>599</v>
      </c>
      <c r="H1611" s="47" t="s">
        <v>2307</v>
      </c>
      <c r="I1611" s="47" t="s">
        <v>2308</v>
      </c>
      <c r="J1611" t="s">
        <v>2315</v>
      </c>
      <c r="K1611">
        <v>90</v>
      </c>
      <c r="L1611">
        <v>157</v>
      </c>
      <c r="M1611" s="24">
        <v>71</v>
      </c>
      <c r="N1611" s="24">
        <v>166</v>
      </c>
      <c r="O1611" s="24">
        <v>91</v>
      </c>
      <c r="P1611" s="24">
        <v>183</v>
      </c>
      <c r="Q1611">
        <v>93</v>
      </c>
      <c r="R1611">
        <v>179</v>
      </c>
      <c r="S1611">
        <v>99</v>
      </c>
      <c r="T1611">
        <v>232</v>
      </c>
      <c r="U1611">
        <v>99</v>
      </c>
      <c r="V1611">
        <v>232</v>
      </c>
    </row>
    <row r="1612" spans="2:22" x14ac:dyDescent="0.35">
      <c r="B1612" s="46" t="s">
        <v>2316</v>
      </c>
      <c r="D1612" t="s">
        <v>1460</v>
      </c>
      <c r="E1612" t="s">
        <v>1937</v>
      </c>
      <c r="F1612" s="46" t="s">
        <v>2316</v>
      </c>
      <c r="G1612" t="s">
        <v>599</v>
      </c>
      <c r="H1612" s="47" t="s">
        <v>2307</v>
      </c>
      <c r="I1612" s="47" t="s">
        <v>2308</v>
      </c>
      <c r="J1612" t="s">
        <v>355</v>
      </c>
      <c r="K1612">
        <v>258</v>
      </c>
      <c r="L1612">
        <v>498</v>
      </c>
      <c r="M1612" s="24">
        <v>225</v>
      </c>
      <c r="N1612" s="24">
        <v>497</v>
      </c>
      <c r="O1612" s="24">
        <v>207</v>
      </c>
      <c r="P1612" s="24">
        <v>444</v>
      </c>
      <c r="Q1612">
        <v>233</v>
      </c>
      <c r="R1612">
        <v>524</v>
      </c>
      <c r="S1612">
        <v>476</v>
      </c>
      <c r="T1612">
        <v>801</v>
      </c>
      <c r="U1612">
        <v>476</v>
      </c>
      <c r="V1612">
        <v>801</v>
      </c>
    </row>
    <row r="1613" spans="2:22" x14ac:dyDescent="0.35">
      <c r="B1613" s="46" t="s">
        <v>2317</v>
      </c>
      <c r="D1613" t="s">
        <v>1460</v>
      </c>
      <c r="E1613" t="s">
        <v>1937</v>
      </c>
      <c r="F1613" s="46" t="s">
        <v>2317</v>
      </c>
      <c r="G1613" t="s">
        <v>599</v>
      </c>
      <c r="H1613" s="47" t="s">
        <v>2307</v>
      </c>
      <c r="I1613" s="47" t="s">
        <v>2308</v>
      </c>
      <c r="J1613" t="s">
        <v>2318</v>
      </c>
      <c r="K1613">
        <v>700</v>
      </c>
      <c r="L1613">
        <v>1175</v>
      </c>
      <c r="M1613" s="24">
        <v>554</v>
      </c>
      <c r="N1613" s="24">
        <v>1181</v>
      </c>
      <c r="O1613" s="24">
        <v>567</v>
      </c>
      <c r="P1613" s="24">
        <v>1160</v>
      </c>
      <c r="Q1613">
        <v>714</v>
      </c>
      <c r="R1613">
        <v>1384</v>
      </c>
      <c r="S1613">
        <v>1135</v>
      </c>
      <c r="T1613">
        <v>1924</v>
      </c>
      <c r="U1613">
        <v>1135</v>
      </c>
      <c r="V1613">
        <v>1924</v>
      </c>
    </row>
    <row r="1614" spans="2:22" x14ac:dyDescent="0.35">
      <c r="B1614" s="46" t="s">
        <v>2319</v>
      </c>
      <c r="D1614" t="s">
        <v>1460</v>
      </c>
      <c r="E1614" t="s">
        <v>1937</v>
      </c>
      <c r="F1614" s="46" t="s">
        <v>2319</v>
      </c>
      <c r="G1614" t="s">
        <v>599</v>
      </c>
      <c r="H1614" s="47" t="s">
        <v>2307</v>
      </c>
      <c r="I1614" s="47" t="s">
        <v>2308</v>
      </c>
      <c r="J1614" t="s">
        <v>359</v>
      </c>
      <c r="K1614">
        <v>783</v>
      </c>
      <c r="L1614">
        <v>1310</v>
      </c>
      <c r="M1614" s="24">
        <v>734</v>
      </c>
      <c r="N1614" s="24">
        <v>1292</v>
      </c>
      <c r="O1614" s="24">
        <v>906</v>
      </c>
      <c r="P1614" s="24">
        <v>1471</v>
      </c>
      <c r="Q1614">
        <v>1485</v>
      </c>
      <c r="R1614">
        <v>2183</v>
      </c>
      <c r="S1614">
        <v>2226</v>
      </c>
      <c r="T1614">
        <v>3158</v>
      </c>
      <c r="U1614">
        <v>2226</v>
      </c>
      <c r="V1614">
        <v>3158</v>
      </c>
    </row>
    <row r="1615" spans="2:22" x14ac:dyDescent="0.35">
      <c r="B1615" s="46" t="s">
        <v>2320</v>
      </c>
      <c r="D1615" t="s">
        <v>1460</v>
      </c>
      <c r="E1615" t="s">
        <v>1937</v>
      </c>
      <c r="F1615" s="46" t="s">
        <v>2320</v>
      </c>
      <c r="G1615" t="s">
        <v>599</v>
      </c>
      <c r="H1615" s="47" t="s">
        <v>2307</v>
      </c>
      <c r="I1615" s="47" t="s">
        <v>2308</v>
      </c>
      <c r="J1615" t="s">
        <v>2321</v>
      </c>
      <c r="K1615">
        <v>263</v>
      </c>
      <c r="L1615">
        <v>479</v>
      </c>
      <c r="M1615" s="24">
        <v>217</v>
      </c>
      <c r="N1615" s="24">
        <v>444</v>
      </c>
      <c r="O1615" s="24">
        <v>165</v>
      </c>
      <c r="P1615" s="24">
        <v>367</v>
      </c>
      <c r="Q1615">
        <v>241</v>
      </c>
      <c r="R1615">
        <v>460</v>
      </c>
      <c r="S1615">
        <v>474</v>
      </c>
      <c r="T1615">
        <v>718</v>
      </c>
      <c r="U1615">
        <v>474</v>
      </c>
      <c r="V1615">
        <v>718</v>
      </c>
    </row>
    <row r="1616" spans="2:22" x14ac:dyDescent="0.35">
      <c r="B1616" s="46" t="s">
        <v>2322</v>
      </c>
      <c r="D1616" t="s">
        <v>1460</v>
      </c>
      <c r="E1616" t="s">
        <v>1937</v>
      </c>
      <c r="F1616" s="46" t="s">
        <v>2322</v>
      </c>
      <c r="G1616" t="s">
        <v>599</v>
      </c>
      <c r="H1616" s="47" t="s">
        <v>2307</v>
      </c>
      <c r="I1616" s="47" t="s">
        <v>2308</v>
      </c>
      <c r="J1616" t="s">
        <v>2323</v>
      </c>
      <c r="K1616">
        <v>199</v>
      </c>
      <c r="L1616">
        <v>349</v>
      </c>
      <c r="M1616" s="24">
        <v>156</v>
      </c>
      <c r="N1616" s="24">
        <v>332</v>
      </c>
      <c r="O1616" s="24">
        <v>142</v>
      </c>
      <c r="P1616" s="24">
        <v>319</v>
      </c>
      <c r="Q1616">
        <v>179</v>
      </c>
      <c r="R1616">
        <v>346</v>
      </c>
      <c r="S1616">
        <v>448</v>
      </c>
      <c r="T1616">
        <v>671</v>
      </c>
      <c r="U1616">
        <v>448</v>
      </c>
      <c r="V1616">
        <v>671</v>
      </c>
    </row>
    <row r="1617" spans="2:22" x14ac:dyDescent="0.35">
      <c r="B1617" s="46" t="s">
        <v>2324</v>
      </c>
      <c r="D1617" t="s">
        <v>1460</v>
      </c>
      <c r="E1617" t="s">
        <v>1937</v>
      </c>
      <c r="F1617" s="46" t="s">
        <v>2324</v>
      </c>
      <c r="G1617" t="s">
        <v>599</v>
      </c>
      <c r="H1617" s="47" t="s">
        <v>2307</v>
      </c>
      <c r="I1617" s="47" t="s">
        <v>2308</v>
      </c>
      <c r="J1617" t="s">
        <v>2325</v>
      </c>
      <c r="K1617">
        <v>591</v>
      </c>
      <c r="L1617">
        <v>935</v>
      </c>
      <c r="M1617" s="24">
        <v>464</v>
      </c>
      <c r="N1617" s="24">
        <v>953</v>
      </c>
      <c r="O1617" s="24">
        <v>471</v>
      </c>
      <c r="P1617" s="24">
        <v>894</v>
      </c>
      <c r="Q1617">
        <v>607</v>
      </c>
      <c r="R1617">
        <v>1061</v>
      </c>
      <c r="S1617">
        <v>1138</v>
      </c>
      <c r="T1617">
        <v>1700</v>
      </c>
      <c r="U1617">
        <v>1138</v>
      </c>
      <c r="V1617">
        <v>1700</v>
      </c>
    </row>
    <row r="1618" spans="2:22" x14ac:dyDescent="0.35">
      <c r="B1618" s="46" t="s">
        <v>2326</v>
      </c>
      <c r="D1618" t="s">
        <v>1460</v>
      </c>
      <c r="E1618" t="s">
        <v>1937</v>
      </c>
      <c r="F1618" s="46" t="s">
        <v>2326</v>
      </c>
      <c r="G1618" t="s">
        <v>603</v>
      </c>
      <c r="H1618" s="47" t="s">
        <v>2327</v>
      </c>
      <c r="I1618" s="47" t="s">
        <v>2328</v>
      </c>
      <c r="J1618" t="s">
        <v>1674</v>
      </c>
      <c r="K1618">
        <v>678</v>
      </c>
      <c r="L1618">
        <v>1185</v>
      </c>
      <c r="M1618" s="24">
        <v>705</v>
      </c>
      <c r="N1618" s="24">
        <v>1274</v>
      </c>
      <c r="O1618" s="24">
        <v>889</v>
      </c>
      <c r="P1618" s="24">
        <v>1424</v>
      </c>
      <c r="Q1618">
        <v>1652</v>
      </c>
      <c r="R1618">
        <v>2178</v>
      </c>
      <c r="S1618">
        <v>2417</v>
      </c>
      <c r="T1618">
        <v>3193</v>
      </c>
      <c r="U1618">
        <v>2417</v>
      </c>
      <c r="V1618">
        <v>3193</v>
      </c>
    </row>
    <row r="1619" spans="2:22" x14ac:dyDescent="0.35">
      <c r="B1619" s="46" t="s">
        <v>2329</v>
      </c>
      <c r="D1619" t="s">
        <v>1460</v>
      </c>
      <c r="E1619" t="s">
        <v>1937</v>
      </c>
      <c r="F1619" s="46" t="s">
        <v>2329</v>
      </c>
      <c r="G1619" t="s">
        <v>603</v>
      </c>
      <c r="H1619" s="47" t="s">
        <v>2327</v>
      </c>
      <c r="I1619" s="47" t="s">
        <v>2328</v>
      </c>
      <c r="J1619" t="s">
        <v>323</v>
      </c>
      <c r="K1619">
        <v>923</v>
      </c>
      <c r="L1619">
        <v>1631</v>
      </c>
      <c r="M1619" s="24">
        <v>779</v>
      </c>
      <c r="N1619" s="24">
        <v>1654</v>
      </c>
      <c r="O1619" s="24">
        <v>720</v>
      </c>
      <c r="P1619" s="24">
        <v>1566</v>
      </c>
      <c r="Q1619">
        <v>800</v>
      </c>
      <c r="R1619">
        <v>1705</v>
      </c>
      <c r="S1619">
        <v>1560</v>
      </c>
      <c r="T1619">
        <v>2592</v>
      </c>
      <c r="U1619">
        <v>1560</v>
      </c>
      <c r="V1619">
        <v>2592</v>
      </c>
    </row>
    <row r="1620" spans="2:22" ht="15" thickBot="1" x14ac:dyDescent="0.4">
      <c r="B1620" s="46" t="s">
        <v>2330</v>
      </c>
      <c r="D1620" t="s">
        <v>1460</v>
      </c>
      <c r="E1620" t="s">
        <v>1937</v>
      </c>
      <c r="F1620" s="46" t="s">
        <v>2330</v>
      </c>
      <c r="G1620" t="s">
        <v>603</v>
      </c>
      <c r="H1620" s="47" t="s">
        <v>2327</v>
      </c>
      <c r="I1620" s="47" t="s">
        <v>2328</v>
      </c>
      <c r="J1620" t="s">
        <v>1484</v>
      </c>
      <c r="K1620">
        <v>1916</v>
      </c>
      <c r="L1620">
        <v>3265</v>
      </c>
      <c r="M1620" s="24">
        <v>1703</v>
      </c>
      <c r="N1620" s="24">
        <v>3210</v>
      </c>
      <c r="O1620" s="24">
        <v>1776</v>
      </c>
      <c r="P1620" s="24">
        <v>3221</v>
      </c>
      <c r="Q1620">
        <v>1586</v>
      </c>
      <c r="R1620">
        <v>3115</v>
      </c>
      <c r="S1620">
        <v>2626</v>
      </c>
      <c r="T1620">
        <v>4427</v>
      </c>
      <c r="U1620">
        <v>2626</v>
      </c>
      <c r="V1620">
        <v>4427</v>
      </c>
    </row>
    <row r="1621" spans="2:22" ht="15" thickBot="1" x14ac:dyDescent="0.4">
      <c r="B1621" s="46" t="s">
        <v>2331</v>
      </c>
      <c r="D1621" s="50" t="s">
        <v>1460</v>
      </c>
      <c r="E1621" t="s">
        <v>1937</v>
      </c>
      <c r="F1621" s="46" t="s">
        <v>2331</v>
      </c>
      <c r="G1621" t="s">
        <v>603</v>
      </c>
      <c r="H1621" s="47" t="s">
        <v>2327</v>
      </c>
      <c r="I1621" s="47" t="s">
        <v>2328</v>
      </c>
      <c r="J1621" t="s">
        <v>2332</v>
      </c>
      <c r="K1621">
        <v>255</v>
      </c>
      <c r="L1621">
        <v>488</v>
      </c>
      <c r="M1621" s="24">
        <v>267</v>
      </c>
      <c r="N1621" s="24">
        <v>528</v>
      </c>
      <c r="O1621" s="24">
        <v>223</v>
      </c>
      <c r="P1621" s="24">
        <v>472</v>
      </c>
      <c r="Q1621">
        <v>182</v>
      </c>
      <c r="R1621">
        <v>404</v>
      </c>
      <c r="S1621">
        <v>293</v>
      </c>
      <c r="T1621">
        <v>555</v>
      </c>
      <c r="U1621">
        <v>293</v>
      </c>
      <c r="V1621">
        <v>555</v>
      </c>
    </row>
    <row r="1622" spans="2:22" x14ac:dyDescent="0.35">
      <c r="B1622" s="46" t="s">
        <v>2333</v>
      </c>
      <c r="D1622" t="s">
        <v>1460</v>
      </c>
      <c r="E1622" t="s">
        <v>1937</v>
      </c>
      <c r="F1622" s="46" t="s">
        <v>2333</v>
      </c>
      <c r="G1622" t="s">
        <v>603</v>
      </c>
      <c r="H1622" s="47" t="s">
        <v>2327</v>
      </c>
      <c r="I1622" s="47" t="s">
        <v>2328</v>
      </c>
      <c r="J1622" t="s">
        <v>1319</v>
      </c>
      <c r="K1622">
        <v>4900</v>
      </c>
      <c r="L1622">
        <v>9580</v>
      </c>
      <c r="M1622" s="24">
        <v>4308</v>
      </c>
      <c r="N1622" s="24">
        <v>9368</v>
      </c>
      <c r="O1622" s="24">
        <v>4143</v>
      </c>
      <c r="P1622" s="24">
        <v>9092</v>
      </c>
      <c r="Q1622">
        <v>4436</v>
      </c>
      <c r="R1622">
        <v>9824</v>
      </c>
      <c r="S1622">
        <v>7637</v>
      </c>
      <c r="T1622">
        <v>13657</v>
      </c>
      <c r="U1622">
        <v>7637</v>
      </c>
      <c r="V1622">
        <v>13657</v>
      </c>
    </row>
    <row r="1623" spans="2:22" x14ac:dyDescent="0.35">
      <c r="B1623" s="46" t="s">
        <v>2334</v>
      </c>
      <c r="D1623" t="s">
        <v>1460</v>
      </c>
      <c r="E1623" t="s">
        <v>1937</v>
      </c>
      <c r="F1623" s="46" t="s">
        <v>2334</v>
      </c>
      <c r="G1623" t="s">
        <v>603</v>
      </c>
      <c r="H1623" s="47" t="s">
        <v>2327</v>
      </c>
      <c r="I1623" s="47" t="s">
        <v>2328</v>
      </c>
      <c r="J1623" t="s">
        <v>2335</v>
      </c>
      <c r="K1623">
        <v>1308</v>
      </c>
      <c r="L1623">
        <v>2304</v>
      </c>
      <c r="M1623" s="24">
        <v>1158</v>
      </c>
      <c r="N1623" s="24">
        <v>2243</v>
      </c>
      <c r="O1623" s="24">
        <v>1301</v>
      </c>
      <c r="P1623" s="24">
        <v>2303</v>
      </c>
      <c r="Q1623">
        <v>1162</v>
      </c>
      <c r="R1623">
        <v>2240</v>
      </c>
      <c r="S1623">
        <v>1586</v>
      </c>
      <c r="T1623">
        <v>2909</v>
      </c>
      <c r="U1623">
        <v>1586</v>
      </c>
      <c r="V1623">
        <v>2909</v>
      </c>
    </row>
    <row r="1624" spans="2:22" x14ac:dyDescent="0.35">
      <c r="B1624" s="46" t="s">
        <v>2336</v>
      </c>
      <c r="D1624" t="s">
        <v>1460</v>
      </c>
      <c r="E1624" t="s">
        <v>1937</v>
      </c>
      <c r="F1624" s="46" t="s">
        <v>2336</v>
      </c>
      <c r="G1624" t="s">
        <v>603</v>
      </c>
      <c r="H1624" s="47" t="s">
        <v>2327</v>
      </c>
      <c r="I1624" s="47" t="s">
        <v>2328</v>
      </c>
      <c r="J1624" t="s">
        <v>2337</v>
      </c>
      <c r="K1624">
        <v>939</v>
      </c>
      <c r="L1624">
        <v>1718</v>
      </c>
      <c r="M1624" s="24">
        <v>789</v>
      </c>
      <c r="N1624" s="24">
        <v>1711</v>
      </c>
      <c r="O1624" s="24">
        <v>716</v>
      </c>
      <c r="P1624" s="24">
        <v>1710</v>
      </c>
      <c r="Q1624">
        <v>803</v>
      </c>
      <c r="R1624">
        <v>1752</v>
      </c>
      <c r="S1624">
        <v>1244</v>
      </c>
      <c r="T1624">
        <v>2427</v>
      </c>
      <c r="U1624">
        <v>1244</v>
      </c>
      <c r="V1624">
        <v>2427</v>
      </c>
    </row>
    <row r="1625" spans="2:22" x14ac:dyDescent="0.35">
      <c r="B1625" s="46" t="s">
        <v>2338</v>
      </c>
      <c r="D1625" t="s">
        <v>1460</v>
      </c>
      <c r="E1625" t="s">
        <v>1937</v>
      </c>
      <c r="F1625" s="46" t="s">
        <v>2338</v>
      </c>
      <c r="G1625" t="s">
        <v>607</v>
      </c>
      <c r="H1625" s="47" t="s">
        <v>2339</v>
      </c>
      <c r="I1625" s="47" t="s">
        <v>2340</v>
      </c>
      <c r="J1625" t="s">
        <v>233</v>
      </c>
      <c r="K1625">
        <v>344</v>
      </c>
      <c r="L1625">
        <v>590</v>
      </c>
      <c r="M1625" s="24">
        <v>307</v>
      </c>
      <c r="N1625" s="24">
        <v>572</v>
      </c>
      <c r="O1625" s="24">
        <v>364</v>
      </c>
      <c r="P1625" s="24">
        <v>614</v>
      </c>
      <c r="Q1625">
        <v>382</v>
      </c>
      <c r="R1625">
        <v>687</v>
      </c>
      <c r="S1625">
        <v>562</v>
      </c>
      <c r="T1625">
        <v>931</v>
      </c>
      <c r="U1625">
        <v>562</v>
      </c>
      <c r="V1625">
        <v>931</v>
      </c>
    </row>
    <row r="1626" spans="2:22" x14ac:dyDescent="0.35">
      <c r="B1626" s="46" t="s">
        <v>2341</v>
      </c>
      <c r="D1626" t="s">
        <v>1460</v>
      </c>
      <c r="E1626" t="s">
        <v>1937</v>
      </c>
      <c r="F1626" s="46" t="s">
        <v>2341</v>
      </c>
      <c r="G1626" t="s">
        <v>607</v>
      </c>
      <c r="H1626" s="47" t="s">
        <v>2339</v>
      </c>
      <c r="I1626" s="47" t="s">
        <v>2340</v>
      </c>
      <c r="J1626" t="s">
        <v>2342</v>
      </c>
      <c r="K1626">
        <v>412</v>
      </c>
      <c r="L1626">
        <v>738</v>
      </c>
      <c r="M1626" s="24">
        <v>398</v>
      </c>
      <c r="N1626" s="24">
        <v>728</v>
      </c>
      <c r="O1626" s="24">
        <v>414</v>
      </c>
      <c r="P1626" s="24">
        <v>711</v>
      </c>
      <c r="Q1626">
        <v>381</v>
      </c>
      <c r="R1626">
        <v>767</v>
      </c>
      <c r="S1626">
        <v>685</v>
      </c>
      <c r="T1626">
        <v>1081</v>
      </c>
      <c r="U1626">
        <v>685</v>
      </c>
      <c r="V1626">
        <v>1081</v>
      </c>
    </row>
    <row r="1627" spans="2:22" x14ac:dyDescent="0.35">
      <c r="B1627" s="46" t="s">
        <v>2343</v>
      </c>
      <c r="D1627" t="s">
        <v>1460</v>
      </c>
      <c r="E1627" t="s">
        <v>1937</v>
      </c>
      <c r="F1627" s="46" t="s">
        <v>2343</v>
      </c>
      <c r="G1627" t="s">
        <v>607</v>
      </c>
      <c r="H1627" s="47" t="s">
        <v>2339</v>
      </c>
      <c r="I1627" s="47" t="s">
        <v>2340</v>
      </c>
      <c r="J1627" t="s">
        <v>2344</v>
      </c>
      <c r="K1627">
        <v>119</v>
      </c>
      <c r="L1627">
        <v>256</v>
      </c>
      <c r="M1627" s="24">
        <v>110</v>
      </c>
      <c r="N1627" s="24">
        <v>226</v>
      </c>
      <c r="O1627" s="24">
        <v>114</v>
      </c>
      <c r="P1627" s="24">
        <v>219</v>
      </c>
      <c r="Q1627">
        <v>93</v>
      </c>
      <c r="R1627">
        <v>228</v>
      </c>
      <c r="S1627">
        <v>177</v>
      </c>
      <c r="T1627">
        <v>373</v>
      </c>
      <c r="U1627">
        <v>177</v>
      </c>
      <c r="V1627">
        <v>373</v>
      </c>
    </row>
    <row r="1628" spans="2:22" x14ac:dyDescent="0.35">
      <c r="B1628" s="46" t="s">
        <v>2345</v>
      </c>
      <c r="D1628" t="s">
        <v>1460</v>
      </c>
      <c r="E1628" t="s">
        <v>1937</v>
      </c>
      <c r="F1628" s="46" t="s">
        <v>2345</v>
      </c>
      <c r="G1628" t="s">
        <v>607</v>
      </c>
      <c r="H1628" s="47" t="s">
        <v>2339</v>
      </c>
      <c r="I1628" s="47" t="s">
        <v>2340</v>
      </c>
      <c r="J1628" t="s">
        <v>357</v>
      </c>
      <c r="K1628">
        <v>278</v>
      </c>
      <c r="L1628">
        <v>497</v>
      </c>
      <c r="M1628" s="24">
        <v>249</v>
      </c>
      <c r="N1628" s="24">
        <v>512</v>
      </c>
      <c r="O1628" s="24">
        <v>266</v>
      </c>
      <c r="P1628" s="24">
        <v>503</v>
      </c>
      <c r="Q1628">
        <v>253</v>
      </c>
      <c r="R1628">
        <v>476</v>
      </c>
      <c r="S1628">
        <v>390</v>
      </c>
      <c r="T1628">
        <v>633</v>
      </c>
      <c r="U1628">
        <v>390</v>
      </c>
      <c r="V1628">
        <v>633</v>
      </c>
    </row>
    <row r="1629" spans="2:22" x14ac:dyDescent="0.35">
      <c r="B1629" s="46" t="s">
        <v>2346</v>
      </c>
      <c r="D1629" t="s">
        <v>1460</v>
      </c>
      <c r="E1629" t="s">
        <v>1937</v>
      </c>
      <c r="F1629" s="46" t="s">
        <v>2346</v>
      </c>
      <c r="G1629" t="s">
        <v>607</v>
      </c>
      <c r="H1629" s="47" t="s">
        <v>2339</v>
      </c>
      <c r="I1629" s="47" t="s">
        <v>2340</v>
      </c>
      <c r="J1629" t="s">
        <v>2347</v>
      </c>
      <c r="K1629">
        <v>178</v>
      </c>
      <c r="L1629">
        <v>348</v>
      </c>
      <c r="M1629" s="24">
        <v>134</v>
      </c>
      <c r="N1629" s="24">
        <v>347</v>
      </c>
      <c r="O1629" s="24">
        <v>162</v>
      </c>
      <c r="P1629" s="24">
        <v>327</v>
      </c>
      <c r="Q1629">
        <v>182</v>
      </c>
      <c r="R1629">
        <v>349</v>
      </c>
      <c r="S1629">
        <v>306</v>
      </c>
      <c r="T1629">
        <v>489</v>
      </c>
      <c r="U1629">
        <v>306</v>
      </c>
      <c r="V1629">
        <v>489</v>
      </c>
    </row>
    <row r="1630" spans="2:22" x14ac:dyDescent="0.35">
      <c r="B1630" s="46" t="s">
        <v>2348</v>
      </c>
      <c r="D1630" t="s">
        <v>1460</v>
      </c>
      <c r="E1630" t="s">
        <v>1937</v>
      </c>
      <c r="F1630" s="46" t="s">
        <v>2348</v>
      </c>
      <c r="G1630" t="s">
        <v>607</v>
      </c>
      <c r="H1630" s="47" t="s">
        <v>2339</v>
      </c>
      <c r="I1630" s="47" t="s">
        <v>2340</v>
      </c>
      <c r="J1630" t="s">
        <v>2349</v>
      </c>
      <c r="K1630">
        <v>411</v>
      </c>
      <c r="L1630">
        <v>746</v>
      </c>
      <c r="M1630" s="24">
        <v>350</v>
      </c>
      <c r="N1630" s="24">
        <v>657</v>
      </c>
      <c r="O1630" s="24">
        <v>367</v>
      </c>
      <c r="P1630" s="24">
        <v>671</v>
      </c>
      <c r="Q1630">
        <v>344</v>
      </c>
      <c r="R1630">
        <v>704</v>
      </c>
      <c r="S1630">
        <v>483</v>
      </c>
      <c r="T1630">
        <v>915</v>
      </c>
      <c r="U1630">
        <v>483</v>
      </c>
      <c r="V1630">
        <v>915</v>
      </c>
    </row>
    <row r="1631" spans="2:22" x14ac:dyDescent="0.35">
      <c r="B1631" s="46" t="s">
        <v>2350</v>
      </c>
      <c r="D1631" t="s">
        <v>1460</v>
      </c>
      <c r="E1631" t="s">
        <v>1937</v>
      </c>
      <c r="F1631" s="46" t="s">
        <v>2350</v>
      </c>
      <c r="G1631" t="s">
        <v>607</v>
      </c>
      <c r="H1631" s="47" t="s">
        <v>2339</v>
      </c>
      <c r="I1631" s="47" t="s">
        <v>2340</v>
      </c>
      <c r="J1631" t="s">
        <v>2351</v>
      </c>
      <c r="K1631">
        <v>1415</v>
      </c>
      <c r="L1631">
        <v>2401</v>
      </c>
      <c r="M1631" s="24">
        <v>1374</v>
      </c>
      <c r="N1631" s="24">
        <v>2587</v>
      </c>
      <c r="O1631" s="24">
        <v>1513</v>
      </c>
      <c r="P1631" s="24">
        <v>2711</v>
      </c>
      <c r="Q1631">
        <v>1579</v>
      </c>
      <c r="R1631">
        <v>3036</v>
      </c>
      <c r="S1631">
        <v>2224</v>
      </c>
      <c r="T1631">
        <v>3942</v>
      </c>
      <c r="U1631">
        <v>2224</v>
      </c>
      <c r="V1631">
        <v>3942</v>
      </c>
    </row>
    <row r="1632" spans="2:22" x14ac:dyDescent="0.35">
      <c r="B1632" s="46" t="s">
        <v>2352</v>
      </c>
      <c r="D1632" t="s">
        <v>1460</v>
      </c>
      <c r="E1632" t="s">
        <v>1937</v>
      </c>
      <c r="F1632" s="46" t="s">
        <v>2352</v>
      </c>
      <c r="G1632" t="s">
        <v>611</v>
      </c>
      <c r="H1632" s="47" t="s">
        <v>2353</v>
      </c>
      <c r="I1632" s="47" t="s">
        <v>2354</v>
      </c>
      <c r="J1632" t="s">
        <v>2355</v>
      </c>
      <c r="K1632">
        <v>354</v>
      </c>
      <c r="L1632">
        <v>675</v>
      </c>
      <c r="M1632" s="24">
        <v>323</v>
      </c>
      <c r="N1632" s="24">
        <v>689</v>
      </c>
      <c r="O1632" s="24">
        <v>330</v>
      </c>
      <c r="P1632" s="24">
        <v>623</v>
      </c>
      <c r="Q1632">
        <v>341</v>
      </c>
      <c r="R1632">
        <v>716</v>
      </c>
      <c r="S1632">
        <v>518</v>
      </c>
      <c r="T1632">
        <v>965</v>
      </c>
      <c r="U1632">
        <v>518</v>
      </c>
      <c r="V1632">
        <v>965</v>
      </c>
    </row>
    <row r="1633" spans="2:22" x14ac:dyDescent="0.35">
      <c r="B1633" s="46" t="s">
        <v>2356</v>
      </c>
      <c r="D1633" t="s">
        <v>1460</v>
      </c>
      <c r="E1633" t="s">
        <v>1937</v>
      </c>
      <c r="F1633" s="46" t="s">
        <v>2356</v>
      </c>
      <c r="G1633" t="s">
        <v>611</v>
      </c>
      <c r="H1633" s="47" t="s">
        <v>2353</v>
      </c>
      <c r="I1633" s="47" t="s">
        <v>2354</v>
      </c>
      <c r="J1633" t="s">
        <v>2357</v>
      </c>
      <c r="K1633">
        <v>269</v>
      </c>
      <c r="L1633">
        <v>491</v>
      </c>
      <c r="M1633" s="24">
        <v>257</v>
      </c>
      <c r="N1633" s="24">
        <v>487</v>
      </c>
      <c r="O1633" s="24">
        <v>791</v>
      </c>
      <c r="P1633" s="24">
        <v>1010</v>
      </c>
      <c r="Q1633">
        <v>310</v>
      </c>
      <c r="R1633">
        <v>758</v>
      </c>
      <c r="S1633">
        <v>546</v>
      </c>
      <c r="T1633">
        <v>817</v>
      </c>
      <c r="U1633">
        <v>546</v>
      </c>
      <c r="V1633">
        <v>817</v>
      </c>
    </row>
    <row r="1634" spans="2:22" x14ac:dyDescent="0.35">
      <c r="B1634" s="46" t="s">
        <v>2358</v>
      </c>
      <c r="D1634" t="s">
        <v>1460</v>
      </c>
      <c r="E1634" t="s">
        <v>1937</v>
      </c>
      <c r="F1634" s="46" t="s">
        <v>2358</v>
      </c>
      <c r="G1634" t="s">
        <v>611</v>
      </c>
      <c r="H1634" s="47" t="s">
        <v>2353</v>
      </c>
      <c r="I1634" s="47" t="s">
        <v>2354</v>
      </c>
      <c r="J1634" t="s">
        <v>2359</v>
      </c>
      <c r="K1634">
        <v>307</v>
      </c>
      <c r="L1634">
        <v>530</v>
      </c>
      <c r="M1634" s="24">
        <v>247</v>
      </c>
      <c r="N1634" s="24">
        <v>512</v>
      </c>
      <c r="O1634" s="24">
        <v>295</v>
      </c>
      <c r="P1634" s="24">
        <v>541</v>
      </c>
      <c r="Q1634">
        <v>227</v>
      </c>
      <c r="R1634">
        <v>538</v>
      </c>
      <c r="S1634">
        <v>585</v>
      </c>
      <c r="T1634">
        <v>907</v>
      </c>
      <c r="U1634">
        <v>585</v>
      </c>
      <c r="V1634">
        <v>907</v>
      </c>
    </row>
    <row r="1635" spans="2:22" x14ac:dyDescent="0.35">
      <c r="B1635" s="46" t="s">
        <v>2360</v>
      </c>
      <c r="D1635" t="s">
        <v>1460</v>
      </c>
      <c r="E1635" t="s">
        <v>1937</v>
      </c>
      <c r="F1635" s="46" t="s">
        <v>2360</v>
      </c>
      <c r="G1635" t="s">
        <v>611</v>
      </c>
      <c r="H1635" s="47" t="s">
        <v>2353</v>
      </c>
      <c r="I1635" s="47" t="s">
        <v>2354</v>
      </c>
      <c r="J1635" t="s">
        <v>2361</v>
      </c>
      <c r="K1635">
        <v>662</v>
      </c>
      <c r="L1635">
        <v>1266</v>
      </c>
      <c r="M1635" s="24">
        <v>570</v>
      </c>
      <c r="N1635" s="24">
        <v>1178</v>
      </c>
      <c r="O1635" s="24">
        <v>642</v>
      </c>
      <c r="P1635" s="24">
        <v>1208</v>
      </c>
      <c r="Q1635">
        <v>652</v>
      </c>
      <c r="R1635">
        <v>1341</v>
      </c>
      <c r="S1635">
        <v>1078</v>
      </c>
      <c r="T1635">
        <v>1852</v>
      </c>
      <c r="U1635">
        <v>1078</v>
      </c>
      <c r="V1635">
        <v>1852</v>
      </c>
    </row>
    <row r="1636" spans="2:22" x14ac:dyDescent="0.35">
      <c r="B1636" s="46" t="s">
        <v>2362</v>
      </c>
      <c r="D1636" t="s">
        <v>1460</v>
      </c>
      <c r="E1636" t="s">
        <v>1937</v>
      </c>
      <c r="F1636" s="46" t="s">
        <v>2362</v>
      </c>
      <c r="G1636" t="s">
        <v>611</v>
      </c>
      <c r="H1636" s="47" t="s">
        <v>2353</v>
      </c>
      <c r="I1636" s="47" t="s">
        <v>2354</v>
      </c>
      <c r="J1636" t="s">
        <v>285</v>
      </c>
      <c r="K1636">
        <v>346</v>
      </c>
      <c r="L1636">
        <v>641</v>
      </c>
      <c r="M1636" s="24">
        <v>306</v>
      </c>
      <c r="N1636" s="24">
        <v>577</v>
      </c>
      <c r="O1636" s="24">
        <v>333</v>
      </c>
      <c r="P1636" s="24">
        <v>591</v>
      </c>
      <c r="Q1636">
        <v>366</v>
      </c>
      <c r="R1636">
        <v>657</v>
      </c>
      <c r="S1636">
        <v>592</v>
      </c>
      <c r="T1636">
        <v>876</v>
      </c>
      <c r="U1636">
        <v>592</v>
      </c>
      <c r="V1636">
        <v>876</v>
      </c>
    </row>
    <row r="1637" spans="2:22" x14ac:dyDescent="0.35">
      <c r="B1637" s="46" t="s">
        <v>2363</v>
      </c>
      <c r="D1637" t="s">
        <v>1460</v>
      </c>
      <c r="E1637" t="s">
        <v>1937</v>
      </c>
      <c r="F1637" s="46" t="s">
        <v>2363</v>
      </c>
      <c r="G1637" t="s">
        <v>611</v>
      </c>
      <c r="H1637" s="47" t="s">
        <v>2353</v>
      </c>
      <c r="I1637" s="47" t="s">
        <v>2354</v>
      </c>
      <c r="J1637" t="s">
        <v>2364</v>
      </c>
      <c r="K1637">
        <v>3794</v>
      </c>
      <c r="L1637">
        <v>5313</v>
      </c>
      <c r="M1637" s="24">
        <v>3170</v>
      </c>
      <c r="N1637" s="24">
        <v>4853</v>
      </c>
      <c r="O1637" s="24">
        <v>2847</v>
      </c>
      <c r="P1637" s="24">
        <v>4974</v>
      </c>
      <c r="Q1637">
        <v>2986</v>
      </c>
      <c r="R1637">
        <v>5759</v>
      </c>
      <c r="S1637">
        <v>5075</v>
      </c>
      <c r="T1637">
        <v>8519</v>
      </c>
      <c r="U1637">
        <v>5075</v>
      </c>
      <c r="V1637">
        <v>8519</v>
      </c>
    </row>
    <row r="1638" spans="2:22" x14ac:dyDescent="0.35">
      <c r="B1638" s="46" t="s">
        <v>2365</v>
      </c>
      <c r="D1638" t="s">
        <v>1460</v>
      </c>
      <c r="E1638" t="s">
        <v>1937</v>
      </c>
      <c r="F1638" s="46" t="s">
        <v>2365</v>
      </c>
      <c r="G1638" t="s">
        <v>615</v>
      </c>
      <c r="H1638" s="47" t="s">
        <v>2366</v>
      </c>
      <c r="I1638" s="47" t="s">
        <v>2367</v>
      </c>
      <c r="J1638" t="s">
        <v>2368</v>
      </c>
      <c r="K1638">
        <v>118</v>
      </c>
      <c r="L1638">
        <v>223</v>
      </c>
      <c r="M1638" s="24">
        <v>134</v>
      </c>
      <c r="N1638" s="24">
        <v>274</v>
      </c>
      <c r="O1638" s="24">
        <v>179</v>
      </c>
      <c r="P1638" s="24">
        <v>309</v>
      </c>
      <c r="Q1638">
        <v>274</v>
      </c>
      <c r="R1638">
        <v>440</v>
      </c>
      <c r="S1638">
        <v>384</v>
      </c>
      <c r="T1638">
        <v>622</v>
      </c>
      <c r="U1638">
        <v>384</v>
      </c>
      <c r="V1638">
        <v>622</v>
      </c>
    </row>
    <row r="1639" spans="2:22" x14ac:dyDescent="0.35">
      <c r="B1639" s="46" t="s">
        <v>2369</v>
      </c>
      <c r="D1639" t="s">
        <v>1460</v>
      </c>
      <c r="E1639" t="s">
        <v>1937</v>
      </c>
      <c r="F1639" s="46" t="s">
        <v>2369</v>
      </c>
      <c r="G1639" t="s">
        <v>615</v>
      </c>
      <c r="H1639" s="47" t="s">
        <v>2366</v>
      </c>
      <c r="I1639" s="47" t="s">
        <v>2367</v>
      </c>
      <c r="J1639" t="s">
        <v>2370</v>
      </c>
      <c r="K1639">
        <v>69</v>
      </c>
      <c r="L1639">
        <v>124</v>
      </c>
      <c r="M1639" s="24">
        <v>71</v>
      </c>
      <c r="N1639" s="24">
        <v>142</v>
      </c>
      <c r="O1639" s="24">
        <v>60</v>
      </c>
      <c r="P1639" s="24">
        <v>129</v>
      </c>
      <c r="Q1639">
        <v>82</v>
      </c>
      <c r="R1639">
        <v>143</v>
      </c>
      <c r="S1639">
        <v>99</v>
      </c>
      <c r="T1639">
        <v>169</v>
      </c>
      <c r="U1639">
        <v>99</v>
      </c>
      <c r="V1639">
        <v>169</v>
      </c>
    </row>
    <row r="1640" spans="2:22" x14ac:dyDescent="0.35">
      <c r="B1640" s="46" t="s">
        <v>2371</v>
      </c>
      <c r="D1640" t="s">
        <v>1460</v>
      </c>
      <c r="E1640" t="s">
        <v>1937</v>
      </c>
      <c r="F1640" s="46" t="s">
        <v>2371</v>
      </c>
      <c r="G1640" t="s">
        <v>615</v>
      </c>
      <c r="H1640" s="47" t="s">
        <v>2366</v>
      </c>
      <c r="I1640" s="47" t="s">
        <v>2367</v>
      </c>
      <c r="J1640" t="s">
        <v>329</v>
      </c>
      <c r="K1640">
        <v>159</v>
      </c>
      <c r="L1640">
        <v>311</v>
      </c>
      <c r="M1640" s="24">
        <v>154</v>
      </c>
      <c r="N1640" s="24">
        <v>307</v>
      </c>
      <c r="O1640" s="24">
        <v>131</v>
      </c>
      <c r="P1640" s="24">
        <v>274</v>
      </c>
      <c r="Q1640">
        <v>225</v>
      </c>
      <c r="R1640">
        <v>376</v>
      </c>
      <c r="S1640">
        <v>334</v>
      </c>
      <c r="T1640">
        <v>577</v>
      </c>
      <c r="U1640">
        <v>334</v>
      </c>
      <c r="V1640">
        <v>577</v>
      </c>
    </row>
    <row r="1641" spans="2:22" x14ac:dyDescent="0.35">
      <c r="B1641" s="46" t="s">
        <v>2372</v>
      </c>
      <c r="D1641" t="s">
        <v>1460</v>
      </c>
      <c r="E1641" t="s">
        <v>1937</v>
      </c>
      <c r="F1641" s="46" t="s">
        <v>2372</v>
      </c>
      <c r="G1641" t="s">
        <v>615</v>
      </c>
      <c r="H1641" s="47" t="s">
        <v>2366</v>
      </c>
      <c r="I1641" s="47" t="s">
        <v>2367</v>
      </c>
      <c r="J1641" t="s">
        <v>2373</v>
      </c>
      <c r="K1641">
        <v>27</v>
      </c>
      <c r="L1641">
        <v>49</v>
      </c>
      <c r="M1641" s="24">
        <v>22</v>
      </c>
      <c r="N1641" s="24">
        <v>52</v>
      </c>
      <c r="O1641" s="24">
        <v>20</v>
      </c>
      <c r="P1641" s="24">
        <v>53</v>
      </c>
      <c r="Q1641">
        <v>26</v>
      </c>
      <c r="R1641">
        <v>46</v>
      </c>
      <c r="S1641">
        <v>48</v>
      </c>
      <c r="T1641">
        <v>88</v>
      </c>
      <c r="U1641">
        <v>48</v>
      </c>
      <c r="V1641">
        <v>88</v>
      </c>
    </row>
    <row r="1642" spans="2:22" x14ac:dyDescent="0.35">
      <c r="B1642" s="46" t="s">
        <v>2374</v>
      </c>
      <c r="D1642" t="s">
        <v>1460</v>
      </c>
      <c r="E1642" t="s">
        <v>1937</v>
      </c>
      <c r="F1642" s="46" t="s">
        <v>2374</v>
      </c>
      <c r="G1642" t="s">
        <v>615</v>
      </c>
      <c r="H1642" s="47" t="s">
        <v>2366</v>
      </c>
      <c r="I1642" s="47" t="s">
        <v>2367</v>
      </c>
      <c r="J1642" t="s">
        <v>2375</v>
      </c>
      <c r="K1642">
        <v>27</v>
      </c>
      <c r="L1642">
        <v>43</v>
      </c>
      <c r="M1642" s="24">
        <v>27</v>
      </c>
      <c r="N1642" s="24">
        <v>54</v>
      </c>
      <c r="O1642" s="24">
        <v>25</v>
      </c>
      <c r="P1642" s="24">
        <v>43</v>
      </c>
      <c r="Q1642">
        <v>22</v>
      </c>
      <c r="R1642">
        <v>44</v>
      </c>
      <c r="S1642">
        <v>51</v>
      </c>
      <c r="T1642">
        <v>77</v>
      </c>
      <c r="U1642">
        <v>51</v>
      </c>
      <c r="V1642">
        <v>77</v>
      </c>
    </row>
    <row r="1643" spans="2:22" x14ac:dyDescent="0.35">
      <c r="B1643" s="46" t="s">
        <v>2376</v>
      </c>
      <c r="D1643" t="s">
        <v>1460</v>
      </c>
      <c r="E1643" t="s">
        <v>1937</v>
      </c>
      <c r="F1643" s="46" t="s">
        <v>2376</v>
      </c>
      <c r="G1643" t="s">
        <v>615</v>
      </c>
      <c r="H1643" s="47" t="s">
        <v>2366</v>
      </c>
      <c r="I1643" s="47" t="s">
        <v>2367</v>
      </c>
      <c r="J1643" t="s">
        <v>1874</v>
      </c>
      <c r="K1643">
        <v>83</v>
      </c>
      <c r="L1643">
        <v>128</v>
      </c>
      <c r="M1643" s="24">
        <v>53</v>
      </c>
      <c r="N1643" s="24">
        <v>114</v>
      </c>
      <c r="O1643" s="24">
        <v>58</v>
      </c>
      <c r="P1643" s="24">
        <v>121</v>
      </c>
      <c r="Q1643">
        <v>56</v>
      </c>
      <c r="R1643">
        <v>119</v>
      </c>
      <c r="S1643">
        <v>95</v>
      </c>
      <c r="T1643">
        <v>172</v>
      </c>
      <c r="U1643">
        <v>95</v>
      </c>
      <c r="V1643">
        <v>172</v>
      </c>
    </row>
    <row r="1644" spans="2:22" x14ac:dyDescent="0.35">
      <c r="B1644" s="46" t="s">
        <v>2377</v>
      </c>
      <c r="D1644" t="s">
        <v>1460</v>
      </c>
      <c r="E1644" t="s">
        <v>1937</v>
      </c>
      <c r="F1644" s="46" t="s">
        <v>2377</v>
      </c>
      <c r="G1644" t="s">
        <v>615</v>
      </c>
      <c r="H1644" s="47" t="s">
        <v>2366</v>
      </c>
      <c r="I1644" s="47" t="s">
        <v>2367</v>
      </c>
      <c r="J1644" t="s">
        <v>2378</v>
      </c>
      <c r="K1644">
        <v>130</v>
      </c>
      <c r="L1644">
        <v>285</v>
      </c>
      <c r="M1644" s="24">
        <v>123</v>
      </c>
      <c r="N1644" s="24">
        <v>262</v>
      </c>
      <c r="O1644" s="24">
        <v>171</v>
      </c>
      <c r="P1644" s="24">
        <v>350</v>
      </c>
      <c r="Q1644">
        <v>140</v>
      </c>
      <c r="R1644">
        <v>389</v>
      </c>
      <c r="S1644">
        <v>284</v>
      </c>
      <c r="T1644">
        <v>544</v>
      </c>
      <c r="U1644">
        <v>284</v>
      </c>
      <c r="V1644">
        <v>544</v>
      </c>
    </row>
    <row r="1645" spans="2:22" x14ac:dyDescent="0.35">
      <c r="B1645" s="46" t="s">
        <v>2379</v>
      </c>
      <c r="D1645" t="s">
        <v>1460</v>
      </c>
      <c r="E1645" t="s">
        <v>1937</v>
      </c>
      <c r="F1645" s="46" t="s">
        <v>2379</v>
      </c>
      <c r="G1645" t="s">
        <v>615</v>
      </c>
      <c r="H1645" s="47" t="s">
        <v>2366</v>
      </c>
      <c r="I1645" s="47" t="s">
        <v>2367</v>
      </c>
      <c r="J1645" t="s">
        <v>2380</v>
      </c>
      <c r="K1645">
        <v>0</v>
      </c>
      <c r="L1645">
        <v>0</v>
      </c>
      <c r="M1645" s="24">
        <v>0</v>
      </c>
      <c r="N1645" s="24">
        <v>0</v>
      </c>
      <c r="O1645" s="24">
        <v>0</v>
      </c>
      <c r="P1645" s="24">
        <v>0</v>
      </c>
      <c r="Q1645">
        <v>0</v>
      </c>
      <c r="R1645">
        <v>0</v>
      </c>
      <c r="S1645">
        <v>0</v>
      </c>
      <c r="T1645">
        <v>0</v>
      </c>
      <c r="U1645">
        <v>0</v>
      </c>
      <c r="V1645">
        <v>0</v>
      </c>
    </row>
    <row r="1646" spans="2:22" x14ac:dyDescent="0.35">
      <c r="B1646" s="46" t="s">
        <v>2381</v>
      </c>
      <c r="D1646" t="s">
        <v>1460</v>
      </c>
      <c r="E1646" t="s">
        <v>1937</v>
      </c>
      <c r="F1646" s="46" t="s">
        <v>2381</v>
      </c>
      <c r="G1646" t="s">
        <v>615</v>
      </c>
      <c r="H1646" s="47" t="s">
        <v>2366</v>
      </c>
      <c r="I1646" s="47" t="s">
        <v>2367</v>
      </c>
      <c r="J1646" t="s">
        <v>1819</v>
      </c>
      <c r="K1646">
        <v>119</v>
      </c>
      <c r="L1646">
        <v>184</v>
      </c>
      <c r="M1646" s="24">
        <v>79</v>
      </c>
      <c r="N1646" s="24">
        <v>168</v>
      </c>
      <c r="O1646" s="24">
        <v>72</v>
      </c>
      <c r="P1646" s="24">
        <v>151</v>
      </c>
      <c r="Q1646">
        <v>102</v>
      </c>
      <c r="R1646">
        <v>165</v>
      </c>
      <c r="S1646">
        <v>139</v>
      </c>
      <c r="T1646">
        <v>208</v>
      </c>
      <c r="U1646">
        <v>139</v>
      </c>
      <c r="V1646">
        <v>208</v>
      </c>
    </row>
    <row r="1647" spans="2:22" x14ac:dyDescent="0.35">
      <c r="B1647" s="46" t="s">
        <v>2382</v>
      </c>
      <c r="D1647" t="s">
        <v>1460</v>
      </c>
      <c r="E1647" t="s">
        <v>1937</v>
      </c>
      <c r="F1647" s="46" t="s">
        <v>2382</v>
      </c>
      <c r="G1647" t="s">
        <v>615</v>
      </c>
      <c r="H1647" s="47" t="s">
        <v>2366</v>
      </c>
      <c r="I1647" s="47" t="s">
        <v>2367</v>
      </c>
      <c r="J1647" t="s">
        <v>2383</v>
      </c>
      <c r="K1647">
        <v>483</v>
      </c>
      <c r="L1647">
        <v>796</v>
      </c>
      <c r="M1647" s="24">
        <v>450</v>
      </c>
      <c r="N1647" s="24">
        <v>804</v>
      </c>
      <c r="O1647" s="24">
        <v>487</v>
      </c>
      <c r="P1647" s="24">
        <v>864</v>
      </c>
      <c r="Q1647">
        <v>403</v>
      </c>
      <c r="R1647">
        <v>849</v>
      </c>
      <c r="S1647">
        <v>609</v>
      </c>
      <c r="T1647">
        <v>1106</v>
      </c>
      <c r="U1647">
        <v>609</v>
      </c>
      <c r="V1647">
        <v>1106</v>
      </c>
    </row>
    <row r="1648" spans="2:22" x14ac:dyDescent="0.35">
      <c r="B1648" s="46" t="s">
        <v>2384</v>
      </c>
      <c r="D1648" t="s">
        <v>1460</v>
      </c>
      <c r="E1648" t="s">
        <v>1937</v>
      </c>
      <c r="F1648" s="46" t="s">
        <v>2384</v>
      </c>
      <c r="G1648" t="s">
        <v>615</v>
      </c>
      <c r="H1648" s="47" t="s">
        <v>2366</v>
      </c>
      <c r="I1648" s="47" t="s">
        <v>2367</v>
      </c>
      <c r="J1648" t="s">
        <v>2385</v>
      </c>
      <c r="K1648">
        <v>1849</v>
      </c>
      <c r="L1648">
        <v>3196</v>
      </c>
      <c r="M1648" s="24">
        <v>2085</v>
      </c>
      <c r="N1648" s="24">
        <v>3723</v>
      </c>
      <c r="O1648" s="24">
        <v>2314</v>
      </c>
      <c r="P1648" s="24">
        <v>3937</v>
      </c>
      <c r="Q1648">
        <v>3017</v>
      </c>
      <c r="R1648">
        <v>4649</v>
      </c>
      <c r="S1648">
        <v>4072</v>
      </c>
      <c r="T1648">
        <v>6218</v>
      </c>
      <c r="U1648">
        <v>4072</v>
      </c>
      <c r="V1648">
        <v>6218</v>
      </c>
    </row>
    <row r="1649" spans="2:22" x14ac:dyDescent="0.35">
      <c r="B1649" s="46" t="s">
        <v>2386</v>
      </c>
      <c r="D1649" t="s">
        <v>1460</v>
      </c>
      <c r="E1649" t="s">
        <v>1937</v>
      </c>
      <c r="F1649" s="46" t="s">
        <v>2386</v>
      </c>
      <c r="G1649" t="s">
        <v>615</v>
      </c>
      <c r="H1649" s="47" t="s">
        <v>2366</v>
      </c>
      <c r="I1649" s="47" t="s">
        <v>2367</v>
      </c>
      <c r="J1649" t="s">
        <v>2387</v>
      </c>
      <c r="K1649">
        <v>171</v>
      </c>
      <c r="L1649">
        <v>260</v>
      </c>
      <c r="M1649" s="24">
        <v>140</v>
      </c>
      <c r="N1649" s="24">
        <v>223</v>
      </c>
      <c r="O1649" s="24">
        <v>127</v>
      </c>
      <c r="P1649" s="24">
        <v>213</v>
      </c>
      <c r="Q1649">
        <v>157</v>
      </c>
      <c r="R1649">
        <v>243</v>
      </c>
      <c r="S1649">
        <v>261</v>
      </c>
      <c r="T1649">
        <v>402</v>
      </c>
      <c r="U1649">
        <v>261</v>
      </c>
      <c r="V1649">
        <v>402</v>
      </c>
    </row>
    <row r="1650" spans="2:22" x14ac:dyDescent="0.35">
      <c r="B1650" s="46" t="s">
        <v>2388</v>
      </c>
      <c r="D1650" t="s">
        <v>1460</v>
      </c>
      <c r="E1650" t="s">
        <v>1937</v>
      </c>
      <c r="F1650" s="46" t="s">
        <v>2388</v>
      </c>
      <c r="G1650" t="s">
        <v>615</v>
      </c>
      <c r="H1650" s="47" t="s">
        <v>2366</v>
      </c>
      <c r="I1650" s="47" t="s">
        <v>2367</v>
      </c>
      <c r="J1650" t="s">
        <v>2389</v>
      </c>
      <c r="K1650">
        <v>360</v>
      </c>
      <c r="L1650">
        <v>703</v>
      </c>
      <c r="M1650" s="24">
        <v>313</v>
      </c>
      <c r="N1650" s="24">
        <v>674</v>
      </c>
      <c r="O1650" s="24">
        <v>345</v>
      </c>
      <c r="P1650" s="24">
        <v>753</v>
      </c>
      <c r="Q1650">
        <v>444</v>
      </c>
      <c r="R1650">
        <v>817</v>
      </c>
      <c r="S1650">
        <v>580</v>
      </c>
      <c r="T1650">
        <v>1063</v>
      </c>
      <c r="U1650">
        <v>580</v>
      </c>
      <c r="V1650">
        <v>1063</v>
      </c>
    </row>
    <row r="1651" spans="2:22" x14ac:dyDescent="0.35">
      <c r="B1651" s="46" t="s">
        <v>2390</v>
      </c>
      <c r="D1651" t="s">
        <v>1460</v>
      </c>
      <c r="E1651" t="s">
        <v>1937</v>
      </c>
      <c r="F1651" s="46" t="s">
        <v>2390</v>
      </c>
      <c r="G1651" t="s">
        <v>619</v>
      </c>
      <c r="H1651" s="47" t="s">
        <v>2391</v>
      </c>
      <c r="I1651" s="47" t="s">
        <v>2392</v>
      </c>
      <c r="J1651" t="s">
        <v>2393</v>
      </c>
      <c r="K1651">
        <v>16521</v>
      </c>
      <c r="L1651">
        <v>26997</v>
      </c>
      <c r="M1651" s="24">
        <v>16408</v>
      </c>
      <c r="N1651" s="24">
        <v>26752</v>
      </c>
      <c r="O1651" s="24">
        <v>16131</v>
      </c>
      <c r="P1651" s="24">
        <v>28872</v>
      </c>
      <c r="Q1651">
        <v>17303</v>
      </c>
      <c r="R1651">
        <v>33421</v>
      </c>
      <c r="S1651">
        <v>23372</v>
      </c>
      <c r="T1651">
        <v>46137</v>
      </c>
      <c r="U1651">
        <v>23372</v>
      </c>
      <c r="V1651">
        <v>46137</v>
      </c>
    </row>
    <row r="1652" spans="2:22" x14ac:dyDescent="0.35">
      <c r="B1652" s="46" t="s">
        <v>2394</v>
      </c>
      <c r="D1652" t="s">
        <v>1460</v>
      </c>
      <c r="E1652" t="s">
        <v>1937</v>
      </c>
      <c r="F1652" s="46" t="s">
        <v>2394</v>
      </c>
      <c r="G1652" t="s">
        <v>619</v>
      </c>
      <c r="H1652" s="47" t="s">
        <v>2391</v>
      </c>
      <c r="I1652" s="47" t="s">
        <v>2392</v>
      </c>
      <c r="J1652" t="s">
        <v>2395</v>
      </c>
      <c r="K1652">
        <v>950</v>
      </c>
      <c r="L1652">
        <v>1895</v>
      </c>
      <c r="M1652" s="24">
        <v>892</v>
      </c>
      <c r="N1652" s="24">
        <v>1972</v>
      </c>
      <c r="O1652" s="24">
        <v>984</v>
      </c>
      <c r="P1652" s="24">
        <v>2022</v>
      </c>
      <c r="Q1652">
        <v>1246</v>
      </c>
      <c r="R1652">
        <v>2277</v>
      </c>
      <c r="S1652">
        <v>1717</v>
      </c>
      <c r="T1652">
        <v>3042</v>
      </c>
      <c r="U1652">
        <v>1717</v>
      </c>
      <c r="V1652">
        <v>3042</v>
      </c>
    </row>
    <row r="1653" spans="2:22" x14ac:dyDescent="0.35">
      <c r="B1653" s="46" t="s">
        <v>2396</v>
      </c>
      <c r="D1653" t="s">
        <v>1460</v>
      </c>
      <c r="E1653" t="s">
        <v>1937</v>
      </c>
      <c r="F1653" s="46" t="s">
        <v>2396</v>
      </c>
      <c r="G1653" t="s">
        <v>619</v>
      </c>
      <c r="H1653" s="47" t="s">
        <v>2391</v>
      </c>
      <c r="I1653" s="47" t="s">
        <v>2392</v>
      </c>
      <c r="J1653" t="s">
        <v>2397</v>
      </c>
      <c r="K1653">
        <v>1469</v>
      </c>
      <c r="L1653">
        <v>2792</v>
      </c>
      <c r="M1653" s="24">
        <v>1282</v>
      </c>
      <c r="N1653" s="24">
        <v>2693</v>
      </c>
      <c r="O1653" s="24">
        <v>1464</v>
      </c>
      <c r="P1653" s="24">
        <v>2844</v>
      </c>
      <c r="Q1653">
        <v>1373</v>
      </c>
      <c r="R1653">
        <v>3006</v>
      </c>
      <c r="S1653">
        <v>2257</v>
      </c>
      <c r="T1653">
        <v>4124</v>
      </c>
      <c r="U1653">
        <v>2257</v>
      </c>
      <c r="V1653">
        <v>4124</v>
      </c>
    </row>
    <row r="1654" spans="2:22" x14ac:dyDescent="0.35">
      <c r="B1654" s="46" t="s">
        <v>2398</v>
      </c>
      <c r="D1654" t="s">
        <v>1460</v>
      </c>
      <c r="E1654" t="s">
        <v>1937</v>
      </c>
      <c r="F1654" s="46" t="s">
        <v>2398</v>
      </c>
      <c r="G1654" t="s">
        <v>619</v>
      </c>
      <c r="H1654" s="47" t="s">
        <v>2391</v>
      </c>
      <c r="I1654" s="47" t="s">
        <v>2392</v>
      </c>
      <c r="J1654" t="s">
        <v>535</v>
      </c>
      <c r="K1654">
        <v>4542</v>
      </c>
      <c r="L1654">
        <v>7801</v>
      </c>
      <c r="M1654" s="24">
        <v>4586</v>
      </c>
      <c r="N1654" s="24">
        <v>8581</v>
      </c>
      <c r="O1654" s="24">
        <v>5287</v>
      </c>
      <c r="P1654" s="24">
        <v>9044</v>
      </c>
      <c r="Q1654">
        <v>4207</v>
      </c>
      <c r="R1654">
        <v>8220</v>
      </c>
      <c r="S1654">
        <v>5739</v>
      </c>
      <c r="T1654">
        <v>10453</v>
      </c>
      <c r="U1654">
        <v>5739</v>
      </c>
      <c r="V1654">
        <v>10453</v>
      </c>
    </row>
    <row r="1655" spans="2:22" x14ac:dyDescent="0.35">
      <c r="B1655" s="46" t="s">
        <v>2399</v>
      </c>
      <c r="D1655" t="s">
        <v>1460</v>
      </c>
      <c r="E1655" t="s">
        <v>1937</v>
      </c>
      <c r="F1655" s="46" t="s">
        <v>2399</v>
      </c>
      <c r="G1655" t="s">
        <v>619</v>
      </c>
      <c r="H1655" s="47" t="s">
        <v>2391</v>
      </c>
      <c r="I1655" s="47" t="s">
        <v>2392</v>
      </c>
      <c r="J1655" t="s">
        <v>2400</v>
      </c>
      <c r="K1655">
        <v>736</v>
      </c>
      <c r="L1655">
        <v>1263</v>
      </c>
      <c r="M1655" s="24">
        <v>665</v>
      </c>
      <c r="N1655" s="24">
        <v>1242</v>
      </c>
      <c r="O1655" s="24">
        <v>726</v>
      </c>
      <c r="P1655" s="24">
        <v>1277</v>
      </c>
      <c r="Q1655">
        <v>638</v>
      </c>
      <c r="R1655">
        <v>1292</v>
      </c>
      <c r="S1655">
        <v>1044</v>
      </c>
      <c r="T1655">
        <v>1832</v>
      </c>
      <c r="U1655">
        <v>1044</v>
      </c>
      <c r="V1655">
        <v>1832</v>
      </c>
    </row>
    <row r="1656" spans="2:22" x14ac:dyDescent="0.35">
      <c r="B1656" s="46" t="s">
        <v>2401</v>
      </c>
      <c r="D1656" t="s">
        <v>1460</v>
      </c>
      <c r="E1656" t="s">
        <v>1937</v>
      </c>
      <c r="F1656" s="46" t="s">
        <v>2401</v>
      </c>
      <c r="G1656" t="s">
        <v>619</v>
      </c>
      <c r="H1656" s="47" t="s">
        <v>2391</v>
      </c>
      <c r="I1656" s="47" t="s">
        <v>2392</v>
      </c>
      <c r="J1656" t="s">
        <v>2402</v>
      </c>
      <c r="K1656">
        <v>3554</v>
      </c>
      <c r="L1656">
        <v>6382</v>
      </c>
      <c r="M1656" s="24">
        <v>2459</v>
      </c>
      <c r="N1656" s="24">
        <v>5109</v>
      </c>
      <c r="O1656" s="24">
        <v>2009</v>
      </c>
      <c r="P1656" s="24">
        <v>4265</v>
      </c>
      <c r="Q1656">
        <v>2126</v>
      </c>
      <c r="R1656">
        <v>4518</v>
      </c>
      <c r="S1656">
        <v>3067</v>
      </c>
      <c r="T1656">
        <v>6740</v>
      </c>
      <c r="U1656">
        <v>3067</v>
      </c>
      <c r="V1656">
        <v>6740</v>
      </c>
    </row>
    <row r="1657" spans="2:22" x14ac:dyDescent="0.35">
      <c r="B1657" s="46" t="s">
        <v>2403</v>
      </c>
      <c r="D1657" t="s">
        <v>1460</v>
      </c>
      <c r="E1657" t="s">
        <v>1937</v>
      </c>
      <c r="F1657" s="46" t="s">
        <v>2403</v>
      </c>
      <c r="G1657" t="s">
        <v>619</v>
      </c>
      <c r="H1657" s="47" t="s">
        <v>2391</v>
      </c>
      <c r="I1657" s="47" t="s">
        <v>2392</v>
      </c>
      <c r="J1657" t="s">
        <v>2404</v>
      </c>
      <c r="K1657">
        <v>196</v>
      </c>
      <c r="L1657">
        <v>375</v>
      </c>
      <c r="M1657" s="24">
        <v>200</v>
      </c>
      <c r="N1657" s="24">
        <v>396</v>
      </c>
      <c r="O1657" s="24">
        <v>242</v>
      </c>
      <c r="P1657" s="24">
        <v>439</v>
      </c>
      <c r="Q1657">
        <v>200</v>
      </c>
      <c r="R1657">
        <v>420</v>
      </c>
      <c r="S1657">
        <v>294</v>
      </c>
      <c r="T1657">
        <v>552</v>
      </c>
      <c r="U1657">
        <v>294</v>
      </c>
      <c r="V1657">
        <v>552</v>
      </c>
    </row>
    <row r="1658" spans="2:22" x14ac:dyDescent="0.35">
      <c r="B1658" s="46" t="s">
        <v>2405</v>
      </c>
      <c r="D1658" t="s">
        <v>1460</v>
      </c>
      <c r="E1658" t="s">
        <v>1937</v>
      </c>
      <c r="F1658" s="46" t="s">
        <v>2405</v>
      </c>
      <c r="G1658" t="s">
        <v>619</v>
      </c>
      <c r="H1658" s="47" t="s">
        <v>2391</v>
      </c>
      <c r="I1658" s="47" t="s">
        <v>2392</v>
      </c>
      <c r="J1658" t="s">
        <v>2406</v>
      </c>
      <c r="K1658">
        <v>46171</v>
      </c>
      <c r="L1658">
        <v>68649</v>
      </c>
      <c r="M1658" s="24">
        <v>49133</v>
      </c>
      <c r="N1658" s="24">
        <v>68734</v>
      </c>
      <c r="O1658" s="24">
        <v>44566</v>
      </c>
      <c r="P1658" s="24">
        <v>70742</v>
      </c>
      <c r="Q1658">
        <v>43009</v>
      </c>
      <c r="R1658">
        <v>76696</v>
      </c>
      <c r="S1658">
        <v>62818</v>
      </c>
      <c r="T1658">
        <v>104933</v>
      </c>
      <c r="U1658">
        <v>62818</v>
      </c>
      <c r="V1658">
        <v>104933</v>
      </c>
    </row>
    <row r="1659" spans="2:22" x14ac:dyDescent="0.35">
      <c r="B1659" s="46" t="s">
        <v>2407</v>
      </c>
      <c r="D1659" t="s">
        <v>1460</v>
      </c>
      <c r="E1659" t="s">
        <v>1937</v>
      </c>
      <c r="F1659" s="46" t="s">
        <v>2407</v>
      </c>
      <c r="G1659" t="s">
        <v>619</v>
      </c>
      <c r="H1659" s="47" t="s">
        <v>2391</v>
      </c>
      <c r="I1659" s="47" t="s">
        <v>2392</v>
      </c>
      <c r="J1659" t="s">
        <v>2408</v>
      </c>
      <c r="K1659">
        <v>1590</v>
      </c>
      <c r="L1659">
        <v>2849</v>
      </c>
      <c r="M1659" s="24">
        <v>1375</v>
      </c>
      <c r="N1659" s="24">
        <v>2758</v>
      </c>
      <c r="O1659" s="24">
        <v>1426</v>
      </c>
      <c r="P1659" s="24">
        <v>2688</v>
      </c>
      <c r="Q1659">
        <v>1291</v>
      </c>
      <c r="R1659">
        <v>2584</v>
      </c>
      <c r="S1659">
        <v>1873</v>
      </c>
      <c r="T1659">
        <v>3415</v>
      </c>
      <c r="U1659">
        <v>1873</v>
      </c>
      <c r="V1659">
        <v>3415</v>
      </c>
    </row>
    <row r="1660" spans="2:22" x14ac:dyDescent="0.35">
      <c r="B1660" s="46" t="s">
        <v>2409</v>
      </c>
      <c r="D1660" t="s">
        <v>1460</v>
      </c>
      <c r="E1660" t="s">
        <v>1937</v>
      </c>
      <c r="F1660" s="46" t="s">
        <v>2409</v>
      </c>
      <c r="G1660" t="s">
        <v>623</v>
      </c>
      <c r="H1660" s="47" t="s">
        <v>2410</v>
      </c>
      <c r="I1660" s="47" t="s">
        <v>2411</v>
      </c>
      <c r="J1660" t="s">
        <v>2412</v>
      </c>
      <c r="K1660">
        <v>738</v>
      </c>
      <c r="L1660">
        <v>1225</v>
      </c>
      <c r="M1660" s="24">
        <v>762</v>
      </c>
      <c r="N1660" s="24">
        <v>1302</v>
      </c>
      <c r="O1660" s="24">
        <v>646</v>
      </c>
      <c r="P1660" s="24">
        <v>1237</v>
      </c>
      <c r="Q1660">
        <v>655</v>
      </c>
      <c r="R1660">
        <v>1246</v>
      </c>
      <c r="S1660">
        <v>1173</v>
      </c>
      <c r="T1660">
        <v>1903</v>
      </c>
      <c r="U1660">
        <v>1173</v>
      </c>
      <c r="V1660">
        <v>1903</v>
      </c>
    </row>
    <row r="1661" spans="2:22" x14ac:dyDescent="0.35">
      <c r="B1661" s="46" t="s">
        <v>2413</v>
      </c>
      <c r="D1661" t="s">
        <v>1460</v>
      </c>
      <c r="E1661" t="s">
        <v>1937</v>
      </c>
      <c r="F1661" s="46" t="s">
        <v>2413</v>
      </c>
      <c r="G1661" t="s">
        <v>623</v>
      </c>
      <c r="H1661" s="47" t="s">
        <v>2410</v>
      </c>
      <c r="I1661" s="47" t="s">
        <v>2411</v>
      </c>
      <c r="J1661" t="s">
        <v>2414</v>
      </c>
      <c r="K1661">
        <v>7084</v>
      </c>
      <c r="L1661">
        <v>11426</v>
      </c>
      <c r="M1661" s="24">
        <v>5953</v>
      </c>
      <c r="N1661" s="24">
        <v>10114</v>
      </c>
      <c r="O1661" s="24">
        <v>6255</v>
      </c>
      <c r="P1661" s="24">
        <v>10245</v>
      </c>
      <c r="Q1661">
        <v>7625</v>
      </c>
      <c r="R1661">
        <v>12043</v>
      </c>
      <c r="S1661">
        <v>10309</v>
      </c>
      <c r="T1661">
        <v>17732</v>
      </c>
      <c r="U1661">
        <v>10309</v>
      </c>
      <c r="V1661">
        <v>17732</v>
      </c>
    </row>
    <row r="1662" spans="2:22" x14ac:dyDescent="0.35">
      <c r="B1662" s="46" t="s">
        <v>2415</v>
      </c>
      <c r="D1662" t="s">
        <v>1460</v>
      </c>
      <c r="E1662" t="s">
        <v>1937</v>
      </c>
      <c r="F1662" s="46" t="s">
        <v>2415</v>
      </c>
      <c r="G1662" t="s">
        <v>623</v>
      </c>
      <c r="H1662" s="47" t="s">
        <v>2410</v>
      </c>
      <c r="I1662" s="47" t="s">
        <v>2411</v>
      </c>
      <c r="J1662" t="s">
        <v>2416</v>
      </c>
      <c r="K1662">
        <v>642</v>
      </c>
      <c r="L1662">
        <v>1110</v>
      </c>
      <c r="M1662" s="24">
        <v>575</v>
      </c>
      <c r="N1662" s="24">
        <v>1089</v>
      </c>
      <c r="O1662" s="24">
        <v>716</v>
      </c>
      <c r="P1662" s="24">
        <v>1195</v>
      </c>
      <c r="Q1662">
        <v>909</v>
      </c>
      <c r="R1662">
        <v>1338</v>
      </c>
      <c r="S1662">
        <v>1267</v>
      </c>
      <c r="T1662">
        <v>1821</v>
      </c>
      <c r="U1662">
        <v>1267</v>
      </c>
      <c r="V1662">
        <v>1821</v>
      </c>
    </row>
    <row r="1663" spans="2:22" x14ac:dyDescent="0.35">
      <c r="B1663" s="46" t="s">
        <v>2417</v>
      </c>
      <c r="D1663" t="s">
        <v>1460</v>
      </c>
      <c r="E1663" t="s">
        <v>1937</v>
      </c>
      <c r="F1663" s="46" t="s">
        <v>2417</v>
      </c>
      <c r="G1663" t="s">
        <v>623</v>
      </c>
      <c r="H1663" s="47" t="s">
        <v>2410</v>
      </c>
      <c r="I1663" s="47" t="s">
        <v>2411</v>
      </c>
      <c r="J1663" t="s">
        <v>2418</v>
      </c>
      <c r="K1663">
        <v>30943</v>
      </c>
      <c r="L1663">
        <v>50700</v>
      </c>
      <c r="M1663" s="24">
        <v>30613</v>
      </c>
      <c r="N1663" s="24">
        <v>49605</v>
      </c>
      <c r="O1663" s="24">
        <v>32394</v>
      </c>
      <c r="P1663" s="24">
        <v>51232</v>
      </c>
      <c r="Q1663">
        <v>44581</v>
      </c>
      <c r="R1663">
        <v>69483</v>
      </c>
      <c r="S1663">
        <v>57338</v>
      </c>
      <c r="T1663">
        <v>86326</v>
      </c>
      <c r="U1663">
        <v>57338</v>
      </c>
      <c r="V1663">
        <v>86326</v>
      </c>
    </row>
    <row r="1664" spans="2:22" x14ac:dyDescent="0.35">
      <c r="B1664" s="46" t="s">
        <v>2419</v>
      </c>
      <c r="D1664" t="s">
        <v>1460</v>
      </c>
      <c r="E1664" t="s">
        <v>1937</v>
      </c>
      <c r="F1664" s="46" t="s">
        <v>2419</v>
      </c>
      <c r="G1664" t="s">
        <v>623</v>
      </c>
      <c r="H1664" s="47" t="s">
        <v>2410</v>
      </c>
      <c r="I1664" s="47" t="s">
        <v>2411</v>
      </c>
      <c r="J1664" t="s">
        <v>2420</v>
      </c>
      <c r="K1664">
        <v>1033</v>
      </c>
      <c r="L1664">
        <v>1685</v>
      </c>
      <c r="M1664" s="24">
        <v>1056</v>
      </c>
      <c r="N1664" s="24">
        <v>1768</v>
      </c>
      <c r="O1664" s="24">
        <v>1002</v>
      </c>
      <c r="P1664" s="24">
        <v>1842</v>
      </c>
      <c r="Q1664">
        <v>759</v>
      </c>
      <c r="R1664">
        <v>1820</v>
      </c>
      <c r="S1664">
        <v>1747</v>
      </c>
      <c r="T1664">
        <v>2441</v>
      </c>
      <c r="U1664">
        <v>1747</v>
      </c>
      <c r="V1664">
        <v>2441</v>
      </c>
    </row>
    <row r="1665" spans="2:22" x14ac:dyDescent="0.35">
      <c r="B1665" s="46" t="s">
        <v>2421</v>
      </c>
      <c r="D1665" t="s">
        <v>1460</v>
      </c>
      <c r="E1665" t="s">
        <v>1937</v>
      </c>
      <c r="F1665" s="46" t="s">
        <v>2421</v>
      </c>
      <c r="G1665" t="s">
        <v>623</v>
      </c>
      <c r="H1665" s="47" t="s">
        <v>2410</v>
      </c>
      <c r="I1665" s="47" t="s">
        <v>2411</v>
      </c>
      <c r="J1665" t="s">
        <v>2422</v>
      </c>
      <c r="K1665">
        <v>1666</v>
      </c>
      <c r="L1665">
        <v>2304</v>
      </c>
      <c r="M1665" s="24">
        <v>1936</v>
      </c>
      <c r="N1665" s="24">
        <v>2729</v>
      </c>
      <c r="O1665" s="24">
        <v>1601</v>
      </c>
      <c r="P1665" s="24">
        <v>2396</v>
      </c>
      <c r="Q1665">
        <v>1353</v>
      </c>
      <c r="R1665">
        <v>2169</v>
      </c>
      <c r="S1665">
        <v>5638</v>
      </c>
      <c r="T1665">
        <v>6711</v>
      </c>
      <c r="U1665">
        <v>5638</v>
      </c>
      <c r="V1665">
        <v>6711</v>
      </c>
    </row>
    <row r="1666" spans="2:22" x14ac:dyDescent="0.35">
      <c r="B1666" s="46" t="s">
        <v>2423</v>
      </c>
      <c r="D1666" t="s">
        <v>1460</v>
      </c>
      <c r="E1666" t="s">
        <v>1937</v>
      </c>
      <c r="F1666" s="46" t="s">
        <v>2423</v>
      </c>
      <c r="G1666" t="s">
        <v>623</v>
      </c>
      <c r="H1666" s="47" t="s">
        <v>2410</v>
      </c>
      <c r="I1666" s="47" t="s">
        <v>2411</v>
      </c>
      <c r="J1666" t="s">
        <v>2424</v>
      </c>
      <c r="K1666">
        <v>1122</v>
      </c>
      <c r="L1666">
        <v>1714</v>
      </c>
      <c r="M1666" s="24">
        <v>1118</v>
      </c>
      <c r="N1666" s="24">
        <v>1799</v>
      </c>
      <c r="O1666" s="24">
        <v>1011</v>
      </c>
      <c r="P1666" s="24">
        <v>1787</v>
      </c>
      <c r="Q1666">
        <v>798</v>
      </c>
      <c r="R1666">
        <v>1844</v>
      </c>
      <c r="S1666">
        <v>1969</v>
      </c>
      <c r="T1666">
        <v>2756</v>
      </c>
      <c r="U1666">
        <v>1969</v>
      </c>
      <c r="V1666">
        <v>2756</v>
      </c>
    </row>
    <row r="1667" spans="2:22" x14ac:dyDescent="0.35">
      <c r="B1667" s="46" t="s">
        <v>2425</v>
      </c>
      <c r="D1667" t="s">
        <v>1460</v>
      </c>
      <c r="E1667" t="s">
        <v>1937</v>
      </c>
      <c r="F1667" s="46" t="s">
        <v>2425</v>
      </c>
      <c r="G1667" t="s">
        <v>627</v>
      </c>
      <c r="H1667" s="47" t="s">
        <v>2426</v>
      </c>
      <c r="I1667" s="47" t="s">
        <v>2427</v>
      </c>
      <c r="J1667" t="s">
        <v>321</v>
      </c>
      <c r="K1667">
        <v>591</v>
      </c>
      <c r="L1667">
        <v>926</v>
      </c>
      <c r="M1667" s="24">
        <v>670</v>
      </c>
      <c r="N1667" s="24">
        <v>1024</v>
      </c>
      <c r="O1667" s="24">
        <v>572</v>
      </c>
      <c r="P1667" s="24">
        <v>971</v>
      </c>
      <c r="Q1667">
        <v>604</v>
      </c>
      <c r="R1667">
        <v>1095</v>
      </c>
      <c r="S1667">
        <v>2129</v>
      </c>
      <c r="T1667">
        <v>2772</v>
      </c>
      <c r="U1667">
        <v>2129</v>
      </c>
      <c r="V1667">
        <v>2772</v>
      </c>
    </row>
    <row r="1668" spans="2:22" x14ac:dyDescent="0.35">
      <c r="B1668" s="46" t="s">
        <v>2428</v>
      </c>
      <c r="D1668" t="s">
        <v>1460</v>
      </c>
      <c r="E1668" t="s">
        <v>1937</v>
      </c>
      <c r="F1668" s="46" t="s">
        <v>2428</v>
      </c>
      <c r="G1668" t="s">
        <v>627</v>
      </c>
      <c r="H1668" s="47" t="s">
        <v>2426</v>
      </c>
      <c r="I1668" s="47" t="s">
        <v>2427</v>
      </c>
      <c r="J1668" t="s">
        <v>669</v>
      </c>
      <c r="K1668">
        <v>1462</v>
      </c>
      <c r="L1668">
        <v>2163</v>
      </c>
      <c r="M1668" s="24">
        <v>1488</v>
      </c>
      <c r="N1668" s="24">
        <v>2331</v>
      </c>
      <c r="O1668" s="24">
        <v>1574</v>
      </c>
      <c r="P1668" s="24">
        <v>2467</v>
      </c>
      <c r="Q1668">
        <v>1672</v>
      </c>
      <c r="R1668">
        <v>2786</v>
      </c>
      <c r="S1668">
        <v>4101</v>
      </c>
      <c r="T1668">
        <v>5402</v>
      </c>
      <c r="U1668">
        <v>4101</v>
      </c>
      <c r="V1668">
        <v>5402</v>
      </c>
    </row>
    <row r="1669" spans="2:22" x14ac:dyDescent="0.35">
      <c r="B1669" s="46" t="s">
        <v>2429</v>
      </c>
      <c r="D1669" t="s">
        <v>1460</v>
      </c>
      <c r="E1669" t="s">
        <v>1937</v>
      </c>
      <c r="F1669" s="46" t="s">
        <v>2429</v>
      </c>
      <c r="G1669" t="s">
        <v>627</v>
      </c>
      <c r="H1669" s="47" t="s">
        <v>2426</v>
      </c>
      <c r="I1669" s="47" t="s">
        <v>2427</v>
      </c>
      <c r="J1669" t="s">
        <v>301</v>
      </c>
      <c r="K1669">
        <v>12611</v>
      </c>
      <c r="L1669">
        <v>21298</v>
      </c>
      <c r="M1669" s="24">
        <v>10990</v>
      </c>
      <c r="N1669" s="24">
        <v>18981</v>
      </c>
      <c r="O1669" s="24">
        <v>11090</v>
      </c>
      <c r="P1669" s="24">
        <v>19035</v>
      </c>
      <c r="Q1669">
        <v>13395</v>
      </c>
      <c r="R1669">
        <v>23839</v>
      </c>
      <c r="S1669">
        <v>20445</v>
      </c>
      <c r="T1669">
        <v>36181</v>
      </c>
      <c r="U1669">
        <v>20445</v>
      </c>
      <c r="V1669">
        <v>36181</v>
      </c>
    </row>
    <row r="1670" spans="2:22" x14ac:dyDescent="0.35">
      <c r="B1670" s="46" t="s">
        <v>2430</v>
      </c>
      <c r="D1670" t="s">
        <v>1460</v>
      </c>
      <c r="E1670" t="s">
        <v>1937</v>
      </c>
      <c r="F1670" s="46" t="s">
        <v>2430</v>
      </c>
      <c r="G1670" t="s">
        <v>627</v>
      </c>
      <c r="H1670" s="47" t="s">
        <v>2426</v>
      </c>
      <c r="I1670" s="47" t="s">
        <v>2427</v>
      </c>
      <c r="J1670" t="s">
        <v>253</v>
      </c>
      <c r="K1670">
        <v>1097</v>
      </c>
      <c r="L1670">
        <v>1751</v>
      </c>
      <c r="M1670" s="24">
        <v>1035</v>
      </c>
      <c r="N1670" s="24">
        <v>1725</v>
      </c>
      <c r="O1670" s="24">
        <v>1066</v>
      </c>
      <c r="P1670" s="24">
        <v>1851</v>
      </c>
      <c r="Q1670">
        <v>2044</v>
      </c>
      <c r="R1670">
        <v>2691</v>
      </c>
      <c r="S1670">
        <v>3048</v>
      </c>
      <c r="T1670">
        <v>3896</v>
      </c>
      <c r="U1670">
        <v>3048</v>
      </c>
      <c r="V1670">
        <v>3896</v>
      </c>
    </row>
    <row r="1671" spans="2:22" x14ac:dyDescent="0.35">
      <c r="B1671" s="46" t="s">
        <v>2431</v>
      </c>
      <c r="D1671" t="s">
        <v>2432</v>
      </c>
      <c r="E1671" t="s">
        <v>2433</v>
      </c>
      <c r="F1671" s="46" t="s">
        <v>2431</v>
      </c>
      <c r="G1671" t="s">
        <v>265</v>
      </c>
      <c r="H1671" s="47" t="s">
        <v>501</v>
      </c>
      <c r="I1671" s="47" t="s">
        <v>2434</v>
      </c>
      <c r="J1671" t="s">
        <v>2771</v>
      </c>
      <c r="K1671">
        <v>392</v>
      </c>
      <c r="L1671">
        <v>546</v>
      </c>
      <c r="M1671">
        <v>392</v>
      </c>
      <c r="N1671">
        <v>546</v>
      </c>
      <c r="O1671" s="24">
        <v>342</v>
      </c>
      <c r="P1671" s="24">
        <v>552</v>
      </c>
      <c r="Q1671">
        <v>325</v>
      </c>
      <c r="R1671">
        <v>577</v>
      </c>
      <c r="S1671">
        <v>406</v>
      </c>
      <c r="T1671">
        <v>683</v>
      </c>
      <c r="U1671">
        <v>406</v>
      </c>
      <c r="V1671">
        <v>683</v>
      </c>
    </row>
    <row r="1672" spans="2:22" x14ac:dyDescent="0.35">
      <c r="B1672" s="46" t="s">
        <v>2435</v>
      </c>
      <c r="D1672" t="s">
        <v>2432</v>
      </c>
      <c r="E1672" t="s">
        <v>2433</v>
      </c>
      <c r="F1672" s="46" t="s">
        <v>2435</v>
      </c>
      <c r="G1672" t="s">
        <v>235</v>
      </c>
      <c r="H1672" s="47" t="s">
        <v>419</v>
      </c>
      <c r="I1672" s="47" t="s">
        <v>2436</v>
      </c>
      <c r="J1672" t="s">
        <v>2772</v>
      </c>
      <c r="K1672">
        <v>1608</v>
      </c>
      <c r="L1672">
        <v>3172</v>
      </c>
      <c r="M1672">
        <v>1608</v>
      </c>
      <c r="N1672">
        <v>3172</v>
      </c>
      <c r="O1672" s="24">
        <v>1461</v>
      </c>
      <c r="P1672" s="24">
        <v>3221</v>
      </c>
      <c r="Q1672">
        <v>1257</v>
      </c>
      <c r="R1672">
        <v>3301</v>
      </c>
      <c r="S1672">
        <v>1809</v>
      </c>
      <c r="T1672">
        <v>4113</v>
      </c>
      <c r="U1672">
        <v>1809</v>
      </c>
      <c r="V1672">
        <v>4113</v>
      </c>
    </row>
    <row r="1673" spans="2:22" x14ac:dyDescent="0.35">
      <c r="B1673" s="46" t="s">
        <v>2437</v>
      </c>
      <c r="D1673" t="s">
        <v>2432</v>
      </c>
      <c r="E1673" t="s">
        <v>2433</v>
      </c>
      <c r="F1673" s="46" t="s">
        <v>2437</v>
      </c>
      <c r="G1673" t="s">
        <v>231</v>
      </c>
      <c r="H1673" s="47" t="s">
        <v>393</v>
      </c>
      <c r="I1673" s="47" t="s">
        <v>2438</v>
      </c>
      <c r="J1673" t="s">
        <v>2773</v>
      </c>
      <c r="K1673">
        <v>4426</v>
      </c>
      <c r="L1673">
        <v>8778</v>
      </c>
      <c r="M1673">
        <v>4426</v>
      </c>
      <c r="N1673">
        <v>8778</v>
      </c>
      <c r="O1673" s="24">
        <v>3895</v>
      </c>
      <c r="P1673" s="24">
        <v>9115</v>
      </c>
      <c r="Q1673">
        <v>3198</v>
      </c>
      <c r="R1673">
        <v>8996</v>
      </c>
      <c r="S1673">
        <v>3854</v>
      </c>
      <c r="T1673">
        <v>10401</v>
      </c>
      <c r="U1673">
        <v>3854</v>
      </c>
      <c r="V1673">
        <v>10401</v>
      </c>
    </row>
    <row r="1674" spans="2:22" x14ac:dyDescent="0.35">
      <c r="B1674" s="46" t="s">
        <v>2439</v>
      </c>
      <c r="D1674" t="s">
        <v>2432</v>
      </c>
      <c r="E1674" t="s">
        <v>2433</v>
      </c>
      <c r="F1674" s="46" t="s">
        <v>2439</v>
      </c>
      <c r="G1674" t="s">
        <v>265</v>
      </c>
      <c r="H1674" s="47" t="s">
        <v>501</v>
      </c>
      <c r="I1674" s="47" t="s">
        <v>2434</v>
      </c>
      <c r="J1674" t="s">
        <v>2774</v>
      </c>
      <c r="K1674">
        <v>629</v>
      </c>
      <c r="L1674">
        <v>937</v>
      </c>
      <c r="M1674">
        <v>629</v>
      </c>
      <c r="N1674">
        <v>937</v>
      </c>
      <c r="O1674" s="24">
        <v>543</v>
      </c>
      <c r="P1674" s="24">
        <v>913</v>
      </c>
      <c r="Q1674">
        <v>447</v>
      </c>
      <c r="R1674">
        <v>859</v>
      </c>
      <c r="S1674">
        <v>562</v>
      </c>
      <c r="T1674">
        <v>983</v>
      </c>
      <c r="U1674">
        <v>562</v>
      </c>
      <c r="V1674">
        <v>983</v>
      </c>
    </row>
    <row r="1675" spans="2:22" x14ac:dyDescent="0.35">
      <c r="B1675" s="46" t="s">
        <v>2440</v>
      </c>
      <c r="D1675" t="s">
        <v>2432</v>
      </c>
      <c r="E1675" t="s">
        <v>2433</v>
      </c>
      <c r="F1675" s="46" t="s">
        <v>2440</v>
      </c>
      <c r="G1675" t="s">
        <v>265</v>
      </c>
      <c r="H1675" s="47" t="s">
        <v>501</v>
      </c>
      <c r="I1675" s="47" t="s">
        <v>2434</v>
      </c>
      <c r="J1675" t="s">
        <v>2775</v>
      </c>
      <c r="K1675">
        <v>32</v>
      </c>
      <c r="L1675">
        <v>83</v>
      </c>
      <c r="M1675">
        <v>32</v>
      </c>
      <c r="N1675">
        <v>83</v>
      </c>
      <c r="O1675" s="24">
        <v>34</v>
      </c>
      <c r="P1675" s="24">
        <v>81</v>
      </c>
      <c r="Q1675">
        <v>30</v>
      </c>
      <c r="R1675">
        <v>78</v>
      </c>
      <c r="S1675">
        <v>41</v>
      </c>
      <c r="T1675">
        <v>87</v>
      </c>
      <c r="U1675">
        <v>41</v>
      </c>
      <c r="V1675">
        <v>87</v>
      </c>
    </row>
    <row r="1676" spans="2:22" x14ac:dyDescent="0.35">
      <c r="B1676" s="46" t="s">
        <v>2441</v>
      </c>
      <c r="D1676" t="s">
        <v>2432</v>
      </c>
      <c r="E1676" t="s">
        <v>2433</v>
      </c>
      <c r="F1676" s="46" t="s">
        <v>2441</v>
      </c>
      <c r="G1676" t="s">
        <v>239</v>
      </c>
      <c r="H1676" s="47" t="s">
        <v>450</v>
      </c>
      <c r="I1676" s="47" t="s">
        <v>2442</v>
      </c>
      <c r="J1676" t="s">
        <v>2776</v>
      </c>
      <c r="K1676">
        <v>8422</v>
      </c>
      <c r="L1676">
        <v>16494</v>
      </c>
      <c r="M1676">
        <v>8422</v>
      </c>
      <c r="N1676">
        <v>16494</v>
      </c>
      <c r="O1676" s="24">
        <v>7768</v>
      </c>
      <c r="P1676" s="24">
        <v>16978</v>
      </c>
      <c r="Q1676">
        <v>7523</v>
      </c>
      <c r="R1676">
        <v>17805</v>
      </c>
      <c r="S1676">
        <v>10027</v>
      </c>
      <c r="T1676">
        <v>21101</v>
      </c>
      <c r="U1676">
        <v>10027</v>
      </c>
      <c r="V1676">
        <v>21101</v>
      </c>
    </row>
    <row r="1677" spans="2:22" x14ac:dyDescent="0.35">
      <c r="B1677" s="46" t="s">
        <v>2443</v>
      </c>
      <c r="D1677" t="s">
        <v>2432</v>
      </c>
      <c r="E1677" t="s">
        <v>2433</v>
      </c>
      <c r="F1677" s="46" t="s">
        <v>2443</v>
      </c>
      <c r="G1677" t="s">
        <v>265</v>
      </c>
      <c r="H1677" s="47" t="s">
        <v>501</v>
      </c>
      <c r="I1677" s="47" t="s">
        <v>2434</v>
      </c>
      <c r="J1677" t="s">
        <v>2777</v>
      </c>
      <c r="K1677">
        <v>575</v>
      </c>
      <c r="L1677">
        <v>1065</v>
      </c>
      <c r="M1677">
        <v>575</v>
      </c>
      <c r="N1677">
        <v>1065</v>
      </c>
      <c r="O1677" s="24">
        <v>576</v>
      </c>
      <c r="P1677" s="24">
        <v>1075</v>
      </c>
      <c r="Q1677">
        <v>619</v>
      </c>
      <c r="R1677">
        <v>1241</v>
      </c>
      <c r="S1677">
        <v>705</v>
      </c>
      <c r="T1677">
        <v>1397</v>
      </c>
      <c r="U1677">
        <v>705</v>
      </c>
      <c r="V1677">
        <v>1397</v>
      </c>
    </row>
    <row r="1678" spans="2:22" x14ac:dyDescent="0.35">
      <c r="B1678" s="46" t="s">
        <v>2444</v>
      </c>
      <c r="D1678" t="s">
        <v>2432</v>
      </c>
      <c r="E1678" t="s">
        <v>2433</v>
      </c>
      <c r="F1678" s="46" t="s">
        <v>2444</v>
      </c>
      <c r="G1678" t="s">
        <v>265</v>
      </c>
      <c r="H1678" s="47" t="s">
        <v>501</v>
      </c>
      <c r="I1678" s="47" t="s">
        <v>2434</v>
      </c>
      <c r="J1678" t="s">
        <v>2778</v>
      </c>
      <c r="K1678">
        <v>270</v>
      </c>
      <c r="L1678">
        <v>413</v>
      </c>
      <c r="M1678">
        <v>270</v>
      </c>
      <c r="N1678">
        <v>413</v>
      </c>
      <c r="O1678" s="24">
        <v>248</v>
      </c>
      <c r="P1678" s="24">
        <v>429</v>
      </c>
      <c r="Q1678">
        <v>199</v>
      </c>
      <c r="R1678">
        <v>443</v>
      </c>
      <c r="S1678">
        <v>227</v>
      </c>
      <c r="T1678">
        <v>516</v>
      </c>
      <c r="U1678">
        <v>227</v>
      </c>
      <c r="V1678">
        <v>516</v>
      </c>
    </row>
    <row r="1679" spans="2:22" x14ac:dyDescent="0.35">
      <c r="B1679" s="46" t="s">
        <v>2445</v>
      </c>
      <c r="D1679" t="s">
        <v>2432</v>
      </c>
      <c r="E1679" t="s">
        <v>2433</v>
      </c>
      <c r="F1679" s="46" t="s">
        <v>2445</v>
      </c>
      <c r="G1679" t="s">
        <v>265</v>
      </c>
      <c r="H1679" s="47" t="s">
        <v>501</v>
      </c>
      <c r="I1679" s="47" t="s">
        <v>2434</v>
      </c>
      <c r="J1679" t="s">
        <v>2779</v>
      </c>
      <c r="K1679">
        <v>278</v>
      </c>
      <c r="L1679">
        <v>458</v>
      </c>
      <c r="M1679">
        <v>278</v>
      </c>
      <c r="N1679">
        <v>458</v>
      </c>
      <c r="O1679" s="24">
        <v>232</v>
      </c>
      <c r="P1679" s="24">
        <v>421</v>
      </c>
      <c r="Q1679">
        <v>228</v>
      </c>
      <c r="R1679">
        <v>417</v>
      </c>
      <c r="S1679">
        <v>298</v>
      </c>
      <c r="T1679">
        <v>508</v>
      </c>
      <c r="U1679">
        <v>298</v>
      </c>
      <c r="V1679">
        <v>508</v>
      </c>
    </row>
    <row r="1680" spans="2:22" x14ac:dyDescent="0.35">
      <c r="B1680" s="46" t="s">
        <v>2446</v>
      </c>
      <c r="D1680" t="s">
        <v>2432</v>
      </c>
      <c r="E1680" t="s">
        <v>2433</v>
      </c>
      <c r="F1680" s="46" t="s">
        <v>2446</v>
      </c>
      <c r="G1680" t="s">
        <v>265</v>
      </c>
      <c r="H1680" s="47" t="s">
        <v>501</v>
      </c>
      <c r="I1680" s="47" t="s">
        <v>2434</v>
      </c>
      <c r="J1680" t="s">
        <v>2780</v>
      </c>
      <c r="K1680">
        <v>595</v>
      </c>
      <c r="L1680">
        <v>1201</v>
      </c>
      <c r="M1680">
        <v>595</v>
      </c>
      <c r="N1680">
        <v>1201</v>
      </c>
      <c r="O1680" s="24">
        <v>475</v>
      </c>
      <c r="P1680" s="24">
        <v>1163</v>
      </c>
      <c r="Q1680">
        <v>404</v>
      </c>
      <c r="R1680">
        <v>1078</v>
      </c>
      <c r="S1680">
        <v>545</v>
      </c>
      <c r="T1680">
        <v>1292</v>
      </c>
      <c r="U1680">
        <v>545</v>
      </c>
      <c r="V1680">
        <v>1292</v>
      </c>
    </row>
    <row r="1681" spans="2:22" x14ac:dyDescent="0.35">
      <c r="B1681" s="46" t="s">
        <v>2447</v>
      </c>
      <c r="D1681" t="s">
        <v>2432</v>
      </c>
      <c r="E1681" t="s">
        <v>2433</v>
      </c>
      <c r="F1681" s="46" t="s">
        <v>2447</v>
      </c>
      <c r="G1681" t="s">
        <v>259</v>
      </c>
      <c r="H1681" s="47" t="s">
        <v>477</v>
      </c>
      <c r="I1681" s="47" t="s">
        <v>2448</v>
      </c>
      <c r="J1681" t="s">
        <v>2739</v>
      </c>
      <c r="K1681">
        <v>2114</v>
      </c>
      <c r="L1681">
        <v>3754</v>
      </c>
      <c r="M1681">
        <v>2114</v>
      </c>
      <c r="N1681">
        <v>3754</v>
      </c>
      <c r="O1681" s="24">
        <v>2015</v>
      </c>
      <c r="P1681" s="24">
        <v>3983</v>
      </c>
      <c r="Q1681">
        <v>1700</v>
      </c>
      <c r="R1681">
        <v>4046</v>
      </c>
      <c r="S1681">
        <v>2457</v>
      </c>
      <c r="T1681">
        <v>5113</v>
      </c>
      <c r="U1681">
        <v>2457</v>
      </c>
      <c r="V1681">
        <v>5113</v>
      </c>
    </row>
    <row r="1682" spans="2:22" x14ac:dyDescent="0.35">
      <c r="B1682" s="46" t="s">
        <v>2449</v>
      </c>
      <c r="D1682" t="s">
        <v>2432</v>
      </c>
      <c r="E1682" t="s">
        <v>2433</v>
      </c>
      <c r="F1682" s="46" t="s">
        <v>2449</v>
      </c>
      <c r="G1682" t="s">
        <v>265</v>
      </c>
      <c r="H1682" s="47" t="s">
        <v>501</v>
      </c>
      <c r="I1682" s="47" t="s">
        <v>2434</v>
      </c>
      <c r="J1682" t="s">
        <v>2781</v>
      </c>
      <c r="K1682">
        <v>659</v>
      </c>
      <c r="L1682">
        <v>1006</v>
      </c>
      <c r="M1682">
        <v>659</v>
      </c>
      <c r="N1682">
        <v>1006</v>
      </c>
      <c r="O1682" s="24">
        <v>684</v>
      </c>
      <c r="P1682" s="24">
        <v>1139</v>
      </c>
      <c r="Q1682">
        <v>717</v>
      </c>
      <c r="R1682">
        <v>1271</v>
      </c>
      <c r="S1682">
        <v>865</v>
      </c>
      <c r="T1682">
        <v>1497</v>
      </c>
      <c r="U1682">
        <v>865</v>
      </c>
      <c r="V1682">
        <v>1497</v>
      </c>
    </row>
    <row r="1683" spans="2:22" x14ac:dyDescent="0.35">
      <c r="B1683" s="46" t="s">
        <v>2450</v>
      </c>
      <c r="D1683" t="s">
        <v>2432</v>
      </c>
      <c r="E1683" t="s">
        <v>2433</v>
      </c>
      <c r="F1683" s="46" t="s">
        <v>2450</v>
      </c>
      <c r="G1683" t="s">
        <v>265</v>
      </c>
      <c r="H1683" s="47" t="s">
        <v>501</v>
      </c>
      <c r="I1683" s="47" t="s">
        <v>2434</v>
      </c>
      <c r="J1683" t="s">
        <v>2782</v>
      </c>
      <c r="K1683">
        <v>399</v>
      </c>
      <c r="L1683">
        <v>629</v>
      </c>
      <c r="M1683">
        <v>399</v>
      </c>
      <c r="N1683">
        <v>629</v>
      </c>
      <c r="O1683" s="24">
        <v>339</v>
      </c>
      <c r="P1683" s="24">
        <v>639</v>
      </c>
      <c r="Q1683">
        <v>320</v>
      </c>
      <c r="R1683">
        <v>736</v>
      </c>
      <c r="S1683">
        <v>436</v>
      </c>
      <c r="T1683">
        <v>951</v>
      </c>
      <c r="U1683">
        <v>436</v>
      </c>
      <c r="V1683">
        <v>951</v>
      </c>
    </row>
    <row r="1684" spans="2:22" x14ac:dyDescent="0.35">
      <c r="B1684" s="46" t="s">
        <v>2451</v>
      </c>
      <c r="D1684" t="s">
        <v>2432</v>
      </c>
      <c r="E1684" t="s">
        <v>2433</v>
      </c>
      <c r="F1684" s="46" t="s">
        <v>2451</v>
      </c>
      <c r="G1684" t="s">
        <v>265</v>
      </c>
      <c r="H1684" s="47" t="s">
        <v>501</v>
      </c>
      <c r="I1684" s="47" t="s">
        <v>2434</v>
      </c>
      <c r="J1684" t="s">
        <v>2783</v>
      </c>
      <c r="K1684">
        <v>515</v>
      </c>
      <c r="L1684">
        <v>745</v>
      </c>
      <c r="M1684">
        <v>515</v>
      </c>
      <c r="N1684">
        <v>745</v>
      </c>
      <c r="O1684" s="24">
        <v>479</v>
      </c>
      <c r="P1684" s="24">
        <v>806</v>
      </c>
      <c r="Q1684">
        <v>492</v>
      </c>
      <c r="R1684">
        <v>882</v>
      </c>
      <c r="S1684">
        <v>622</v>
      </c>
      <c r="T1684">
        <v>1044</v>
      </c>
      <c r="U1684">
        <v>622</v>
      </c>
      <c r="V1684">
        <v>1044</v>
      </c>
    </row>
    <row r="1685" spans="2:22" x14ac:dyDescent="0.35">
      <c r="B1685" s="46" t="s">
        <v>2452</v>
      </c>
      <c r="D1685" t="s">
        <v>2432</v>
      </c>
      <c r="E1685" t="s">
        <v>2433</v>
      </c>
      <c r="F1685" s="46" t="s">
        <v>2452</v>
      </c>
      <c r="G1685" t="s">
        <v>235</v>
      </c>
      <c r="H1685" s="47" t="s">
        <v>419</v>
      </c>
      <c r="I1685" s="47" t="s">
        <v>2436</v>
      </c>
      <c r="J1685" t="s">
        <v>263</v>
      </c>
      <c r="K1685">
        <v>317</v>
      </c>
      <c r="L1685">
        <v>726</v>
      </c>
      <c r="M1685">
        <v>317</v>
      </c>
      <c r="N1685">
        <v>726</v>
      </c>
      <c r="O1685" s="24">
        <v>213</v>
      </c>
      <c r="P1685" s="24">
        <v>725</v>
      </c>
      <c r="Q1685">
        <v>203</v>
      </c>
      <c r="R1685">
        <v>734</v>
      </c>
      <c r="S1685">
        <v>239</v>
      </c>
      <c r="T1685">
        <v>866</v>
      </c>
      <c r="U1685">
        <v>239</v>
      </c>
      <c r="V1685">
        <v>866</v>
      </c>
    </row>
    <row r="1686" spans="2:22" x14ac:dyDescent="0.35">
      <c r="B1686" s="46" t="s">
        <v>2453</v>
      </c>
      <c r="D1686" t="s">
        <v>2432</v>
      </c>
      <c r="E1686" t="s">
        <v>2433</v>
      </c>
      <c r="F1686" s="46" t="s">
        <v>2453</v>
      </c>
      <c r="G1686" t="s">
        <v>265</v>
      </c>
      <c r="H1686" s="47" t="s">
        <v>501</v>
      </c>
      <c r="I1686" s="47" t="s">
        <v>2434</v>
      </c>
      <c r="J1686" t="s">
        <v>2784</v>
      </c>
      <c r="K1686">
        <v>68</v>
      </c>
      <c r="L1686">
        <v>103</v>
      </c>
      <c r="M1686">
        <v>68</v>
      </c>
      <c r="N1686">
        <v>103</v>
      </c>
      <c r="O1686" s="24">
        <v>57</v>
      </c>
      <c r="P1686" s="24">
        <v>102</v>
      </c>
      <c r="Q1686">
        <v>51</v>
      </c>
      <c r="R1686">
        <v>101</v>
      </c>
      <c r="S1686">
        <v>63</v>
      </c>
      <c r="T1686">
        <v>119</v>
      </c>
      <c r="U1686">
        <v>63</v>
      </c>
      <c r="V1686">
        <v>119</v>
      </c>
    </row>
    <row r="1687" spans="2:22" x14ac:dyDescent="0.35">
      <c r="B1687" s="46" t="s">
        <v>2454</v>
      </c>
      <c r="D1687" t="s">
        <v>2432</v>
      </c>
      <c r="E1687" t="s">
        <v>2433</v>
      </c>
      <c r="F1687" s="46" t="s">
        <v>2454</v>
      </c>
      <c r="G1687" t="s">
        <v>231</v>
      </c>
      <c r="H1687" s="47" t="s">
        <v>393</v>
      </c>
      <c r="I1687" s="47" t="s">
        <v>2438</v>
      </c>
      <c r="J1687" t="s">
        <v>2785</v>
      </c>
      <c r="K1687">
        <v>157</v>
      </c>
      <c r="L1687">
        <v>257</v>
      </c>
      <c r="M1687">
        <v>157</v>
      </c>
      <c r="N1687">
        <v>257</v>
      </c>
      <c r="O1687" s="24">
        <v>169</v>
      </c>
      <c r="P1687" s="24">
        <v>290</v>
      </c>
      <c r="Q1687">
        <v>155</v>
      </c>
      <c r="R1687">
        <v>310</v>
      </c>
      <c r="S1687">
        <v>191</v>
      </c>
      <c r="T1687">
        <v>366</v>
      </c>
      <c r="U1687">
        <v>191</v>
      </c>
      <c r="V1687">
        <v>366</v>
      </c>
    </row>
    <row r="1688" spans="2:22" x14ac:dyDescent="0.35">
      <c r="B1688" s="46" t="s">
        <v>2455</v>
      </c>
      <c r="D1688" t="s">
        <v>2432</v>
      </c>
      <c r="E1688" t="s">
        <v>2433</v>
      </c>
      <c r="F1688" s="46" t="s">
        <v>2455</v>
      </c>
      <c r="G1688" t="s">
        <v>239</v>
      </c>
      <c r="H1688" s="47" t="s">
        <v>450</v>
      </c>
      <c r="I1688" s="47" t="s">
        <v>2442</v>
      </c>
      <c r="J1688" t="s">
        <v>2786</v>
      </c>
      <c r="K1688">
        <v>37720</v>
      </c>
      <c r="L1688">
        <v>65824</v>
      </c>
      <c r="M1688">
        <v>37720</v>
      </c>
      <c r="N1688">
        <v>65824</v>
      </c>
      <c r="O1688" s="24">
        <v>35333</v>
      </c>
      <c r="P1688" s="24">
        <v>66952</v>
      </c>
      <c r="Q1688">
        <v>33667</v>
      </c>
      <c r="R1688">
        <v>69082</v>
      </c>
      <c r="S1688">
        <v>46955</v>
      </c>
      <c r="T1688">
        <v>86543</v>
      </c>
      <c r="U1688">
        <v>46955</v>
      </c>
      <c r="V1688">
        <v>86543</v>
      </c>
    </row>
    <row r="1689" spans="2:22" x14ac:dyDescent="0.35">
      <c r="B1689" s="46" t="s">
        <v>2456</v>
      </c>
      <c r="D1689" t="s">
        <v>2432</v>
      </c>
      <c r="E1689" t="s">
        <v>2433</v>
      </c>
      <c r="F1689" s="46" t="s">
        <v>2456</v>
      </c>
      <c r="G1689" t="s">
        <v>265</v>
      </c>
      <c r="H1689" s="47" t="s">
        <v>501</v>
      </c>
      <c r="I1689" s="47" t="s">
        <v>2434</v>
      </c>
      <c r="J1689" t="s">
        <v>2787</v>
      </c>
      <c r="K1689">
        <v>188</v>
      </c>
      <c r="L1689">
        <v>355</v>
      </c>
      <c r="M1689">
        <v>188</v>
      </c>
      <c r="N1689">
        <v>355</v>
      </c>
      <c r="O1689" s="24">
        <v>150</v>
      </c>
      <c r="P1689" s="24">
        <v>355</v>
      </c>
      <c r="Q1689">
        <v>150</v>
      </c>
      <c r="R1689">
        <v>386</v>
      </c>
      <c r="S1689">
        <v>187</v>
      </c>
      <c r="T1689">
        <v>442</v>
      </c>
      <c r="U1689">
        <v>187</v>
      </c>
      <c r="V1689">
        <v>442</v>
      </c>
    </row>
    <row r="1690" spans="2:22" x14ac:dyDescent="0.35">
      <c r="B1690" s="46" t="s">
        <v>2457</v>
      </c>
      <c r="D1690" t="s">
        <v>2432</v>
      </c>
      <c r="E1690" t="s">
        <v>2433</v>
      </c>
      <c r="F1690" s="46" t="s">
        <v>2457</v>
      </c>
      <c r="G1690" t="s">
        <v>265</v>
      </c>
      <c r="H1690" s="47" t="s">
        <v>501</v>
      </c>
      <c r="I1690" s="47" t="s">
        <v>2434</v>
      </c>
      <c r="J1690" t="s">
        <v>2788</v>
      </c>
      <c r="K1690">
        <v>1419</v>
      </c>
      <c r="L1690">
        <v>2074</v>
      </c>
      <c r="M1690">
        <v>1419</v>
      </c>
      <c r="N1690">
        <v>2074</v>
      </c>
      <c r="O1690" s="24">
        <v>1340</v>
      </c>
      <c r="P1690" s="24">
        <v>2148</v>
      </c>
      <c r="Q1690">
        <v>1291</v>
      </c>
      <c r="R1690">
        <v>2228</v>
      </c>
      <c r="S1690">
        <v>1589</v>
      </c>
      <c r="T1690">
        <v>2762</v>
      </c>
      <c r="U1690">
        <v>1589</v>
      </c>
      <c r="V1690">
        <v>2762</v>
      </c>
    </row>
    <row r="1691" spans="2:22" x14ac:dyDescent="0.35">
      <c r="B1691" s="46" t="s">
        <v>2458</v>
      </c>
      <c r="D1691" t="s">
        <v>2432</v>
      </c>
      <c r="E1691" t="s">
        <v>2433</v>
      </c>
      <c r="F1691" s="46" t="s">
        <v>2458</v>
      </c>
      <c r="G1691" t="s">
        <v>265</v>
      </c>
      <c r="H1691" s="47" t="s">
        <v>501</v>
      </c>
      <c r="I1691" s="47" t="s">
        <v>2434</v>
      </c>
      <c r="J1691" t="s">
        <v>512</v>
      </c>
      <c r="K1691">
        <v>1012</v>
      </c>
      <c r="L1691">
        <v>1493</v>
      </c>
      <c r="M1691">
        <v>1012</v>
      </c>
      <c r="N1691">
        <v>1493</v>
      </c>
      <c r="O1691" s="24">
        <v>845</v>
      </c>
      <c r="P1691" s="24">
        <v>1577</v>
      </c>
      <c r="Q1691">
        <v>824</v>
      </c>
      <c r="R1691">
        <v>1618</v>
      </c>
      <c r="S1691">
        <v>998</v>
      </c>
      <c r="T1691">
        <v>1908</v>
      </c>
      <c r="U1691">
        <v>998</v>
      </c>
      <c r="V1691">
        <v>1908</v>
      </c>
    </row>
    <row r="1692" spans="2:22" x14ac:dyDescent="0.35">
      <c r="B1692" s="46" t="s">
        <v>2459</v>
      </c>
      <c r="D1692" t="s">
        <v>2432</v>
      </c>
      <c r="E1692" t="s">
        <v>2433</v>
      </c>
      <c r="F1692" s="46" t="s">
        <v>2459</v>
      </c>
      <c r="G1692" t="s">
        <v>239</v>
      </c>
      <c r="H1692" s="47" t="s">
        <v>450</v>
      </c>
      <c r="I1692" s="47" t="s">
        <v>2442</v>
      </c>
      <c r="J1692" t="s">
        <v>2789</v>
      </c>
      <c r="K1692">
        <v>1650</v>
      </c>
      <c r="L1692">
        <v>3906</v>
      </c>
      <c r="M1692">
        <v>1650</v>
      </c>
      <c r="N1692">
        <v>3906</v>
      </c>
      <c r="O1692" s="24">
        <v>1374</v>
      </c>
      <c r="P1692" s="24">
        <v>3803</v>
      </c>
      <c r="Q1692">
        <v>1242</v>
      </c>
      <c r="R1692">
        <v>3848</v>
      </c>
      <c r="S1692">
        <v>1745</v>
      </c>
      <c r="T1692">
        <v>4525</v>
      </c>
      <c r="U1692">
        <v>1745</v>
      </c>
      <c r="V1692">
        <v>4525</v>
      </c>
    </row>
    <row r="1693" spans="2:22" x14ac:dyDescent="0.35">
      <c r="B1693" s="46" t="s">
        <v>2460</v>
      </c>
      <c r="D1693" t="s">
        <v>2432</v>
      </c>
      <c r="E1693" t="s">
        <v>2433</v>
      </c>
      <c r="F1693" s="46" t="s">
        <v>2460</v>
      </c>
      <c r="G1693" t="s">
        <v>239</v>
      </c>
      <c r="H1693" s="47" t="s">
        <v>450</v>
      </c>
      <c r="I1693" s="47" t="s">
        <v>2442</v>
      </c>
      <c r="J1693" t="s">
        <v>2790</v>
      </c>
      <c r="K1693">
        <v>1435</v>
      </c>
      <c r="L1693">
        <v>2642</v>
      </c>
      <c r="M1693">
        <v>1435</v>
      </c>
      <c r="N1693">
        <v>2642</v>
      </c>
      <c r="O1693" s="24">
        <v>1341</v>
      </c>
      <c r="P1693" s="24">
        <v>2731</v>
      </c>
      <c r="Q1693">
        <v>1355</v>
      </c>
      <c r="R1693">
        <v>2882</v>
      </c>
      <c r="S1693">
        <v>2114</v>
      </c>
      <c r="T1693">
        <v>3940</v>
      </c>
      <c r="U1693">
        <v>2114</v>
      </c>
      <c r="V1693">
        <v>3940</v>
      </c>
    </row>
    <row r="1694" spans="2:22" x14ac:dyDescent="0.35">
      <c r="B1694" s="46" t="s">
        <v>2461</v>
      </c>
      <c r="D1694" t="s">
        <v>2432</v>
      </c>
      <c r="E1694" t="s">
        <v>2433</v>
      </c>
      <c r="F1694" s="46" t="s">
        <v>2461</v>
      </c>
      <c r="G1694" t="s">
        <v>265</v>
      </c>
      <c r="H1694" s="47" t="s">
        <v>501</v>
      </c>
      <c r="I1694" s="47" t="s">
        <v>2434</v>
      </c>
      <c r="J1694" t="s">
        <v>2791</v>
      </c>
      <c r="K1694">
        <v>748</v>
      </c>
      <c r="L1694">
        <v>1380</v>
      </c>
      <c r="M1694">
        <v>748</v>
      </c>
      <c r="N1694">
        <v>1380</v>
      </c>
      <c r="O1694" s="24">
        <v>652</v>
      </c>
      <c r="P1694" s="24">
        <v>1399</v>
      </c>
      <c r="Q1694">
        <v>609</v>
      </c>
      <c r="R1694">
        <v>1462</v>
      </c>
      <c r="S1694">
        <v>946</v>
      </c>
      <c r="T1694">
        <v>2118</v>
      </c>
      <c r="U1694">
        <v>946</v>
      </c>
      <c r="V1694">
        <v>2118</v>
      </c>
    </row>
    <row r="1695" spans="2:22" x14ac:dyDescent="0.35">
      <c r="B1695" s="46" t="s">
        <v>2462</v>
      </c>
      <c r="D1695" t="s">
        <v>2432</v>
      </c>
      <c r="E1695" t="s">
        <v>2433</v>
      </c>
      <c r="F1695" s="46" t="s">
        <v>2462</v>
      </c>
      <c r="G1695" t="s">
        <v>255</v>
      </c>
      <c r="H1695" s="47" t="s">
        <v>467</v>
      </c>
      <c r="I1695" s="47" t="s">
        <v>2463</v>
      </c>
      <c r="J1695" t="s">
        <v>2792</v>
      </c>
      <c r="K1695">
        <v>25675</v>
      </c>
      <c r="L1695">
        <v>46233</v>
      </c>
      <c r="M1695">
        <v>25675</v>
      </c>
      <c r="N1695">
        <v>46233</v>
      </c>
      <c r="O1695" s="24">
        <v>25378</v>
      </c>
      <c r="P1695" s="24">
        <v>48790</v>
      </c>
      <c r="Q1695">
        <v>25500</v>
      </c>
      <c r="R1695">
        <v>51851</v>
      </c>
      <c r="S1695">
        <v>35040</v>
      </c>
      <c r="T1695">
        <v>64767</v>
      </c>
      <c r="U1695">
        <v>35040</v>
      </c>
      <c r="V1695">
        <v>64767</v>
      </c>
    </row>
    <row r="1696" spans="2:22" x14ac:dyDescent="0.35">
      <c r="B1696" s="46" t="s">
        <v>2464</v>
      </c>
      <c r="D1696" t="s">
        <v>2432</v>
      </c>
      <c r="E1696" t="s">
        <v>2433</v>
      </c>
      <c r="F1696" s="46" t="s">
        <v>2464</v>
      </c>
      <c r="G1696" t="s">
        <v>239</v>
      </c>
      <c r="H1696" s="47" t="s">
        <v>450</v>
      </c>
      <c r="I1696" s="47" t="s">
        <v>2442</v>
      </c>
      <c r="J1696" t="s">
        <v>2793</v>
      </c>
      <c r="K1696">
        <v>1845</v>
      </c>
      <c r="L1696">
        <v>3546</v>
      </c>
      <c r="M1696">
        <v>1845</v>
      </c>
      <c r="N1696">
        <v>3546</v>
      </c>
      <c r="O1696" s="24">
        <v>1675</v>
      </c>
      <c r="P1696" s="24">
        <v>3497</v>
      </c>
      <c r="Q1696">
        <v>1548</v>
      </c>
      <c r="R1696">
        <v>3667</v>
      </c>
      <c r="S1696">
        <v>2018</v>
      </c>
      <c r="T1696">
        <v>4366</v>
      </c>
      <c r="U1696">
        <v>2018</v>
      </c>
      <c r="V1696">
        <v>4366</v>
      </c>
    </row>
    <row r="1697" spans="1:22" x14ac:dyDescent="0.35">
      <c r="B1697" s="46" t="s">
        <v>2465</v>
      </c>
      <c r="D1697" t="s">
        <v>2432</v>
      </c>
      <c r="E1697" t="s">
        <v>2433</v>
      </c>
      <c r="F1697" s="46" t="s">
        <v>2465</v>
      </c>
      <c r="G1697" t="s">
        <v>259</v>
      </c>
      <c r="H1697" s="47" t="s">
        <v>477</v>
      </c>
      <c r="I1697" s="47" t="s">
        <v>2448</v>
      </c>
      <c r="J1697" t="s">
        <v>385</v>
      </c>
      <c r="K1697">
        <v>8151</v>
      </c>
      <c r="L1697">
        <v>15196</v>
      </c>
      <c r="M1697">
        <v>8151</v>
      </c>
      <c r="N1697">
        <v>15196</v>
      </c>
      <c r="O1697" s="24">
        <v>7529</v>
      </c>
      <c r="P1697" s="24">
        <v>15902</v>
      </c>
      <c r="Q1697">
        <v>6916</v>
      </c>
      <c r="R1697">
        <v>16365</v>
      </c>
      <c r="S1697">
        <v>9800</v>
      </c>
      <c r="T1697">
        <v>20779</v>
      </c>
      <c r="U1697">
        <v>9800</v>
      </c>
      <c r="V1697">
        <v>20779</v>
      </c>
    </row>
    <row r="1698" spans="1:22" x14ac:dyDescent="0.35">
      <c r="B1698" s="46" t="s">
        <v>2466</v>
      </c>
      <c r="D1698" t="s">
        <v>2432</v>
      </c>
      <c r="E1698" t="s">
        <v>2433</v>
      </c>
      <c r="F1698" s="46" t="s">
        <v>2466</v>
      </c>
      <c r="G1698" t="s">
        <v>265</v>
      </c>
      <c r="H1698" s="47" t="s">
        <v>501</v>
      </c>
      <c r="I1698" s="47" t="s">
        <v>2434</v>
      </c>
      <c r="J1698" t="s">
        <v>894</v>
      </c>
      <c r="K1698">
        <v>223</v>
      </c>
      <c r="L1698">
        <v>289</v>
      </c>
      <c r="M1698">
        <v>223</v>
      </c>
      <c r="N1698">
        <v>289</v>
      </c>
      <c r="O1698" s="24">
        <v>181</v>
      </c>
      <c r="P1698" s="24">
        <v>280</v>
      </c>
      <c r="Q1698">
        <v>192</v>
      </c>
      <c r="R1698">
        <v>306</v>
      </c>
      <c r="S1698">
        <v>218</v>
      </c>
      <c r="T1698">
        <v>343</v>
      </c>
      <c r="U1698">
        <v>218</v>
      </c>
      <c r="V1698">
        <v>343</v>
      </c>
    </row>
    <row r="1699" spans="1:22" x14ac:dyDescent="0.35">
      <c r="B1699" s="46" t="s">
        <v>2467</v>
      </c>
      <c r="D1699" t="s">
        <v>2432</v>
      </c>
      <c r="E1699" t="s">
        <v>2433</v>
      </c>
      <c r="F1699" s="46" t="s">
        <v>2467</v>
      </c>
      <c r="G1699" t="s">
        <v>235</v>
      </c>
      <c r="H1699" s="47" t="s">
        <v>419</v>
      </c>
      <c r="I1699" s="47" t="s">
        <v>2436</v>
      </c>
      <c r="J1699" t="s">
        <v>2794</v>
      </c>
      <c r="K1699">
        <v>6015</v>
      </c>
      <c r="L1699">
        <v>11265</v>
      </c>
      <c r="M1699">
        <v>6015</v>
      </c>
      <c r="N1699">
        <v>11265</v>
      </c>
      <c r="O1699" s="24">
        <v>5257</v>
      </c>
      <c r="P1699" s="24">
        <v>11195</v>
      </c>
      <c r="Q1699">
        <v>4613</v>
      </c>
      <c r="R1699">
        <v>11341</v>
      </c>
      <c r="S1699">
        <v>6167</v>
      </c>
      <c r="T1699">
        <v>13402</v>
      </c>
      <c r="U1699">
        <v>6167</v>
      </c>
      <c r="V1699">
        <v>13402</v>
      </c>
    </row>
    <row r="1700" spans="1:22" x14ac:dyDescent="0.35">
      <c r="A1700" t="str">
        <f>HIX_RatingAreas8[[#This Row],[Subdivision]]&amp;" County"</f>
        <v>Barbour County County</v>
      </c>
      <c r="B1700" s="46" t="s">
        <v>2468</v>
      </c>
      <c r="D1700" t="s">
        <v>2469</v>
      </c>
      <c r="E1700" t="s">
        <v>2470</v>
      </c>
      <c r="F1700" s="46" t="s">
        <v>2468</v>
      </c>
      <c r="G1700" t="s">
        <v>283</v>
      </c>
      <c r="H1700" s="47" t="s">
        <v>1366</v>
      </c>
      <c r="I1700" s="47" t="s">
        <v>2471</v>
      </c>
      <c r="J1700" t="s">
        <v>315</v>
      </c>
      <c r="K1700">
        <v>110</v>
      </c>
      <c r="L1700">
        <v>178</v>
      </c>
      <c r="M1700">
        <v>110</v>
      </c>
      <c r="N1700">
        <v>178</v>
      </c>
      <c r="O1700" s="24">
        <v>88</v>
      </c>
      <c r="P1700" s="24">
        <v>146</v>
      </c>
      <c r="Q1700">
        <v>94</v>
      </c>
      <c r="R1700">
        <v>149</v>
      </c>
      <c r="S1700">
        <v>80</v>
      </c>
      <c r="T1700">
        <v>180</v>
      </c>
      <c r="U1700">
        <v>80</v>
      </c>
      <c r="V1700">
        <v>180</v>
      </c>
    </row>
    <row r="1701" spans="1:22" x14ac:dyDescent="0.35">
      <c r="A1701" t="str">
        <f>HIX_RatingAreas8[[#This Row],[Subdivision]]&amp;" County"</f>
        <v>Berkeley County County</v>
      </c>
      <c r="B1701" s="46" t="s">
        <v>2472</v>
      </c>
      <c r="D1701" t="s">
        <v>2469</v>
      </c>
      <c r="E1701" t="s">
        <v>2470</v>
      </c>
      <c r="F1701" s="46" t="s">
        <v>2472</v>
      </c>
      <c r="G1701" t="s">
        <v>265</v>
      </c>
      <c r="H1701" s="47" t="s">
        <v>501</v>
      </c>
      <c r="I1701" s="47" t="s">
        <v>2473</v>
      </c>
      <c r="J1701" t="s">
        <v>1685</v>
      </c>
      <c r="K1701">
        <v>1198</v>
      </c>
      <c r="L1701">
        <v>1729</v>
      </c>
      <c r="M1701">
        <v>1198</v>
      </c>
      <c r="N1701">
        <v>1729</v>
      </c>
      <c r="O1701" s="24">
        <v>1115</v>
      </c>
      <c r="P1701" s="24">
        <v>1707</v>
      </c>
      <c r="Q1701">
        <v>996</v>
      </c>
      <c r="R1701">
        <v>1714</v>
      </c>
      <c r="S1701">
        <v>880</v>
      </c>
      <c r="T1701">
        <v>2133</v>
      </c>
      <c r="U1701">
        <v>880</v>
      </c>
      <c r="V1701">
        <v>2133</v>
      </c>
    </row>
    <row r="1702" spans="1:22" x14ac:dyDescent="0.35">
      <c r="A1702" t="str">
        <f>HIX_RatingAreas8[[#This Row],[Subdivision]]&amp;" County"</f>
        <v>Boone County County</v>
      </c>
      <c r="B1702" s="46" t="s">
        <v>2474</v>
      </c>
      <c r="D1702" t="s">
        <v>2469</v>
      </c>
      <c r="E1702" t="s">
        <v>2470</v>
      </c>
      <c r="F1702" s="46" t="s">
        <v>2474</v>
      </c>
      <c r="G1702" t="s">
        <v>239</v>
      </c>
      <c r="H1702" s="47" t="s">
        <v>450</v>
      </c>
      <c r="I1702" s="47" t="s">
        <v>2475</v>
      </c>
      <c r="J1702" t="s">
        <v>459</v>
      </c>
      <c r="K1702">
        <v>75</v>
      </c>
      <c r="L1702">
        <v>126</v>
      </c>
      <c r="M1702">
        <v>75</v>
      </c>
      <c r="N1702">
        <v>126</v>
      </c>
      <c r="O1702" s="24">
        <v>75</v>
      </c>
      <c r="P1702" s="24">
        <v>108</v>
      </c>
      <c r="Q1702">
        <v>65</v>
      </c>
      <c r="R1702">
        <v>112</v>
      </c>
      <c r="S1702">
        <v>64</v>
      </c>
      <c r="T1702">
        <v>144</v>
      </c>
      <c r="U1702">
        <v>64</v>
      </c>
      <c r="V1702">
        <v>144</v>
      </c>
    </row>
    <row r="1703" spans="1:22" x14ac:dyDescent="0.35">
      <c r="A1703" t="str">
        <f>HIX_RatingAreas8[[#This Row],[Subdivision]]&amp;" County"</f>
        <v>Braxton County County</v>
      </c>
      <c r="B1703" s="46" t="s">
        <v>2476</v>
      </c>
      <c r="D1703" t="s">
        <v>2469</v>
      </c>
      <c r="E1703" t="s">
        <v>2470</v>
      </c>
      <c r="F1703" s="46" t="s">
        <v>2476</v>
      </c>
      <c r="G1703" t="s">
        <v>231</v>
      </c>
      <c r="H1703" s="47" t="s">
        <v>393</v>
      </c>
      <c r="I1703" s="47" t="s">
        <v>2477</v>
      </c>
      <c r="J1703" t="s">
        <v>2795</v>
      </c>
      <c r="K1703">
        <v>144</v>
      </c>
      <c r="L1703">
        <v>193</v>
      </c>
      <c r="M1703">
        <v>144</v>
      </c>
      <c r="N1703">
        <v>193</v>
      </c>
      <c r="O1703" s="24">
        <v>106</v>
      </c>
      <c r="P1703" s="24">
        <v>171</v>
      </c>
      <c r="Q1703">
        <v>92</v>
      </c>
      <c r="R1703">
        <v>144</v>
      </c>
      <c r="S1703">
        <v>72</v>
      </c>
      <c r="T1703">
        <v>149</v>
      </c>
      <c r="U1703">
        <v>72</v>
      </c>
      <c r="V1703">
        <v>149</v>
      </c>
    </row>
    <row r="1704" spans="1:22" x14ac:dyDescent="0.35">
      <c r="A1704" t="str">
        <f>HIX_RatingAreas8[[#This Row],[Subdivision]]&amp;" County"</f>
        <v>Brooke County County</v>
      </c>
      <c r="B1704" s="46" t="s">
        <v>2478</v>
      </c>
      <c r="D1704" t="s">
        <v>2469</v>
      </c>
      <c r="E1704" t="s">
        <v>2470</v>
      </c>
      <c r="F1704" s="46" t="s">
        <v>2478</v>
      </c>
      <c r="G1704" t="s">
        <v>293</v>
      </c>
      <c r="H1704" s="47" t="s">
        <v>2128</v>
      </c>
      <c r="I1704" s="47" t="s">
        <v>2479</v>
      </c>
      <c r="J1704" t="s">
        <v>2796</v>
      </c>
      <c r="K1704">
        <v>178</v>
      </c>
      <c r="L1704">
        <v>248</v>
      </c>
      <c r="M1704">
        <v>178</v>
      </c>
      <c r="N1704">
        <v>248</v>
      </c>
      <c r="O1704" s="24">
        <v>138</v>
      </c>
      <c r="P1704" s="24">
        <v>207</v>
      </c>
      <c r="Q1704">
        <v>121</v>
      </c>
      <c r="R1704">
        <v>201</v>
      </c>
      <c r="S1704">
        <v>139</v>
      </c>
      <c r="T1704">
        <v>262</v>
      </c>
      <c r="U1704">
        <v>139</v>
      </c>
      <c r="V1704">
        <v>262</v>
      </c>
    </row>
    <row r="1705" spans="1:22" x14ac:dyDescent="0.35">
      <c r="A1705" t="str">
        <f>HIX_RatingAreas8[[#This Row],[Subdivision]]&amp;" County"</f>
        <v>Cabell County County</v>
      </c>
      <c r="B1705" s="51" t="s">
        <v>2480</v>
      </c>
      <c r="D1705" t="s">
        <v>2469</v>
      </c>
      <c r="E1705" t="s">
        <v>2470</v>
      </c>
      <c r="F1705" s="46" t="s">
        <v>2480</v>
      </c>
      <c r="G1705" t="s">
        <v>259</v>
      </c>
      <c r="H1705" s="47" t="s">
        <v>477</v>
      </c>
      <c r="I1705" s="47" t="s">
        <v>2481</v>
      </c>
      <c r="J1705" t="s">
        <v>2797</v>
      </c>
      <c r="K1705">
        <v>681</v>
      </c>
      <c r="L1705">
        <v>1044</v>
      </c>
      <c r="M1705">
        <v>681</v>
      </c>
      <c r="N1705">
        <v>1044</v>
      </c>
      <c r="O1705" s="24">
        <v>563</v>
      </c>
      <c r="P1705" s="24">
        <v>901</v>
      </c>
      <c r="Q1705">
        <v>533</v>
      </c>
      <c r="R1705">
        <v>897</v>
      </c>
      <c r="S1705">
        <v>523</v>
      </c>
      <c r="T1705">
        <v>1128</v>
      </c>
      <c r="U1705">
        <v>523</v>
      </c>
      <c r="V1705">
        <v>1128</v>
      </c>
    </row>
    <row r="1706" spans="1:22" x14ac:dyDescent="0.35">
      <c r="A1706" t="str">
        <f>HIX_RatingAreas8[[#This Row],[Subdivision]]&amp;" County"</f>
        <v>Calhoun County County</v>
      </c>
      <c r="B1706" s="51" t="s">
        <v>2482</v>
      </c>
      <c r="D1706" t="s">
        <v>2469</v>
      </c>
      <c r="E1706" t="s">
        <v>2470</v>
      </c>
      <c r="F1706" s="46" t="s">
        <v>2482</v>
      </c>
      <c r="G1706" t="s">
        <v>231</v>
      </c>
      <c r="H1706" s="47" t="s">
        <v>393</v>
      </c>
      <c r="I1706" s="47" t="s">
        <v>2477</v>
      </c>
      <c r="J1706" t="s">
        <v>233</v>
      </c>
      <c r="K1706">
        <v>67</v>
      </c>
      <c r="L1706">
        <v>85</v>
      </c>
      <c r="M1706">
        <v>67</v>
      </c>
      <c r="N1706">
        <v>85</v>
      </c>
      <c r="O1706" s="24">
        <v>49</v>
      </c>
      <c r="P1706" s="24">
        <v>66</v>
      </c>
      <c r="Q1706">
        <v>39</v>
      </c>
      <c r="R1706">
        <v>54</v>
      </c>
      <c r="S1706">
        <v>48</v>
      </c>
      <c r="T1706">
        <v>67</v>
      </c>
      <c r="U1706">
        <v>48</v>
      </c>
      <c r="V1706">
        <v>67</v>
      </c>
    </row>
    <row r="1707" spans="1:22" x14ac:dyDescent="0.35">
      <c r="A1707" t="str">
        <f>HIX_RatingAreas8[[#This Row],[Subdivision]]&amp;" County"</f>
        <v>Clay County County</v>
      </c>
      <c r="B1707" s="51" t="s">
        <v>2483</v>
      </c>
      <c r="D1707" t="s">
        <v>2469</v>
      </c>
      <c r="E1707" t="s">
        <v>2470</v>
      </c>
      <c r="F1707" s="46" t="s">
        <v>2483</v>
      </c>
      <c r="G1707" t="s">
        <v>231</v>
      </c>
      <c r="H1707" s="47" t="s">
        <v>393</v>
      </c>
      <c r="I1707" s="47" t="s">
        <v>2477</v>
      </c>
      <c r="J1707" t="s">
        <v>329</v>
      </c>
      <c r="K1707">
        <v>41</v>
      </c>
      <c r="L1707">
        <v>77</v>
      </c>
      <c r="M1707">
        <v>41</v>
      </c>
      <c r="N1707">
        <v>77</v>
      </c>
      <c r="O1707" s="24">
        <v>29</v>
      </c>
      <c r="P1707" s="24">
        <v>52</v>
      </c>
      <c r="Q1707">
        <v>35</v>
      </c>
      <c r="R1707">
        <v>52</v>
      </c>
      <c r="S1707">
        <v>37</v>
      </c>
      <c r="T1707">
        <v>67</v>
      </c>
      <c r="U1707">
        <v>37</v>
      </c>
      <c r="V1707">
        <v>67</v>
      </c>
    </row>
    <row r="1708" spans="1:22" x14ac:dyDescent="0.35">
      <c r="A1708" t="str">
        <f>HIX_RatingAreas8[[#This Row],[Subdivision]]&amp;" County"</f>
        <v>Doddridge County County</v>
      </c>
      <c r="B1708" s="51" t="s">
        <v>2484</v>
      </c>
      <c r="D1708" t="s">
        <v>2469</v>
      </c>
      <c r="E1708" t="s">
        <v>2470</v>
      </c>
      <c r="F1708" s="46" t="s">
        <v>2484</v>
      </c>
      <c r="G1708" t="s">
        <v>279</v>
      </c>
      <c r="H1708" s="47" t="s">
        <v>1347</v>
      </c>
      <c r="I1708" s="47" t="s">
        <v>2485</v>
      </c>
      <c r="J1708" t="s">
        <v>2798</v>
      </c>
      <c r="K1708">
        <v>32</v>
      </c>
      <c r="L1708">
        <v>56</v>
      </c>
      <c r="M1708">
        <v>32</v>
      </c>
      <c r="N1708">
        <v>56</v>
      </c>
      <c r="O1708" s="24">
        <v>23</v>
      </c>
      <c r="P1708" s="24">
        <v>39</v>
      </c>
      <c r="Q1708">
        <v>30</v>
      </c>
      <c r="R1708">
        <v>47</v>
      </c>
      <c r="S1708">
        <v>30</v>
      </c>
      <c r="T1708">
        <v>71</v>
      </c>
      <c r="U1708">
        <v>30</v>
      </c>
      <c r="V1708">
        <v>71</v>
      </c>
    </row>
    <row r="1709" spans="1:22" x14ac:dyDescent="0.35">
      <c r="A1709" t="str">
        <f>HIX_RatingAreas8[[#This Row],[Subdivision]]&amp;" County"</f>
        <v>Fayette County County</v>
      </c>
      <c r="B1709" s="51" t="s">
        <v>2486</v>
      </c>
      <c r="D1709" t="s">
        <v>2469</v>
      </c>
      <c r="E1709" t="s">
        <v>2470</v>
      </c>
      <c r="F1709" s="46" t="s">
        <v>2486</v>
      </c>
      <c r="G1709" t="s">
        <v>231</v>
      </c>
      <c r="H1709" s="47" t="s">
        <v>393</v>
      </c>
      <c r="I1709" s="47" t="s">
        <v>2477</v>
      </c>
      <c r="J1709" t="s">
        <v>353</v>
      </c>
      <c r="K1709">
        <v>271</v>
      </c>
      <c r="L1709">
        <v>452</v>
      </c>
      <c r="M1709">
        <v>271</v>
      </c>
      <c r="N1709">
        <v>452</v>
      </c>
      <c r="O1709" s="24">
        <v>234</v>
      </c>
      <c r="P1709" s="24">
        <v>392</v>
      </c>
      <c r="Q1709">
        <v>218</v>
      </c>
      <c r="R1709">
        <v>367</v>
      </c>
      <c r="S1709">
        <v>229</v>
      </c>
      <c r="T1709">
        <v>456</v>
      </c>
      <c r="U1709">
        <v>229</v>
      </c>
      <c r="V1709">
        <v>456</v>
      </c>
    </row>
    <row r="1710" spans="1:22" x14ac:dyDescent="0.35">
      <c r="A1710" t="str">
        <f>HIX_RatingAreas8[[#This Row],[Subdivision]]&amp;" County"</f>
        <v>Gilmer County County</v>
      </c>
      <c r="B1710" s="51" t="s">
        <v>2487</v>
      </c>
      <c r="D1710" t="s">
        <v>2469</v>
      </c>
      <c r="E1710" t="s">
        <v>2470</v>
      </c>
      <c r="F1710" s="46" t="s">
        <v>2487</v>
      </c>
      <c r="G1710" t="s">
        <v>279</v>
      </c>
      <c r="H1710" s="47" t="s">
        <v>1347</v>
      </c>
      <c r="I1710" s="47" t="s">
        <v>2485</v>
      </c>
      <c r="J1710" t="s">
        <v>998</v>
      </c>
      <c r="K1710">
        <v>49</v>
      </c>
      <c r="L1710">
        <v>63</v>
      </c>
      <c r="M1710">
        <v>49</v>
      </c>
      <c r="N1710">
        <v>63</v>
      </c>
      <c r="O1710" s="24">
        <v>49</v>
      </c>
      <c r="P1710" s="24">
        <v>63</v>
      </c>
      <c r="Q1710">
        <v>39</v>
      </c>
      <c r="R1710">
        <v>56</v>
      </c>
      <c r="S1710">
        <v>35</v>
      </c>
      <c r="T1710">
        <v>76</v>
      </c>
      <c r="U1710">
        <v>35</v>
      </c>
      <c r="V1710">
        <v>76</v>
      </c>
    </row>
    <row r="1711" spans="1:22" x14ac:dyDescent="0.35">
      <c r="A1711" t="str">
        <f>HIX_RatingAreas8[[#This Row],[Subdivision]]&amp;" County"</f>
        <v>Grant County County</v>
      </c>
      <c r="B1711" s="51" t="s">
        <v>2488</v>
      </c>
      <c r="D1711" t="s">
        <v>2469</v>
      </c>
      <c r="E1711" t="s">
        <v>2470</v>
      </c>
      <c r="F1711" s="46" t="s">
        <v>2488</v>
      </c>
      <c r="G1711" t="s">
        <v>273</v>
      </c>
      <c r="H1711" s="47" t="s">
        <v>524</v>
      </c>
      <c r="I1711" s="47" t="s">
        <v>2489</v>
      </c>
      <c r="J1711" t="s">
        <v>413</v>
      </c>
      <c r="K1711">
        <v>107</v>
      </c>
      <c r="L1711">
        <v>159</v>
      </c>
      <c r="M1711">
        <v>107</v>
      </c>
      <c r="N1711">
        <v>159</v>
      </c>
      <c r="O1711" s="24">
        <v>70</v>
      </c>
      <c r="P1711" s="24">
        <v>133</v>
      </c>
      <c r="Q1711">
        <v>57</v>
      </c>
      <c r="R1711">
        <v>114</v>
      </c>
      <c r="S1711">
        <v>51</v>
      </c>
      <c r="T1711">
        <v>139</v>
      </c>
      <c r="U1711">
        <v>51</v>
      </c>
      <c r="V1711">
        <v>139</v>
      </c>
    </row>
    <row r="1712" spans="1:22" x14ac:dyDescent="0.35">
      <c r="A1712" t="str">
        <f>HIX_RatingAreas8[[#This Row],[Subdivision]]&amp;" County"</f>
        <v>Greenbrier County County</v>
      </c>
      <c r="B1712" s="51" t="s">
        <v>2490</v>
      </c>
      <c r="D1712" t="s">
        <v>2469</v>
      </c>
      <c r="E1712" t="s">
        <v>2470</v>
      </c>
      <c r="F1712" s="46" t="s">
        <v>2490</v>
      </c>
      <c r="G1712" t="s">
        <v>231</v>
      </c>
      <c r="H1712" s="47" t="s">
        <v>393</v>
      </c>
      <c r="I1712" s="47" t="s">
        <v>2477</v>
      </c>
      <c r="J1712" t="s">
        <v>2799</v>
      </c>
      <c r="K1712">
        <v>548</v>
      </c>
      <c r="L1712">
        <v>812</v>
      </c>
      <c r="M1712">
        <v>548</v>
      </c>
      <c r="N1712">
        <v>812</v>
      </c>
      <c r="O1712" s="24">
        <v>491</v>
      </c>
      <c r="P1712" s="24">
        <v>760</v>
      </c>
      <c r="Q1712">
        <v>474</v>
      </c>
      <c r="R1712">
        <v>761</v>
      </c>
      <c r="S1712">
        <v>379</v>
      </c>
      <c r="T1712">
        <v>778</v>
      </c>
      <c r="U1712">
        <v>379</v>
      </c>
      <c r="V1712">
        <v>778</v>
      </c>
    </row>
    <row r="1713" spans="1:22" x14ac:dyDescent="0.35">
      <c r="A1713" t="str">
        <f>HIX_RatingAreas8[[#This Row],[Subdivision]]&amp;" County"</f>
        <v>Hampshire County County</v>
      </c>
      <c r="B1713" s="51" t="s">
        <v>2491</v>
      </c>
      <c r="D1713" t="s">
        <v>2469</v>
      </c>
      <c r="E1713" t="s">
        <v>2470</v>
      </c>
      <c r="F1713" s="46" t="s">
        <v>2491</v>
      </c>
      <c r="G1713" t="s">
        <v>273</v>
      </c>
      <c r="H1713" s="47" t="s">
        <v>524</v>
      </c>
      <c r="I1713" s="47" t="s">
        <v>2489</v>
      </c>
      <c r="J1713" t="s">
        <v>2800</v>
      </c>
      <c r="K1713">
        <v>268</v>
      </c>
      <c r="L1713">
        <v>383</v>
      </c>
      <c r="M1713">
        <v>268</v>
      </c>
      <c r="N1713">
        <v>383</v>
      </c>
      <c r="O1713" s="24">
        <v>241</v>
      </c>
      <c r="P1713" s="24">
        <v>342</v>
      </c>
      <c r="Q1713">
        <v>195</v>
      </c>
      <c r="R1713">
        <v>319</v>
      </c>
      <c r="S1713">
        <v>138</v>
      </c>
      <c r="T1713">
        <v>348</v>
      </c>
      <c r="U1713">
        <v>138</v>
      </c>
      <c r="V1713">
        <v>348</v>
      </c>
    </row>
    <row r="1714" spans="1:22" x14ac:dyDescent="0.35">
      <c r="A1714" t="str">
        <f>HIX_RatingAreas8[[#This Row],[Subdivision]]&amp;" County"</f>
        <v>Hancock County County</v>
      </c>
      <c r="B1714" s="51" t="s">
        <v>2492</v>
      </c>
      <c r="D1714" t="s">
        <v>2469</v>
      </c>
      <c r="E1714" t="s">
        <v>2470</v>
      </c>
      <c r="F1714" s="46" t="s">
        <v>2492</v>
      </c>
      <c r="G1714" t="s">
        <v>293</v>
      </c>
      <c r="H1714" s="47" t="s">
        <v>2128</v>
      </c>
      <c r="I1714" s="47" t="s">
        <v>2479</v>
      </c>
      <c r="J1714" t="s">
        <v>1062</v>
      </c>
      <c r="K1714">
        <v>249</v>
      </c>
      <c r="L1714">
        <v>377</v>
      </c>
      <c r="M1714">
        <v>249</v>
      </c>
      <c r="N1714">
        <v>377</v>
      </c>
      <c r="O1714" s="24">
        <v>210</v>
      </c>
      <c r="P1714" s="24">
        <v>318</v>
      </c>
      <c r="Q1714">
        <v>209</v>
      </c>
      <c r="R1714">
        <v>323</v>
      </c>
      <c r="S1714">
        <v>233</v>
      </c>
      <c r="T1714">
        <v>424</v>
      </c>
      <c r="U1714">
        <v>233</v>
      </c>
      <c r="V1714">
        <v>424</v>
      </c>
    </row>
    <row r="1715" spans="1:22" x14ac:dyDescent="0.35">
      <c r="A1715" t="str">
        <f>HIX_RatingAreas8[[#This Row],[Subdivision]]&amp;" County"</f>
        <v>Hardy County County</v>
      </c>
      <c r="B1715" s="51" t="s">
        <v>2493</v>
      </c>
      <c r="D1715" t="s">
        <v>2469</v>
      </c>
      <c r="E1715" t="s">
        <v>2470</v>
      </c>
      <c r="F1715" s="46" t="s">
        <v>2493</v>
      </c>
      <c r="G1715" t="s">
        <v>273</v>
      </c>
      <c r="H1715" s="47" t="s">
        <v>524</v>
      </c>
      <c r="I1715" s="47" t="s">
        <v>2489</v>
      </c>
      <c r="J1715" t="s">
        <v>2801</v>
      </c>
      <c r="K1715">
        <v>210</v>
      </c>
      <c r="L1715">
        <v>275</v>
      </c>
      <c r="M1715">
        <v>210</v>
      </c>
      <c r="N1715">
        <v>275</v>
      </c>
      <c r="O1715" s="24">
        <v>199</v>
      </c>
      <c r="P1715" s="24">
        <v>250</v>
      </c>
      <c r="Q1715">
        <v>200</v>
      </c>
      <c r="R1715">
        <v>269</v>
      </c>
      <c r="S1715">
        <v>141</v>
      </c>
      <c r="T1715">
        <v>257</v>
      </c>
      <c r="U1715">
        <v>141</v>
      </c>
      <c r="V1715">
        <v>257</v>
      </c>
    </row>
    <row r="1716" spans="1:22" x14ac:dyDescent="0.35">
      <c r="A1716" t="str">
        <f>HIX_RatingAreas8[[#This Row],[Subdivision]]&amp;" County"</f>
        <v>Harrison County County</v>
      </c>
      <c r="B1716" s="51" t="s">
        <v>2494</v>
      </c>
      <c r="D1716" t="s">
        <v>2469</v>
      </c>
      <c r="E1716" t="s">
        <v>2470</v>
      </c>
      <c r="F1716" s="46" t="s">
        <v>2494</v>
      </c>
      <c r="G1716" t="s">
        <v>283</v>
      </c>
      <c r="H1716" s="47" t="s">
        <v>1366</v>
      </c>
      <c r="I1716" s="47" t="s">
        <v>2471</v>
      </c>
      <c r="J1716" t="s">
        <v>1250</v>
      </c>
      <c r="K1716">
        <v>479</v>
      </c>
      <c r="L1716">
        <v>858</v>
      </c>
      <c r="M1716">
        <v>479</v>
      </c>
      <c r="N1716">
        <v>858</v>
      </c>
      <c r="O1716" s="24">
        <v>397</v>
      </c>
      <c r="P1716" s="24">
        <v>734</v>
      </c>
      <c r="Q1716">
        <v>386</v>
      </c>
      <c r="R1716">
        <v>717</v>
      </c>
      <c r="S1716">
        <v>352</v>
      </c>
      <c r="T1716">
        <v>862</v>
      </c>
      <c r="U1716">
        <v>352</v>
      </c>
      <c r="V1716">
        <v>862</v>
      </c>
    </row>
    <row r="1717" spans="1:22" x14ac:dyDescent="0.35">
      <c r="A1717" t="str">
        <f>HIX_RatingAreas8[[#This Row],[Subdivision]]&amp;" County"</f>
        <v>Jackson County County</v>
      </c>
      <c r="B1717" s="51" t="s">
        <v>2495</v>
      </c>
      <c r="D1717" t="s">
        <v>2469</v>
      </c>
      <c r="E1717" t="s">
        <v>2470</v>
      </c>
      <c r="F1717" s="46" t="s">
        <v>2495</v>
      </c>
      <c r="G1717" t="s">
        <v>289</v>
      </c>
      <c r="H1717" s="47" t="s">
        <v>1355</v>
      </c>
      <c r="I1717" s="47" t="s">
        <v>2496</v>
      </c>
      <c r="J1717" t="s">
        <v>357</v>
      </c>
      <c r="K1717">
        <v>167</v>
      </c>
      <c r="L1717">
        <v>258</v>
      </c>
      <c r="M1717">
        <v>167</v>
      </c>
      <c r="N1717">
        <v>258</v>
      </c>
      <c r="O1717" s="24">
        <v>143</v>
      </c>
      <c r="P1717" s="24">
        <v>233</v>
      </c>
      <c r="Q1717">
        <v>112</v>
      </c>
      <c r="R1717">
        <v>226</v>
      </c>
      <c r="S1717">
        <v>133</v>
      </c>
      <c r="T1717">
        <v>283</v>
      </c>
      <c r="U1717">
        <v>133</v>
      </c>
      <c r="V1717">
        <v>283</v>
      </c>
    </row>
    <row r="1718" spans="1:22" x14ac:dyDescent="0.35">
      <c r="A1718" t="str">
        <f>HIX_RatingAreas8[[#This Row],[Subdivision]]&amp;" County"</f>
        <v>Jefferson County County</v>
      </c>
      <c r="B1718" s="51" t="s">
        <v>2497</v>
      </c>
      <c r="D1718" t="s">
        <v>2469</v>
      </c>
      <c r="E1718" t="s">
        <v>2470</v>
      </c>
      <c r="F1718" s="46" t="s">
        <v>2497</v>
      </c>
      <c r="G1718" t="s">
        <v>265</v>
      </c>
      <c r="H1718" s="47" t="s">
        <v>501</v>
      </c>
      <c r="I1718" s="47" t="s">
        <v>2473</v>
      </c>
      <c r="J1718" t="s">
        <v>247</v>
      </c>
      <c r="K1718">
        <v>686</v>
      </c>
      <c r="L1718">
        <v>1051</v>
      </c>
      <c r="M1718">
        <v>686</v>
      </c>
      <c r="N1718">
        <v>1051</v>
      </c>
      <c r="O1718" s="24">
        <v>602</v>
      </c>
      <c r="P1718" s="24">
        <v>962</v>
      </c>
      <c r="Q1718">
        <v>591</v>
      </c>
      <c r="R1718">
        <v>1060</v>
      </c>
      <c r="S1718">
        <v>444</v>
      </c>
      <c r="T1718">
        <v>1182</v>
      </c>
      <c r="U1718">
        <v>444</v>
      </c>
      <c r="V1718">
        <v>1182</v>
      </c>
    </row>
    <row r="1719" spans="1:22" x14ac:dyDescent="0.35">
      <c r="A1719" t="str">
        <f>HIX_RatingAreas8[[#This Row],[Subdivision]]&amp;" County"</f>
        <v>Kanawha County County</v>
      </c>
      <c r="B1719" s="51" t="s">
        <v>2498</v>
      </c>
      <c r="D1719" t="s">
        <v>2469</v>
      </c>
      <c r="E1719" t="s">
        <v>2470</v>
      </c>
      <c r="F1719" s="46" t="s">
        <v>2498</v>
      </c>
      <c r="G1719" t="s">
        <v>235</v>
      </c>
      <c r="H1719" s="47" t="s">
        <v>419</v>
      </c>
      <c r="I1719" s="47" t="s">
        <v>2499</v>
      </c>
      <c r="J1719" t="s">
        <v>2802</v>
      </c>
      <c r="K1719">
        <v>1175</v>
      </c>
      <c r="L1719">
        <v>2066</v>
      </c>
      <c r="M1719">
        <v>1175</v>
      </c>
      <c r="N1719">
        <v>2066</v>
      </c>
      <c r="O1719" s="24">
        <v>965</v>
      </c>
      <c r="P1719" s="24">
        <v>1795</v>
      </c>
      <c r="Q1719">
        <v>901</v>
      </c>
      <c r="R1719">
        <v>1643</v>
      </c>
      <c r="S1719">
        <v>842</v>
      </c>
      <c r="T1719">
        <v>2129</v>
      </c>
      <c r="U1719">
        <v>842</v>
      </c>
      <c r="V1719">
        <v>2129</v>
      </c>
    </row>
    <row r="1720" spans="1:22" x14ac:dyDescent="0.35">
      <c r="A1720" t="str">
        <f>HIX_RatingAreas8[[#This Row],[Subdivision]]&amp;" County"</f>
        <v>Lewis County County</v>
      </c>
      <c r="B1720" s="51" t="s">
        <v>2500</v>
      </c>
      <c r="D1720" t="s">
        <v>2469</v>
      </c>
      <c r="E1720" t="s">
        <v>2470</v>
      </c>
      <c r="F1720" s="46" t="s">
        <v>2500</v>
      </c>
      <c r="G1720" t="s">
        <v>279</v>
      </c>
      <c r="H1720" s="47" t="s">
        <v>1347</v>
      </c>
      <c r="I1720" s="47" t="s">
        <v>2485</v>
      </c>
      <c r="J1720" t="s">
        <v>1927</v>
      </c>
      <c r="K1720">
        <v>134</v>
      </c>
      <c r="L1720">
        <v>204</v>
      </c>
      <c r="M1720">
        <v>134</v>
      </c>
      <c r="N1720">
        <v>204</v>
      </c>
      <c r="O1720" s="24">
        <v>83</v>
      </c>
      <c r="P1720" s="24">
        <v>154</v>
      </c>
      <c r="Q1720">
        <v>76</v>
      </c>
      <c r="R1720">
        <v>156</v>
      </c>
      <c r="S1720">
        <v>85</v>
      </c>
      <c r="T1720">
        <v>238</v>
      </c>
      <c r="U1720">
        <v>85</v>
      </c>
      <c r="V1720">
        <v>238</v>
      </c>
    </row>
    <row r="1721" spans="1:22" x14ac:dyDescent="0.35">
      <c r="A1721" t="str">
        <f>HIX_RatingAreas8[[#This Row],[Subdivision]]&amp;" County"</f>
        <v>Lincoln County County</v>
      </c>
      <c r="B1721" s="51" t="s">
        <v>2501</v>
      </c>
      <c r="D1721" t="s">
        <v>2469</v>
      </c>
      <c r="E1721" t="s">
        <v>2470</v>
      </c>
      <c r="F1721" s="46" t="s">
        <v>2501</v>
      </c>
      <c r="G1721" t="s">
        <v>239</v>
      </c>
      <c r="H1721" s="47" t="s">
        <v>450</v>
      </c>
      <c r="I1721" s="47" t="s">
        <v>2475</v>
      </c>
      <c r="J1721" t="s">
        <v>494</v>
      </c>
      <c r="K1721">
        <v>101</v>
      </c>
      <c r="L1721">
        <v>172</v>
      </c>
      <c r="M1721">
        <v>101</v>
      </c>
      <c r="N1721">
        <v>172</v>
      </c>
      <c r="O1721" s="24">
        <v>99</v>
      </c>
      <c r="P1721" s="24">
        <v>156</v>
      </c>
      <c r="Q1721">
        <v>77</v>
      </c>
      <c r="R1721">
        <v>139</v>
      </c>
      <c r="S1721">
        <v>59</v>
      </c>
      <c r="T1721">
        <v>169</v>
      </c>
      <c r="U1721">
        <v>59</v>
      </c>
      <c r="V1721">
        <v>169</v>
      </c>
    </row>
    <row r="1722" spans="1:22" x14ac:dyDescent="0.35">
      <c r="A1722" t="str">
        <f>HIX_RatingAreas8[[#This Row],[Subdivision]]&amp;" County"</f>
        <v>Logan County County</v>
      </c>
      <c r="B1722" s="51" t="s">
        <v>2502</v>
      </c>
      <c r="D1722" t="s">
        <v>2469</v>
      </c>
      <c r="E1722" t="s">
        <v>2470</v>
      </c>
      <c r="F1722" s="46" t="s">
        <v>2502</v>
      </c>
      <c r="G1722" t="s">
        <v>239</v>
      </c>
      <c r="H1722" s="47" t="s">
        <v>450</v>
      </c>
      <c r="I1722" s="47" t="s">
        <v>2475</v>
      </c>
      <c r="J1722" t="s">
        <v>537</v>
      </c>
      <c r="K1722">
        <v>186</v>
      </c>
      <c r="L1722">
        <v>269</v>
      </c>
      <c r="M1722">
        <v>186</v>
      </c>
      <c r="N1722">
        <v>269</v>
      </c>
      <c r="O1722" s="24">
        <v>140</v>
      </c>
      <c r="P1722" s="24">
        <v>224</v>
      </c>
      <c r="Q1722">
        <v>130</v>
      </c>
      <c r="R1722">
        <v>225</v>
      </c>
      <c r="S1722">
        <v>117</v>
      </c>
      <c r="T1722">
        <v>255</v>
      </c>
      <c r="U1722">
        <v>117</v>
      </c>
      <c r="V1722">
        <v>255</v>
      </c>
    </row>
    <row r="1723" spans="1:22" x14ac:dyDescent="0.35">
      <c r="A1723" t="str">
        <f>HIX_RatingAreas8[[#This Row],[Subdivision]]&amp;" County"</f>
        <v>McDowell County County</v>
      </c>
      <c r="B1723" s="51" t="s">
        <v>2503</v>
      </c>
      <c r="D1723" t="s">
        <v>2469</v>
      </c>
      <c r="E1723" t="s">
        <v>2470</v>
      </c>
      <c r="F1723" s="46" t="s">
        <v>2503</v>
      </c>
      <c r="G1723" t="s">
        <v>239</v>
      </c>
      <c r="H1723" s="47" t="s">
        <v>450</v>
      </c>
      <c r="I1723" s="47" t="s">
        <v>2475</v>
      </c>
      <c r="J1723" t="s">
        <v>1489</v>
      </c>
      <c r="K1723">
        <v>94</v>
      </c>
      <c r="L1723">
        <v>139</v>
      </c>
      <c r="M1723">
        <v>94</v>
      </c>
      <c r="N1723">
        <v>139</v>
      </c>
      <c r="O1723" s="24">
        <v>64</v>
      </c>
      <c r="P1723" s="24">
        <v>104</v>
      </c>
      <c r="Q1723">
        <v>56</v>
      </c>
      <c r="R1723">
        <v>98</v>
      </c>
      <c r="S1723">
        <v>60</v>
      </c>
      <c r="T1723">
        <v>118</v>
      </c>
      <c r="U1723">
        <v>60</v>
      </c>
      <c r="V1723">
        <v>118</v>
      </c>
    </row>
    <row r="1724" spans="1:22" x14ac:dyDescent="0.35">
      <c r="A1724" t="str">
        <f>HIX_RatingAreas8[[#This Row],[Subdivision]]&amp;" County"</f>
        <v>Marion County County</v>
      </c>
      <c r="B1724" s="51" t="s">
        <v>2504</v>
      </c>
      <c r="D1724" t="s">
        <v>2469</v>
      </c>
      <c r="E1724" t="s">
        <v>2470</v>
      </c>
      <c r="F1724" s="46" t="s">
        <v>2504</v>
      </c>
      <c r="G1724" t="s">
        <v>279</v>
      </c>
      <c r="H1724" s="47" t="s">
        <v>1347</v>
      </c>
      <c r="I1724" s="47" t="s">
        <v>2485</v>
      </c>
      <c r="J1724" t="s">
        <v>365</v>
      </c>
      <c r="K1724">
        <v>353</v>
      </c>
      <c r="L1724">
        <v>590</v>
      </c>
      <c r="M1724">
        <v>353</v>
      </c>
      <c r="N1724">
        <v>590</v>
      </c>
      <c r="O1724" s="24">
        <v>297</v>
      </c>
      <c r="P1724" s="24">
        <v>525</v>
      </c>
      <c r="Q1724">
        <v>294</v>
      </c>
      <c r="R1724">
        <v>480</v>
      </c>
      <c r="S1724">
        <v>279</v>
      </c>
      <c r="T1724">
        <v>618</v>
      </c>
      <c r="U1724">
        <v>279</v>
      </c>
      <c r="V1724">
        <v>618</v>
      </c>
    </row>
    <row r="1725" spans="1:22" x14ac:dyDescent="0.35">
      <c r="A1725" t="str">
        <f>HIX_RatingAreas8[[#This Row],[Subdivision]]&amp;" County"</f>
        <v>Marshall County County</v>
      </c>
      <c r="B1725" s="51" t="s">
        <v>2505</v>
      </c>
      <c r="D1725" t="s">
        <v>2469</v>
      </c>
      <c r="E1725" t="s">
        <v>2470</v>
      </c>
      <c r="F1725" s="46" t="s">
        <v>2505</v>
      </c>
      <c r="G1725" t="s">
        <v>293</v>
      </c>
      <c r="H1725" s="47" t="s">
        <v>2128</v>
      </c>
      <c r="I1725" s="47" t="s">
        <v>2479</v>
      </c>
      <c r="J1725" t="s">
        <v>367</v>
      </c>
      <c r="K1725">
        <v>200</v>
      </c>
      <c r="L1725">
        <v>289</v>
      </c>
      <c r="M1725">
        <v>200</v>
      </c>
      <c r="N1725">
        <v>289</v>
      </c>
      <c r="O1725" s="24">
        <v>205</v>
      </c>
      <c r="P1725" s="24">
        <v>276</v>
      </c>
      <c r="Q1725">
        <v>199</v>
      </c>
      <c r="R1725">
        <v>275</v>
      </c>
      <c r="S1725">
        <v>196</v>
      </c>
      <c r="T1725">
        <v>309</v>
      </c>
      <c r="U1725">
        <v>196</v>
      </c>
      <c r="V1725">
        <v>309</v>
      </c>
    </row>
    <row r="1726" spans="1:22" x14ac:dyDescent="0.35">
      <c r="A1726" t="str">
        <f>HIX_RatingAreas8[[#This Row],[Subdivision]]&amp;" County"</f>
        <v>Mason County County</v>
      </c>
      <c r="B1726" s="51" t="s">
        <v>2506</v>
      </c>
      <c r="D1726" t="s">
        <v>2469</v>
      </c>
      <c r="E1726" t="s">
        <v>2470</v>
      </c>
      <c r="F1726" s="46" t="s">
        <v>2506</v>
      </c>
      <c r="G1726" t="s">
        <v>259</v>
      </c>
      <c r="H1726" s="47" t="s">
        <v>477</v>
      </c>
      <c r="I1726" s="47" t="s">
        <v>2481</v>
      </c>
      <c r="J1726" t="s">
        <v>2241</v>
      </c>
      <c r="K1726">
        <v>165</v>
      </c>
      <c r="L1726">
        <v>258</v>
      </c>
      <c r="M1726">
        <v>165</v>
      </c>
      <c r="N1726">
        <v>258</v>
      </c>
      <c r="O1726" s="24">
        <v>140</v>
      </c>
      <c r="P1726" s="24">
        <v>230</v>
      </c>
      <c r="Q1726">
        <v>133</v>
      </c>
      <c r="R1726">
        <v>213</v>
      </c>
      <c r="S1726">
        <v>114</v>
      </c>
      <c r="T1726">
        <v>247</v>
      </c>
      <c r="U1726">
        <v>114</v>
      </c>
      <c r="V1726">
        <v>247</v>
      </c>
    </row>
    <row r="1727" spans="1:22" x14ac:dyDescent="0.35">
      <c r="A1727" t="str">
        <f>HIX_RatingAreas8[[#This Row],[Subdivision]]&amp;" County"</f>
        <v>Mercer County County</v>
      </c>
      <c r="B1727" s="51" t="s">
        <v>2507</v>
      </c>
      <c r="D1727" t="s">
        <v>2469</v>
      </c>
      <c r="E1727" t="s">
        <v>2470</v>
      </c>
      <c r="F1727" s="46" t="s">
        <v>2507</v>
      </c>
      <c r="G1727" t="s">
        <v>255</v>
      </c>
      <c r="H1727" s="47" t="s">
        <v>467</v>
      </c>
      <c r="I1727" s="47" t="s">
        <v>2508</v>
      </c>
      <c r="J1727" t="s">
        <v>2745</v>
      </c>
      <c r="K1727">
        <v>631</v>
      </c>
      <c r="L1727">
        <v>905</v>
      </c>
      <c r="M1727">
        <v>631</v>
      </c>
      <c r="N1727">
        <v>905</v>
      </c>
      <c r="O1727" s="24">
        <v>616</v>
      </c>
      <c r="P1727" s="24">
        <v>864</v>
      </c>
      <c r="Q1727">
        <v>514</v>
      </c>
      <c r="R1727">
        <v>800</v>
      </c>
      <c r="S1727">
        <v>425</v>
      </c>
      <c r="T1727">
        <v>773</v>
      </c>
      <c r="U1727">
        <v>425</v>
      </c>
      <c r="V1727">
        <v>773</v>
      </c>
    </row>
    <row r="1728" spans="1:22" x14ac:dyDescent="0.35">
      <c r="A1728" t="str">
        <f>HIX_RatingAreas8[[#This Row],[Subdivision]]&amp;" County"</f>
        <v>Mineral County County</v>
      </c>
      <c r="B1728" s="51" t="s">
        <v>2509</v>
      </c>
      <c r="D1728" t="s">
        <v>2469</v>
      </c>
      <c r="E1728" t="s">
        <v>2470</v>
      </c>
      <c r="F1728" s="46" t="s">
        <v>2509</v>
      </c>
      <c r="G1728" t="s">
        <v>273</v>
      </c>
      <c r="H1728" s="47" t="s">
        <v>524</v>
      </c>
      <c r="I1728" s="47" t="s">
        <v>2489</v>
      </c>
      <c r="J1728" t="s">
        <v>2803</v>
      </c>
      <c r="K1728">
        <v>229</v>
      </c>
      <c r="L1728">
        <v>331</v>
      </c>
      <c r="M1728">
        <v>229</v>
      </c>
      <c r="N1728">
        <v>331</v>
      </c>
      <c r="O1728" s="24">
        <v>252</v>
      </c>
      <c r="P1728" s="24">
        <v>363</v>
      </c>
      <c r="Q1728">
        <v>220</v>
      </c>
      <c r="R1728">
        <v>375</v>
      </c>
      <c r="S1728">
        <v>145</v>
      </c>
      <c r="T1728">
        <v>374</v>
      </c>
      <c r="U1728">
        <v>145</v>
      </c>
      <c r="V1728">
        <v>374</v>
      </c>
    </row>
    <row r="1729" spans="1:22" x14ac:dyDescent="0.35">
      <c r="A1729" t="str">
        <f>HIX_RatingAreas8[[#This Row],[Subdivision]]&amp;" County"</f>
        <v>Mingo County County</v>
      </c>
      <c r="B1729" s="51" t="s">
        <v>2510</v>
      </c>
      <c r="D1729" t="s">
        <v>2469</v>
      </c>
      <c r="E1729" t="s">
        <v>2470</v>
      </c>
      <c r="F1729" s="46" t="s">
        <v>2510</v>
      </c>
      <c r="G1729" t="s">
        <v>239</v>
      </c>
      <c r="H1729" s="47" t="s">
        <v>450</v>
      </c>
      <c r="I1729" s="47" t="s">
        <v>2475</v>
      </c>
      <c r="J1729" t="s">
        <v>2804</v>
      </c>
      <c r="K1729">
        <v>169</v>
      </c>
      <c r="L1729">
        <v>228</v>
      </c>
      <c r="M1729">
        <v>169</v>
      </c>
      <c r="N1729">
        <v>228</v>
      </c>
      <c r="O1729" s="24">
        <v>134</v>
      </c>
      <c r="P1729" s="24">
        <v>198</v>
      </c>
      <c r="Q1729">
        <v>112</v>
      </c>
      <c r="R1729">
        <v>181</v>
      </c>
      <c r="S1729">
        <v>87</v>
      </c>
      <c r="T1729">
        <v>201</v>
      </c>
      <c r="U1729">
        <v>87</v>
      </c>
      <c r="V1729">
        <v>201</v>
      </c>
    </row>
    <row r="1730" spans="1:22" x14ac:dyDescent="0.35">
      <c r="A1730" t="str">
        <f>HIX_RatingAreas8[[#This Row],[Subdivision]]&amp;" County"</f>
        <v>Monongalia County County</v>
      </c>
      <c r="B1730" s="51" t="s">
        <v>2511</v>
      </c>
      <c r="D1730" t="s">
        <v>2469</v>
      </c>
      <c r="E1730" t="s">
        <v>2470</v>
      </c>
      <c r="F1730" s="46" t="s">
        <v>2511</v>
      </c>
      <c r="G1730" t="s">
        <v>279</v>
      </c>
      <c r="H1730" s="47" t="s">
        <v>1347</v>
      </c>
      <c r="I1730" s="47" t="s">
        <v>2485</v>
      </c>
      <c r="J1730" t="s">
        <v>2805</v>
      </c>
      <c r="K1730">
        <v>732</v>
      </c>
      <c r="L1730">
        <v>1263</v>
      </c>
      <c r="M1730">
        <v>732</v>
      </c>
      <c r="N1730">
        <v>1263</v>
      </c>
      <c r="O1730" s="24">
        <v>673</v>
      </c>
      <c r="P1730" s="24">
        <v>1163</v>
      </c>
      <c r="Q1730">
        <v>647</v>
      </c>
      <c r="R1730">
        <v>1134</v>
      </c>
      <c r="S1730">
        <v>608</v>
      </c>
      <c r="T1730">
        <v>1524</v>
      </c>
      <c r="U1730">
        <v>608</v>
      </c>
      <c r="V1730">
        <v>1524</v>
      </c>
    </row>
    <row r="1731" spans="1:22" x14ac:dyDescent="0.35">
      <c r="A1731" t="str">
        <f>HIX_RatingAreas8[[#This Row],[Subdivision]]&amp;" County"</f>
        <v>Monroe County County</v>
      </c>
      <c r="B1731" s="51" t="s">
        <v>2512</v>
      </c>
      <c r="D1731" t="s">
        <v>2469</v>
      </c>
      <c r="E1731" t="s">
        <v>2470</v>
      </c>
      <c r="F1731" s="46" t="s">
        <v>2512</v>
      </c>
      <c r="G1731" t="s">
        <v>255</v>
      </c>
      <c r="H1731" s="47" t="s">
        <v>467</v>
      </c>
      <c r="I1731" s="47" t="s">
        <v>2508</v>
      </c>
      <c r="J1731" t="s">
        <v>369</v>
      </c>
      <c r="K1731">
        <v>271</v>
      </c>
      <c r="L1731">
        <v>365</v>
      </c>
      <c r="M1731">
        <v>271</v>
      </c>
      <c r="N1731">
        <v>365</v>
      </c>
      <c r="O1731" s="24">
        <v>271</v>
      </c>
      <c r="P1731" s="24">
        <v>357</v>
      </c>
      <c r="Q1731">
        <v>217</v>
      </c>
      <c r="R1731">
        <v>301</v>
      </c>
      <c r="S1731">
        <v>161</v>
      </c>
      <c r="T1731">
        <v>287</v>
      </c>
      <c r="U1731">
        <v>161</v>
      </c>
      <c r="V1731">
        <v>287</v>
      </c>
    </row>
    <row r="1732" spans="1:22" x14ac:dyDescent="0.35">
      <c r="A1732" t="str">
        <f>HIX_RatingAreas8[[#This Row],[Subdivision]]&amp;" County"</f>
        <v>Morgan County County</v>
      </c>
      <c r="B1732" s="51" t="s">
        <v>2513</v>
      </c>
      <c r="D1732" t="s">
        <v>2469</v>
      </c>
      <c r="E1732" t="s">
        <v>2470</v>
      </c>
      <c r="F1732" s="46" t="s">
        <v>2513</v>
      </c>
      <c r="G1732" t="s">
        <v>273</v>
      </c>
      <c r="H1732" s="47" t="s">
        <v>524</v>
      </c>
      <c r="I1732" s="47" t="s">
        <v>2489</v>
      </c>
      <c r="J1732" t="s">
        <v>263</v>
      </c>
      <c r="K1732">
        <v>231</v>
      </c>
      <c r="L1732">
        <v>351</v>
      </c>
      <c r="M1732">
        <v>231</v>
      </c>
      <c r="N1732">
        <v>351</v>
      </c>
      <c r="O1732" s="24">
        <v>220</v>
      </c>
      <c r="P1732" s="24">
        <v>326</v>
      </c>
      <c r="Q1732">
        <v>180</v>
      </c>
      <c r="R1732">
        <v>319</v>
      </c>
      <c r="S1732">
        <v>115</v>
      </c>
      <c r="T1732">
        <v>278</v>
      </c>
      <c r="U1732">
        <v>115</v>
      </c>
      <c r="V1732">
        <v>278</v>
      </c>
    </row>
    <row r="1733" spans="1:22" x14ac:dyDescent="0.35">
      <c r="A1733" t="str">
        <f>HIX_RatingAreas8[[#This Row],[Subdivision]]&amp;" County"</f>
        <v>Nicholas County County</v>
      </c>
      <c r="B1733" s="51" t="s">
        <v>2514</v>
      </c>
      <c r="D1733" t="s">
        <v>2469</v>
      </c>
      <c r="E1733" t="s">
        <v>2470</v>
      </c>
      <c r="F1733" s="46" t="s">
        <v>2514</v>
      </c>
      <c r="G1733" t="s">
        <v>231</v>
      </c>
      <c r="H1733" s="47" t="s">
        <v>393</v>
      </c>
      <c r="I1733" s="47" t="s">
        <v>2477</v>
      </c>
      <c r="J1733" t="s">
        <v>2806</v>
      </c>
      <c r="K1733">
        <v>274</v>
      </c>
      <c r="L1733">
        <v>393</v>
      </c>
      <c r="M1733">
        <v>274</v>
      </c>
      <c r="N1733">
        <v>393</v>
      </c>
      <c r="O1733" s="24">
        <v>158</v>
      </c>
      <c r="P1733" s="24">
        <v>287</v>
      </c>
      <c r="Q1733">
        <v>151</v>
      </c>
      <c r="R1733">
        <v>264</v>
      </c>
      <c r="S1733">
        <v>131</v>
      </c>
      <c r="T1733">
        <v>302</v>
      </c>
      <c r="U1733">
        <v>131</v>
      </c>
      <c r="V1733">
        <v>302</v>
      </c>
    </row>
    <row r="1734" spans="1:22" x14ac:dyDescent="0.35">
      <c r="A1734" t="str">
        <f>HIX_RatingAreas8[[#This Row],[Subdivision]]&amp;" County"</f>
        <v>Ohio County County</v>
      </c>
      <c r="B1734" s="51" t="s">
        <v>2515</v>
      </c>
      <c r="D1734" t="s">
        <v>2469</v>
      </c>
      <c r="E1734" t="s">
        <v>2470</v>
      </c>
      <c r="F1734" s="46" t="s">
        <v>2515</v>
      </c>
      <c r="G1734" t="s">
        <v>293</v>
      </c>
      <c r="H1734" s="47" t="s">
        <v>2128</v>
      </c>
      <c r="I1734" s="47" t="s">
        <v>2479</v>
      </c>
      <c r="J1734" t="s">
        <v>2807</v>
      </c>
      <c r="K1734">
        <v>341</v>
      </c>
      <c r="L1734">
        <v>540</v>
      </c>
      <c r="M1734">
        <v>341</v>
      </c>
      <c r="N1734">
        <v>540</v>
      </c>
      <c r="O1734" s="24">
        <v>276</v>
      </c>
      <c r="P1734" s="24">
        <v>450</v>
      </c>
      <c r="Q1734">
        <v>264</v>
      </c>
      <c r="R1734">
        <v>433</v>
      </c>
      <c r="S1734">
        <v>244</v>
      </c>
      <c r="T1734">
        <v>527</v>
      </c>
      <c r="U1734">
        <v>244</v>
      </c>
      <c r="V1734">
        <v>527</v>
      </c>
    </row>
    <row r="1735" spans="1:22" x14ac:dyDescent="0.35">
      <c r="A1735" t="str">
        <f>HIX_RatingAreas8[[#This Row],[Subdivision]]&amp;" County"</f>
        <v>Pendleton County County</v>
      </c>
      <c r="B1735" s="51" t="s">
        <v>2516</v>
      </c>
      <c r="D1735" t="s">
        <v>2469</v>
      </c>
      <c r="E1735" t="s">
        <v>2470</v>
      </c>
      <c r="F1735" s="46" t="s">
        <v>2516</v>
      </c>
      <c r="G1735" t="s">
        <v>273</v>
      </c>
      <c r="H1735" s="47" t="s">
        <v>524</v>
      </c>
      <c r="I1735" s="47" t="s">
        <v>2489</v>
      </c>
      <c r="J1735" t="s">
        <v>2808</v>
      </c>
      <c r="K1735">
        <v>158</v>
      </c>
      <c r="L1735">
        <v>208</v>
      </c>
      <c r="M1735">
        <v>158</v>
      </c>
      <c r="N1735">
        <v>208</v>
      </c>
      <c r="O1735" s="24">
        <v>149</v>
      </c>
      <c r="P1735" s="24">
        <v>191</v>
      </c>
      <c r="Q1735">
        <v>107</v>
      </c>
      <c r="R1735">
        <v>179</v>
      </c>
      <c r="S1735">
        <v>57</v>
      </c>
      <c r="T1735">
        <v>182</v>
      </c>
      <c r="U1735">
        <v>57</v>
      </c>
      <c r="V1735">
        <v>182</v>
      </c>
    </row>
    <row r="1736" spans="1:22" x14ac:dyDescent="0.35">
      <c r="A1736" t="str">
        <f>HIX_RatingAreas8[[#This Row],[Subdivision]]&amp;" County"</f>
        <v>Pleasants County County</v>
      </c>
      <c r="B1736" s="51" t="s">
        <v>2517</v>
      </c>
      <c r="D1736" t="s">
        <v>2469</v>
      </c>
      <c r="E1736" t="s">
        <v>2470</v>
      </c>
      <c r="F1736" s="46" t="s">
        <v>2517</v>
      </c>
      <c r="G1736" t="s">
        <v>289</v>
      </c>
      <c r="H1736" s="47" t="s">
        <v>1355</v>
      </c>
      <c r="I1736" s="47" t="s">
        <v>2496</v>
      </c>
      <c r="J1736" t="s">
        <v>2809</v>
      </c>
      <c r="K1736">
        <v>34</v>
      </c>
      <c r="L1736">
        <v>68</v>
      </c>
      <c r="M1736">
        <v>34</v>
      </c>
      <c r="N1736">
        <v>68</v>
      </c>
      <c r="O1736" s="24">
        <v>25</v>
      </c>
      <c r="P1736" s="24">
        <v>58</v>
      </c>
      <c r="Q1736">
        <v>20</v>
      </c>
      <c r="R1736">
        <v>55</v>
      </c>
      <c r="S1736">
        <v>27</v>
      </c>
      <c r="T1736">
        <v>67</v>
      </c>
      <c r="U1736">
        <v>27</v>
      </c>
      <c r="V1736">
        <v>67</v>
      </c>
    </row>
    <row r="1737" spans="1:22" x14ac:dyDescent="0.35">
      <c r="A1737" t="str">
        <f>HIX_RatingAreas8[[#This Row],[Subdivision]]&amp;" County"</f>
        <v>Pocahontas County County</v>
      </c>
      <c r="B1737" s="51" t="s">
        <v>2518</v>
      </c>
      <c r="D1737" t="s">
        <v>2469</v>
      </c>
      <c r="E1737" t="s">
        <v>2470</v>
      </c>
      <c r="F1737" s="46" t="s">
        <v>2518</v>
      </c>
      <c r="G1737" t="s">
        <v>283</v>
      </c>
      <c r="H1737" s="47" t="s">
        <v>1366</v>
      </c>
      <c r="I1737" s="47" t="s">
        <v>2471</v>
      </c>
      <c r="J1737" t="s">
        <v>2810</v>
      </c>
      <c r="K1737">
        <v>128</v>
      </c>
      <c r="L1737">
        <v>208</v>
      </c>
      <c r="M1737">
        <v>128</v>
      </c>
      <c r="N1737">
        <v>208</v>
      </c>
      <c r="O1737" s="24">
        <v>104</v>
      </c>
      <c r="P1737" s="24">
        <v>197</v>
      </c>
      <c r="Q1737">
        <v>100</v>
      </c>
      <c r="R1737">
        <v>184</v>
      </c>
      <c r="S1737">
        <v>81</v>
      </c>
      <c r="T1737">
        <v>198</v>
      </c>
      <c r="U1737">
        <v>81</v>
      </c>
      <c r="V1737">
        <v>198</v>
      </c>
    </row>
    <row r="1738" spans="1:22" x14ac:dyDescent="0.35">
      <c r="A1738" t="str">
        <f>HIX_RatingAreas8[[#This Row],[Subdivision]]&amp;" County"</f>
        <v>Preston County County</v>
      </c>
      <c r="B1738" s="51" t="s">
        <v>2519</v>
      </c>
      <c r="D1738" t="s">
        <v>2469</v>
      </c>
      <c r="E1738" t="s">
        <v>2470</v>
      </c>
      <c r="F1738" s="46" t="s">
        <v>2519</v>
      </c>
      <c r="G1738" t="s">
        <v>283</v>
      </c>
      <c r="H1738" s="47" t="s">
        <v>1366</v>
      </c>
      <c r="I1738" s="47" t="s">
        <v>2471</v>
      </c>
      <c r="J1738" t="s">
        <v>2811</v>
      </c>
      <c r="K1738">
        <v>203</v>
      </c>
      <c r="L1738">
        <v>381</v>
      </c>
      <c r="M1738">
        <v>203</v>
      </c>
      <c r="N1738">
        <v>381</v>
      </c>
      <c r="O1738" s="24">
        <v>186</v>
      </c>
      <c r="P1738" s="24">
        <v>328</v>
      </c>
      <c r="Q1738">
        <v>204</v>
      </c>
      <c r="R1738">
        <v>362</v>
      </c>
      <c r="S1738">
        <v>179</v>
      </c>
      <c r="T1738">
        <v>454</v>
      </c>
      <c r="U1738">
        <v>179</v>
      </c>
      <c r="V1738">
        <v>454</v>
      </c>
    </row>
    <row r="1739" spans="1:22" x14ac:dyDescent="0.35">
      <c r="A1739" t="str">
        <f>HIX_RatingAreas8[[#This Row],[Subdivision]]&amp;" County"</f>
        <v>Putnam County County</v>
      </c>
      <c r="B1739" s="51" t="s">
        <v>2520</v>
      </c>
      <c r="D1739" t="s">
        <v>2469</v>
      </c>
      <c r="E1739" t="s">
        <v>2470</v>
      </c>
      <c r="F1739" s="46" t="s">
        <v>2520</v>
      </c>
      <c r="G1739" t="s">
        <v>259</v>
      </c>
      <c r="H1739" s="47" t="s">
        <v>477</v>
      </c>
      <c r="I1739" s="47" t="s">
        <v>2481</v>
      </c>
      <c r="J1739" t="s">
        <v>729</v>
      </c>
      <c r="K1739">
        <v>491</v>
      </c>
      <c r="L1739">
        <v>771</v>
      </c>
      <c r="M1739">
        <v>491</v>
      </c>
      <c r="N1739">
        <v>771</v>
      </c>
      <c r="O1739" s="24">
        <v>364</v>
      </c>
      <c r="P1739" s="24">
        <v>651</v>
      </c>
      <c r="Q1739">
        <v>342</v>
      </c>
      <c r="R1739">
        <v>618</v>
      </c>
      <c r="S1739">
        <v>309</v>
      </c>
      <c r="T1739">
        <v>807</v>
      </c>
      <c r="U1739">
        <v>309</v>
      </c>
      <c r="V1739">
        <v>807</v>
      </c>
    </row>
    <row r="1740" spans="1:22" x14ac:dyDescent="0.35">
      <c r="A1740" t="str">
        <f>HIX_RatingAreas8[[#This Row],[Subdivision]]&amp;" County"</f>
        <v>Raleigh County County</v>
      </c>
      <c r="B1740" s="51" t="s">
        <v>2521</v>
      </c>
      <c r="D1740" t="s">
        <v>2469</v>
      </c>
      <c r="E1740" t="s">
        <v>2470</v>
      </c>
      <c r="F1740" s="46" t="s">
        <v>2521</v>
      </c>
      <c r="G1740" t="s">
        <v>255</v>
      </c>
      <c r="H1740" s="47" t="s">
        <v>467</v>
      </c>
      <c r="I1740" s="47" t="s">
        <v>2508</v>
      </c>
      <c r="J1740" t="s">
        <v>2812</v>
      </c>
      <c r="K1740">
        <v>412</v>
      </c>
      <c r="L1740">
        <v>703</v>
      </c>
      <c r="M1740">
        <v>412</v>
      </c>
      <c r="N1740">
        <v>703</v>
      </c>
      <c r="O1740" s="24">
        <v>354</v>
      </c>
      <c r="P1740" s="24">
        <v>606</v>
      </c>
      <c r="Q1740">
        <v>372</v>
      </c>
      <c r="R1740">
        <v>623</v>
      </c>
      <c r="S1740">
        <v>359</v>
      </c>
      <c r="T1740">
        <v>809</v>
      </c>
      <c r="U1740">
        <v>359</v>
      </c>
      <c r="V1740">
        <v>809</v>
      </c>
    </row>
    <row r="1741" spans="1:22" x14ac:dyDescent="0.35">
      <c r="A1741" t="str">
        <f>HIX_RatingAreas8[[#This Row],[Subdivision]]&amp;" County"</f>
        <v>Randolph County County</v>
      </c>
      <c r="B1741" s="51" t="s">
        <v>2522</v>
      </c>
      <c r="D1741" t="s">
        <v>2469</v>
      </c>
      <c r="E1741" t="s">
        <v>2470</v>
      </c>
      <c r="F1741" s="46" t="s">
        <v>2522</v>
      </c>
      <c r="G1741" t="s">
        <v>283</v>
      </c>
      <c r="H1741" s="47" t="s">
        <v>1366</v>
      </c>
      <c r="I1741" s="47" t="s">
        <v>2471</v>
      </c>
      <c r="J1741" t="s">
        <v>377</v>
      </c>
      <c r="K1741">
        <v>283</v>
      </c>
      <c r="L1741">
        <v>409</v>
      </c>
      <c r="M1741">
        <v>283</v>
      </c>
      <c r="N1741">
        <v>409</v>
      </c>
      <c r="O1741" s="24">
        <v>211</v>
      </c>
      <c r="P1741" s="24">
        <v>375</v>
      </c>
      <c r="Q1741">
        <v>177</v>
      </c>
      <c r="R1741">
        <v>321</v>
      </c>
      <c r="S1741">
        <v>179</v>
      </c>
      <c r="T1741">
        <v>415</v>
      </c>
      <c r="U1741">
        <v>179</v>
      </c>
      <c r="V1741">
        <v>415</v>
      </c>
    </row>
    <row r="1742" spans="1:22" x14ac:dyDescent="0.35">
      <c r="A1742" t="str">
        <f>HIX_RatingAreas8[[#This Row],[Subdivision]]&amp;" County"</f>
        <v>Ritchie County County</v>
      </c>
      <c r="B1742" s="51" t="s">
        <v>2523</v>
      </c>
      <c r="D1742" t="s">
        <v>2469</v>
      </c>
      <c r="E1742" t="s">
        <v>2470</v>
      </c>
      <c r="F1742" s="46" t="s">
        <v>2523</v>
      </c>
      <c r="G1742" t="s">
        <v>289</v>
      </c>
      <c r="H1742" s="47" t="s">
        <v>1355</v>
      </c>
      <c r="I1742" s="47" t="s">
        <v>2496</v>
      </c>
      <c r="J1742" t="s">
        <v>2813</v>
      </c>
      <c r="K1742">
        <v>65</v>
      </c>
      <c r="L1742">
        <v>92</v>
      </c>
      <c r="M1742">
        <v>65</v>
      </c>
      <c r="N1742">
        <v>92</v>
      </c>
      <c r="O1742" s="24">
        <v>53</v>
      </c>
      <c r="P1742" s="24">
        <v>83</v>
      </c>
      <c r="Q1742">
        <v>39</v>
      </c>
      <c r="R1742">
        <v>70</v>
      </c>
      <c r="S1742">
        <v>38</v>
      </c>
      <c r="T1742">
        <v>74</v>
      </c>
      <c r="U1742">
        <v>38</v>
      </c>
      <c r="V1742">
        <v>74</v>
      </c>
    </row>
    <row r="1743" spans="1:22" x14ac:dyDescent="0.35">
      <c r="A1743" t="str">
        <f>HIX_RatingAreas8[[#This Row],[Subdivision]]&amp;" County"</f>
        <v>Roane County County</v>
      </c>
      <c r="B1743" s="51" t="s">
        <v>2524</v>
      </c>
      <c r="D1743" t="s">
        <v>2469</v>
      </c>
      <c r="E1743" t="s">
        <v>2470</v>
      </c>
      <c r="F1743" s="46" t="s">
        <v>2524</v>
      </c>
      <c r="G1743" t="s">
        <v>231</v>
      </c>
      <c r="H1743" s="47" t="s">
        <v>393</v>
      </c>
      <c r="I1743" s="47" t="s">
        <v>2477</v>
      </c>
      <c r="J1743" t="s">
        <v>1825</v>
      </c>
      <c r="K1743">
        <v>172</v>
      </c>
      <c r="L1743">
        <v>222</v>
      </c>
      <c r="M1743">
        <v>172</v>
      </c>
      <c r="N1743">
        <v>222</v>
      </c>
      <c r="O1743" s="24">
        <v>152</v>
      </c>
      <c r="P1743" s="24">
        <v>201</v>
      </c>
      <c r="Q1743">
        <v>125</v>
      </c>
      <c r="R1743">
        <v>160</v>
      </c>
      <c r="S1743">
        <v>117</v>
      </c>
      <c r="T1743">
        <v>170</v>
      </c>
      <c r="U1743">
        <v>117</v>
      </c>
      <c r="V1743">
        <v>170</v>
      </c>
    </row>
    <row r="1744" spans="1:22" x14ac:dyDescent="0.35">
      <c r="A1744" t="str">
        <f>HIX_RatingAreas8[[#This Row],[Subdivision]]&amp;" County"</f>
        <v>Summers County County</v>
      </c>
      <c r="B1744" s="51" t="s">
        <v>2525</v>
      </c>
      <c r="D1744" t="s">
        <v>2469</v>
      </c>
      <c r="E1744" t="s">
        <v>2470</v>
      </c>
      <c r="F1744" s="46" t="s">
        <v>2525</v>
      </c>
      <c r="G1744" t="s">
        <v>255</v>
      </c>
      <c r="H1744" s="47" t="s">
        <v>467</v>
      </c>
      <c r="I1744" s="47" t="s">
        <v>2508</v>
      </c>
      <c r="J1744" t="s">
        <v>2814</v>
      </c>
      <c r="K1744">
        <v>79</v>
      </c>
      <c r="L1744">
        <v>134</v>
      </c>
      <c r="M1744">
        <v>79</v>
      </c>
      <c r="N1744">
        <v>134</v>
      </c>
      <c r="O1744" s="24">
        <v>50</v>
      </c>
      <c r="P1744" s="24">
        <v>103</v>
      </c>
      <c r="Q1744">
        <v>51</v>
      </c>
      <c r="R1744">
        <v>89</v>
      </c>
      <c r="S1744">
        <v>44</v>
      </c>
      <c r="T1744">
        <v>90</v>
      </c>
      <c r="U1744">
        <v>44</v>
      </c>
      <c r="V1744">
        <v>90</v>
      </c>
    </row>
    <row r="1745" spans="1:22" x14ac:dyDescent="0.35">
      <c r="A1745" t="str">
        <f>HIX_RatingAreas8[[#This Row],[Subdivision]]&amp;" County"</f>
        <v>Taylor County County</v>
      </c>
      <c r="B1745" s="51" t="s">
        <v>2526</v>
      </c>
      <c r="D1745" t="s">
        <v>2469</v>
      </c>
      <c r="E1745" t="s">
        <v>2470</v>
      </c>
      <c r="F1745" s="46" t="s">
        <v>2526</v>
      </c>
      <c r="G1745" t="s">
        <v>283</v>
      </c>
      <c r="H1745" s="47" t="s">
        <v>1366</v>
      </c>
      <c r="I1745" s="47" t="s">
        <v>2471</v>
      </c>
      <c r="J1745" t="s">
        <v>760</v>
      </c>
      <c r="K1745">
        <v>100</v>
      </c>
      <c r="L1745">
        <v>158</v>
      </c>
      <c r="M1745">
        <v>100</v>
      </c>
      <c r="N1745">
        <v>158</v>
      </c>
      <c r="O1745" s="24">
        <v>71</v>
      </c>
      <c r="P1745" s="24">
        <v>121</v>
      </c>
      <c r="Q1745">
        <v>72</v>
      </c>
      <c r="R1745">
        <v>123</v>
      </c>
      <c r="S1745">
        <v>58</v>
      </c>
      <c r="T1745">
        <v>142</v>
      </c>
      <c r="U1745">
        <v>58</v>
      </c>
      <c r="V1745">
        <v>142</v>
      </c>
    </row>
    <row r="1746" spans="1:22" x14ac:dyDescent="0.35">
      <c r="A1746" t="str">
        <f>HIX_RatingAreas8[[#This Row],[Subdivision]]&amp;" County"</f>
        <v>Tucker County County</v>
      </c>
      <c r="B1746" s="51" t="s">
        <v>2527</v>
      </c>
      <c r="D1746" t="s">
        <v>2469</v>
      </c>
      <c r="E1746" t="s">
        <v>2470</v>
      </c>
      <c r="F1746" s="46" t="s">
        <v>2527</v>
      </c>
      <c r="G1746" t="s">
        <v>283</v>
      </c>
      <c r="H1746" s="47" t="s">
        <v>1366</v>
      </c>
      <c r="I1746" s="47" t="s">
        <v>2471</v>
      </c>
      <c r="J1746" t="s">
        <v>2815</v>
      </c>
      <c r="K1746">
        <v>81</v>
      </c>
      <c r="L1746">
        <v>142</v>
      </c>
      <c r="M1746">
        <v>81</v>
      </c>
      <c r="N1746">
        <v>142</v>
      </c>
      <c r="O1746" s="24">
        <v>75</v>
      </c>
      <c r="P1746" s="24">
        <v>128</v>
      </c>
      <c r="Q1746">
        <v>63</v>
      </c>
      <c r="R1746">
        <v>109</v>
      </c>
      <c r="S1746">
        <v>51</v>
      </c>
      <c r="T1746">
        <v>138</v>
      </c>
      <c r="U1746">
        <v>51</v>
      </c>
      <c r="V1746">
        <v>138</v>
      </c>
    </row>
    <row r="1747" spans="1:22" x14ac:dyDescent="0.35">
      <c r="A1747" t="str">
        <f>HIX_RatingAreas8[[#This Row],[Subdivision]]&amp;" County"</f>
        <v>Tyler County County</v>
      </c>
      <c r="B1747" s="51" t="s">
        <v>2528</v>
      </c>
      <c r="D1747" t="s">
        <v>2469</v>
      </c>
      <c r="E1747" t="s">
        <v>2470</v>
      </c>
      <c r="F1747" s="46" t="s">
        <v>2528</v>
      </c>
      <c r="G1747" t="s">
        <v>289</v>
      </c>
      <c r="H1747" s="47" t="s">
        <v>1355</v>
      </c>
      <c r="I1747" s="47" t="s">
        <v>2496</v>
      </c>
      <c r="J1747" t="s">
        <v>2059</v>
      </c>
      <c r="K1747">
        <v>57</v>
      </c>
      <c r="L1747">
        <v>111</v>
      </c>
      <c r="M1747">
        <v>57</v>
      </c>
      <c r="N1747">
        <v>111</v>
      </c>
      <c r="O1747" s="24">
        <v>60</v>
      </c>
      <c r="P1747" s="24">
        <v>86</v>
      </c>
      <c r="Q1747">
        <v>67</v>
      </c>
      <c r="R1747">
        <v>90</v>
      </c>
      <c r="S1747">
        <v>49</v>
      </c>
      <c r="T1747">
        <v>88</v>
      </c>
      <c r="U1747">
        <v>49</v>
      </c>
      <c r="V1747">
        <v>88</v>
      </c>
    </row>
    <row r="1748" spans="1:22" x14ac:dyDescent="0.35">
      <c r="A1748" t="str">
        <f>HIX_RatingAreas8[[#This Row],[Subdivision]]&amp;" County"</f>
        <v>Upshur County County</v>
      </c>
      <c r="B1748" s="51" t="s">
        <v>2529</v>
      </c>
      <c r="D1748" t="s">
        <v>2469</v>
      </c>
      <c r="E1748" t="s">
        <v>2470</v>
      </c>
      <c r="F1748" s="46" t="s">
        <v>2529</v>
      </c>
      <c r="G1748" t="s">
        <v>283</v>
      </c>
      <c r="H1748" s="47" t="s">
        <v>1366</v>
      </c>
      <c r="I1748" s="47" t="s">
        <v>2471</v>
      </c>
      <c r="J1748" t="s">
        <v>2161</v>
      </c>
      <c r="K1748">
        <v>213</v>
      </c>
      <c r="L1748">
        <v>323</v>
      </c>
      <c r="M1748">
        <v>213</v>
      </c>
      <c r="N1748">
        <v>323</v>
      </c>
      <c r="O1748" s="24">
        <v>164</v>
      </c>
      <c r="P1748" s="24">
        <v>282</v>
      </c>
      <c r="Q1748">
        <v>145</v>
      </c>
      <c r="R1748">
        <v>269</v>
      </c>
      <c r="S1748">
        <v>130</v>
      </c>
      <c r="T1748">
        <v>318</v>
      </c>
      <c r="U1748">
        <v>130</v>
      </c>
      <c r="V1748">
        <v>318</v>
      </c>
    </row>
    <row r="1749" spans="1:22" x14ac:dyDescent="0.35">
      <c r="A1749" t="str">
        <f>HIX_RatingAreas8[[#This Row],[Subdivision]]&amp;" County"</f>
        <v>Wayne County County</v>
      </c>
      <c r="B1749" s="51" t="s">
        <v>2530</v>
      </c>
      <c r="D1749" t="s">
        <v>2469</v>
      </c>
      <c r="E1749" t="s">
        <v>2470</v>
      </c>
      <c r="F1749" s="46" t="s">
        <v>2530</v>
      </c>
      <c r="G1749" t="s">
        <v>259</v>
      </c>
      <c r="H1749" s="47" t="s">
        <v>477</v>
      </c>
      <c r="I1749" s="47" t="s">
        <v>2481</v>
      </c>
      <c r="J1749" t="s">
        <v>894</v>
      </c>
      <c r="K1749">
        <v>232</v>
      </c>
      <c r="L1749">
        <v>339</v>
      </c>
      <c r="M1749">
        <v>232</v>
      </c>
      <c r="N1749">
        <v>339</v>
      </c>
      <c r="O1749" s="24">
        <v>196</v>
      </c>
      <c r="P1749" s="24">
        <v>320</v>
      </c>
      <c r="Q1749">
        <v>173</v>
      </c>
      <c r="R1749">
        <v>295</v>
      </c>
      <c r="S1749">
        <v>167</v>
      </c>
      <c r="T1749">
        <v>350</v>
      </c>
      <c r="U1749">
        <v>167</v>
      </c>
      <c r="V1749">
        <v>350</v>
      </c>
    </row>
    <row r="1750" spans="1:22" x14ac:dyDescent="0.35">
      <c r="A1750" t="str">
        <f>HIX_RatingAreas8[[#This Row],[Subdivision]]&amp;" County"</f>
        <v>Webster County County</v>
      </c>
      <c r="B1750" s="51" t="s">
        <v>2531</v>
      </c>
      <c r="D1750" t="s">
        <v>2469</v>
      </c>
      <c r="E1750" t="s">
        <v>2470</v>
      </c>
      <c r="F1750" s="46" t="s">
        <v>2531</v>
      </c>
      <c r="G1750" t="s">
        <v>283</v>
      </c>
      <c r="H1750" s="47" t="s">
        <v>1366</v>
      </c>
      <c r="I1750" s="47" t="s">
        <v>2471</v>
      </c>
      <c r="J1750" t="s">
        <v>924</v>
      </c>
      <c r="K1750">
        <v>39</v>
      </c>
      <c r="L1750">
        <v>74</v>
      </c>
      <c r="M1750">
        <v>39</v>
      </c>
      <c r="N1750">
        <v>74</v>
      </c>
      <c r="O1750" s="24">
        <v>33</v>
      </c>
      <c r="P1750" s="24">
        <v>58</v>
      </c>
      <c r="Q1750">
        <v>23</v>
      </c>
      <c r="R1750">
        <v>54</v>
      </c>
      <c r="S1750">
        <v>17</v>
      </c>
      <c r="T1750">
        <v>50</v>
      </c>
      <c r="U1750">
        <v>17</v>
      </c>
      <c r="V1750">
        <v>50</v>
      </c>
    </row>
    <row r="1751" spans="1:22" x14ac:dyDescent="0.35">
      <c r="A1751" t="str">
        <f>HIX_RatingAreas8[[#This Row],[Subdivision]]&amp;" County"</f>
        <v>Wetzel County County</v>
      </c>
      <c r="B1751" s="51" t="s">
        <v>2532</v>
      </c>
      <c r="D1751" t="s">
        <v>2469</v>
      </c>
      <c r="E1751" t="s">
        <v>2470</v>
      </c>
      <c r="F1751" s="46" t="s">
        <v>2532</v>
      </c>
      <c r="G1751" t="s">
        <v>279</v>
      </c>
      <c r="H1751" s="47" t="s">
        <v>1347</v>
      </c>
      <c r="I1751" s="47" t="s">
        <v>2485</v>
      </c>
      <c r="J1751" t="s">
        <v>2816</v>
      </c>
      <c r="K1751">
        <v>121</v>
      </c>
      <c r="L1751">
        <v>186</v>
      </c>
      <c r="M1751">
        <v>121</v>
      </c>
      <c r="N1751">
        <v>186</v>
      </c>
      <c r="O1751" s="24">
        <v>108</v>
      </c>
      <c r="P1751" s="24">
        <v>170</v>
      </c>
      <c r="Q1751">
        <v>87</v>
      </c>
      <c r="R1751">
        <v>143</v>
      </c>
      <c r="S1751">
        <v>69</v>
      </c>
      <c r="T1751">
        <v>163</v>
      </c>
      <c r="U1751">
        <v>69</v>
      </c>
      <c r="V1751">
        <v>163</v>
      </c>
    </row>
    <row r="1752" spans="1:22" x14ac:dyDescent="0.35">
      <c r="A1752" t="str">
        <f>HIX_RatingAreas8[[#This Row],[Subdivision]]&amp;" County"</f>
        <v>Wirt County County</v>
      </c>
      <c r="B1752" s="51" t="s">
        <v>2533</v>
      </c>
      <c r="D1752" t="s">
        <v>2469</v>
      </c>
      <c r="E1752" t="s">
        <v>2470</v>
      </c>
      <c r="F1752" s="46" t="s">
        <v>2533</v>
      </c>
      <c r="G1752" t="s">
        <v>289</v>
      </c>
      <c r="H1752" s="47" t="s">
        <v>1355</v>
      </c>
      <c r="I1752" s="47" t="s">
        <v>2496</v>
      </c>
      <c r="J1752" t="s">
        <v>2817</v>
      </c>
      <c r="K1752">
        <v>55</v>
      </c>
      <c r="L1752">
        <v>66</v>
      </c>
      <c r="M1752">
        <v>55</v>
      </c>
      <c r="N1752">
        <v>66</v>
      </c>
      <c r="O1752" s="24">
        <v>39</v>
      </c>
      <c r="P1752" s="24">
        <v>48</v>
      </c>
      <c r="Q1752">
        <v>37</v>
      </c>
      <c r="R1752">
        <v>51</v>
      </c>
      <c r="S1752">
        <v>41</v>
      </c>
      <c r="T1752">
        <v>55</v>
      </c>
      <c r="U1752">
        <v>41</v>
      </c>
      <c r="V1752">
        <v>55</v>
      </c>
    </row>
    <row r="1753" spans="1:22" x14ac:dyDescent="0.35">
      <c r="A1753" t="str">
        <f>HIX_RatingAreas8[[#This Row],[Subdivision]]&amp;" County"</f>
        <v>Wood County County</v>
      </c>
      <c r="B1753" s="51" t="s">
        <v>2534</v>
      </c>
      <c r="D1753" t="s">
        <v>2469</v>
      </c>
      <c r="E1753" t="s">
        <v>2470</v>
      </c>
      <c r="F1753" s="46" t="s">
        <v>2534</v>
      </c>
      <c r="G1753" t="s">
        <v>289</v>
      </c>
      <c r="H1753" s="47" t="s">
        <v>1355</v>
      </c>
      <c r="I1753" s="47" t="s">
        <v>2496</v>
      </c>
      <c r="J1753" t="s">
        <v>2337</v>
      </c>
      <c r="K1753">
        <v>632</v>
      </c>
      <c r="L1753">
        <v>1006</v>
      </c>
      <c r="M1753">
        <v>632</v>
      </c>
      <c r="N1753">
        <v>1006</v>
      </c>
      <c r="O1753" s="24">
        <v>535</v>
      </c>
      <c r="P1753" s="24">
        <v>856</v>
      </c>
      <c r="Q1753">
        <v>484</v>
      </c>
      <c r="R1753">
        <v>813</v>
      </c>
      <c r="S1753">
        <v>473</v>
      </c>
      <c r="T1753">
        <v>944</v>
      </c>
      <c r="U1753">
        <v>473</v>
      </c>
      <c r="V1753">
        <v>944</v>
      </c>
    </row>
    <row r="1754" spans="1:22" x14ac:dyDescent="0.35">
      <c r="A1754" t="str">
        <f>HIX_RatingAreas8[[#This Row],[Subdivision]]&amp;" County"</f>
        <v>Wyoming County County</v>
      </c>
      <c r="B1754" s="51" t="s">
        <v>2535</v>
      </c>
      <c r="D1754" t="s">
        <v>2469</v>
      </c>
      <c r="E1754" t="s">
        <v>2470</v>
      </c>
      <c r="F1754" s="46" t="s">
        <v>2535</v>
      </c>
      <c r="G1754" t="s">
        <v>239</v>
      </c>
      <c r="H1754" s="47" t="s">
        <v>450</v>
      </c>
      <c r="I1754" s="47" t="s">
        <v>2475</v>
      </c>
      <c r="J1754" t="s">
        <v>2818</v>
      </c>
      <c r="K1754">
        <v>122</v>
      </c>
      <c r="L1754">
        <v>211</v>
      </c>
      <c r="M1754">
        <v>122</v>
      </c>
      <c r="N1754">
        <v>211</v>
      </c>
      <c r="O1754" s="24">
        <v>84</v>
      </c>
      <c r="P1754" s="24">
        <v>148</v>
      </c>
      <c r="Q1754">
        <v>92</v>
      </c>
      <c r="R1754">
        <v>155</v>
      </c>
      <c r="S1754">
        <v>81</v>
      </c>
      <c r="T1754">
        <v>168</v>
      </c>
      <c r="U1754">
        <v>81</v>
      </c>
      <c r="V1754">
        <v>168</v>
      </c>
    </row>
    <row r="1755" spans="1:22" x14ac:dyDescent="0.35">
      <c r="F1755" s="23"/>
      <c r="H1755" s="47"/>
      <c r="I1755" s="47"/>
    </row>
    <row r="1757" spans="1:22" x14ac:dyDescent="0.35">
      <c r="C1757" s="2" t="s">
        <v>2536</v>
      </c>
    </row>
    <row r="1758" spans="1:22" x14ac:dyDescent="0.35">
      <c r="D1758" t="s">
        <v>2537</v>
      </c>
    </row>
    <row r="1760" spans="1:22" x14ac:dyDescent="0.35">
      <c r="C1760" s="2" t="s">
        <v>175</v>
      </c>
    </row>
    <row r="1761" spans="3:65" x14ac:dyDescent="0.35">
      <c r="D1761" t="s">
        <v>2538</v>
      </c>
    </row>
    <row r="1762" spans="3:65" x14ac:dyDescent="0.35">
      <c r="E1762" t="s">
        <v>2539</v>
      </c>
    </row>
    <row r="1763" spans="3:65" x14ac:dyDescent="0.35">
      <c r="E1763" s="37" t="s">
        <v>2540</v>
      </c>
      <c r="F1763" t="s">
        <v>1662</v>
      </c>
    </row>
    <row r="1764" spans="3:65" x14ac:dyDescent="0.35">
      <c r="E1764" s="37" t="s">
        <v>2541</v>
      </c>
      <c r="F1764" t="str">
        <f>J1321</f>
        <v>York County</v>
      </c>
      <c r="H1764" s="52" t="s">
        <v>1005</v>
      </c>
      <c r="I1764" t="s">
        <v>2298</v>
      </c>
    </row>
    <row r="1765" spans="3:65" x14ac:dyDescent="0.35">
      <c r="E1765" s="38" t="s">
        <v>181</v>
      </c>
      <c r="F1765" t="str">
        <f t="array" ref="F1765">INDEX(HIX_RatingAreas8[],MATCH(1,(HIX_RatingAreas8[State]=F1763)*(HIX_RatingAreas8[Subdivision]=F1764),0),MATCH("Rating Area ID",HIX_RatingAreas8[#Headers],0))</f>
        <v>Rating Area 46</v>
      </c>
    </row>
    <row r="1767" spans="3:65" x14ac:dyDescent="0.35">
      <c r="C1767" s="2" t="s">
        <v>2542</v>
      </c>
    </row>
    <row r="1768" spans="3:65" x14ac:dyDescent="0.35">
      <c r="D1768" t="s">
        <v>2543</v>
      </c>
    </row>
    <row r="1769" spans="3:65" x14ac:dyDescent="0.35">
      <c r="D1769" t="s">
        <v>2544</v>
      </c>
    </row>
    <row r="1770" spans="3:65" x14ac:dyDescent="0.35">
      <c r="D1770" t="s">
        <v>2545</v>
      </c>
    </row>
    <row r="1771" spans="3:65" x14ac:dyDescent="0.35">
      <c r="D1771" s="43" t="s">
        <v>2546</v>
      </c>
    </row>
    <row r="1773" spans="3:65" x14ac:dyDescent="0.35">
      <c r="C1773" s="2" t="s">
        <v>2547</v>
      </c>
    </row>
    <row r="1774" spans="3:65" x14ac:dyDescent="0.35">
      <c r="C1774" t="s">
        <v>2548</v>
      </c>
      <c r="AC1774" t="s">
        <v>2549</v>
      </c>
    </row>
    <row r="1775" spans="3:65" ht="43.5" x14ac:dyDescent="0.35">
      <c r="D1775" s="26" t="s">
        <v>212</v>
      </c>
      <c r="E1775" s="26" t="s">
        <v>214</v>
      </c>
      <c r="F1775" s="26" t="s">
        <v>2550</v>
      </c>
      <c r="G1775" s="26" t="s">
        <v>2551</v>
      </c>
      <c r="H1775" s="26" t="s">
        <v>2552</v>
      </c>
      <c r="I1775" s="26" t="s">
        <v>2553</v>
      </c>
      <c r="J1775" s="26" t="s">
        <v>2554</v>
      </c>
      <c r="K1775" s="26" t="s">
        <v>2555</v>
      </c>
      <c r="L1775" s="26" t="s">
        <v>2556</v>
      </c>
      <c r="M1775" s="29" t="s">
        <v>2557</v>
      </c>
      <c r="N1775" s="29" t="s">
        <v>2558</v>
      </c>
      <c r="O1775" s="29" t="s">
        <v>2559</v>
      </c>
      <c r="P1775" s="29" t="s">
        <v>153</v>
      </c>
      <c r="Q1775" s="26" t="s">
        <v>2560</v>
      </c>
      <c r="R1775" s="26" t="s">
        <v>2561</v>
      </c>
      <c r="S1775" s="26" t="s">
        <v>2562</v>
      </c>
      <c r="T1775" s="26" t="s">
        <v>2563</v>
      </c>
      <c r="U1775" s="26" t="s">
        <v>154</v>
      </c>
      <c r="V1775" s="26" t="s">
        <v>2564</v>
      </c>
      <c r="W1775" s="26" t="s">
        <v>2565</v>
      </c>
      <c r="X1775" s="26" t="s">
        <v>2566</v>
      </c>
      <c r="Y1775" s="26" t="s">
        <v>2567</v>
      </c>
      <c r="Z1775" s="26" t="s">
        <v>155</v>
      </c>
      <c r="AA1775" s="26" t="s">
        <v>2568</v>
      </c>
      <c r="AB1775" s="26" t="s">
        <v>2569</v>
      </c>
      <c r="AC1775" s="26" t="s">
        <v>2570</v>
      </c>
      <c r="AD1775" s="26" t="s">
        <v>2571</v>
      </c>
      <c r="AE1775" s="26" t="s">
        <v>156</v>
      </c>
      <c r="AF1775" s="26" t="s">
        <v>2572</v>
      </c>
      <c r="AG1775" s="26" t="s">
        <v>2573</v>
      </c>
      <c r="AH1775" s="26" t="s">
        <v>2708</v>
      </c>
      <c r="AI1775" s="26" t="s">
        <v>2709</v>
      </c>
      <c r="AJ1775" s="26" t="s">
        <v>2701</v>
      </c>
      <c r="AK1775" s="26" t="s">
        <v>2710</v>
      </c>
      <c r="AL1775" s="26" t="s">
        <v>2711</v>
      </c>
      <c r="AM1775" s="26" t="s">
        <v>2574</v>
      </c>
      <c r="AN1775" s="26" t="s">
        <v>2575</v>
      </c>
      <c r="AO1775" s="26" t="s">
        <v>2576</v>
      </c>
      <c r="AP1775" s="26" t="s">
        <v>2577</v>
      </c>
      <c r="AQ1775" s="26" t="s">
        <v>2578</v>
      </c>
      <c r="AR1775" s="26" t="s">
        <v>2579</v>
      </c>
      <c r="AS1775" s="26" t="s">
        <v>2704</v>
      </c>
      <c r="AT1775" s="26" t="s">
        <v>2580</v>
      </c>
      <c r="AU1775" s="26" t="s">
        <v>2581</v>
      </c>
      <c r="AV1775" s="26" t="s">
        <v>2582</v>
      </c>
      <c r="AW1775" s="26" t="s">
        <v>2583</v>
      </c>
      <c r="AX1775" s="26" t="s">
        <v>2584</v>
      </c>
      <c r="AY1775" s="26" t="s">
        <v>2585</v>
      </c>
      <c r="AZ1775" s="26" t="s">
        <v>2586</v>
      </c>
      <c r="BA1775" s="26" t="s">
        <v>2587</v>
      </c>
      <c r="BB1775" s="26" t="s">
        <v>2588</v>
      </c>
      <c r="BC1775" s="26" t="s">
        <v>2589</v>
      </c>
      <c r="BD1775" s="26" t="s">
        <v>2590</v>
      </c>
      <c r="BE1775" s="26" t="s">
        <v>2591</v>
      </c>
      <c r="BF1775" s="26" t="s">
        <v>2706</v>
      </c>
      <c r="BG1775" s="26" t="s">
        <v>2705</v>
      </c>
      <c r="BH1775" s="26" t="s">
        <v>2592</v>
      </c>
      <c r="BI1775" s="26" t="s">
        <v>2593</v>
      </c>
      <c r="BJ1775" s="26" t="s">
        <v>2594</v>
      </c>
      <c r="BK1775" s="26" t="s">
        <v>2595</v>
      </c>
      <c r="BL1775" s="26" t="s">
        <v>2596</v>
      </c>
      <c r="BM1775" s="26" t="s">
        <v>2707</v>
      </c>
    </row>
    <row r="1776" spans="3:65" x14ac:dyDescent="0.35">
      <c r="D1776" t="s">
        <v>229</v>
      </c>
      <c r="E1776" t="s">
        <v>2597</v>
      </c>
      <c r="F1776" s="23"/>
      <c r="G1776" s="23"/>
      <c r="H1776" s="23"/>
      <c r="I1776" s="23"/>
      <c r="J1776" s="53"/>
      <c r="K1776" s="53">
        <f>SUM(BH1777:BH1789)</f>
        <v>456.13</v>
      </c>
      <c r="L1776" s="53"/>
      <c r="M1776" s="54"/>
      <c r="O1776" s="55"/>
      <c r="P1776" s="56">
        <f>SUM(BI1777:BI1789)</f>
        <v>446.58</v>
      </c>
      <c r="Q1776" s="56"/>
      <c r="R1776" s="57"/>
      <c r="S1776" s="23"/>
      <c r="T1776" s="53"/>
      <c r="U1776" s="53">
        <f>SUM(BJ1777:BJ1789)</f>
        <v>425.65999999999997</v>
      </c>
      <c r="V1776" s="53"/>
      <c r="W1776" s="57"/>
      <c r="X1776" s="57"/>
      <c r="Y1776" s="58"/>
      <c r="Z1776" s="58">
        <f>SUM(BK1777:BK1789)</f>
        <v>487.48</v>
      </c>
      <c r="AA1776" s="58"/>
      <c r="AB1776" s="57"/>
      <c r="AC1776" s="47"/>
      <c r="AD1776" s="57"/>
      <c r="AE1776" s="58">
        <f>SUM(BL1777:BL1789)</f>
        <v>481.05</v>
      </c>
      <c r="AF1776" s="57"/>
      <c r="AG1776" s="57"/>
      <c r="AH1776" s="47"/>
      <c r="AI1776" s="57"/>
      <c r="AJ1776" s="58">
        <f>SUM(BM1777:BM1789)</f>
        <v>460.87000000000006</v>
      </c>
      <c r="AK1776" s="57"/>
      <c r="AL1776" s="57"/>
      <c r="AM1776" s="59">
        <f t="shared" ref="AM1776:AT1776" si="2">SUM(AM1777:AM1789)</f>
        <v>166220</v>
      </c>
      <c r="AN1776" s="59">
        <f t="shared" si="2"/>
        <v>140350</v>
      </c>
      <c r="AO1776" s="59">
        <f t="shared" si="2"/>
        <v>135798</v>
      </c>
      <c r="AP1776" s="59">
        <f t="shared" si="2"/>
        <v>131194</v>
      </c>
      <c r="AQ1776" s="59">
        <f t="shared" si="2"/>
        <v>137734</v>
      </c>
      <c r="AR1776" s="59">
        <f t="shared" si="2"/>
        <v>179331</v>
      </c>
      <c r="AS1776" s="59">
        <f t="shared" si="2"/>
        <v>179331</v>
      </c>
      <c r="AT1776" s="59">
        <f t="shared" si="2"/>
        <v>195047</v>
      </c>
      <c r="AU1776">
        <f t="shared" ref="AU1776:AU1789" si="3">AT1776/AT$1776</f>
        <v>1</v>
      </c>
      <c r="AV1776" s="59">
        <f>SUM(AV1777:AV1789)</f>
        <v>170211</v>
      </c>
      <c r="AW1776">
        <f t="shared" ref="AW1776:AW1789" si="4">AV1776/AV$1776</f>
        <v>1</v>
      </c>
      <c r="AX1776" s="59">
        <f>SUM(AX1777:AX1789)</f>
        <v>166128</v>
      </c>
      <c r="AY1776">
        <f t="shared" ref="AY1776:AY1789" si="5">AX1776/AX$1776</f>
        <v>1</v>
      </c>
      <c r="AZ1776" s="59">
        <f>SUM(AZ1777:AZ1789)</f>
        <v>160429</v>
      </c>
      <c r="BA1776">
        <f t="shared" ref="BA1776:BA1789" si="6">AZ1776/AZ$1776</f>
        <v>1</v>
      </c>
      <c r="BB1776" s="59">
        <f>SUM(BB1777:BB1789)</f>
        <v>169119</v>
      </c>
      <c r="BC1776">
        <f t="shared" ref="BC1776:BC1789" si="7">BB1776/BB$1776</f>
        <v>1</v>
      </c>
      <c r="BD1776" s="59">
        <f>SUM(BD1777:BD1789)</f>
        <v>219314</v>
      </c>
      <c r="BE1776">
        <f t="shared" ref="BE1776:BE1789" si="8">BD1776/BD$1776</f>
        <v>1</v>
      </c>
      <c r="BF1776" s="59">
        <f>SUM(BF1777:BF1789)</f>
        <v>219314</v>
      </c>
      <c r="BG1776">
        <f t="shared" ref="BG1776:BG1789" si="9">BF1776/BF$1776</f>
        <v>1</v>
      </c>
      <c r="BH1776" s="53"/>
      <c r="BI1776" s="53"/>
      <c r="BJ1776" s="53"/>
      <c r="BK1776" s="53"/>
      <c r="BL1776" s="53"/>
      <c r="BM1776" s="53"/>
    </row>
    <row r="1777" spans="4:65" x14ac:dyDescent="0.35">
      <c r="D1777" t="s">
        <v>229</v>
      </c>
      <c r="E1777" t="s">
        <v>231</v>
      </c>
      <c r="F1777" s="23">
        <v>1</v>
      </c>
      <c r="G1777" s="23" t="s">
        <v>230</v>
      </c>
      <c r="H1777" s="23" t="s">
        <v>232</v>
      </c>
      <c r="I1777" s="23">
        <v>9</v>
      </c>
      <c r="J1777" s="53">
        <v>417.6</v>
      </c>
      <c r="K1777" s="53">
        <v>459.81</v>
      </c>
      <c r="L1777" s="53">
        <v>783.62</v>
      </c>
      <c r="M1777" s="54">
        <f t="shared" ref="M1777:M1797" si="10">L1777/K1777</f>
        <v>1.7042256584241318</v>
      </c>
      <c r="N1777" s="24">
        <v>8</v>
      </c>
      <c r="O1777" s="55">
        <v>400.58</v>
      </c>
      <c r="P1777" s="56">
        <v>435.84</v>
      </c>
      <c r="Q1777" s="56">
        <v>742.76</v>
      </c>
      <c r="R1777" s="57">
        <f t="shared" ref="R1777:R1789" si="11">Q1777/P1777</f>
        <v>1.7042033773861969</v>
      </c>
      <c r="S1777" s="23">
        <v>10</v>
      </c>
      <c r="T1777" s="53">
        <v>328.59</v>
      </c>
      <c r="U1777" s="53">
        <v>409.94</v>
      </c>
      <c r="V1777" s="53">
        <v>698.62</v>
      </c>
      <c r="W1777" s="57">
        <f t="shared" ref="W1777:W1789" si="12">V1777/U1777</f>
        <v>1.704200614724106</v>
      </c>
      <c r="X1777" s="47">
        <v>8</v>
      </c>
      <c r="Y1777" s="58">
        <v>431.14</v>
      </c>
      <c r="Z1777" s="58">
        <v>462.85</v>
      </c>
      <c r="AA1777" s="58">
        <v>788.78</v>
      </c>
      <c r="AB1777" s="57">
        <f t="shared" ref="AB1777:AB1789" si="13">AA1777/Z1777</f>
        <v>1.7041806200712972</v>
      </c>
      <c r="AC1777" s="47">
        <v>8</v>
      </c>
      <c r="AD1777" s="23">
        <v>460.77</v>
      </c>
      <c r="AE1777" s="23">
        <v>494.63</v>
      </c>
      <c r="AF1777" s="23">
        <v>842.95</v>
      </c>
      <c r="AG1777" s="57">
        <f t="shared" ref="AG1777:AG1789" si="14">AF1777/AE1777</f>
        <v>1.7042031417423125</v>
      </c>
      <c r="AH1777" s="47">
        <v>12</v>
      </c>
      <c r="AI1777" s="54">
        <v>442.66</v>
      </c>
      <c r="AJ1777">
        <v>459.32</v>
      </c>
      <c r="AK1777">
        <v>782.77</v>
      </c>
      <c r="AL1777" s="57">
        <f t="shared" ref="AL1777:AL1840" si="15">AK1777/AJ1777</f>
        <v>1.7041931550988418</v>
      </c>
      <c r="AM1777" s="59">
        <v>3403</v>
      </c>
      <c r="AN1777" s="59">
        <f>SUMIFS(HIX_RatingAreas8[Silver Enrollments 2018],HIX_RatingAreas8[Area],HIX_SLCSP11[[#This Row],[Area Code]])</f>
        <v>2854</v>
      </c>
      <c r="AO1777" s="59">
        <f>SUMIFS(HIX_RatingAreas8[Silver Enrollments 2019],HIX_RatingAreas8[Area],HIX_SLCSP11[[#This Row],[Area Code]])</f>
        <v>2881</v>
      </c>
      <c r="AP1777" s="59">
        <f>SUMIFS(HIX_RatingAreas8[Silver Enrollments 2020],HIX_RatingAreas8[Area],HIX_SLCSP11[[#This Row],[Area Code]])</f>
        <v>2831</v>
      </c>
      <c r="AQ1777" s="59">
        <f>SUMIFS(HIX_RatingAreas8[Silver Enrollments 2021],HIX_RatingAreas8[Area],HIX_SLCSP11[[#This Row],[Area Code]])</f>
        <v>2946</v>
      </c>
      <c r="AR1777" s="59">
        <f>SUMIFS(HIX_RatingAreas8[Silver Enrollments 2022],HIX_RatingAreas8[Area],HIX_SLCSP11[[#This Row],[Area Code]])</f>
        <v>3839</v>
      </c>
      <c r="AS1777" s="59">
        <f>SUMIFS(HIX_RatingAreas8[Silver Enrollments 2023],HIX_RatingAreas8[Area],HIX_SLCSP11[[#This Row],[Area Code]])</f>
        <v>3839</v>
      </c>
      <c r="AT1777" s="59">
        <v>3966</v>
      </c>
      <c r="AU1777">
        <f t="shared" si="3"/>
        <v>2.0333560628976604E-2</v>
      </c>
      <c r="AV1777">
        <f>SUMIFS(HIX_RatingAreas8[QHP Enrollments 2018],HIX_RatingAreas8[Area],HIX_SLCSP11[[#This Row],[Area Code]])</f>
        <v>3445</v>
      </c>
      <c r="AW1777">
        <f t="shared" si="4"/>
        <v>2.0239584985694226E-2</v>
      </c>
      <c r="AX1777">
        <f>SUMIFS(HIX_RatingAreas8[QHP Enrollments 2019],HIX_RatingAreas8[Area],HIX_SLCSP11[[#This Row],[Area Code]])</f>
        <v>3472</v>
      </c>
      <c r="AY1777">
        <f t="shared" si="5"/>
        <v>2.0899547336993163E-2</v>
      </c>
      <c r="AZ1777">
        <f>SUMIFS(HIX_RatingAreas8[QHP Enrollments 2020],HIX_RatingAreas8[Area],HIX_SLCSP11[[#This Row],[Area Code]])</f>
        <v>3375</v>
      </c>
      <c r="BA1777">
        <f t="shared" si="6"/>
        <v>2.1037343622412406E-2</v>
      </c>
      <c r="BB1777">
        <f>SUMIFS(HIX_RatingAreas8[QHP Enrollments 2021],HIX_RatingAreas8[Area],HIX_SLCSP11[[#This Row],[Area Code]])</f>
        <v>3565</v>
      </c>
      <c r="BC1777">
        <f t="shared" si="7"/>
        <v>2.1079831361349111E-2</v>
      </c>
      <c r="BD1777">
        <f>SUMIFS(HIX_RatingAreas8[QHP Enrollments 2022],HIX_RatingAreas8[Area],HIX_SLCSP11[[#This Row],[Area Code]])</f>
        <v>4537</v>
      </c>
      <c r="BE1777">
        <f t="shared" si="8"/>
        <v>2.0687233829121715E-2</v>
      </c>
      <c r="BF1777">
        <f>SUMIFS(HIX_RatingAreas8[QHP Enrollments 2023],HIX_RatingAreas8[Area],HIX_SLCSP11[[#This Row],[Area Code]])</f>
        <v>4537</v>
      </c>
      <c r="BG1777">
        <f t="shared" si="9"/>
        <v>2.0687233829121715E-2</v>
      </c>
      <c r="BH1777" s="53">
        <f>ROUND(HIX_SLCSP11[[#This Row],[Weighting Factor 2018]]*HIX_SLCSP11[[#This Row],[2018]],2)</f>
        <v>9.31</v>
      </c>
      <c r="BI1777" s="53">
        <f>ROUND(HIX_SLCSP11[[#This Row],[Weighting Factor 2019]]*HIX_SLCSP11[[#This Row],[2019]],2)</f>
        <v>9.11</v>
      </c>
      <c r="BJ1777" s="53">
        <f>ROUND(HIX_SLCSP11[[#This Row],[Weighting Factor 2020]]*HIX_SLCSP11[[#This Row],[2020]],2)</f>
        <v>8.6199999999999992</v>
      </c>
      <c r="BK1777" s="53">
        <f>ROUND(HIX_SLCSP11[[#This Row],[Weighting Factor 2021]]*HIX_SLCSP11[[#This Row],[2021]],2)</f>
        <v>9.76</v>
      </c>
      <c r="BL1777" s="53">
        <f>ROUND(HIX_SLCSP11[[#This Row],[Weighting Factor 2022]]*HIX_SLCSP11[[#This Row],[2022]],2)</f>
        <v>10.23</v>
      </c>
      <c r="BM1777" s="53">
        <f>ROUND(HIX_SLCSP11[[#This Row],[Weighting Factor 2023]]*HIX_SLCSP11[[#This Row],[2023]],2)</f>
        <v>9.5</v>
      </c>
    </row>
    <row r="1778" spans="4:65" x14ac:dyDescent="0.35">
      <c r="D1778" t="s">
        <v>229</v>
      </c>
      <c r="E1778" t="s">
        <v>235</v>
      </c>
      <c r="F1778" s="23">
        <v>2</v>
      </c>
      <c r="G1778" s="23" t="s">
        <v>230</v>
      </c>
      <c r="H1778" s="23" t="s">
        <v>236</v>
      </c>
      <c r="I1778" s="23">
        <v>10</v>
      </c>
      <c r="J1778" s="53">
        <v>426.49</v>
      </c>
      <c r="K1778" s="53">
        <v>469.6</v>
      </c>
      <c r="L1778" s="53">
        <v>800.29</v>
      </c>
      <c r="M1778" s="54">
        <f t="shared" si="10"/>
        <v>1.7041950596252129</v>
      </c>
      <c r="N1778" s="24">
        <v>8</v>
      </c>
      <c r="O1778" s="55">
        <v>443.65</v>
      </c>
      <c r="P1778" s="56">
        <v>482.7</v>
      </c>
      <c r="Q1778" s="56">
        <v>822.62</v>
      </c>
      <c r="R1778" s="57">
        <f t="shared" si="11"/>
        <v>1.7042055106691527</v>
      </c>
      <c r="S1778" s="23">
        <v>10</v>
      </c>
      <c r="T1778" s="53">
        <v>363.92</v>
      </c>
      <c r="U1778" s="53">
        <v>454.02</v>
      </c>
      <c r="V1778" s="53">
        <v>773.75</v>
      </c>
      <c r="W1778" s="57">
        <f t="shared" si="12"/>
        <v>1.7042200784106427</v>
      </c>
      <c r="X1778" s="47">
        <v>8</v>
      </c>
      <c r="Y1778" s="58">
        <v>477.5</v>
      </c>
      <c r="Z1778" s="58">
        <v>512.62</v>
      </c>
      <c r="AA1778" s="58">
        <v>873.6</v>
      </c>
      <c r="AB1778" s="57">
        <f t="shared" si="13"/>
        <v>1.7041863368577115</v>
      </c>
      <c r="AC1778" s="47">
        <v>8</v>
      </c>
      <c r="AD1778" s="23">
        <v>510.32</v>
      </c>
      <c r="AE1778" s="23">
        <v>547.82000000000005</v>
      </c>
      <c r="AF1778" s="23">
        <v>933.59</v>
      </c>
      <c r="AG1778" s="57">
        <f t="shared" si="14"/>
        <v>1.7041911576795297</v>
      </c>
      <c r="AH1778" s="47">
        <v>40</v>
      </c>
      <c r="AI1778" s="54">
        <v>490.26</v>
      </c>
      <c r="AJ1778">
        <v>508.71</v>
      </c>
      <c r="AK1778">
        <v>866.94</v>
      </c>
      <c r="AL1778" s="57">
        <f t="shared" si="15"/>
        <v>1.7041929586601405</v>
      </c>
      <c r="AM1778" s="59">
        <v>4591</v>
      </c>
      <c r="AN1778" s="59">
        <f>SUMIFS(HIX_RatingAreas8[Silver Enrollments 2018],HIX_RatingAreas8[Area],HIX_SLCSP11[[#This Row],[Area Code]])</f>
        <v>4049</v>
      </c>
      <c r="AO1778" s="59">
        <f>SUMIFS(HIX_RatingAreas8[Silver Enrollments 2019],HIX_RatingAreas8[Area],HIX_SLCSP11[[#This Row],[Area Code]])</f>
        <v>4108</v>
      </c>
      <c r="AP1778" s="59">
        <f>SUMIFS(HIX_RatingAreas8[Silver Enrollments 2020],HIX_RatingAreas8[Area],HIX_SLCSP11[[#This Row],[Area Code]])</f>
        <v>4009</v>
      </c>
      <c r="AQ1778" s="59">
        <f>SUMIFS(HIX_RatingAreas8[Silver Enrollments 2021],HIX_RatingAreas8[Area],HIX_SLCSP11[[#This Row],[Area Code]])</f>
        <v>4321</v>
      </c>
      <c r="AR1778" s="59">
        <f>SUMIFS(HIX_RatingAreas8[Silver Enrollments 2022],HIX_RatingAreas8[Area],HIX_SLCSP11[[#This Row],[Area Code]])</f>
        <v>5630</v>
      </c>
      <c r="AS1778" s="59">
        <f>SUMIFS(HIX_RatingAreas8[Silver Enrollments 2023],HIX_RatingAreas8[Area],HIX_SLCSP11[[#This Row],[Area Code]])</f>
        <v>5630</v>
      </c>
      <c r="AT1778" s="59">
        <v>5455</v>
      </c>
      <c r="AU1778">
        <f t="shared" si="3"/>
        <v>2.796761806128779E-2</v>
      </c>
      <c r="AV1778">
        <f>SUMIFS(HIX_RatingAreas8[QHP Enrollments 2018],HIX_RatingAreas8[Area],HIX_SLCSP11[[#This Row],[Area Code]])</f>
        <v>4998</v>
      </c>
      <c r="AW1778">
        <f t="shared" si="4"/>
        <v>2.936355464687946E-2</v>
      </c>
      <c r="AX1778">
        <f>SUMIFS(HIX_RatingAreas8[QHP Enrollments 2019],HIX_RatingAreas8[Area],HIX_SLCSP11[[#This Row],[Area Code]])</f>
        <v>5051</v>
      </c>
      <c r="AY1778">
        <f t="shared" si="5"/>
        <v>3.0404266589617646E-2</v>
      </c>
      <c r="AZ1778">
        <f>SUMIFS(HIX_RatingAreas8[QHP Enrollments 2020],HIX_RatingAreas8[Area],HIX_SLCSP11[[#This Row],[Area Code]])</f>
        <v>4929</v>
      </c>
      <c r="BA1778">
        <f t="shared" si="6"/>
        <v>3.0723871619220963E-2</v>
      </c>
      <c r="BB1778">
        <f>SUMIFS(HIX_RatingAreas8[QHP Enrollments 2021],HIX_RatingAreas8[Area],HIX_SLCSP11[[#This Row],[Area Code]])</f>
        <v>5318</v>
      </c>
      <c r="BC1778">
        <f t="shared" si="7"/>
        <v>3.1445313654882068E-2</v>
      </c>
      <c r="BD1778">
        <f>SUMIFS(HIX_RatingAreas8[QHP Enrollments 2022],HIX_RatingAreas8[Area],HIX_SLCSP11[[#This Row],[Area Code]])</f>
        <v>6844</v>
      </c>
      <c r="BE1778">
        <f t="shared" si="8"/>
        <v>3.1206398132358173E-2</v>
      </c>
      <c r="BF1778">
        <f>SUMIFS(HIX_RatingAreas8[QHP Enrollments 2023],HIX_RatingAreas8[Area],HIX_SLCSP11[[#This Row],[Area Code]])</f>
        <v>6844</v>
      </c>
      <c r="BG1778">
        <f t="shared" si="9"/>
        <v>3.1206398132358173E-2</v>
      </c>
      <c r="BH1778" s="53">
        <f>ROUND(HIX_SLCSP11[[#This Row],[Weighting Factor 2018]]*HIX_SLCSP11[[#This Row],[2018]],2)</f>
        <v>13.79</v>
      </c>
      <c r="BI1778" s="53">
        <f>ROUND(HIX_SLCSP11[[#This Row],[Weighting Factor 2019]]*HIX_SLCSP11[[#This Row],[2019]],2)</f>
        <v>14.68</v>
      </c>
      <c r="BJ1778" s="53">
        <f>ROUND(HIX_SLCSP11[[#This Row],[Weighting Factor 2020]]*HIX_SLCSP11[[#This Row],[2020]],2)</f>
        <v>13.95</v>
      </c>
      <c r="BK1778" s="53">
        <f>ROUND(HIX_SLCSP11[[#This Row],[Weighting Factor 2021]]*HIX_SLCSP11[[#This Row],[2021]],2)</f>
        <v>16.12</v>
      </c>
      <c r="BL1778" s="53">
        <f>ROUND(HIX_SLCSP11[[#This Row],[Weighting Factor 2022]]*HIX_SLCSP11[[#This Row],[2022]],2)</f>
        <v>17.100000000000001</v>
      </c>
      <c r="BM1778" s="53">
        <f>ROUND(HIX_SLCSP11[[#This Row],[Weighting Factor 2023]]*HIX_SLCSP11[[#This Row],[2023]],2)</f>
        <v>15.88</v>
      </c>
    </row>
    <row r="1779" spans="4:65" x14ac:dyDescent="0.35">
      <c r="D1779" t="s">
        <v>229</v>
      </c>
      <c r="E1779" t="s">
        <v>239</v>
      </c>
      <c r="F1779" s="23">
        <v>3</v>
      </c>
      <c r="G1779" s="23" t="s">
        <v>230</v>
      </c>
      <c r="H1779" s="23" t="s">
        <v>240</v>
      </c>
      <c r="I1779" s="23">
        <v>22</v>
      </c>
      <c r="J1779" s="53">
        <v>383.15</v>
      </c>
      <c r="K1779" s="53">
        <v>447.46</v>
      </c>
      <c r="L1779" s="53">
        <v>762.56</v>
      </c>
      <c r="M1779" s="54">
        <f t="shared" si="10"/>
        <v>1.7041970231976042</v>
      </c>
      <c r="N1779" s="24">
        <v>12</v>
      </c>
      <c r="O1779" s="55">
        <v>408.85</v>
      </c>
      <c r="P1779" s="56">
        <v>430.73</v>
      </c>
      <c r="Q1779" s="56">
        <v>734.05</v>
      </c>
      <c r="R1779" s="57">
        <f t="shared" si="11"/>
        <v>1.7041998467717594</v>
      </c>
      <c r="S1779" s="23">
        <v>22</v>
      </c>
      <c r="T1779" s="53">
        <v>353.32</v>
      </c>
      <c r="U1779" s="53">
        <v>430.78</v>
      </c>
      <c r="V1779" s="53">
        <v>734.14</v>
      </c>
      <c r="W1779" s="57">
        <f t="shared" si="12"/>
        <v>1.7042109661544176</v>
      </c>
      <c r="X1779" s="47">
        <v>10</v>
      </c>
      <c r="Y1779" s="58">
        <v>463.59</v>
      </c>
      <c r="Z1779" s="58">
        <v>514.70000000000005</v>
      </c>
      <c r="AA1779" s="58">
        <v>877.16</v>
      </c>
      <c r="AB1779" s="57">
        <f t="shared" si="13"/>
        <v>1.7042160481834077</v>
      </c>
      <c r="AC1779" s="47">
        <v>40</v>
      </c>
      <c r="AD1779" s="23">
        <v>402.38</v>
      </c>
      <c r="AE1779" s="23">
        <v>414.25</v>
      </c>
      <c r="AF1779" s="23">
        <v>705.97</v>
      </c>
      <c r="AG1779" s="57">
        <f t="shared" si="14"/>
        <v>1.7042124321062162</v>
      </c>
      <c r="AH1779" s="47">
        <v>40</v>
      </c>
      <c r="AI1779" s="54">
        <v>441.49</v>
      </c>
      <c r="AJ1779">
        <v>452.41</v>
      </c>
      <c r="AK1779">
        <v>771</v>
      </c>
      <c r="AL1779" s="57">
        <f t="shared" si="15"/>
        <v>1.7042063614862624</v>
      </c>
      <c r="AM1779" s="59">
        <v>37850</v>
      </c>
      <c r="AN1779" s="59">
        <f>SUMIFS(HIX_RatingAreas8[Silver Enrollments 2018],HIX_RatingAreas8[Area],HIX_SLCSP11[[#This Row],[Area Code]])</f>
        <v>30615</v>
      </c>
      <c r="AO1779" s="59">
        <f>SUMIFS(HIX_RatingAreas8[Silver Enrollments 2019],HIX_RatingAreas8[Area],HIX_SLCSP11[[#This Row],[Area Code]])</f>
        <v>28268</v>
      </c>
      <c r="AP1779" s="59">
        <f>SUMIFS(HIX_RatingAreas8[Silver Enrollments 2020],HIX_RatingAreas8[Area],HIX_SLCSP11[[#This Row],[Area Code]])</f>
        <v>26315</v>
      </c>
      <c r="AQ1779" s="59">
        <f>SUMIFS(HIX_RatingAreas8[Silver Enrollments 2021],HIX_RatingAreas8[Area],HIX_SLCSP11[[#This Row],[Area Code]])</f>
        <v>27927</v>
      </c>
      <c r="AR1779" s="59">
        <f>SUMIFS(HIX_RatingAreas8[Silver Enrollments 2022],HIX_RatingAreas8[Area],HIX_SLCSP11[[#This Row],[Area Code]])</f>
        <v>35707</v>
      </c>
      <c r="AS1779" s="59">
        <f>SUMIFS(HIX_RatingAreas8[Silver Enrollments 2023],HIX_RatingAreas8[Area],HIX_SLCSP11[[#This Row],[Area Code]])</f>
        <v>35707</v>
      </c>
      <c r="AT1779" s="59">
        <v>45767</v>
      </c>
      <c r="AU1779">
        <f t="shared" si="3"/>
        <v>0.23464600839797586</v>
      </c>
      <c r="AV1779">
        <f>SUMIFS(HIX_RatingAreas8[QHP Enrollments 2018],HIX_RatingAreas8[Area],HIX_SLCSP11[[#This Row],[Area Code]])</f>
        <v>38648</v>
      </c>
      <c r="AW1779">
        <f t="shared" si="4"/>
        <v>0.22705935574081582</v>
      </c>
      <c r="AX1779">
        <f>SUMIFS(HIX_RatingAreas8[QHP Enrollments 2019],HIX_RatingAreas8[Area],HIX_SLCSP11[[#This Row],[Area Code]])</f>
        <v>36604</v>
      </c>
      <c r="AY1779">
        <f t="shared" si="5"/>
        <v>0.22033612636039679</v>
      </c>
      <c r="AZ1779">
        <f>SUMIFS(HIX_RatingAreas8[QHP Enrollments 2020],HIX_RatingAreas8[Area],HIX_SLCSP11[[#This Row],[Area Code]])</f>
        <v>34596</v>
      </c>
      <c r="BA1779">
        <f t="shared" si="6"/>
        <v>0.21564679702547546</v>
      </c>
      <c r="BB1779">
        <f>SUMIFS(HIX_RatingAreas8[QHP Enrollments 2021],HIX_RatingAreas8[Area],HIX_SLCSP11[[#This Row],[Area Code]])</f>
        <v>36552</v>
      </c>
      <c r="BC1779">
        <f t="shared" si="7"/>
        <v>0.21613183616270201</v>
      </c>
      <c r="BD1779">
        <f>SUMIFS(HIX_RatingAreas8[QHP Enrollments 2022],HIX_RatingAreas8[Area],HIX_SLCSP11[[#This Row],[Area Code]])</f>
        <v>47814</v>
      </c>
      <c r="BE1779">
        <f t="shared" si="8"/>
        <v>0.21801617771779275</v>
      </c>
      <c r="BF1779">
        <f>SUMIFS(HIX_RatingAreas8[QHP Enrollments 2023],HIX_RatingAreas8[Area],HIX_SLCSP11[[#This Row],[Area Code]])</f>
        <v>47814</v>
      </c>
      <c r="BG1779">
        <f t="shared" si="9"/>
        <v>0.21801617771779275</v>
      </c>
      <c r="BH1779" s="53">
        <f>ROUND(HIX_SLCSP11[[#This Row],[Weighting Factor 2018]]*HIX_SLCSP11[[#This Row],[2018]],2)</f>
        <v>101.6</v>
      </c>
      <c r="BI1779" s="53">
        <f>ROUND(HIX_SLCSP11[[#This Row],[Weighting Factor 2019]]*HIX_SLCSP11[[#This Row],[2019]],2)</f>
        <v>94.91</v>
      </c>
      <c r="BJ1779" s="53">
        <f>ROUND(HIX_SLCSP11[[#This Row],[Weighting Factor 2020]]*HIX_SLCSP11[[#This Row],[2020]],2)</f>
        <v>92.9</v>
      </c>
      <c r="BK1779" s="53">
        <f>ROUND(HIX_SLCSP11[[#This Row],[Weighting Factor 2021]]*HIX_SLCSP11[[#This Row],[2021]],2)</f>
        <v>111.24</v>
      </c>
      <c r="BL1779" s="53">
        <f>ROUND(HIX_SLCSP11[[#This Row],[Weighting Factor 2022]]*HIX_SLCSP11[[#This Row],[2022]],2)</f>
        <v>90.31</v>
      </c>
      <c r="BM1779" s="53">
        <f>ROUND(HIX_SLCSP11[[#This Row],[Weighting Factor 2023]]*HIX_SLCSP11[[#This Row],[2023]],2)</f>
        <v>98.63</v>
      </c>
    </row>
    <row r="1780" spans="4:65" x14ac:dyDescent="0.35">
      <c r="D1780" t="s">
        <v>229</v>
      </c>
      <c r="E1780" t="s">
        <v>255</v>
      </c>
      <c r="F1780" s="23">
        <v>4</v>
      </c>
      <c r="G1780" s="23" t="s">
        <v>230</v>
      </c>
      <c r="H1780" s="23" t="s">
        <v>256</v>
      </c>
      <c r="I1780" s="23">
        <v>10</v>
      </c>
      <c r="J1780" s="53">
        <v>426.49</v>
      </c>
      <c r="K1780" s="53">
        <v>469.6</v>
      </c>
      <c r="L1780" s="53">
        <v>800.29</v>
      </c>
      <c r="M1780" s="54">
        <f t="shared" si="10"/>
        <v>1.7041950596252129</v>
      </c>
      <c r="N1780" s="24">
        <v>8</v>
      </c>
      <c r="O1780" s="55">
        <v>443.65</v>
      </c>
      <c r="P1780" s="56">
        <v>482.7</v>
      </c>
      <c r="Q1780" s="56">
        <v>822.62</v>
      </c>
      <c r="R1780" s="57">
        <f t="shared" si="11"/>
        <v>1.7042055106691527</v>
      </c>
      <c r="S1780" s="23">
        <v>10</v>
      </c>
      <c r="T1780" s="53">
        <v>363.92</v>
      </c>
      <c r="U1780" s="53">
        <v>454.02</v>
      </c>
      <c r="V1780" s="53">
        <v>773.75</v>
      </c>
      <c r="W1780" s="57">
        <f t="shared" si="12"/>
        <v>1.7042200784106427</v>
      </c>
      <c r="X1780" s="47">
        <v>8</v>
      </c>
      <c r="Y1780" s="58">
        <v>477.5</v>
      </c>
      <c r="Z1780" s="58">
        <v>512.62</v>
      </c>
      <c r="AA1780" s="58">
        <v>873.6</v>
      </c>
      <c r="AB1780" s="57">
        <f t="shared" si="13"/>
        <v>1.7041863368577115</v>
      </c>
      <c r="AC1780" s="47">
        <v>8</v>
      </c>
      <c r="AD1780" s="23">
        <v>510.32</v>
      </c>
      <c r="AE1780" s="23">
        <v>547.82000000000005</v>
      </c>
      <c r="AF1780" s="23">
        <v>933.59</v>
      </c>
      <c r="AG1780" s="57">
        <f t="shared" si="14"/>
        <v>1.7041911576795297</v>
      </c>
      <c r="AH1780" s="47">
        <v>40</v>
      </c>
      <c r="AI1780" s="54">
        <v>490.26</v>
      </c>
      <c r="AJ1780">
        <v>508.71</v>
      </c>
      <c r="AK1780">
        <v>866.94</v>
      </c>
      <c r="AL1780" s="57">
        <f t="shared" si="15"/>
        <v>1.7041929586601405</v>
      </c>
      <c r="AM1780" s="59">
        <v>1696</v>
      </c>
      <c r="AN1780" s="59">
        <f>SUMIFS(HIX_RatingAreas8[Silver Enrollments 2018],HIX_RatingAreas8[Area],HIX_SLCSP11[[#This Row],[Area Code]])</f>
        <v>1408</v>
      </c>
      <c r="AO1780" s="59">
        <f>SUMIFS(HIX_RatingAreas8[Silver Enrollments 2019],HIX_RatingAreas8[Area],HIX_SLCSP11[[#This Row],[Area Code]])</f>
        <v>1350</v>
      </c>
      <c r="AP1780" s="59">
        <f>SUMIFS(HIX_RatingAreas8[Silver Enrollments 2020],HIX_RatingAreas8[Area],HIX_SLCSP11[[#This Row],[Area Code]])</f>
        <v>1299</v>
      </c>
      <c r="AQ1780" s="59">
        <f>SUMIFS(HIX_RatingAreas8[Silver Enrollments 2021],HIX_RatingAreas8[Area],HIX_SLCSP11[[#This Row],[Area Code]])</f>
        <v>1334</v>
      </c>
      <c r="AR1780" s="59">
        <f>SUMIFS(HIX_RatingAreas8[Silver Enrollments 2022],HIX_RatingAreas8[Area],HIX_SLCSP11[[#This Row],[Area Code]])</f>
        <v>1871</v>
      </c>
      <c r="AS1780" s="59">
        <f>SUMIFS(HIX_RatingAreas8[Silver Enrollments 2023],HIX_RatingAreas8[Area],HIX_SLCSP11[[#This Row],[Area Code]])</f>
        <v>1871</v>
      </c>
      <c r="AT1780" s="59">
        <v>1979</v>
      </c>
      <c r="AU1780">
        <f t="shared" si="3"/>
        <v>1.0146272436899825E-2</v>
      </c>
      <c r="AV1780">
        <f>SUMIFS(HIX_RatingAreas8[QHP Enrollments 2018],HIX_RatingAreas8[Area],HIX_SLCSP11[[#This Row],[Area Code]])</f>
        <v>1628</v>
      </c>
      <c r="AW1780">
        <f t="shared" si="4"/>
        <v>9.5645992327170401E-3</v>
      </c>
      <c r="AX1780">
        <f>SUMIFS(HIX_RatingAreas8[QHP Enrollments 2019],HIX_RatingAreas8[Area],HIX_SLCSP11[[#This Row],[Area Code]])</f>
        <v>1567</v>
      </c>
      <c r="AY1780">
        <f t="shared" si="5"/>
        <v>9.4324857940864867E-3</v>
      </c>
      <c r="AZ1780">
        <f>SUMIFS(HIX_RatingAreas8[QHP Enrollments 2020],HIX_RatingAreas8[Area],HIX_SLCSP11[[#This Row],[Area Code]])</f>
        <v>1507</v>
      </c>
      <c r="BA1780">
        <f t="shared" si="6"/>
        <v>9.3935635078445916E-3</v>
      </c>
      <c r="BB1780">
        <f>SUMIFS(HIX_RatingAreas8[QHP Enrollments 2021],HIX_RatingAreas8[Area],HIX_SLCSP11[[#This Row],[Area Code]])</f>
        <v>1540</v>
      </c>
      <c r="BC1780">
        <f t="shared" si="7"/>
        <v>9.1060141084088712E-3</v>
      </c>
      <c r="BD1780">
        <f>SUMIFS(HIX_RatingAreas8[QHP Enrollments 2022],HIX_RatingAreas8[Area],HIX_SLCSP11[[#This Row],[Area Code]])</f>
        <v>2118</v>
      </c>
      <c r="BE1780">
        <f t="shared" si="8"/>
        <v>9.6573862133744314E-3</v>
      </c>
      <c r="BF1780">
        <f>SUMIFS(HIX_RatingAreas8[QHP Enrollments 2023],HIX_RatingAreas8[Area],HIX_SLCSP11[[#This Row],[Area Code]])</f>
        <v>2118</v>
      </c>
      <c r="BG1780">
        <f t="shared" si="9"/>
        <v>9.6573862133744314E-3</v>
      </c>
      <c r="BH1780" s="53">
        <f>ROUND(HIX_SLCSP11[[#This Row],[Weighting Factor 2018]]*HIX_SLCSP11[[#This Row],[2018]],2)</f>
        <v>4.49</v>
      </c>
      <c r="BI1780" s="53">
        <f>ROUND(HIX_SLCSP11[[#This Row],[Weighting Factor 2019]]*HIX_SLCSP11[[#This Row],[2019]],2)</f>
        <v>4.55</v>
      </c>
      <c r="BJ1780" s="53">
        <f>ROUND(HIX_SLCSP11[[#This Row],[Weighting Factor 2020]]*HIX_SLCSP11[[#This Row],[2020]],2)</f>
        <v>4.26</v>
      </c>
      <c r="BK1780" s="53">
        <f>ROUND(HIX_SLCSP11[[#This Row],[Weighting Factor 2021]]*HIX_SLCSP11[[#This Row],[2021]],2)</f>
        <v>4.67</v>
      </c>
      <c r="BL1780" s="53">
        <f>ROUND(HIX_SLCSP11[[#This Row],[Weighting Factor 2022]]*HIX_SLCSP11[[#This Row],[2022]],2)</f>
        <v>5.29</v>
      </c>
      <c r="BM1780" s="53">
        <f>ROUND(HIX_SLCSP11[[#This Row],[Weighting Factor 2023]]*HIX_SLCSP11[[#This Row],[2023]],2)</f>
        <v>4.91</v>
      </c>
    </row>
    <row r="1781" spans="4:65" x14ac:dyDescent="0.35">
      <c r="D1781" t="s">
        <v>229</v>
      </c>
      <c r="E1781" t="s">
        <v>259</v>
      </c>
      <c r="F1781" s="23">
        <v>5</v>
      </c>
      <c r="G1781" s="23" t="s">
        <v>230</v>
      </c>
      <c r="H1781" s="23" t="s">
        <v>260</v>
      </c>
      <c r="I1781" s="23">
        <v>10</v>
      </c>
      <c r="J1781" s="53">
        <v>417.6</v>
      </c>
      <c r="K1781" s="53">
        <v>459.81</v>
      </c>
      <c r="L1781" s="53">
        <v>783.62</v>
      </c>
      <c r="M1781" s="54">
        <f t="shared" si="10"/>
        <v>1.7042256584241318</v>
      </c>
      <c r="N1781" s="24">
        <v>8</v>
      </c>
      <c r="O1781" s="55">
        <v>400.58</v>
      </c>
      <c r="P1781" s="56">
        <v>435.84</v>
      </c>
      <c r="Q1781" s="56">
        <v>742.76</v>
      </c>
      <c r="R1781" s="57">
        <f t="shared" si="11"/>
        <v>1.7042033773861969</v>
      </c>
      <c r="S1781" s="23">
        <v>10</v>
      </c>
      <c r="T1781" s="53">
        <v>328.59</v>
      </c>
      <c r="U1781" s="53">
        <v>409.94</v>
      </c>
      <c r="V1781" s="53">
        <v>698.62</v>
      </c>
      <c r="W1781" s="57">
        <f t="shared" si="12"/>
        <v>1.704200614724106</v>
      </c>
      <c r="X1781" s="47">
        <v>8</v>
      </c>
      <c r="Y1781" s="58">
        <v>438.1</v>
      </c>
      <c r="Z1781" s="58">
        <v>470.31</v>
      </c>
      <c r="AA1781" s="58">
        <v>801.51</v>
      </c>
      <c r="AB1781" s="57">
        <f t="shared" si="13"/>
        <v>1.7042163679275371</v>
      </c>
      <c r="AC1781" s="47">
        <v>8</v>
      </c>
      <c r="AD1781" s="23">
        <v>468.2</v>
      </c>
      <c r="AE1781" s="23">
        <v>502.61</v>
      </c>
      <c r="AF1781" s="23">
        <v>856.54</v>
      </c>
      <c r="AG1781" s="57">
        <f t="shared" si="14"/>
        <v>1.7041841586916295</v>
      </c>
      <c r="AH1781" s="47">
        <v>32</v>
      </c>
      <c r="AI1781" s="54">
        <v>449.8</v>
      </c>
      <c r="AJ1781">
        <v>466.73</v>
      </c>
      <c r="AK1781">
        <v>795.4</v>
      </c>
      <c r="AL1781" s="57">
        <f t="shared" si="15"/>
        <v>1.7041972875109805</v>
      </c>
      <c r="AM1781" s="59">
        <v>5825</v>
      </c>
      <c r="AN1781" s="59">
        <f>SUMIFS(HIX_RatingAreas8[Silver Enrollments 2018],HIX_RatingAreas8[Area],HIX_SLCSP11[[#This Row],[Area Code]])</f>
        <v>5053</v>
      </c>
      <c r="AO1781" s="59">
        <f>SUMIFS(HIX_RatingAreas8[Silver Enrollments 2019],HIX_RatingAreas8[Area],HIX_SLCSP11[[#This Row],[Area Code]])</f>
        <v>4793</v>
      </c>
      <c r="AP1781" s="59">
        <f>SUMIFS(HIX_RatingAreas8[Silver Enrollments 2020],HIX_RatingAreas8[Area],HIX_SLCSP11[[#This Row],[Area Code]])</f>
        <v>4549</v>
      </c>
      <c r="AQ1781" s="59">
        <f>SUMIFS(HIX_RatingAreas8[Silver Enrollments 2021],HIX_RatingAreas8[Area],HIX_SLCSP11[[#This Row],[Area Code]])</f>
        <v>4526</v>
      </c>
      <c r="AR1781" s="59">
        <f>SUMIFS(HIX_RatingAreas8[Silver Enrollments 2022],HIX_RatingAreas8[Area],HIX_SLCSP11[[#This Row],[Area Code]])</f>
        <v>5794</v>
      </c>
      <c r="AS1781" s="59">
        <f>SUMIFS(HIX_RatingAreas8[Silver Enrollments 2023],HIX_RatingAreas8[Area],HIX_SLCSP11[[#This Row],[Area Code]])</f>
        <v>5794</v>
      </c>
      <c r="AT1781" s="59">
        <v>6755</v>
      </c>
      <c r="AU1781">
        <f t="shared" si="3"/>
        <v>3.4632678277543363E-2</v>
      </c>
      <c r="AV1781">
        <f>SUMIFS(HIX_RatingAreas8[QHP Enrollments 2018],HIX_RatingAreas8[Area],HIX_SLCSP11[[#This Row],[Area Code]])</f>
        <v>6009</v>
      </c>
      <c r="AW1781">
        <f t="shared" si="4"/>
        <v>3.5303241271128188E-2</v>
      </c>
      <c r="AX1781">
        <f>SUMIFS(HIX_RatingAreas8[QHP Enrollments 2019],HIX_RatingAreas8[Area],HIX_SLCSP11[[#This Row],[Area Code]])</f>
        <v>5730</v>
      </c>
      <c r="AY1781">
        <f t="shared" si="5"/>
        <v>3.4491476451892517E-2</v>
      </c>
      <c r="AZ1781">
        <f>SUMIFS(HIX_RatingAreas8[QHP Enrollments 2020],HIX_RatingAreas8[Area],HIX_SLCSP11[[#This Row],[Area Code]])</f>
        <v>5444</v>
      </c>
      <c r="BA1781">
        <f t="shared" si="6"/>
        <v>3.3934014423826118E-2</v>
      </c>
      <c r="BB1781">
        <f>SUMIFS(HIX_RatingAreas8[QHP Enrollments 2021],HIX_RatingAreas8[Area],HIX_SLCSP11[[#This Row],[Area Code]])</f>
        <v>5493</v>
      </c>
      <c r="BC1781">
        <f t="shared" si="7"/>
        <v>3.2480087985383072E-2</v>
      </c>
      <c r="BD1781">
        <f>SUMIFS(HIX_RatingAreas8[QHP Enrollments 2022],HIX_RatingAreas8[Area],HIX_SLCSP11[[#This Row],[Area Code]])</f>
        <v>6884</v>
      </c>
      <c r="BE1781">
        <f t="shared" si="8"/>
        <v>3.1388785029683466E-2</v>
      </c>
      <c r="BF1781">
        <f>SUMIFS(HIX_RatingAreas8[QHP Enrollments 2023],HIX_RatingAreas8[Area],HIX_SLCSP11[[#This Row],[Area Code]])</f>
        <v>6884</v>
      </c>
      <c r="BG1781">
        <f t="shared" si="9"/>
        <v>3.1388785029683466E-2</v>
      </c>
      <c r="BH1781" s="53">
        <f>ROUND(HIX_SLCSP11[[#This Row],[Weighting Factor 2018]]*HIX_SLCSP11[[#This Row],[2018]],2)</f>
        <v>16.23</v>
      </c>
      <c r="BI1781" s="53">
        <f>ROUND(HIX_SLCSP11[[#This Row],[Weighting Factor 2019]]*HIX_SLCSP11[[#This Row],[2019]],2)</f>
        <v>15.03</v>
      </c>
      <c r="BJ1781" s="53">
        <f>ROUND(HIX_SLCSP11[[#This Row],[Weighting Factor 2020]]*HIX_SLCSP11[[#This Row],[2020]],2)</f>
        <v>13.91</v>
      </c>
      <c r="BK1781" s="53">
        <f>ROUND(HIX_SLCSP11[[#This Row],[Weighting Factor 2021]]*HIX_SLCSP11[[#This Row],[2021]],2)</f>
        <v>15.28</v>
      </c>
      <c r="BL1781" s="53">
        <f>ROUND(HIX_SLCSP11[[#This Row],[Weighting Factor 2022]]*HIX_SLCSP11[[#This Row],[2022]],2)</f>
        <v>15.78</v>
      </c>
      <c r="BM1781" s="53">
        <f>ROUND(HIX_SLCSP11[[#This Row],[Weighting Factor 2023]]*HIX_SLCSP11[[#This Row],[2023]],2)</f>
        <v>14.65</v>
      </c>
    </row>
    <row r="1782" spans="4:65" x14ac:dyDescent="0.35">
      <c r="D1782" t="s">
        <v>229</v>
      </c>
      <c r="E1782" t="s">
        <v>265</v>
      </c>
      <c r="F1782" s="23">
        <v>6</v>
      </c>
      <c r="G1782" s="23" t="s">
        <v>230</v>
      </c>
      <c r="H1782" s="23" t="s">
        <v>266</v>
      </c>
      <c r="I1782" s="23">
        <v>10</v>
      </c>
      <c r="J1782" s="53">
        <v>426.49</v>
      </c>
      <c r="K1782" s="53">
        <v>469.6</v>
      </c>
      <c r="L1782" s="53">
        <v>800.29</v>
      </c>
      <c r="M1782" s="54">
        <f t="shared" si="10"/>
        <v>1.7041950596252129</v>
      </c>
      <c r="N1782" s="24">
        <v>8</v>
      </c>
      <c r="O1782" s="55">
        <v>400.58</v>
      </c>
      <c r="P1782" s="56">
        <v>435.84</v>
      </c>
      <c r="Q1782" s="56">
        <v>742.76</v>
      </c>
      <c r="R1782" s="57">
        <f t="shared" si="11"/>
        <v>1.7042033773861969</v>
      </c>
      <c r="S1782" s="23">
        <v>10</v>
      </c>
      <c r="T1782" s="53">
        <v>328.59</v>
      </c>
      <c r="U1782" s="53">
        <v>409.94</v>
      </c>
      <c r="V1782" s="53">
        <v>698.62</v>
      </c>
      <c r="W1782" s="57">
        <f t="shared" si="12"/>
        <v>1.704200614724106</v>
      </c>
      <c r="X1782" s="47">
        <v>8</v>
      </c>
      <c r="Y1782" s="58">
        <v>440.41</v>
      </c>
      <c r="Z1782" s="58">
        <v>472.8</v>
      </c>
      <c r="AA1782" s="58">
        <v>805.75</v>
      </c>
      <c r="AB1782" s="57">
        <f t="shared" si="13"/>
        <v>1.7042089678510999</v>
      </c>
      <c r="AC1782" s="47">
        <v>20</v>
      </c>
      <c r="AD1782" s="23">
        <v>470.68</v>
      </c>
      <c r="AE1782" s="23">
        <v>488.36</v>
      </c>
      <c r="AF1782" s="23">
        <v>832.26</v>
      </c>
      <c r="AG1782" s="57">
        <f t="shared" si="14"/>
        <v>1.7041936276517322</v>
      </c>
      <c r="AH1782" s="47">
        <v>60</v>
      </c>
      <c r="AI1782">
        <v>452.18</v>
      </c>
      <c r="AJ1782">
        <v>469.2</v>
      </c>
      <c r="AK1782">
        <v>799.6</v>
      </c>
      <c r="AL1782" s="57">
        <f t="shared" si="15"/>
        <v>1.7041773231031543</v>
      </c>
      <c r="AM1782" s="59">
        <v>4919</v>
      </c>
      <c r="AN1782" s="59">
        <f>SUMIFS(HIX_RatingAreas8[Silver Enrollments 2018],HIX_RatingAreas8[Area],HIX_SLCSP11[[#This Row],[Area Code]])</f>
        <v>4232</v>
      </c>
      <c r="AO1782" s="59">
        <f>SUMIFS(HIX_RatingAreas8[Silver Enrollments 2019],HIX_RatingAreas8[Area],HIX_SLCSP11[[#This Row],[Area Code]])</f>
        <v>4218</v>
      </c>
      <c r="AP1782" s="59">
        <f>SUMIFS(HIX_RatingAreas8[Silver Enrollments 2020],HIX_RatingAreas8[Area],HIX_SLCSP11[[#This Row],[Area Code]])</f>
        <v>4112</v>
      </c>
      <c r="AQ1782" s="59">
        <f>SUMIFS(HIX_RatingAreas8[Silver Enrollments 2021],HIX_RatingAreas8[Area],HIX_SLCSP11[[#This Row],[Area Code]])</f>
        <v>4297</v>
      </c>
      <c r="AR1782" s="59">
        <f>SUMIFS(HIX_RatingAreas8[Silver Enrollments 2022],HIX_RatingAreas8[Area],HIX_SLCSP11[[#This Row],[Area Code]])</f>
        <v>5881</v>
      </c>
      <c r="AS1782" s="59">
        <f>SUMIFS(HIX_RatingAreas8[Silver Enrollments 2023],HIX_RatingAreas8[Area],HIX_SLCSP11[[#This Row],[Area Code]])</f>
        <v>5881</v>
      </c>
      <c r="AT1782" s="59">
        <v>5753</v>
      </c>
      <c r="AU1782">
        <f t="shared" si="3"/>
        <v>2.9495454941629452E-2</v>
      </c>
      <c r="AV1782">
        <f>SUMIFS(HIX_RatingAreas8[QHP Enrollments 2018],HIX_RatingAreas8[Area],HIX_SLCSP11[[#This Row],[Area Code]])</f>
        <v>5018</v>
      </c>
      <c r="AW1782">
        <f t="shared" si="4"/>
        <v>2.9481055865954609E-2</v>
      </c>
      <c r="AX1782">
        <f>SUMIFS(HIX_RatingAreas8[QHP Enrollments 2019],HIX_RatingAreas8[Area],HIX_SLCSP11[[#This Row],[Area Code]])</f>
        <v>5080</v>
      </c>
      <c r="AY1782">
        <f t="shared" si="5"/>
        <v>3.0578830781084466E-2</v>
      </c>
      <c r="AZ1782">
        <f>SUMIFS(HIX_RatingAreas8[QHP Enrollments 2020],HIX_RatingAreas8[Area],HIX_SLCSP11[[#This Row],[Area Code]])</f>
        <v>4970</v>
      </c>
      <c r="BA1782">
        <f t="shared" si="6"/>
        <v>3.0979436386189531E-2</v>
      </c>
      <c r="BB1782">
        <f>SUMIFS(HIX_RatingAreas8[QHP Enrollments 2021],HIX_RatingAreas8[Area],HIX_SLCSP11[[#This Row],[Area Code]])</f>
        <v>5175</v>
      </c>
      <c r="BC1782">
        <f t="shared" si="7"/>
        <v>3.0599755201958383E-2</v>
      </c>
      <c r="BD1782">
        <f>SUMIFS(HIX_RatingAreas8[QHP Enrollments 2022],HIX_RatingAreas8[Area],HIX_SLCSP11[[#This Row],[Area Code]])</f>
        <v>7023</v>
      </c>
      <c r="BE1782">
        <f t="shared" si="8"/>
        <v>3.2022579497888871E-2</v>
      </c>
      <c r="BF1782">
        <f>SUMIFS(HIX_RatingAreas8[QHP Enrollments 2023],HIX_RatingAreas8[Area],HIX_SLCSP11[[#This Row],[Area Code]])</f>
        <v>7023</v>
      </c>
      <c r="BG1782">
        <f t="shared" si="9"/>
        <v>3.2022579497888871E-2</v>
      </c>
      <c r="BH1782" s="53">
        <f>ROUND(HIX_SLCSP11[[#This Row],[Weighting Factor 2018]]*HIX_SLCSP11[[#This Row],[2018]],2)</f>
        <v>13.84</v>
      </c>
      <c r="BI1782" s="53">
        <f>ROUND(HIX_SLCSP11[[#This Row],[Weighting Factor 2019]]*HIX_SLCSP11[[#This Row],[2019]],2)</f>
        <v>13.33</v>
      </c>
      <c r="BJ1782" s="53">
        <f>ROUND(HIX_SLCSP11[[#This Row],[Weighting Factor 2020]]*HIX_SLCSP11[[#This Row],[2020]],2)</f>
        <v>12.7</v>
      </c>
      <c r="BK1782" s="53">
        <f>ROUND(HIX_SLCSP11[[#This Row],[Weighting Factor 2021]]*HIX_SLCSP11[[#This Row],[2021]],2)</f>
        <v>14.47</v>
      </c>
      <c r="BL1782" s="53">
        <f>ROUND(HIX_SLCSP11[[#This Row],[Weighting Factor 2022]]*HIX_SLCSP11[[#This Row],[2022]],2)</f>
        <v>15.64</v>
      </c>
      <c r="BM1782" s="53">
        <f>ROUND(HIX_SLCSP11[[#This Row],[Weighting Factor 2023]]*HIX_SLCSP11[[#This Row],[2023]],2)</f>
        <v>15.02</v>
      </c>
    </row>
    <row r="1783" spans="4:65" x14ac:dyDescent="0.35">
      <c r="D1783" t="s">
        <v>229</v>
      </c>
      <c r="E1783" t="s">
        <v>273</v>
      </c>
      <c r="F1783" s="23">
        <v>7</v>
      </c>
      <c r="G1783" s="23" t="s">
        <v>230</v>
      </c>
      <c r="H1783" s="23" t="s">
        <v>274</v>
      </c>
      <c r="I1783" s="23">
        <v>10</v>
      </c>
      <c r="J1783" s="53">
        <v>386.5</v>
      </c>
      <c r="K1783" s="53">
        <v>425.57</v>
      </c>
      <c r="L1783" s="53">
        <v>725.26</v>
      </c>
      <c r="M1783" s="54">
        <f t="shared" si="10"/>
        <v>1.7042084733416358</v>
      </c>
      <c r="N1783" s="24">
        <v>8</v>
      </c>
      <c r="O1783" s="55">
        <v>400.58</v>
      </c>
      <c r="P1783" s="56">
        <v>435.84</v>
      </c>
      <c r="Q1783" s="56">
        <v>742.76</v>
      </c>
      <c r="R1783" s="57">
        <f t="shared" si="11"/>
        <v>1.7042033773861969</v>
      </c>
      <c r="S1783" s="23">
        <v>10</v>
      </c>
      <c r="T1783" s="53">
        <v>328.59</v>
      </c>
      <c r="U1783" s="53">
        <v>409.94</v>
      </c>
      <c r="V1783" s="53">
        <v>698.62</v>
      </c>
      <c r="W1783" s="57">
        <f t="shared" si="12"/>
        <v>1.704200614724106</v>
      </c>
      <c r="X1783" s="47">
        <v>8</v>
      </c>
      <c r="Y1783" s="58">
        <v>440.41</v>
      </c>
      <c r="Z1783" s="58">
        <v>472.8</v>
      </c>
      <c r="AA1783" s="58">
        <v>805.75</v>
      </c>
      <c r="AB1783" s="57">
        <f t="shared" si="13"/>
        <v>1.7042089678510999</v>
      </c>
      <c r="AC1783" s="47">
        <v>8</v>
      </c>
      <c r="AD1783" s="23">
        <v>470.68</v>
      </c>
      <c r="AE1783" s="23">
        <v>505.27</v>
      </c>
      <c r="AF1783" s="23">
        <v>861.08</v>
      </c>
      <c r="AG1783" s="57">
        <f t="shared" si="14"/>
        <v>1.7041977556553922</v>
      </c>
      <c r="AH1783" s="47">
        <v>60</v>
      </c>
      <c r="AI1783">
        <v>452.18</v>
      </c>
      <c r="AJ1783">
        <v>453.23</v>
      </c>
      <c r="AK1783">
        <v>772.39</v>
      </c>
      <c r="AL1783" s="57">
        <f t="shared" si="15"/>
        <v>1.7041899256448161</v>
      </c>
      <c r="AM1783" s="59">
        <v>5493</v>
      </c>
      <c r="AN1783" s="59">
        <f>SUMIFS(HIX_RatingAreas8[Silver Enrollments 2018],HIX_RatingAreas8[Area],HIX_SLCSP11[[#This Row],[Area Code]])</f>
        <v>4750</v>
      </c>
      <c r="AO1783" s="59">
        <f>SUMIFS(HIX_RatingAreas8[Silver Enrollments 2019],HIX_RatingAreas8[Area],HIX_SLCSP11[[#This Row],[Area Code]])</f>
        <v>4508</v>
      </c>
      <c r="AP1783" s="59">
        <f>SUMIFS(HIX_RatingAreas8[Silver Enrollments 2020],HIX_RatingAreas8[Area],HIX_SLCSP11[[#This Row],[Area Code]])</f>
        <v>4413</v>
      </c>
      <c r="AQ1783" s="59">
        <f>SUMIFS(HIX_RatingAreas8[Silver Enrollments 2021],HIX_RatingAreas8[Area],HIX_SLCSP11[[#This Row],[Area Code]])</f>
        <v>4540</v>
      </c>
      <c r="AR1783" s="59">
        <f>SUMIFS(HIX_RatingAreas8[Silver Enrollments 2022],HIX_RatingAreas8[Area],HIX_SLCSP11[[#This Row],[Area Code]])</f>
        <v>5904</v>
      </c>
      <c r="AS1783" s="59">
        <f>SUMIFS(HIX_RatingAreas8[Silver Enrollments 2023],HIX_RatingAreas8[Area],HIX_SLCSP11[[#This Row],[Area Code]])</f>
        <v>5904</v>
      </c>
      <c r="AT1783" s="59">
        <v>6256</v>
      </c>
      <c r="AU1783">
        <f t="shared" si="3"/>
        <v>3.207432054838065E-2</v>
      </c>
      <c r="AV1783">
        <f>SUMIFS(HIX_RatingAreas8[QHP Enrollments 2018],HIX_RatingAreas8[Area],HIX_SLCSP11[[#This Row],[Area Code]])</f>
        <v>5684</v>
      </c>
      <c r="AW1783">
        <f t="shared" si="4"/>
        <v>3.3393846461157034E-2</v>
      </c>
      <c r="AX1783">
        <f>SUMIFS(HIX_RatingAreas8[QHP Enrollments 2019],HIX_RatingAreas8[Area],HIX_SLCSP11[[#This Row],[Area Code]])</f>
        <v>5424</v>
      </c>
      <c r="AY1783">
        <f t="shared" si="5"/>
        <v>3.2649523259173648E-2</v>
      </c>
      <c r="AZ1783">
        <f>SUMIFS(HIX_RatingAreas8[QHP Enrollments 2020],HIX_RatingAreas8[Area],HIX_SLCSP11[[#This Row],[Area Code]])</f>
        <v>5269</v>
      </c>
      <c r="BA1783">
        <f t="shared" si="6"/>
        <v>3.2843189198960288E-2</v>
      </c>
      <c r="BB1783">
        <f>SUMIFS(HIX_RatingAreas8[QHP Enrollments 2021],HIX_RatingAreas8[Area],HIX_SLCSP11[[#This Row],[Area Code]])</f>
        <v>5452</v>
      </c>
      <c r="BC1783">
        <f t="shared" si="7"/>
        <v>3.2237655142237122E-2</v>
      </c>
      <c r="BD1783">
        <f>SUMIFS(HIX_RatingAreas8[QHP Enrollments 2022],HIX_RatingAreas8[Area],HIX_SLCSP11[[#This Row],[Area Code]])</f>
        <v>6997</v>
      </c>
      <c r="BE1783">
        <f t="shared" si="8"/>
        <v>3.1904028014627432E-2</v>
      </c>
      <c r="BF1783">
        <f>SUMIFS(HIX_RatingAreas8[QHP Enrollments 2023],HIX_RatingAreas8[Area],HIX_SLCSP11[[#This Row],[Area Code]])</f>
        <v>6997</v>
      </c>
      <c r="BG1783">
        <f t="shared" si="9"/>
        <v>3.1904028014627432E-2</v>
      </c>
      <c r="BH1783" s="53">
        <f>ROUND(HIX_SLCSP11[[#This Row],[Weighting Factor 2018]]*HIX_SLCSP11[[#This Row],[2018]],2)</f>
        <v>14.21</v>
      </c>
      <c r="BI1783" s="53">
        <f>ROUND(HIX_SLCSP11[[#This Row],[Weighting Factor 2019]]*HIX_SLCSP11[[#This Row],[2019]],2)</f>
        <v>14.23</v>
      </c>
      <c r="BJ1783" s="53">
        <f>ROUND(HIX_SLCSP11[[#This Row],[Weighting Factor 2020]]*HIX_SLCSP11[[#This Row],[2020]],2)</f>
        <v>13.46</v>
      </c>
      <c r="BK1783" s="53">
        <f>ROUND(HIX_SLCSP11[[#This Row],[Weighting Factor 2021]]*HIX_SLCSP11[[#This Row],[2021]],2)</f>
        <v>15.24</v>
      </c>
      <c r="BL1783" s="53">
        <f>ROUND(HIX_SLCSP11[[#This Row],[Weighting Factor 2022]]*HIX_SLCSP11[[#This Row],[2022]],2)</f>
        <v>16.12</v>
      </c>
      <c r="BM1783" s="53">
        <f>ROUND(HIX_SLCSP11[[#This Row],[Weighting Factor 2023]]*HIX_SLCSP11[[#This Row],[2023]],2)</f>
        <v>14.46</v>
      </c>
    </row>
    <row r="1784" spans="4:65" x14ac:dyDescent="0.35">
      <c r="D1784" t="s">
        <v>229</v>
      </c>
      <c r="E1784" t="s">
        <v>279</v>
      </c>
      <c r="F1784" s="23">
        <v>8</v>
      </c>
      <c r="G1784" s="23" t="s">
        <v>230</v>
      </c>
      <c r="H1784" s="23" t="s">
        <v>280</v>
      </c>
      <c r="I1784" s="23">
        <v>10</v>
      </c>
      <c r="J1784" s="53">
        <v>417.6</v>
      </c>
      <c r="K1784" s="53">
        <v>459.81</v>
      </c>
      <c r="L1784" s="53">
        <v>783.62</v>
      </c>
      <c r="M1784" s="54">
        <f t="shared" si="10"/>
        <v>1.7042256584241318</v>
      </c>
      <c r="N1784" s="24">
        <v>8</v>
      </c>
      <c r="O1784" s="55">
        <v>400.58</v>
      </c>
      <c r="P1784" s="56">
        <v>435.84</v>
      </c>
      <c r="Q1784" s="56">
        <v>742.76</v>
      </c>
      <c r="R1784" s="57">
        <f t="shared" si="11"/>
        <v>1.7042033773861969</v>
      </c>
      <c r="S1784" s="23">
        <v>10</v>
      </c>
      <c r="T1784" s="53">
        <v>328.59</v>
      </c>
      <c r="U1784" s="53">
        <v>409.94</v>
      </c>
      <c r="V1784" s="53">
        <v>698.62</v>
      </c>
      <c r="W1784" s="57">
        <f t="shared" si="12"/>
        <v>1.704200614724106</v>
      </c>
      <c r="X1784" s="47">
        <v>8</v>
      </c>
      <c r="Y1784" s="58">
        <v>431.14</v>
      </c>
      <c r="Z1784" s="58">
        <v>462.85</v>
      </c>
      <c r="AA1784" s="58">
        <v>788.78</v>
      </c>
      <c r="AB1784" s="57">
        <f t="shared" si="13"/>
        <v>1.7041806200712972</v>
      </c>
      <c r="AC1784" s="47">
        <v>8</v>
      </c>
      <c r="AD1784" s="23">
        <v>460.77</v>
      </c>
      <c r="AE1784" s="23">
        <v>494.63</v>
      </c>
      <c r="AF1784" s="23">
        <v>842.95</v>
      </c>
      <c r="AG1784" s="57">
        <f t="shared" si="14"/>
        <v>1.7042031417423125</v>
      </c>
      <c r="AH1784" s="47">
        <v>60</v>
      </c>
      <c r="AI1784">
        <v>442.66</v>
      </c>
      <c r="AJ1784">
        <v>459.32</v>
      </c>
      <c r="AK1784">
        <v>782.77</v>
      </c>
      <c r="AL1784" s="57">
        <f t="shared" si="15"/>
        <v>1.7041931550988418</v>
      </c>
      <c r="AM1784" s="59">
        <v>4143</v>
      </c>
      <c r="AN1784" s="59">
        <f>SUMIFS(HIX_RatingAreas8[Silver Enrollments 2018],HIX_RatingAreas8[Area],HIX_SLCSP11[[#This Row],[Area Code]])</f>
        <v>3617</v>
      </c>
      <c r="AO1784" s="59">
        <f>SUMIFS(HIX_RatingAreas8[Silver Enrollments 2019],HIX_RatingAreas8[Area],HIX_SLCSP11[[#This Row],[Area Code]])</f>
        <v>3474</v>
      </c>
      <c r="AP1784" s="59">
        <f>SUMIFS(HIX_RatingAreas8[Silver Enrollments 2020],HIX_RatingAreas8[Area],HIX_SLCSP11[[#This Row],[Area Code]])</f>
        <v>3415</v>
      </c>
      <c r="AQ1784" s="59">
        <f>SUMIFS(HIX_RatingAreas8[Silver Enrollments 2021],HIX_RatingAreas8[Area],HIX_SLCSP11[[#This Row],[Area Code]])</f>
        <v>3617</v>
      </c>
      <c r="AR1784" s="59">
        <f>SUMIFS(HIX_RatingAreas8[Silver Enrollments 2022],HIX_RatingAreas8[Area],HIX_SLCSP11[[#This Row],[Area Code]])</f>
        <v>4338</v>
      </c>
      <c r="AS1784" s="59">
        <f>SUMIFS(HIX_RatingAreas8[Silver Enrollments 2023],HIX_RatingAreas8[Area],HIX_SLCSP11[[#This Row],[Area Code]])</f>
        <v>4338</v>
      </c>
      <c r="AT1784" s="59">
        <v>4639</v>
      </c>
      <c r="AU1784">
        <f t="shared" si="3"/>
        <v>2.3784011033238142E-2</v>
      </c>
      <c r="AV1784">
        <f>SUMIFS(HIX_RatingAreas8[QHP Enrollments 2018],HIX_RatingAreas8[Area],HIX_SLCSP11[[#This Row],[Area Code]])</f>
        <v>4127</v>
      </c>
      <c r="AW1784">
        <f t="shared" si="4"/>
        <v>2.424637655615677E-2</v>
      </c>
      <c r="AX1784">
        <f>SUMIFS(HIX_RatingAreas8[QHP Enrollments 2019],HIX_RatingAreas8[Area],HIX_SLCSP11[[#This Row],[Area Code]])</f>
        <v>4026</v>
      </c>
      <c r="AY1784">
        <f t="shared" si="5"/>
        <v>2.4234325339497254E-2</v>
      </c>
      <c r="AZ1784">
        <f>SUMIFS(HIX_RatingAreas8[QHP Enrollments 2020],HIX_RatingAreas8[Area],HIX_SLCSP11[[#This Row],[Area Code]])</f>
        <v>3932</v>
      </c>
      <c r="BA1784">
        <f t="shared" si="6"/>
        <v>2.4509284480985358E-2</v>
      </c>
      <c r="BB1784">
        <f>SUMIFS(HIX_RatingAreas8[QHP Enrollments 2021],HIX_RatingAreas8[Area],HIX_SLCSP11[[#This Row],[Area Code]])</f>
        <v>4183</v>
      </c>
      <c r="BC1784">
        <f t="shared" si="7"/>
        <v>2.473406299706124E-2</v>
      </c>
      <c r="BD1784">
        <f>SUMIFS(HIX_RatingAreas8[QHP Enrollments 2022],HIX_RatingAreas8[Area],HIX_SLCSP11[[#This Row],[Area Code]])</f>
        <v>5042</v>
      </c>
      <c r="BE1784">
        <f t="shared" si="8"/>
        <v>2.2989868407853581E-2</v>
      </c>
      <c r="BF1784">
        <f>SUMIFS(HIX_RatingAreas8[QHP Enrollments 2023],HIX_RatingAreas8[Area],HIX_SLCSP11[[#This Row],[Area Code]])</f>
        <v>5042</v>
      </c>
      <c r="BG1784">
        <f t="shared" si="9"/>
        <v>2.2989868407853581E-2</v>
      </c>
      <c r="BH1784" s="53">
        <f>ROUND(HIX_SLCSP11[[#This Row],[Weighting Factor 2018]]*HIX_SLCSP11[[#This Row],[2018]],2)</f>
        <v>11.15</v>
      </c>
      <c r="BI1784" s="53">
        <f>ROUND(HIX_SLCSP11[[#This Row],[Weighting Factor 2019]]*HIX_SLCSP11[[#This Row],[2019]],2)</f>
        <v>10.56</v>
      </c>
      <c r="BJ1784" s="53">
        <f>ROUND(HIX_SLCSP11[[#This Row],[Weighting Factor 2020]]*HIX_SLCSP11[[#This Row],[2020]],2)</f>
        <v>10.050000000000001</v>
      </c>
      <c r="BK1784" s="53">
        <f>ROUND(HIX_SLCSP11[[#This Row],[Weighting Factor 2021]]*HIX_SLCSP11[[#This Row],[2021]],2)</f>
        <v>11.45</v>
      </c>
      <c r="BL1784" s="53">
        <f>ROUND(HIX_SLCSP11[[#This Row],[Weighting Factor 2022]]*HIX_SLCSP11[[#This Row],[2022]],2)</f>
        <v>11.37</v>
      </c>
      <c r="BM1784" s="53">
        <f>ROUND(HIX_SLCSP11[[#This Row],[Weighting Factor 2023]]*HIX_SLCSP11[[#This Row],[2023]],2)</f>
        <v>10.56</v>
      </c>
    </row>
    <row r="1785" spans="4:65" x14ac:dyDescent="0.35">
      <c r="D1785" t="s">
        <v>229</v>
      </c>
      <c r="E1785" t="s">
        <v>283</v>
      </c>
      <c r="F1785" s="23">
        <v>9</v>
      </c>
      <c r="G1785" s="23" t="s">
        <v>230</v>
      </c>
      <c r="H1785" s="23" t="s">
        <v>284</v>
      </c>
      <c r="I1785" s="23">
        <v>10</v>
      </c>
      <c r="J1785" s="53">
        <v>455.36</v>
      </c>
      <c r="K1785" s="53">
        <v>501.39</v>
      </c>
      <c r="L1785" s="53">
        <v>854.47</v>
      </c>
      <c r="M1785" s="54">
        <f t="shared" si="10"/>
        <v>1.7042023175571912</v>
      </c>
      <c r="N1785" s="24">
        <v>8</v>
      </c>
      <c r="O1785" s="55">
        <v>447.96</v>
      </c>
      <c r="P1785" s="56">
        <v>487.39</v>
      </c>
      <c r="Q1785" s="56">
        <v>830.61</v>
      </c>
      <c r="R1785" s="57">
        <f t="shared" si="11"/>
        <v>1.7041999220336896</v>
      </c>
      <c r="S1785" s="23">
        <v>10</v>
      </c>
      <c r="T1785" s="53">
        <v>367.46</v>
      </c>
      <c r="U1785" s="53">
        <v>458.43</v>
      </c>
      <c r="V1785" s="53">
        <v>781.26</v>
      </c>
      <c r="W1785" s="57">
        <f t="shared" si="12"/>
        <v>1.7042078398010601</v>
      </c>
      <c r="X1785" s="47">
        <v>8</v>
      </c>
      <c r="Y1785" s="58">
        <v>484.45</v>
      </c>
      <c r="Z1785" s="58">
        <v>520.08000000000004</v>
      </c>
      <c r="AA1785" s="58">
        <v>886.32</v>
      </c>
      <c r="AB1785" s="57">
        <f t="shared" si="13"/>
        <v>1.7041993539455469</v>
      </c>
      <c r="AC1785" s="47">
        <v>20</v>
      </c>
      <c r="AD1785" s="23">
        <v>517.75</v>
      </c>
      <c r="AE1785" s="23">
        <v>546.74</v>
      </c>
      <c r="AF1785" s="23">
        <v>931.76</v>
      </c>
      <c r="AG1785" s="57">
        <f t="shared" si="14"/>
        <v>1.7042104107985514</v>
      </c>
      <c r="AH1785" s="47">
        <v>30</v>
      </c>
      <c r="AI1785">
        <v>497.4</v>
      </c>
      <c r="AJ1785">
        <v>516.12</v>
      </c>
      <c r="AK1785">
        <v>879.56</v>
      </c>
      <c r="AL1785" s="57">
        <f t="shared" si="15"/>
        <v>1.7041773231031543</v>
      </c>
      <c r="AM1785" s="59">
        <v>15486</v>
      </c>
      <c r="AN1785" s="59">
        <f>SUMIFS(HIX_RatingAreas8[Silver Enrollments 2018],HIX_RatingAreas8[Area],HIX_SLCSP11[[#This Row],[Area Code]])</f>
        <v>13675</v>
      </c>
      <c r="AO1785" s="59">
        <f>SUMIFS(HIX_RatingAreas8[Silver Enrollments 2019],HIX_RatingAreas8[Area],HIX_SLCSP11[[#This Row],[Area Code]])</f>
        <v>13739</v>
      </c>
      <c r="AP1785" s="59">
        <f>SUMIFS(HIX_RatingAreas8[Silver Enrollments 2020],HIX_RatingAreas8[Area],HIX_SLCSP11[[#This Row],[Area Code]])</f>
        <v>13371</v>
      </c>
      <c r="AQ1785" s="59">
        <f>SUMIFS(HIX_RatingAreas8[Silver Enrollments 2021],HIX_RatingAreas8[Area],HIX_SLCSP11[[#This Row],[Area Code]])</f>
        <v>13984</v>
      </c>
      <c r="AR1785" s="59">
        <f>SUMIFS(HIX_RatingAreas8[Silver Enrollments 2022],HIX_RatingAreas8[Area],HIX_SLCSP11[[#This Row],[Area Code]])</f>
        <v>17950</v>
      </c>
      <c r="AS1785" s="59">
        <f>SUMIFS(HIX_RatingAreas8[Silver Enrollments 2023],HIX_RatingAreas8[Area],HIX_SLCSP11[[#This Row],[Area Code]])</f>
        <v>17950</v>
      </c>
      <c r="AT1785" s="59">
        <v>18617</v>
      </c>
      <c r="AU1785">
        <f t="shared" si="3"/>
        <v>9.5448789266176864E-2</v>
      </c>
      <c r="AV1785">
        <f>SUMIFS(HIX_RatingAreas8[QHP Enrollments 2018],HIX_RatingAreas8[Area],HIX_SLCSP11[[#This Row],[Area Code]])</f>
        <v>16992</v>
      </c>
      <c r="AW1785">
        <f t="shared" si="4"/>
        <v>9.9829035726245657E-2</v>
      </c>
      <c r="AX1785">
        <f>SUMIFS(HIX_RatingAreas8[QHP Enrollments 2019],HIX_RatingAreas8[Area],HIX_SLCSP11[[#This Row],[Area Code]])</f>
        <v>17115</v>
      </c>
      <c r="AY1785">
        <f t="shared" si="5"/>
        <v>0.10302297023981508</v>
      </c>
      <c r="AZ1785">
        <f>SUMIFS(HIX_RatingAreas8[QHP Enrollments 2020],HIX_RatingAreas8[Area],HIX_SLCSP11[[#This Row],[Area Code]])</f>
        <v>16499</v>
      </c>
      <c r="BA1785">
        <f t="shared" si="6"/>
        <v>0.10284300220035031</v>
      </c>
      <c r="BB1785">
        <f>SUMIFS(HIX_RatingAreas8[QHP Enrollments 2021],HIX_RatingAreas8[Area],HIX_SLCSP11[[#This Row],[Area Code]])</f>
        <v>17515</v>
      </c>
      <c r="BC1785">
        <f t="shared" si="7"/>
        <v>0.1035661279927152</v>
      </c>
      <c r="BD1785">
        <f>SUMIFS(HIX_RatingAreas8[QHP Enrollments 2022],HIX_RatingAreas8[Area],HIX_SLCSP11[[#This Row],[Area Code]])</f>
        <v>22119</v>
      </c>
      <c r="BE1785">
        <f t="shared" si="8"/>
        <v>0.10085539454845564</v>
      </c>
      <c r="BF1785">
        <f>SUMIFS(HIX_RatingAreas8[QHP Enrollments 2023],HIX_RatingAreas8[Area],HIX_SLCSP11[[#This Row],[Area Code]])</f>
        <v>22119</v>
      </c>
      <c r="BG1785">
        <f t="shared" si="9"/>
        <v>0.10085539454845564</v>
      </c>
      <c r="BH1785" s="53">
        <f>ROUND(HIX_SLCSP11[[#This Row],[Weighting Factor 2018]]*HIX_SLCSP11[[#This Row],[2018]],2)</f>
        <v>50.05</v>
      </c>
      <c r="BI1785" s="53">
        <f>ROUND(HIX_SLCSP11[[#This Row],[Weighting Factor 2019]]*HIX_SLCSP11[[#This Row],[2019]],2)</f>
        <v>50.21</v>
      </c>
      <c r="BJ1785" s="53">
        <f>ROUND(HIX_SLCSP11[[#This Row],[Weighting Factor 2020]]*HIX_SLCSP11[[#This Row],[2020]],2)</f>
        <v>47.15</v>
      </c>
      <c r="BK1785" s="53">
        <f>ROUND(HIX_SLCSP11[[#This Row],[Weighting Factor 2021]]*HIX_SLCSP11[[#This Row],[2021]],2)</f>
        <v>53.86</v>
      </c>
      <c r="BL1785" s="53">
        <f>ROUND(HIX_SLCSP11[[#This Row],[Weighting Factor 2022]]*HIX_SLCSP11[[#This Row],[2022]],2)</f>
        <v>55.14</v>
      </c>
      <c r="BM1785" s="53">
        <f>ROUND(HIX_SLCSP11[[#This Row],[Weighting Factor 2023]]*HIX_SLCSP11[[#This Row],[2023]],2)</f>
        <v>52.05</v>
      </c>
    </row>
    <row r="1786" spans="4:65" x14ac:dyDescent="0.35">
      <c r="D1786" t="s">
        <v>229</v>
      </c>
      <c r="E1786" t="s">
        <v>289</v>
      </c>
      <c r="F1786" s="23">
        <v>10</v>
      </c>
      <c r="G1786" s="23" t="s">
        <v>230</v>
      </c>
      <c r="H1786" s="23" t="s">
        <v>290</v>
      </c>
      <c r="I1786" s="23">
        <v>10</v>
      </c>
      <c r="J1786" s="53">
        <v>426.49</v>
      </c>
      <c r="K1786" s="53">
        <v>469.6</v>
      </c>
      <c r="L1786" s="53">
        <v>800.29</v>
      </c>
      <c r="M1786" s="54">
        <f t="shared" si="10"/>
        <v>1.7041950596252129</v>
      </c>
      <c r="N1786" s="24">
        <v>8</v>
      </c>
      <c r="O1786" s="55">
        <v>413.5</v>
      </c>
      <c r="P1786" s="56">
        <v>449.9</v>
      </c>
      <c r="Q1786" s="56">
        <v>766.72</v>
      </c>
      <c r="R1786" s="57">
        <f t="shared" si="11"/>
        <v>1.7042009335407871</v>
      </c>
      <c r="S1786" s="23">
        <v>10</v>
      </c>
      <c r="T1786" s="53">
        <v>339.19</v>
      </c>
      <c r="U1786" s="53">
        <v>423.17</v>
      </c>
      <c r="V1786" s="53">
        <v>721.16</v>
      </c>
      <c r="W1786" s="57">
        <f t="shared" si="12"/>
        <v>1.7041850792825577</v>
      </c>
      <c r="X1786" s="47">
        <v>8</v>
      </c>
      <c r="Y1786" s="58">
        <v>435.78</v>
      </c>
      <c r="Z1786" s="58">
        <v>467.82</v>
      </c>
      <c r="AA1786" s="58">
        <v>797.26</v>
      </c>
      <c r="AB1786" s="57">
        <f t="shared" si="13"/>
        <v>1.7042024710358685</v>
      </c>
      <c r="AC1786" s="47">
        <v>20</v>
      </c>
      <c r="AD1786" s="23">
        <v>462.63</v>
      </c>
      <c r="AE1786" s="23">
        <v>465.73</v>
      </c>
      <c r="AF1786" s="23">
        <v>793.69</v>
      </c>
      <c r="AG1786" s="57">
        <f t="shared" si="14"/>
        <v>1.7041848281192966</v>
      </c>
      <c r="AH1786" s="47">
        <v>60</v>
      </c>
      <c r="AI1786">
        <v>444.24</v>
      </c>
      <c r="AJ1786">
        <v>447.42</v>
      </c>
      <c r="AK1786">
        <v>762.5</v>
      </c>
      <c r="AL1786" s="57">
        <f t="shared" si="15"/>
        <v>1.704215278709043</v>
      </c>
      <c r="AM1786" s="59">
        <v>16554</v>
      </c>
      <c r="AN1786" s="59">
        <f>SUMIFS(HIX_RatingAreas8[Silver Enrollments 2018],HIX_RatingAreas8[Area],HIX_SLCSP11[[#This Row],[Area Code]])</f>
        <v>14278</v>
      </c>
      <c r="AO1786" s="59">
        <f>SUMIFS(HIX_RatingAreas8[Silver Enrollments 2019],HIX_RatingAreas8[Area],HIX_SLCSP11[[#This Row],[Area Code]])</f>
        <v>14277</v>
      </c>
      <c r="AP1786" s="59">
        <f>SUMIFS(HIX_RatingAreas8[Silver Enrollments 2020],HIX_RatingAreas8[Area],HIX_SLCSP11[[#This Row],[Area Code]])</f>
        <v>14195</v>
      </c>
      <c r="AQ1786" s="59">
        <f>SUMIFS(HIX_RatingAreas8[Silver Enrollments 2021],HIX_RatingAreas8[Area],HIX_SLCSP11[[#This Row],[Area Code]])</f>
        <v>15137</v>
      </c>
      <c r="AR1786" s="59">
        <f>SUMIFS(HIX_RatingAreas8[Silver Enrollments 2022],HIX_RatingAreas8[Area],HIX_SLCSP11[[#This Row],[Area Code]])</f>
        <v>20110</v>
      </c>
      <c r="AS1786" s="59">
        <f>SUMIFS(HIX_RatingAreas8[Silver Enrollments 2023],HIX_RatingAreas8[Area],HIX_SLCSP11[[#This Row],[Area Code]])</f>
        <v>20110</v>
      </c>
      <c r="AT1786" s="59">
        <v>19313</v>
      </c>
      <c r="AU1786">
        <f t="shared" si="3"/>
        <v>9.9017159966572163E-2</v>
      </c>
      <c r="AV1786">
        <f>SUMIFS(HIX_RatingAreas8[QHP Enrollments 2018],HIX_RatingAreas8[Area],HIX_SLCSP11[[#This Row],[Area Code]])</f>
        <v>16813</v>
      </c>
      <c r="AW1786">
        <f t="shared" si="4"/>
        <v>9.8777399815523081E-2</v>
      </c>
      <c r="AX1786">
        <f>SUMIFS(HIX_RatingAreas8[QHP Enrollments 2019],HIX_RatingAreas8[Area],HIX_SLCSP11[[#This Row],[Area Code]])</f>
        <v>16833</v>
      </c>
      <c r="AY1786">
        <f t="shared" si="5"/>
        <v>0.10132548396417221</v>
      </c>
      <c r="AZ1786">
        <f>SUMIFS(HIX_RatingAreas8[QHP Enrollments 2020],HIX_RatingAreas8[Area],HIX_SLCSP11[[#This Row],[Area Code]])</f>
        <v>16676</v>
      </c>
      <c r="BA1786">
        <f t="shared" si="6"/>
        <v>0.10394629399921461</v>
      </c>
      <c r="BB1786">
        <f>SUMIFS(HIX_RatingAreas8[QHP Enrollments 2021],HIX_RatingAreas8[Area],HIX_SLCSP11[[#This Row],[Area Code]])</f>
        <v>17855</v>
      </c>
      <c r="BC1786">
        <f t="shared" si="7"/>
        <v>0.10557654669197429</v>
      </c>
      <c r="BD1786">
        <f>SUMIFS(HIX_RatingAreas8[QHP Enrollments 2022],HIX_RatingAreas8[Area],HIX_SLCSP11[[#This Row],[Area Code]])</f>
        <v>23642</v>
      </c>
      <c r="BE1786">
        <f t="shared" si="8"/>
        <v>0.10779977566411629</v>
      </c>
      <c r="BF1786">
        <f>SUMIFS(HIX_RatingAreas8[QHP Enrollments 2023],HIX_RatingAreas8[Area],HIX_SLCSP11[[#This Row],[Area Code]])</f>
        <v>23642</v>
      </c>
      <c r="BG1786">
        <f t="shared" si="9"/>
        <v>0.10779977566411629</v>
      </c>
      <c r="BH1786" s="53">
        <f>ROUND(HIX_SLCSP11[[#This Row],[Weighting Factor 2018]]*HIX_SLCSP11[[#This Row],[2018]],2)</f>
        <v>46.39</v>
      </c>
      <c r="BI1786" s="53">
        <f>ROUND(HIX_SLCSP11[[#This Row],[Weighting Factor 2019]]*HIX_SLCSP11[[#This Row],[2019]],2)</f>
        <v>45.59</v>
      </c>
      <c r="BJ1786" s="53">
        <f>ROUND(HIX_SLCSP11[[#This Row],[Weighting Factor 2020]]*HIX_SLCSP11[[#This Row],[2020]],2)</f>
        <v>43.99</v>
      </c>
      <c r="BK1786" s="53">
        <f>ROUND(HIX_SLCSP11[[#This Row],[Weighting Factor 2021]]*HIX_SLCSP11[[#This Row],[2021]],2)</f>
        <v>49.39</v>
      </c>
      <c r="BL1786" s="53">
        <f>ROUND(HIX_SLCSP11[[#This Row],[Weighting Factor 2022]]*HIX_SLCSP11[[#This Row],[2022]],2)</f>
        <v>50.21</v>
      </c>
      <c r="BM1786" s="53">
        <f>ROUND(HIX_SLCSP11[[#This Row],[Weighting Factor 2023]]*HIX_SLCSP11[[#This Row],[2023]],2)</f>
        <v>48.23</v>
      </c>
    </row>
    <row r="1787" spans="4:65" x14ac:dyDescent="0.35">
      <c r="D1787" t="s">
        <v>229</v>
      </c>
      <c r="E1787" t="s">
        <v>293</v>
      </c>
      <c r="F1787" s="23">
        <v>11</v>
      </c>
      <c r="G1787" s="23" t="s">
        <v>230</v>
      </c>
      <c r="H1787" s="23" t="s">
        <v>294</v>
      </c>
      <c r="I1787" s="23">
        <v>10</v>
      </c>
      <c r="J1787" s="53">
        <v>417.6</v>
      </c>
      <c r="K1787" s="53">
        <v>459.81</v>
      </c>
      <c r="L1787" s="53">
        <v>783.62</v>
      </c>
      <c r="M1787" s="54">
        <f t="shared" si="10"/>
        <v>1.7042256584241318</v>
      </c>
      <c r="N1787" s="24">
        <v>8</v>
      </c>
      <c r="O1787" s="55">
        <v>430.73</v>
      </c>
      <c r="P1787" s="56">
        <v>468.64</v>
      </c>
      <c r="Q1787" s="56">
        <v>798.66</v>
      </c>
      <c r="R1787" s="57">
        <f t="shared" si="11"/>
        <v>1.7042079207920793</v>
      </c>
      <c r="S1787" s="23">
        <v>10</v>
      </c>
      <c r="T1787" s="53">
        <v>353.32</v>
      </c>
      <c r="U1787" s="53">
        <v>440.8</v>
      </c>
      <c r="V1787" s="53">
        <v>751.21</v>
      </c>
      <c r="W1787" s="57">
        <f t="shared" si="12"/>
        <v>1.7041969147005445</v>
      </c>
      <c r="X1787" s="47">
        <v>8</v>
      </c>
      <c r="Y1787" s="58">
        <v>454.32</v>
      </c>
      <c r="Z1787" s="58">
        <v>487.73</v>
      </c>
      <c r="AA1787" s="58">
        <v>831.19</v>
      </c>
      <c r="AB1787" s="57">
        <f t="shared" si="13"/>
        <v>1.7042010948680624</v>
      </c>
      <c r="AC1787" s="47">
        <v>8</v>
      </c>
      <c r="AD1787" s="23">
        <v>485.54</v>
      </c>
      <c r="AE1787" s="23">
        <v>521.22</v>
      </c>
      <c r="AF1787" s="23">
        <v>888.27</v>
      </c>
      <c r="AG1787" s="57">
        <f t="shared" si="14"/>
        <v>1.7042131921261654</v>
      </c>
      <c r="AH1787" s="47">
        <v>40</v>
      </c>
      <c r="AI1787">
        <v>445.9</v>
      </c>
      <c r="AJ1787">
        <v>450.13</v>
      </c>
      <c r="AK1787">
        <v>767.11</v>
      </c>
      <c r="AL1787" s="57">
        <f t="shared" si="15"/>
        <v>1.7041965654366518</v>
      </c>
      <c r="AM1787" s="59">
        <v>11565</v>
      </c>
      <c r="AN1787" s="59">
        <f>SUMIFS(HIX_RatingAreas8[Silver Enrollments 2018],HIX_RatingAreas8[Area],HIX_SLCSP11[[#This Row],[Area Code]])</f>
        <v>9536</v>
      </c>
      <c r="AO1787" s="59">
        <f>SUMIFS(HIX_RatingAreas8[Silver Enrollments 2019],HIX_RatingAreas8[Area],HIX_SLCSP11[[#This Row],[Area Code]])</f>
        <v>9373</v>
      </c>
      <c r="AP1787" s="59">
        <f>SUMIFS(HIX_RatingAreas8[Silver Enrollments 2020],HIX_RatingAreas8[Area],HIX_SLCSP11[[#This Row],[Area Code]])</f>
        <v>9222</v>
      </c>
      <c r="AQ1787" s="59">
        <f>SUMIFS(HIX_RatingAreas8[Silver Enrollments 2021],HIX_RatingAreas8[Area],HIX_SLCSP11[[#This Row],[Area Code]])</f>
        <v>9868</v>
      </c>
      <c r="AR1787" s="59">
        <f>SUMIFS(HIX_RatingAreas8[Silver Enrollments 2022],HIX_RatingAreas8[Area],HIX_SLCSP11[[#This Row],[Area Code]])</f>
        <v>13355</v>
      </c>
      <c r="AS1787" s="59">
        <f>SUMIFS(HIX_RatingAreas8[Silver Enrollments 2023],HIX_RatingAreas8[Area],HIX_SLCSP11[[#This Row],[Area Code]])</f>
        <v>13355</v>
      </c>
      <c r="AT1787" s="59">
        <v>13636</v>
      </c>
      <c r="AU1787">
        <f t="shared" si="3"/>
        <v>6.9911354699123796E-2</v>
      </c>
      <c r="AV1787">
        <f>SUMIFS(HIX_RatingAreas8[QHP Enrollments 2018],HIX_RatingAreas8[Area],HIX_SLCSP11[[#This Row],[Area Code]])</f>
        <v>11506</v>
      </c>
      <c r="AW1787">
        <f t="shared" si="4"/>
        <v>6.7598451333932594E-2</v>
      </c>
      <c r="AX1787">
        <f>SUMIFS(HIX_RatingAreas8[QHP Enrollments 2019],HIX_RatingAreas8[Area],HIX_SLCSP11[[#This Row],[Area Code]])</f>
        <v>11415</v>
      </c>
      <c r="AY1787">
        <f t="shared" si="5"/>
        <v>6.8712077434267549E-2</v>
      </c>
      <c r="AZ1787">
        <f>SUMIFS(HIX_RatingAreas8[QHP Enrollments 2020],HIX_RatingAreas8[Area],HIX_SLCSP11[[#This Row],[Area Code]])</f>
        <v>11117</v>
      </c>
      <c r="BA1787">
        <f t="shared" si="6"/>
        <v>6.929545157047666E-2</v>
      </c>
      <c r="BB1787">
        <f>SUMIFS(HIX_RatingAreas8[QHP Enrollments 2021],HIX_RatingAreas8[Area],HIX_SLCSP11[[#This Row],[Area Code]])</f>
        <v>11938</v>
      </c>
      <c r="BC1787">
        <f t="shared" si="7"/>
        <v>7.0589348328691626E-2</v>
      </c>
      <c r="BD1787">
        <f>SUMIFS(HIX_RatingAreas8[QHP Enrollments 2022],HIX_RatingAreas8[Area],HIX_SLCSP11[[#This Row],[Area Code]])</f>
        <v>15777</v>
      </c>
      <c r="BE1787">
        <f t="shared" si="8"/>
        <v>7.1937951977529932E-2</v>
      </c>
      <c r="BF1787">
        <f>SUMIFS(HIX_RatingAreas8[QHP Enrollments 2023],HIX_RatingAreas8[Area],HIX_SLCSP11[[#This Row],[Area Code]])</f>
        <v>15777</v>
      </c>
      <c r="BG1787">
        <f t="shared" si="9"/>
        <v>7.1937951977529932E-2</v>
      </c>
      <c r="BH1787" s="53">
        <f>ROUND(HIX_SLCSP11[[#This Row],[Weighting Factor 2018]]*HIX_SLCSP11[[#This Row],[2018]],2)</f>
        <v>31.08</v>
      </c>
      <c r="BI1787" s="53">
        <f>ROUND(HIX_SLCSP11[[#This Row],[Weighting Factor 2019]]*HIX_SLCSP11[[#This Row],[2019]],2)</f>
        <v>32.200000000000003</v>
      </c>
      <c r="BJ1787" s="53">
        <f>ROUND(HIX_SLCSP11[[#This Row],[Weighting Factor 2020]]*HIX_SLCSP11[[#This Row],[2020]],2)</f>
        <v>30.55</v>
      </c>
      <c r="BK1787" s="53">
        <f>ROUND(HIX_SLCSP11[[#This Row],[Weighting Factor 2021]]*HIX_SLCSP11[[#This Row],[2021]],2)</f>
        <v>34.43</v>
      </c>
      <c r="BL1787" s="53">
        <f>ROUND(HIX_SLCSP11[[#This Row],[Weighting Factor 2022]]*HIX_SLCSP11[[#This Row],[2022]],2)</f>
        <v>37.5</v>
      </c>
      <c r="BM1787" s="53">
        <f>ROUND(HIX_SLCSP11[[#This Row],[Weighting Factor 2023]]*HIX_SLCSP11[[#This Row],[2023]],2)</f>
        <v>32.380000000000003</v>
      </c>
    </row>
    <row r="1788" spans="4:65" x14ac:dyDescent="0.35">
      <c r="D1788" t="s">
        <v>229</v>
      </c>
      <c r="E1788" t="s">
        <v>303</v>
      </c>
      <c r="F1788" s="23">
        <v>12</v>
      </c>
      <c r="G1788" s="23" t="s">
        <v>230</v>
      </c>
      <c r="H1788" s="23" t="s">
        <v>304</v>
      </c>
      <c r="I1788" s="23">
        <v>10</v>
      </c>
      <c r="J1788" s="53">
        <v>386.5</v>
      </c>
      <c r="K1788" s="53">
        <v>425.57</v>
      </c>
      <c r="L1788" s="53">
        <v>725.26</v>
      </c>
      <c r="M1788" s="54">
        <f t="shared" si="10"/>
        <v>1.7042084733416358</v>
      </c>
      <c r="N1788" s="24">
        <v>8</v>
      </c>
      <c r="O1788" s="55">
        <v>391.96</v>
      </c>
      <c r="P1788" s="56">
        <v>426.47</v>
      </c>
      <c r="Q1788" s="56">
        <v>726.78</v>
      </c>
      <c r="R1788" s="57">
        <f t="shared" si="11"/>
        <v>1.7041761436912326</v>
      </c>
      <c r="S1788" s="23">
        <v>10</v>
      </c>
      <c r="T1788" s="53">
        <v>321.52</v>
      </c>
      <c r="U1788" s="53">
        <v>401.13</v>
      </c>
      <c r="V1788" s="53">
        <v>683.6</v>
      </c>
      <c r="W1788" s="57">
        <f t="shared" si="12"/>
        <v>1.7041856754668063</v>
      </c>
      <c r="X1788" s="47">
        <v>8</v>
      </c>
      <c r="Y1788" s="58">
        <v>417.23</v>
      </c>
      <c r="Z1788" s="58">
        <v>447.92</v>
      </c>
      <c r="AA1788" s="58">
        <v>763.34</v>
      </c>
      <c r="AB1788" s="57">
        <f t="shared" si="13"/>
        <v>1.704188247901411</v>
      </c>
      <c r="AC1788" s="47">
        <v>8</v>
      </c>
      <c r="AD1788" s="23">
        <v>445.91</v>
      </c>
      <c r="AE1788" s="23">
        <v>478.67</v>
      </c>
      <c r="AF1788" s="23">
        <v>815.76</v>
      </c>
      <c r="AG1788" s="57">
        <f t="shared" si="14"/>
        <v>1.7042221154448784</v>
      </c>
      <c r="AH1788" s="47">
        <v>12</v>
      </c>
      <c r="AI1788">
        <v>428.38</v>
      </c>
      <c r="AJ1788">
        <v>444.5</v>
      </c>
      <c r="AK1788">
        <v>757.52</v>
      </c>
      <c r="AL1788" s="57">
        <f t="shared" si="15"/>
        <v>1.704206974128234</v>
      </c>
      <c r="AM1788" s="59">
        <v>6441</v>
      </c>
      <c r="AN1788" s="59">
        <f>SUMIFS(HIX_RatingAreas8[Silver Enrollments 2018],HIX_RatingAreas8[Area],HIX_SLCSP11[[#This Row],[Area Code]])</f>
        <v>5267</v>
      </c>
      <c r="AO1788" s="59">
        <f>SUMIFS(HIX_RatingAreas8[Silver Enrollments 2019],HIX_RatingAreas8[Area],HIX_SLCSP11[[#This Row],[Area Code]])</f>
        <v>4911</v>
      </c>
      <c r="AP1788" s="59">
        <f>SUMIFS(HIX_RatingAreas8[Silver Enrollments 2020],HIX_RatingAreas8[Area],HIX_SLCSP11[[#This Row],[Area Code]])</f>
        <v>4738</v>
      </c>
      <c r="AQ1788" s="59">
        <f>SUMIFS(HIX_RatingAreas8[Silver Enrollments 2021],HIX_RatingAreas8[Area],HIX_SLCSP11[[#This Row],[Area Code]])</f>
        <v>4894</v>
      </c>
      <c r="AR1788" s="59">
        <f>SUMIFS(HIX_RatingAreas8[Silver Enrollments 2022],HIX_RatingAreas8[Area],HIX_SLCSP11[[#This Row],[Area Code]])</f>
        <v>6535</v>
      </c>
      <c r="AS1788" s="59">
        <f>SUMIFS(HIX_RatingAreas8[Silver Enrollments 2023],HIX_RatingAreas8[Area],HIX_SLCSP11[[#This Row],[Area Code]])</f>
        <v>6535</v>
      </c>
      <c r="AT1788" s="59">
        <v>7521</v>
      </c>
      <c r="AU1788">
        <f t="shared" si="3"/>
        <v>3.8559936835737024E-2</v>
      </c>
      <c r="AV1788">
        <f>SUMIFS(HIX_RatingAreas8[QHP Enrollments 2018],HIX_RatingAreas8[Area],HIX_SLCSP11[[#This Row],[Area Code]])</f>
        <v>6455</v>
      </c>
      <c r="AW1788">
        <f t="shared" si="4"/>
        <v>3.7923518456503984E-2</v>
      </c>
      <c r="AX1788">
        <f>SUMIFS(HIX_RatingAreas8[QHP Enrollments 2019],HIX_RatingAreas8[Area],HIX_SLCSP11[[#This Row],[Area Code]])</f>
        <v>6042</v>
      </c>
      <c r="AY1788">
        <f t="shared" si="5"/>
        <v>3.6369546373880381E-2</v>
      </c>
      <c r="AZ1788">
        <f>SUMIFS(HIX_RatingAreas8[QHP Enrollments 2020],HIX_RatingAreas8[Area],HIX_SLCSP11[[#This Row],[Area Code]])</f>
        <v>5807</v>
      </c>
      <c r="BA1788">
        <f t="shared" si="6"/>
        <v>3.6196697604547808E-2</v>
      </c>
      <c r="BB1788">
        <f>SUMIFS(HIX_RatingAreas8[QHP Enrollments 2021],HIX_RatingAreas8[Area],HIX_SLCSP11[[#This Row],[Area Code]])</f>
        <v>6055</v>
      </c>
      <c r="BC1788">
        <f t="shared" si="7"/>
        <v>3.5803191835334883E-2</v>
      </c>
      <c r="BD1788">
        <f>SUMIFS(HIX_RatingAreas8[QHP Enrollments 2022],HIX_RatingAreas8[Area],HIX_SLCSP11[[#This Row],[Area Code]])</f>
        <v>7977</v>
      </c>
      <c r="BE1788">
        <f t="shared" si="8"/>
        <v>3.6372506999097186E-2</v>
      </c>
      <c r="BF1788">
        <f>SUMIFS(HIX_RatingAreas8[QHP Enrollments 2023],HIX_RatingAreas8[Area],HIX_SLCSP11[[#This Row],[Area Code]])</f>
        <v>7977</v>
      </c>
      <c r="BG1788">
        <f t="shared" si="9"/>
        <v>3.6372506999097186E-2</v>
      </c>
      <c r="BH1788" s="53">
        <f>ROUND(HIX_SLCSP11[[#This Row],[Weighting Factor 2018]]*HIX_SLCSP11[[#This Row],[2018]],2)</f>
        <v>16.14</v>
      </c>
      <c r="BI1788" s="53">
        <f>ROUND(HIX_SLCSP11[[#This Row],[Weighting Factor 2019]]*HIX_SLCSP11[[#This Row],[2019]],2)</f>
        <v>15.51</v>
      </c>
      <c r="BJ1788" s="53">
        <f>ROUND(HIX_SLCSP11[[#This Row],[Weighting Factor 2020]]*HIX_SLCSP11[[#This Row],[2020]],2)</f>
        <v>14.52</v>
      </c>
      <c r="BK1788" s="53">
        <f>ROUND(HIX_SLCSP11[[#This Row],[Weighting Factor 2021]]*HIX_SLCSP11[[#This Row],[2021]],2)</f>
        <v>16.04</v>
      </c>
      <c r="BL1788" s="53">
        <f>ROUND(HIX_SLCSP11[[#This Row],[Weighting Factor 2022]]*HIX_SLCSP11[[#This Row],[2022]],2)</f>
        <v>17.41</v>
      </c>
      <c r="BM1788" s="53">
        <f>ROUND(HIX_SLCSP11[[#This Row],[Weighting Factor 2023]]*HIX_SLCSP11[[#This Row],[2023]],2)</f>
        <v>16.170000000000002</v>
      </c>
    </row>
    <row r="1789" spans="4:65" x14ac:dyDescent="0.35">
      <c r="D1789" t="s">
        <v>229</v>
      </c>
      <c r="E1789" t="s">
        <v>311</v>
      </c>
      <c r="F1789" s="23">
        <v>13</v>
      </c>
      <c r="G1789" s="23" t="s">
        <v>230</v>
      </c>
      <c r="H1789" s="23" t="s">
        <v>312</v>
      </c>
      <c r="I1789" s="23">
        <v>10</v>
      </c>
      <c r="J1789" s="53">
        <v>404.27</v>
      </c>
      <c r="K1789" s="53">
        <v>445.14</v>
      </c>
      <c r="L1789" s="53">
        <v>758.61</v>
      </c>
      <c r="M1789" s="54">
        <f t="shared" si="10"/>
        <v>1.7042054185200162</v>
      </c>
      <c r="N1789" s="24">
        <v>8</v>
      </c>
      <c r="O1789" s="55">
        <v>404.88</v>
      </c>
      <c r="P1789" s="56">
        <v>440.53</v>
      </c>
      <c r="Q1789" s="56">
        <v>750.74</v>
      </c>
      <c r="R1789" s="57">
        <f t="shared" si="11"/>
        <v>1.7041745170589973</v>
      </c>
      <c r="S1789" s="23">
        <v>10</v>
      </c>
      <c r="T1789" s="53">
        <v>332.12</v>
      </c>
      <c r="U1789" s="53">
        <v>414.35</v>
      </c>
      <c r="V1789" s="53">
        <v>706.14</v>
      </c>
      <c r="W1789" s="57">
        <f t="shared" si="12"/>
        <v>1.7042114154700132</v>
      </c>
      <c r="X1789" s="47">
        <v>8</v>
      </c>
      <c r="Y1789" s="58">
        <v>440.41</v>
      </c>
      <c r="Z1789" s="58">
        <v>472.8</v>
      </c>
      <c r="AA1789" s="58">
        <v>805.75</v>
      </c>
      <c r="AB1789" s="57">
        <f t="shared" si="13"/>
        <v>1.7042089678510999</v>
      </c>
      <c r="AC1789" s="47">
        <v>20</v>
      </c>
      <c r="AD1789" s="23">
        <v>470.68</v>
      </c>
      <c r="AE1789" s="23">
        <v>487.25</v>
      </c>
      <c r="AF1789" s="23">
        <v>830.37</v>
      </c>
      <c r="AG1789" s="57">
        <f t="shared" si="14"/>
        <v>1.7041970241149307</v>
      </c>
      <c r="AH1789" s="47">
        <v>60</v>
      </c>
      <c r="AI1789">
        <v>446.13</v>
      </c>
      <c r="AJ1789">
        <v>450.36</v>
      </c>
      <c r="AK1789">
        <v>767.51</v>
      </c>
      <c r="AL1789" s="57">
        <f t="shared" si="15"/>
        <v>1.7042144062527755</v>
      </c>
      <c r="AM1789" s="59">
        <v>48254</v>
      </c>
      <c r="AN1789" s="59">
        <f>SUMIFS(HIX_RatingAreas8[Silver Enrollments 2018],HIX_RatingAreas8[Area],HIX_SLCSP11[[#This Row],[Area Code]])</f>
        <v>41016</v>
      </c>
      <c r="AO1789" s="59">
        <f>SUMIFS(HIX_RatingAreas8[Silver Enrollments 2019],HIX_RatingAreas8[Area],HIX_SLCSP11[[#This Row],[Area Code]])</f>
        <v>39898</v>
      </c>
      <c r="AP1789" s="59">
        <f>SUMIFS(HIX_RatingAreas8[Silver Enrollments 2020],HIX_RatingAreas8[Area],HIX_SLCSP11[[#This Row],[Area Code]])</f>
        <v>38725</v>
      </c>
      <c r="AQ1789" s="59">
        <f>SUMIFS(HIX_RatingAreas8[Silver Enrollments 2021],HIX_RatingAreas8[Area],HIX_SLCSP11[[#This Row],[Area Code]])</f>
        <v>40343</v>
      </c>
      <c r="AR1789" s="59">
        <f>SUMIFS(HIX_RatingAreas8[Silver Enrollments 2022],HIX_RatingAreas8[Area],HIX_SLCSP11[[#This Row],[Area Code]])</f>
        <v>52417</v>
      </c>
      <c r="AS1789" s="59">
        <f>SUMIFS(HIX_RatingAreas8[Silver Enrollments 2023],HIX_RatingAreas8[Area],HIX_SLCSP11[[#This Row],[Area Code]])</f>
        <v>52417</v>
      </c>
      <c r="AT1789" s="59">
        <v>55390</v>
      </c>
      <c r="AU1789">
        <f t="shared" si="3"/>
        <v>0.28398283490645843</v>
      </c>
      <c r="AV1789">
        <f>SUMIFS(HIX_RatingAreas8[QHP Enrollments 2018],HIX_RatingAreas8[Area],HIX_SLCSP11[[#This Row],[Area Code]])</f>
        <v>48888</v>
      </c>
      <c r="AW1789">
        <f t="shared" si="4"/>
        <v>0.28721997990729153</v>
      </c>
      <c r="AX1789">
        <f>SUMIFS(HIX_RatingAreas8[QHP Enrollments 2019],HIX_RatingAreas8[Area],HIX_SLCSP11[[#This Row],[Area Code]])</f>
        <v>47769</v>
      </c>
      <c r="AY1789">
        <f t="shared" si="5"/>
        <v>0.28754334007512278</v>
      </c>
      <c r="AZ1789">
        <f>SUMIFS(HIX_RatingAreas8[QHP Enrollments 2020],HIX_RatingAreas8[Area],HIX_SLCSP11[[#This Row],[Area Code]])</f>
        <v>46308</v>
      </c>
      <c r="BA1789">
        <f t="shared" si="6"/>
        <v>0.28865105436049593</v>
      </c>
      <c r="BB1789">
        <f>SUMIFS(HIX_RatingAreas8[QHP Enrollments 2021],HIX_RatingAreas8[Area],HIX_SLCSP11[[#This Row],[Area Code]])</f>
        <v>48478</v>
      </c>
      <c r="BC1789">
        <f t="shared" si="7"/>
        <v>0.28665022853730215</v>
      </c>
      <c r="BD1789">
        <f>SUMIFS(HIX_RatingAreas8[QHP Enrollments 2022],HIX_RatingAreas8[Area],HIX_SLCSP11[[#This Row],[Area Code]])</f>
        <v>62540</v>
      </c>
      <c r="BE1789">
        <f t="shared" si="8"/>
        <v>0.28516191396810053</v>
      </c>
      <c r="BF1789">
        <f>SUMIFS(HIX_RatingAreas8[QHP Enrollments 2023],HIX_RatingAreas8[Area],HIX_SLCSP11[[#This Row],[Area Code]])</f>
        <v>62540</v>
      </c>
      <c r="BG1789">
        <f t="shared" si="9"/>
        <v>0.28516191396810053</v>
      </c>
      <c r="BH1789" s="53">
        <f>ROUND(HIX_SLCSP11[[#This Row],[Weighting Factor 2018]]*HIX_SLCSP11[[#This Row],[2018]],2)</f>
        <v>127.85</v>
      </c>
      <c r="BI1789" s="53">
        <f>ROUND(HIX_SLCSP11[[#This Row],[Weighting Factor 2019]]*HIX_SLCSP11[[#This Row],[2019]],2)</f>
        <v>126.67</v>
      </c>
      <c r="BJ1789" s="53">
        <f>ROUND(HIX_SLCSP11[[#This Row],[Weighting Factor 2020]]*HIX_SLCSP11[[#This Row],[2020]],2)</f>
        <v>119.6</v>
      </c>
      <c r="BK1789" s="53">
        <f>ROUND(HIX_SLCSP11[[#This Row],[Weighting Factor 2021]]*HIX_SLCSP11[[#This Row],[2021]],2)</f>
        <v>135.53</v>
      </c>
      <c r="BL1789" s="53">
        <f>ROUND(HIX_SLCSP11[[#This Row],[Weighting Factor 2022]]*HIX_SLCSP11[[#This Row],[2022]],2)</f>
        <v>138.94999999999999</v>
      </c>
      <c r="BM1789" s="53">
        <f>ROUND(HIX_SLCSP11[[#This Row],[Weighting Factor 2023]]*HIX_SLCSP11[[#This Row],[2023]],2)</f>
        <v>128.43</v>
      </c>
    </row>
    <row r="1790" spans="4:65" x14ac:dyDescent="0.35">
      <c r="D1790" t="s">
        <v>391</v>
      </c>
      <c r="E1790" t="s">
        <v>2597</v>
      </c>
      <c r="F1790" s="23"/>
      <c r="G1790" s="23"/>
      <c r="H1790" s="23"/>
      <c r="I1790" s="23"/>
      <c r="J1790" s="53"/>
      <c r="K1790" s="53">
        <f>SUM(BH1791:BH1797)</f>
        <v>292.33</v>
      </c>
      <c r="L1790" s="53"/>
      <c r="M1790" s="54">
        <f t="shared" si="10"/>
        <v>0</v>
      </c>
      <c r="O1790" s="55"/>
      <c r="P1790" s="56">
        <f>SUM(BI1791:BI1797)</f>
        <v>311.28000000000003</v>
      </c>
      <c r="Q1790" s="56"/>
      <c r="R1790" s="57"/>
      <c r="S1790" s="23"/>
      <c r="T1790" s="53"/>
      <c r="U1790" s="53">
        <f>SUM(BJ1791:BJ1797)</f>
        <v>293.30000000000007</v>
      </c>
      <c r="V1790" s="53"/>
      <c r="W1790" s="57"/>
      <c r="X1790" s="57"/>
      <c r="Y1790" s="58"/>
      <c r="Z1790" s="53">
        <f>SUM(BK1791:BK1797)</f>
        <v>304.97000000000008</v>
      </c>
      <c r="AA1790" s="58"/>
      <c r="AB1790" s="57"/>
      <c r="AC1790" s="47"/>
      <c r="AD1790" s="57"/>
      <c r="AE1790" s="53">
        <f>SUM(BL1791:BL1797)</f>
        <v>299.08000000000004</v>
      </c>
      <c r="AF1790" s="57"/>
      <c r="AG1790" s="57"/>
      <c r="AH1790" s="47"/>
      <c r="AI1790" s="57"/>
      <c r="AJ1790" s="53">
        <f>SUM(BM1791:BM1797)</f>
        <v>340.76</v>
      </c>
      <c r="AK1790" s="57"/>
      <c r="AL1790" s="57"/>
      <c r="AM1790" s="59"/>
      <c r="AN1790" s="59">
        <f t="shared" ref="AN1790:AS1790" si="16">SUM(AN1791:AN1797)</f>
        <v>49185</v>
      </c>
      <c r="AO1790" s="59">
        <f t="shared" si="16"/>
        <v>50451</v>
      </c>
      <c r="AP1790" s="59">
        <f t="shared" si="16"/>
        <v>46554</v>
      </c>
      <c r="AQ1790" s="59">
        <f t="shared" si="16"/>
        <v>46112</v>
      </c>
      <c r="AR1790" s="59">
        <f t="shared" si="16"/>
        <v>60206</v>
      </c>
      <c r="AS1790" s="59">
        <f t="shared" si="16"/>
        <v>60206</v>
      </c>
      <c r="AT1790" s="59"/>
      <c r="AU1790" s="53"/>
      <c r="AV1790" s="60">
        <f>SUM(AV1791:AV1797)</f>
        <v>68100</v>
      </c>
      <c r="AW1790" s="23">
        <f t="shared" ref="AW1790:AW1797" si="17">AV1790/AV$1790</f>
        <v>1</v>
      </c>
      <c r="AX1790" s="60">
        <f>SUM(AX1791:AX1797)</f>
        <v>67413</v>
      </c>
      <c r="AY1790" s="23">
        <f t="shared" ref="AY1790:AY1797" si="18">AX1790/AX$1790</f>
        <v>1</v>
      </c>
      <c r="AZ1790" s="60">
        <f>SUM(AZ1791:AZ1797)</f>
        <v>64360</v>
      </c>
      <c r="BA1790" s="23">
        <f t="shared" ref="BA1790:BA1797" si="19">AZ1790/AZ$1790</f>
        <v>1</v>
      </c>
      <c r="BB1790" s="60">
        <f>SUM(BB1791:BB1797)</f>
        <v>66094</v>
      </c>
      <c r="BC1790" s="23">
        <f t="shared" ref="BC1790:BC1797" si="20">BB1790/BB$1790</f>
        <v>1</v>
      </c>
      <c r="BD1790" s="60">
        <f>SUM(BD1791:BD1797)</f>
        <v>88226</v>
      </c>
      <c r="BE1790" s="23">
        <f t="shared" ref="BE1790:BE1797" si="21">BD1790/BD$1790</f>
        <v>1</v>
      </c>
      <c r="BF1790" s="60">
        <f>SUM(BF1791:BF1797)</f>
        <v>88226</v>
      </c>
      <c r="BG1790" s="23">
        <f>BF1790/BF$1790</f>
        <v>1</v>
      </c>
      <c r="BH1790" s="53"/>
      <c r="BI1790" s="53"/>
      <c r="BJ1790" s="53"/>
      <c r="BK1790" s="53"/>
      <c r="BL1790" s="53"/>
      <c r="BM1790" s="53"/>
    </row>
    <row r="1791" spans="4:65" x14ac:dyDescent="0.35">
      <c r="D1791" t="s">
        <v>391</v>
      </c>
      <c r="E1791" t="s">
        <v>231</v>
      </c>
      <c r="F1791" s="23">
        <v>1</v>
      </c>
      <c r="G1791" s="23" t="s">
        <v>392</v>
      </c>
      <c r="H1791" s="23" t="s">
        <v>394</v>
      </c>
      <c r="I1791" s="23">
        <v>75</v>
      </c>
      <c r="J1791" s="23">
        <v>289.64999999999998</v>
      </c>
      <c r="K1791" s="53">
        <v>302.01</v>
      </c>
      <c r="L1791" s="53">
        <v>514.69000000000005</v>
      </c>
      <c r="M1791" s="54">
        <f t="shared" si="10"/>
        <v>1.7042150922154897</v>
      </c>
      <c r="N1791" s="24">
        <v>64</v>
      </c>
      <c r="O1791" s="55">
        <v>297.39999999999998</v>
      </c>
      <c r="P1791" s="56">
        <v>312.16000000000003</v>
      </c>
      <c r="Q1791" s="56">
        <v>531.98</v>
      </c>
      <c r="R1791" s="57">
        <f t="shared" ref="R1791:R1797" si="22">Q1791/P1791</f>
        <v>1.7041901588928754</v>
      </c>
      <c r="S1791" s="23">
        <v>70</v>
      </c>
      <c r="T1791" s="53">
        <v>289.02999999999997</v>
      </c>
      <c r="U1791" s="53">
        <v>293.3</v>
      </c>
      <c r="V1791" s="53">
        <v>499.84</v>
      </c>
      <c r="W1791" s="57">
        <f t="shared" ref="W1791:W1797" si="23">V1791/U1791</f>
        <v>1.7041936583702693</v>
      </c>
      <c r="X1791" s="23">
        <v>112</v>
      </c>
      <c r="Y1791" s="58">
        <v>287.02</v>
      </c>
      <c r="Z1791" s="58">
        <v>292.60000000000002</v>
      </c>
      <c r="AA1791" s="58">
        <v>498.64</v>
      </c>
      <c r="AB1791" s="57">
        <f t="shared" ref="AB1791:AB1797" si="24">AA1791/Z1791</f>
        <v>1.7041695146958302</v>
      </c>
      <c r="AC1791" s="47">
        <v>143</v>
      </c>
      <c r="AD1791" s="57">
        <v>298.7</v>
      </c>
      <c r="AE1791" s="23">
        <v>299.08</v>
      </c>
      <c r="AF1791" s="23">
        <v>509.69</v>
      </c>
      <c r="AG1791" s="57">
        <f t="shared" ref="AG1791:AG1797" si="25">AF1791/AE1791</f>
        <v>1.7041928580981678</v>
      </c>
      <c r="AH1791" s="47">
        <v>100</v>
      </c>
      <c r="AI1791">
        <v>337.11</v>
      </c>
      <c r="AJ1791">
        <v>340.76</v>
      </c>
      <c r="AK1791">
        <v>580.72</v>
      </c>
      <c r="AL1791" s="57">
        <f t="shared" si="15"/>
        <v>1.7041906327033691</v>
      </c>
      <c r="AM1791" s="59"/>
      <c r="AN1791" s="59">
        <f>SUMIFS(HIX_RatingAreas8[Silver Enrollments 2018],HIX_RatingAreas8[Area],HIX_SLCSP11[[#This Row],[Area Code]])</f>
        <v>15508</v>
      </c>
      <c r="AO1791" s="59">
        <f>SUMIFS(HIX_RatingAreas8[Silver Enrollments 2019],HIX_RatingAreas8[Area],HIX_SLCSP11[[#This Row],[Area Code]])</f>
        <v>16085</v>
      </c>
      <c r="AP1791" s="59">
        <f>SUMIFS(HIX_RatingAreas8[Silver Enrollments 2020],HIX_RatingAreas8[Area],HIX_SLCSP11[[#This Row],[Area Code]])</f>
        <v>14984</v>
      </c>
      <c r="AQ1791" s="59">
        <f>SUMIFS(HIX_RatingAreas8[Silver Enrollments 2021],HIX_RatingAreas8[Area],HIX_SLCSP11[[#This Row],[Area Code]])</f>
        <v>14788</v>
      </c>
      <c r="AR1791" s="59">
        <f>SUMIFS(HIX_RatingAreas8[Silver Enrollments 2022],HIX_RatingAreas8[Area],HIX_SLCSP11[[#This Row],[Area Code]])</f>
        <v>19296</v>
      </c>
      <c r="AS1791" s="59">
        <f>SUMIFS(HIX_RatingAreas8[Silver Enrollments 2023],HIX_RatingAreas8[Area],HIX_SLCSP11[[#This Row],[Area Code]])</f>
        <v>19296</v>
      </c>
      <c r="AT1791" s="59"/>
      <c r="AU1791" s="53"/>
      <c r="AV1791">
        <f>SUMIFS(HIX_RatingAreas8[QHP Enrollments 2018],HIX_RatingAreas8[Area],HIX_SLCSP11[[#This Row],[Area Code]])</f>
        <v>21524</v>
      </c>
      <c r="AW1791" s="23">
        <f t="shared" si="17"/>
        <v>0.316064610866373</v>
      </c>
      <c r="AX1791">
        <f>SUMIFS(HIX_RatingAreas8[QHP Enrollments 2019],HIX_RatingAreas8[Area],HIX_SLCSP11[[#This Row],[Area Code]])</f>
        <v>21522</v>
      </c>
      <c r="AY1791" s="23">
        <f t="shared" si="18"/>
        <v>0.31925592986515955</v>
      </c>
      <c r="AZ1791">
        <f>SUMIFS(HIX_RatingAreas8[QHP Enrollments 2020],HIX_RatingAreas8[Area],HIX_SLCSP11[[#This Row],[Area Code]])</f>
        <v>20579</v>
      </c>
      <c r="BA1791" s="23">
        <f t="shared" si="19"/>
        <v>0.31974829086389062</v>
      </c>
      <c r="BB1791">
        <f>SUMIFS(HIX_RatingAreas8[QHP Enrollments 2021],HIX_RatingAreas8[Area],HIX_SLCSP11[[#This Row],[Area Code]])</f>
        <v>21074</v>
      </c>
      <c r="BC1791" s="23">
        <f t="shared" si="20"/>
        <v>0.318848912155415</v>
      </c>
      <c r="BD1791">
        <f>SUMIFS(HIX_RatingAreas8[QHP Enrollments 2022],HIX_RatingAreas8[Area],HIX_SLCSP11[[#This Row],[Area Code]])</f>
        <v>28245</v>
      </c>
      <c r="BE1791" s="23">
        <f t="shared" si="21"/>
        <v>0.32014372180536349</v>
      </c>
      <c r="BF1791">
        <f>SUMIFS(HIX_RatingAreas8[QHP Enrollments 2023],HIX_RatingAreas8[Area],HIX_SLCSP11[[#This Row],[Area Code]])</f>
        <v>28245</v>
      </c>
      <c r="BG1791" s="23">
        <f>BF1791/BF$1790</f>
        <v>0.32014372180536349</v>
      </c>
      <c r="BH1791" s="53">
        <f>ROUND(HIX_SLCSP11[[#This Row],[Weighting Factor 2018]]*HIX_SLCSP11[[#This Row],[2018]],2)</f>
        <v>95.45</v>
      </c>
      <c r="BI1791" s="53">
        <f>ROUND(HIX_SLCSP11[[#This Row],[Weighting Factor 2019]]*HIX_SLCSP11[[#This Row],[2019]],2)</f>
        <v>99.66</v>
      </c>
      <c r="BJ1791" s="53">
        <f>ROUND(HIX_SLCSP11[[#This Row],[Weighting Factor 2020]]*HIX_SLCSP11[[#This Row],[2020]],2)</f>
        <v>93.78</v>
      </c>
      <c r="BK1791" s="53">
        <f>ROUND(HIX_SLCSP11[[#This Row],[Weighting Factor 2021]]*HIX_SLCSP11[[#This Row],[2021]],2)</f>
        <v>93.3</v>
      </c>
      <c r="BL1791" s="53">
        <f>ROUND(HIX_SLCSP11[[#This Row],[Weighting Factor 2022]]*HIX_SLCSP11[[#This Row],[2022]],2)</f>
        <v>95.75</v>
      </c>
      <c r="BM1791" s="53">
        <f>ROUND(HIX_SLCSP11[[#This Row],[Weighting Factor 2023]]*HIX_SLCSP11[[#This Row],[2023]],2)</f>
        <v>109.09</v>
      </c>
    </row>
    <row r="1792" spans="4:65" x14ac:dyDescent="0.35">
      <c r="D1792" t="s">
        <v>391</v>
      </c>
      <c r="E1792" t="s">
        <v>235</v>
      </c>
      <c r="F1792" s="23">
        <v>2</v>
      </c>
      <c r="G1792" s="23" t="s">
        <v>392</v>
      </c>
      <c r="H1792" s="23" t="s">
        <v>420</v>
      </c>
      <c r="I1792" s="23">
        <v>75</v>
      </c>
      <c r="J1792" s="53">
        <v>269.89999999999998</v>
      </c>
      <c r="K1792" s="53">
        <v>282.19</v>
      </c>
      <c r="L1792" s="53">
        <v>480.92</v>
      </c>
      <c r="M1792" s="54">
        <f t="shared" si="10"/>
        <v>1.70424182288529</v>
      </c>
      <c r="N1792" s="24">
        <v>64</v>
      </c>
      <c r="O1792" s="55">
        <v>295.62</v>
      </c>
      <c r="P1792" s="56">
        <v>312.16000000000003</v>
      </c>
      <c r="Q1792" s="56">
        <v>531.98</v>
      </c>
      <c r="R1792" s="57">
        <f t="shared" si="22"/>
        <v>1.7041901588928754</v>
      </c>
      <c r="S1792" s="23">
        <v>70</v>
      </c>
      <c r="T1792" s="53">
        <v>289.02999999999997</v>
      </c>
      <c r="U1792" s="53">
        <v>293.3</v>
      </c>
      <c r="V1792" s="53">
        <v>499.84</v>
      </c>
      <c r="W1792" s="57">
        <f t="shared" si="23"/>
        <v>1.7041936583702693</v>
      </c>
      <c r="X1792" s="23">
        <v>93</v>
      </c>
      <c r="Y1792" s="58">
        <v>317.14</v>
      </c>
      <c r="Z1792" s="58">
        <v>322.77999999999997</v>
      </c>
      <c r="AA1792" s="58">
        <v>550.07000000000005</v>
      </c>
      <c r="AB1792" s="57">
        <f t="shared" si="24"/>
        <v>1.7041638267550656</v>
      </c>
      <c r="AC1792" s="47">
        <v>96</v>
      </c>
      <c r="AD1792" s="57">
        <v>298.7</v>
      </c>
      <c r="AE1792" s="23">
        <v>299.08</v>
      </c>
      <c r="AF1792" s="23">
        <v>509.69</v>
      </c>
      <c r="AG1792" s="57">
        <f t="shared" si="25"/>
        <v>1.7041928580981678</v>
      </c>
      <c r="AH1792" s="47">
        <v>100</v>
      </c>
      <c r="AI1792">
        <v>337.11</v>
      </c>
      <c r="AJ1792">
        <v>340.76</v>
      </c>
      <c r="AK1792">
        <v>580.72</v>
      </c>
      <c r="AL1792" s="57">
        <f t="shared" si="15"/>
        <v>1.7041906327033691</v>
      </c>
      <c r="AM1792" s="59"/>
      <c r="AN1792" s="59">
        <f>SUMIFS(HIX_RatingAreas8[Silver Enrollments 2018],HIX_RatingAreas8[Area],HIX_SLCSP11[[#This Row],[Area Code]])</f>
        <v>7183</v>
      </c>
      <c r="AO1792" s="59">
        <f>SUMIFS(HIX_RatingAreas8[Silver Enrollments 2019],HIX_RatingAreas8[Area],HIX_SLCSP11[[#This Row],[Area Code]])</f>
        <v>7370</v>
      </c>
      <c r="AP1792" s="59">
        <f>SUMIFS(HIX_RatingAreas8[Silver Enrollments 2020],HIX_RatingAreas8[Area],HIX_SLCSP11[[#This Row],[Area Code]])</f>
        <v>6688</v>
      </c>
      <c r="AQ1792" s="59">
        <f>SUMIFS(HIX_RatingAreas8[Silver Enrollments 2021],HIX_RatingAreas8[Area],HIX_SLCSP11[[#This Row],[Area Code]])</f>
        <v>6581</v>
      </c>
      <c r="AR1792" s="59">
        <f>SUMIFS(HIX_RatingAreas8[Silver Enrollments 2022],HIX_RatingAreas8[Area],HIX_SLCSP11[[#This Row],[Area Code]])</f>
        <v>8699</v>
      </c>
      <c r="AS1792" s="59">
        <f>SUMIFS(HIX_RatingAreas8[Silver Enrollments 2023],HIX_RatingAreas8[Area],HIX_SLCSP11[[#This Row],[Area Code]])</f>
        <v>8699</v>
      </c>
      <c r="AT1792" s="59"/>
      <c r="AU1792" s="53"/>
      <c r="AV1792">
        <f>SUMIFS(HIX_RatingAreas8[QHP Enrollments 2018],HIX_RatingAreas8[Area],HIX_SLCSP11[[#This Row],[Area Code]])</f>
        <v>9577</v>
      </c>
      <c r="AW1792" s="23">
        <f t="shared" si="17"/>
        <v>0.14063142437591777</v>
      </c>
      <c r="AX1792">
        <f>SUMIFS(HIX_RatingAreas8[QHP Enrollments 2019],HIX_RatingAreas8[Area],HIX_SLCSP11[[#This Row],[Area Code]])</f>
        <v>9479</v>
      </c>
      <c r="AY1792" s="23">
        <f t="shared" si="18"/>
        <v>0.14061086140655363</v>
      </c>
      <c r="AZ1792">
        <f>SUMIFS(HIX_RatingAreas8[QHP Enrollments 2020],HIX_RatingAreas8[Area],HIX_SLCSP11[[#This Row],[Area Code]])</f>
        <v>9040</v>
      </c>
      <c r="BA1792" s="23">
        <f t="shared" si="19"/>
        <v>0.14045991298943444</v>
      </c>
      <c r="BB1792">
        <f>SUMIFS(HIX_RatingAreas8[QHP Enrollments 2021],HIX_RatingAreas8[Area],HIX_SLCSP11[[#This Row],[Area Code]])</f>
        <v>9125</v>
      </c>
      <c r="BC1792" s="23">
        <f t="shared" si="20"/>
        <v>0.13806094350470541</v>
      </c>
      <c r="BD1792">
        <f>SUMIFS(HIX_RatingAreas8[QHP Enrollments 2022],HIX_RatingAreas8[Area],HIX_SLCSP11[[#This Row],[Area Code]])</f>
        <v>12075</v>
      </c>
      <c r="BE1792" s="23">
        <f t="shared" si="21"/>
        <v>0.13686441638519256</v>
      </c>
      <c r="BF1792">
        <f>SUMIFS(HIX_RatingAreas8[QHP Enrollments 2023],HIX_RatingAreas8[Area],HIX_SLCSP11[[#This Row],[Area Code]])</f>
        <v>12075</v>
      </c>
      <c r="BG1792" s="23">
        <f t="shared" ref="BG1792:BG1797" si="26">BF1792/BF$1790</f>
        <v>0.13686441638519256</v>
      </c>
      <c r="BH1792" s="53">
        <f>ROUND(HIX_SLCSP11[[#This Row],[Weighting Factor 2018]]*HIX_SLCSP11[[#This Row],[2018]],2)</f>
        <v>39.68</v>
      </c>
      <c r="BI1792" s="53">
        <f>ROUND(HIX_SLCSP11[[#This Row],[Weighting Factor 2019]]*HIX_SLCSP11[[#This Row],[2019]],2)</f>
        <v>43.89</v>
      </c>
      <c r="BJ1792" s="53">
        <f>ROUND(HIX_SLCSP11[[#This Row],[Weighting Factor 2020]]*HIX_SLCSP11[[#This Row],[2020]],2)</f>
        <v>41.2</v>
      </c>
      <c r="BK1792" s="53">
        <f>ROUND(HIX_SLCSP11[[#This Row],[Weighting Factor 2021]]*HIX_SLCSP11[[#This Row],[2021]],2)</f>
        <v>44.56</v>
      </c>
      <c r="BL1792" s="53">
        <f>ROUND(HIX_SLCSP11[[#This Row],[Weighting Factor 2022]]*HIX_SLCSP11[[#This Row],[2022]],2)</f>
        <v>40.93</v>
      </c>
      <c r="BM1792" s="53">
        <f>ROUND(HIX_SLCSP11[[#This Row],[Weighting Factor 2023]]*HIX_SLCSP11[[#This Row],[2023]],2)</f>
        <v>46.64</v>
      </c>
    </row>
    <row r="1793" spans="4:65" x14ac:dyDescent="0.35">
      <c r="D1793" t="s">
        <v>391</v>
      </c>
      <c r="E1793" t="s">
        <v>239</v>
      </c>
      <c r="F1793" s="23">
        <v>3</v>
      </c>
      <c r="G1793" s="23" t="s">
        <v>392</v>
      </c>
      <c r="H1793" s="23" t="s">
        <v>451</v>
      </c>
      <c r="I1793" s="23">
        <v>75</v>
      </c>
      <c r="J1793" s="53">
        <v>274.07</v>
      </c>
      <c r="K1793" s="53">
        <v>293.49</v>
      </c>
      <c r="L1793" s="53">
        <v>500.17</v>
      </c>
      <c r="M1793" s="54">
        <f t="shared" si="10"/>
        <v>1.7042147943711881</v>
      </c>
      <c r="N1793" s="24">
        <v>64</v>
      </c>
      <c r="O1793" s="55">
        <v>290.57</v>
      </c>
      <c r="P1793" s="56">
        <v>308.83</v>
      </c>
      <c r="Q1793" s="56">
        <v>526.30999999999995</v>
      </c>
      <c r="R1793" s="57">
        <f t="shared" si="22"/>
        <v>1.7042061975844314</v>
      </c>
      <c r="S1793" s="23">
        <v>70</v>
      </c>
      <c r="T1793" s="53">
        <v>289.02999999999997</v>
      </c>
      <c r="U1793" s="53">
        <v>293.3</v>
      </c>
      <c r="V1793" s="53">
        <v>499.84</v>
      </c>
      <c r="W1793" s="57">
        <f t="shared" si="23"/>
        <v>1.7041936583702693</v>
      </c>
      <c r="X1793" s="23">
        <v>112</v>
      </c>
      <c r="Y1793" s="58">
        <v>287.02</v>
      </c>
      <c r="Z1793" s="58">
        <v>292.60000000000002</v>
      </c>
      <c r="AA1793" s="58">
        <v>498.64</v>
      </c>
      <c r="AB1793" s="57">
        <f t="shared" si="24"/>
        <v>1.7041695146958302</v>
      </c>
      <c r="AC1793" s="47">
        <v>143</v>
      </c>
      <c r="AD1793" s="57">
        <v>298.7</v>
      </c>
      <c r="AE1793" s="23">
        <v>299.08</v>
      </c>
      <c r="AF1793" s="23">
        <v>509.69</v>
      </c>
      <c r="AG1793" s="57">
        <f t="shared" si="25"/>
        <v>1.7041928580981678</v>
      </c>
      <c r="AH1793" s="47">
        <v>100</v>
      </c>
      <c r="AI1793">
        <v>337.11</v>
      </c>
      <c r="AJ1793">
        <v>340.76</v>
      </c>
      <c r="AK1793">
        <v>580.72</v>
      </c>
      <c r="AL1793" s="57">
        <f t="shared" si="15"/>
        <v>1.7041906327033691</v>
      </c>
      <c r="AM1793" s="59"/>
      <c r="AN1793" s="59">
        <f>SUMIFS(HIX_RatingAreas8[Silver Enrollments 2018],HIX_RatingAreas8[Area],HIX_SLCSP11[[#This Row],[Area Code]])</f>
        <v>12262</v>
      </c>
      <c r="AO1793" s="59">
        <f>SUMIFS(HIX_RatingAreas8[Silver Enrollments 2019],HIX_RatingAreas8[Area],HIX_SLCSP11[[#This Row],[Area Code]])</f>
        <v>12685</v>
      </c>
      <c r="AP1793" s="59">
        <f>SUMIFS(HIX_RatingAreas8[Silver Enrollments 2020],HIX_RatingAreas8[Area],HIX_SLCSP11[[#This Row],[Area Code]])</f>
        <v>11711</v>
      </c>
      <c r="AQ1793" s="59">
        <f>SUMIFS(HIX_RatingAreas8[Silver Enrollments 2021],HIX_RatingAreas8[Area],HIX_SLCSP11[[#This Row],[Area Code]])</f>
        <v>12000</v>
      </c>
      <c r="AR1793" s="59">
        <f>SUMIFS(HIX_RatingAreas8[Silver Enrollments 2022],HIX_RatingAreas8[Area],HIX_SLCSP11[[#This Row],[Area Code]])</f>
        <v>15144</v>
      </c>
      <c r="AS1793" s="59">
        <f>SUMIFS(HIX_RatingAreas8[Silver Enrollments 2023],HIX_RatingAreas8[Area],HIX_SLCSP11[[#This Row],[Area Code]])</f>
        <v>15144</v>
      </c>
      <c r="AT1793" s="59"/>
      <c r="AU1793" s="53"/>
      <c r="AV1793">
        <f>SUMIFS(HIX_RatingAreas8[QHP Enrollments 2018],HIX_RatingAreas8[Area],HIX_SLCSP11[[#This Row],[Area Code]])</f>
        <v>17827</v>
      </c>
      <c r="AW1793" s="23">
        <f t="shared" si="17"/>
        <v>0.26177679882525695</v>
      </c>
      <c r="AX1793">
        <f>SUMIFS(HIX_RatingAreas8[QHP Enrollments 2019],HIX_RatingAreas8[Area],HIX_SLCSP11[[#This Row],[Area Code]])</f>
        <v>17688</v>
      </c>
      <c r="AY1793" s="23">
        <f t="shared" si="18"/>
        <v>0.26238262649637312</v>
      </c>
      <c r="AZ1793">
        <f>SUMIFS(HIX_RatingAreas8[QHP Enrollments 2020],HIX_RatingAreas8[Area],HIX_SLCSP11[[#This Row],[Area Code]])</f>
        <v>16965</v>
      </c>
      <c r="BA1793" s="23">
        <f t="shared" si="19"/>
        <v>0.26359540087010563</v>
      </c>
      <c r="BB1793">
        <f>SUMIFS(HIX_RatingAreas8[QHP Enrollments 2021],HIX_RatingAreas8[Area],HIX_SLCSP11[[#This Row],[Area Code]])</f>
        <v>17941</v>
      </c>
      <c r="BC1793" s="23">
        <f t="shared" si="20"/>
        <v>0.2714467273882652</v>
      </c>
      <c r="BD1793">
        <f>SUMIFS(HIX_RatingAreas8[QHP Enrollments 2022],HIX_RatingAreas8[Area],HIX_SLCSP11[[#This Row],[Area Code]])</f>
        <v>24022</v>
      </c>
      <c r="BE1793" s="23">
        <f t="shared" si="21"/>
        <v>0.27227801328406592</v>
      </c>
      <c r="BF1793">
        <f>SUMIFS(HIX_RatingAreas8[QHP Enrollments 2023],HIX_RatingAreas8[Area],HIX_SLCSP11[[#This Row],[Area Code]])</f>
        <v>24022</v>
      </c>
      <c r="BG1793" s="23">
        <f t="shared" si="26"/>
        <v>0.27227801328406592</v>
      </c>
      <c r="BH1793" s="53">
        <f>ROUND(HIX_SLCSP11[[#This Row],[Weighting Factor 2018]]*HIX_SLCSP11[[#This Row],[2018]],2)</f>
        <v>76.83</v>
      </c>
      <c r="BI1793" s="53">
        <f>ROUND(HIX_SLCSP11[[#This Row],[Weighting Factor 2019]]*HIX_SLCSP11[[#This Row],[2019]],2)</f>
        <v>81.03</v>
      </c>
      <c r="BJ1793" s="53">
        <f>ROUND(HIX_SLCSP11[[#This Row],[Weighting Factor 2020]]*HIX_SLCSP11[[#This Row],[2020]],2)</f>
        <v>77.31</v>
      </c>
      <c r="BK1793" s="53">
        <f>ROUND(HIX_SLCSP11[[#This Row],[Weighting Factor 2021]]*HIX_SLCSP11[[#This Row],[2021]],2)</f>
        <v>79.430000000000007</v>
      </c>
      <c r="BL1793" s="53">
        <f>ROUND(HIX_SLCSP11[[#This Row],[Weighting Factor 2022]]*HIX_SLCSP11[[#This Row],[2022]],2)</f>
        <v>81.430000000000007</v>
      </c>
      <c r="BM1793" s="53">
        <f>ROUND(HIX_SLCSP11[[#This Row],[Weighting Factor 2023]]*HIX_SLCSP11[[#This Row],[2023]],2)</f>
        <v>92.78</v>
      </c>
    </row>
    <row r="1794" spans="4:65" x14ac:dyDescent="0.35">
      <c r="D1794" t="s">
        <v>391</v>
      </c>
      <c r="E1794" t="s">
        <v>255</v>
      </c>
      <c r="F1794" s="23">
        <v>4</v>
      </c>
      <c r="G1794" s="23" t="s">
        <v>392</v>
      </c>
      <c r="H1794" s="23" t="s">
        <v>468</v>
      </c>
      <c r="I1794" s="23">
        <v>75</v>
      </c>
      <c r="J1794" s="53">
        <v>269.06</v>
      </c>
      <c r="K1794" s="53">
        <v>281.89999999999998</v>
      </c>
      <c r="L1794" s="53">
        <v>480.42</v>
      </c>
      <c r="M1794" s="54">
        <f t="shared" si="10"/>
        <v>1.7042213550904579</v>
      </c>
      <c r="N1794" s="24">
        <v>64</v>
      </c>
      <c r="O1794" s="55">
        <v>295.32</v>
      </c>
      <c r="P1794" s="56">
        <v>312.16000000000003</v>
      </c>
      <c r="Q1794" s="56">
        <v>531.98</v>
      </c>
      <c r="R1794" s="57">
        <f t="shared" si="22"/>
        <v>1.7041901588928754</v>
      </c>
      <c r="S1794" s="23">
        <v>70</v>
      </c>
      <c r="T1794" s="53">
        <v>289.02999999999997</v>
      </c>
      <c r="U1794" s="53">
        <v>293.3</v>
      </c>
      <c r="V1794" s="53">
        <v>499.84</v>
      </c>
      <c r="W1794" s="57">
        <f t="shared" si="23"/>
        <v>1.7041936583702693</v>
      </c>
      <c r="X1794" s="23">
        <v>93</v>
      </c>
      <c r="Y1794" s="58">
        <v>317.14</v>
      </c>
      <c r="Z1794" s="58">
        <v>322.77999999999997</v>
      </c>
      <c r="AA1794" s="58">
        <v>550.07000000000005</v>
      </c>
      <c r="AB1794" s="57">
        <f t="shared" si="24"/>
        <v>1.7041638267550656</v>
      </c>
      <c r="AC1794" s="47">
        <v>96</v>
      </c>
      <c r="AD1794" s="57">
        <v>298.7</v>
      </c>
      <c r="AE1794" s="23">
        <v>299.08</v>
      </c>
      <c r="AF1794" s="23">
        <v>509.69</v>
      </c>
      <c r="AG1794" s="57">
        <f t="shared" si="25"/>
        <v>1.7041928580981678</v>
      </c>
      <c r="AH1794" s="47">
        <v>100</v>
      </c>
      <c r="AI1794">
        <v>337.11</v>
      </c>
      <c r="AJ1794">
        <v>340.76</v>
      </c>
      <c r="AK1794">
        <v>580.72</v>
      </c>
      <c r="AL1794" s="57">
        <f t="shared" si="15"/>
        <v>1.7041906327033691</v>
      </c>
      <c r="AM1794" s="59"/>
      <c r="AN1794" s="59">
        <f>SUMIFS(HIX_RatingAreas8[Silver Enrollments 2018],HIX_RatingAreas8[Area],HIX_SLCSP11[[#This Row],[Area Code]])</f>
        <v>3588</v>
      </c>
      <c r="AO1794" s="59">
        <f>SUMIFS(HIX_RatingAreas8[Silver Enrollments 2019],HIX_RatingAreas8[Area],HIX_SLCSP11[[#This Row],[Area Code]])</f>
        <v>3693</v>
      </c>
      <c r="AP1794" s="59">
        <f>SUMIFS(HIX_RatingAreas8[Silver Enrollments 2020],HIX_RatingAreas8[Area],HIX_SLCSP11[[#This Row],[Area Code]])</f>
        <v>3528</v>
      </c>
      <c r="AQ1794" s="59">
        <f>SUMIFS(HIX_RatingAreas8[Silver Enrollments 2021],HIX_RatingAreas8[Area],HIX_SLCSP11[[#This Row],[Area Code]])</f>
        <v>3333</v>
      </c>
      <c r="AR1794" s="59">
        <f>SUMIFS(HIX_RatingAreas8[Silver Enrollments 2022],HIX_RatingAreas8[Area],HIX_SLCSP11[[#This Row],[Area Code]])</f>
        <v>4200</v>
      </c>
      <c r="AS1794" s="59">
        <f>SUMIFS(HIX_RatingAreas8[Silver Enrollments 2023],HIX_RatingAreas8[Area],HIX_SLCSP11[[#This Row],[Area Code]])</f>
        <v>4200</v>
      </c>
      <c r="AT1794" s="59"/>
      <c r="AU1794" s="53"/>
      <c r="AV1794">
        <f>SUMIFS(HIX_RatingAreas8[QHP Enrollments 2018],HIX_RatingAreas8[Area],HIX_SLCSP11[[#This Row],[Area Code]])</f>
        <v>4772</v>
      </c>
      <c r="AW1794" s="23">
        <f t="shared" si="17"/>
        <v>7.0073421439060202E-2</v>
      </c>
      <c r="AX1794">
        <f>SUMIFS(HIX_RatingAreas8[QHP Enrollments 2019],HIX_RatingAreas8[Area],HIX_SLCSP11[[#This Row],[Area Code]])</f>
        <v>4699</v>
      </c>
      <c r="AY1794" s="23">
        <f t="shared" si="18"/>
        <v>6.970465637191639E-2</v>
      </c>
      <c r="AZ1794">
        <f>SUMIFS(HIX_RatingAreas8[QHP Enrollments 2020],HIX_RatingAreas8[Area],HIX_SLCSP11[[#This Row],[Area Code]])</f>
        <v>4548</v>
      </c>
      <c r="BA1794" s="23">
        <f t="shared" si="19"/>
        <v>7.066500932256059E-2</v>
      </c>
      <c r="BB1794">
        <f>SUMIFS(HIX_RatingAreas8[QHP Enrollments 2021],HIX_RatingAreas8[Area],HIX_SLCSP11[[#This Row],[Area Code]])</f>
        <v>4578</v>
      </c>
      <c r="BC1794" s="23">
        <f t="shared" si="20"/>
        <v>6.9264986231730566E-2</v>
      </c>
      <c r="BD1794">
        <f>SUMIFS(HIX_RatingAreas8[QHP Enrollments 2022],HIX_RatingAreas8[Area],HIX_SLCSP11[[#This Row],[Area Code]])</f>
        <v>5903</v>
      </c>
      <c r="BE1794" s="23">
        <f t="shared" si="21"/>
        <v>6.6907714279237418E-2</v>
      </c>
      <c r="BF1794">
        <f>SUMIFS(HIX_RatingAreas8[QHP Enrollments 2023],HIX_RatingAreas8[Area],HIX_SLCSP11[[#This Row],[Area Code]])</f>
        <v>5903</v>
      </c>
      <c r="BG1794" s="23">
        <f t="shared" si="26"/>
        <v>6.6907714279237418E-2</v>
      </c>
      <c r="BH1794" s="53">
        <f>ROUND(HIX_SLCSP11[[#This Row],[Weighting Factor 2018]]*HIX_SLCSP11[[#This Row],[2018]],2)</f>
        <v>19.75</v>
      </c>
      <c r="BI1794" s="53">
        <f>ROUND(HIX_SLCSP11[[#This Row],[Weighting Factor 2019]]*HIX_SLCSP11[[#This Row],[2019]],2)</f>
        <v>21.76</v>
      </c>
      <c r="BJ1794" s="53">
        <f>ROUND(HIX_SLCSP11[[#This Row],[Weighting Factor 2020]]*HIX_SLCSP11[[#This Row],[2020]],2)</f>
        <v>20.73</v>
      </c>
      <c r="BK1794" s="53">
        <f>ROUND(HIX_SLCSP11[[#This Row],[Weighting Factor 2021]]*HIX_SLCSP11[[#This Row],[2021]],2)</f>
        <v>22.36</v>
      </c>
      <c r="BL1794" s="53">
        <f>ROUND(HIX_SLCSP11[[#This Row],[Weighting Factor 2022]]*HIX_SLCSP11[[#This Row],[2022]],2)</f>
        <v>20.010000000000002</v>
      </c>
      <c r="BM1794" s="53">
        <f>ROUND(HIX_SLCSP11[[#This Row],[Weighting Factor 2023]]*HIX_SLCSP11[[#This Row],[2023]],2)</f>
        <v>22.8</v>
      </c>
    </row>
    <row r="1795" spans="4:65" x14ac:dyDescent="0.35">
      <c r="D1795" t="s">
        <v>391</v>
      </c>
      <c r="E1795" t="s">
        <v>259</v>
      </c>
      <c r="F1795" s="23">
        <v>5</v>
      </c>
      <c r="G1795" s="23" t="s">
        <v>392</v>
      </c>
      <c r="H1795" s="23" t="s">
        <v>478</v>
      </c>
      <c r="I1795" s="23">
        <v>75</v>
      </c>
      <c r="J1795" s="53">
        <v>287.14999999999998</v>
      </c>
      <c r="K1795" s="53">
        <v>288.82</v>
      </c>
      <c r="L1795" s="53">
        <v>492.2</v>
      </c>
      <c r="M1795" s="54">
        <f t="shared" si="10"/>
        <v>1.7041756111072641</v>
      </c>
      <c r="N1795" s="24">
        <v>64</v>
      </c>
      <c r="O1795" s="55">
        <v>300.67</v>
      </c>
      <c r="P1795" s="56">
        <v>312.16000000000003</v>
      </c>
      <c r="Q1795" s="56">
        <v>531.98</v>
      </c>
      <c r="R1795" s="57">
        <f t="shared" si="22"/>
        <v>1.7041901588928754</v>
      </c>
      <c r="S1795" s="23">
        <v>70</v>
      </c>
      <c r="T1795" s="53">
        <v>289.02999999999997</v>
      </c>
      <c r="U1795" s="53">
        <v>293.3</v>
      </c>
      <c r="V1795" s="53">
        <v>499.84</v>
      </c>
      <c r="W1795" s="57">
        <f t="shared" si="23"/>
        <v>1.7041936583702693</v>
      </c>
      <c r="X1795" s="23">
        <v>93</v>
      </c>
      <c r="Y1795" s="58">
        <v>317.14</v>
      </c>
      <c r="Z1795" s="58">
        <v>322.77999999999997</v>
      </c>
      <c r="AA1795" s="58">
        <v>550.07000000000005</v>
      </c>
      <c r="AB1795" s="57">
        <f t="shared" si="24"/>
        <v>1.7041638267550656</v>
      </c>
      <c r="AC1795" s="47">
        <v>96</v>
      </c>
      <c r="AD1795" s="57">
        <v>298.7</v>
      </c>
      <c r="AE1795" s="23">
        <v>299.08</v>
      </c>
      <c r="AF1795" s="23">
        <v>509.69</v>
      </c>
      <c r="AG1795" s="57">
        <f t="shared" si="25"/>
        <v>1.7041928580981678</v>
      </c>
      <c r="AH1795" s="47">
        <v>100</v>
      </c>
      <c r="AI1795">
        <v>337.11</v>
      </c>
      <c r="AJ1795">
        <v>340.76</v>
      </c>
      <c r="AK1795">
        <v>580.72</v>
      </c>
      <c r="AL1795" s="57">
        <f t="shared" si="15"/>
        <v>1.7041906327033691</v>
      </c>
      <c r="AM1795" s="59"/>
      <c r="AN1795" s="59">
        <f>SUMIFS(HIX_RatingAreas8[Silver Enrollments 2018],HIX_RatingAreas8[Area],HIX_SLCSP11[[#This Row],[Area Code]])</f>
        <v>3304</v>
      </c>
      <c r="AO1795" s="59">
        <f>SUMIFS(HIX_RatingAreas8[Silver Enrollments 2019],HIX_RatingAreas8[Area],HIX_SLCSP11[[#This Row],[Area Code]])</f>
        <v>3340</v>
      </c>
      <c r="AP1795" s="59">
        <f>SUMIFS(HIX_RatingAreas8[Silver Enrollments 2020],HIX_RatingAreas8[Area],HIX_SLCSP11[[#This Row],[Area Code]])</f>
        <v>3082</v>
      </c>
      <c r="AQ1795" s="59">
        <f>SUMIFS(HIX_RatingAreas8[Silver Enrollments 2021],HIX_RatingAreas8[Area],HIX_SLCSP11[[#This Row],[Area Code]])</f>
        <v>2920</v>
      </c>
      <c r="AR1795" s="59">
        <f>SUMIFS(HIX_RatingAreas8[Silver Enrollments 2022],HIX_RatingAreas8[Area],HIX_SLCSP11[[#This Row],[Area Code]])</f>
        <v>3973</v>
      </c>
      <c r="AS1795" s="59">
        <f>SUMIFS(HIX_RatingAreas8[Silver Enrollments 2023],HIX_RatingAreas8[Area],HIX_SLCSP11[[#This Row],[Area Code]])</f>
        <v>3973</v>
      </c>
      <c r="AT1795" s="59"/>
      <c r="AU1795" s="53"/>
      <c r="AV1795">
        <f>SUMIFS(HIX_RatingAreas8[QHP Enrollments 2018],HIX_RatingAreas8[Area],HIX_SLCSP11[[#This Row],[Area Code]])</f>
        <v>4323</v>
      </c>
      <c r="AW1795" s="23">
        <f t="shared" si="17"/>
        <v>6.3480176211453743E-2</v>
      </c>
      <c r="AX1795">
        <f>SUMIFS(HIX_RatingAreas8[QHP Enrollments 2019],HIX_RatingAreas8[Area],HIX_SLCSP11[[#This Row],[Area Code]])</f>
        <v>4218</v>
      </c>
      <c r="AY1795" s="23">
        <f t="shared" si="18"/>
        <v>6.2569534066129681E-2</v>
      </c>
      <c r="AZ1795">
        <f>SUMIFS(HIX_RatingAreas8[QHP Enrollments 2020],HIX_RatingAreas8[Area],HIX_SLCSP11[[#This Row],[Area Code]])</f>
        <v>3981</v>
      </c>
      <c r="BA1795" s="23">
        <f t="shared" si="19"/>
        <v>6.1855189558732135E-2</v>
      </c>
      <c r="BB1795">
        <f>SUMIFS(HIX_RatingAreas8[QHP Enrollments 2021],HIX_RatingAreas8[Area],HIX_SLCSP11[[#This Row],[Area Code]])</f>
        <v>3927</v>
      </c>
      <c r="BC1795" s="23">
        <f t="shared" si="20"/>
        <v>5.941537809786062E-2</v>
      </c>
      <c r="BD1795">
        <f>SUMIFS(HIX_RatingAreas8[QHP Enrollments 2022],HIX_RatingAreas8[Area],HIX_SLCSP11[[#This Row],[Area Code]])</f>
        <v>5191</v>
      </c>
      <c r="BE1795" s="23">
        <f t="shared" si="21"/>
        <v>5.883753088658672E-2</v>
      </c>
      <c r="BF1795">
        <f>SUMIFS(HIX_RatingAreas8[QHP Enrollments 2023],HIX_RatingAreas8[Area],HIX_SLCSP11[[#This Row],[Area Code]])</f>
        <v>5191</v>
      </c>
      <c r="BG1795" s="23">
        <f t="shared" si="26"/>
        <v>5.883753088658672E-2</v>
      </c>
      <c r="BH1795" s="53">
        <f>ROUND(HIX_SLCSP11[[#This Row],[Weighting Factor 2018]]*HIX_SLCSP11[[#This Row],[2018]],2)</f>
        <v>18.329999999999998</v>
      </c>
      <c r="BI1795" s="53">
        <f>ROUND(HIX_SLCSP11[[#This Row],[Weighting Factor 2019]]*HIX_SLCSP11[[#This Row],[2019]],2)</f>
        <v>19.53</v>
      </c>
      <c r="BJ1795" s="53">
        <f>ROUND(HIX_SLCSP11[[#This Row],[Weighting Factor 2020]]*HIX_SLCSP11[[#This Row],[2020]],2)</f>
        <v>18.14</v>
      </c>
      <c r="BK1795" s="53">
        <f>ROUND(HIX_SLCSP11[[#This Row],[Weighting Factor 2021]]*HIX_SLCSP11[[#This Row],[2021]],2)</f>
        <v>19.18</v>
      </c>
      <c r="BL1795" s="53">
        <f>ROUND(HIX_SLCSP11[[#This Row],[Weighting Factor 2022]]*HIX_SLCSP11[[#This Row],[2022]],2)</f>
        <v>17.600000000000001</v>
      </c>
      <c r="BM1795" s="53">
        <f>ROUND(HIX_SLCSP11[[#This Row],[Weighting Factor 2023]]*HIX_SLCSP11[[#This Row],[2023]],2)</f>
        <v>20.05</v>
      </c>
    </row>
    <row r="1796" spans="4:65" x14ac:dyDescent="0.35">
      <c r="D1796" t="s">
        <v>391</v>
      </c>
      <c r="E1796" t="s">
        <v>265</v>
      </c>
      <c r="F1796" s="23">
        <v>6</v>
      </c>
      <c r="G1796" s="23" t="s">
        <v>392</v>
      </c>
      <c r="H1796" s="23" t="s">
        <v>502</v>
      </c>
      <c r="I1796" s="23">
        <v>56</v>
      </c>
      <c r="J1796" s="53">
        <v>292.16000000000003</v>
      </c>
      <c r="K1796" s="53">
        <v>295.60000000000002</v>
      </c>
      <c r="L1796" s="53">
        <v>503.76</v>
      </c>
      <c r="M1796" s="54">
        <f t="shared" si="10"/>
        <v>1.7041948579161026</v>
      </c>
      <c r="N1796" s="24">
        <v>52</v>
      </c>
      <c r="O1796" s="55">
        <v>309.58999999999997</v>
      </c>
      <c r="P1796" s="56">
        <v>312.16000000000003</v>
      </c>
      <c r="Q1796" s="56">
        <v>531.98</v>
      </c>
      <c r="R1796" s="57">
        <f t="shared" si="22"/>
        <v>1.7041901588928754</v>
      </c>
      <c r="S1796" s="23">
        <v>70</v>
      </c>
      <c r="T1796" s="53">
        <v>289.02999999999997</v>
      </c>
      <c r="U1796" s="53">
        <v>293.3</v>
      </c>
      <c r="V1796" s="53">
        <v>499.84</v>
      </c>
      <c r="W1796" s="57">
        <f t="shared" si="23"/>
        <v>1.7041936583702693</v>
      </c>
      <c r="X1796" s="23">
        <v>93</v>
      </c>
      <c r="Y1796" s="58">
        <v>317.14</v>
      </c>
      <c r="Z1796" s="58">
        <v>322.77999999999997</v>
      </c>
      <c r="AA1796" s="58">
        <v>550.07000000000005</v>
      </c>
      <c r="AB1796" s="57">
        <f t="shared" si="24"/>
        <v>1.7041638267550656</v>
      </c>
      <c r="AC1796" s="47">
        <v>96</v>
      </c>
      <c r="AD1796" s="57">
        <v>298.7</v>
      </c>
      <c r="AE1796" s="23">
        <v>299.08</v>
      </c>
      <c r="AF1796" s="23">
        <v>509.69</v>
      </c>
      <c r="AG1796" s="57">
        <f t="shared" si="25"/>
        <v>1.7041928580981678</v>
      </c>
      <c r="AH1796" s="47">
        <v>100</v>
      </c>
      <c r="AI1796">
        <v>337.11</v>
      </c>
      <c r="AJ1796">
        <v>340.76</v>
      </c>
      <c r="AK1796">
        <v>580.72</v>
      </c>
      <c r="AL1796" s="57">
        <f t="shared" si="15"/>
        <v>1.7041906327033691</v>
      </c>
      <c r="AM1796" s="59"/>
      <c r="AN1796" s="59">
        <f>SUMIFS(HIX_RatingAreas8[Silver Enrollments 2018],HIX_RatingAreas8[Area],HIX_SLCSP11[[#This Row],[Area Code]])</f>
        <v>3004</v>
      </c>
      <c r="AO1796" s="59">
        <f>SUMIFS(HIX_RatingAreas8[Silver Enrollments 2019],HIX_RatingAreas8[Area],HIX_SLCSP11[[#This Row],[Area Code]])</f>
        <v>2910</v>
      </c>
      <c r="AP1796" s="59">
        <f>SUMIFS(HIX_RatingAreas8[Silver Enrollments 2020],HIX_RatingAreas8[Area],HIX_SLCSP11[[#This Row],[Area Code]])</f>
        <v>2655</v>
      </c>
      <c r="AQ1796" s="59">
        <f>SUMIFS(HIX_RatingAreas8[Silver Enrollments 2021],HIX_RatingAreas8[Area],HIX_SLCSP11[[#This Row],[Area Code]])</f>
        <v>2565</v>
      </c>
      <c r="AR1796" s="59">
        <f>SUMIFS(HIX_RatingAreas8[Silver Enrollments 2022],HIX_RatingAreas8[Area],HIX_SLCSP11[[#This Row],[Area Code]])</f>
        <v>3778</v>
      </c>
      <c r="AS1796" s="59">
        <f>SUMIFS(HIX_RatingAreas8[Silver Enrollments 2023],HIX_RatingAreas8[Area],HIX_SLCSP11[[#This Row],[Area Code]])</f>
        <v>3778</v>
      </c>
      <c r="AT1796" s="59"/>
      <c r="AU1796" s="53"/>
      <c r="AV1796">
        <f>SUMIFS(HIX_RatingAreas8[QHP Enrollments 2018],HIX_RatingAreas8[Area],HIX_SLCSP11[[#This Row],[Area Code]])</f>
        <v>4069</v>
      </c>
      <c r="AW1796" s="23">
        <f t="shared" si="17"/>
        <v>5.97503671071953E-2</v>
      </c>
      <c r="AX1796">
        <f>SUMIFS(HIX_RatingAreas8[QHP Enrollments 2019],HIX_RatingAreas8[Area],HIX_SLCSP11[[#This Row],[Area Code]])</f>
        <v>3926</v>
      </c>
      <c r="AY1796" s="23">
        <f t="shared" si="18"/>
        <v>5.8238025306691588E-2</v>
      </c>
      <c r="AZ1796">
        <f>SUMIFS(HIX_RatingAreas8[QHP Enrollments 2020],HIX_RatingAreas8[Area],HIX_SLCSP11[[#This Row],[Area Code]])</f>
        <v>3628</v>
      </c>
      <c r="BA1796" s="23">
        <f t="shared" si="19"/>
        <v>5.6370416407706653E-2</v>
      </c>
      <c r="BB1796">
        <f>SUMIFS(HIX_RatingAreas8[QHP Enrollments 2021],HIX_RatingAreas8[Area],HIX_SLCSP11[[#This Row],[Area Code]])</f>
        <v>3643</v>
      </c>
      <c r="BC1796" s="23">
        <f t="shared" si="20"/>
        <v>5.5118467637001844E-2</v>
      </c>
      <c r="BD1796">
        <f>SUMIFS(HIX_RatingAreas8[QHP Enrollments 2022],HIX_RatingAreas8[Area],HIX_SLCSP11[[#This Row],[Area Code]])</f>
        <v>5129</v>
      </c>
      <c r="BE1796" s="23">
        <f t="shared" si="21"/>
        <v>5.8134790197900847E-2</v>
      </c>
      <c r="BF1796">
        <f>SUMIFS(HIX_RatingAreas8[QHP Enrollments 2023],HIX_RatingAreas8[Area],HIX_SLCSP11[[#This Row],[Area Code]])</f>
        <v>5129</v>
      </c>
      <c r="BG1796" s="23">
        <f t="shared" si="26"/>
        <v>5.8134790197900847E-2</v>
      </c>
      <c r="BH1796" s="53">
        <f>ROUND(HIX_SLCSP11[[#This Row],[Weighting Factor 2018]]*HIX_SLCSP11[[#This Row],[2018]],2)</f>
        <v>17.66</v>
      </c>
      <c r="BI1796" s="53">
        <f>ROUND(HIX_SLCSP11[[#This Row],[Weighting Factor 2019]]*HIX_SLCSP11[[#This Row],[2019]],2)</f>
        <v>18.18</v>
      </c>
      <c r="BJ1796" s="53">
        <f>ROUND(HIX_SLCSP11[[#This Row],[Weighting Factor 2020]]*HIX_SLCSP11[[#This Row],[2020]],2)</f>
        <v>16.53</v>
      </c>
      <c r="BK1796" s="53">
        <f>ROUND(HIX_SLCSP11[[#This Row],[Weighting Factor 2021]]*HIX_SLCSP11[[#This Row],[2021]],2)</f>
        <v>17.79</v>
      </c>
      <c r="BL1796" s="53">
        <f>ROUND(HIX_SLCSP11[[#This Row],[Weighting Factor 2022]]*HIX_SLCSP11[[#This Row],[2022]],2)</f>
        <v>17.39</v>
      </c>
      <c r="BM1796" s="53">
        <f>ROUND(HIX_SLCSP11[[#This Row],[Weighting Factor 2023]]*HIX_SLCSP11[[#This Row],[2023]],2)</f>
        <v>19.809999999999999</v>
      </c>
    </row>
    <row r="1797" spans="4:65" x14ac:dyDescent="0.35">
      <c r="D1797" t="s">
        <v>391</v>
      </c>
      <c r="E1797" t="s">
        <v>273</v>
      </c>
      <c r="F1797" s="23">
        <v>7</v>
      </c>
      <c r="G1797" s="23" t="s">
        <v>392</v>
      </c>
      <c r="H1797" s="23" t="s">
        <v>525</v>
      </c>
      <c r="I1797" s="23">
        <v>56</v>
      </c>
      <c r="J1797" s="53">
        <v>260.70999999999998</v>
      </c>
      <c r="K1797" s="53">
        <v>279.19</v>
      </c>
      <c r="L1797" s="53">
        <v>475.8</v>
      </c>
      <c r="M1797" s="54">
        <f t="shared" si="10"/>
        <v>1.7042157670403668</v>
      </c>
      <c r="N1797" s="24">
        <v>52</v>
      </c>
      <c r="O1797" s="55">
        <v>297.7</v>
      </c>
      <c r="P1797" s="56">
        <v>312.16000000000003</v>
      </c>
      <c r="Q1797" s="56">
        <v>531.98</v>
      </c>
      <c r="R1797" s="57">
        <f t="shared" si="22"/>
        <v>1.7041901588928754</v>
      </c>
      <c r="S1797" s="23">
        <v>70</v>
      </c>
      <c r="T1797" s="53">
        <v>289.02999999999997</v>
      </c>
      <c r="U1797" s="53">
        <v>293.3</v>
      </c>
      <c r="V1797" s="53">
        <v>499.84</v>
      </c>
      <c r="W1797" s="57">
        <f t="shared" si="23"/>
        <v>1.7041936583702693</v>
      </c>
      <c r="X1797" s="23">
        <v>93</v>
      </c>
      <c r="Y1797" s="58">
        <v>317.14</v>
      </c>
      <c r="Z1797" s="58">
        <v>322.77999999999997</v>
      </c>
      <c r="AA1797" s="58">
        <v>550.07000000000005</v>
      </c>
      <c r="AB1797" s="57">
        <f t="shared" si="24"/>
        <v>1.7041638267550656</v>
      </c>
      <c r="AC1797" s="47">
        <v>96</v>
      </c>
      <c r="AD1797" s="57">
        <v>298.7</v>
      </c>
      <c r="AE1797" s="23">
        <v>299.08</v>
      </c>
      <c r="AF1797" s="23">
        <v>509.69</v>
      </c>
      <c r="AG1797" s="57">
        <f t="shared" si="25"/>
        <v>1.7041928580981678</v>
      </c>
      <c r="AH1797" s="47">
        <v>100</v>
      </c>
      <c r="AI1797">
        <v>337.11</v>
      </c>
      <c r="AJ1797">
        <v>340.76</v>
      </c>
      <c r="AK1797">
        <v>580.72</v>
      </c>
      <c r="AL1797" s="57">
        <f t="shared" si="15"/>
        <v>1.7041906327033691</v>
      </c>
      <c r="AM1797" s="59"/>
      <c r="AN1797" s="59">
        <f>SUMIFS(HIX_RatingAreas8[Silver Enrollments 2018],HIX_RatingAreas8[Area],HIX_SLCSP11[[#This Row],[Area Code]])</f>
        <v>4336</v>
      </c>
      <c r="AO1797" s="59">
        <f>SUMIFS(HIX_RatingAreas8[Silver Enrollments 2019],HIX_RatingAreas8[Area],HIX_SLCSP11[[#This Row],[Area Code]])</f>
        <v>4368</v>
      </c>
      <c r="AP1797" s="59">
        <f>SUMIFS(HIX_RatingAreas8[Silver Enrollments 2020],HIX_RatingAreas8[Area],HIX_SLCSP11[[#This Row],[Area Code]])</f>
        <v>3906</v>
      </c>
      <c r="AQ1797" s="59">
        <f>SUMIFS(HIX_RatingAreas8[Silver Enrollments 2021],HIX_RatingAreas8[Area],HIX_SLCSP11[[#This Row],[Area Code]])</f>
        <v>3925</v>
      </c>
      <c r="AR1797" s="59">
        <f>SUMIFS(HIX_RatingAreas8[Silver Enrollments 2022],HIX_RatingAreas8[Area],HIX_SLCSP11[[#This Row],[Area Code]])</f>
        <v>5116</v>
      </c>
      <c r="AS1797" s="59">
        <f>SUMIFS(HIX_RatingAreas8[Silver Enrollments 2023],HIX_RatingAreas8[Area],HIX_SLCSP11[[#This Row],[Area Code]])</f>
        <v>5116</v>
      </c>
      <c r="AT1797" s="59"/>
      <c r="AU1797" s="53"/>
      <c r="AV1797">
        <f>SUMIFS(HIX_RatingAreas8[QHP Enrollments 2018],HIX_RatingAreas8[Area],HIX_SLCSP11[[#This Row],[Area Code]])</f>
        <v>6008</v>
      </c>
      <c r="AW1797" s="23">
        <f t="shared" si="17"/>
        <v>8.8223201174743027E-2</v>
      </c>
      <c r="AX1797">
        <f>SUMIFS(HIX_RatingAreas8[QHP Enrollments 2019],HIX_RatingAreas8[Area],HIX_SLCSP11[[#This Row],[Area Code]])</f>
        <v>5881</v>
      </c>
      <c r="AY1797" s="23">
        <f t="shared" si="18"/>
        <v>8.7238366487176061E-2</v>
      </c>
      <c r="AZ1797">
        <f>SUMIFS(HIX_RatingAreas8[QHP Enrollments 2020],HIX_RatingAreas8[Area],HIX_SLCSP11[[#This Row],[Area Code]])</f>
        <v>5619</v>
      </c>
      <c r="BA1797" s="23">
        <f t="shared" si="19"/>
        <v>8.7305779987569915E-2</v>
      </c>
      <c r="BB1797">
        <f>SUMIFS(HIX_RatingAreas8[QHP Enrollments 2021],HIX_RatingAreas8[Area],HIX_SLCSP11[[#This Row],[Area Code]])</f>
        <v>5806</v>
      </c>
      <c r="BC1797" s="23">
        <f t="shared" si="20"/>
        <v>8.7844584985021332E-2</v>
      </c>
      <c r="BD1797">
        <f>SUMIFS(HIX_RatingAreas8[QHP Enrollments 2022],HIX_RatingAreas8[Area],HIX_SLCSP11[[#This Row],[Area Code]])</f>
        <v>7661</v>
      </c>
      <c r="BE1797" s="23">
        <f t="shared" si="21"/>
        <v>8.6833813161653034E-2</v>
      </c>
      <c r="BF1797">
        <f>SUMIFS(HIX_RatingAreas8[QHP Enrollments 2023],HIX_RatingAreas8[Area],HIX_SLCSP11[[#This Row],[Area Code]])</f>
        <v>7661</v>
      </c>
      <c r="BG1797" s="23">
        <f t="shared" si="26"/>
        <v>8.6833813161653034E-2</v>
      </c>
      <c r="BH1797" s="53">
        <f>ROUND(HIX_SLCSP11[[#This Row],[Weighting Factor 2018]]*HIX_SLCSP11[[#This Row],[2018]],2)</f>
        <v>24.63</v>
      </c>
      <c r="BI1797" s="53">
        <f>ROUND(HIX_SLCSP11[[#This Row],[Weighting Factor 2019]]*HIX_SLCSP11[[#This Row],[2019]],2)</f>
        <v>27.23</v>
      </c>
      <c r="BJ1797" s="53">
        <f>ROUND(HIX_SLCSP11[[#This Row],[Weighting Factor 2020]]*HIX_SLCSP11[[#This Row],[2020]],2)</f>
        <v>25.61</v>
      </c>
      <c r="BK1797" s="53">
        <f>ROUND(HIX_SLCSP11[[#This Row],[Weighting Factor 2021]]*HIX_SLCSP11[[#This Row],[2021]],2)</f>
        <v>28.35</v>
      </c>
      <c r="BL1797" s="53">
        <f>ROUND(HIX_SLCSP11[[#This Row],[Weighting Factor 2022]]*HIX_SLCSP11[[#This Row],[2022]],2)</f>
        <v>25.97</v>
      </c>
      <c r="BM1797" s="53">
        <f>ROUND(HIX_SLCSP11[[#This Row],[Weighting Factor 2023]]*HIX_SLCSP11[[#This Row],[2023]],2)</f>
        <v>29.59</v>
      </c>
    </row>
    <row r="1798" spans="4:65" x14ac:dyDescent="0.35">
      <c r="D1798" t="s">
        <v>539</v>
      </c>
      <c r="E1798" t="s">
        <v>2597</v>
      </c>
      <c r="F1798" s="23"/>
      <c r="G1798" s="23"/>
      <c r="H1798" s="23"/>
      <c r="I1798" s="23"/>
      <c r="J1798" s="53"/>
      <c r="K1798" s="53">
        <f>SUM(BH1799:BH1865)</f>
        <v>379.13000000000011</v>
      </c>
      <c r="L1798" s="53"/>
      <c r="M1798" s="54"/>
      <c r="O1798" s="55"/>
      <c r="P1798" s="56">
        <f>SUM(BI1799:BI1865)</f>
        <v>390.0800000000001</v>
      </c>
      <c r="Q1798" s="56"/>
      <c r="R1798" s="57"/>
      <c r="S1798" s="23"/>
      <c r="T1798" s="53"/>
      <c r="U1798" s="53">
        <f>SUM(BJ1799:BJ1865)</f>
        <v>314.61000000000013</v>
      </c>
      <c r="V1798" s="53"/>
      <c r="W1798" s="57"/>
      <c r="X1798" s="47"/>
      <c r="Y1798" s="58"/>
      <c r="Z1798" s="53">
        <f>SUM(BK1799:BK1865)</f>
        <v>291.66999999999996</v>
      </c>
      <c r="AA1798" s="58"/>
      <c r="AB1798" s="57"/>
      <c r="AC1798" s="47"/>
      <c r="AD1798" s="57"/>
      <c r="AE1798" s="53">
        <f>SUM(BL1799:BL1865)</f>
        <v>298.12</v>
      </c>
      <c r="AF1798" s="57"/>
      <c r="AG1798" s="57"/>
      <c r="AH1798" s="47"/>
      <c r="AI1798" s="57"/>
      <c r="AJ1798" s="53">
        <f>SUM(BM1799:BM1865)</f>
        <v>316.25000000000006</v>
      </c>
      <c r="AK1798" s="57"/>
      <c r="AL1798" s="57"/>
      <c r="AM1798" s="59">
        <f t="shared" ref="AM1798:AT1798" si="27">SUM(AM1799:AM1865)</f>
        <v>1365444</v>
      </c>
      <c r="AN1798" s="59">
        <f t="shared" si="27"/>
        <v>1164680</v>
      </c>
      <c r="AO1798" s="59">
        <f t="shared" si="27"/>
        <v>1192450</v>
      </c>
      <c r="AP1798" s="59">
        <f t="shared" si="27"/>
        <v>1279920</v>
      </c>
      <c r="AQ1798" s="59">
        <f t="shared" si="27"/>
        <v>1371697</v>
      </c>
      <c r="AR1798" s="59">
        <f t="shared" si="27"/>
        <v>1764821</v>
      </c>
      <c r="AS1798" s="59">
        <f t="shared" si="27"/>
        <v>1764821</v>
      </c>
      <c r="AT1798" s="59">
        <f t="shared" si="27"/>
        <v>1742806</v>
      </c>
      <c r="AU1798">
        <f t="shared" ref="AU1798:AU1861" si="28">AT1798/AT$1798</f>
        <v>1</v>
      </c>
      <c r="AV1798" s="59">
        <f>SUM(AV1799:AV1865)</f>
        <v>1715226</v>
      </c>
      <c r="AW1798">
        <f t="shared" ref="AW1798:AW1861" si="29">AV1798/AV$1798</f>
        <v>1</v>
      </c>
      <c r="AX1798" s="59">
        <f>SUM(AX1799:AX1865)</f>
        <v>1783304</v>
      </c>
      <c r="AY1798">
        <f t="shared" ref="AY1798:AY1861" si="30">AX1798/AX$1798</f>
        <v>1</v>
      </c>
      <c r="AZ1798" s="59">
        <f>SUM(AZ1799:AZ1865)</f>
        <v>1913975</v>
      </c>
      <c r="BA1798">
        <f t="shared" ref="BA1798:BA1861" si="31">AZ1798/AZ$1798</f>
        <v>1</v>
      </c>
      <c r="BB1798" s="59">
        <f>SUM(BB1799:BB1865)</f>
        <v>2120350</v>
      </c>
      <c r="BC1798">
        <f t="shared" ref="BC1798:BC1861" si="32">BB1798/BB$1798</f>
        <v>1</v>
      </c>
      <c r="BD1798" s="59">
        <f>SUM(BD1799:BD1865)</f>
        <v>2723094</v>
      </c>
      <c r="BE1798">
        <f t="shared" ref="BE1798:BE1829" si="33">BD1798/BD$1798</f>
        <v>1</v>
      </c>
      <c r="BF1798" s="59">
        <f>SUM(BF1799:BF1865)</f>
        <v>2723094</v>
      </c>
      <c r="BG1798">
        <f>BF1798/BF$1798</f>
        <v>1</v>
      </c>
      <c r="BH1798" s="53"/>
      <c r="BI1798" s="53"/>
      <c r="BJ1798" s="53"/>
      <c r="BK1798" s="53"/>
      <c r="BL1798" s="53"/>
      <c r="BM1798" s="53"/>
    </row>
    <row r="1799" spans="4:65" x14ac:dyDescent="0.35">
      <c r="D1799" t="s">
        <v>539</v>
      </c>
      <c r="E1799" t="s">
        <v>231</v>
      </c>
      <c r="F1799" s="23">
        <v>1</v>
      </c>
      <c r="G1799" s="23" t="s">
        <v>540</v>
      </c>
      <c r="H1799" s="23" t="s">
        <v>541</v>
      </c>
      <c r="I1799" s="23">
        <v>104</v>
      </c>
      <c r="J1799" s="53">
        <v>307.13</v>
      </c>
      <c r="K1799" s="53">
        <v>379.83</v>
      </c>
      <c r="L1799" s="53">
        <v>647.29999999999995</v>
      </c>
      <c r="M1799" s="54">
        <f t="shared" ref="M1799:M1862" si="34">L1799/K1799</f>
        <v>1.7041834504910092</v>
      </c>
      <c r="N1799" s="24">
        <v>96</v>
      </c>
      <c r="O1799" s="55">
        <v>403.86</v>
      </c>
      <c r="P1799" s="56">
        <v>442.03</v>
      </c>
      <c r="Q1799" s="56">
        <v>753.3</v>
      </c>
      <c r="R1799" s="57">
        <f t="shared" ref="R1799:R1862" si="35">Q1799/P1799</f>
        <v>1.7041829740062893</v>
      </c>
      <c r="S1799" s="23">
        <v>104</v>
      </c>
      <c r="T1799" s="53">
        <v>309.33</v>
      </c>
      <c r="U1799" s="53">
        <v>324.73</v>
      </c>
      <c r="V1799" s="53">
        <v>553.41</v>
      </c>
      <c r="W1799" s="57">
        <f t="shared" ref="W1799:W1862" si="36">V1799/U1799</f>
        <v>1.7042158100575862</v>
      </c>
      <c r="X1799" s="47">
        <v>161</v>
      </c>
      <c r="Y1799" s="58">
        <v>301.63</v>
      </c>
      <c r="Z1799" s="58">
        <v>310</v>
      </c>
      <c r="AA1799" s="58">
        <v>528.29999999999995</v>
      </c>
      <c r="AB1799" s="57">
        <f t="shared" ref="AB1799:AB1862" si="37">AA1799/Z1799</f>
        <v>1.7041935483870967</v>
      </c>
      <c r="AC1799" s="47">
        <v>220</v>
      </c>
      <c r="AD1799" s="57">
        <v>310.02</v>
      </c>
      <c r="AE1799" s="57">
        <v>318.13</v>
      </c>
      <c r="AF1799" s="57">
        <v>542.16</v>
      </c>
      <c r="AG1799" s="57">
        <f t="shared" ref="AG1799:AG1862" si="38">AF1799/AE1799</f>
        <v>1.7042089711753057</v>
      </c>
      <c r="AH1799" s="47">
        <v>206</v>
      </c>
      <c r="AI1799">
        <v>329.63</v>
      </c>
      <c r="AJ1799">
        <v>331.15</v>
      </c>
      <c r="AK1799">
        <v>564.35</v>
      </c>
      <c r="AL1799" s="57">
        <f t="shared" si="15"/>
        <v>1.7042125924807492</v>
      </c>
      <c r="AM1799" s="59">
        <v>11629</v>
      </c>
      <c r="AN1799" s="59">
        <f>SUMIFS(HIX_RatingAreas8[Silver Enrollments 2018],HIX_RatingAreas8[Area],HIX_SLCSP11[[#This Row],[Area Code]])</f>
        <v>10194</v>
      </c>
      <c r="AO1799" s="59">
        <f>SUMIFS(HIX_RatingAreas8[Silver Enrollments 2019],HIX_RatingAreas8[Area],HIX_SLCSP11[[#This Row],[Area Code]])</f>
        <v>9854</v>
      </c>
      <c r="AP1799" s="59">
        <f>SUMIFS(HIX_RatingAreas8[Silver Enrollments 2020],HIX_RatingAreas8[Area],HIX_SLCSP11[[#This Row],[Area Code]])</f>
        <v>8765</v>
      </c>
      <c r="AQ1799" s="59">
        <f>SUMIFS(HIX_RatingAreas8[Silver Enrollments 2021],HIX_RatingAreas8[Area],HIX_SLCSP11[[#This Row],[Area Code]])</f>
        <v>8304</v>
      </c>
      <c r="AR1799" s="59">
        <f>SUMIFS(HIX_RatingAreas8[Silver Enrollments 2022],HIX_RatingAreas8[Area],HIX_SLCSP11[[#This Row],[Area Code]])</f>
        <v>10658</v>
      </c>
      <c r="AS1799" s="59">
        <f>SUMIFS(HIX_RatingAreas8[Silver Enrollments 2023],HIX_RatingAreas8[Area],HIX_SLCSP11[[#This Row],[Area Code]])</f>
        <v>10658</v>
      </c>
      <c r="AT1799" s="59">
        <v>14826</v>
      </c>
      <c r="AU1799">
        <f t="shared" si="28"/>
        <v>8.5069709422620765E-3</v>
      </c>
      <c r="AV1799">
        <f>SUMIFS(HIX_RatingAreas8[QHP Enrollments 2018],HIX_RatingAreas8[Area],HIX_SLCSP11[[#This Row],[Area Code]])</f>
        <v>15038</v>
      </c>
      <c r="AW1799">
        <f t="shared" si="29"/>
        <v>8.7673577709293116E-3</v>
      </c>
      <c r="AX1799">
        <f>SUMIFS(HIX_RatingAreas8[QHP Enrollments 2019],HIX_RatingAreas8[Area],HIX_SLCSP11[[#This Row],[Area Code]])</f>
        <v>15005</v>
      </c>
      <c r="AY1799">
        <f t="shared" si="30"/>
        <v>8.4141570926774129E-3</v>
      </c>
      <c r="AZ1799">
        <f>SUMIFS(HIX_RatingAreas8[QHP Enrollments 2020],HIX_RatingAreas8[Area],HIX_SLCSP11[[#This Row],[Area Code]])</f>
        <v>14980</v>
      </c>
      <c r="BA1799">
        <f t="shared" si="31"/>
        <v>7.8266435037030267E-3</v>
      </c>
      <c r="BB1799">
        <f>SUMIFS(HIX_RatingAreas8[QHP Enrollments 2021],HIX_RatingAreas8[Area],HIX_SLCSP11[[#This Row],[Area Code]])</f>
        <v>14990</v>
      </c>
      <c r="BC1799">
        <f t="shared" si="32"/>
        <v>7.0695875680901734E-3</v>
      </c>
      <c r="BD1799">
        <f>SUMIFS(HIX_RatingAreas8[QHP Enrollments 2022],HIX_RatingAreas8[Area],HIX_SLCSP11[[#This Row],[Area Code]])</f>
        <v>19000</v>
      </c>
      <c r="BE1799">
        <f t="shared" si="33"/>
        <v>6.9773573736345495E-3</v>
      </c>
      <c r="BF1799">
        <f>SUMIFS(HIX_RatingAreas8[QHP Enrollments 2023],HIX_RatingAreas8[Area],HIX_SLCSP11[[#This Row],[Area Code]])</f>
        <v>19000</v>
      </c>
      <c r="BG1799">
        <f>BF1799/BF$1798</f>
        <v>6.9773573736345495E-3</v>
      </c>
      <c r="BH1799" s="53">
        <f>ROUND(HIX_SLCSP11[[#This Row],[Weighting Factor 2018]]*HIX_SLCSP11[[#This Row],[2018]],2)</f>
        <v>3.33</v>
      </c>
      <c r="BI1799" s="53">
        <f>ROUND(HIX_SLCSP11[[#This Row],[Weighting Factor 2019]]*HIX_SLCSP11[[#This Row],[2019]],2)</f>
        <v>3.72</v>
      </c>
      <c r="BJ1799" s="53">
        <f>ROUND(HIX_SLCSP11[[#This Row],[Weighting Factor 2020]]*HIX_SLCSP11[[#This Row],[2020]],2)</f>
        <v>2.54</v>
      </c>
      <c r="BK1799" s="53">
        <f>ROUND(HIX_SLCSP11[[#This Row],[Weighting Factor 2021]]*HIX_SLCSP11[[#This Row],[2021]],2)</f>
        <v>2.19</v>
      </c>
      <c r="BL1799" s="53">
        <f>ROUND(HIX_SLCSP11[[#This Row],[Weighting Factor 2022]]*HIX_SLCSP11[[#This Row],[2022]],2)</f>
        <v>2.2200000000000002</v>
      </c>
      <c r="BM1799" s="53">
        <f>ROUND(HIX_SLCSP11[[#This Row],[Weighting Factor 2023]]*HIX_SLCSP11[[#This Row],[2023]],2)</f>
        <v>2.31</v>
      </c>
    </row>
    <row r="1800" spans="4:65" x14ac:dyDescent="0.35">
      <c r="D1800" t="s">
        <v>539</v>
      </c>
      <c r="E1800" t="s">
        <v>235</v>
      </c>
      <c r="F1800" s="23">
        <v>2</v>
      </c>
      <c r="G1800" s="23" t="s">
        <v>540</v>
      </c>
      <c r="H1800" s="23" t="s">
        <v>544</v>
      </c>
      <c r="I1800" s="23">
        <v>52</v>
      </c>
      <c r="J1800" s="53">
        <v>319.85000000000002</v>
      </c>
      <c r="K1800" s="53">
        <v>402.34</v>
      </c>
      <c r="L1800" s="53">
        <v>685.66</v>
      </c>
      <c r="M1800" s="54">
        <f t="shared" si="34"/>
        <v>1.7041805438186608</v>
      </c>
      <c r="N1800" s="24">
        <v>48</v>
      </c>
      <c r="O1800" s="55">
        <v>395.03</v>
      </c>
      <c r="P1800" s="56">
        <v>425.48</v>
      </c>
      <c r="Q1800" s="56">
        <v>725.1</v>
      </c>
      <c r="R1800" s="57">
        <f t="shared" si="35"/>
        <v>1.7041929115352072</v>
      </c>
      <c r="S1800" s="23">
        <v>52</v>
      </c>
      <c r="T1800" s="53">
        <v>393.09</v>
      </c>
      <c r="U1800" s="53">
        <v>399.78</v>
      </c>
      <c r="V1800" s="53">
        <v>681.31</v>
      </c>
      <c r="W1800" s="57">
        <f t="shared" si="36"/>
        <v>1.7042123167742258</v>
      </c>
      <c r="X1800" s="47">
        <v>161</v>
      </c>
      <c r="Y1800" s="58">
        <v>299.61</v>
      </c>
      <c r="Z1800" s="58">
        <v>307.92</v>
      </c>
      <c r="AA1800" s="58">
        <v>524.76</v>
      </c>
      <c r="AB1800" s="57">
        <f t="shared" si="37"/>
        <v>1.7042088854247854</v>
      </c>
      <c r="AC1800" s="47">
        <v>153</v>
      </c>
      <c r="AD1800" s="57">
        <v>291.60000000000002</v>
      </c>
      <c r="AE1800" s="57">
        <v>305.39999999999998</v>
      </c>
      <c r="AF1800" s="57">
        <v>520.47</v>
      </c>
      <c r="AG1800" s="57">
        <f t="shared" si="38"/>
        <v>1.7042239685658156</v>
      </c>
      <c r="AH1800" s="47">
        <v>168</v>
      </c>
      <c r="AI1800">
        <v>343.08</v>
      </c>
      <c r="AJ1800">
        <v>344.74</v>
      </c>
      <c r="AK1800">
        <v>587.51</v>
      </c>
      <c r="AL1800" s="57">
        <f t="shared" si="15"/>
        <v>1.7042118698149329</v>
      </c>
      <c r="AM1800" s="59">
        <v>850</v>
      </c>
      <c r="AN1800" s="59">
        <f>SUMIFS(HIX_RatingAreas8[Silver Enrollments 2018],HIX_RatingAreas8[Area],HIX_SLCSP11[[#This Row],[Area Code]])</f>
        <v>614</v>
      </c>
      <c r="AO1800" s="59">
        <f>SUMIFS(HIX_RatingAreas8[Silver Enrollments 2019],HIX_RatingAreas8[Area],HIX_SLCSP11[[#This Row],[Area Code]])</f>
        <v>580</v>
      </c>
      <c r="AP1800" s="59">
        <f>SUMIFS(HIX_RatingAreas8[Silver Enrollments 2020],HIX_RatingAreas8[Area],HIX_SLCSP11[[#This Row],[Area Code]])</f>
        <v>570</v>
      </c>
      <c r="AQ1800" s="59">
        <f>SUMIFS(HIX_RatingAreas8[Silver Enrollments 2021],HIX_RatingAreas8[Area],HIX_SLCSP11[[#This Row],[Area Code]])</f>
        <v>647</v>
      </c>
      <c r="AR1800" s="59">
        <f>SUMIFS(HIX_RatingAreas8[Silver Enrollments 2022],HIX_RatingAreas8[Area],HIX_SLCSP11[[#This Row],[Area Code]])</f>
        <v>758</v>
      </c>
      <c r="AS1800" s="59">
        <f>SUMIFS(HIX_RatingAreas8[Silver Enrollments 2023],HIX_RatingAreas8[Area],HIX_SLCSP11[[#This Row],[Area Code]])</f>
        <v>758</v>
      </c>
      <c r="AT1800" s="59">
        <v>1043</v>
      </c>
      <c r="AU1800">
        <f t="shared" si="28"/>
        <v>5.9846018432344159E-4</v>
      </c>
      <c r="AV1800">
        <f>SUMIFS(HIX_RatingAreas8[QHP Enrollments 2018],HIX_RatingAreas8[Area],HIX_SLCSP11[[#This Row],[Area Code]])</f>
        <v>889</v>
      </c>
      <c r="AW1800">
        <f t="shared" si="29"/>
        <v>5.1829904630643422E-4</v>
      </c>
      <c r="AX1800">
        <f>SUMIFS(HIX_RatingAreas8[QHP Enrollments 2019],HIX_RatingAreas8[Area],HIX_SLCSP11[[#This Row],[Area Code]])</f>
        <v>893</v>
      </c>
      <c r="AY1800">
        <f t="shared" si="30"/>
        <v>5.0075590028396725E-4</v>
      </c>
      <c r="AZ1800">
        <f>SUMIFS(HIX_RatingAreas8[QHP Enrollments 2020],HIX_RatingAreas8[Area],HIX_SLCSP11[[#This Row],[Area Code]])</f>
        <v>878</v>
      </c>
      <c r="BA1800">
        <f t="shared" si="31"/>
        <v>4.5873117464961664E-4</v>
      </c>
      <c r="BB1800">
        <f>SUMIFS(HIX_RatingAreas8[QHP Enrollments 2021],HIX_RatingAreas8[Area],HIX_SLCSP11[[#This Row],[Area Code]])</f>
        <v>1064</v>
      </c>
      <c r="BC1800">
        <f t="shared" si="32"/>
        <v>5.0180394746150399E-4</v>
      </c>
      <c r="BD1800">
        <f>SUMIFS(HIX_RatingAreas8[QHP Enrollments 2022],HIX_RatingAreas8[Area],HIX_SLCSP11[[#This Row],[Area Code]])</f>
        <v>1492</v>
      </c>
      <c r="BE1800">
        <f t="shared" si="33"/>
        <v>5.4790616849803933E-4</v>
      </c>
      <c r="BF1800">
        <f>SUMIFS(HIX_RatingAreas8[QHP Enrollments 2023],HIX_RatingAreas8[Area],HIX_SLCSP11[[#This Row],[Area Code]])</f>
        <v>1492</v>
      </c>
      <c r="BG1800">
        <f t="shared" ref="BG1800:BG1863" si="39">BF1800/BF$1798</f>
        <v>5.4790616849803933E-4</v>
      </c>
      <c r="BH1800" s="53">
        <f>ROUND(HIX_SLCSP11[[#This Row],[Weighting Factor 2018]]*HIX_SLCSP11[[#This Row],[2018]],2)</f>
        <v>0.21</v>
      </c>
      <c r="BI1800" s="53">
        <f>ROUND(HIX_SLCSP11[[#This Row],[Weighting Factor 2019]]*HIX_SLCSP11[[#This Row],[2019]],2)</f>
        <v>0.21</v>
      </c>
      <c r="BJ1800" s="53">
        <f>ROUND(HIX_SLCSP11[[#This Row],[Weighting Factor 2020]]*HIX_SLCSP11[[#This Row],[2020]],2)</f>
        <v>0.18</v>
      </c>
      <c r="BK1800" s="53">
        <f>ROUND(HIX_SLCSP11[[#This Row],[Weighting Factor 2021]]*HIX_SLCSP11[[#This Row],[2021]],2)</f>
        <v>0.15</v>
      </c>
      <c r="BL1800" s="53">
        <f>ROUND(HIX_SLCSP11[[#This Row],[Weighting Factor 2022]]*HIX_SLCSP11[[#This Row],[2022]],2)</f>
        <v>0.17</v>
      </c>
      <c r="BM1800" s="53">
        <f>ROUND(HIX_SLCSP11[[#This Row],[Weighting Factor 2023]]*HIX_SLCSP11[[#This Row],[2023]],2)</f>
        <v>0.19</v>
      </c>
    </row>
    <row r="1801" spans="4:65" x14ac:dyDescent="0.35">
      <c r="D1801" t="s">
        <v>539</v>
      </c>
      <c r="E1801" t="s">
        <v>239</v>
      </c>
      <c r="F1801" s="23">
        <v>3</v>
      </c>
      <c r="G1801" s="23" t="s">
        <v>540</v>
      </c>
      <c r="H1801" s="23" t="s">
        <v>547</v>
      </c>
      <c r="I1801" s="23">
        <v>52</v>
      </c>
      <c r="J1801" s="53">
        <v>276.3</v>
      </c>
      <c r="K1801" s="53">
        <v>378.09</v>
      </c>
      <c r="L1801" s="53">
        <v>644.34</v>
      </c>
      <c r="M1801" s="54">
        <f t="shared" si="34"/>
        <v>1.7041974133142905</v>
      </c>
      <c r="N1801" s="24">
        <v>48</v>
      </c>
      <c r="O1801" s="55">
        <v>338.66</v>
      </c>
      <c r="P1801" s="56">
        <v>364.76</v>
      </c>
      <c r="Q1801" s="56">
        <v>621.62</v>
      </c>
      <c r="R1801" s="57">
        <f t="shared" si="35"/>
        <v>1.7041890558175239</v>
      </c>
      <c r="S1801" s="23">
        <v>52</v>
      </c>
      <c r="T1801" s="53">
        <v>338.7</v>
      </c>
      <c r="U1801" s="53">
        <v>362.61</v>
      </c>
      <c r="V1801" s="53">
        <v>617.96</v>
      </c>
      <c r="W1801" s="57">
        <f t="shared" si="36"/>
        <v>1.7042001047957862</v>
      </c>
      <c r="X1801" s="47">
        <v>158</v>
      </c>
      <c r="Y1801" s="58">
        <v>279.49</v>
      </c>
      <c r="Z1801" s="58">
        <v>287.25</v>
      </c>
      <c r="AA1801" s="58">
        <v>489.53</v>
      </c>
      <c r="AB1801" s="57">
        <f t="shared" si="37"/>
        <v>1.7041949521322888</v>
      </c>
      <c r="AC1801" s="47">
        <v>204</v>
      </c>
      <c r="AD1801" s="57">
        <v>287.57</v>
      </c>
      <c r="AE1801" s="57">
        <v>301.18</v>
      </c>
      <c r="AF1801" s="57">
        <v>513.27</v>
      </c>
      <c r="AG1801" s="57">
        <f t="shared" si="38"/>
        <v>1.7041968258184474</v>
      </c>
      <c r="AH1801" s="47">
        <v>186</v>
      </c>
      <c r="AI1801">
        <v>317.60000000000002</v>
      </c>
      <c r="AJ1801">
        <v>319.01</v>
      </c>
      <c r="AK1801">
        <v>543.66</v>
      </c>
      <c r="AL1801" s="57">
        <f t="shared" si="15"/>
        <v>1.7042098993761952</v>
      </c>
      <c r="AM1801" s="59">
        <v>9276</v>
      </c>
      <c r="AN1801" s="59">
        <f>SUMIFS(HIX_RatingAreas8[Silver Enrollments 2018],HIX_RatingAreas8[Area],HIX_SLCSP11[[#This Row],[Area Code]])</f>
        <v>8637</v>
      </c>
      <c r="AO1801" s="59">
        <f>SUMIFS(HIX_RatingAreas8[Silver Enrollments 2019],HIX_RatingAreas8[Area],HIX_SLCSP11[[#This Row],[Area Code]])</f>
        <v>8162</v>
      </c>
      <c r="AP1801" s="59">
        <f>SUMIFS(HIX_RatingAreas8[Silver Enrollments 2020],HIX_RatingAreas8[Area],HIX_SLCSP11[[#This Row],[Area Code]])</f>
        <v>8271</v>
      </c>
      <c r="AQ1801" s="59">
        <f>SUMIFS(HIX_RatingAreas8[Silver Enrollments 2021],HIX_RatingAreas8[Area],HIX_SLCSP11[[#This Row],[Area Code]])</f>
        <v>8007</v>
      </c>
      <c r="AR1801" s="59">
        <f>SUMIFS(HIX_RatingAreas8[Silver Enrollments 2022],HIX_RatingAreas8[Area],HIX_SLCSP11[[#This Row],[Area Code]])</f>
        <v>9398</v>
      </c>
      <c r="AS1801" s="59">
        <f>SUMIFS(HIX_RatingAreas8[Silver Enrollments 2023],HIX_RatingAreas8[Area],HIX_SLCSP11[[#This Row],[Area Code]])</f>
        <v>9398</v>
      </c>
      <c r="AT1801" s="59">
        <v>11567</v>
      </c>
      <c r="AU1801">
        <f t="shared" si="28"/>
        <v>6.6369980364997597E-3</v>
      </c>
      <c r="AV1801">
        <f>SUMIFS(HIX_RatingAreas8[QHP Enrollments 2018],HIX_RatingAreas8[Area],HIX_SLCSP11[[#This Row],[Area Code]])</f>
        <v>12070</v>
      </c>
      <c r="AW1801">
        <f t="shared" si="29"/>
        <v>7.0369735533393268E-3</v>
      </c>
      <c r="AX1801">
        <f>SUMIFS(HIX_RatingAreas8[QHP Enrollments 2019],HIX_RatingAreas8[Area],HIX_SLCSP11[[#This Row],[Area Code]])</f>
        <v>11799</v>
      </c>
      <c r="AY1801">
        <f t="shared" si="30"/>
        <v>6.6163705122626315E-3</v>
      </c>
      <c r="AZ1801">
        <f>SUMIFS(HIX_RatingAreas8[QHP Enrollments 2020],HIX_RatingAreas8[Area],HIX_SLCSP11[[#This Row],[Area Code]])</f>
        <v>12106</v>
      </c>
      <c r="BA1801">
        <f t="shared" si="31"/>
        <v>6.325056492378427E-3</v>
      </c>
      <c r="BB1801">
        <f>SUMIFS(HIX_RatingAreas8[QHP Enrollments 2021],HIX_RatingAreas8[Area],HIX_SLCSP11[[#This Row],[Area Code]])</f>
        <v>12858</v>
      </c>
      <c r="BC1801">
        <f t="shared" si="32"/>
        <v>6.0640931921616716E-3</v>
      </c>
      <c r="BD1801">
        <f>SUMIFS(HIX_RatingAreas8[QHP Enrollments 2022],HIX_RatingAreas8[Area],HIX_SLCSP11[[#This Row],[Area Code]])</f>
        <v>15964</v>
      </c>
      <c r="BE1801">
        <f t="shared" si="33"/>
        <v>5.8624491111948394E-3</v>
      </c>
      <c r="BF1801">
        <f>SUMIFS(HIX_RatingAreas8[QHP Enrollments 2023],HIX_RatingAreas8[Area],HIX_SLCSP11[[#This Row],[Area Code]])</f>
        <v>15964</v>
      </c>
      <c r="BG1801">
        <f t="shared" si="39"/>
        <v>5.8624491111948394E-3</v>
      </c>
      <c r="BH1801" s="53">
        <f>ROUND(HIX_SLCSP11[[#This Row],[Weighting Factor 2018]]*HIX_SLCSP11[[#This Row],[2018]],2)</f>
        <v>2.66</v>
      </c>
      <c r="BI1801" s="53">
        <f>ROUND(HIX_SLCSP11[[#This Row],[Weighting Factor 2019]]*HIX_SLCSP11[[#This Row],[2019]],2)</f>
        <v>2.41</v>
      </c>
      <c r="BJ1801" s="53">
        <f>ROUND(HIX_SLCSP11[[#This Row],[Weighting Factor 2020]]*HIX_SLCSP11[[#This Row],[2020]],2)</f>
        <v>2.29</v>
      </c>
      <c r="BK1801" s="53">
        <f>ROUND(HIX_SLCSP11[[#This Row],[Weighting Factor 2021]]*HIX_SLCSP11[[#This Row],[2021]],2)</f>
        <v>1.74</v>
      </c>
      <c r="BL1801" s="53">
        <f>ROUND(HIX_SLCSP11[[#This Row],[Weighting Factor 2022]]*HIX_SLCSP11[[#This Row],[2022]],2)</f>
        <v>1.77</v>
      </c>
      <c r="BM1801" s="53">
        <f>ROUND(HIX_SLCSP11[[#This Row],[Weighting Factor 2023]]*HIX_SLCSP11[[#This Row],[2023]],2)</f>
        <v>1.87</v>
      </c>
    </row>
    <row r="1802" spans="4:65" x14ac:dyDescent="0.35">
      <c r="D1802" t="s">
        <v>539</v>
      </c>
      <c r="E1802" t="s">
        <v>255</v>
      </c>
      <c r="F1802" s="23">
        <v>4</v>
      </c>
      <c r="G1802" s="23" t="s">
        <v>540</v>
      </c>
      <c r="H1802" s="23" t="s">
        <v>550</v>
      </c>
      <c r="I1802" s="23">
        <v>36</v>
      </c>
      <c r="J1802" s="53">
        <v>344.71</v>
      </c>
      <c r="K1802" s="53">
        <v>466.62</v>
      </c>
      <c r="L1802" s="53">
        <v>777.39</v>
      </c>
      <c r="M1802" s="54">
        <f t="shared" si="34"/>
        <v>1.6660023145171658</v>
      </c>
      <c r="N1802" s="24">
        <v>32</v>
      </c>
      <c r="O1802" s="55">
        <v>429.18</v>
      </c>
      <c r="P1802" s="56">
        <v>485.34</v>
      </c>
      <c r="Q1802" s="56">
        <v>827.11</v>
      </c>
      <c r="R1802" s="57">
        <f t="shared" si="35"/>
        <v>1.7041867556764332</v>
      </c>
      <c r="S1802" s="23">
        <v>36</v>
      </c>
      <c r="T1802" s="53">
        <v>365.11</v>
      </c>
      <c r="U1802" s="53">
        <v>384.78</v>
      </c>
      <c r="V1802" s="53">
        <v>655.75</v>
      </c>
      <c r="W1802" s="57">
        <f t="shared" si="36"/>
        <v>1.7042205935859454</v>
      </c>
      <c r="X1802" s="47">
        <v>145</v>
      </c>
      <c r="Y1802" s="58">
        <v>325.12</v>
      </c>
      <c r="Z1802" s="58">
        <v>334.15</v>
      </c>
      <c r="AA1802" s="58">
        <v>569.45000000000005</v>
      </c>
      <c r="AB1802" s="57">
        <f t="shared" si="37"/>
        <v>1.7041747718090681</v>
      </c>
      <c r="AC1802" s="47">
        <v>137</v>
      </c>
      <c r="AD1802" s="57">
        <v>351.23</v>
      </c>
      <c r="AE1802" s="57">
        <v>367.86</v>
      </c>
      <c r="AF1802" s="57">
        <v>626.9</v>
      </c>
      <c r="AG1802" s="57">
        <f t="shared" si="38"/>
        <v>1.7041809384004782</v>
      </c>
      <c r="AH1802" s="47">
        <v>161</v>
      </c>
      <c r="AI1802">
        <v>364.49</v>
      </c>
      <c r="AJ1802">
        <v>366.11</v>
      </c>
      <c r="AK1802">
        <v>623.91999999999996</v>
      </c>
      <c r="AL1802" s="57">
        <f t="shared" si="15"/>
        <v>1.7041872661222035</v>
      </c>
      <c r="AM1802" s="59">
        <v>939</v>
      </c>
      <c r="AN1802" s="59">
        <f>SUMIFS(HIX_RatingAreas8[Silver Enrollments 2018],HIX_RatingAreas8[Area],HIX_SLCSP11[[#This Row],[Area Code]])</f>
        <v>895</v>
      </c>
      <c r="AO1802" s="59">
        <f>SUMIFS(HIX_RatingAreas8[Silver Enrollments 2019],HIX_RatingAreas8[Area],HIX_SLCSP11[[#This Row],[Area Code]])</f>
        <v>823</v>
      </c>
      <c r="AP1802" s="59">
        <f>SUMIFS(HIX_RatingAreas8[Silver Enrollments 2020],HIX_RatingAreas8[Area],HIX_SLCSP11[[#This Row],[Area Code]])</f>
        <v>861</v>
      </c>
      <c r="AQ1802" s="59">
        <f>SUMIFS(HIX_RatingAreas8[Silver Enrollments 2021],HIX_RatingAreas8[Area],HIX_SLCSP11[[#This Row],[Area Code]])</f>
        <v>781</v>
      </c>
      <c r="AR1802" s="59">
        <f>SUMIFS(HIX_RatingAreas8[Silver Enrollments 2022],HIX_RatingAreas8[Area],HIX_SLCSP11[[#This Row],[Area Code]])</f>
        <v>682</v>
      </c>
      <c r="AS1802" s="59">
        <f>SUMIFS(HIX_RatingAreas8[Silver Enrollments 2023],HIX_RatingAreas8[Area],HIX_SLCSP11[[#This Row],[Area Code]])</f>
        <v>682</v>
      </c>
      <c r="AT1802" s="59">
        <v>1163</v>
      </c>
      <c r="AU1802">
        <f t="shared" si="28"/>
        <v>6.6731466382374176E-4</v>
      </c>
      <c r="AV1802">
        <f>SUMIFS(HIX_RatingAreas8[QHP Enrollments 2018],HIX_RatingAreas8[Area],HIX_SLCSP11[[#This Row],[Area Code]])</f>
        <v>1193</v>
      </c>
      <c r="AW1802">
        <f t="shared" si="29"/>
        <v>6.9553516562831949E-4</v>
      </c>
      <c r="AX1802">
        <f>SUMIFS(HIX_RatingAreas8[QHP Enrollments 2019],HIX_RatingAreas8[Area],HIX_SLCSP11[[#This Row],[Area Code]])</f>
        <v>1156</v>
      </c>
      <c r="AY1802">
        <f t="shared" si="30"/>
        <v>6.482349616217986E-4</v>
      </c>
      <c r="AZ1802">
        <f>SUMIFS(HIX_RatingAreas8[QHP Enrollments 2020],HIX_RatingAreas8[Area],HIX_SLCSP11[[#This Row],[Area Code]])</f>
        <v>1261</v>
      </c>
      <c r="BA1802">
        <f t="shared" si="31"/>
        <v>6.5883828158675003E-4</v>
      </c>
      <c r="BB1802">
        <f>SUMIFS(HIX_RatingAreas8[QHP Enrollments 2021],HIX_RatingAreas8[Area],HIX_SLCSP11[[#This Row],[Area Code]])</f>
        <v>1368</v>
      </c>
      <c r="BC1802">
        <f t="shared" si="32"/>
        <v>6.4517650387907661E-4</v>
      </c>
      <c r="BD1802">
        <f>SUMIFS(HIX_RatingAreas8[QHP Enrollments 2022],HIX_RatingAreas8[Area],HIX_SLCSP11[[#This Row],[Area Code]])</f>
        <v>1463</v>
      </c>
      <c r="BE1802">
        <f t="shared" si="33"/>
        <v>5.3725651776986036E-4</v>
      </c>
      <c r="BF1802">
        <f>SUMIFS(HIX_RatingAreas8[QHP Enrollments 2023],HIX_RatingAreas8[Area],HIX_SLCSP11[[#This Row],[Area Code]])</f>
        <v>1463</v>
      </c>
      <c r="BG1802">
        <f t="shared" si="39"/>
        <v>5.3725651776986036E-4</v>
      </c>
      <c r="BH1802" s="53">
        <f>ROUND(HIX_SLCSP11[[#This Row],[Weighting Factor 2018]]*HIX_SLCSP11[[#This Row],[2018]],2)</f>
        <v>0.32</v>
      </c>
      <c r="BI1802" s="53">
        <f>ROUND(HIX_SLCSP11[[#This Row],[Weighting Factor 2019]]*HIX_SLCSP11[[#This Row],[2019]],2)</f>
        <v>0.31</v>
      </c>
      <c r="BJ1802" s="53">
        <f>ROUND(HIX_SLCSP11[[#This Row],[Weighting Factor 2020]]*HIX_SLCSP11[[#This Row],[2020]],2)</f>
        <v>0.25</v>
      </c>
      <c r="BK1802" s="53">
        <f>ROUND(HIX_SLCSP11[[#This Row],[Weighting Factor 2021]]*HIX_SLCSP11[[#This Row],[2021]],2)</f>
        <v>0.22</v>
      </c>
      <c r="BL1802" s="53">
        <f>ROUND(HIX_SLCSP11[[#This Row],[Weighting Factor 2022]]*HIX_SLCSP11[[#This Row],[2022]],2)</f>
        <v>0.2</v>
      </c>
      <c r="BM1802" s="53">
        <f>ROUND(HIX_SLCSP11[[#This Row],[Weighting Factor 2023]]*HIX_SLCSP11[[#This Row],[2023]],2)</f>
        <v>0.2</v>
      </c>
    </row>
    <row r="1803" spans="4:65" x14ac:dyDescent="0.35">
      <c r="D1803" t="s">
        <v>539</v>
      </c>
      <c r="E1803" t="s">
        <v>259</v>
      </c>
      <c r="F1803" s="23">
        <v>5</v>
      </c>
      <c r="G1803" s="23" t="s">
        <v>540</v>
      </c>
      <c r="H1803" s="23" t="s">
        <v>553</v>
      </c>
      <c r="I1803" s="23">
        <v>162</v>
      </c>
      <c r="J1803" s="53">
        <v>290.22000000000003</v>
      </c>
      <c r="K1803" s="53">
        <v>365.07</v>
      </c>
      <c r="L1803" s="53">
        <v>622.15</v>
      </c>
      <c r="M1803" s="54">
        <f t="shared" si="34"/>
        <v>1.7041937162735914</v>
      </c>
      <c r="N1803" s="24">
        <v>116</v>
      </c>
      <c r="O1803" s="55">
        <v>352</v>
      </c>
      <c r="P1803" s="56">
        <v>352.47</v>
      </c>
      <c r="Q1803" s="56">
        <v>600.67999999999995</v>
      </c>
      <c r="R1803" s="57">
        <f t="shared" si="35"/>
        <v>1.7042017760376766</v>
      </c>
      <c r="S1803" s="23">
        <v>162</v>
      </c>
      <c r="T1803" s="53">
        <v>274.02999999999997</v>
      </c>
      <c r="U1803" s="53">
        <v>350.16</v>
      </c>
      <c r="V1803" s="53">
        <v>596.75</v>
      </c>
      <c r="W1803" s="57">
        <f t="shared" si="36"/>
        <v>1.7042209275759652</v>
      </c>
      <c r="X1803" s="47">
        <v>209</v>
      </c>
      <c r="Y1803" s="58">
        <v>273.89</v>
      </c>
      <c r="Z1803" s="58">
        <v>279.02</v>
      </c>
      <c r="AA1803" s="58">
        <v>475.51</v>
      </c>
      <c r="AB1803" s="57">
        <f t="shared" si="37"/>
        <v>1.7042147516307076</v>
      </c>
      <c r="AC1803" s="47">
        <v>220</v>
      </c>
      <c r="AD1803" s="57">
        <v>270.77999999999997</v>
      </c>
      <c r="AE1803" s="57">
        <v>275.41000000000003</v>
      </c>
      <c r="AF1803" s="57">
        <v>469.35</v>
      </c>
      <c r="AG1803" s="57">
        <f t="shared" si="38"/>
        <v>1.7041864856032822</v>
      </c>
      <c r="AH1803" s="47">
        <v>243</v>
      </c>
      <c r="AI1803">
        <v>294.06</v>
      </c>
      <c r="AJ1803">
        <v>295.33999999999997</v>
      </c>
      <c r="AK1803">
        <v>503.31</v>
      </c>
      <c r="AL1803" s="57">
        <f t="shared" si="15"/>
        <v>1.7041714633981175</v>
      </c>
      <c r="AM1803" s="59">
        <v>28564</v>
      </c>
      <c r="AN1803" s="59">
        <f>SUMIFS(HIX_RatingAreas8[Silver Enrollments 2018],HIX_RatingAreas8[Area],HIX_SLCSP11[[#This Row],[Area Code]])</f>
        <v>19815</v>
      </c>
      <c r="AO1803" s="59">
        <f>SUMIFS(HIX_RatingAreas8[Silver Enrollments 2019],HIX_RatingAreas8[Area],HIX_SLCSP11[[#This Row],[Area Code]])</f>
        <v>16864</v>
      </c>
      <c r="AP1803" s="59">
        <f>SUMIFS(HIX_RatingAreas8[Silver Enrollments 2020],HIX_RatingAreas8[Area],HIX_SLCSP11[[#This Row],[Area Code]])</f>
        <v>16830</v>
      </c>
      <c r="AQ1803" s="59">
        <f>SUMIFS(HIX_RatingAreas8[Silver Enrollments 2021],HIX_RatingAreas8[Area],HIX_SLCSP11[[#This Row],[Area Code]])</f>
        <v>19060</v>
      </c>
      <c r="AR1803" s="59">
        <f>SUMIFS(HIX_RatingAreas8[Silver Enrollments 2022],HIX_RatingAreas8[Area],HIX_SLCSP11[[#This Row],[Area Code]])</f>
        <v>25247</v>
      </c>
      <c r="AS1803" s="59">
        <f>SUMIFS(HIX_RatingAreas8[Silver Enrollments 2023],HIX_RatingAreas8[Area],HIX_SLCSP11[[#This Row],[Area Code]])</f>
        <v>25247</v>
      </c>
      <c r="AT1803" s="59">
        <v>37779</v>
      </c>
      <c r="AU1803">
        <f t="shared" si="28"/>
        <v>2.1677111508681977E-2</v>
      </c>
      <c r="AV1803">
        <f>SUMIFS(HIX_RatingAreas8[QHP Enrollments 2018],HIX_RatingAreas8[Area],HIX_SLCSP11[[#This Row],[Area Code]])</f>
        <v>35327</v>
      </c>
      <c r="AW1803">
        <f t="shared" si="29"/>
        <v>2.0596119695013952E-2</v>
      </c>
      <c r="AX1803">
        <f>SUMIFS(HIX_RatingAreas8[QHP Enrollments 2019],HIX_RatingAreas8[Area],HIX_SLCSP11[[#This Row],[Area Code]])</f>
        <v>34500</v>
      </c>
      <c r="AY1803">
        <f t="shared" si="30"/>
        <v>1.9346112608955062E-2</v>
      </c>
      <c r="AZ1803">
        <f>SUMIFS(HIX_RatingAreas8[QHP Enrollments 2020],HIX_RatingAreas8[Area],HIX_SLCSP11[[#This Row],[Area Code]])</f>
        <v>34538</v>
      </c>
      <c r="BA1803">
        <f t="shared" si="31"/>
        <v>1.8045167779098474E-2</v>
      </c>
      <c r="BB1803">
        <f>SUMIFS(HIX_RatingAreas8[QHP Enrollments 2021],HIX_RatingAreas8[Area],HIX_SLCSP11[[#This Row],[Area Code]])</f>
        <v>37785</v>
      </c>
      <c r="BC1803">
        <f t="shared" si="32"/>
        <v>1.7820171198151248E-2</v>
      </c>
      <c r="BD1803">
        <f>SUMIFS(HIX_RatingAreas8[QHP Enrollments 2022],HIX_RatingAreas8[Area],HIX_SLCSP11[[#This Row],[Area Code]])</f>
        <v>49177</v>
      </c>
      <c r="BE1803">
        <f t="shared" si="33"/>
        <v>1.8059237029643488E-2</v>
      </c>
      <c r="BF1803">
        <f>SUMIFS(HIX_RatingAreas8[QHP Enrollments 2023],HIX_RatingAreas8[Area],HIX_SLCSP11[[#This Row],[Area Code]])</f>
        <v>49177</v>
      </c>
      <c r="BG1803">
        <f t="shared" si="39"/>
        <v>1.8059237029643488E-2</v>
      </c>
      <c r="BH1803" s="53">
        <f>ROUND(HIX_SLCSP11[[#This Row],[Weighting Factor 2018]]*HIX_SLCSP11[[#This Row],[2018]],2)</f>
        <v>7.52</v>
      </c>
      <c r="BI1803" s="53">
        <f>ROUND(HIX_SLCSP11[[#This Row],[Weighting Factor 2019]]*HIX_SLCSP11[[#This Row],[2019]],2)</f>
        <v>6.82</v>
      </c>
      <c r="BJ1803" s="53">
        <f>ROUND(HIX_SLCSP11[[#This Row],[Weighting Factor 2020]]*HIX_SLCSP11[[#This Row],[2020]],2)</f>
        <v>6.32</v>
      </c>
      <c r="BK1803" s="53">
        <f>ROUND(HIX_SLCSP11[[#This Row],[Weighting Factor 2021]]*HIX_SLCSP11[[#This Row],[2021]],2)</f>
        <v>4.97</v>
      </c>
      <c r="BL1803" s="53">
        <f>ROUND(HIX_SLCSP11[[#This Row],[Weighting Factor 2022]]*HIX_SLCSP11[[#This Row],[2022]],2)</f>
        <v>4.97</v>
      </c>
      <c r="BM1803" s="53">
        <f>ROUND(HIX_SLCSP11[[#This Row],[Weighting Factor 2023]]*HIX_SLCSP11[[#This Row],[2023]],2)</f>
        <v>5.33</v>
      </c>
    </row>
    <row r="1804" spans="4:65" x14ac:dyDescent="0.35">
      <c r="D1804" t="s">
        <v>539</v>
      </c>
      <c r="E1804" t="s">
        <v>265</v>
      </c>
      <c r="F1804" s="23">
        <v>6</v>
      </c>
      <c r="G1804" s="23" t="s">
        <v>540</v>
      </c>
      <c r="H1804" s="23" t="s">
        <v>556</v>
      </c>
      <c r="I1804" s="23">
        <v>137</v>
      </c>
      <c r="J1804" s="53">
        <v>282.39</v>
      </c>
      <c r="K1804" s="53">
        <v>349.24</v>
      </c>
      <c r="L1804" s="53">
        <v>595.16999999999996</v>
      </c>
      <c r="M1804" s="54">
        <f t="shared" si="34"/>
        <v>1.7041862329630053</v>
      </c>
      <c r="N1804" s="24">
        <v>100</v>
      </c>
      <c r="O1804" s="55">
        <v>357.36</v>
      </c>
      <c r="P1804" s="56">
        <v>363.39</v>
      </c>
      <c r="Q1804" s="56">
        <v>619.28</v>
      </c>
      <c r="R1804" s="57">
        <f t="shared" si="35"/>
        <v>1.7041745782767825</v>
      </c>
      <c r="S1804" s="23">
        <v>137</v>
      </c>
      <c r="T1804" s="53">
        <v>269.64</v>
      </c>
      <c r="U1804" s="53">
        <v>283.69</v>
      </c>
      <c r="V1804" s="53">
        <v>483.47</v>
      </c>
      <c r="W1804" s="57">
        <f t="shared" si="36"/>
        <v>1.7042193944093906</v>
      </c>
      <c r="X1804" s="47">
        <v>275</v>
      </c>
      <c r="Y1804" s="58">
        <v>275.67</v>
      </c>
      <c r="Z1804" s="58">
        <v>277.45999999999998</v>
      </c>
      <c r="AA1804" s="58">
        <v>472.86</v>
      </c>
      <c r="AB1804" s="57">
        <f t="shared" si="37"/>
        <v>1.7042456570316444</v>
      </c>
      <c r="AC1804" s="47">
        <v>414</v>
      </c>
      <c r="AD1804" s="57">
        <v>270.06</v>
      </c>
      <c r="AE1804" s="57">
        <v>273.7</v>
      </c>
      <c r="AF1804" s="57">
        <v>466.44</v>
      </c>
      <c r="AG1804" s="57">
        <f t="shared" si="38"/>
        <v>1.7042016806722691</v>
      </c>
      <c r="AH1804" s="47">
        <v>377</v>
      </c>
      <c r="AI1804">
        <v>276.64999999999998</v>
      </c>
      <c r="AJ1804">
        <v>289.42</v>
      </c>
      <c r="AK1804">
        <v>493.23</v>
      </c>
      <c r="AL1804" s="57">
        <f t="shared" si="15"/>
        <v>1.7042015064611982</v>
      </c>
      <c r="AM1804" s="59">
        <v>190594</v>
      </c>
      <c r="AN1804" s="59">
        <f>SUMIFS(HIX_RatingAreas8[Silver Enrollments 2018],HIX_RatingAreas8[Area],HIX_SLCSP11[[#This Row],[Area Code]])</f>
        <v>166761</v>
      </c>
      <c r="AO1804" s="59">
        <f>SUMIFS(HIX_RatingAreas8[Silver Enrollments 2019],HIX_RatingAreas8[Area],HIX_SLCSP11[[#This Row],[Area Code]])</f>
        <v>173578</v>
      </c>
      <c r="AP1804" s="59">
        <f>SUMIFS(HIX_RatingAreas8[Silver Enrollments 2020],HIX_RatingAreas8[Area],HIX_SLCSP11[[#This Row],[Area Code]])</f>
        <v>179658</v>
      </c>
      <c r="AQ1804" s="59">
        <f>SUMIFS(HIX_RatingAreas8[Silver Enrollments 2021],HIX_RatingAreas8[Area],HIX_SLCSP11[[#This Row],[Area Code]])</f>
        <v>186348</v>
      </c>
      <c r="AR1804" s="59">
        <f>SUMIFS(HIX_RatingAreas8[Silver Enrollments 2022],HIX_RatingAreas8[Area],HIX_SLCSP11[[#This Row],[Area Code]])</f>
        <v>235550</v>
      </c>
      <c r="AS1804" s="59">
        <f>SUMIFS(HIX_RatingAreas8[Silver Enrollments 2023],HIX_RatingAreas8[Area],HIX_SLCSP11[[#This Row],[Area Code]])</f>
        <v>235550</v>
      </c>
      <c r="AT1804" s="59">
        <v>241784</v>
      </c>
      <c r="AU1804">
        <f t="shared" si="28"/>
        <v>0.13873259559583798</v>
      </c>
      <c r="AV1804">
        <f>SUMIFS(HIX_RatingAreas8[QHP Enrollments 2018],HIX_RatingAreas8[Area],HIX_SLCSP11[[#This Row],[Area Code]])</f>
        <v>234419</v>
      </c>
      <c r="AW1804">
        <f t="shared" si="29"/>
        <v>0.13666945347143758</v>
      </c>
      <c r="AX1804">
        <f>SUMIFS(HIX_RatingAreas8[QHP Enrollments 2019],HIX_RatingAreas8[Area],HIX_SLCSP11[[#This Row],[Area Code]])</f>
        <v>242609</v>
      </c>
      <c r="AY1804">
        <f t="shared" si="30"/>
        <v>0.13604466765060808</v>
      </c>
      <c r="AZ1804">
        <f>SUMIFS(HIX_RatingAreas8[QHP Enrollments 2020],HIX_RatingAreas8[Area],HIX_SLCSP11[[#This Row],[Area Code]])</f>
        <v>258954</v>
      </c>
      <c r="BA1804">
        <f t="shared" si="31"/>
        <v>0.13529643804124925</v>
      </c>
      <c r="BB1804">
        <f>SUMIFS(HIX_RatingAreas8[QHP Enrollments 2021],HIX_RatingAreas8[Area],HIX_SLCSP11[[#This Row],[Area Code]])</f>
        <v>280963</v>
      </c>
      <c r="BC1804">
        <f t="shared" si="32"/>
        <v>0.13250784068667909</v>
      </c>
      <c r="BD1804">
        <f>SUMIFS(HIX_RatingAreas8[QHP Enrollments 2022],HIX_RatingAreas8[Area],HIX_SLCSP11[[#This Row],[Area Code]])</f>
        <v>349201</v>
      </c>
      <c r="BE1804">
        <f t="shared" si="33"/>
        <v>0.12823685117002939</v>
      </c>
      <c r="BF1804">
        <f>SUMIFS(HIX_RatingAreas8[QHP Enrollments 2023],HIX_RatingAreas8[Area],HIX_SLCSP11[[#This Row],[Area Code]])</f>
        <v>349201</v>
      </c>
      <c r="BG1804">
        <f t="shared" si="39"/>
        <v>0.12823685117002939</v>
      </c>
      <c r="BH1804" s="53">
        <f>ROUND(HIX_SLCSP11[[#This Row],[Weighting Factor 2018]]*HIX_SLCSP11[[#This Row],[2018]],2)</f>
        <v>47.73</v>
      </c>
      <c r="BI1804" s="53">
        <f>ROUND(HIX_SLCSP11[[#This Row],[Weighting Factor 2019]]*HIX_SLCSP11[[#This Row],[2019]],2)</f>
        <v>49.44</v>
      </c>
      <c r="BJ1804" s="53">
        <f>ROUND(HIX_SLCSP11[[#This Row],[Weighting Factor 2020]]*HIX_SLCSP11[[#This Row],[2020]],2)</f>
        <v>38.380000000000003</v>
      </c>
      <c r="BK1804" s="53">
        <f>ROUND(HIX_SLCSP11[[#This Row],[Weighting Factor 2021]]*HIX_SLCSP11[[#This Row],[2021]],2)</f>
        <v>36.770000000000003</v>
      </c>
      <c r="BL1804" s="53">
        <f>ROUND(HIX_SLCSP11[[#This Row],[Weighting Factor 2022]]*HIX_SLCSP11[[#This Row],[2022]],2)</f>
        <v>35.1</v>
      </c>
      <c r="BM1804" s="53">
        <f>ROUND(HIX_SLCSP11[[#This Row],[Weighting Factor 2023]]*HIX_SLCSP11[[#This Row],[2023]],2)</f>
        <v>37.11</v>
      </c>
    </row>
    <row r="1805" spans="4:65" x14ac:dyDescent="0.35">
      <c r="D1805" t="s">
        <v>539</v>
      </c>
      <c r="E1805" t="s">
        <v>273</v>
      </c>
      <c r="F1805" s="23">
        <v>7</v>
      </c>
      <c r="G1805" s="23" t="s">
        <v>540</v>
      </c>
      <c r="H1805" s="23" t="s">
        <v>559</v>
      </c>
      <c r="I1805" s="23">
        <v>16</v>
      </c>
      <c r="J1805" s="53">
        <v>451.45</v>
      </c>
      <c r="K1805" s="53">
        <v>590.42999999999995</v>
      </c>
      <c r="L1805" s="53">
        <v>1006.21</v>
      </c>
      <c r="M1805" s="54">
        <f t="shared" si="34"/>
        <v>1.7041986348932137</v>
      </c>
      <c r="N1805" s="24">
        <v>16</v>
      </c>
      <c r="O1805" s="55">
        <v>523.9</v>
      </c>
      <c r="P1805" s="56">
        <v>566.29999999999995</v>
      </c>
      <c r="Q1805" s="56">
        <v>965.08</v>
      </c>
      <c r="R1805" s="57">
        <f t="shared" si="35"/>
        <v>1.704185060921773</v>
      </c>
      <c r="S1805" s="23">
        <v>16</v>
      </c>
      <c r="T1805" s="53">
        <v>501.87</v>
      </c>
      <c r="U1805" s="53">
        <v>541.35</v>
      </c>
      <c r="V1805" s="53">
        <v>922.58</v>
      </c>
      <c r="W1805" s="57">
        <f t="shared" si="36"/>
        <v>1.704220929158585</v>
      </c>
      <c r="X1805" s="47">
        <v>102</v>
      </c>
      <c r="Y1805" s="58">
        <v>316.51</v>
      </c>
      <c r="Z1805" s="58">
        <v>325.29000000000002</v>
      </c>
      <c r="AA1805" s="58">
        <v>554.36</v>
      </c>
      <c r="AB1805" s="57">
        <f t="shared" si="37"/>
        <v>1.7042024040087307</v>
      </c>
      <c r="AC1805" s="47">
        <v>97</v>
      </c>
      <c r="AD1805" s="57">
        <v>329.44</v>
      </c>
      <c r="AE1805" s="57">
        <v>345.04</v>
      </c>
      <c r="AF1805" s="57">
        <v>588.01</v>
      </c>
      <c r="AG1805" s="57">
        <f t="shared" si="38"/>
        <v>1.7041792255970321</v>
      </c>
      <c r="AH1805" s="47">
        <v>117</v>
      </c>
      <c r="AI1805">
        <v>320.12</v>
      </c>
      <c r="AJ1805">
        <v>321.52</v>
      </c>
      <c r="AK1805">
        <v>547.94000000000005</v>
      </c>
      <c r="AL1805" s="57">
        <f t="shared" si="15"/>
        <v>1.7042174670316002</v>
      </c>
      <c r="AM1805" s="59">
        <v>391</v>
      </c>
      <c r="AN1805" s="59">
        <f>SUMIFS(HIX_RatingAreas8[Silver Enrollments 2018],HIX_RatingAreas8[Area],HIX_SLCSP11[[#This Row],[Area Code]])</f>
        <v>389</v>
      </c>
      <c r="AO1805" s="59">
        <f>SUMIFS(HIX_RatingAreas8[Silver Enrollments 2019],HIX_RatingAreas8[Area],HIX_SLCSP11[[#This Row],[Area Code]])</f>
        <v>369</v>
      </c>
      <c r="AP1805" s="59">
        <f>SUMIFS(HIX_RatingAreas8[Silver Enrollments 2020],HIX_RatingAreas8[Area],HIX_SLCSP11[[#This Row],[Area Code]])</f>
        <v>374</v>
      </c>
      <c r="AQ1805" s="59">
        <f>SUMIFS(HIX_RatingAreas8[Silver Enrollments 2021],HIX_RatingAreas8[Area],HIX_SLCSP11[[#This Row],[Area Code]])</f>
        <v>280</v>
      </c>
      <c r="AR1805" s="59">
        <f>SUMIFS(HIX_RatingAreas8[Silver Enrollments 2022],HIX_RatingAreas8[Area],HIX_SLCSP11[[#This Row],[Area Code]])</f>
        <v>205</v>
      </c>
      <c r="AS1805" s="59">
        <f>SUMIFS(HIX_RatingAreas8[Silver Enrollments 2023],HIX_RatingAreas8[Area],HIX_SLCSP11[[#This Row],[Area Code]])</f>
        <v>205</v>
      </c>
      <c r="AT1805" s="59">
        <v>503</v>
      </c>
      <c r="AU1805">
        <f t="shared" si="28"/>
        <v>2.8861502657209119E-4</v>
      </c>
      <c r="AV1805">
        <f>SUMIFS(HIX_RatingAreas8[QHP Enrollments 2018],HIX_RatingAreas8[Area],HIX_SLCSP11[[#This Row],[Area Code]])</f>
        <v>541</v>
      </c>
      <c r="AW1805">
        <f t="shared" si="29"/>
        <v>3.154103307669077E-4</v>
      </c>
      <c r="AX1805">
        <f>SUMIFS(HIX_RatingAreas8[QHP Enrollments 2019],HIX_RatingAreas8[Area],HIX_SLCSP11[[#This Row],[Area Code]])</f>
        <v>545</v>
      </c>
      <c r="AY1805">
        <f t="shared" si="30"/>
        <v>3.0561250353276841E-4</v>
      </c>
      <c r="AZ1805">
        <f>SUMIFS(HIX_RatingAreas8[QHP Enrollments 2020],HIX_RatingAreas8[Area],HIX_SLCSP11[[#This Row],[Area Code]])</f>
        <v>587</v>
      </c>
      <c r="BA1805">
        <f t="shared" si="31"/>
        <v>3.0669157120652045E-4</v>
      </c>
      <c r="BB1805">
        <f>SUMIFS(HIX_RatingAreas8[QHP Enrollments 2021],HIX_RatingAreas8[Area],HIX_SLCSP11[[#This Row],[Area Code]])</f>
        <v>630</v>
      </c>
      <c r="BC1805">
        <f t="shared" si="32"/>
        <v>2.9712075836536421E-4</v>
      </c>
      <c r="BD1805">
        <f>SUMIFS(HIX_RatingAreas8[QHP Enrollments 2022],HIX_RatingAreas8[Area],HIX_SLCSP11[[#This Row],[Area Code]])</f>
        <v>730</v>
      </c>
      <c r="BE1805">
        <f t="shared" si="33"/>
        <v>2.6807741488174851E-4</v>
      </c>
      <c r="BF1805">
        <f>SUMIFS(HIX_RatingAreas8[QHP Enrollments 2023],HIX_RatingAreas8[Area],HIX_SLCSP11[[#This Row],[Area Code]])</f>
        <v>730</v>
      </c>
      <c r="BG1805">
        <f t="shared" si="39"/>
        <v>2.6807741488174851E-4</v>
      </c>
      <c r="BH1805" s="53">
        <f>ROUND(HIX_SLCSP11[[#This Row],[Weighting Factor 2018]]*HIX_SLCSP11[[#This Row],[2018]],2)</f>
        <v>0.19</v>
      </c>
      <c r="BI1805" s="53">
        <f>ROUND(HIX_SLCSP11[[#This Row],[Weighting Factor 2019]]*HIX_SLCSP11[[#This Row],[2019]],2)</f>
        <v>0.17</v>
      </c>
      <c r="BJ1805" s="53">
        <f>ROUND(HIX_SLCSP11[[#This Row],[Weighting Factor 2020]]*HIX_SLCSP11[[#This Row],[2020]],2)</f>
        <v>0.17</v>
      </c>
      <c r="BK1805" s="53">
        <f>ROUND(HIX_SLCSP11[[#This Row],[Weighting Factor 2021]]*HIX_SLCSP11[[#This Row],[2021]],2)</f>
        <v>0.1</v>
      </c>
      <c r="BL1805" s="53">
        <f>ROUND(HIX_SLCSP11[[#This Row],[Weighting Factor 2022]]*HIX_SLCSP11[[#This Row],[2022]],2)</f>
        <v>0.09</v>
      </c>
      <c r="BM1805" s="53">
        <f>ROUND(HIX_SLCSP11[[#This Row],[Weighting Factor 2023]]*HIX_SLCSP11[[#This Row],[2023]],2)</f>
        <v>0.09</v>
      </c>
    </row>
    <row r="1806" spans="4:65" x14ac:dyDescent="0.35">
      <c r="D1806" t="s">
        <v>539</v>
      </c>
      <c r="E1806" t="s">
        <v>279</v>
      </c>
      <c r="F1806" s="23">
        <v>8</v>
      </c>
      <c r="G1806" s="23" t="s">
        <v>540</v>
      </c>
      <c r="H1806" s="23" t="s">
        <v>561</v>
      </c>
      <c r="I1806" s="23">
        <v>120</v>
      </c>
      <c r="J1806" s="53">
        <v>308.07</v>
      </c>
      <c r="K1806" s="53">
        <v>341.45</v>
      </c>
      <c r="L1806" s="53">
        <v>581.91</v>
      </c>
      <c r="M1806" s="54">
        <f t="shared" si="34"/>
        <v>1.7042319519695417</v>
      </c>
      <c r="N1806" s="24">
        <v>96</v>
      </c>
      <c r="O1806" s="55">
        <v>354.79</v>
      </c>
      <c r="P1806" s="56">
        <v>360.18</v>
      </c>
      <c r="Q1806" s="56">
        <v>613.80999999999995</v>
      </c>
      <c r="R1806" s="57">
        <f t="shared" si="35"/>
        <v>1.7041756899328111</v>
      </c>
      <c r="S1806" s="23">
        <v>120</v>
      </c>
      <c r="T1806" s="53">
        <v>271.75</v>
      </c>
      <c r="U1806" s="53">
        <v>295.13</v>
      </c>
      <c r="V1806" s="53">
        <v>502.96</v>
      </c>
      <c r="W1806" s="57">
        <f t="shared" si="36"/>
        <v>1.7041981499678107</v>
      </c>
      <c r="X1806" s="47">
        <v>184</v>
      </c>
      <c r="Y1806" s="58">
        <v>257.2</v>
      </c>
      <c r="Z1806" s="58">
        <v>262.48</v>
      </c>
      <c r="AA1806" s="58">
        <v>447.32</v>
      </c>
      <c r="AB1806" s="57">
        <f t="shared" si="37"/>
        <v>1.7042060347455044</v>
      </c>
      <c r="AC1806" s="47">
        <v>232</v>
      </c>
      <c r="AD1806" s="57">
        <v>253.7</v>
      </c>
      <c r="AE1806" s="57">
        <v>254.85</v>
      </c>
      <c r="AF1806" s="57">
        <v>434.31</v>
      </c>
      <c r="AG1806" s="57">
        <f t="shared" si="38"/>
        <v>1.7041789287816362</v>
      </c>
      <c r="AH1806" s="47">
        <v>193</v>
      </c>
      <c r="AI1806">
        <v>285.64</v>
      </c>
      <c r="AJ1806">
        <v>288.94</v>
      </c>
      <c r="AK1806">
        <v>492.42</v>
      </c>
      <c r="AL1806" s="57">
        <f t="shared" si="15"/>
        <v>1.7042292517477677</v>
      </c>
      <c r="AM1806" s="59">
        <v>8627</v>
      </c>
      <c r="AN1806" s="59">
        <f>SUMIFS(HIX_RatingAreas8[Silver Enrollments 2018],HIX_RatingAreas8[Area],HIX_SLCSP11[[#This Row],[Area Code]])</f>
        <v>5239</v>
      </c>
      <c r="AO1806" s="59">
        <f>SUMIFS(HIX_RatingAreas8[Silver Enrollments 2019],HIX_RatingAreas8[Area],HIX_SLCSP11[[#This Row],[Area Code]])</f>
        <v>4988</v>
      </c>
      <c r="AP1806" s="59">
        <f>SUMIFS(HIX_RatingAreas8[Silver Enrollments 2020],HIX_RatingAreas8[Area],HIX_SLCSP11[[#This Row],[Area Code]])</f>
        <v>5217</v>
      </c>
      <c r="AQ1806" s="59">
        <f>SUMIFS(HIX_RatingAreas8[Silver Enrollments 2021],HIX_RatingAreas8[Area],HIX_SLCSP11[[#This Row],[Area Code]])</f>
        <v>5167</v>
      </c>
      <c r="AR1806" s="59">
        <f>SUMIFS(HIX_RatingAreas8[Silver Enrollments 2022],HIX_RatingAreas8[Area],HIX_SLCSP11[[#This Row],[Area Code]])</f>
        <v>7007</v>
      </c>
      <c r="AS1806" s="59">
        <f>SUMIFS(HIX_RatingAreas8[Silver Enrollments 2023],HIX_RatingAreas8[Area],HIX_SLCSP11[[#This Row],[Area Code]])</f>
        <v>7007</v>
      </c>
      <c r="AT1806" s="59">
        <v>11451</v>
      </c>
      <c r="AU1806">
        <f t="shared" si="28"/>
        <v>6.5704387063161363E-3</v>
      </c>
      <c r="AV1806">
        <f>SUMIFS(HIX_RatingAreas8[QHP Enrollments 2018],HIX_RatingAreas8[Area],HIX_SLCSP11[[#This Row],[Area Code]])</f>
        <v>9945</v>
      </c>
      <c r="AW1806">
        <f t="shared" si="29"/>
        <v>5.7980697587373328E-3</v>
      </c>
      <c r="AX1806">
        <f>SUMIFS(HIX_RatingAreas8[QHP Enrollments 2019],HIX_RatingAreas8[Area],HIX_SLCSP11[[#This Row],[Area Code]])</f>
        <v>9700</v>
      </c>
      <c r="AY1806">
        <f t="shared" si="30"/>
        <v>5.439341805996061E-3</v>
      </c>
      <c r="AZ1806">
        <f>SUMIFS(HIX_RatingAreas8[QHP Enrollments 2020],HIX_RatingAreas8[Area],HIX_SLCSP11[[#This Row],[Area Code]])</f>
        <v>9953</v>
      </c>
      <c r="BA1806">
        <f t="shared" si="31"/>
        <v>5.2001724160451413E-3</v>
      </c>
      <c r="BB1806">
        <f>SUMIFS(HIX_RatingAreas8[QHP Enrollments 2021],HIX_RatingAreas8[Area],HIX_SLCSP11[[#This Row],[Area Code]])</f>
        <v>10725</v>
      </c>
      <c r="BC1806">
        <f t="shared" si="32"/>
        <v>5.0581271959817958E-3</v>
      </c>
      <c r="BD1806">
        <f>SUMIFS(HIX_RatingAreas8[QHP Enrollments 2022],HIX_RatingAreas8[Area],HIX_SLCSP11[[#This Row],[Area Code]])</f>
        <v>14452</v>
      </c>
      <c r="BE1806">
        <f t="shared" si="33"/>
        <v>5.3071983559877106E-3</v>
      </c>
      <c r="BF1806">
        <f>SUMIFS(HIX_RatingAreas8[QHP Enrollments 2023],HIX_RatingAreas8[Area],HIX_SLCSP11[[#This Row],[Area Code]])</f>
        <v>14452</v>
      </c>
      <c r="BG1806">
        <f t="shared" si="39"/>
        <v>5.3071983559877106E-3</v>
      </c>
      <c r="BH1806" s="53">
        <f>ROUND(HIX_SLCSP11[[#This Row],[Weighting Factor 2018]]*HIX_SLCSP11[[#This Row],[2018]],2)</f>
        <v>1.98</v>
      </c>
      <c r="BI1806" s="53">
        <f>ROUND(HIX_SLCSP11[[#This Row],[Weighting Factor 2019]]*HIX_SLCSP11[[#This Row],[2019]],2)</f>
        <v>1.96</v>
      </c>
      <c r="BJ1806" s="53">
        <f>ROUND(HIX_SLCSP11[[#This Row],[Weighting Factor 2020]]*HIX_SLCSP11[[#This Row],[2020]],2)</f>
        <v>1.53</v>
      </c>
      <c r="BK1806" s="53">
        <f>ROUND(HIX_SLCSP11[[#This Row],[Weighting Factor 2021]]*HIX_SLCSP11[[#This Row],[2021]],2)</f>
        <v>1.33</v>
      </c>
      <c r="BL1806" s="53">
        <f>ROUND(HIX_SLCSP11[[#This Row],[Weighting Factor 2022]]*HIX_SLCSP11[[#This Row],[2022]],2)</f>
        <v>1.35</v>
      </c>
      <c r="BM1806" s="53">
        <f>ROUND(HIX_SLCSP11[[#This Row],[Weighting Factor 2023]]*HIX_SLCSP11[[#This Row],[2023]],2)</f>
        <v>1.53</v>
      </c>
    </row>
    <row r="1807" spans="4:65" x14ac:dyDescent="0.35">
      <c r="D1807" t="s">
        <v>539</v>
      </c>
      <c r="E1807" t="s">
        <v>283</v>
      </c>
      <c r="F1807" s="23">
        <v>9</v>
      </c>
      <c r="G1807" s="23" t="s">
        <v>540</v>
      </c>
      <c r="H1807" s="23" t="s">
        <v>564</v>
      </c>
      <c r="I1807" s="23">
        <v>120</v>
      </c>
      <c r="J1807" s="53">
        <v>313.07</v>
      </c>
      <c r="K1807" s="53">
        <v>338.64</v>
      </c>
      <c r="L1807" s="53">
        <v>577.11</v>
      </c>
      <c r="M1807" s="54">
        <f t="shared" si="34"/>
        <v>1.7041991495393338</v>
      </c>
      <c r="N1807" s="24">
        <v>96</v>
      </c>
      <c r="O1807" s="55">
        <v>354.05</v>
      </c>
      <c r="P1807" s="56">
        <v>360.02</v>
      </c>
      <c r="Q1807" s="56">
        <v>613.54999999999995</v>
      </c>
      <c r="R1807" s="57">
        <f t="shared" si="35"/>
        <v>1.7042108771734903</v>
      </c>
      <c r="S1807" s="23">
        <v>120</v>
      </c>
      <c r="T1807" s="53">
        <v>280.77999999999997</v>
      </c>
      <c r="U1807" s="53">
        <v>291.22000000000003</v>
      </c>
      <c r="V1807" s="53">
        <v>496.29</v>
      </c>
      <c r="W1807" s="57">
        <f t="shared" si="36"/>
        <v>1.7041755373944096</v>
      </c>
      <c r="X1807" s="47">
        <v>185</v>
      </c>
      <c r="Y1807" s="58">
        <v>263.87</v>
      </c>
      <c r="Z1807" s="58">
        <v>263.88</v>
      </c>
      <c r="AA1807" s="58">
        <v>449.7</v>
      </c>
      <c r="AB1807" s="57">
        <f t="shared" si="37"/>
        <v>1.7041837198726695</v>
      </c>
      <c r="AC1807" s="47">
        <v>204</v>
      </c>
      <c r="AD1807" s="57">
        <v>262.23</v>
      </c>
      <c r="AE1807" s="57">
        <v>263.07</v>
      </c>
      <c r="AF1807" s="57">
        <v>448.32</v>
      </c>
      <c r="AG1807" s="57">
        <f t="shared" si="38"/>
        <v>1.704185197856084</v>
      </c>
      <c r="AH1807" s="47">
        <v>186</v>
      </c>
      <c r="AI1807">
        <v>299.27</v>
      </c>
      <c r="AJ1807">
        <v>343.65</v>
      </c>
      <c r="AK1807">
        <v>585.65</v>
      </c>
      <c r="AL1807" s="57">
        <f t="shared" si="15"/>
        <v>1.7042048595955188</v>
      </c>
      <c r="AM1807" s="59">
        <v>8033</v>
      </c>
      <c r="AN1807" s="59">
        <f>SUMIFS(HIX_RatingAreas8[Silver Enrollments 2018],HIX_RatingAreas8[Area],HIX_SLCSP11[[#This Row],[Area Code]])</f>
        <v>4838</v>
      </c>
      <c r="AO1807" s="59">
        <f>SUMIFS(HIX_RatingAreas8[Silver Enrollments 2019],HIX_RatingAreas8[Area],HIX_SLCSP11[[#This Row],[Area Code]])</f>
        <v>4460</v>
      </c>
      <c r="AP1807" s="59">
        <f>SUMIFS(HIX_RatingAreas8[Silver Enrollments 2020],HIX_RatingAreas8[Area],HIX_SLCSP11[[#This Row],[Area Code]])</f>
        <v>4731</v>
      </c>
      <c r="AQ1807" s="59">
        <f>SUMIFS(HIX_RatingAreas8[Silver Enrollments 2021],HIX_RatingAreas8[Area],HIX_SLCSP11[[#This Row],[Area Code]])</f>
        <v>4539</v>
      </c>
      <c r="AR1807" s="59">
        <f>SUMIFS(HIX_RatingAreas8[Silver Enrollments 2022],HIX_RatingAreas8[Area],HIX_SLCSP11[[#This Row],[Area Code]])</f>
        <v>6066</v>
      </c>
      <c r="AS1807" s="59">
        <f>SUMIFS(HIX_RatingAreas8[Silver Enrollments 2023],HIX_RatingAreas8[Area],HIX_SLCSP11[[#This Row],[Area Code]])</f>
        <v>6066</v>
      </c>
      <c r="AT1807" s="59">
        <v>10017</v>
      </c>
      <c r="AU1807">
        <f t="shared" si="28"/>
        <v>5.7476276762875502E-3</v>
      </c>
      <c r="AV1807">
        <f>SUMIFS(HIX_RatingAreas8[QHP Enrollments 2018],HIX_RatingAreas8[Area],HIX_SLCSP11[[#This Row],[Area Code]])</f>
        <v>8826</v>
      </c>
      <c r="AW1807">
        <f t="shared" si="29"/>
        <v>5.1456775958386826E-3</v>
      </c>
      <c r="AX1807">
        <f>SUMIFS(HIX_RatingAreas8[QHP Enrollments 2019],HIX_RatingAreas8[Area],HIX_SLCSP11[[#This Row],[Area Code]])</f>
        <v>8619</v>
      </c>
      <c r="AY1807">
        <f t="shared" si="30"/>
        <v>4.8331636109154689E-3</v>
      </c>
      <c r="AZ1807">
        <f>SUMIFS(HIX_RatingAreas8[QHP Enrollments 2020],HIX_RatingAreas8[Area],HIX_SLCSP11[[#This Row],[Area Code]])</f>
        <v>8754</v>
      </c>
      <c r="BA1807">
        <f t="shared" si="31"/>
        <v>4.5737274520304605E-3</v>
      </c>
      <c r="BB1807">
        <f>SUMIFS(HIX_RatingAreas8[QHP Enrollments 2021],HIX_RatingAreas8[Area],HIX_SLCSP11[[#This Row],[Area Code]])</f>
        <v>9119</v>
      </c>
      <c r="BC1807">
        <f t="shared" si="32"/>
        <v>4.3007050722758036E-3</v>
      </c>
      <c r="BD1807">
        <f>SUMIFS(HIX_RatingAreas8[QHP Enrollments 2022],HIX_RatingAreas8[Area],HIX_SLCSP11[[#This Row],[Area Code]])</f>
        <v>11665</v>
      </c>
      <c r="BE1807">
        <f t="shared" si="33"/>
        <v>4.2837301980761591E-3</v>
      </c>
      <c r="BF1807">
        <f>SUMIFS(HIX_RatingAreas8[QHP Enrollments 2023],HIX_RatingAreas8[Area],HIX_SLCSP11[[#This Row],[Area Code]])</f>
        <v>11665</v>
      </c>
      <c r="BG1807">
        <f t="shared" si="39"/>
        <v>4.2837301980761591E-3</v>
      </c>
      <c r="BH1807" s="53">
        <f>ROUND(HIX_SLCSP11[[#This Row],[Weighting Factor 2018]]*HIX_SLCSP11[[#This Row],[2018]],2)</f>
        <v>1.74</v>
      </c>
      <c r="BI1807" s="53">
        <f>ROUND(HIX_SLCSP11[[#This Row],[Weighting Factor 2019]]*HIX_SLCSP11[[#This Row],[2019]],2)</f>
        <v>1.74</v>
      </c>
      <c r="BJ1807" s="53">
        <f>ROUND(HIX_SLCSP11[[#This Row],[Weighting Factor 2020]]*HIX_SLCSP11[[#This Row],[2020]],2)</f>
        <v>1.33</v>
      </c>
      <c r="BK1807" s="53">
        <f>ROUND(HIX_SLCSP11[[#This Row],[Weighting Factor 2021]]*HIX_SLCSP11[[#This Row],[2021]],2)</f>
        <v>1.1299999999999999</v>
      </c>
      <c r="BL1807" s="53">
        <f>ROUND(HIX_SLCSP11[[#This Row],[Weighting Factor 2022]]*HIX_SLCSP11[[#This Row],[2022]],2)</f>
        <v>1.1299999999999999</v>
      </c>
      <c r="BM1807" s="53">
        <f>ROUND(HIX_SLCSP11[[#This Row],[Weighting Factor 2023]]*HIX_SLCSP11[[#This Row],[2023]],2)</f>
        <v>1.47</v>
      </c>
    </row>
    <row r="1808" spans="4:65" x14ac:dyDescent="0.35">
      <c r="D1808" t="s">
        <v>539</v>
      </c>
      <c r="E1808" t="s">
        <v>289</v>
      </c>
      <c r="F1808" s="23">
        <v>10</v>
      </c>
      <c r="G1808" s="23" t="s">
        <v>540</v>
      </c>
      <c r="H1808" s="23" t="s">
        <v>567</v>
      </c>
      <c r="I1808" s="23">
        <v>122</v>
      </c>
      <c r="J1808" s="53">
        <v>310.57</v>
      </c>
      <c r="K1808" s="53">
        <v>370.14</v>
      </c>
      <c r="L1808" s="53">
        <v>630.78</v>
      </c>
      <c r="M1808" s="54">
        <f t="shared" si="34"/>
        <v>1.7041659912465554</v>
      </c>
      <c r="N1808" s="24">
        <v>96</v>
      </c>
      <c r="O1808" s="55">
        <v>363.62</v>
      </c>
      <c r="P1808" s="56">
        <v>378.32</v>
      </c>
      <c r="Q1808" s="56">
        <v>644.73</v>
      </c>
      <c r="R1808" s="57">
        <f t="shared" si="35"/>
        <v>1.7041922182279552</v>
      </c>
      <c r="S1808" s="23">
        <v>122</v>
      </c>
      <c r="T1808" s="53">
        <v>303.10000000000002</v>
      </c>
      <c r="U1808" s="53">
        <v>309.13</v>
      </c>
      <c r="V1808" s="53">
        <v>526.82000000000005</v>
      </c>
      <c r="W1808" s="57">
        <f t="shared" si="36"/>
        <v>1.7042021156147902</v>
      </c>
      <c r="X1808" s="47">
        <v>246</v>
      </c>
      <c r="Y1808" s="58">
        <v>290.25</v>
      </c>
      <c r="Z1808" s="58">
        <v>298.36</v>
      </c>
      <c r="AA1808" s="58">
        <v>508.46</v>
      </c>
      <c r="AB1808" s="57">
        <f t="shared" si="37"/>
        <v>1.7041828663359697</v>
      </c>
      <c r="AC1808" s="47">
        <v>284</v>
      </c>
      <c r="AD1808" s="57">
        <v>290.3</v>
      </c>
      <c r="AE1808" s="57">
        <v>299.39999999999998</v>
      </c>
      <c r="AF1808" s="57">
        <v>510.24</v>
      </c>
      <c r="AG1808" s="57">
        <f t="shared" si="38"/>
        <v>1.7042084168336675</v>
      </c>
      <c r="AH1808" s="47">
        <v>258</v>
      </c>
      <c r="AI1808">
        <v>306.72000000000003</v>
      </c>
      <c r="AJ1808">
        <v>326.16000000000003</v>
      </c>
      <c r="AK1808">
        <v>555.84</v>
      </c>
      <c r="AL1808" s="57">
        <f t="shared" si="15"/>
        <v>1.7041942604856513</v>
      </c>
      <c r="AM1808" s="59">
        <v>7912</v>
      </c>
      <c r="AN1808" s="59">
        <f>SUMIFS(HIX_RatingAreas8[Silver Enrollments 2018],HIX_RatingAreas8[Area],HIX_SLCSP11[[#This Row],[Area Code]])</f>
        <v>5692</v>
      </c>
      <c r="AO1808" s="59">
        <f>SUMIFS(HIX_RatingAreas8[Silver Enrollments 2019],HIX_RatingAreas8[Area],HIX_SLCSP11[[#This Row],[Area Code]])</f>
        <v>5591</v>
      </c>
      <c r="AP1808" s="59">
        <f>SUMIFS(HIX_RatingAreas8[Silver Enrollments 2020],HIX_RatingAreas8[Area],HIX_SLCSP11[[#This Row],[Area Code]])</f>
        <v>5896</v>
      </c>
      <c r="AQ1808" s="59">
        <f>SUMIFS(HIX_RatingAreas8[Silver Enrollments 2021],HIX_RatingAreas8[Area],HIX_SLCSP11[[#This Row],[Area Code]])</f>
        <v>6063</v>
      </c>
      <c r="AR1808" s="59">
        <f>SUMIFS(HIX_RatingAreas8[Silver Enrollments 2022],HIX_RatingAreas8[Area],HIX_SLCSP11[[#This Row],[Area Code]])</f>
        <v>7960</v>
      </c>
      <c r="AS1808" s="59">
        <f>SUMIFS(HIX_RatingAreas8[Silver Enrollments 2023],HIX_RatingAreas8[Area],HIX_SLCSP11[[#This Row],[Area Code]])</f>
        <v>7960</v>
      </c>
      <c r="AT1808" s="59">
        <v>10449</v>
      </c>
      <c r="AU1808">
        <f t="shared" si="28"/>
        <v>5.9955038024886304E-3</v>
      </c>
      <c r="AV1808">
        <f>SUMIFS(HIX_RatingAreas8[QHP Enrollments 2018],HIX_RatingAreas8[Area],HIX_SLCSP11[[#This Row],[Area Code]])</f>
        <v>9285</v>
      </c>
      <c r="AW1808">
        <f t="shared" si="29"/>
        <v>5.4132808154727131E-3</v>
      </c>
      <c r="AX1808">
        <f>SUMIFS(HIX_RatingAreas8[QHP Enrollments 2019],HIX_RatingAreas8[Area],HIX_SLCSP11[[#This Row],[Area Code]])</f>
        <v>9684</v>
      </c>
      <c r="AY1808">
        <f t="shared" si="30"/>
        <v>5.4303696958006038E-3</v>
      </c>
      <c r="AZ1808">
        <f>SUMIFS(HIX_RatingAreas8[QHP Enrollments 2020],HIX_RatingAreas8[Area],HIX_SLCSP11[[#This Row],[Area Code]])</f>
        <v>10136</v>
      </c>
      <c r="BA1808">
        <f t="shared" si="31"/>
        <v>5.2957849501691504E-3</v>
      </c>
      <c r="BB1808">
        <f>SUMIFS(HIX_RatingAreas8[QHP Enrollments 2021],HIX_RatingAreas8[Area],HIX_SLCSP11[[#This Row],[Area Code]])</f>
        <v>11182</v>
      </c>
      <c r="BC1808">
        <f t="shared" si="32"/>
        <v>5.2736576508595279E-3</v>
      </c>
      <c r="BD1808">
        <f>SUMIFS(HIX_RatingAreas8[QHP Enrollments 2022],HIX_RatingAreas8[Area],HIX_SLCSP11[[#This Row],[Area Code]])</f>
        <v>15029</v>
      </c>
      <c r="BE1808">
        <f t="shared" si="33"/>
        <v>5.519089682544929E-3</v>
      </c>
      <c r="BF1808">
        <f>SUMIFS(HIX_RatingAreas8[QHP Enrollments 2023],HIX_RatingAreas8[Area],HIX_SLCSP11[[#This Row],[Area Code]])</f>
        <v>15029</v>
      </c>
      <c r="BG1808">
        <f t="shared" si="39"/>
        <v>5.519089682544929E-3</v>
      </c>
      <c r="BH1808" s="53">
        <f>ROUND(HIX_SLCSP11[[#This Row],[Weighting Factor 2018]]*HIX_SLCSP11[[#This Row],[2018]],2)</f>
        <v>2</v>
      </c>
      <c r="BI1808" s="53">
        <f>ROUND(HIX_SLCSP11[[#This Row],[Weighting Factor 2019]]*HIX_SLCSP11[[#This Row],[2019]],2)</f>
        <v>2.0499999999999998</v>
      </c>
      <c r="BJ1808" s="53">
        <f>ROUND(HIX_SLCSP11[[#This Row],[Weighting Factor 2020]]*HIX_SLCSP11[[#This Row],[2020]],2)</f>
        <v>1.64</v>
      </c>
      <c r="BK1808" s="53">
        <f>ROUND(HIX_SLCSP11[[#This Row],[Weighting Factor 2021]]*HIX_SLCSP11[[#This Row],[2021]],2)</f>
        <v>1.57</v>
      </c>
      <c r="BL1808" s="53">
        <f>ROUND(HIX_SLCSP11[[#This Row],[Weighting Factor 2022]]*HIX_SLCSP11[[#This Row],[2022]],2)</f>
        <v>1.65</v>
      </c>
      <c r="BM1808" s="53">
        <f>ROUND(HIX_SLCSP11[[#This Row],[Weighting Factor 2023]]*HIX_SLCSP11[[#This Row],[2023]],2)</f>
        <v>1.8</v>
      </c>
    </row>
    <row r="1809" spans="4:65" x14ac:dyDescent="0.35">
      <c r="D1809" t="s">
        <v>539</v>
      </c>
      <c r="E1809" t="s">
        <v>293</v>
      </c>
      <c r="F1809" s="23">
        <v>11</v>
      </c>
      <c r="G1809" s="23" t="s">
        <v>540</v>
      </c>
      <c r="H1809" s="23" t="s">
        <v>569</v>
      </c>
      <c r="I1809" s="23">
        <v>52</v>
      </c>
      <c r="J1809" s="53">
        <v>320.48</v>
      </c>
      <c r="K1809" s="53">
        <v>450.93</v>
      </c>
      <c r="L1809" s="53">
        <v>768.48</v>
      </c>
      <c r="M1809" s="54">
        <f t="shared" si="34"/>
        <v>1.7042112966535825</v>
      </c>
      <c r="N1809" s="24">
        <v>32</v>
      </c>
      <c r="O1809" s="55">
        <v>389.67</v>
      </c>
      <c r="P1809" s="56">
        <v>440.65</v>
      </c>
      <c r="Q1809" s="56">
        <v>750.96</v>
      </c>
      <c r="R1809" s="57">
        <f t="shared" si="35"/>
        <v>1.7042096902303416</v>
      </c>
      <c r="S1809" s="23">
        <v>52</v>
      </c>
      <c r="T1809" s="53">
        <v>298.69</v>
      </c>
      <c r="U1809" s="53">
        <v>314.77999999999997</v>
      </c>
      <c r="V1809" s="53">
        <v>536.44000000000005</v>
      </c>
      <c r="W1809" s="57">
        <f t="shared" si="36"/>
        <v>1.7041743439862764</v>
      </c>
      <c r="X1809" s="47">
        <v>143</v>
      </c>
      <c r="Y1809" s="58">
        <v>309</v>
      </c>
      <c r="Z1809" s="58">
        <v>317.57</v>
      </c>
      <c r="AA1809" s="58">
        <v>541.21</v>
      </c>
      <c r="AB1809" s="57">
        <f t="shared" si="37"/>
        <v>1.7042226910602389</v>
      </c>
      <c r="AC1809" s="47">
        <v>151</v>
      </c>
      <c r="AD1809" s="57">
        <v>339.58</v>
      </c>
      <c r="AE1809" s="57">
        <v>355.65</v>
      </c>
      <c r="AF1809" s="57">
        <v>606.1</v>
      </c>
      <c r="AG1809" s="57">
        <f t="shared" si="38"/>
        <v>1.7042035709264729</v>
      </c>
      <c r="AH1809" s="47">
        <v>187</v>
      </c>
      <c r="AI1809">
        <v>385.74</v>
      </c>
      <c r="AJ1809">
        <v>387.4</v>
      </c>
      <c r="AK1809">
        <v>660.2</v>
      </c>
      <c r="AL1809" s="57">
        <f t="shared" si="15"/>
        <v>1.7041817243159527</v>
      </c>
      <c r="AM1809" s="59">
        <v>22222</v>
      </c>
      <c r="AN1809" s="59">
        <f>SUMIFS(HIX_RatingAreas8[Silver Enrollments 2018],HIX_RatingAreas8[Area],HIX_SLCSP11[[#This Row],[Area Code]])</f>
        <v>21272</v>
      </c>
      <c r="AO1809" s="59">
        <f>SUMIFS(HIX_RatingAreas8[Silver Enrollments 2019],HIX_RatingAreas8[Area],HIX_SLCSP11[[#This Row],[Area Code]])</f>
        <v>23236</v>
      </c>
      <c r="AP1809" s="59">
        <f>SUMIFS(HIX_RatingAreas8[Silver Enrollments 2020],HIX_RatingAreas8[Area],HIX_SLCSP11[[#This Row],[Area Code]])</f>
        <v>26568</v>
      </c>
      <c r="AQ1809" s="59">
        <f>SUMIFS(HIX_RatingAreas8[Silver Enrollments 2021],HIX_RatingAreas8[Area],HIX_SLCSP11[[#This Row],[Area Code]])</f>
        <v>28915</v>
      </c>
      <c r="AR1809" s="59">
        <f>SUMIFS(HIX_RatingAreas8[Silver Enrollments 2022],HIX_RatingAreas8[Area],HIX_SLCSP11[[#This Row],[Area Code]])</f>
        <v>31670</v>
      </c>
      <c r="AS1809" s="59">
        <f>SUMIFS(HIX_RatingAreas8[Silver Enrollments 2023],HIX_RatingAreas8[Area],HIX_SLCSP11[[#This Row],[Area Code]])</f>
        <v>31670</v>
      </c>
      <c r="AT1809" s="59">
        <v>28283</v>
      </c>
      <c r="AU1809">
        <f t="shared" si="28"/>
        <v>1.6228427030891564E-2</v>
      </c>
      <c r="AV1809">
        <f>SUMIFS(HIX_RatingAreas8[QHP Enrollments 2018],HIX_RatingAreas8[Area],HIX_SLCSP11[[#This Row],[Area Code]])</f>
        <v>30445</v>
      </c>
      <c r="AW1809">
        <f t="shared" si="29"/>
        <v>1.7749847541956569E-2</v>
      </c>
      <c r="AX1809">
        <f>SUMIFS(HIX_RatingAreas8[QHP Enrollments 2019],HIX_RatingAreas8[Area],HIX_SLCSP11[[#This Row],[Area Code]])</f>
        <v>33814</v>
      </c>
      <c r="AY1809">
        <f t="shared" si="30"/>
        <v>1.8961433384324825E-2</v>
      </c>
      <c r="AZ1809">
        <f>SUMIFS(HIX_RatingAreas8[QHP Enrollments 2020],HIX_RatingAreas8[Area],HIX_SLCSP11[[#This Row],[Area Code]])</f>
        <v>37557</v>
      </c>
      <c r="BA1809">
        <f t="shared" si="31"/>
        <v>1.9622513355712589E-2</v>
      </c>
      <c r="BB1809">
        <f>SUMIFS(HIX_RatingAreas8[QHP Enrollments 2021],HIX_RatingAreas8[Area],HIX_SLCSP11[[#This Row],[Area Code]])</f>
        <v>42202</v>
      </c>
      <c r="BC1809">
        <f t="shared" si="32"/>
        <v>1.9903317848468414E-2</v>
      </c>
      <c r="BD1809">
        <f>SUMIFS(HIX_RatingAreas8[QHP Enrollments 2022],HIX_RatingAreas8[Area],HIX_SLCSP11[[#This Row],[Area Code]])</f>
        <v>49570</v>
      </c>
      <c r="BE1809">
        <f t="shared" si="33"/>
        <v>1.8203558158477084E-2</v>
      </c>
      <c r="BF1809">
        <f>SUMIFS(HIX_RatingAreas8[QHP Enrollments 2023],HIX_RatingAreas8[Area],HIX_SLCSP11[[#This Row],[Area Code]])</f>
        <v>49570</v>
      </c>
      <c r="BG1809">
        <f t="shared" si="39"/>
        <v>1.8203558158477084E-2</v>
      </c>
      <c r="BH1809" s="53">
        <f>ROUND(HIX_SLCSP11[[#This Row],[Weighting Factor 2018]]*HIX_SLCSP11[[#This Row],[2018]],2)</f>
        <v>8</v>
      </c>
      <c r="BI1809" s="53">
        <f>ROUND(HIX_SLCSP11[[#This Row],[Weighting Factor 2019]]*HIX_SLCSP11[[#This Row],[2019]],2)</f>
        <v>8.36</v>
      </c>
      <c r="BJ1809" s="53">
        <f>ROUND(HIX_SLCSP11[[#This Row],[Weighting Factor 2020]]*HIX_SLCSP11[[#This Row],[2020]],2)</f>
        <v>6.18</v>
      </c>
      <c r="BK1809" s="53">
        <f>ROUND(HIX_SLCSP11[[#This Row],[Weighting Factor 2021]]*HIX_SLCSP11[[#This Row],[2021]],2)</f>
        <v>6.32</v>
      </c>
      <c r="BL1809" s="53">
        <f>ROUND(HIX_SLCSP11[[#This Row],[Weighting Factor 2022]]*HIX_SLCSP11[[#This Row],[2022]],2)</f>
        <v>6.47</v>
      </c>
      <c r="BM1809" s="53">
        <f>ROUND(HIX_SLCSP11[[#This Row],[Weighting Factor 2023]]*HIX_SLCSP11[[#This Row],[2023]],2)</f>
        <v>7.05</v>
      </c>
    </row>
    <row r="1810" spans="4:65" x14ac:dyDescent="0.35">
      <c r="D1810" t="s">
        <v>539</v>
      </c>
      <c r="E1810" t="s">
        <v>303</v>
      </c>
      <c r="F1810" s="23">
        <v>12</v>
      </c>
      <c r="G1810" s="23" t="s">
        <v>540</v>
      </c>
      <c r="H1810" s="23" t="s">
        <v>572</v>
      </c>
      <c r="I1810" s="23">
        <v>36</v>
      </c>
      <c r="J1810" s="53">
        <v>361.78</v>
      </c>
      <c r="K1810" s="53">
        <v>485.28</v>
      </c>
      <c r="L1810" s="53">
        <v>808.49</v>
      </c>
      <c r="M1810" s="54">
        <f t="shared" si="34"/>
        <v>1.6660278602044183</v>
      </c>
      <c r="N1810" s="24">
        <v>32</v>
      </c>
      <c r="O1810" s="55">
        <v>440.04</v>
      </c>
      <c r="P1810" s="56">
        <v>497.62</v>
      </c>
      <c r="Q1810" s="56">
        <v>848.05</v>
      </c>
      <c r="R1810" s="57">
        <f t="shared" si="35"/>
        <v>1.7042120493549293</v>
      </c>
      <c r="S1810" s="23">
        <v>36</v>
      </c>
      <c r="T1810" s="53">
        <v>383.48</v>
      </c>
      <c r="U1810" s="53">
        <v>404.15</v>
      </c>
      <c r="V1810" s="53">
        <v>688.75</v>
      </c>
      <c r="W1810" s="57">
        <f t="shared" si="36"/>
        <v>1.7041939873809231</v>
      </c>
      <c r="X1810" s="47">
        <v>144</v>
      </c>
      <c r="Y1810" s="58">
        <v>338.78</v>
      </c>
      <c r="Z1810" s="58">
        <v>348.18</v>
      </c>
      <c r="AA1810" s="58">
        <v>593.38</v>
      </c>
      <c r="AB1810" s="57">
        <f t="shared" si="37"/>
        <v>1.7042334424722845</v>
      </c>
      <c r="AC1810" s="47">
        <v>169</v>
      </c>
      <c r="AD1810" s="57">
        <v>362.31</v>
      </c>
      <c r="AE1810" s="57">
        <v>379.46</v>
      </c>
      <c r="AF1810" s="57">
        <v>646.66999999999996</v>
      </c>
      <c r="AG1810" s="57">
        <f t="shared" si="38"/>
        <v>1.7041848943235123</v>
      </c>
      <c r="AH1810" s="47">
        <v>161</v>
      </c>
      <c r="AI1810">
        <v>353.1</v>
      </c>
      <c r="AJ1810">
        <v>354.67</v>
      </c>
      <c r="AK1810">
        <v>604.41999999999996</v>
      </c>
      <c r="AL1810" s="57">
        <f t="shared" si="15"/>
        <v>1.7041757126342796</v>
      </c>
      <c r="AM1810" s="59">
        <v>2811</v>
      </c>
      <c r="AN1810" s="59">
        <f>SUMIFS(HIX_RatingAreas8[Silver Enrollments 2018],HIX_RatingAreas8[Area],HIX_SLCSP11[[#This Row],[Area Code]])</f>
        <v>3205</v>
      </c>
      <c r="AO1810" s="59">
        <f>SUMIFS(HIX_RatingAreas8[Silver Enrollments 2019],HIX_RatingAreas8[Area],HIX_SLCSP11[[#This Row],[Area Code]])</f>
        <v>3593</v>
      </c>
      <c r="AP1810" s="59">
        <f>SUMIFS(HIX_RatingAreas8[Silver Enrollments 2020],HIX_RatingAreas8[Area],HIX_SLCSP11[[#This Row],[Area Code]])</f>
        <v>4573</v>
      </c>
      <c r="AQ1810" s="59">
        <f>SUMIFS(HIX_RatingAreas8[Silver Enrollments 2021],HIX_RatingAreas8[Area],HIX_SLCSP11[[#This Row],[Area Code]])</f>
        <v>4532</v>
      </c>
      <c r="AR1810" s="59">
        <f>SUMIFS(HIX_RatingAreas8[Silver Enrollments 2022],HIX_RatingAreas8[Area],HIX_SLCSP11[[#This Row],[Area Code]])</f>
        <v>4199</v>
      </c>
      <c r="AS1810" s="59">
        <f>SUMIFS(HIX_RatingAreas8[Silver Enrollments 2023],HIX_RatingAreas8[Area],HIX_SLCSP11[[#This Row],[Area Code]])</f>
        <v>4199</v>
      </c>
      <c r="AT1810" s="59">
        <v>3489</v>
      </c>
      <c r="AU1810">
        <f t="shared" si="28"/>
        <v>2.001943991471225E-3</v>
      </c>
      <c r="AV1810">
        <f>SUMIFS(HIX_RatingAreas8[QHP Enrollments 2018],HIX_RatingAreas8[Area],HIX_SLCSP11[[#This Row],[Area Code]])</f>
        <v>4167</v>
      </c>
      <c r="AW1810">
        <f t="shared" si="29"/>
        <v>2.4294174645207102E-3</v>
      </c>
      <c r="AX1810">
        <f>SUMIFS(HIX_RatingAreas8[QHP Enrollments 2019],HIX_RatingAreas8[Area],HIX_SLCSP11[[#This Row],[Area Code]])</f>
        <v>4915</v>
      </c>
      <c r="AY1810">
        <f t="shared" si="30"/>
        <v>2.7561201006670766E-3</v>
      </c>
      <c r="AZ1810">
        <f>SUMIFS(HIX_RatingAreas8[QHP Enrollments 2020],HIX_RatingAreas8[Area],HIX_SLCSP11[[#This Row],[Area Code]])</f>
        <v>5936</v>
      </c>
      <c r="BA1810">
        <f t="shared" si="31"/>
        <v>3.1013989210935356E-3</v>
      </c>
      <c r="BB1810">
        <f>SUMIFS(HIX_RatingAreas8[QHP Enrollments 2021],HIX_RatingAreas8[Area],HIX_SLCSP11[[#This Row],[Area Code]])</f>
        <v>6577</v>
      </c>
      <c r="BC1810">
        <f t="shared" si="32"/>
        <v>3.1018463932841276E-3</v>
      </c>
      <c r="BD1810">
        <f>SUMIFS(HIX_RatingAreas8[QHP Enrollments 2022],HIX_RatingAreas8[Area],HIX_SLCSP11[[#This Row],[Area Code]])</f>
        <v>6534</v>
      </c>
      <c r="BE1810">
        <f t="shared" si="33"/>
        <v>2.399476477859376E-3</v>
      </c>
      <c r="BF1810">
        <f>SUMIFS(HIX_RatingAreas8[QHP Enrollments 2023],HIX_RatingAreas8[Area],HIX_SLCSP11[[#This Row],[Area Code]])</f>
        <v>6534</v>
      </c>
      <c r="BG1810">
        <f t="shared" si="39"/>
        <v>2.399476477859376E-3</v>
      </c>
      <c r="BH1810" s="53">
        <f>ROUND(HIX_SLCSP11[[#This Row],[Weighting Factor 2018]]*HIX_SLCSP11[[#This Row],[2018]],2)</f>
        <v>1.18</v>
      </c>
      <c r="BI1810" s="53">
        <f>ROUND(HIX_SLCSP11[[#This Row],[Weighting Factor 2019]]*HIX_SLCSP11[[#This Row],[2019]],2)</f>
        <v>1.37</v>
      </c>
      <c r="BJ1810" s="53">
        <f>ROUND(HIX_SLCSP11[[#This Row],[Weighting Factor 2020]]*HIX_SLCSP11[[#This Row],[2020]],2)</f>
        <v>1.25</v>
      </c>
      <c r="BK1810" s="53">
        <f>ROUND(HIX_SLCSP11[[#This Row],[Weighting Factor 2021]]*HIX_SLCSP11[[#This Row],[2021]],2)</f>
        <v>1.08</v>
      </c>
      <c r="BL1810" s="53">
        <f>ROUND(HIX_SLCSP11[[#This Row],[Weighting Factor 2022]]*HIX_SLCSP11[[#This Row],[2022]],2)</f>
        <v>0.91</v>
      </c>
      <c r="BM1810" s="53">
        <f>ROUND(HIX_SLCSP11[[#This Row],[Weighting Factor 2023]]*HIX_SLCSP11[[#This Row],[2023]],2)</f>
        <v>0.85</v>
      </c>
    </row>
    <row r="1811" spans="4:65" x14ac:dyDescent="0.35">
      <c r="D1811" t="s">
        <v>539</v>
      </c>
      <c r="E1811" t="s">
        <v>311</v>
      </c>
      <c r="F1811" s="23">
        <v>13</v>
      </c>
      <c r="G1811" s="23" t="s">
        <v>540</v>
      </c>
      <c r="H1811" s="23" t="s">
        <v>574</v>
      </c>
      <c r="I1811" s="23">
        <v>36</v>
      </c>
      <c r="J1811" s="53">
        <v>368.93</v>
      </c>
      <c r="K1811" s="53">
        <v>519.1</v>
      </c>
      <c r="L1811" s="53">
        <v>884.64</v>
      </c>
      <c r="M1811" s="54">
        <f t="shared" si="34"/>
        <v>1.7041803120785974</v>
      </c>
      <c r="N1811" s="24">
        <v>32</v>
      </c>
      <c r="O1811" s="55">
        <v>454.86</v>
      </c>
      <c r="P1811" s="56">
        <v>514.38</v>
      </c>
      <c r="Q1811" s="56">
        <v>876.6</v>
      </c>
      <c r="R1811" s="57">
        <f t="shared" si="35"/>
        <v>1.704187565612971</v>
      </c>
      <c r="S1811" s="23">
        <v>36</v>
      </c>
      <c r="T1811" s="53">
        <v>383.08</v>
      </c>
      <c r="U1811" s="53">
        <v>403.71</v>
      </c>
      <c r="V1811" s="53">
        <v>688</v>
      </c>
      <c r="W1811" s="57">
        <f t="shared" si="36"/>
        <v>1.7041936043199326</v>
      </c>
      <c r="X1811" s="47">
        <v>117</v>
      </c>
      <c r="Y1811" s="58">
        <v>317.83999999999997</v>
      </c>
      <c r="Z1811" s="58">
        <v>326.66000000000003</v>
      </c>
      <c r="AA1811" s="58">
        <v>556.69000000000005</v>
      </c>
      <c r="AB1811" s="57">
        <f t="shared" si="37"/>
        <v>1.704187840568175</v>
      </c>
      <c r="AC1811" s="47">
        <v>105</v>
      </c>
      <c r="AD1811" s="57">
        <v>305.92</v>
      </c>
      <c r="AE1811" s="57">
        <v>320.41000000000003</v>
      </c>
      <c r="AF1811" s="57">
        <v>546.04</v>
      </c>
      <c r="AG1811" s="57">
        <f t="shared" si="38"/>
        <v>1.7041915046346865</v>
      </c>
      <c r="AH1811" s="47">
        <v>76</v>
      </c>
      <c r="AI1811">
        <v>340.09</v>
      </c>
      <c r="AJ1811">
        <v>341.74</v>
      </c>
      <c r="AK1811">
        <v>582.39</v>
      </c>
      <c r="AL1811" s="57">
        <f t="shared" si="15"/>
        <v>1.7041903201264119</v>
      </c>
      <c r="AM1811" s="59">
        <v>1182</v>
      </c>
      <c r="AN1811" s="59">
        <f>SUMIFS(HIX_RatingAreas8[Silver Enrollments 2018],HIX_RatingAreas8[Area],HIX_SLCSP11[[#This Row],[Area Code]])</f>
        <v>1104</v>
      </c>
      <c r="AO1811" s="59">
        <f>SUMIFS(HIX_RatingAreas8[Silver Enrollments 2019],HIX_RatingAreas8[Area],HIX_SLCSP11[[#This Row],[Area Code]])</f>
        <v>1135</v>
      </c>
      <c r="AP1811" s="59">
        <f>SUMIFS(HIX_RatingAreas8[Silver Enrollments 2020],HIX_RatingAreas8[Area],HIX_SLCSP11[[#This Row],[Area Code]])</f>
        <v>1309</v>
      </c>
      <c r="AQ1811" s="59">
        <f>SUMIFS(HIX_RatingAreas8[Silver Enrollments 2021],HIX_RatingAreas8[Area],HIX_SLCSP11[[#This Row],[Area Code]])</f>
        <v>1026</v>
      </c>
      <c r="AR1811" s="59">
        <f>SUMIFS(HIX_RatingAreas8[Silver Enrollments 2022],HIX_RatingAreas8[Area],HIX_SLCSP11[[#This Row],[Area Code]])</f>
        <v>981</v>
      </c>
      <c r="AS1811" s="59">
        <f>SUMIFS(HIX_RatingAreas8[Silver Enrollments 2023],HIX_RatingAreas8[Area],HIX_SLCSP11[[#This Row],[Area Code]])</f>
        <v>981</v>
      </c>
      <c r="AT1811" s="59">
        <v>1432</v>
      </c>
      <c r="AU1811">
        <f t="shared" si="28"/>
        <v>8.2166345537024773E-4</v>
      </c>
      <c r="AV1811">
        <f>SUMIFS(HIX_RatingAreas8[QHP Enrollments 2018],HIX_RatingAreas8[Area],HIX_SLCSP11[[#This Row],[Area Code]])</f>
        <v>1514</v>
      </c>
      <c r="AW1811">
        <f t="shared" si="29"/>
        <v>8.8268251530702077E-4</v>
      </c>
      <c r="AX1811">
        <f>SUMIFS(HIX_RatingAreas8[QHP Enrollments 2019],HIX_RatingAreas8[Area],HIX_SLCSP11[[#This Row],[Area Code]])</f>
        <v>1594</v>
      </c>
      <c r="AY1811">
        <f t="shared" si="30"/>
        <v>8.9384647822244548E-4</v>
      </c>
      <c r="AZ1811">
        <f>SUMIFS(HIX_RatingAreas8[QHP Enrollments 2020],HIX_RatingAreas8[Area],HIX_SLCSP11[[#This Row],[Area Code]])</f>
        <v>1785</v>
      </c>
      <c r="BA1811">
        <f t="shared" si="31"/>
        <v>9.3261406235713629E-4</v>
      </c>
      <c r="BB1811">
        <f>SUMIFS(HIX_RatingAreas8[QHP Enrollments 2021],HIX_RatingAreas8[Area],HIX_SLCSP11[[#This Row],[Area Code]])</f>
        <v>1892</v>
      </c>
      <c r="BC1811">
        <f t="shared" si="32"/>
        <v>8.923055155988398E-4</v>
      </c>
      <c r="BD1811">
        <f>SUMIFS(HIX_RatingAreas8[QHP Enrollments 2022],HIX_RatingAreas8[Area],HIX_SLCSP11[[#This Row],[Area Code]])</f>
        <v>2142</v>
      </c>
      <c r="BE1811">
        <f t="shared" si="33"/>
        <v>7.8660523654343188E-4</v>
      </c>
      <c r="BF1811">
        <f>SUMIFS(HIX_RatingAreas8[QHP Enrollments 2023],HIX_RatingAreas8[Area],HIX_SLCSP11[[#This Row],[Area Code]])</f>
        <v>2142</v>
      </c>
      <c r="BG1811">
        <f t="shared" si="39"/>
        <v>7.8660523654343188E-4</v>
      </c>
      <c r="BH1811" s="53">
        <f>ROUND(HIX_SLCSP11[[#This Row],[Weighting Factor 2018]]*HIX_SLCSP11[[#This Row],[2018]],2)</f>
        <v>0.46</v>
      </c>
      <c r="BI1811" s="53">
        <f>ROUND(HIX_SLCSP11[[#This Row],[Weighting Factor 2019]]*HIX_SLCSP11[[#This Row],[2019]],2)</f>
        <v>0.46</v>
      </c>
      <c r="BJ1811" s="53">
        <f>ROUND(HIX_SLCSP11[[#This Row],[Weighting Factor 2020]]*HIX_SLCSP11[[#This Row],[2020]],2)</f>
        <v>0.38</v>
      </c>
      <c r="BK1811" s="53">
        <f>ROUND(HIX_SLCSP11[[#This Row],[Weighting Factor 2021]]*HIX_SLCSP11[[#This Row],[2021]],2)</f>
        <v>0.28999999999999998</v>
      </c>
      <c r="BL1811" s="53">
        <f>ROUND(HIX_SLCSP11[[#This Row],[Weighting Factor 2022]]*HIX_SLCSP11[[#This Row],[2022]],2)</f>
        <v>0.25</v>
      </c>
      <c r="BM1811" s="53">
        <f>ROUND(HIX_SLCSP11[[#This Row],[Weighting Factor 2023]]*HIX_SLCSP11[[#This Row],[2023]],2)</f>
        <v>0.27</v>
      </c>
    </row>
    <row r="1812" spans="4:65" x14ac:dyDescent="0.35">
      <c r="D1812" t="s">
        <v>539</v>
      </c>
      <c r="E1812" t="s">
        <v>577</v>
      </c>
      <c r="F1812" s="23">
        <v>14</v>
      </c>
      <c r="G1812" s="23" t="s">
        <v>540</v>
      </c>
      <c r="H1812" s="23" t="s">
        <v>578</v>
      </c>
      <c r="I1812" s="23">
        <v>36</v>
      </c>
      <c r="J1812" s="53">
        <v>366.55</v>
      </c>
      <c r="K1812" s="53">
        <v>494.03</v>
      </c>
      <c r="L1812" s="53">
        <v>823.06</v>
      </c>
      <c r="M1812" s="54">
        <f t="shared" si="34"/>
        <v>1.666012185494808</v>
      </c>
      <c r="N1812" s="24">
        <v>32</v>
      </c>
      <c r="O1812" s="55">
        <v>459.31</v>
      </c>
      <c r="P1812" s="56">
        <v>519.41</v>
      </c>
      <c r="Q1812" s="56">
        <v>885.18</v>
      </c>
      <c r="R1812" s="57">
        <f t="shared" si="35"/>
        <v>1.7042028455362817</v>
      </c>
      <c r="S1812" s="23">
        <v>36</v>
      </c>
      <c r="T1812" s="53">
        <v>400.2</v>
      </c>
      <c r="U1812" s="53">
        <v>421.77</v>
      </c>
      <c r="V1812" s="53">
        <v>718.78</v>
      </c>
      <c r="W1812" s="57">
        <f t="shared" si="36"/>
        <v>1.7041989710031533</v>
      </c>
      <c r="X1812" s="47">
        <v>117</v>
      </c>
      <c r="Y1812" s="58">
        <v>339.67</v>
      </c>
      <c r="Z1812" s="58">
        <v>349.1</v>
      </c>
      <c r="AA1812" s="58">
        <v>594.92999999999995</v>
      </c>
      <c r="AB1812" s="57">
        <f t="shared" si="37"/>
        <v>1.7041821827556571</v>
      </c>
      <c r="AC1812" s="47">
        <v>105</v>
      </c>
      <c r="AD1812" s="57">
        <v>363.64</v>
      </c>
      <c r="AE1812" s="57">
        <v>380.86</v>
      </c>
      <c r="AF1812" s="57">
        <v>649.05999999999995</v>
      </c>
      <c r="AG1812" s="57">
        <f t="shared" si="38"/>
        <v>1.7041957674736121</v>
      </c>
      <c r="AH1812" s="47">
        <v>125</v>
      </c>
      <c r="AI1812">
        <v>370.18</v>
      </c>
      <c r="AJ1812">
        <v>371.83</v>
      </c>
      <c r="AK1812">
        <v>633.66</v>
      </c>
      <c r="AL1812" s="57">
        <f t="shared" si="15"/>
        <v>1.7041658822580212</v>
      </c>
      <c r="AM1812" s="59">
        <v>578</v>
      </c>
      <c r="AN1812" s="59">
        <f>SUMIFS(HIX_RatingAreas8[Silver Enrollments 2018],HIX_RatingAreas8[Area],HIX_SLCSP11[[#This Row],[Area Code]])</f>
        <v>598</v>
      </c>
      <c r="AO1812" s="59">
        <f>SUMIFS(HIX_RatingAreas8[Silver Enrollments 2019],HIX_RatingAreas8[Area],HIX_SLCSP11[[#This Row],[Area Code]])</f>
        <v>587</v>
      </c>
      <c r="AP1812" s="59">
        <f>SUMIFS(HIX_RatingAreas8[Silver Enrollments 2020],HIX_RatingAreas8[Area],HIX_SLCSP11[[#This Row],[Area Code]])</f>
        <v>579</v>
      </c>
      <c r="AQ1812" s="59">
        <f>SUMIFS(HIX_RatingAreas8[Silver Enrollments 2021],HIX_RatingAreas8[Area],HIX_SLCSP11[[#This Row],[Area Code]])</f>
        <v>448</v>
      </c>
      <c r="AR1812" s="59">
        <f>SUMIFS(HIX_RatingAreas8[Silver Enrollments 2022],HIX_RatingAreas8[Area],HIX_SLCSP11[[#This Row],[Area Code]])</f>
        <v>421</v>
      </c>
      <c r="AS1812" s="59">
        <f>SUMIFS(HIX_RatingAreas8[Silver Enrollments 2023],HIX_RatingAreas8[Area],HIX_SLCSP11[[#This Row],[Area Code]])</f>
        <v>421</v>
      </c>
      <c r="AT1812" s="59">
        <v>667</v>
      </c>
      <c r="AU1812">
        <f t="shared" si="28"/>
        <v>3.8271614855583469E-4</v>
      </c>
      <c r="AV1812">
        <f>SUMIFS(HIX_RatingAreas8[QHP Enrollments 2018],HIX_RatingAreas8[Area],HIX_SLCSP11[[#This Row],[Area Code]])</f>
        <v>764</v>
      </c>
      <c r="AW1812">
        <f t="shared" si="29"/>
        <v>4.4542235250631695E-4</v>
      </c>
      <c r="AX1812">
        <f>SUMIFS(HIX_RatingAreas8[QHP Enrollments 2019],HIX_RatingAreas8[Area],HIX_SLCSP11[[#This Row],[Area Code]])</f>
        <v>805</v>
      </c>
      <c r="AY1812">
        <f t="shared" si="30"/>
        <v>4.5140929420895147E-4</v>
      </c>
      <c r="AZ1812">
        <f>SUMIFS(HIX_RatingAreas8[QHP Enrollments 2020],HIX_RatingAreas8[Area],HIX_SLCSP11[[#This Row],[Area Code]])</f>
        <v>790</v>
      </c>
      <c r="BA1812">
        <f t="shared" si="31"/>
        <v>4.1275356261184185E-4</v>
      </c>
      <c r="BB1812">
        <f>SUMIFS(HIX_RatingAreas8[QHP Enrollments 2021],HIX_RatingAreas8[Area],HIX_SLCSP11[[#This Row],[Area Code]])</f>
        <v>810</v>
      </c>
      <c r="BC1812">
        <f t="shared" si="32"/>
        <v>3.8201240361261115E-4</v>
      </c>
      <c r="BD1812">
        <f>SUMIFS(HIX_RatingAreas8[QHP Enrollments 2022],HIX_RatingAreas8[Area],HIX_SLCSP11[[#This Row],[Area Code]])</f>
        <v>962</v>
      </c>
      <c r="BE1812">
        <f t="shared" si="33"/>
        <v>3.5327462070718085E-4</v>
      </c>
      <c r="BF1812">
        <f>SUMIFS(HIX_RatingAreas8[QHP Enrollments 2023],HIX_RatingAreas8[Area],HIX_SLCSP11[[#This Row],[Area Code]])</f>
        <v>962</v>
      </c>
      <c r="BG1812">
        <f t="shared" si="39"/>
        <v>3.5327462070718085E-4</v>
      </c>
      <c r="BH1812" s="53">
        <f>ROUND(HIX_SLCSP11[[#This Row],[Weighting Factor 2018]]*HIX_SLCSP11[[#This Row],[2018]],2)</f>
        <v>0.22</v>
      </c>
      <c r="BI1812" s="53">
        <f>ROUND(HIX_SLCSP11[[#This Row],[Weighting Factor 2019]]*HIX_SLCSP11[[#This Row],[2019]],2)</f>
        <v>0.23</v>
      </c>
      <c r="BJ1812" s="53">
        <f>ROUND(HIX_SLCSP11[[#This Row],[Weighting Factor 2020]]*HIX_SLCSP11[[#This Row],[2020]],2)</f>
        <v>0.17</v>
      </c>
      <c r="BK1812" s="53">
        <f>ROUND(HIX_SLCSP11[[#This Row],[Weighting Factor 2021]]*HIX_SLCSP11[[#This Row],[2021]],2)</f>
        <v>0.13</v>
      </c>
      <c r="BL1812" s="53">
        <f>ROUND(HIX_SLCSP11[[#This Row],[Weighting Factor 2022]]*HIX_SLCSP11[[#This Row],[2022]],2)</f>
        <v>0.13</v>
      </c>
      <c r="BM1812" s="53">
        <f>ROUND(HIX_SLCSP11[[#This Row],[Weighting Factor 2023]]*HIX_SLCSP11[[#This Row],[2023]],2)</f>
        <v>0.13</v>
      </c>
    </row>
    <row r="1813" spans="4:65" x14ac:dyDescent="0.35">
      <c r="D1813" t="s">
        <v>539</v>
      </c>
      <c r="E1813" t="s">
        <v>581</v>
      </c>
      <c r="F1813" s="23">
        <v>15</v>
      </c>
      <c r="G1813" s="23" t="s">
        <v>540</v>
      </c>
      <c r="H1813" s="23" t="s">
        <v>582</v>
      </c>
      <c r="I1813" s="23">
        <v>125</v>
      </c>
      <c r="J1813" s="53">
        <v>321.26</v>
      </c>
      <c r="K1813" s="53">
        <v>366.95</v>
      </c>
      <c r="L1813" s="53">
        <v>625.36</v>
      </c>
      <c r="M1813" s="54">
        <f t="shared" si="34"/>
        <v>1.7042103828859518</v>
      </c>
      <c r="N1813" s="24">
        <v>100</v>
      </c>
      <c r="O1813" s="55">
        <v>378.69</v>
      </c>
      <c r="P1813" s="56">
        <v>384.71</v>
      </c>
      <c r="Q1813" s="56">
        <v>655.62</v>
      </c>
      <c r="R1813" s="57">
        <f t="shared" si="35"/>
        <v>1.7041927685789298</v>
      </c>
      <c r="S1813" s="23">
        <v>125</v>
      </c>
      <c r="T1813" s="53">
        <v>290.20999999999998</v>
      </c>
      <c r="U1813" s="53">
        <v>308.66000000000003</v>
      </c>
      <c r="V1813" s="53">
        <v>526.02</v>
      </c>
      <c r="W1813" s="57">
        <f t="shared" si="36"/>
        <v>1.7042052744119742</v>
      </c>
      <c r="X1813" s="47">
        <v>234</v>
      </c>
      <c r="Y1813" s="58">
        <v>263.81</v>
      </c>
      <c r="Z1813" s="58">
        <v>271.13</v>
      </c>
      <c r="AA1813" s="58">
        <v>462.06</v>
      </c>
      <c r="AB1813" s="57">
        <f t="shared" si="37"/>
        <v>1.7042009368199758</v>
      </c>
      <c r="AC1813" s="47">
        <v>208</v>
      </c>
      <c r="AD1813" s="57">
        <v>269.83999999999997</v>
      </c>
      <c r="AE1813" s="57">
        <v>282.62</v>
      </c>
      <c r="AF1813" s="57">
        <v>481.63</v>
      </c>
      <c r="AG1813" s="57">
        <f t="shared" si="38"/>
        <v>1.7041610643266576</v>
      </c>
      <c r="AH1813" s="47">
        <v>250</v>
      </c>
      <c r="AI1813">
        <v>275.68</v>
      </c>
      <c r="AJ1813">
        <v>287.32</v>
      </c>
      <c r="AK1813">
        <v>489.65</v>
      </c>
      <c r="AL1813" s="57">
        <f t="shared" si="15"/>
        <v>1.7041974105526938</v>
      </c>
      <c r="AM1813" s="59">
        <v>40247</v>
      </c>
      <c r="AN1813" s="59">
        <f>SUMIFS(HIX_RatingAreas8[Silver Enrollments 2018],HIX_RatingAreas8[Area],HIX_SLCSP11[[#This Row],[Area Code]])</f>
        <v>28686</v>
      </c>
      <c r="AO1813" s="59">
        <f>SUMIFS(HIX_RatingAreas8[Silver Enrollments 2019],HIX_RatingAreas8[Area],HIX_SLCSP11[[#This Row],[Area Code]])</f>
        <v>27935</v>
      </c>
      <c r="AP1813" s="59">
        <f>SUMIFS(HIX_RatingAreas8[Silver Enrollments 2020],HIX_RatingAreas8[Area],HIX_SLCSP11[[#This Row],[Area Code]])</f>
        <v>29592</v>
      </c>
      <c r="AQ1813" s="59">
        <f>SUMIFS(HIX_RatingAreas8[Silver Enrollments 2021],HIX_RatingAreas8[Area],HIX_SLCSP11[[#This Row],[Area Code]])</f>
        <v>32089</v>
      </c>
      <c r="AR1813" s="59">
        <f>SUMIFS(HIX_RatingAreas8[Silver Enrollments 2022],HIX_RatingAreas8[Area],HIX_SLCSP11[[#This Row],[Area Code]])</f>
        <v>47710</v>
      </c>
      <c r="AS1813" s="59">
        <f>SUMIFS(HIX_RatingAreas8[Silver Enrollments 2023],HIX_RatingAreas8[Area],HIX_SLCSP11[[#This Row],[Area Code]])</f>
        <v>47710</v>
      </c>
      <c r="AT1813" s="59">
        <v>56252</v>
      </c>
      <c r="AU1813">
        <f t="shared" si="28"/>
        <v>3.2276684840424008E-2</v>
      </c>
      <c r="AV1813">
        <f>SUMIFS(HIX_RatingAreas8[QHP Enrollments 2018],HIX_RatingAreas8[Area],HIX_SLCSP11[[#This Row],[Area Code]])</f>
        <v>49175</v>
      </c>
      <c r="AW1813">
        <f t="shared" si="29"/>
        <v>2.8669691340966148E-2</v>
      </c>
      <c r="AX1813">
        <f>SUMIFS(HIX_RatingAreas8[QHP Enrollments 2019],HIX_RatingAreas8[Area],HIX_SLCSP11[[#This Row],[Area Code]])</f>
        <v>50940</v>
      </c>
      <c r="AY1813">
        <f t="shared" si="30"/>
        <v>2.8564955834787562E-2</v>
      </c>
      <c r="AZ1813">
        <f>SUMIFS(HIX_RatingAreas8[QHP Enrollments 2020],HIX_RatingAreas8[Area],HIX_SLCSP11[[#This Row],[Area Code]])</f>
        <v>55679</v>
      </c>
      <c r="BA1813">
        <f t="shared" si="31"/>
        <v>2.9090766598309802E-2</v>
      </c>
      <c r="BB1813">
        <f>SUMIFS(HIX_RatingAreas8[QHP Enrollments 2021],HIX_RatingAreas8[Area],HIX_SLCSP11[[#This Row],[Area Code]])</f>
        <v>65483</v>
      </c>
      <c r="BC1813">
        <f t="shared" si="32"/>
        <v>3.0883108920697056E-2</v>
      </c>
      <c r="BD1813">
        <f>SUMIFS(HIX_RatingAreas8[QHP Enrollments 2022],HIX_RatingAreas8[Area],HIX_SLCSP11[[#This Row],[Area Code]])</f>
        <v>89541</v>
      </c>
      <c r="BE1813">
        <f t="shared" si="33"/>
        <v>3.2882081925926905E-2</v>
      </c>
      <c r="BF1813">
        <f>SUMIFS(HIX_RatingAreas8[QHP Enrollments 2023],HIX_RatingAreas8[Area],HIX_SLCSP11[[#This Row],[Area Code]])</f>
        <v>89541</v>
      </c>
      <c r="BG1813">
        <f t="shared" si="39"/>
        <v>3.2882081925926905E-2</v>
      </c>
      <c r="BH1813" s="53">
        <f>ROUND(HIX_SLCSP11[[#This Row],[Weighting Factor 2018]]*HIX_SLCSP11[[#This Row],[2018]],2)</f>
        <v>10.52</v>
      </c>
      <c r="BI1813" s="53">
        <f>ROUND(HIX_SLCSP11[[#This Row],[Weighting Factor 2019]]*HIX_SLCSP11[[#This Row],[2019]],2)</f>
        <v>10.99</v>
      </c>
      <c r="BJ1813" s="53">
        <f>ROUND(HIX_SLCSP11[[#This Row],[Weighting Factor 2020]]*HIX_SLCSP11[[#This Row],[2020]],2)</f>
        <v>8.98</v>
      </c>
      <c r="BK1813" s="53">
        <f>ROUND(HIX_SLCSP11[[#This Row],[Weighting Factor 2021]]*HIX_SLCSP11[[#This Row],[2021]],2)</f>
        <v>8.3699999999999992</v>
      </c>
      <c r="BL1813" s="53">
        <f>ROUND(HIX_SLCSP11[[#This Row],[Weighting Factor 2022]]*HIX_SLCSP11[[#This Row],[2022]],2)</f>
        <v>9.2899999999999991</v>
      </c>
      <c r="BM1813" s="53">
        <f>ROUND(HIX_SLCSP11[[#This Row],[Weighting Factor 2023]]*HIX_SLCSP11[[#This Row],[2023]],2)</f>
        <v>9.4499999999999993</v>
      </c>
    </row>
    <row r="1814" spans="4:65" x14ac:dyDescent="0.35">
      <c r="D1814" t="s">
        <v>539</v>
      </c>
      <c r="E1814" t="s">
        <v>585</v>
      </c>
      <c r="F1814" s="23">
        <v>16</v>
      </c>
      <c r="G1814" s="23" t="s">
        <v>540</v>
      </c>
      <c r="H1814" s="23" t="s">
        <v>586</v>
      </c>
      <c r="I1814" s="23">
        <v>110</v>
      </c>
      <c r="J1814" s="53">
        <v>309.85000000000002</v>
      </c>
      <c r="K1814" s="53">
        <v>390.38</v>
      </c>
      <c r="L1814" s="53">
        <v>650.38</v>
      </c>
      <c r="M1814" s="54">
        <f t="shared" si="34"/>
        <v>1.6660177263179465</v>
      </c>
      <c r="N1814" s="24">
        <v>48</v>
      </c>
      <c r="O1814" s="55">
        <v>373.09</v>
      </c>
      <c r="P1814" s="56">
        <v>401.83</v>
      </c>
      <c r="Q1814" s="56">
        <v>684.81</v>
      </c>
      <c r="R1814" s="57">
        <f t="shared" si="35"/>
        <v>1.7042281561854515</v>
      </c>
      <c r="S1814" s="23">
        <v>110</v>
      </c>
      <c r="T1814" s="53">
        <v>311.73</v>
      </c>
      <c r="U1814" s="53">
        <v>313.32</v>
      </c>
      <c r="V1814" s="53">
        <v>533.96</v>
      </c>
      <c r="W1814" s="57">
        <f t="shared" si="36"/>
        <v>1.7042001787310099</v>
      </c>
      <c r="X1814" s="47">
        <v>175</v>
      </c>
      <c r="Y1814" s="58">
        <v>322.19</v>
      </c>
      <c r="Z1814" s="58">
        <v>327.52999999999997</v>
      </c>
      <c r="AA1814" s="58">
        <v>558.17999999999995</v>
      </c>
      <c r="AB1814" s="57">
        <f t="shared" si="37"/>
        <v>1.7042103013464416</v>
      </c>
      <c r="AC1814" s="47">
        <v>276</v>
      </c>
      <c r="AD1814" s="57">
        <v>314.8</v>
      </c>
      <c r="AE1814" s="57">
        <v>330.2</v>
      </c>
      <c r="AF1814" s="57">
        <v>562.73</v>
      </c>
      <c r="AG1814" s="57">
        <f t="shared" si="38"/>
        <v>1.7042095699576016</v>
      </c>
      <c r="AH1814" s="47">
        <v>222</v>
      </c>
      <c r="AI1814">
        <v>347.2</v>
      </c>
      <c r="AJ1814">
        <v>368.5</v>
      </c>
      <c r="AK1814">
        <v>627.99</v>
      </c>
      <c r="AL1814" s="57">
        <f t="shared" si="15"/>
        <v>1.704179104477612</v>
      </c>
      <c r="AM1814" s="59">
        <v>10354</v>
      </c>
      <c r="AN1814" s="59">
        <f>SUMIFS(HIX_RatingAreas8[Silver Enrollments 2018],HIX_RatingAreas8[Area],HIX_SLCSP11[[#This Row],[Area Code]])</f>
        <v>9438</v>
      </c>
      <c r="AO1814" s="59">
        <f>SUMIFS(HIX_RatingAreas8[Silver Enrollments 2019],HIX_RatingAreas8[Area],HIX_SLCSP11[[#This Row],[Area Code]])</f>
        <v>9086</v>
      </c>
      <c r="AP1814" s="59">
        <f>SUMIFS(HIX_RatingAreas8[Silver Enrollments 2020],HIX_RatingAreas8[Area],HIX_SLCSP11[[#This Row],[Area Code]])</f>
        <v>9286</v>
      </c>
      <c r="AQ1814" s="59">
        <f>SUMIFS(HIX_RatingAreas8[Silver Enrollments 2021],HIX_RatingAreas8[Area],HIX_SLCSP11[[#This Row],[Area Code]])</f>
        <v>8889</v>
      </c>
      <c r="AR1814" s="59">
        <f>SUMIFS(HIX_RatingAreas8[Silver Enrollments 2022],HIX_RatingAreas8[Area],HIX_SLCSP11[[#This Row],[Area Code]])</f>
        <v>10846</v>
      </c>
      <c r="AS1814" s="59">
        <f>SUMIFS(HIX_RatingAreas8[Silver Enrollments 2023],HIX_RatingAreas8[Area],HIX_SLCSP11[[#This Row],[Area Code]])</f>
        <v>10846</v>
      </c>
      <c r="AT1814" s="59">
        <v>13957</v>
      </c>
      <c r="AU1814">
        <f t="shared" si="28"/>
        <v>8.0083497532140689E-3</v>
      </c>
      <c r="AV1814">
        <f>SUMIFS(HIX_RatingAreas8[QHP Enrollments 2018],HIX_RatingAreas8[Area],HIX_SLCSP11[[#This Row],[Area Code]])</f>
        <v>13694</v>
      </c>
      <c r="AW1814">
        <f t="shared" si="29"/>
        <v>7.98378755919045E-3</v>
      </c>
      <c r="AX1814">
        <f>SUMIFS(HIX_RatingAreas8[QHP Enrollments 2019],HIX_RatingAreas8[Area],HIX_SLCSP11[[#This Row],[Area Code]])</f>
        <v>14157</v>
      </c>
      <c r="AY1814">
        <f t="shared" si="30"/>
        <v>7.9386352523181693E-3</v>
      </c>
      <c r="AZ1814">
        <f>SUMIFS(HIX_RatingAreas8[QHP Enrollments 2020],HIX_RatingAreas8[Area],HIX_SLCSP11[[#This Row],[Area Code]])</f>
        <v>14754</v>
      </c>
      <c r="BA1814">
        <f t="shared" si="31"/>
        <v>7.7085646364241957E-3</v>
      </c>
      <c r="BB1814">
        <f>SUMIFS(HIX_RatingAreas8[QHP Enrollments 2021],HIX_RatingAreas8[Area],HIX_SLCSP11[[#This Row],[Area Code]])</f>
        <v>15977</v>
      </c>
      <c r="BC1814">
        <f t="shared" si="32"/>
        <v>7.5350767561959114E-3</v>
      </c>
      <c r="BD1814">
        <f>SUMIFS(HIX_RatingAreas8[QHP Enrollments 2022],HIX_RatingAreas8[Area],HIX_SLCSP11[[#This Row],[Area Code]])</f>
        <v>21026</v>
      </c>
      <c r="BE1814">
        <f t="shared" si="33"/>
        <v>7.7213640072652653E-3</v>
      </c>
      <c r="BF1814">
        <f>SUMIFS(HIX_RatingAreas8[QHP Enrollments 2023],HIX_RatingAreas8[Area],HIX_SLCSP11[[#This Row],[Area Code]])</f>
        <v>21026</v>
      </c>
      <c r="BG1814">
        <f t="shared" si="39"/>
        <v>7.7213640072652653E-3</v>
      </c>
      <c r="BH1814" s="53">
        <f>ROUND(HIX_SLCSP11[[#This Row],[Weighting Factor 2018]]*HIX_SLCSP11[[#This Row],[2018]],2)</f>
        <v>3.12</v>
      </c>
      <c r="BI1814" s="53">
        <f>ROUND(HIX_SLCSP11[[#This Row],[Weighting Factor 2019]]*HIX_SLCSP11[[#This Row],[2019]],2)</f>
        <v>3.19</v>
      </c>
      <c r="BJ1814" s="53">
        <f>ROUND(HIX_SLCSP11[[#This Row],[Weighting Factor 2020]]*HIX_SLCSP11[[#This Row],[2020]],2)</f>
        <v>2.42</v>
      </c>
      <c r="BK1814" s="53">
        <f>ROUND(HIX_SLCSP11[[#This Row],[Weighting Factor 2021]]*HIX_SLCSP11[[#This Row],[2021]],2)</f>
        <v>2.4700000000000002</v>
      </c>
      <c r="BL1814" s="53">
        <f>ROUND(HIX_SLCSP11[[#This Row],[Weighting Factor 2022]]*HIX_SLCSP11[[#This Row],[2022]],2)</f>
        <v>2.5499999999999998</v>
      </c>
      <c r="BM1814" s="53">
        <f>ROUND(HIX_SLCSP11[[#This Row],[Weighting Factor 2023]]*HIX_SLCSP11[[#This Row],[2023]],2)</f>
        <v>2.85</v>
      </c>
    </row>
    <row r="1815" spans="4:65" x14ac:dyDescent="0.35">
      <c r="D1815" t="s">
        <v>539</v>
      </c>
      <c r="E1815" t="s">
        <v>588</v>
      </c>
      <c r="F1815" s="23">
        <v>17</v>
      </c>
      <c r="G1815" s="23" t="s">
        <v>540</v>
      </c>
      <c r="H1815" s="23" t="s">
        <v>589</v>
      </c>
      <c r="I1815" s="23">
        <v>163</v>
      </c>
      <c r="J1815" s="53">
        <v>373.59</v>
      </c>
      <c r="K1815" s="53">
        <v>412.84</v>
      </c>
      <c r="L1815" s="53">
        <v>703.57</v>
      </c>
      <c r="M1815" s="54">
        <f t="shared" si="34"/>
        <v>1.7042195523689567</v>
      </c>
      <c r="N1815" s="24">
        <v>148</v>
      </c>
      <c r="O1815" s="55">
        <v>400.7</v>
      </c>
      <c r="P1815" s="56">
        <v>405.89</v>
      </c>
      <c r="Q1815" s="56">
        <v>691.72</v>
      </c>
      <c r="R1815" s="57">
        <f t="shared" si="35"/>
        <v>1.7042055729384811</v>
      </c>
      <c r="S1815" s="23">
        <v>163</v>
      </c>
      <c r="T1815" s="53">
        <v>300.33999999999997</v>
      </c>
      <c r="U1815" s="53">
        <v>324.44</v>
      </c>
      <c r="V1815" s="53">
        <v>552.91999999999996</v>
      </c>
      <c r="W1815" s="57">
        <f t="shared" si="36"/>
        <v>1.7042288250523978</v>
      </c>
      <c r="X1815" s="47">
        <v>192</v>
      </c>
      <c r="Y1815" s="58">
        <v>293.73</v>
      </c>
      <c r="Z1815" s="58">
        <v>309.94</v>
      </c>
      <c r="AA1815" s="58">
        <v>528.20000000000005</v>
      </c>
      <c r="AB1815" s="57">
        <f t="shared" si="37"/>
        <v>1.7042008130605926</v>
      </c>
      <c r="AC1815" s="47">
        <v>175</v>
      </c>
      <c r="AD1815" s="57">
        <v>292.48</v>
      </c>
      <c r="AE1815" s="57">
        <v>318.56</v>
      </c>
      <c r="AF1815" s="57">
        <v>542.89</v>
      </c>
      <c r="AG1815" s="57">
        <f t="shared" si="38"/>
        <v>1.7042001506780511</v>
      </c>
      <c r="AH1815" s="47">
        <v>174</v>
      </c>
      <c r="AI1815">
        <v>319.98</v>
      </c>
      <c r="AJ1815">
        <v>329.21</v>
      </c>
      <c r="AK1815">
        <v>561.03</v>
      </c>
      <c r="AL1815" s="57">
        <f t="shared" si="15"/>
        <v>1.7041705902007838</v>
      </c>
      <c r="AM1815" s="59">
        <v>5479</v>
      </c>
      <c r="AN1815" s="59">
        <f>SUMIFS(HIX_RatingAreas8[Silver Enrollments 2018],HIX_RatingAreas8[Area],HIX_SLCSP11[[#This Row],[Area Code]])</f>
        <v>4412</v>
      </c>
      <c r="AO1815" s="59">
        <f>SUMIFS(HIX_RatingAreas8[Silver Enrollments 2019],HIX_RatingAreas8[Area],HIX_SLCSP11[[#This Row],[Area Code]])</f>
        <v>4039</v>
      </c>
      <c r="AP1815" s="59">
        <f>SUMIFS(HIX_RatingAreas8[Silver Enrollments 2020],HIX_RatingAreas8[Area],HIX_SLCSP11[[#This Row],[Area Code]])</f>
        <v>4034</v>
      </c>
      <c r="AQ1815" s="59">
        <f>SUMIFS(HIX_RatingAreas8[Silver Enrollments 2021],HIX_RatingAreas8[Area],HIX_SLCSP11[[#This Row],[Area Code]])</f>
        <v>4692</v>
      </c>
      <c r="AR1815" s="59">
        <f>SUMIFS(HIX_RatingAreas8[Silver Enrollments 2022],HIX_RatingAreas8[Area],HIX_SLCSP11[[#This Row],[Area Code]])</f>
        <v>6510</v>
      </c>
      <c r="AS1815" s="59">
        <f>SUMIFS(HIX_RatingAreas8[Silver Enrollments 2023],HIX_RatingAreas8[Area],HIX_SLCSP11[[#This Row],[Area Code]])</f>
        <v>6510</v>
      </c>
      <c r="AT1815" s="59">
        <v>7473</v>
      </c>
      <c r="AU1815">
        <f t="shared" si="28"/>
        <v>4.2879127108811877E-3</v>
      </c>
      <c r="AV1815">
        <f>SUMIFS(HIX_RatingAreas8[QHP Enrollments 2018],HIX_RatingAreas8[Area],HIX_SLCSP11[[#This Row],[Area Code]])</f>
        <v>7719</v>
      </c>
      <c r="AW1815">
        <f t="shared" si="29"/>
        <v>4.5002815955448435E-3</v>
      </c>
      <c r="AX1815">
        <f>SUMIFS(HIX_RatingAreas8[QHP Enrollments 2019],HIX_RatingAreas8[Area],HIX_SLCSP11[[#This Row],[Area Code]])</f>
        <v>8094</v>
      </c>
      <c r="AY1815">
        <f t="shared" si="30"/>
        <v>4.5387662451270225E-3</v>
      </c>
      <c r="AZ1815">
        <f>SUMIFS(HIX_RatingAreas8[QHP Enrollments 2020],HIX_RatingAreas8[Area],HIX_SLCSP11[[#This Row],[Area Code]])</f>
        <v>8365</v>
      </c>
      <c r="BA1815">
        <f t="shared" si="31"/>
        <v>4.3704855079089331E-3</v>
      </c>
      <c r="BB1815">
        <f>SUMIFS(HIX_RatingAreas8[QHP Enrollments 2021],HIX_RatingAreas8[Area],HIX_SLCSP11[[#This Row],[Area Code]])</f>
        <v>9157</v>
      </c>
      <c r="BC1815">
        <f t="shared" si="32"/>
        <v>4.3186266418280004E-3</v>
      </c>
      <c r="BD1815">
        <f>SUMIFS(HIX_RatingAreas8[QHP Enrollments 2022],HIX_RatingAreas8[Area],HIX_SLCSP11[[#This Row],[Area Code]])</f>
        <v>11760</v>
      </c>
      <c r="BE1815">
        <f t="shared" si="33"/>
        <v>4.3186169849443318E-3</v>
      </c>
      <c r="BF1815">
        <f>SUMIFS(HIX_RatingAreas8[QHP Enrollments 2023],HIX_RatingAreas8[Area],HIX_SLCSP11[[#This Row],[Area Code]])</f>
        <v>11760</v>
      </c>
      <c r="BG1815">
        <f t="shared" si="39"/>
        <v>4.3186169849443318E-3</v>
      </c>
      <c r="BH1815" s="53">
        <f>ROUND(HIX_SLCSP11[[#This Row],[Weighting Factor 2018]]*HIX_SLCSP11[[#This Row],[2018]],2)</f>
        <v>1.86</v>
      </c>
      <c r="BI1815" s="53">
        <f>ROUND(HIX_SLCSP11[[#This Row],[Weighting Factor 2019]]*HIX_SLCSP11[[#This Row],[2019]],2)</f>
        <v>1.84</v>
      </c>
      <c r="BJ1815" s="53">
        <f>ROUND(HIX_SLCSP11[[#This Row],[Weighting Factor 2020]]*HIX_SLCSP11[[#This Row],[2020]],2)</f>
        <v>1.42</v>
      </c>
      <c r="BK1815" s="53">
        <f>ROUND(HIX_SLCSP11[[#This Row],[Weighting Factor 2021]]*HIX_SLCSP11[[#This Row],[2021]],2)</f>
        <v>1.34</v>
      </c>
      <c r="BL1815" s="53">
        <f>ROUND(HIX_SLCSP11[[#This Row],[Weighting Factor 2022]]*HIX_SLCSP11[[#This Row],[2022]],2)</f>
        <v>1.38</v>
      </c>
      <c r="BM1815" s="53">
        <f>ROUND(HIX_SLCSP11[[#This Row],[Weighting Factor 2023]]*HIX_SLCSP11[[#This Row],[2023]],2)</f>
        <v>1.42</v>
      </c>
    </row>
    <row r="1816" spans="4:65" x14ac:dyDescent="0.35">
      <c r="D1816" t="s">
        <v>539</v>
      </c>
      <c r="E1816" t="s">
        <v>592</v>
      </c>
      <c r="F1816" s="23">
        <v>18</v>
      </c>
      <c r="G1816" s="23" t="s">
        <v>540</v>
      </c>
      <c r="H1816" s="23" t="s">
        <v>593</v>
      </c>
      <c r="I1816" s="23">
        <v>16</v>
      </c>
      <c r="J1816" s="53">
        <v>477.7</v>
      </c>
      <c r="K1816" s="53">
        <v>624.75</v>
      </c>
      <c r="L1816" s="53">
        <v>1064.71</v>
      </c>
      <c r="M1816" s="54">
        <f t="shared" si="34"/>
        <v>1.70421768707483</v>
      </c>
      <c r="N1816" s="24">
        <v>16</v>
      </c>
      <c r="O1816" s="55">
        <v>547.33000000000004</v>
      </c>
      <c r="P1816" s="56">
        <v>591.63</v>
      </c>
      <c r="Q1816" s="56">
        <v>1008.25</v>
      </c>
      <c r="R1816" s="57">
        <f t="shared" si="35"/>
        <v>1.7041901188242652</v>
      </c>
      <c r="S1816" s="23">
        <v>16</v>
      </c>
      <c r="T1816" s="53">
        <v>524.34</v>
      </c>
      <c r="U1816" s="53">
        <v>565.6</v>
      </c>
      <c r="V1816" s="53">
        <v>963.89</v>
      </c>
      <c r="W1816" s="57">
        <f t="shared" si="36"/>
        <v>1.7041902404526166</v>
      </c>
      <c r="X1816" s="47">
        <v>101</v>
      </c>
      <c r="Y1816" s="58">
        <v>334.27</v>
      </c>
      <c r="Z1816" s="58">
        <v>343.54</v>
      </c>
      <c r="AA1816" s="58">
        <v>585.47</v>
      </c>
      <c r="AB1816" s="57">
        <f t="shared" si="37"/>
        <v>1.7042265820574023</v>
      </c>
      <c r="AC1816" s="47">
        <v>97</v>
      </c>
      <c r="AD1816" s="57">
        <v>351.05</v>
      </c>
      <c r="AE1816" s="57">
        <v>367.67</v>
      </c>
      <c r="AF1816" s="57">
        <v>626.58000000000004</v>
      </c>
      <c r="AG1816" s="57">
        <f t="shared" si="38"/>
        <v>1.7041912584654717</v>
      </c>
      <c r="AH1816" s="47">
        <v>108</v>
      </c>
      <c r="AI1816">
        <v>337.36</v>
      </c>
      <c r="AJ1816">
        <v>338.99</v>
      </c>
      <c r="AK1816">
        <v>577.71</v>
      </c>
      <c r="AL1816" s="57">
        <f t="shared" si="15"/>
        <v>1.7042095637039441</v>
      </c>
      <c r="AM1816" s="59">
        <v>617</v>
      </c>
      <c r="AN1816" s="59">
        <f>SUMIFS(HIX_RatingAreas8[Silver Enrollments 2018],HIX_RatingAreas8[Area],HIX_SLCSP11[[#This Row],[Area Code]])</f>
        <v>482</v>
      </c>
      <c r="AO1816" s="59">
        <f>SUMIFS(HIX_RatingAreas8[Silver Enrollments 2019],HIX_RatingAreas8[Area],HIX_SLCSP11[[#This Row],[Area Code]])</f>
        <v>473</v>
      </c>
      <c r="AP1816" s="59">
        <f>SUMIFS(HIX_RatingAreas8[Silver Enrollments 2020],HIX_RatingAreas8[Area],HIX_SLCSP11[[#This Row],[Area Code]])</f>
        <v>518</v>
      </c>
      <c r="AQ1816" s="59">
        <f>SUMIFS(HIX_RatingAreas8[Silver Enrollments 2021],HIX_RatingAreas8[Area],HIX_SLCSP11[[#This Row],[Area Code]])</f>
        <v>365</v>
      </c>
      <c r="AR1816" s="59">
        <f>SUMIFS(HIX_RatingAreas8[Silver Enrollments 2022],HIX_RatingAreas8[Area],HIX_SLCSP11[[#This Row],[Area Code]])</f>
        <v>262</v>
      </c>
      <c r="AS1816" s="59">
        <f>SUMIFS(HIX_RatingAreas8[Silver Enrollments 2023],HIX_RatingAreas8[Area],HIX_SLCSP11[[#This Row],[Area Code]])</f>
        <v>262</v>
      </c>
      <c r="AT1816" s="59">
        <v>748</v>
      </c>
      <c r="AU1816">
        <f t="shared" si="28"/>
        <v>4.2919292221853722E-4</v>
      </c>
      <c r="AV1816">
        <f>SUMIFS(HIX_RatingAreas8[QHP Enrollments 2018],HIX_RatingAreas8[Area],HIX_SLCSP11[[#This Row],[Area Code]])</f>
        <v>706</v>
      </c>
      <c r="AW1816">
        <f t="shared" si="29"/>
        <v>4.1160756658306251E-4</v>
      </c>
      <c r="AX1816">
        <f>SUMIFS(HIX_RatingAreas8[QHP Enrollments 2019],HIX_RatingAreas8[Area],HIX_SLCSP11[[#This Row],[Area Code]])</f>
        <v>726</v>
      </c>
      <c r="AY1816">
        <f t="shared" si="30"/>
        <v>4.0710950011888045E-4</v>
      </c>
      <c r="AZ1816">
        <f>SUMIFS(HIX_RatingAreas8[QHP Enrollments 2020],HIX_RatingAreas8[Area],HIX_SLCSP11[[#This Row],[Area Code]])</f>
        <v>805</v>
      </c>
      <c r="BA1816">
        <f t="shared" si="31"/>
        <v>4.2059065557282621E-4</v>
      </c>
      <c r="BB1816">
        <f>SUMIFS(HIX_RatingAreas8[QHP Enrollments 2021],HIX_RatingAreas8[Area],HIX_SLCSP11[[#This Row],[Area Code]])</f>
        <v>867</v>
      </c>
      <c r="BC1816">
        <f t="shared" si="32"/>
        <v>4.0889475794090598E-4</v>
      </c>
      <c r="BD1816">
        <f>SUMIFS(HIX_RatingAreas8[QHP Enrollments 2022],HIX_RatingAreas8[Area],HIX_SLCSP11[[#This Row],[Area Code]])</f>
        <v>932</v>
      </c>
      <c r="BE1816">
        <f t="shared" si="33"/>
        <v>3.4225774064354736E-4</v>
      </c>
      <c r="BF1816">
        <f>SUMIFS(HIX_RatingAreas8[QHP Enrollments 2023],HIX_RatingAreas8[Area],HIX_SLCSP11[[#This Row],[Area Code]])</f>
        <v>932</v>
      </c>
      <c r="BG1816">
        <f t="shared" si="39"/>
        <v>3.4225774064354736E-4</v>
      </c>
      <c r="BH1816" s="53">
        <f>ROUND(HIX_SLCSP11[[#This Row],[Weighting Factor 2018]]*HIX_SLCSP11[[#This Row],[2018]],2)</f>
        <v>0.26</v>
      </c>
      <c r="BI1816" s="53">
        <f>ROUND(HIX_SLCSP11[[#This Row],[Weighting Factor 2019]]*HIX_SLCSP11[[#This Row],[2019]],2)</f>
        <v>0.24</v>
      </c>
      <c r="BJ1816" s="53">
        <f>ROUND(HIX_SLCSP11[[#This Row],[Weighting Factor 2020]]*HIX_SLCSP11[[#This Row],[2020]],2)</f>
        <v>0.24</v>
      </c>
      <c r="BK1816" s="53">
        <f>ROUND(HIX_SLCSP11[[#This Row],[Weighting Factor 2021]]*HIX_SLCSP11[[#This Row],[2021]],2)</f>
        <v>0.14000000000000001</v>
      </c>
      <c r="BL1816" s="53">
        <f>ROUND(HIX_SLCSP11[[#This Row],[Weighting Factor 2022]]*HIX_SLCSP11[[#This Row],[2022]],2)</f>
        <v>0.13</v>
      </c>
      <c r="BM1816" s="53">
        <f>ROUND(HIX_SLCSP11[[#This Row],[Weighting Factor 2023]]*HIX_SLCSP11[[#This Row],[2023]],2)</f>
        <v>0.12</v>
      </c>
    </row>
    <row r="1817" spans="4:65" x14ac:dyDescent="0.35">
      <c r="D1817" t="s">
        <v>539</v>
      </c>
      <c r="E1817" t="s">
        <v>595</v>
      </c>
      <c r="F1817" s="23">
        <v>19</v>
      </c>
      <c r="G1817" s="23" t="s">
        <v>540</v>
      </c>
      <c r="H1817" s="23" t="s">
        <v>596</v>
      </c>
      <c r="I1817" s="23">
        <v>16</v>
      </c>
      <c r="J1817" s="53">
        <v>524.94000000000005</v>
      </c>
      <c r="K1817" s="53">
        <v>686.54</v>
      </c>
      <c r="L1817" s="53">
        <v>1170.01</v>
      </c>
      <c r="M1817" s="54">
        <f t="shared" si="34"/>
        <v>1.7042124275351764</v>
      </c>
      <c r="N1817" s="24">
        <v>16</v>
      </c>
      <c r="O1817" s="55">
        <v>601.78</v>
      </c>
      <c r="P1817" s="56">
        <v>650.49</v>
      </c>
      <c r="Q1817" s="56">
        <v>1108.57</v>
      </c>
      <c r="R1817" s="57">
        <f t="shared" si="35"/>
        <v>1.7042075973496902</v>
      </c>
      <c r="S1817" s="23">
        <v>16</v>
      </c>
      <c r="T1817" s="53">
        <v>576.78</v>
      </c>
      <c r="U1817" s="53">
        <v>622.16</v>
      </c>
      <c r="V1817" s="53">
        <v>1060.28</v>
      </c>
      <c r="W1817" s="57">
        <f t="shared" si="36"/>
        <v>1.7041918477562041</v>
      </c>
      <c r="X1817" s="47">
        <v>101</v>
      </c>
      <c r="Y1817" s="58">
        <v>362.53</v>
      </c>
      <c r="Z1817" s="58">
        <v>372.59</v>
      </c>
      <c r="AA1817" s="58">
        <v>634.96</v>
      </c>
      <c r="AB1817" s="57">
        <f t="shared" si="37"/>
        <v>1.7041788561153013</v>
      </c>
      <c r="AC1817" s="47">
        <v>97</v>
      </c>
      <c r="AD1817" s="57">
        <v>317.73</v>
      </c>
      <c r="AE1817" s="57">
        <v>332.77</v>
      </c>
      <c r="AF1817" s="57">
        <v>567.11</v>
      </c>
      <c r="AG1817" s="57">
        <f t="shared" si="38"/>
        <v>1.7042101150945099</v>
      </c>
      <c r="AH1817" s="47">
        <v>108</v>
      </c>
      <c r="AI1817">
        <v>337.77</v>
      </c>
      <c r="AJ1817">
        <v>339.41</v>
      </c>
      <c r="AK1817">
        <v>578.41999999999996</v>
      </c>
      <c r="AL1817" s="57">
        <f t="shared" si="15"/>
        <v>1.7041925694587665</v>
      </c>
      <c r="AM1817" s="59">
        <v>1388</v>
      </c>
      <c r="AN1817" s="59">
        <f>SUMIFS(HIX_RatingAreas8[Silver Enrollments 2018],HIX_RatingAreas8[Area],HIX_SLCSP11[[#This Row],[Area Code]])</f>
        <v>1429</v>
      </c>
      <c r="AO1817" s="59">
        <f>SUMIFS(HIX_RatingAreas8[Silver Enrollments 2019],HIX_RatingAreas8[Area],HIX_SLCSP11[[#This Row],[Area Code]])</f>
        <v>1485</v>
      </c>
      <c r="AP1817" s="59">
        <f>SUMIFS(HIX_RatingAreas8[Silver Enrollments 2020],HIX_RatingAreas8[Area],HIX_SLCSP11[[#This Row],[Area Code]])</f>
        <v>1830</v>
      </c>
      <c r="AQ1817" s="59">
        <f>SUMIFS(HIX_RatingAreas8[Silver Enrollments 2021],HIX_RatingAreas8[Area],HIX_SLCSP11[[#This Row],[Area Code]])</f>
        <v>1515</v>
      </c>
      <c r="AR1817" s="59">
        <f>SUMIFS(HIX_RatingAreas8[Silver Enrollments 2022],HIX_RatingAreas8[Area],HIX_SLCSP11[[#This Row],[Area Code]])</f>
        <v>1195</v>
      </c>
      <c r="AS1817" s="59">
        <f>SUMIFS(HIX_RatingAreas8[Silver Enrollments 2023],HIX_RatingAreas8[Area],HIX_SLCSP11[[#This Row],[Area Code]])</f>
        <v>1195</v>
      </c>
      <c r="AT1817" s="59">
        <v>1693</v>
      </c>
      <c r="AU1817">
        <f t="shared" si="28"/>
        <v>9.7142194828340046E-4</v>
      </c>
      <c r="AV1817">
        <f>SUMIFS(HIX_RatingAreas8[QHP Enrollments 2018],HIX_RatingAreas8[Area],HIX_SLCSP11[[#This Row],[Area Code]])</f>
        <v>1859</v>
      </c>
      <c r="AW1817">
        <f t="shared" si="29"/>
        <v>1.0838221901953446E-3</v>
      </c>
      <c r="AX1817">
        <f>SUMIFS(HIX_RatingAreas8[QHP Enrollments 2019],HIX_RatingAreas8[Area],HIX_SLCSP11[[#This Row],[Area Code]])</f>
        <v>2041</v>
      </c>
      <c r="AY1817">
        <f t="shared" si="30"/>
        <v>1.1445048068080372E-3</v>
      </c>
      <c r="AZ1817">
        <f>SUMIFS(HIX_RatingAreas8[QHP Enrollments 2020],HIX_RatingAreas8[Area],HIX_SLCSP11[[#This Row],[Area Code]])</f>
        <v>2472</v>
      </c>
      <c r="BA1817">
        <f t="shared" si="31"/>
        <v>1.291552919970219E-3</v>
      </c>
      <c r="BB1817">
        <f>SUMIFS(HIX_RatingAreas8[QHP Enrollments 2021],HIX_RatingAreas8[Area],HIX_SLCSP11[[#This Row],[Area Code]])</f>
        <v>3124</v>
      </c>
      <c r="BC1817">
        <f t="shared" si="32"/>
        <v>1.4733416652911076E-3</v>
      </c>
      <c r="BD1817">
        <f>SUMIFS(HIX_RatingAreas8[QHP Enrollments 2022],HIX_RatingAreas8[Area],HIX_SLCSP11[[#This Row],[Area Code]])</f>
        <v>3282</v>
      </c>
      <c r="BE1817">
        <f t="shared" si="33"/>
        <v>1.2052466789615047E-3</v>
      </c>
      <c r="BF1817">
        <f>SUMIFS(HIX_RatingAreas8[QHP Enrollments 2023],HIX_RatingAreas8[Area],HIX_SLCSP11[[#This Row],[Area Code]])</f>
        <v>3282</v>
      </c>
      <c r="BG1817">
        <f t="shared" si="39"/>
        <v>1.2052466789615047E-3</v>
      </c>
      <c r="BH1817" s="53">
        <f>ROUND(HIX_SLCSP11[[#This Row],[Weighting Factor 2018]]*HIX_SLCSP11[[#This Row],[2018]],2)</f>
        <v>0.74</v>
      </c>
      <c r="BI1817" s="53">
        <f>ROUND(HIX_SLCSP11[[#This Row],[Weighting Factor 2019]]*HIX_SLCSP11[[#This Row],[2019]],2)</f>
        <v>0.74</v>
      </c>
      <c r="BJ1817" s="53">
        <f>ROUND(HIX_SLCSP11[[#This Row],[Weighting Factor 2020]]*HIX_SLCSP11[[#This Row],[2020]],2)</f>
        <v>0.8</v>
      </c>
      <c r="BK1817" s="53">
        <f>ROUND(HIX_SLCSP11[[#This Row],[Weighting Factor 2021]]*HIX_SLCSP11[[#This Row],[2021]],2)</f>
        <v>0.55000000000000004</v>
      </c>
      <c r="BL1817" s="53">
        <f>ROUND(HIX_SLCSP11[[#This Row],[Weighting Factor 2022]]*HIX_SLCSP11[[#This Row],[2022]],2)</f>
        <v>0.4</v>
      </c>
      <c r="BM1817" s="53">
        <f>ROUND(HIX_SLCSP11[[#This Row],[Weighting Factor 2023]]*HIX_SLCSP11[[#This Row],[2023]],2)</f>
        <v>0.41</v>
      </c>
    </row>
    <row r="1818" spans="4:65" x14ac:dyDescent="0.35">
      <c r="D1818" t="s">
        <v>539</v>
      </c>
      <c r="E1818" t="s">
        <v>599</v>
      </c>
      <c r="F1818" s="23">
        <v>20</v>
      </c>
      <c r="G1818" s="23" t="s">
        <v>540</v>
      </c>
      <c r="H1818" s="23" t="s">
        <v>600</v>
      </c>
      <c r="I1818" s="23">
        <v>36</v>
      </c>
      <c r="J1818" s="53">
        <v>362.58</v>
      </c>
      <c r="K1818" s="53">
        <v>485.87</v>
      </c>
      <c r="L1818" s="53">
        <v>809.46</v>
      </c>
      <c r="M1818" s="54">
        <f t="shared" si="34"/>
        <v>1.6660011937349497</v>
      </c>
      <c r="N1818" s="24">
        <v>32</v>
      </c>
      <c r="O1818" s="55">
        <v>455.85</v>
      </c>
      <c r="P1818" s="56">
        <v>515.5</v>
      </c>
      <c r="Q1818" s="56">
        <v>878.52</v>
      </c>
      <c r="R1818" s="57">
        <f t="shared" si="35"/>
        <v>1.7042095053346265</v>
      </c>
      <c r="S1818" s="23">
        <v>36</v>
      </c>
      <c r="T1818" s="53">
        <v>388.92</v>
      </c>
      <c r="U1818" s="53">
        <v>409.87</v>
      </c>
      <c r="V1818" s="53">
        <v>698.5</v>
      </c>
      <c r="W1818" s="57">
        <f t="shared" si="36"/>
        <v>1.7041988923317148</v>
      </c>
      <c r="X1818" s="47">
        <v>117</v>
      </c>
      <c r="Y1818" s="58">
        <v>347.51</v>
      </c>
      <c r="Z1818" s="58">
        <v>357.15</v>
      </c>
      <c r="AA1818" s="58">
        <v>608.66</v>
      </c>
      <c r="AB1818" s="57">
        <f t="shared" si="37"/>
        <v>1.7042139157216856</v>
      </c>
      <c r="AC1818" s="47">
        <v>105</v>
      </c>
      <c r="AD1818" s="57">
        <v>373.51</v>
      </c>
      <c r="AE1818" s="57">
        <v>391.19</v>
      </c>
      <c r="AF1818" s="57">
        <v>666.66</v>
      </c>
      <c r="AG1818" s="57">
        <f t="shared" si="38"/>
        <v>1.7041846672972212</v>
      </c>
      <c r="AH1818" s="47">
        <v>125</v>
      </c>
      <c r="AI1818">
        <v>394.01</v>
      </c>
      <c r="AJ1818">
        <v>395.75</v>
      </c>
      <c r="AK1818">
        <v>674.44</v>
      </c>
      <c r="AL1818" s="57">
        <f t="shared" si="15"/>
        <v>1.7042072015161087</v>
      </c>
      <c r="AM1818" s="59">
        <v>600</v>
      </c>
      <c r="AN1818" s="59">
        <f>SUMIFS(HIX_RatingAreas8[Silver Enrollments 2018],HIX_RatingAreas8[Area],HIX_SLCSP11[[#This Row],[Area Code]])</f>
        <v>596</v>
      </c>
      <c r="AO1818" s="59">
        <f>SUMIFS(HIX_RatingAreas8[Silver Enrollments 2019],HIX_RatingAreas8[Area],HIX_SLCSP11[[#This Row],[Area Code]])</f>
        <v>566</v>
      </c>
      <c r="AP1818" s="59">
        <f>SUMIFS(HIX_RatingAreas8[Silver Enrollments 2020],HIX_RatingAreas8[Area],HIX_SLCSP11[[#This Row],[Area Code]])</f>
        <v>596</v>
      </c>
      <c r="AQ1818" s="59">
        <f>SUMIFS(HIX_RatingAreas8[Silver Enrollments 2021],HIX_RatingAreas8[Area],HIX_SLCSP11[[#This Row],[Area Code]])</f>
        <v>481</v>
      </c>
      <c r="AR1818" s="59">
        <f>SUMIFS(HIX_RatingAreas8[Silver Enrollments 2022],HIX_RatingAreas8[Area],HIX_SLCSP11[[#This Row],[Area Code]])</f>
        <v>498</v>
      </c>
      <c r="AS1818" s="59">
        <f>SUMIFS(HIX_RatingAreas8[Silver Enrollments 2023],HIX_RatingAreas8[Area],HIX_SLCSP11[[#This Row],[Area Code]])</f>
        <v>498</v>
      </c>
      <c r="AT1818" s="59">
        <v>747</v>
      </c>
      <c r="AU1818">
        <f t="shared" si="28"/>
        <v>4.2861913488936805E-4</v>
      </c>
      <c r="AV1818">
        <f>SUMIFS(HIX_RatingAreas8[QHP Enrollments 2018],HIX_RatingAreas8[Area],HIX_SLCSP11[[#This Row],[Area Code]])</f>
        <v>870</v>
      </c>
      <c r="AW1818">
        <f t="shared" si="29"/>
        <v>5.0722178884881643E-4</v>
      </c>
      <c r="AX1818">
        <f>SUMIFS(HIX_RatingAreas8[QHP Enrollments 2019],HIX_RatingAreas8[Area],HIX_SLCSP11[[#This Row],[Area Code]])</f>
        <v>863</v>
      </c>
      <c r="AY1818">
        <f t="shared" si="30"/>
        <v>4.8393319366748464E-4</v>
      </c>
      <c r="AZ1818">
        <f>SUMIFS(HIX_RatingAreas8[QHP Enrollments 2020],HIX_RatingAreas8[Area],HIX_SLCSP11[[#This Row],[Area Code]])</f>
        <v>958</v>
      </c>
      <c r="BA1818">
        <f t="shared" si="31"/>
        <v>5.0052900377486648E-4</v>
      </c>
      <c r="BB1818">
        <f>SUMIFS(HIX_RatingAreas8[QHP Enrollments 2021],HIX_RatingAreas8[Area],HIX_SLCSP11[[#This Row],[Area Code]])</f>
        <v>1005</v>
      </c>
      <c r="BC1818">
        <f t="shared" si="32"/>
        <v>4.7397835263046195E-4</v>
      </c>
      <c r="BD1818">
        <f>SUMIFS(HIX_RatingAreas8[QHP Enrollments 2022],HIX_RatingAreas8[Area],HIX_SLCSP11[[#This Row],[Area Code]])</f>
        <v>1153</v>
      </c>
      <c r="BE1818">
        <f t="shared" si="33"/>
        <v>4.2341542377898083E-4</v>
      </c>
      <c r="BF1818">
        <f>SUMIFS(HIX_RatingAreas8[QHP Enrollments 2023],HIX_RatingAreas8[Area],HIX_SLCSP11[[#This Row],[Area Code]])</f>
        <v>1153</v>
      </c>
      <c r="BG1818">
        <f t="shared" si="39"/>
        <v>4.2341542377898083E-4</v>
      </c>
      <c r="BH1818" s="53">
        <f>ROUND(HIX_SLCSP11[[#This Row],[Weighting Factor 2018]]*HIX_SLCSP11[[#This Row],[2018]],2)</f>
        <v>0.25</v>
      </c>
      <c r="BI1818" s="53">
        <f>ROUND(HIX_SLCSP11[[#This Row],[Weighting Factor 2019]]*HIX_SLCSP11[[#This Row],[2019]],2)</f>
        <v>0.25</v>
      </c>
      <c r="BJ1818" s="53">
        <f>ROUND(HIX_SLCSP11[[#This Row],[Weighting Factor 2020]]*HIX_SLCSP11[[#This Row],[2020]],2)</f>
        <v>0.21</v>
      </c>
      <c r="BK1818" s="53">
        <f>ROUND(HIX_SLCSP11[[#This Row],[Weighting Factor 2021]]*HIX_SLCSP11[[#This Row],[2021]],2)</f>
        <v>0.17</v>
      </c>
      <c r="BL1818" s="53">
        <f>ROUND(HIX_SLCSP11[[#This Row],[Weighting Factor 2022]]*HIX_SLCSP11[[#This Row],[2022]],2)</f>
        <v>0.17</v>
      </c>
      <c r="BM1818" s="53">
        <f>ROUND(HIX_SLCSP11[[#This Row],[Weighting Factor 2023]]*HIX_SLCSP11[[#This Row],[2023]],2)</f>
        <v>0.17</v>
      </c>
    </row>
    <row r="1819" spans="4:65" x14ac:dyDescent="0.35">
      <c r="D1819" t="s">
        <v>539</v>
      </c>
      <c r="E1819" t="s">
        <v>603</v>
      </c>
      <c r="F1819" s="23">
        <v>21</v>
      </c>
      <c r="G1819" s="23" t="s">
        <v>540</v>
      </c>
      <c r="H1819" s="23" t="s">
        <v>604</v>
      </c>
      <c r="I1819" s="23">
        <v>16</v>
      </c>
      <c r="J1819" s="53">
        <v>525.53</v>
      </c>
      <c r="K1819" s="53">
        <v>687.31</v>
      </c>
      <c r="L1819" s="53">
        <v>1171.31</v>
      </c>
      <c r="M1819" s="54">
        <f t="shared" si="34"/>
        <v>1.704194613784173</v>
      </c>
      <c r="N1819" s="24">
        <v>16</v>
      </c>
      <c r="O1819" s="55">
        <v>637.63</v>
      </c>
      <c r="P1819" s="56">
        <v>689.25</v>
      </c>
      <c r="Q1819" s="56">
        <v>1174.6199999999999</v>
      </c>
      <c r="R1819" s="57">
        <f t="shared" si="35"/>
        <v>1.7042002176278561</v>
      </c>
      <c r="S1819" s="23">
        <v>16</v>
      </c>
      <c r="T1819" s="53">
        <v>634.66</v>
      </c>
      <c r="U1819" s="53">
        <v>684.6</v>
      </c>
      <c r="V1819" s="53">
        <v>1166.69</v>
      </c>
      <c r="W1819" s="57">
        <f t="shared" si="36"/>
        <v>1.7041922290388549</v>
      </c>
      <c r="X1819" s="47">
        <v>117</v>
      </c>
      <c r="Y1819" s="58">
        <v>420.51</v>
      </c>
      <c r="Z1819" s="58">
        <v>432.18</v>
      </c>
      <c r="AA1819" s="58">
        <v>736.53</v>
      </c>
      <c r="AB1819" s="57">
        <f t="shared" si="37"/>
        <v>1.7042204636956824</v>
      </c>
      <c r="AC1819" s="47">
        <v>89</v>
      </c>
      <c r="AD1819" s="57">
        <v>415.9</v>
      </c>
      <c r="AE1819" s="57">
        <v>435.59</v>
      </c>
      <c r="AF1819" s="57">
        <v>742.33</v>
      </c>
      <c r="AG1819" s="57">
        <f t="shared" si="38"/>
        <v>1.7041943111641684</v>
      </c>
      <c r="AH1819" s="47">
        <v>69</v>
      </c>
      <c r="AI1819">
        <v>435.04</v>
      </c>
      <c r="AJ1819">
        <v>436.97</v>
      </c>
      <c r="AK1819">
        <v>744.68</v>
      </c>
      <c r="AL1819" s="57">
        <f t="shared" si="15"/>
        <v>1.7041902190081697</v>
      </c>
      <c r="AM1819" s="59">
        <v>418</v>
      </c>
      <c r="AN1819" s="59">
        <f>SUMIFS(HIX_RatingAreas8[Silver Enrollments 2018],HIX_RatingAreas8[Area],HIX_SLCSP11[[#This Row],[Area Code]])</f>
        <v>372</v>
      </c>
      <c r="AO1819" s="59">
        <f>SUMIFS(HIX_RatingAreas8[Silver Enrollments 2019],HIX_RatingAreas8[Area],HIX_SLCSP11[[#This Row],[Area Code]])</f>
        <v>384</v>
      </c>
      <c r="AP1819" s="59">
        <f>SUMIFS(HIX_RatingAreas8[Silver Enrollments 2020],HIX_RatingAreas8[Area],HIX_SLCSP11[[#This Row],[Area Code]])</f>
        <v>415</v>
      </c>
      <c r="AQ1819" s="59">
        <f>SUMIFS(HIX_RatingAreas8[Silver Enrollments 2021],HIX_RatingAreas8[Area],HIX_SLCSP11[[#This Row],[Area Code]])</f>
        <v>284</v>
      </c>
      <c r="AR1819" s="59">
        <f>SUMIFS(HIX_RatingAreas8[Silver Enrollments 2022],HIX_RatingAreas8[Area],HIX_SLCSP11[[#This Row],[Area Code]])</f>
        <v>238</v>
      </c>
      <c r="AS1819" s="59">
        <f>SUMIFS(HIX_RatingAreas8[Silver Enrollments 2023],HIX_RatingAreas8[Area],HIX_SLCSP11[[#This Row],[Area Code]])</f>
        <v>238</v>
      </c>
      <c r="AT1819" s="59">
        <v>507</v>
      </c>
      <c r="AU1819">
        <f t="shared" si="28"/>
        <v>2.9091017588876787E-4</v>
      </c>
      <c r="AV1819">
        <f>SUMIFS(HIX_RatingAreas8[QHP Enrollments 2018],HIX_RatingAreas8[Area],HIX_SLCSP11[[#This Row],[Area Code]])</f>
        <v>505</v>
      </c>
      <c r="AW1819">
        <f t="shared" si="29"/>
        <v>2.9442184295247389E-4</v>
      </c>
      <c r="AX1819">
        <f>SUMIFS(HIX_RatingAreas8[QHP Enrollments 2019],HIX_RatingAreas8[Area],HIX_SLCSP11[[#This Row],[Area Code]])</f>
        <v>563</v>
      </c>
      <c r="AY1819">
        <f t="shared" si="30"/>
        <v>3.1570612750265797E-4</v>
      </c>
      <c r="AZ1819">
        <f>SUMIFS(HIX_RatingAreas8[QHP Enrollments 2020],HIX_RatingAreas8[Area],HIX_SLCSP11[[#This Row],[Area Code]])</f>
        <v>611</v>
      </c>
      <c r="BA1819">
        <f t="shared" si="31"/>
        <v>3.1923091994409539E-4</v>
      </c>
      <c r="BB1819">
        <f>SUMIFS(HIX_RatingAreas8[QHP Enrollments 2021],HIX_RatingAreas8[Area],HIX_SLCSP11[[#This Row],[Area Code]])</f>
        <v>615</v>
      </c>
      <c r="BC1819">
        <f t="shared" si="32"/>
        <v>2.9004645459476029E-4</v>
      </c>
      <c r="BD1819">
        <f>SUMIFS(HIX_RatingAreas8[QHP Enrollments 2022],HIX_RatingAreas8[Area],HIX_SLCSP11[[#This Row],[Area Code]])</f>
        <v>756</v>
      </c>
      <c r="BE1819">
        <f t="shared" si="33"/>
        <v>2.7762537760356418E-4</v>
      </c>
      <c r="BF1819">
        <f>SUMIFS(HIX_RatingAreas8[QHP Enrollments 2023],HIX_RatingAreas8[Area],HIX_SLCSP11[[#This Row],[Area Code]])</f>
        <v>756</v>
      </c>
      <c r="BG1819">
        <f t="shared" si="39"/>
        <v>2.7762537760356418E-4</v>
      </c>
      <c r="BH1819" s="53">
        <f>ROUND(HIX_SLCSP11[[#This Row],[Weighting Factor 2018]]*HIX_SLCSP11[[#This Row],[2018]],2)</f>
        <v>0.2</v>
      </c>
      <c r="BI1819" s="53">
        <f>ROUND(HIX_SLCSP11[[#This Row],[Weighting Factor 2019]]*HIX_SLCSP11[[#This Row],[2019]],2)</f>
        <v>0.22</v>
      </c>
      <c r="BJ1819" s="53">
        <f>ROUND(HIX_SLCSP11[[#This Row],[Weighting Factor 2020]]*HIX_SLCSP11[[#This Row],[2020]],2)</f>
        <v>0.22</v>
      </c>
      <c r="BK1819" s="53">
        <f>ROUND(HIX_SLCSP11[[#This Row],[Weighting Factor 2021]]*HIX_SLCSP11[[#This Row],[2021]],2)</f>
        <v>0.13</v>
      </c>
      <c r="BL1819" s="53">
        <f>ROUND(HIX_SLCSP11[[#This Row],[Weighting Factor 2022]]*HIX_SLCSP11[[#This Row],[2022]],2)</f>
        <v>0.12</v>
      </c>
      <c r="BM1819" s="53">
        <f>ROUND(HIX_SLCSP11[[#This Row],[Weighting Factor 2023]]*HIX_SLCSP11[[#This Row],[2023]],2)</f>
        <v>0.12</v>
      </c>
    </row>
    <row r="1820" spans="4:65" x14ac:dyDescent="0.35">
      <c r="D1820" t="s">
        <v>539</v>
      </c>
      <c r="E1820" t="s">
        <v>607</v>
      </c>
      <c r="F1820" s="23">
        <v>22</v>
      </c>
      <c r="G1820" s="23" t="s">
        <v>540</v>
      </c>
      <c r="H1820" s="23" t="s">
        <v>608</v>
      </c>
      <c r="I1820" s="23">
        <v>32</v>
      </c>
      <c r="J1820" s="53">
        <v>273.8</v>
      </c>
      <c r="K1820" s="53">
        <v>374.67</v>
      </c>
      <c r="L1820" s="53">
        <v>638.51</v>
      </c>
      <c r="M1820" s="54">
        <f t="shared" si="34"/>
        <v>1.7041930231937437</v>
      </c>
      <c r="N1820" s="24">
        <v>32</v>
      </c>
      <c r="O1820" s="55">
        <v>331.78</v>
      </c>
      <c r="P1820" s="56">
        <v>357.34</v>
      </c>
      <c r="Q1820" s="56">
        <v>608.97</v>
      </c>
      <c r="R1820" s="57">
        <f t="shared" si="35"/>
        <v>1.7041752952370293</v>
      </c>
      <c r="S1820" s="23">
        <v>32</v>
      </c>
      <c r="T1820" s="53">
        <v>331.86</v>
      </c>
      <c r="U1820" s="53">
        <v>355.27</v>
      </c>
      <c r="V1820" s="53">
        <v>605.45000000000005</v>
      </c>
      <c r="W1820" s="57">
        <f t="shared" si="36"/>
        <v>1.7041968080614747</v>
      </c>
      <c r="X1820" s="47">
        <v>117</v>
      </c>
      <c r="Y1820" s="58">
        <v>279.55</v>
      </c>
      <c r="Z1820" s="58">
        <v>287.31</v>
      </c>
      <c r="AA1820" s="58">
        <v>489.63</v>
      </c>
      <c r="AB1820" s="57">
        <f t="shared" si="37"/>
        <v>1.704187114962932</v>
      </c>
      <c r="AC1820" s="47">
        <v>105</v>
      </c>
      <c r="AD1820" s="57">
        <v>282.70999999999998</v>
      </c>
      <c r="AE1820" s="57">
        <v>296.08999999999997</v>
      </c>
      <c r="AF1820" s="57">
        <v>504.6</v>
      </c>
      <c r="AG1820" s="57">
        <f t="shared" si="38"/>
        <v>1.704211557296768</v>
      </c>
      <c r="AH1820" s="47">
        <v>76</v>
      </c>
      <c r="AI1820">
        <v>304.31</v>
      </c>
      <c r="AJ1820">
        <v>305.77999999999997</v>
      </c>
      <c r="AK1820">
        <v>521.11</v>
      </c>
      <c r="AL1820" s="57">
        <f t="shared" si="15"/>
        <v>1.7041990973902807</v>
      </c>
      <c r="AM1820" s="59">
        <v>640</v>
      </c>
      <c r="AN1820" s="59">
        <f>SUMIFS(HIX_RatingAreas8[Silver Enrollments 2018],HIX_RatingAreas8[Area],HIX_SLCSP11[[#This Row],[Area Code]])</f>
        <v>583</v>
      </c>
      <c r="AO1820" s="59">
        <f>SUMIFS(HIX_RatingAreas8[Silver Enrollments 2019],HIX_RatingAreas8[Area],HIX_SLCSP11[[#This Row],[Area Code]])</f>
        <v>577</v>
      </c>
      <c r="AP1820" s="59">
        <f>SUMIFS(HIX_RatingAreas8[Silver Enrollments 2020],HIX_RatingAreas8[Area],HIX_SLCSP11[[#This Row],[Area Code]])</f>
        <v>579</v>
      </c>
      <c r="AQ1820" s="59">
        <f>SUMIFS(HIX_RatingAreas8[Silver Enrollments 2021],HIX_RatingAreas8[Area],HIX_SLCSP11[[#This Row],[Area Code]])</f>
        <v>736</v>
      </c>
      <c r="AR1820" s="59">
        <f>SUMIFS(HIX_RatingAreas8[Silver Enrollments 2022],HIX_RatingAreas8[Area],HIX_SLCSP11[[#This Row],[Area Code]])</f>
        <v>866</v>
      </c>
      <c r="AS1820" s="59">
        <f>SUMIFS(HIX_RatingAreas8[Silver Enrollments 2023],HIX_RatingAreas8[Area],HIX_SLCSP11[[#This Row],[Area Code]])</f>
        <v>866</v>
      </c>
      <c r="AT1820" s="59">
        <v>821</v>
      </c>
      <c r="AU1820">
        <f t="shared" si="28"/>
        <v>4.7107939724788645E-4</v>
      </c>
      <c r="AV1820">
        <f>SUMIFS(HIX_RatingAreas8[QHP Enrollments 2018],HIX_RatingAreas8[Area],HIX_SLCSP11[[#This Row],[Area Code]])</f>
        <v>873</v>
      </c>
      <c r="AW1820">
        <f t="shared" si="29"/>
        <v>5.0897082950001921E-4</v>
      </c>
      <c r="AX1820">
        <f>SUMIFS(HIX_RatingAreas8[QHP Enrollments 2019],HIX_RatingAreas8[Area],HIX_SLCSP11[[#This Row],[Area Code]])</f>
        <v>869</v>
      </c>
      <c r="AY1820">
        <f t="shared" si="30"/>
        <v>4.8729773499078116E-4</v>
      </c>
      <c r="AZ1820">
        <f>SUMIFS(HIX_RatingAreas8[QHP Enrollments 2020],HIX_RatingAreas8[Area],HIX_SLCSP11[[#This Row],[Area Code]])</f>
        <v>888</v>
      </c>
      <c r="BA1820">
        <f t="shared" si="31"/>
        <v>4.6395590329027287E-4</v>
      </c>
      <c r="BB1820">
        <f>SUMIFS(HIX_RatingAreas8[QHP Enrollments 2021],HIX_RatingAreas8[Area],HIX_SLCSP11[[#This Row],[Area Code]])</f>
        <v>1076</v>
      </c>
      <c r="BC1820">
        <f t="shared" si="32"/>
        <v>5.0746339047798717E-4</v>
      </c>
      <c r="BD1820">
        <f>SUMIFS(HIX_RatingAreas8[QHP Enrollments 2022],HIX_RatingAreas8[Area],HIX_SLCSP11[[#This Row],[Area Code]])</f>
        <v>1355</v>
      </c>
      <c r="BE1820">
        <f t="shared" si="33"/>
        <v>4.9759574954077969E-4</v>
      </c>
      <c r="BF1820">
        <f>SUMIFS(HIX_RatingAreas8[QHP Enrollments 2023],HIX_RatingAreas8[Area],HIX_SLCSP11[[#This Row],[Area Code]])</f>
        <v>1355</v>
      </c>
      <c r="BG1820">
        <f t="shared" si="39"/>
        <v>4.9759574954077969E-4</v>
      </c>
      <c r="BH1820" s="53">
        <f>ROUND(HIX_SLCSP11[[#This Row],[Weighting Factor 2018]]*HIX_SLCSP11[[#This Row],[2018]],2)</f>
        <v>0.19</v>
      </c>
      <c r="BI1820" s="53">
        <f>ROUND(HIX_SLCSP11[[#This Row],[Weighting Factor 2019]]*HIX_SLCSP11[[#This Row],[2019]],2)</f>
        <v>0.17</v>
      </c>
      <c r="BJ1820" s="53">
        <f>ROUND(HIX_SLCSP11[[#This Row],[Weighting Factor 2020]]*HIX_SLCSP11[[#This Row],[2020]],2)</f>
        <v>0.16</v>
      </c>
      <c r="BK1820" s="53">
        <f>ROUND(HIX_SLCSP11[[#This Row],[Weighting Factor 2021]]*HIX_SLCSP11[[#This Row],[2021]],2)</f>
        <v>0.15</v>
      </c>
      <c r="BL1820" s="53">
        <f>ROUND(HIX_SLCSP11[[#This Row],[Weighting Factor 2022]]*HIX_SLCSP11[[#This Row],[2022]],2)</f>
        <v>0.15</v>
      </c>
      <c r="BM1820" s="53">
        <f>ROUND(HIX_SLCSP11[[#This Row],[Weighting Factor 2023]]*HIX_SLCSP11[[#This Row],[2023]],2)</f>
        <v>0.15</v>
      </c>
    </row>
    <row r="1821" spans="4:65" x14ac:dyDescent="0.35">
      <c r="D1821" t="s">
        <v>539</v>
      </c>
      <c r="E1821" t="s">
        <v>611</v>
      </c>
      <c r="F1821" s="23">
        <v>23</v>
      </c>
      <c r="G1821" s="23" t="s">
        <v>540</v>
      </c>
      <c r="H1821" s="23" t="s">
        <v>612</v>
      </c>
      <c r="I1821" s="23">
        <v>16</v>
      </c>
      <c r="J1821" s="53">
        <v>480.61</v>
      </c>
      <c r="K1821" s="53">
        <v>628.57000000000005</v>
      </c>
      <c r="L1821" s="53">
        <v>1071.21</v>
      </c>
      <c r="M1821" s="54">
        <f t="shared" si="34"/>
        <v>1.7042016004581828</v>
      </c>
      <c r="N1821" s="24">
        <v>16</v>
      </c>
      <c r="O1821" s="55">
        <v>577.66</v>
      </c>
      <c r="P1821" s="56">
        <v>624.41999999999996</v>
      </c>
      <c r="Q1821" s="56">
        <v>1064.1300000000001</v>
      </c>
      <c r="R1821" s="57">
        <f t="shared" si="35"/>
        <v>1.7041894878447201</v>
      </c>
      <c r="S1821" s="23">
        <v>16</v>
      </c>
      <c r="T1821" s="53">
        <v>578.13</v>
      </c>
      <c r="U1821" s="53">
        <v>623.62</v>
      </c>
      <c r="V1821" s="53">
        <v>1062.78</v>
      </c>
      <c r="W1821" s="57">
        <f t="shared" si="36"/>
        <v>1.7042108976620378</v>
      </c>
      <c r="X1821" s="47">
        <v>117</v>
      </c>
      <c r="Y1821" s="58">
        <v>378.46</v>
      </c>
      <c r="Z1821" s="58">
        <v>388.96</v>
      </c>
      <c r="AA1821" s="58">
        <v>662.87</v>
      </c>
      <c r="AB1821" s="57">
        <f t="shared" si="37"/>
        <v>1.7042112299465242</v>
      </c>
      <c r="AC1821" s="47">
        <v>89</v>
      </c>
      <c r="AD1821" s="57">
        <v>387.92</v>
      </c>
      <c r="AE1821" s="57">
        <v>406.28</v>
      </c>
      <c r="AF1821" s="57">
        <v>692.39</v>
      </c>
      <c r="AG1821" s="57">
        <f t="shared" si="38"/>
        <v>1.7042187653834795</v>
      </c>
      <c r="AH1821" s="47">
        <v>60</v>
      </c>
      <c r="AI1821">
        <v>479.95</v>
      </c>
      <c r="AJ1821">
        <v>482.28</v>
      </c>
      <c r="AK1821">
        <v>821.9</v>
      </c>
      <c r="AL1821" s="57">
        <f t="shared" si="15"/>
        <v>1.7041967321887701</v>
      </c>
      <c r="AM1821" s="59">
        <v>450</v>
      </c>
      <c r="AN1821" s="59">
        <f>SUMIFS(HIX_RatingAreas8[Silver Enrollments 2018],HIX_RatingAreas8[Area],HIX_SLCSP11[[#This Row],[Area Code]])</f>
        <v>419</v>
      </c>
      <c r="AO1821" s="59">
        <f>SUMIFS(HIX_RatingAreas8[Silver Enrollments 2019],HIX_RatingAreas8[Area],HIX_SLCSP11[[#This Row],[Area Code]])</f>
        <v>414</v>
      </c>
      <c r="AP1821" s="59">
        <f>SUMIFS(HIX_RatingAreas8[Silver Enrollments 2020],HIX_RatingAreas8[Area],HIX_SLCSP11[[#This Row],[Area Code]])</f>
        <v>523</v>
      </c>
      <c r="AQ1821" s="59">
        <f>SUMIFS(HIX_RatingAreas8[Silver Enrollments 2021],HIX_RatingAreas8[Area],HIX_SLCSP11[[#This Row],[Area Code]])</f>
        <v>513</v>
      </c>
      <c r="AR1821" s="59">
        <f>SUMIFS(HIX_RatingAreas8[Silver Enrollments 2022],HIX_RatingAreas8[Area],HIX_SLCSP11[[#This Row],[Area Code]])</f>
        <v>384</v>
      </c>
      <c r="AS1821" s="59">
        <f>SUMIFS(HIX_RatingAreas8[Silver Enrollments 2023],HIX_RatingAreas8[Area],HIX_SLCSP11[[#This Row],[Area Code]])</f>
        <v>384</v>
      </c>
      <c r="AT1821" s="59">
        <v>543</v>
      </c>
      <c r="AU1821">
        <f t="shared" si="28"/>
        <v>3.115665197388579E-4</v>
      </c>
      <c r="AV1821">
        <f>SUMIFS(HIX_RatingAreas8[QHP Enrollments 2018],HIX_RatingAreas8[Area],HIX_SLCSP11[[#This Row],[Area Code]])</f>
        <v>560</v>
      </c>
      <c r="AW1821">
        <f t="shared" si="29"/>
        <v>3.2648758822452549E-4</v>
      </c>
      <c r="AX1821">
        <f>SUMIFS(HIX_RatingAreas8[QHP Enrollments 2019],HIX_RatingAreas8[Area],HIX_SLCSP11[[#This Row],[Area Code]])</f>
        <v>599</v>
      </c>
      <c r="AY1821">
        <f t="shared" si="30"/>
        <v>3.3589337544243721E-4</v>
      </c>
      <c r="AZ1821">
        <f>SUMIFS(HIX_RatingAreas8[QHP Enrollments 2020],HIX_RatingAreas8[Area],HIX_SLCSP11[[#This Row],[Area Code]])</f>
        <v>719</v>
      </c>
      <c r="BA1821">
        <f t="shared" si="31"/>
        <v>3.7565798926318265E-4</v>
      </c>
      <c r="BB1821">
        <f>SUMIFS(HIX_RatingAreas8[QHP Enrollments 2021],HIX_RatingAreas8[Area],HIX_SLCSP11[[#This Row],[Area Code]])</f>
        <v>885</v>
      </c>
      <c r="BC1821">
        <f t="shared" si="32"/>
        <v>4.1738392246563069E-4</v>
      </c>
      <c r="BD1821">
        <f>SUMIFS(HIX_RatingAreas8[QHP Enrollments 2022],HIX_RatingAreas8[Area],HIX_SLCSP11[[#This Row],[Area Code]])</f>
        <v>926</v>
      </c>
      <c r="BE1821">
        <f t="shared" si="33"/>
        <v>3.4005436463082066E-4</v>
      </c>
      <c r="BF1821">
        <f>SUMIFS(HIX_RatingAreas8[QHP Enrollments 2023],HIX_RatingAreas8[Area],HIX_SLCSP11[[#This Row],[Area Code]])</f>
        <v>926</v>
      </c>
      <c r="BG1821">
        <f t="shared" si="39"/>
        <v>3.4005436463082066E-4</v>
      </c>
      <c r="BH1821" s="53">
        <f>ROUND(HIX_SLCSP11[[#This Row],[Weighting Factor 2018]]*HIX_SLCSP11[[#This Row],[2018]],2)</f>
        <v>0.21</v>
      </c>
      <c r="BI1821" s="53">
        <f>ROUND(HIX_SLCSP11[[#This Row],[Weighting Factor 2019]]*HIX_SLCSP11[[#This Row],[2019]],2)</f>
        <v>0.21</v>
      </c>
      <c r="BJ1821" s="53">
        <f>ROUND(HIX_SLCSP11[[#This Row],[Weighting Factor 2020]]*HIX_SLCSP11[[#This Row],[2020]],2)</f>
        <v>0.23</v>
      </c>
      <c r="BK1821" s="53">
        <f>ROUND(HIX_SLCSP11[[#This Row],[Weighting Factor 2021]]*HIX_SLCSP11[[#This Row],[2021]],2)</f>
        <v>0.16</v>
      </c>
      <c r="BL1821" s="53">
        <f>ROUND(HIX_SLCSP11[[#This Row],[Weighting Factor 2022]]*HIX_SLCSP11[[#This Row],[2022]],2)</f>
        <v>0.14000000000000001</v>
      </c>
      <c r="BM1821" s="53">
        <f>ROUND(HIX_SLCSP11[[#This Row],[Weighting Factor 2023]]*HIX_SLCSP11[[#This Row],[2023]],2)</f>
        <v>0.16</v>
      </c>
    </row>
    <row r="1822" spans="4:65" x14ac:dyDescent="0.35">
      <c r="D1822" t="s">
        <v>539</v>
      </c>
      <c r="E1822" t="s">
        <v>615</v>
      </c>
      <c r="F1822" s="23">
        <v>24</v>
      </c>
      <c r="G1822" s="23" t="s">
        <v>540</v>
      </c>
      <c r="H1822" s="23" t="s">
        <v>616</v>
      </c>
      <c r="I1822" s="23">
        <v>16</v>
      </c>
      <c r="J1822" s="53">
        <v>566.35</v>
      </c>
      <c r="K1822" s="53">
        <v>740.71</v>
      </c>
      <c r="L1822" s="53">
        <v>1262.31</v>
      </c>
      <c r="M1822" s="54">
        <f t="shared" si="34"/>
        <v>1.7041892238527898</v>
      </c>
      <c r="N1822" s="24">
        <v>16</v>
      </c>
      <c r="O1822" s="55">
        <v>683.82</v>
      </c>
      <c r="P1822" s="56">
        <v>739.16</v>
      </c>
      <c r="Q1822" s="56">
        <v>1259.68</v>
      </c>
      <c r="R1822" s="57">
        <f t="shared" si="35"/>
        <v>1.7042047729855514</v>
      </c>
      <c r="S1822" s="23">
        <v>16</v>
      </c>
      <c r="T1822" s="53">
        <v>695.93</v>
      </c>
      <c r="U1822" s="53">
        <v>750.7</v>
      </c>
      <c r="V1822" s="53">
        <v>1279.3499999999999</v>
      </c>
      <c r="W1822" s="57">
        <f t="shared" si="36"/>
        <v>1.7042094045557477</v>
      </c>
      <c r="X1822" s="47">
        <v>101</v>
      </c>
      <c r="Y1822" s="58">
        <v>447.5</v>
      </c>
      <c r="Z1822" s="58">
        <v>459.92</v>
      </c>
      <c r="AA1822" s="58">
        <v>783.79</v>
      </c>
      <c r="AB1822" s="57">
        <f t="shared" si="37"/>
        <v>1.7041876848147504</v>
      </c>
      <c r="AC1822" s="47">
        <v>48</v>
      </c>
      <c r="AD1822" s="57">
        <v>625.94000000000005</v>
      </c>
      <c r="AE1822" s="57">
        <v>625.94000000000005</v>
      </c>
      <c r="AF1822" s="57">
        <v>1066.72</v>
      </c>
      <c r="AG1822" s="57">
        <f t="shared" si="38"/>
        <v>1.7041888998945585</v>
      </c>
      <c r="AH1822" s="47">
        <v>145</v>
      </c>
      <c r="AI1822">
        <v>460.9</v>
      </c>
      <c r="AJ1822">
        <v>462.96</v>
      </c>
      <c r="AK1822">
        <v>788.98</v>
      </c>
      <c r="AL1822" s="57">
        <f t="shared" si="15"/>
        <v>1.7042077069293244</v>
      </c>
      <c r="AM1822" s="59">
        <v>876</v>
      </c>
      <c r="AN1822" s="59">
        <f>SUMIFS(HIX_RatingAreas8[Silver Enrollments 2018],HIX_RatingAreas8[Area],HIX_SLCSP11[[#This Row],[Area Code]])</f>
        <v>809</v>
      </c>
      <c r="AO1822" s="59">
        <f>SUMIFS(HIX_RatingAreas8[Silver Enrollments 2019],HIX_RatingAreas8[Area],HIX_SLCSP11[[#This Row],[Area Code]])</f>
        <v>802</v>
      </c>
      <c r="AP1822" s="59">
        <f>SUMIFS(HIX_RatingAreas8[Silver Enrollments 2020],HIX_RatingAreas8[Area],HIX_SLCSP11[[#This Row],[Area Code]])</f>
        <v>1153</v>
      </c>
      <c r="AQ1822" s="59">
        <f>SUMIFS(HIX_RatingAreas8[Silver Enrollments 2021],HIX_RatingAreas8[Area],HIX_SLCSP11[[#This Row],[Area Code]])</f>
        <v>675</v>
      </c>
      <c r="AR1822" s="59">
        <f>SUMIFS(HIX_RatingAreas8[Silver Enrollments 2022],HIX_RatingAreas8[Area],HIX_SLCSP11[[#This Row],[Area Code]])</f>
        <v>699</v>
      </c>
      <c r="AS1822" s="59">
        <f>SUMIFS(HIX_RatingAreas8[Silver Enrollments 2023],HIX_RatingAreas8[Area],HIX_SLCSP11[[#This Row],[Area Code]])</f>
        <v>699</v>
      </c>
      <c r="AT1822" s="59">
        <v>1137</v>
      </c>
      <c r="AU1822">
        <f t="shared" si="28"/>
        <v>6.5239619326534336E-4</v>
      </c>
      <c r="AV1822">
        <f>SUMIFS(HIX_RatingAreas8[QHP Enrollments 2018],HIX_RatingAreas8[Area],HIX_SLCSP11[[#This Row],[Area Code]])</f>
        <v>1098</v>
      </c>
      <c r="AW1822">
        <f t="shared" si="29"/>
        <v>6.4014887834023041E-4</v>
      </c>
      <c r="AX1822">
        <f>SUMIFS(HIX_RatingAreas8[QHP Enrollments 2019],HIX_RatingAreas8[Area],HIX_SLCSP11[[#This Row],[Area Code]])</f>
        <v>1146</v>
      </c>
      <c r="AY1822">
        <f t="shared" si="30"/>
        <v>6.4262739274963772E-4</v>
      </c>
      <c r="AZ1822">
        <f>SUMIFS(HIX_RatingAreas8[QHP Enrollments 2020],HIX_RatingAreas8[Area],HIX_SLCSP11[[#This Row],[Area Code]])</f>
        <v>1519</v>
      </c>
      <c r="BA1822">
        <f t="shared" si="31"/>
        <v>7.9363628051568069E-4</v>
      </c>
      <c r="BB1822">
        <f>SUMIFS(HIX_RatingAreas8[QHP Enrollments 2021],HIX_RatingAreas8[Area],HIX_SLCSP11[[#This Row],[Area Code]])</f>
        <v>1418</v>
      </c>
      <c r="BC1822">
        <f t="shared" si="32"/>
        <v>6.6875751644775627E-4</v>
      </c>
      <c r="BD1822">
        <f>SUMIFS(HIX_RatingAreas8[QHP Enrollments 2022],HIX_RatingAreas8[Area],HIX_SLCSP11[[#This Row],[Area Code]])</f>
        <v>1561</v>
      </c>
      <c r="BE1822">
        <f t="shared" si="33"/>
        <v>5.7324499264439636E-4</v>
      </c>
      <c r="BF1822">
        <f>SUMIFS(HIX_RatingAreas8[QHP Enrollments 2023],HIX_RatingAreas8[Area],HIX_SLCSP11[[#This Row],[Area Code]])</f>
        <v>1561</v>
      </c>
      <c r="BG1822">
        <f t="shared" si="39"/>
        <v>5.7324499264439636E-4</v>
      </c>
      <c r="BH1822" s="53">
        <f>ROUND(HIX_SLCSP11[[#This Row],[Weighting Factor 2018]]*HIX_SLCSP11[[#This Row],[2018]],2)</f>
        <v>0.47</v>
      </c>
      <c r="BI1822" s="53">
        <f>ROUND(HIX_SLCSP11[[#This Row],[Weighting Factor 2019]]*HIX_SLCSP11[[#This Row],[2019]],2)</f>
        <v>0.48</v>
      </c>
      <c r="BJ1822" s="53">
        <f>ROUND(HIX_SLCSP11[[#This Row],[Weighting Factor 2020]]*HIX_SLCSP11[[#This Row],[2020]],2)</f>
        <v>0.6</v>
      </c>
      <c r="BK1822" s="53">
        <f>ROUND(HIX_SLCSP11[[#This Row],[Weighting Factor 2021]]*HIX_SLCSP11[[#This Row],[2021]],2)</f>
        <v>0.31</v>
      </c>
      <c r="BL1822" s="53">
        <f>ROUND(HIX_SLCSP11[[#This Row],[Weighting Factor 2022]]*HIX_SLCSP11[[#This Row],[2022]],2)</f>
        <v>0.36</v>
      </c>
      <c r="BM1822" s="53">
        <f>ROUND(HIX_SLCSP11[[#This Row],[Weighting Factor 2023]]*HIX_SLCSP11[[#This Row],[2023]],2)</f>
        <v>0.27</v>
      </c>
    </row>
    <row r="1823" spans="4:65" x14ac:dyDescent="0.35">
      <c r="D1823" t="s">
        <v>539</v>
      </c>
      <c r="E1823" t="s">
        <v>619</v>
      </c>
      <c r="F1823" s="23">
        <v>25</v>
      </c>
      <c r="G1823" s="23" t="s">
        <v>540</v>
      </c>
      <c r="H1823" s="23" t="s">
        <v>620</v>
      </c>
      <c r="I1823" s="23">
        <v>36</v>
      </c>
      <c r="J1823" s="53">
        <v>349.87</v>
      </c>
      <c r="K1823" s="53">
        <v>492.28</v>
      </c>
      <c r="L1823" s="53">
        <v>838.94</v>
      </c>
      <c r="M1823" s="54">
        <f t="shared" si="34"/>
        <v>1.7041927358413913</v>
      </c>
      <c r="N1823" s="24">
        <v>32</v>
      </c>
      <c r="O1823" s="55">
        <v>434.12</v>
      </c>
      <c r="P1823" s="56">
        <v>490.93</v>
      </c>
      <c r="Q1823" s="56">
        <v>836.63</v>
      </c>
      <c r="R1823" s="57">
        <f t="shared" si="35"/>
        <v>1.7041737111197115</v>
      </c>
      <c r="S1823" s="23">
        <v>36</v>
      </c>
      <c r="T1823" s="53">
        <v>378.06</v>
      </c>
      <c r="U1823" s="53">
        <v>398.43</v>
      </c>
      <c r="V1823" s="53">
        <v>679</v>
      </c>
      <c r="W1823" s="57">
        <f t="shared" si="36"/>
        <v>1.7041889415957634</v>
      </c>
      <c r="X1823" s="47">
        <v>32</v>
      </c>
      <c r="Y1823" s="58">
        <v>459.96</v>
      </c>
      <c r="Z1823" s="58">
        <v>533.76</v>
      </c>
      <c r="AA1823" s="58">
        <v>909.63</v>
      </c>
      <c r="AB1823" s="57">
        <f t="shared" si="37"/>
        <v>1.7041928956834533</v>
      </c>
      <c r="AC1823" s="47">
        <v>40</v>
      </c>
      <c r="AD1823" s="57">
        <v>443.66</v>
      </c>
      <c r="AE1823" s="57">
        <v>443.66</v>
      </c>
      <c r="AF1823" s="57">
        <v>756.08</v>
      </c>
      <c r="AG1823" s="57">
        <f t="shared" si="38"/>
        <v>1.7041878916287247</v>
      </c>
      <c r="AH1823" s="47">
        <v>64</v>
      </c>
      <c r="AI1823">
        <v>478.89</v>
      </c>
      <c r="AJ1823">
        <v>483.2</v>
      </c>
      <c r="AK1823">
        <v>823.47</v>
      </c>
      <c r="AL1823" s="57">
        <f t="shared" si="15"/>
        <v>1.7042011589403974</v>
      </c>
      <c r="AM1823" s="59">
        <v>2332</v>
      </c>
      <c r="AN1823" s="59">
        <f>SUMIFS(HIX_RatingAreas8[Silver Enrollments 2018],HIX_RatingAreas8[Area],HIX_SLCSP11[[#This Row],[Area Code]])</f>
        <v>1886</v>
      </c>
      <c r="AO1823" s="59">
        <f>SUMIFS(HIX_RatingAreas8[Silver Enrollments 2019],HIX_RatingAreas8[Area],HIX_SLCSP11[[#This Row],[Area Code]])</f>
        <v>2129</v>
      </c>
      <c r="AP1823" s="59">
        <f>SUMIFS(HIX_RatingAreas8[Silver Enrollments 2020],HIX_RatingAreas8[Area],HIX_SLCSP11[[#This Row],[Area Code]])</f>
        <v>2643</v>
      </c>
      <c r="AQ1823" s="59">
        <f>SUMIFS(HIX_RatingAreas8[Silver Enrollments 2021],HIX_RatingAreas8[Area],HIX_SLCSP11[[#This Row],[Area Code]])</f>
        <v>3243</v>
      </c>
      <c r="AR1823" s="59">
        <f>SUMIFS(HIX_RatingAreas8[Silver Enrollments 2022],HIX_RatingAreas8[Area],HIX_SLCSP11[[#This Row],[Area Code]])</f>
        <v>4263</v>
      </c>
      <c r="AS1823" s="59">
        <f>SUMIFS(HIX_RatingAreas8[Silver Enrollments 2023],HIX_RatingAreas8[Area],HIX_SLCSP11[[#This Row],[Area Code]])</f>
        <v>4263</v>
      </c>
      <c r="AT1823" s="59">
        <v>2641</v>
      </c>
      <c r="AU1823">
        <f t="shared" si="28"/>
        <v>1.5153723363357712E-3</v>
      </c>
      <c r="AV1823">
        <f>SUMIFS(HIX_RatingAreas8[QHP Enrollments 2018],HIX_RatingAreas8[Area],HIX_SLCSP11[[#This Row],[Area Code]])</f>
        <v>2337</v>
      </c>
      <c r="AW1823">
        <f t="shared" si="29"/>
        <v>1.362502667286993E-3</v>
      </c>
      <c r="AX1823">
        <f>SUMIFS(HIX_RatingAreas8[QHP Enrollments 2019],HIX_RatingAreas8[Area],HIX_SLCSP11[[#This Row],[Area Code]])</f>
        <v>2680</v>
      </c>
      <c r="AY1823">
        <f t="shared" si="30"/>
        <v>1.502828457739118E-3</v>
      </c>
      <c r="AZ1823">
        <f>SUMIFS(HIX_RatingAreas8[QHP Enrollments 2020],HIX_RatingAreas8[Area],HIX_SLCSP11[[#This Row],[Area Code]])</f>
        <v>3280</v>
      </c>
      <c r="BA1823">
        <f t="shared" si="31"/>
        <v>1.713710994135242E-3</v>
      </c>
      <c r="BB1823">
        <f>SUMIFS(HIX_RatingAreas8[QHP Enrollments 2021],HIX_RatingAreas8[Area],HIX_SLCSP11[[#This Row],[Area Code]])</f>
        <v>4043</v>
      </c>
      <c r="BC1823">
        <f t="shared" si="32"/>
        <v>1.9067606763034405E-3</v>
      </c>
      <c r="BD1823">
        <f>SUMIFS(HIX_RatingAreas8[QHP Enrollments 2022],HIX_RatingAreas8[Area],HIX_SLCSP11[[#This Row],[Area Code]])</f>
        <v>5554</v>
      </c>
      <c r="BE1823">
        <f t="shared" si="33"/>
        <v>2.0395917291140151E-3</v>
      </c>
      <c r="BF1823">
        <f>SUMIFS(HIX_RatingAreas8[QHP Enrollments 2023],HIX_RatingAreas8[Area],HIX_SLCSP11[[#This Row],[Area Code]])</f>
        <v>5554</v>
      </c>
      <c r="BG1823">
        <f t="shared" si="39"/>
        <v>2.0395917291140151E-3</v>
      </c>
      <c r="BH1823" s="53">
        <f>ROUND(HIX_SLCSP11[[#This Row],[Weighting Factor 2018]]*HIX_SLCSP11[[#This Row],[2018]],2)</f>
        <v>0.67</v>
      </c>
      <c r="BI1823" s="53">
        <f>ROUND(HIX_SLCSP11[[#This Row],[Weighting Factor 2019]]*HIX_SLCSP11[[#This Row],[2019]],2)</f>
        <v>0.74</v>
      </c>
      <c r="BJ1823" s="53">
        <f>ROUND(HIX_SLCSP11[[#This Row],[Weighting Factor 2020]]*HIX_SLCSP11[[#This Row],[2020]],2)</f>
        <v>0.68</v>
      </c>
      <c r="BK1823" s="53">
        <f>ROUND(HIX_SLCSP11[[#This Row],[Weighting Factor 2021]]*HIX_SLCSP11[[#This Row],[2021]],2)</f>
        <v>1.02</v>
      </c>
      <c r="BL1823" s="53">
        <f>ROUND(HIX_SLCSP11[[#This Row],[Weighting Factor 2022]]*HIX_SLCSP11[[#This Row],[2022]],2)</f>
        <v>0.9</v>
      </c>
      <c r="BM1823" s="53">
        <f>ROUND(HIX_SLCSP11[[#This Row],[Weighting Factor 2023]]*HIX_SLCSP11[[#This Row],[2023]],2)</f>
        <v>0.99</v>
      </c>
    </row>
    <row r="1824" spans="4:65" x14ac:dyDescent="0.35">
      <c r="D1824" t="s">
        <v>539</v>
      </c>
      <c r="E1824" t="s">
        <v>623</v>
      </c>
      <c r="F1824" s="23">
        <v>26</v>
      </c>
      <c r="G1824" s="23" t="s">
        <v>540</v>
      </c>
      <c r="H1824" s="23" t="s">
        <v>624</v>
      </c>
      <c r="I1824" s="23">
        <v>115</v>
      </c>
      <c r="J1824" s="53">
        <v>288.08</v>
      </c>
      <c r="K1824" s="53">
        <v>358.46</v>
      </c>
      <c r="L1824" s="53">
        <v>610.88</v>
      </c>
      <c r="M1824" s="54">
        <f t="shared" si="34"/>
        <v>1.7041789878926519</v>
      </c>
      <c r="N1824" s="24">
        <v>96</v>
      </c>
      <c r="O1824" s="55">
        <v>357.6</v>
      </c>
      <c r="P1824" s="56">
        <v>381.63</v>
      </c>
      <c r="Q1824" s="56">
        <v>650.37</v>
      </c>
      <c r="R1824" s="57">
        <f t="shared" si="35"/>
        <v>1.7041899221759296</v>
      </c>
      <c r="S1824" s="23">
        <v>115</v>
      </c>
      <c r="T1824" s="53">
        <v>278.64999999999998</v>
      </c>
      <c r="U1824" s="53">
        <v>299.29000000000002</v>
      </c>
      <c r="V1824" s="53">
        <v>510.06</v>
      </c>
      <c r="W1824" s="57">
        <f t="shared" si="36"/>
        <v>1.7042333522670319</v>
      </c>
      <c r="X1824" s="47">
        <v>184</v>
      </c>
      <c r="Y1824" s="58">
        <v>277.61</v>
      </c>
      <c r="Z1824" s="58">
        <v>285.67</v>
      </c>
      <c r="AA1824" s="58">
        <v>486.84</v>
      </c>
      <c r="AB1824" s="57">
        <f t="shared" si="37"/>
        <v>1.7042041516435045</v>
      </c>
      <c r="AC1824" s="47">
        <v>204</v>
      </c>
      <c r="AD1824" s="57">
        <v>271.27</v>
      </c>
      <c r="AE1824" s="57">
        <v>277.61</v>
      </c>
      <c r="AF1824" s="57">
        <v>473.11</v>
      </c>
      <c r="AG1824" s="57">
        <f t="shared" si="38"/>
        <v>1.704225352112676</v>
      </c>
      <c r="AH1824" s="47">
        <v>186</v>
      </c>
      <c r="AI1824">
        <v>298.10000000000002</v>
      </c>
      <c r="AJ1824">
        <v>325.01</v>
      </c>
      <c r="AK1824">
        <v>553.89</v>
      </c>
      <c r="AL1824" s="57">
        <f t="shared" si="15"/>
        <v>1.7042244854004491</v>
      </c>
      <c r="AM1824" s="59">
        <v>9962</v>
      </c>
      <c r="AN1824" s="59">
        <f>SUMIFS(HIX_RatingAreas8[Silver Enrollments 2018],HIX_RatingAreas8[Area],HIX_SLCSP11[[#This Row],[Area Code]])</f>
        <v>7741</v>
      </c>
      <c r="AO1824" s="59">
        <f>SUMIFS(HIX_RatingAreas8[Silver Enrollments 2019],HIX_RatingAreas8[Area],HIX_SLCSP11[[#This Row],[Area Code]])</f>
        <v>7841</v>
      </c>
      <c r="AP1824" s="59">
        <f>SUMIFS(HIX_RatingAreas8[Silver Enrollments 2020],HIX_RatingAreas8[Area],HIX_SLCSP11[[#This Row],[Area Code]])</f>
        <v>8101</v>
      </c>
      <c r="AQ1824" s="59">
        <f>SUMIFS(HIX_RatingAreas8[Silver Enrollments 2021],HIX_RatingAreas8[Area],HIX_SLCSP11[[#This Row],[Area Code]])</f>
        <v>8286</v>
      </c>
      <c r="AR1824" s="59">
        <f>SUMIFS(HIX_RatingAreas8[Silver Enrollments 2022],HIX_RatingAreas8[Area],HIX_SLCSP11[[#This Row],[Area Code]])</f>
        <v>10419</v>
      </c>
      <c r="AS1824" s="59">
        <f>SUMIFS(HIX_RatingAreas8[Silver Enrollments 2023],HIX_RatingAreas8[Area],HIX_SLCSP11[[#This Row],[Area Code]])</f>
        <v>10419</v>
      </c>
      <c r="AT1824" s="59">
        <v>12035</v>
      </c>
      <c r="AU1824">
        <f t="shared" si="28"/>
        <v>6.9055305065509297E-3</v>
      </c>
      <c r="AV1824">
        <f>SUMIFS(HIX_RatingAreas8[QHP Enrollments 2018],HIX_RatingAreas8[Area],HIX_SLCSP11[[#This Row],[Area Code]])</f>
        <v>11414</v>
      </c>
      <c r="AW1824">
        <f t="shared" si="29"/>
        <v>6.6545166642763111E-3</v>
      </c>
      <c r="AX1824">
        <f>SUMIFS(HIX_RatingAreas8[QHP Enrollments 2019],HIX_RatingAreas8[Area],HIX_SLCSP11[[#This Row],[Area Code]])</f>
        <v>11802</v>
      </c>
      <c r="AY1824">
        <f t="shared" si="30"/>
        <v>6.6180527829242802E-3</v>
      </c>
      <c r="AZ1824">
        <f>SUMIFS(HIX_RatingAreas8[QHP Enrollments 2020],HIX_RatingAreas8[Area],HIX_SLCSP11[[#This Row],[Area Code]])</f>
        <v>12350</v>
      </c>
      <c r="BA1824">
        <f t="shared" si="31"/>
        <v>6.4525398712104391E-3</v>
      </c>
      <c r="BB1824">
        <f>SUMIFS(HIX_RatingAreas8[QHP Enrollments 2021],HIX_RatingAreas8[Area],HIX_SLCSP11[[#This Row],[Area Code]])</f>
        <v>12981</v>
      </c>
      <c r="BC1824">
        <f t="shared" si="32"/>
        <v>6.1221024830806232E-3</v>
      </c>
      <c r="BD1824">
        <f>SUMIFS(HIX_RatingAreas8[QHP Enrollments 2022],HIX_RatingAreas8[Area],HIX_SLCSP11[[#This Row],[Area Code]])</f>
        <v>16658</v>
      </c>
      <c r="BE1824">
        <f t="shared" si="33"/>
        <v>6.1173062700002273E-3</v>
      </c>
      <c r="BF1824">
        <f>SUMIFS(HIX_RatingAreas8[QHP Enrollments 2023],HIX_RatingAreas8[Area],HIX_SLCSP11[[#This Row],[Area Code]])</f>
        <v>16658</v>
      </c>
      <c r="BG1824">
        <f t="shared" si="39"/>
        <v>6.1173062700002273E-3</v>
      </c>
      <c r="BH1824" s="53">
        <f>ROUND(HIX_SLCSP11[[#This Row],[Weighting Factor 2018]]*HIX_SLCSP11[[#This Row],[2018]],2)</f>
        <v>2.39</v>
      </c>
      <c r="BI1824" s="53">
        <f>ROUND(HIX_SLCSP11[[#This Row],[Weighting Factor 2019]]*HIX_SLCSP11[[#This Row],[2019]],2)</f>
        <v>2.5299999999999998</v>
      </c>
      <c r="BJ1824" s="53">
        <f>ROUND(HIX_SLCSP11[[#This Row],[Weighting Factor 2020]]*HIX_SLCSP11[[#This Row],[2020]],2)</f>
        <v>1.93</v>
      </c>
      <c r="BK1824" s="53">
        <f>ROUND(HIX_SLCSP11[[#This Row],[Weighting Factor 2021]]*HIX_SLCSP11[[#This Row],[2021]],2)</f>
        <v>1.75</v>
      </c>
      <c r="BL1824" s="53">
        <f>ROUND(HIX_SLCSP11[[#This Row],[Weighting Factor 2022]]*HIX_SLCSP11[[#This Row],[2022]],2)</f>
        <v>1.7</v>
      </c>
      <c r="BM1824" s="53">
        <f>ROUND(HIX_SLCSP11[[#This Row],[Weighting Factor 2023]]*HIX_SLCSP11[[#This Row],[2023]],2)</f>
        <v>1.99</v>
      </c>
    </row>
    <row r="1825" spans="4:65" x14ac:dyDescent="0.35">
      <c r="D1825" t="s">
        <v>539</v>
      </c>
      <c r="E1825" t="s">
        <v>627</v>
      </c>
      <c r="F1825" s="23">
        <v>27</v>
      </c>
      <c r="G1825" s="23" t="s">
        <v>540</v>
      </c>
      <c r="H1825" s="23" t="s">
        <v>628</v>
      </c>
      <c r="I1825" s="23">
        <v>77</v>
      </c>
      <c r="J1825" s="53">
        <v>317.35000000000002</v>
      </c>
      <c r="K1825" s="53">
        <v>434.26</v>
      </c>
      <c r="L1825" s="53">
        <v>740.06</v>
      </c>
      <c r="M1825" s="54">
        <f t="shared" si="34"/>
        <v>1.7041864320913738</v>
      </c>
      <c r="N1825" s="24">
        <v>80</v>
      </c>
      <c r="O1825" s="55">
        <v>370.94</v>
      </c>
      <c r="P1825" s="56">
        <v>394.86</v>
      </c>
      <c r="Q1825" s="56">
        <v>672.92</v>
      </c>
      <c r="R1825" s="57">
        <f t="shared" si="35"/>
        <v>1.7041989565922098</v>
      </c>
      <c r="S1825" s="23">
        <v>77</v>
      </c>
      <c r="T1825" s="53">
        <v>310.23</v>
      </c>
      <c r="U1825" s="53">
        <v>380.25</v>
      </c>
      <c r="V1825" s="53">
        <v>648.01</v>
      </c>
      <c r="W1825" s="57">
        <f t="shared" si="36"/>
        <v>1.7041683103221565</v>
      </c>
      <c r="X1825" s="47">
        <v>117</v>
      </c>
      <c r="Y1825" s="58">
        <v>272.7</v>
      </c>
      <c r="Z1825" s="58">
        <v>280.27</v>
      </c>
      <c r="AA1825" s="58">
        <v>477.64</v>
      </c>
      <c r="AB1825" s="57">
        <f t="shared" si="37"/>
        <v>1.7042137938416528</v>
      </c>
      <c r="AC1825" s="47">
        <v>137</v>
      </c>
      <c r="AD1825" s="57">
        <v>289.42</v>
      </c>
      <c r="AE1825" s="57">
        <v>303.12</v>
      </c>
      <c r="AF1825" s="57">
        <v>516.57000000000005</v>
      </c>
      <c r="AG1825" s="57">
        <f t="shared" si="38"/>
        <v>1.704176563737134</v>
      </c>
      <c r="AH1825" s="47">
        <v>152</v>
      </c>
      <c r="AI1825">
        <v>312.29000000000002</v>
      </c>
      <c r="AJ1825">
        <v>313.8</v>
      </c>
      <c r="AK1825">
        <v>534.78</v>
      </c>
      <c r="AL1825" s="57">
        <f t="shared" si="15"/>
        <v>1.7042065009560228</v>
      </c>
      <c r="AM1825" s="59">
        <v>4317</v>
      </c>
      <c r="AN1825" s="59">
        <f>SUMIFS(HIX_RatingAreas8[Silver Enrollments 2018],HIX_RatingAreas8[Area],HIX_SLCSP11[[#This Row],[Area Code]])</f>
        <v>3669</v>
      </c>
      <c r="AO1825" s="59">
        <f>SUMIFS(HIX_RatingAreas8[Silver Enrollments 2019],HIX_RatingAreas8[Area],HIX_SLCSP11[[#This Row],[Area Code]])</f>
        <v>3910</v>
      </c>
      <c r="AP1825" s="59">
        <f>SUMIFS(HIX_RatingAreas8[Silver Enrollments 2020],HIX_RatingAreas8[Area],HIX_SLCSP11[[#This Row],[Area Code]])</f>
        <v>4270</v>
      </c>
      <c r="AQ1825" s="59">
        <f>SUMIFS(HIX_RatingAreas8[Silver Enrollments 2021],HIX_RatingAreas8[Area],HIX_SLCSP11[[#This Row],[Area Code]])</f>
        <v>3766</v>
      </c>
      <c r="AR1825" s="59">
        <f>SUMIFS(HIX_RatingAreas8[Silver Enrollments 2022],HIX_RatingAreas8[Area],HIX_SLCSP11[[#This Row],[Area Code]])</f>
        <v>4344</v>
      </c>
      <c r="AS1825" s="59">
        <f>SUMIFS(HIX_RatingAreas8[Silver Enrollments 2023],HIX_RatingAreas8[Area],HIX_SLCSP11[[#This Row],[Area Code]])</f>
        <v>4344</v>
      </c>
      <c r="AT1825" s="59">
        <v>5310</v>
      </c>
      <c r="AU1825">
        <f t="shared" si="28"/>
        <v>3.0468107178882788E-3</v>
      </c>
      <c r="AV1825">
        <f>SUMIFS(HIX_RatingAreas8[QHP Enrollments 2018],HIX_RatingAreas8[Area],HIX_SLCSP11[[#This Row],[Area Code]])</f>
        <v>5038</v>
      </c>
      <c r="AW1825">
        <f t="shared" si="29"/>
        <v>2.9372222669199278E-3</v>
      </c>
      <c r="AX1825">
        <f>SUMIFS(HIX_RatingAreas8[QHP Enrollments 2019],HIX_RatingAreas8[Area],HIX_SLCSP11[[#This Row],[Area Code]])</f>
        <v>5521</v>
      </c>
      <c r="AY1825">
        <f t="shared" si="30"/>
        <v>3.0959387743200264E-3</v>
      </c>
      <c r="AZ1825">
        <f>SUMIFS(HIX_RatingAreas8[QHP Enrollments 2020],HIX_RatingAreas8[Area],HIX_SLCSP11[[#This Row],[Area Code]])</f>
        <v>6053</v>
      </c>
      <c r="BA1825">
        <f t="shared" si="31"/>
        <v>3.1625282461892135E-3</v>
      </c>
      <c r="BB1825">
        <f>SUMIFS(HIX_RatingAreas8[QHP Enrollments 2021],HIX_RatingAreas8[Area],HIX_SLCSP11[[#This Row],[Area Code]])</f>
        <v>6354</v>
      </c>
      <c r="BC1825">
        <f t="shared" si="32"/>
        <v>2.996675077227816E-3</v>
      </c>
      <c r="BD1825">
        <f>SUMIFS(HIX_RatingAreas8[QHP Enrollments 2022],HIX_RatingAreas8[Area],HIX_SLCSP11[[#This Row],[Area Code]])</f>
        <v>7946</v>
      </c>
      <c r="BE1825">
        <f t="shared" si="33"/>
        <v>2.9180042995210595E-3</v>
      </c>
      <c r="BF1825">
        <f>SUMIFS(HIX_RatingAreas8[QHP Enrollments 2023],HIX_RatingAreas8[Area],HIX_SLCSP11[[#This Row],[Area Code]])</f>
        <v>7946</v>
      </c>
      <c r="BG1825">
        <f t="shared" si="39"/>
        <v>2.9180042995210595E-3</v>
      </c>
      <c r="BH1825" s="53">
        <f>ROUND(HIX_SLCSP11[[#This Row],[Weighting Factor 2018]]*HIX_SLCSP11[[#This Row],[2018]],2)</f>
        <v>1.28</v>
      </c>
      <c r="BI1825" s="53">
        <f>ROUND(HIX_SLCSP11[[#This Row],[Weighting Factor 2019]]*HIX_SLCSP11[[#This Row],[2019]],2)</f>
        <v>1.22</v>
      </c>
      <c r="BJ1825" s="53">
        <f>ROUND(HIX_SLCSP11[[#This Row],[Weighting Factor 2020]]*HIX_SLCSP11[[#This Row],[2020]],2)</f>
        <v>1.2</v>
      </c>
      <c r="BK1825" s="53">
        <f>ROUND(HIX_SLCSP11[[#This Row],[Weighting Factor 2021]]*HIX_SLCSP11[[#This Row],[2021]],2)</f>
        <v>0.84</v>
      </c>
      <c r="BL1825" s="53">
        <f>ROUND(HIX_SLCSP11[[#This Row],[Weighting Factor 2022]]*HIX_SLCSP11[[#This Row],[2022]],2)</f>
        <v>0.88</v>
      </c>
      <c r="BM1825" s="53">
        <f>ROUND(HIX_SLCSP11[[#This Row],[Weighting Factor 2023]]*HIX_SLCSP11[[#This Row],[2023]],2)</f>
        <v>0.92</v>
      </c>
    </row>
    <row r="1826" spans="4:65" x14ac:dyDescent="0.35">
      <c r="D1826" t="s">
        <v>539</v>
      </c>
      <c r="E1826" t="s">
        <v>631</v>
      </c>
      <c r="F1826" s="23">
        <v>28</v>
      </c>
      <c r="G1826" s="23" t="s">
        <v>540</v>
      </c>
      <c r="H1826" s="23" t="s">
        <v>632</v>
      </c>
      <c r="I1826" s="23">
        <v>143</v>
      </c>
      <c r="J1826" s="53">
        <v>318.79000000000002</v>
      </c>
      <c r="K1826" s="53">
        <v>350.67</v>
      </c>
      <c r="L1826" s="53">
        <v>597.62</v>
      </c>
      <c r="M1826" s="54">
        <f t="shared" si="34"/>
        <v>1.7042233438845638</v>
      </c>
      <c r="N1826" s="24">
        <v>100</v>
      </c>
      <c r="O1826" s="55">
        <v>383.1</v>
      </c>
      <c r="P1826" s="56">
        <v>389.56</v>
      </c>
      <c r="Q1826" s="56">
        <v>663.88</v>
      </c>
      <c r="R1826" s="57">
        <f t="shared" si="35"/>
        <v>1.7041790738268816</v>
      </c>
      <c r="S1826" s="23">
        <v>143</v>
      </c>
      <c r="T1826" s="53">
        <v>280.49</v>
      </c>
      <c r="U1826" s="53">
        <v>284.23</v>
      </c>
      <c r="V1826" s="53">
        <v>484.38</v>
      </c>
      <c r="W1826" s="57">
        <f t="shared" si="36"/>
        <v>1.7041832318896666</v>
      </c>
      <c r="X1826" s="47">
        <v>206</v>
      </c>
      <c r="Y1826" s="58">
        <v>271.24</v>
      </c>
      <c r="Z1826" s="58">
        <v>278.76</v>
      </c>
      <c r="AA1826" s="58">
        <v>475.07</v>
      </c>
      <c r="AB1826" s="57">
        <f t="shared" si="37"/>
        <v>1.7042258573683455</v>
      </c>
      <c r="AC1826" s="47">
        <v>316</v>
      </c>
      <c r="AD1826" s="57">
        <v>274.08999999999997</v>
      </c>
      <c r="AE1826" s="57">
        <v>279.67</v>
      </c>
      <c r="AF1826" s="57">
        <v>476.62</v>
      </c>
      <c r="AG1826" s="57">
        <f t="shared" si="38"/>
        <v>1.7042228340544212</v>
      </c>
      <c r="AH1826" s="47">
        <v>282</v>
      </c>
      <c r="AI1826">
        <v>283.41000000000003</v>
      </c>
      <c r="AJ1826">
        <v>293.77999999999997</v>
      </c>
      <c r="AK1826">
        <v>500.66</v>
      </c>
      <c r="AL1826" s="57">
        <f t="shared" si="15"/>
        <v>1.7042004220845532</v>
      </c>
      <c r="AM1826" s="59">
        <v>65078</v>
      </c>
      <c r="AN1826" s="59">
        <f>SUMIFS(HIX_RatingAreas8[Silver Enrollments 2018],HIX_RatingAreas8[Area],HIX_SLCSP11[[#This Row],[Area Code]])</f>
        <v>50034</v>
      </c>
      <c r="AO1826" s="59">
        <f>SUMIFS(HIX_RatingAreas8[Silver Enrollments 2019],HIX_RatingAreas8[Area],HIX_SLCSP11[[#This Row],[Area Code]])</f>
        <v>50137</v>
      </c>
      <c r="AP1826" s="59">
        <f>SUMIFS(HIX_RatingAreas8[Silver Enrollments 2020],HIX_RatingAreas8[Area],HIX_SLCSP11[[#This Row],[Area Code]])</f>
        <v>54799</v>
      </c>
      <c r="AQ1826" s="59">
        <f>SUMIFS(HIX_RatingAreas8[Silver Enrollments 2021],HIX_RatingAreas8[Area],HIX_SLCSP11[[#This Row],[Area Code]])</f>
        <v>60203</v>
      </c>
      <c r="AR1826" s="59">
        <f>SUMIFS(HIX_RatingAreas8[Silver Enrollments 2022],HIX_RatingAreas8[Area],HIX_SLCSP11[[#This Row],[Area Code]])</f>
        <v>84285</v>
      </c>
      <c r="AS1826" s="59">
        <f>SUMIFS(HIX_RatingAreas8[Silver Enrollments 2023],HIX_RatingAreas8[Area],HIX_SLCSP11[[#This Row],[Area Code]])</f>
        <v>84285</v>
      </c>
      <c r="AT1826" s="59">
        <v>83941</v>
      </c>
      <c r="AU1826">
        <f t="shared" si="28"/>
        <v>4.8164282197789079E-2</v>
      </c>
      <c r="AV1826">
        <f>SUMIFS(HIX_RatingAreas8[QHP Enrollments 2018],HIX_RatingAreas8[Area],HIX_SLCSP11[[#This Row],[Area Code]])</f>
        <v>81954</v>
      </c>
      <c r="AW1826">
        <f t="shared" si="29"/>
        <v>4.7780292509558508E-2</v>
      </c>
      <c r="AX1826">
        <f>SUMIFS(HIX_RatingAreas8[QHP Enrollments 2019],HIX_RatingAreas8[Area],HIX_SLCSP11[[#This Row],[Area Code]])</f>
        <v>82742</v>
      </c>
      <c r="AY1826">
        <f t="shared" si="30"/>
        <v>4.639814636203362E-2</v>
      </c>
      <c r="AZ1826">
        <f>SUMIFS(HIX_RatingAreas8[QHP Enrollments 2020],HIX_RatingAreas8[Area],HIX_SLCSP11[[#This Row],[Area Code]])</f>
        <v>90451</v>
      </c>
      <c r="BA1826">
        <f t="shared" si="31"/>
        <v>4.7258193027599628E-2</v>
      </c>
      <c r="BB1826">
        <f>SUMIFS(HIX_RatingAreas8[QHP Enrollments 2021],HIX_RatingAreas8[Area],HIX_SLCSP11[[#This Row],[Area Code]])</f>
        <v>100688</v>
      </c>
      <c r="BC1826">
        <f t="shared" si="32"/>
        <v>4.7486499870304434E-2</v>
      </c>
      <c r="BD1826">
        <f>SUMIFS(HIX_RatingAreas8[QHP Enrollments 2022],HIX_RatingAreas8[Area],HIX_SLCSP11[[#This Row],[Area Code]])</f>
        <v>140075</v>
      </c>
      <c r="BE1826">
        <f t="shared" si="33"/>
        <v>5.1439649163782082E-2</v>
      </c>
      <c r="BF1826">
        <f>SUMIFS(HIX_RatingAreas8[QHP Enrollments 2023],HIX_RatingAreas8[Area],HIX_SLCSP11[[#This Row],[Area Code]])</f>
        <v>140075</v>
      </c>
      <c r="BG1826">
        <f t="shared" si="39"/>
        <v>5.1439649163782082E-2</v>
      </c>
      <c r="BH1826" s="53">
        <f>ROUND(HIX_SLCSP11[[#This Row],[Weighting Factor 2018]]*HIX_SLCSP11[[#This Row],[2018]],2)</f>
        <v>16.760000000000002</v>
      </c>
      <c r="BI1826" s="53">
        <f>ROUND(HIX_SLCSP11[[#This Row],[Weighting Factor 2019]]*HIX_SLCSP11[[#This Row],[2019]],2)</f>
        <v>18.07</v>
      </c>
      <c r="BJ1826" s="53">
        <f>ROUND(HIX_SLCSP11[[#This Row],[Weighting Factor 2020]]*HIX_SLCSP11[[#This Row],[2020]],2)</f>
        <v>13.43</v>
      </c>
      <c r="BK1826" s="53">
        <f>ROUND(HIX_SLCSP11[[#This Row],[Weighting Factor 2021]]*HIX_SLCSP11[[#This Row],[2021]],2)</f>
        <v>13.24</v>
      </c>
      <c r="BL1826" s="53">
        <f>ROUND(HIX_SLCSP11[[#This Row],[Weighting Factor 2022]]*HIX_SLCSP11[[#This Row],[2022]],2)</f>
        <v>14.39</v>
      </c>
      <c r="BM1826" s="53">
        <f>ROUND(HIX_SLCSP11[[#This Row],[Weighting Factor 2023]]*HIX_SLCSP11[[#This Row],[2023]],2)</f>
        <v>15.11</v>
      </c>
    </row>
    <row r="1827" spans="4:65" x14ac:dyDescent="0.35">
      <c r="D1827" t="s">
        <v>539</v>
      </c>
      <c r="E1827" t="s">
        <v>635</v>
      </c>
      <c r="F1827" s="23">
        <v>29</v>
      </c>
      <c r="G1827" s="23" t="s">
        <v>540</v>
      </c>
      <c r="H1827" s="23" t="s">
        <v>636</v>
      </c>
      <c r="I1827" s="23">
        <v>16</v>
      </c>
      <c r="J1827" s="53">
        <v>462.53</v>
      </c>
      <c r="K1827" s="53">
        <v>604.92999999999995</v>
      </c>
      <c r="L1827" s="53">
        <v>1030.9100000000001</v>
      </c>
      <c r="M1827" s="54">
        <f t="shared" si="34"/>
        <v>1.7041806490007112</v>
      </c>
      <c r="N1827" s="24">
        <v>16</v>
      </c>
      <c r="O1827" s="55">
        <v>530.1</v>
      </c>
      <c r="P1827" s="56">
        <v>573</v>
      </c>
      <c r="Q1827" s="56">
        <v>976.51</v>
      </c>
      <c r="R1827" s="57">
        <f t="shared" si="35"/>
        <v>1.7042059336823734</v>
      </c>
      <c r="S1827" s="23">
        <v>16</v>
      </c>
      <c r="T1827" s="53">
        <v>508</v>
      </c>
      <c r="U1827" s="53">
        <v>547.97</v>
      </c>
      <c r="V1827" s="53">
        <v>933.85</v>
      </c>
      <c r="W1827" s="57">
        <f t="shared" si="36"/>
        <v>1.7041991349891417</v>
      </c>
      <c r="X1827" s="47">
        <v>101</v>
      </c>
      <c r="Y1827" s="58">
        <v>324.86</v>
      </c>
      <c r="Z1827" s="58">
        <v>324.86</v>
      </c>
      <c r="AA1827" s="58">
        <v>553.63</v>
      </c>
      <c r="AB1827" s="57">
        <f t="shared" si="37"/>
        <v>1.7042110447577417</v>
      </c>
      <c r="AC1827" s="47">
        <v>89</v>
      </c>
      <c r="AD1827" s="57">
        <v>319.73</v>
      </c>
      <c r="AE1827" s="57">
        <v>334.87</v>
      </c>
      <c r="AF1827" s="57">
        <v>570.67999999999995</v>
      </c>
      <c r="AG1827" s="57">
        <f t="shared" si="38"/>
        <v>1.7041837130826887</v>
      </c>
      <c r="AH1827" s="47">
        <v>100</v>
      </c>
      <c r="AI1827">
        <v>380.2</v>
      </c>
      <c r="AJ1827">
        <v>382.04</v>
      </c>
      <c r="AK1827">
        <v>651.08000000000004</v>
      </c>
      <c r="AL1827" s="57">
        <f t="shared" si="15"/>
        <v>1.7042194534603707</v>
      </c>
      <c r="AM1827" s="59">
        <v>649</v>
      </c>
      <c r="AN1827" s="59">
        <f>SUMIFS(HIX_RatingAreas8[Silver Enrollments 2018],HIX_RatingAreas8[Area],HIX_SLCSP11[[#This Row],[Area Code]])</f>
        <v>596</v>
      </c>
      <c r="AO1827" s="59">
        <f>SUMIFS(HIX_RatingAreas8[Silver Enrollments 2019],HIX_RatingAreas8[Area],HIX_SLCSP11[[#This Row],[Area Code]])</f>
        <v>599</v>
      </c>
      <c r="AP1827" s="59">
        <f>SUMIFS(HIX_RatingAreas8[Silver Enrollments 2020],HIX_RatingAreas8[Area],HIX_SLCSP11[[#This Row],[Area Code]])</f>
        <v>660</v>
      </c>
      <c r="AQ1827" s="59">
        <f>SUMIFS(HIX_RatingAreas8[Silver Enrollments 2021],HIX_RatingAreas8[Area],HIX_SLCSP11[[#This Row],[Area Code]])</f>
        <v>470</v>
      </c>
      <c r="AR1827" s="59">
        <f>SUMIFS(HIX_RatingAreas8[Silver Enrollments 2022],HIX_RatingAreas8[Area],HIX_SLCSP11[[#This Row],[Area Code]])</f>
        <v>411</v>
      </c>
      <c r="AS1827" s="59">
        <f>SUMIFS(HIX_RatingAreas8[Silver Enrollments 2023],HIX_RatingAreas8[Area],HIX_SLCSP11[[#This Row],[Area Code]])</f>
        <v>411</v>
      </c>
      <c r="AT1827" s="59">
        <v>789</v>
      </c>
      <c r="AU1827">
        <f t="shared" si="28"/>
        <v>4.5271820271447309E-4</v>
      </c>
      <c r="AV1827">
        <f>SUMIFS(HIX_RatingAreas8[QHP Enrollments 2018],HIX_RatingAreas8[Area],HIX_SLCSP11[[#This Row],[Area Code]])</f>
        <v>806</v>
      </c>
      <c r="AW1827">
        <f t="shared" si="29"/>
        <v>4.6990892162315637E-4</v>
      </c>
      <c r="AX1827">
        <f>SUMIFS(HIX_RatingAreas8[QHP Enrollments 2019],HIX_RatingAreas8[Area],HIX_SLCSP11[[#This Row],[Area Code]])</f>
        <v>881</v>
      </c>
      <c r="AY1827">
        <f t="shared" si="30"/>
        <v>4.940268176373742E-4</v>
      </c>
      <c r="AZ1827">
        <f>SUMIFS(HIX_RatingAreas8[QHP Enrollments 2020],HIX_RatingAreas8[Area],HIX_SLCSP11[[#This Row],[Area Code]])</f>
        <v>998</v>
      </c>
      <c r="BA1827">
        <f t="shared" si="31"/>
        <v>5.2142791833749132E-4</v>
      </c>
      <c r="BB1827">
        <f>SUMIFS(HIX_RatingAreas8[QHP Enrollments 2021],HIX_RatingAreas8[Area],HIX_SLCSP11[[#This Row],[Area Code]])</f>
        <v>1064</v>
      </c>
      <c r="BC1827">
        <f t="shared" si="32"/>
        <v>5.0180394746150399E-4</v>
      </c>
      <c r="BD1827">
        <f>SUMIFS(HIX_RatingAreas8[QHP Enrollments 2022],HIX_RatingAreas8[Area],HIX_SLCSP11[[#This Row],[Area Code]])</f>
        <v>1249</v>
      </c>
      <c r="BE1827">
        <f t="shared" si="33"/>
        <v>4.58669439982608E-4</v>
      </c>
      <c r="BF1827">
        <f>SUMIFS(HIX_RatingAreas8[QHP Enrollments 2023],HIX_RatingAreas8[Area],HIX_SLCSP11[[#This Row],[Area Code]])</f>
        <v>1249</v>
      </c>
      <c r="BG1827">
        <f t="shared" si="39"/>
        <v>4.58669439982608E-4</v>
      </c>
      <c r="BH1827" s="53">
        <f>ROUND(HIX_SLCSP11[[#This Row],[Weighting Factor 2018]]*HIX_SLCSP11[[#This Row],[2018]],2)</f>
        <v>0.28000000000000003</v>
      </c>
      <c r="BI1827" s="53">
        <f>ROUND(HIX_SLCSP11[[#This Row],[Weighting Factor 2019]]*HIX_SLCSP11[[#This Row],[2019]],2)</f>
        <v>0.28000000000000003</v>
      </c>
      <c r="BJ1827" s="53">
        <f>ROUND(HIX_SLCSP11[[#This Row],[Weighting Factor 2020]]*HIX_SLCSP11[[#This Row],[2020]],2)</f>
        <v>0.28999999999999998</v>
      </c>
      <c r="BK1827" s="53">
        <f>ROUND(HIX_SLCSP11[[#This Row],[Weighting Factor 2021]]*HIX_SLCSP11[[#This Row],[2021]],2)</f>
        <v>0.16</v>
      </c>
      <c r="BL1827" s="53">
        <f>ROUND(HIX_SLCSP11[[#This Row],[Weighting Factor 2022]]*HIX_SLCSP11[[#This Row],[2022]],2)</f>
        <v>0.15</v>
      </c>
      <c r="BM1827" s="53">
        <f>ROUND(HIX_SLCSP11[[#This Row],[Weighting Factor 2023]]*HIX_SLCSP11[[#This Row],[2023]],2)</f>
        <v>0.18</v>
      </c>
    </row>
    <row r="1828" spans="4:65" x14ac:dyDescent="0.35">
      <c r="D1828" t="s">
        <v>539</v>
      </c>
      <c r="E1828" t="s">
        <v>639</v>
      </c>
      <c r="F1828" s="23">
        <v>30</v>
      </c>
      <c r="G1828" s="23" t="s">
        <v>540</v>
      </c>
      <c r="H1828" s="23" t="s">
        <v>640</v>
      </c>
      <c r="I1828" s="23">
        <v>33</v>
      </c>
      <c r="J1828" s="53">
        <v>284.51</v>
      </c>
      <c r="K1828" s="53">
        <v>389.32</v>
      </c>
      <c r="L1828" s="53">
        <v>663.48</v>
      </c>
      <c r="M1828" s="54">
        <f t="shared" si="34"/>
        <v>1.7042021987054352</v>
      </c>
      <c r="N1828" s="24">
        <v>32</v>
      </c>
      <c r="O1828" s="55">
        <v>353.29</v>
      </c>
      <c r="P1828" s="56">
        <v>380.52</v>
      </c>
      <c r="Q1828" s="56">
        <v>648.48</v>
      </c>
      <c r="R1828" s="57">
        <f t="shared" si="35"/>
        <v>1.7041942604856513</v>
      </c>
      <c r="S1828" s="23">
        <v>33</v>
      </c>
      <c r="T1828" s="53">
        <v>352.84</v>
      </c>
      <c r="U1828" s="53">
        <v>377.73</v>
      </c>
      <c r="V1828" s="53">
        <v>643.73</v>
      </c>
      <c r="W1828" s="57">
        <f t="shared" si="36"/>
        <v>1.7042067084954862</v>
      </c>
      <c r="X1828" s="47">
        <v>243</v>
      </c>
      <c r="Y1828" s="58">
        <v>305.87</v>
      </c>
      <c r="Z1828" s="58">
        <v>314.36</v>
      </c>
      <c r="AA1828" s="58">
        <v>535.73</v>
      </c>
      <c r="AB1828" s="57">
        <f t="shared" si="37"/>
        <v>1.7041926453747296</v>
      </c>
      <c r="AC1828" s="47">
        <v>195</v>
      </c>
      <c r="AD1828" s="57">
        <v>308.23</v>
      </c>
      <c r="AE1828" s="57">
        <v>322.82</v>
      </c>
      <c r="AF1828" s="57">
        <v>550.15</v>
      </c>
      <c r="AG1828" s="57">
        <f t="shared" si="38"/>
        <v>1.7042004832414348</v>
      </c>
      <c r="AH1828" s="47">
        <v>172</v>
      </c>
      <c r="AI1828">
        <v>329.56</v>
      </c>
      <c r="AJ1828">
        <v>330.82</v>
      </c>
      <c r="AK1828">
        <v>563.78</v>
      </c>
      <c r="AL1828" s="57">
        <f t="shared" si="15"/>
        <v>1.7041895895048667</v>
      </c>
      <c r="AM1828" s="59">
        <v>8006</v>
      </c>
      <c r="AN1828" s="59">
        <f>SUMIFS(HIX_RatingAreas8[Silver Enrollments 2018],HIX_RatingAreas8[Area],HIX_SLCSP11[[#This Row],[Area Code]])</f>
        <v>7242</v>
      </c>
      <c r="AO1828" s="59">
        <f>SUMIFS(HIX_RatingAreas8[Silver Enrollments 2019],HIX_RatingAreas8[Area],HIX_SLCSP11[[#This Row],[Area Code]])</f>
        <v>7363</v>
      </c>
      <c r="AP1828" s="59">
        <f>SUMIFS(HIX_RatingAreas8[Silver Enrollments 2020],HIX_RatingAreas8[Area],HIX_SLCSP11[[#This Row],[Area Code]])</f>
        <v>7959</v>
      </c>
      <c r="AQ1828" s="59">
        <f>SUMIFS(HIX_RatingAreas8[Silver Enrollments 2021],HIX_RatingAreas8[Area],HIX_SLCSP11[[#This Row],[Area Code]])</f>
        <v>8132</v>
      </c>
      <c r="AR1828" s="59">
        <f>SUMIFS(HIX_RatingAreas8[Silver Enrollments 2022],HIX_RatingAreas8[Area],HIX_SLCSP11[[#This Row],[Area Code]])</f>
        <v>8821</v>
      </c>
      <c r="AS1828" s="59">
        <f>SUMIFS(HIX_RatingAreas8[Silver Enrollments 2023],HIX_RatingAreas8[Area],HIX_SLCSP11[[#This Row],[Area Code]])</f>
        <v>8821</v>
      </c>
      <c r="AT1828" s="59">
        <v>10396</v>
      </c>
      <c r="AU1828">
        <f t="shared" si="28"/>
        <v>5.9650930740426647E-3</v>
      </c>
      <c r="AV1828">
        <f>SUMIFS(HIX_RatingAreas8[QHP Enrollments 2018],HIX_RatingAreas8[Area],HIX_SLCSP11[[#This Row],[Area Code]])</f>
        <v>11062</v>
      </c>
      <c r="AW1828">
        <f t="shared" si="29"/>
        <v>6.449295894535181E-3</v>
      </c>
      <c r="AX1828">
        <f>SUMIFS(HIX_RatingAreas8[QHP Enrollments 2019],HIX_RatingAreas8[Area],HIX_SLCSP11[[#This Row],[Area Code]])</f>
        <v>11692</v>
      </c>
      <c r="AY1828">
        <f t="shared" si="30"/>
        <v>6.5563695253305103E-3</v>
      </c>
      <c r="AZ1828">
        <f>SUMIFS(HIX_RatingAreas8[QHP Enrollments 2020],HIX_RatingAreas8[Area],HIX_SLCSP11[[#This Row],[Area Code]])</f>
        <v>12339</v>
      </c>
      <c r="BA1828">
        <f t="shared" si="31"/>
        <v>6.4467926697057169E-3</v>
      </c>
      <c r="BB1828">
        <f>SUMIFS(HIX_RatingAreas8[QHP Enrollments 2021],HIX_RatingAreas8[Area],HIX_SLCSP11[[#This Row],[Area Code]])</f>
        <v>13219</v>
      </c>
      <c r="BC1828">
        <f t="shared" si="32"/>
        <v>6.2343481029075391E-3</v>
      </c>
      <c r="BD1828">
        <f>SUMIFS(HIX_RatingAreas8[QHP Enrollments 2022],HIX_RatingAreas8[Area],HIX_SLCSP11[[#This Row],[Area Code]])</f>
        <v>15761</v>
      </c>
      <c r="BE1828">
        <f t="shared" si="33"/>
        <v>5.7879015560975862E-3</v>
      </c>
      <c r="BF1828">
        <f>SUMIFS(HIX_RatingAreas8[QHP Enrollments 2023],HIX_RatingAreas8[Area],HIX_SLCSP11[[#This Row],[Area Code]])</f>
        <v>15761</v>
      </c>
      <c r="BG1828">
        <f t="shared" si="39"/>
        <v>5.7879015560975862E-3</v>
      </c>
      <c r="BH1828" s="53">
        <f>ROUND(HIX_SLCSP11[[#This Row],[Weighting Factor 2018]]*HIX_SLCSP11[[#This Row],[2018]],2)</f>
        <v>2.5099999999999998</v>
      </c>
      <c r="BI1828" s="53">
        <f>ROUND(HIX_SLCSP11[[#This Row],[Weighting Factor 2019]]*HIX_SLCSP11[[#This Row],[2019]],2)</f>
        <v>2.4900000000000002</v>
      </c>
      <c r="BJ1828" s="53">
        <f>ROUND(HIX_SLCSP11[[#This Row],[Weighting Factor 2020]]*HIX_SLCSP11[[#This Row],[2020]],2)</f>
        <v>2.44</v>
      </c>
      <c r="BK1828" s="53">
        <f>ROUND(HIX_SLCSP11[[#This Row],[Weighting Factor 2021]]*HIX_SLCSP11[[#This Row],[2021]],2)</f>
        <v>1.96</v>
      </c>
      <c r="BL1828" s="53">
        <f>ROUND(HIX_SLCSP11[[#This Row],[Weighting Factor 2022]]*HIX_SLCSP11[[#This Row],[2022]],2)</f>
        <v>1.87</v>
      </c>
      <c r="BM1828" s="53">
        <f>ROUND(HIX_SLCSP11[[#This Row],[Weighting Factor 2023]]*HIX_SLCSP11[[#This Row],[2023]],2)</f>
        <v>1.91</v>
      </c>
    </row>
    <row r="1829" spans="4:65" x14ac:dyDescent="0.35">
      <c r="D1829" t="s">
        <v>539</v>
      </c>
      <c r="E1829" t="s">
        <v>643</v>
      </c>
      <c r="F1829" s="23">
        <v>31</v>
      </c>
      <c r="G1829" s="23" t="s">
        <v>540</v>
      </c>
      <c r="H1829" s="23" t="s">
        <v>644</v>
      </c>
      <c r="I1829" s="23">
        <v>16</v>
      </c>
      <c r="J1829" s="53">
        <v>464.28</v>
      </c>
      <c r="K1829" s="53">
        <v>607.21</v>
      </c>
      <c r="L1829" s="53">
        <v>1034.81</v>
      </c>
      <c r="M1829" s="54">
        <f t="shared" si="34"/>
        <v>1.7042044762108659</v>
      </c>
      <c r="N1829" s="24">
        <v>16</v>
      </c>
      <c r="O1829" s="55">
        <v>532.16</v>
      </c>
      <c r="P1829" s="56">
        <v>575.24</v>
      </c>
      <c r="Q1829" s="56">
        <v>980.32</v>
      </c>
      <c r="R1829" s="57">
        <f t="shared" si="35"/>
        <v>1.7041930324734025</v>
      </c>
      <c r="S1829" s="23">
        <v>16</v>
      </c>
      <c r="T1829" s="53">
        <v>510.04</v>
      </c>
      <c r="U1829" s="53">
        <v>550.16999999999996</v>
      </c>
      <c r="V1829" s="53">
        <v>937.6</v>
      </c>
      <c r="W1829" s="57">
        <f t="shared" si="36"/>
        <v>1.7042005198393226</v>
      </c>
      <c r="X1829" s="47">
        <v>143</v>
      </c>
      <c r="Y1829" s="58">
        <v>311.27</v>
      </c>
      <c r="Z1829" s="58">
        <v>319.91000000000003</v>
      </c>
      <c r="AA1829" s="58">
        <v>545.19000000000005</v>
      </c>
      <c r="AB1829" s="57">
        <f t="shared" si="37"/>
        <v>1.7041980557031666</v>
      </c>
      <c r="AC1829" s="47">
        <v>105</v>
      </c>
      <c r="AD1829" s="57">
        <v>320.10000000000002</v>
      </c>
      <c r="AE1829" s="57">
        <v>335.25</v>
      </c>
      <c r="AF1829" s="57">
        <v>571.33000000000004</v>
      </c>
      <c r="AG1829" s="57">
        <f t="shared" si="38"/>
        <v>1.7041909023117079</v>
      </c>
      <c r="AH1829" s="47">
        <v>100</v>
      </c>
      <c r="AI1829">
        <v>332.36</v>
      </c>
      <c r="AJ1829">
        <v>333.97</v>
      </c>
      <c r="AK1829">
        <v>569.16</v>
      </c>
      <c r="AL1829" s="57">
        <f t="shared" si="15"/>
        <v>1.7042249303829684</v>
      </c>
      <c r="AM1829" s="59">
        <v>1556</v>
      </c>
      <c r="AN1829" s="59">
        <f>SUMIFS(HIX_RatingAreas8[Silver Enrollments 2018],HIX_RatingAreas8[Area],HIX_SLCSP11[[#This Row],[Area Code]])</f>
        <v>1401</v>
      </c>
      <c r="AO1829" s="59">
        <f>SUMIFS(HIX_RatingAreas8[Silver Enrollments 2019],HIX_RatingAreas8[Area],HIX_SLCSP11[[#This Row],[Area Code]])</f>
        <v>1420</v>
      </c>
      <c r="AP1829" s="59">
        <f>SUMIFS(HIX_RatingAreas8[Silver Enrollments 2020],HIX_RatingAreas8[Area],HIX_SLCSP11[[#This Row],[Area Code]])</f>
        <v>1548</v>
      </c>
      <c r="AQ1829" s="59">
        <f>SUMIFS(HIX_RatingAreas8[Silver Enrollments 2021],HIX_RatingAreas8[Area],HIX_SLCSP11[[#This Row],[Area Code]])</f>
        <v>1045</v>
      </c>
      <c r="AR1829" s="59">
        <f>SUMIFS(HIX_RatingAreas8[Silver Enrollments 2022],HIX_RatingAreas8[Area],HIX_SLCSP11[[#This Row],[Area Code]])</f>
        <v>1013</v>
      </c>
      <c r="AS1829" s="59">
        <f>SUMIFS(HIX_RatingAreas8[Silver Enrollments 2023],HIX_RatingAreas8[Area],HIX_SLCSP11[[#This Row],[Area Code]])</f>
        <v>1013</v>
      </c>
      <c r="AT1829" s="59">
        <v>1895</v>
      </c>
      <c r="AU1829">
        <f t="shared" si="28"/>
        <v>1.0873269887755723E-3</v>
      </c>
      <c r="AV1829">
        <f>SUMIFS(HIX_RatingAreas8[QHP Enrollments 2018],HIX_RatingAreas8[Area],HIX_SLCSP11[[#This Row],[Area Code]])</f>
        <v>1918</v>
      </c>
      <c r="AW1829">
        <f t="shared" si="29"/>
        <v>1.1182199896689999E-3</v>
      </c>
      <c r="AX1829">
        <f>SUMIFS(HIX_RatingAreas8[QHP Enrollments 2019],HIX_RatingAreas8[Area],HIX_SLCSP11[[#This Row],[Area Code]])</f>
        <v>2063</v>
      </c>
      <c r="AY1829">
        <f t="shared" si="30"/>
        <v>1.1568414583267913E-3</v>
      </c>
      <c r="AZ1829">
        <f>SUMIFS(HIX_RatingAreas8[QHP Enrollments 2020],HIX_RatingAreas8[Area],HIX_SLCSP11[[#This Row],[Area Code]])</f>
        <v>2326</v>
      </c>
      <c r="BA1829">
        <f t="shared" si="31"/>
        <v>1.2152718818166381E-3</v>
      </c>
      <c r="BB1829">
        <f>SUMIFS(HIX_RatingAreas8[QHP Enrollments 2021],HIX_RatingAreas8[Area],HIX_SLCSP11[[#This Row],[Area Code]])</f>
        <v>2448</v>
      </c>
      <c r="BC1829">
        <f t="shared" si="32"/>
        <v>1.154526375362558E-3</v>
      </c>
      <c r="BD1829">
        <f>SUMIFS(HIX_RatingAreas8[QHP Enrollments 2022],HIX_RatingAreas8[Area],HIX_SLCSP11[[#This Row],[Area Code]])</f>
        <v>2901</v>
      </c>
      <c r="BE1829">
        <f t="shared" si="33"/>
        <v>1.0653323021533594E-3</v>
      </c>
      <c r="BF1829">
        <f>SUMIFS(HIX_RatingAreas8[QHP Enrollments 2023],HIX_RatingAreas8[Area],HIX_SLCSP11[[#This Row],[Area Code]])</f>
        <v>2901</v>
      </c>
      <c r="BG1829">
        <f t="shared" si="39"/>
        <v>1.0653323021533594E-3</v>
      </c>
      <c r="BH1829" s="53">
        <f>ROUND(HIX_SLCSP11[[#This Row],[Weighting Factor 2018]]*HIX_SLCSP11[[#This Row],[2018]],2)</f>
        <v>0.68</v>
      </c>
      <c r="BI1829" s="53">
        <f>ROUND(HIX_SLCSP11[[#This Row],[Weighting Factor 2019]]*HIX_SLCSP11[[#This Row],[2019]],2)</f>
        <v>0.67</v>
      </c>
      <c r="BJ1829" s="53">
        <f>ROUND(HIX_SLCSP11[[#This Row],[Weighting Factor 2020]]*HIX_SLCSP11[[#This Row],[2020]],2)</f>
        <v>0.67</v>
      </c>
      <c r="BK1829" s="53">
        <f>ROUND(HIX_SLCSP11[[#This Row],[Weighting Factor 2021]]*HIX_SLCSP11[[#This Row],[2021]],2)</f>
        <v>0.37</v>
      </c>
      <c r="BL1829" s="53">
        <f>ROUND(HIX_SLCSP11[[#This Row],[Weighting Factor 2022]]*HIX_SLCSP11[[#This Row],[2022]],2)</f>
        <v>0.36</v>
      </c>
      <c r="BM1829" s="53">
        <f>ROUND(HIX_SLCSP11[[#This Row],[Weighting Factor 2023]]*HIX_SLCSP11[[#This Row],[2023]],2)</f>
        <v>0.36</v>
      </c>
    </row>
    <row r="1830" spans="4:65" x14ac:dyDescent="0.35">
      <c r="D1830" t="s">
        <v>539</v>
      </c>
      <c r="E1830" t="s">
        <v>646</v>
      </c>
      <c r="F1830" s="23">
        <v>32</v>
      </c>
      <c r="G1830" s="23" t="s">
        <v>540</v>
      </c>
      <c r="H1830" s="23" t="s">
        <v>647</v>
      </c>
      <c r="I1830" s="23">
        <v>16</v>
      </c>
      <c r="J1830" s="53">
        <v>524.36</v>
      </c>
      <c r="K1830" s="53">
        <v>685.78</v>
      </c>
      <c r="L1830" s="53">
        <v>1168.7</v>
      </c>
      <c r="M1830" s="54">
        <f t="shared" si="34"/>
        <v>1.7041908483770307</v>
      </c>
      <c r="N1830" s="24">
        <v>16</v>
      </c>
      <c r="O1830" s="55">
        <v>624.53</v>
      </c>
      <c r="P1830" s="56">
        <v>675.09</v>
      </c>
      <c r="Q1830" s="56">
        <v>1150.49</v>
      </c>
      <c r="R1830" s="57">
        <f t="shared" si="35"/>
        <v>1.7042024026426106</v>
      </c>
      <c r="S1830" s="23">
        <v>16</v>
      </c>
      <c r="T1830" s="53">
        <v>598.57000000000005</v>
      </c>
      <c r="U1830" s="53">
        <v>645.66</v>
      </c>
      <c r="V1830" s="53">
        <v>1100.3399999999999</v>
      </c>
      <c r="W1830" s="57">
        <f t="shared" si="36"/>
        <v>1.7042096459436855</v>
      </c>
      <c r="X1830" s="47">
        <v>104</v>
      </c>
      <c r="Y1830" s="58">
        <v>331.64</v>
      </c>
      <c r="Z1830" s="58">
        <v>331.64</v>
      </c>
      <c r="AA1830" s="58">
        <v>565.17999999999995</v>
      </c>
      <c r="AB1830" s="57">
        <f t="shared" si="37"/>
        <v>1.7041973223977807</v>
      </c>
      <c r="AC1830" s="47">
        <v>105</v>
      </c>
      <c r="AD1830" s="57">
        <v>308.52999999999997</v>
      </c>
      <c r="AE1830" s="57">
        <v>323.14</v>
      </c>
      <c r="AF1830" s="57">
        <v>550.69000000000005</v>
      </c>
      <c r="AG1830" s="57">
        <f t="shared" si="38"/>
        <v>1.7041839450393022</v>
      </c>
      <c r="AH1830" s="47">
        <v>80</v>
      </c>
      <c r="AI1830">
        <v>306.18</v>
      </c>
      <c r="AJ1830">
        <v>307.67</v>
      </c>
      <c r="AK1830">
        <v>524.33000000000004</v>
      </c>
      <c r="AL1830" s="57">
        <f t="shared" si="15"/>
        <v>1.7041960542139305</v>
      </c>
      <c r="AM1830" s="59">
        <v>479</v>
      </c>
      <c r="AN1830" s="59">
        <f>SUMIFS(HIX_RatingAreas8[Silver Enrollments 2018],HIX_RatingAreas8[Area],HIX_SLCSP11[[#This Row],[Area Code]])</f>
        <v>490</v>
      </c>
      <c r="AO1830" s="59">
        <f>SUMIFS(HIX_RatingAreas8[Silver Enrollments 2019],HIX_RatingAreas8[Area],HIX_SLCSP11[[#This Row],[Area Code]])</f>
        <v>488</v>
      </c>
      <c r="AP1830" s="59">
        <f>SUMIFS(HIX_RatingAreas8[Silver Enrollments 2020],HIX_RatingAreas8[Area],HIX_SLCSP11[[#This Row],[Area Code]])</f>
        <v>569</v>
      </c>
      <c r="AQ1830" s="59">
        <f>SUMIFS(HIX_RatingAreas8[Silver Enrollments 2021],HIX_RatingAreas8[Area],HIX_SLCSP11[[#This Row],[Area Code]])</f>
        <v>351</v>
      </c>
      <c r="AR1830" s="59">
        <f>SUMIFS(HIX_RatingAreas8[Silver Enrollments 2022],HIX_RatingAreas8[Area],HIX_SLCSP11[[#This Row],[Area Code]])</f>
        <v>372</v>
      </c>
      <c r="AS1830" s="59">
        <f>SUMIFS(HIX_RatingAreas8[Silver Enrollments 2023],HIX_RatingAreas8[Area],HIX_SLCSP11[[#This Row],[Area Code]])</f>
        <v>372</v>
      </c>
      <c r="AT1830" s="59">
        <v>626</v>
      </c>
      <c r="AU1830">
        <f t="shared" si="28"/>
        <v>3.5919086805989882E-4</v>
      </c>
      <c r="AV1830">
        <f>SUMIFS(HIX_RatingAreas8[QHP Enrollments 2018],HIX_RatingAreas8[Area],HIX_SLCSP11[[#This Row],[Area Code]])</f>
        <v>684</v>
      </c>
      <c r="AW1830">
        <f t="shared" si="29"/>
        <v>3.9878126847424188E-4</v>
      </c>
      <c r="AX1830">
        <f>SUMIFS(HIX_RatingAreas8[QHP Enrollments 2019],HIX_RatingAreas8[Area],HIX_SLCSP11[[#This Row],[Area Code]])</f>
        <v>720</v>
      </c>
      <c r="AY1830">
        <f t="shared" si="30"/>
        <v>4.0374495879558393E-4</v>
      </c>
      <c r="AZ1830">
        <f>SUMIFS(HIX_RatingAreas8[QHP Enrollments 2020],HIX_RatingAreas8[Area],HIX_SLCSP11[[#This Row],[Area Code]])</f>
        <v>820</v>
      </c>
      <c r="BA1830">
        <f t="shared" si="31"/>
        <v>4.2842774853381051E-4</v>
      </c>
      <c r="BB1830">
        <f>SUMIFS(HIX_RatingAreas8[QHP Enrollments 2021],HIX_RatingAreas8[Area],HIX_SLCSP11[[#This Row],[Area Code]])</f>
        <v>854</v>
      </c>
      <c r="BC1830">
        <f t="shared" si="32"/>
        <v>4.0276369467304927E-4</v>
      </c>
      <c r="BD1830">
        <f>SUMIFS(HIX_RatingAreas8[QHP Enrollments 2022],HIX_RatingAreas8[Area],HIX_SLCSP11[[#This Row],[Area Code]])</f>
        <v>955</v>
      </c>
      <c r="BE1830">
        <f t="shared" ref="BE1830:BE1861" si="40">BD1830/BD$1798</f>
        <v>3.5070401535899974E-4</v>
      </c>
      <c r="BF1830">
        <f>SUMIFS(HIX_RatingAreas8[QHP Enrollments 2023],HIX_RatingAreas8[Area],HIX_SLCSP11[[#This Row],[Area Code]])</f>
        <v>955</v>
      </c>
      <c r="BG1830">
        <f t="shared" si="39"/>
        <v>3.5070401535899974E-4</v>
      </c>
      <c r="BH1830" s="53">
        <f>ROUND(HIX_SLCSP11[[#This Row],[Weighting Factor 2018]]*HIX_SLCSP11[[#This Row],[2018]],2)</f>
        <v>0.27</v>
      </c>
      <c r="BI1830" s="53">
        <f>ROUND(HIX_SLCSP11[[#This Row],[Weighting Factor 2019]]*HIX_SLCSP11[[#This Row],[2019]],2)</f>
        <v>0.27</v>
      </c>
      <c r="BJ1830" s="53">
        <f>ROUND(HIX_SLCSP11[[#This Row],[Weighting Factor 2020]]*HIX_SLCSP11[[#This Row],[2020]],2)</f>
        <v>0.28000000000000003</v>
      </c>
      <c r="BK1830" s="53">
        <f>ROUND(HIX_SLCSP11[[#This Row],[Weighting Factor 2021]]*HIX_SLCSP11[[#This Row],[2021]],2)</f>
        <v>0.13</v>
      </c>
      <c r="BL1830" s="53">
        <f>ROUND(HIX_SLCSP11[[#This Row],[Weighting Factor 2022]]*HIX_SLCSP11[[#This Row],[2022]],2)</f>
        <v>0.11</v>
      </c>
      <c r="BM1830" s="53">
        <f>ROUND(HIX_SLCSP11[[#This Row],[Weighting Factor 2023]]*HIX_SLCSP11[[#This Row],[2023]],2)</f>
        <v>0.11</v>
      </c>
    </row>
    <row r="1831" spans="4:65" x14ac:dyDescent="0.35">
      <c r="D1831" t="s">
        <v>539</v>
      </c>
      <c r="E1831" t="s">
        <v>649</v>
      </c>
      <c r="F1831" s="23">
        <v>33</v>
      </c>
      <c r="G1831" s="23" t="s">
        <v>540</v>
      </c>
      <c r="H1831" s="23" t="s">
        <v>650</v>
      </c>
      <c r="I1831" s="23">
        <v>16</v>
      </c>
      <c r="J1831" s="53">
        <v>470.7</v>
      </c>
      <c r="K1831" s="53">
        <v>615.61</v>
      </c>
      <c r="L1831" s="53">
        <v>1049.1099999999999</v>
      </c>
      <c r="M1831" s="54">
        <f t="shared" si="34"/>
        <v>1.7041795942236153</v>
      </c>
      <c r="N1831" s="24">
        <v>16</v>
      </c>
      <c r="O1831" s="55">
        <v>544.57000000000005</v>
      </c>
      <c r="P1831" s="56">
        <v>588.65</v>
      </c>
      <c r="Q1831" s="56">
        <v>1003.18</v>
      </c>
      <c r="R1831" s="57">
        <f t="shared" si="35"/>
        <v>1.7042045358022593</v>
      </c>
      <c r="S1831" s="23">
        <v>16</v>
      </c>
      <c r="T1831" s="53">
        <v>521.61</v>
      </c>
      <c r="U1831" s="53">
        <v>562.66</v>
      </c>
      <c r="V1831" s="53">
        <v>958.89</v>
      </c>
      <c r="W1831" s="57">
        <f t="shared" si="36"/>
        <v>1.7042085806703871</v>
      </c>
      <c r="X1831" s="47">
        <v>101</v>
      </c>
      <c r="Y1831" s="58">
        <v>340.5</v>
      </c>
      <c r="Z1831" s="58">
        <v>340.5</v>
      </c>
      <c r="AA1831" s="58">
        <v>580.27</v>
      </c>
      <c r="AB1831" s="57">
        <f t="shared" si="37"/>
        <v>1.7041703377386197</v>
      </c>
      <c r="AC1831" s="47">
        <v>89</v>
      </c>
      <c r="AD1831" s="57">
        <v>375.84</v>
      </c>
      <c r="AE1831" s="57">
        <v>393.63</v>
      </c>
      <c r="AF1831" s="57">
        <v>670.83</v>
      </c>
      <c r="AG1831" s="57">
        <f t="shared" si="38"/>
        <v>1.7042146177882784</v>
      </c>
      <c r="AH1831" s="47">
        <v>69</v>
      </c>
      <c r="AI1831">
        <v>403.55</v>
      </c>
      <c r="AJ1831">
        <v>405.32</v>
      </c>
      <c r="AK1831">
        <v>690.74</v>
      </c>
      <c r="AL1831" s="57">
        <f t="shared" si="15"/>
        <v>1.7041843481693477</v>
      </c>
      <c r="AM1831" s="59">
        <v>264</v>
      </c>
      <c r="AN1831" s="59">
        <f>SUMIFS(HIX_RatingAreas8[Silver Enrollments 2018],HIX_RatingAreas8[Area],HIX_SLCSP11[[#This Row],[Area Code]])</f>
        <v>284</v>
      </c>
      <c r="AO1831" s="59">
        <f>SUMIFS(HIX_RatingAreas8[Silver Enrollments 2019],HIX_RatingAreas8[Area],HIX_SLCSP11[[#This Row],[Area Code]])</f>
        <v>243</v>
      </c>
      <c r="AP1831" s="59">
        <f>SUMIFS(HIX_RatingAreas8[Silver Enrollments 2020],HIX_RatingAreas8[Area],HIX_SLCSP11[[#This Row],[Area Code]])</f>
        <v>351</v>
      </c>
      <c r="AQ1831" s="59">
        <f>SUMIFS(HIX_RatingAreas8[Silver Enrollments 2021],HIX_RatingAreas8[Area],HIX_SLCSP11[[#This Row],[Area Code]])</f>
        <v>326</v>
      </c>
      <c r="AR1831" s="59">
        <f>SUMIFS(HIX_RatingAreas8[Silver Enrollments 2022],HIX_RatingAreas8[Area],HIX_SLCSP11[[#This Row],[Area Code]])</f>
        <v>286</v>
      </c>
      <c r="AS1831" s="59">
        <f>SUMIFS(HIX_RatingAreas8[Silver Enrollments 2023],HIX_RatingAreas8[Area],HIX_SLCSP11[[#This Row],[Area Code]])</f>
        <v>286</v>
      </c>
      <c r="AT1831" s="59">
        <v>320</v>
      </c>
      <c r="AU1831">
        <f t="shared" si="28"/>
        <v>1.8361194533413357E-4</v>
      </c>
      <c r="AV1831">
        <f>SUMIFS(HIX_RatingAreas8[QHP Enrollments 2018],HIX_RatingAreas8[Area],HIX_SLCSP11[[#This Row],[Area Code]])</f>
        <v>363</v>
      </c>
      <c r="AW1831">
        <f t="shared" si="29"/>
        <v>2.1163391879554065E-4</v>
      </c>
      <c r="AX1831">
        <f>SUMIFS(HIX_RatingAreas8[QHP Enrollments 2019],HIX_RatingAreas8[Area],HIX_SLCSP11[[#This Row],[Area Code]])</f>
        <v>349</v>
      </c>
      <c r="AY1831">
        <f t="shared" si="30"/>
        <v>1.9570415363841497E-4</v>
      </c>
      <c r="AZ1831">
        <f>SUMIFS(HIX_RatingAreas8[QHP Enrollments 2020],HIX_RatingAreas8[Area],HIX_SLCSP11[[#This Row],[Area Code]])</f>
        <v>480</v>
      </c>
      <c r="BA1831">
        <f t="shared" si="31"/>
        <v>2.5078697475149883E-4</v>
      </c>
      <c r="BB1831">
        <f>SUMIFS(HIX_RatingAreas8[QHP Enrollments 2021],HIX_RatingAreas8[Area],HIX_SLCSP11[[#This Row],[Area Code]])</f>
        <v>563</v>
      </c>
      <c r="BC1831">
        <f t="shared" si="32"/>
        <v>2.6552220152333342E-4</v>
      </c>
      <c r="BD1831">
        <f>SUMIFS(HIX_RatingAreas8[QHP Enrollments 2022],HIX_RatingAreas8[Area],HIX_SLCSP11[[#This Row],[Area Code]])</f>
        <v>594</v>
      </c>
      <c r="BE1831">
        <f t="shared" si="40"/>
        <v>2.1813422525994328E-4</v>
      </c>
      <c r="BF1831">
        <f>SUMIFS(HIX_RatingAreas8[QHP Enrollments 2023],HIX_RatingAreas8[Area],HIX_SLCSP11[[#This Row],[Area Code]])</f>
        <v>594</v>
      </c>
      <c r="BG1831">
        <f t="shared" si="39"/>
        <v>2.1813422525994328E-4</v>
      </c>
      <c r="BH1831" s="53">
        <f>ROUND(HIX_SLCSP11[[#This Row],[Weighting Factor 2018]]*HIX_SLCSP11[[#This Row],[2018]],2)</f>
        <v>0.13</v>
      </c>
      <c r="BI1831" s="53">
        <f>ROUND(HIX_SLCSP11[[#This Row],[Weighting Factor 2019]]*HIX_SLCSP11[[#This Row],[2019]],2)</f>
        <v>0.12</v>
      </c>
      <c r="BJ1831" s="53">
        <f>ROUND(HIX_SLCSP11[[#This Row],[Weighting Factor 2020]]*HIX_SLCSP11[[#This Row],[2020]],2)</f>
        <v>0.14000000000000001</v>
      </c>
      <c r="BK1831" s="53">
        <f>ROUND(HIX_SLCSP11[[#This Row],[Weighting Factor 2021]]*HIX_SLCSP11[[#This Row],[2021]],2)</f>
        <v>0.09</v>
      </c>
      <c r="BL1831" s="53">
        <f>ROUND(HIX_SLCSP11[[#This Row],[Weighting Factor 2022]]*HIX_SLCSP11[[#This Row],[2022]],2)</f>
        <v>0.09</v>
      </c>
      <c r="BM1831" s="53">
        <f>ROUND(HIX_SLCSP11[[#This Row],[Weighting Factor 2023]]*HIX_SLCSP11[[#This Row],[2023]],2)</f>
        <v>0.09</v>
      </c>
    </row>
    <row r="1832" spans="4:65" x14ac:dyDescent="0.35">
      <c r="D1832" t="s">
        <v>539</v>
      </c>
      <c r="E1832" t="s">
        <v>652</v>
      </c>
      <c r="F1832" s="23">
        <v>34</v>
      </c>
      <c r="G1832" s="23" t="s">
        <v>540</v>
      </c>
      <c r="H1832" s="23" t="s">
        <v>653</v>
      </c>
      <c r="I1832" s="23">
        <v>128</v>
      </c>
      <c r="J1832" s="53">
        <v>292.72000000000003</v>
      </c>
      <c r="K1832" s="53">
        <v>368.21</v>
      </c>
      <c r="L1832" s="53">
        <v>627.51</v>
      </c>
      <c r="M1832" s="54">
        <f t="shared" si="34"/>
        <v>1.7042177018549198</v>
      </c>
      <c r="N1832" s="24">
        <v>109</v>
      </c>
      <c r="O1832" s="55">
        <v>286.29000000000002</v>
      </c>
      <c r="P1832" s="56">
        <v>359.32</v>
      </c>
      <c r="Q1832" s="56">
        <v>612.35</v>
      </c>
      <c r="R1832" s="57">
        <f t="shared" si="35"/>
        <v>1.7041912501391518</v>
      </c>
      <c r="S1832" s="23">
        <v>128</v>
      </c>
      <c r="T1832" s="53">
        <v>292.94</v>
      </c>
      <c r="U1832" s="53">
        <v>298.49</v>
      </c>
      <c r="V1832" s="53">
        <v>508.68</v>
      </c>
      <c r="W1832" s="57">
        <f t="shared" si="36"/>
        <v>1.7041776943951221</v>
      </c>
      <c r="X1832" s="47">
        <v>253</v>
      </c>
      <c r="Y1832" s="58">
        <v>309.83</v>
      </c>
      <c r="Z1832" s="58">
        <v>308.85000000000002</v>
      </c>
      <c r="AA1832" s="58">
        <v>526.33000000000004</v>
      </c>
      <c r="AB1832" s="57">
        <f t="shared" si="37"/>
        <v>1.7041605957584589</v>
      </c>
      <c r="AC1832" s="47">
        <v>346</v>
      </c>
      <c r="AD1832" s="57">
        <v>284.41000000000003</v>
      </c>
      <c r="AE1832" s="57">
        <v>288.73</v>
      </c>
      <c r="AF1832" s="57">
        <v>492.06</v>
      </c>
      <c r="AG1832" s="57">
        <f t="shared" si="38"/>
        <v>1.704221937450213</v>
      </c>
      <c r="AH1832" s="47">
        <v>320</v>
      </c>
      <c r="AI1832">
        <v>293.02999999999997</v>
      </c>
      <c r="AJ1832">
        <v>303.8</v>
      </c>
      <c r="AK1832">
        <v>517.73</v>
      </c>
      <c r="AL1832" s="57">
        <f t="shared" si="15"/>
        <v>1.7041803818301513</v>
      </c>
      <c r="AM1832" s="59">
        <v>17560</v>
      </c>
      <c r="AN1832" s="59">
        <f>SUMIFS(HIX_RatingAreas8[Silver Enrollments 2018],HIX_RatingAreas8[Area],HIX_SLCSP11[[#This Row],[Area Code]])</f>
        <v>14172</v>
      </c>
      <c r="AO1832" s="59">
        <f>SUMIFS(HIX_RatingAreas8[Silver Enrollments 2019],HIX_RatingAreas8[Area],HIX_SLCSP11[[#This Row],[Area Code]])</f>
        <v>14575</v>
      </c>
      <c r="AP1832" s="59">
        <f>SUMIFS(HIX_RatingAreas8[Silver Enrollments 2020],HIX_RatingAreas8[Area],HIX_SLCSP11[[#This Row],[Area Code]])</f>
        <v>15670</v>
      </c>
      <c r="AQ1832" s="59">
        <f>SUMIFS(HIX_RatingAreas8[Silver Enrollments 2021],HIX_RatingAreas8[Area],HIX_SLCSP11[[#This Row],[Area Code]])</f>
        <v>16950</v>
      </c>
      <c r="AR1832" s="59">
        <f>SUMIFS(HIX_RatingAreas8[Silver Enrollments 2022],HIX_RatingAreas8[Area],HIX_SLCSP11[[#This Row],[Area Code]])</f>
        <v>21595</v>
      </c>
      <c r="AS1832" s="59">
        <f>SUMIFS(HIX_RatingAreas8[Silver Enrollments 2023],HIX_RatingAreas8[Area],HIX_SLCSP11[[#This Row],[Area Code]])</f>
        <v>21595</v>
      </c>
      <c r="AT1832" s="59">
        <v>22323</v>
      </c>
      <c r="AU1832">
        <f t="shared" si="28"/>
        <v>1.2808654549043324E-2</v>
      </c>
      <c r="AV1832">
        <f>SUMIFS(HIX_RatingAreas8[QHP Enrollments 2018],HIX_RatingAreas8[Area],HIX_SLCSP11[[#This Row],[Area Code]])</f>
        <v>22311</v>
      </c>
      <c r="AW1832">
        <f t="shared" si="29"/>
        <v>1.3007615322995337E-2</v>
      </c>
      <c r="AX1832">
        <f>SUMIFS(HIX_RatingAreas8[QHP Enrollments 2019],HIX_RatingAreas8[Area],HIX_SLCSP11[[#This Row],[Area Code]])</f>
        <v>23469</v>
      </c>
      <c r="AY1832">
        <f t="shared" si="30"/>
        <v>1.3160403386074387E-2</v>
      </c>
      <c r="AZ1832">
        <f>SUMIFS(HIX_RatingAreas8[QHP Enrollments 2020],HIX_RatingAreas8[Area],HIX_SLCSP11[[#This Row],[Area Code]])</f>
        <v>25384</v>
      </c>
      <c r="BA1832">
        <f t="shared" si="31"/>
        <v>1.3262451181441764E-2</v>
      </c>
      <c r="BB1832">
        <f>SUMIFS(HIX_RatingAreas8[QHP Enrollments 2021],HIX_RatingAreas8[Area],HIX_SLCSP11[[#This Row],[Area Code]])</f>
        <v>27970</v>
      </c>
      <c r="BC1832">
        <f t="shared" si="32"/>
        <v>1.3191218430919424E-2</v>
      </c>
      <c r="BD1832">
        <f>SUMIFS(HIX_RatingAreas8[QHP Enrollments 2022],HIX_RatingAreas8[Area],HIX_SLCSP11[[#This Row],[Area Code]])</f>
        <v>37844</v>
      </c>
      <c r="BE1832">
        <f t="shared" si="40"/>
        <v>1.3897426970938204E-2</v>
      </c>
      <c r="BF1832">
        <f>SUMIFS(HIX_RatingAreas8[QHP Enrollments 2023],HIX_RatingAreas8[Area],HIX_SLCSP11[[#This Row],[Area Code]])</f>
        <v>37844</v>
      </c>
      <c r="BG1832">
        <f t="shared" si="39"/>
        <v>1.3897426970938204E-2</v>
      </c>
      <c r="BH1832" s="53">
        <f>ROUND(HIX_SLCSP11[[#This Row],[Weighting Factor 2018]]*HIX_SLCSP11[[#This Row],[2018]],2)</f>
        <v>4.79</v>
      </c>
      <c r="BI1832" s="53">
        <f>ROUND(HIX_SLCSP11[[#This Row],[Weighting Factor 2019]]*HIX_SLCSP11[[#This Row],[2019]],2)</f>
        <v>4.7300000000000004</v>
      </c>
      <c r="BJ1832" s="53">
        <f>ROUND(HIX_SLCSP11[[#This Row],[Weighting Factor 2020]]*HIX_SLCSP11[[#This Row],[2020]],2)</f>
        <v>3.96</v>
      </c>
      <c r="BK1832" s="53">
        <f>ROUND(HIX_SLCSP11[[#This Row],[Weighting Factor 2021]]*HIX_SLCSP11[[#This Row],[2021]],2)</f>
        <v>4.07</v>
      </c>
      <c r="BL1832" s="53">
        <f>ROUND(HIX_SLCSP11[[#This Row],[Weighting Factor 2022]]*HIX_SLCSP11[[#This Row],[2022]],2)</f>
        <v>4.01</v>
      </c>
      <c r="BM1832" s="53">
        <f>ROUND(HIX_SLCSP11[[#This Row],[Weighting Factor 2023]]*HIX_SLCSP11[[#This Row],[2023]],2)</f>
        <v>4.22</v>
      </c>
    </row>
    <row r="1833" spans="4:65" x14ac:dyDescent="0.35">
      <c r="D1833" t="s">
        <v>539</v>
      </c>
      <c r="E1833" t="s">
        <v>656</v>
      </c>
      <c r="F1833" s="23">
        <v>35</v>
      </c>
      <c r="G1833" s="23" t="s">
        <v>540</v>
      </c>
      <c r="H1833" s="23" t="s">
        <v>657</v>
      </c>
      <c r="I1833" s="23">
        <v>37</v>
      </c>
      <c r="J1833" s="53">
        <v>397.53</v>
      </c>
      <c r="K1833" s="53">
        <v>550.02</v>
      </c>
      <c r="L1833" s="53">
        <v>916.34</v>
      </c>
      <c r="M1833" s="54">
        <f t="shared" si="34"/>
        <v>1.6660121450129088</v>
      </c>
      <c r="N1833" s="24">
        <v>32</v>
      </c>
      <c r="O1833" s="55">
        <v>486.96</v>
      </c>
      <c r="P1833" s="56">
        <v>550.67999999999995</v>
      </c>
      <c r="Q1833" s="56">
        <v>938.47</v>
      </c>
      <c r="R1833" s="57">
        <f t="shared" si="35"/>
        <v>1.7042020774315394</v>
      </c>
      <c r="S1833" s="23">
        <v>37</v>
      </c>
      <c r="T1833" s="53">
        <v>404.79</v>
      </c>
      <c r="U1833" s="53">
        <v>426.61</v>
      </c>
      <c r="V1833" s="53">
        <v>727.03</v>
      </c>
      <c r="W1833" s="57">
        <f t="shared" si="36"/>
        <v>1.7042029019479148</v>
      </c>
      <c r="X1833" s="47">
        <v>149</v>
      </c>
      <c r="Y1833" s="58">
        <v>343.94</v>
      </c>
      <c r="Z1833" s="58">
        <v>353.48</v>
      </c>
      <c r="AA1833" s="58">
        <v>602.4</v>
      </c>
      <c r="AB1833" s="57">
        <f t="shared" si="37"/>
        <v>1.704198257327147</v>
      </c>
      <c r="AC1833" s="47">
        <v>129</v>
      </c>
      <c r="AD1833" s="57">
        <v>343.74</v>
      </c>
      <c r="AE1833" s="57">
        <v>360.01</v>
      </c>
      <c r="AF1833" s="57">
        <v>613.52</v>
      </c>
      <c r="AG1833" s="57">
        <f t="shared" si="38"/>
        <v>1.7041748840309991</v>
      </c>
      <c r="AH1833" s="47">
        <v>176</v>
      </c>
      <c r="AI1833">
        <v>389.42</v>
      </c>
      <c r="AJ1833">
        <v>391.31</v>
      </c>
      <c r="AK1833">
        <v>666.87</v>
      </c>
      <c r="AL1833" s="57">
        <f t="shared" si="15"/>
        <v>1.7041987171296415</v>
      </c>
      <c r="AM1833" s="59">
        <v>39711</v>
      </c>
      <c r="AN1833" s="59">
        <f>SUMIFS(HIX_RatingAreas8[Silver Enrollments 2018],HIX_RatingAreas8[Area],HIX_SLCSP11[[#This Row],[Area Code]])</f>
        <v>40818</v>
      </c>
      <c r="AO1833" s="59">
        <f>SUMIFS(HIX_RatingAreas8[Silver Enrollments 2019],HIX_RatingAreas8[Area],HIX_SLCSP11[[#This Row],[Area Code]])</f>
        <v>43303</v>
      </c>
      <c r="AP1833" s="59">
        <f>SUMIFS(HIX_RatingAreas8[Silver Enrollments 2020],HIX_RatingAreas8[Area],HIX_SLCSP11[[#This Row],[Area Code]])</f>
        <v>48476</v>
      </c>
      <c r="AQ1833" s="59">
        <f>SUMIFS(HIX_RatingAreas8[Silver Enrollments 2021],HIX_RatingAreas8[Area],HIX_SLCSP11[[#This Row],[Area Code]])</f>
        <v>52548</v>
      </c>
      <c r="AR1833" s="59">
        <f>SUMIFS(HIX_RatingAreas8[Silver Enrollments 2022],HIX_RatingAreas8[Area],HIX_SLCSP11[[#This Row],[Area Code]])</f>
        <v>57770</v>
      </c>
      <c r="AS1833" s="59">
        <f>SUMIFS(HIX_RatingAreas8[Silver Enrollments 2023],HIX_RatingAreas8[Area],HIX_SLCSP11[[#This Row],[Area Code]])</f>
        <v>57770</v>
      </c>
      <c r="AT1833" s="59">
        <v>49821</v>
      </c>
      <c r="AU1833">
        <f t="shared" si="28"/>
        <v>2.8586658526537089E-2</v>
      </c>
      <c r="AV1833">
        <f>SUMIFS(HIX_RatingAreas8[QHP Enrollments 2018],HIX_RatingAreas8[Area],HIX_SLCSP11[[#This Row],[Area Code]])</f>
        <v>55750</v>
      </c>
      <c r="AW1833">
        <f t="shared" si="29"/>
        <v>3.2503005434852315E-2</v>
      </c>
      <c r="AX1833">
        <f>SUMIFS(HIX_RatingAreas8[QHP Enrollments 2019],HIX_RatingAreas8[Area],HIX_SLCSP11[[#This Row],[Area Code]])</f>
        <v>61569</v>
      </c>
      <c r="AY1833">
        <f t="shared" si="30"/>
        <v>3.4525240789007372E-2</v>
      </c>
      <c r="AZ1833">
        <f>SUMIFS(HIX_RatingAreas8[QHP Enrollments 2020],HIX_RatingAreas8[Area],HIX_SLCSP11[[#This Row],[Area Code]])</f>
        <v>68271</v>
      </c>
      <c r="BA1833">
        <f t="shared" si="31"/>
        <v>3.5669744902624118E-2</v>
      </c>
      <c r="BB1833">
        <f>SUMIFS(HIX_RatingAreas8[QHP Enrollments 2021],HIX_RatingAreas8[Area],HIX_SLCSP11[[#This Row],[Area Code]])</f>
        <v>76085</v>
      </c>
      <c r="BC1833">
        <f t="shared" si="32"/>
        <v>3.5883226825759895E-2</v>
      </c>
      <c r="BD1833">
        <f>SUMIFS(HIX_RatingAreas8[QHP Enrollments 2022],HIX_RatingAreas8[Area],HIX_SLCSP11[[#This Row],[Area Code]])</f>
        <v>90591</v>
      </c>
      <c r="BE1833">
        <f t="shared" si="40"/>
        <v>3.3267672728154077E-2</v>
      </c>
      <c r="BF1833">
        <f>SUMIFS(HIX_RatingAreas8[QHP Enrollments 2023],HIX_RatingAreas8[Area],HIX_SLCSP11[[#This Row],[Area Code]])</f>
        <v>90591</v>
      </c>
      <c r="BG1833">
        <f t="shared" si="39"/>
        <v>3.3267672728154077E-2</v>
      </c>
      <c r="BH1833" s="53">
        <f>ROUND(HIX_SLCSP11[[#This Row],[Weighting Factor 2018]]*HIX_SLCSP11[[#This Row],[2018]],2)</f>
        <v>17.88</v>
      </c>
      <c r="BI1833" s="53">
        <f>ROUND(HIX_SLCSP11[[#This Row],[Weighting Factor 2019]]*HIX_SLCSP11[[#This Row],[2019]],2)</f>
        <v>19.010000000000002</v>
      </c>
      <c r="BJ1833" s="53">
        <f>ROUND(HIX_SLCSP11[[#This Row],[Weighting Factor 2020]]*HIX_SLCSP11[[#This Row],[2020]],2)</f>
        <v>15.22</v>
      </c>
      <c r="BK1833" s="53">
        <f>ROUND(HIX_SLCSP11[[#This Row],[Weighting Factor 2021]]*HIX_SLCSP11[[#This Row],[2021]],2)</f>
        <v>12.68</v>
      </c>
      <c r="BL1833" s="53">
        <f>ROUND(HIX_SLCSP11[[#This Row],[Weighting Factor 2022]]*HIX_SLCSP11[[#This Row],[2022]],2)</f>
        <v>11.98</v>
      </c>
      <c r="BM1833" s="53">
        <f>ROUND(HIX_SLCSP11[[#This Row],[Weighting Factor 2023]]*HIX_SLCSP11[[#This Row],[2023]],2)</f>
        <v>13.02</v>
      </c>
    </row>
    <row r="1834" spans="4:65" x14ac:dyDescent="0.35">
      <c r="D1834" t="s">
        <v>539</v>
      </c>
      <c r="E1834" t="s">
        <v>659</v>
      </c>
      <c r="F1834" s="23">
        <v>36</v>
      </c>
      <c r="G1834" s="23" t="s">
        <v>540</v>
      </c>
      <c r="H1834" s="23" t="s">
        <v>660</v>
      </c>
      <c r="I1834" s="23">
        <v>16</v>
      </c>
      <c r="J1834" s="53">
        <v>467.2</v>
      </c>
      <c r="K1834" s="53">
        <v>611.03</v>
      </c>
      <c r="L1834" s="53">
        <v>1041.31</v>
      </c>
      <c r="M1834" s="54">
        <f t="shared" si="34"/>
        <v>1.7041880104086542</v>
      </c>
      <c r="N1834" s="24">
        <v>16</v>
      </c>
      <c r="O1834" s="55">
        <v>543.19000000000005</v>
      </c>
      <c r="P1834" s="56">
        <v>587.16</v>
      </c>
      <c r="Q1834" s="56">
        <v>1000.64</v>
      </c>
      <c r="R1834" s="57">
        <f t="shared" si="35"/>
        <v>1.7042032836024252</v>
      </c>
      <c r="S1834" s="23">
        <v>16</v>
      </c>
      <c r="T1834" s="53">
        <v>520.25</v>
      </c>
      <c r="U1834" s="53">
        <v>561.19000000000005</v>
      </c>
      <c r="V1834" s="53">
        <v>956.39</v>
      </c>
      <c r="W1834" s="57">
        <f t="shared" si="36"/>
        <v>1.704217822840749</v>
      </c>
      <c r="X1834" s="47">
        <v>104</v>
      </c>
      <c r="Y1834" s="58">
        <v>282.18</v>
      </c>
      <c r="Z1834" s="58">
        <v>290.01</v>
      </c>
      <c r="AA1834" s="58">
        <v>494.24</v>
      </c>
      <c r="AB1834" s="57">
        <f t="shared" si="37"/>
        <v>1.7042170959622083</v>
      </c>
      <c r="AC1834" s="47">
        <v>194</v>
      </c>
      <c r="AD1834" s="57">
        <v>274.20999999999998</v>
      </c>
      <c r="AE1834" s="57">
        <v>287.19</v>
      </c>
      <c r="AF1834" s="57">
        <v>489.43</v>
      </c>
      <c r="AG1834" s="57">
        <f t="shared" si="38"/>
        <v>1.7042027925763432</v>
      </c>
      <c r="AH1834" s="47">
        <v>184</v>
      </c>
      <c r="AI1834">
        <v>292.16000000000003</v>
      </c>
      <c r="AJ1834">
        <v>293.43</v>
      </c>
      <c r="AK1834">
        <v>500.06</v>
      </c>
      <c r="AL1834" s="57">
        <f t="shared" si="15"/>
        <v>1.7041883924615751</v>
      </c>
      <c r="AM1834" s="59">
        <v>9601</v>
      </c>
      <c r="AN1834" s="59">
        <f>SUMIFS(HIX_RatingAreas8[Silver Enrollments 2018],HIX_RatingAreas8[Area],HIX_SLCSP11[[#This Row],[Area Code]])</f>
        <v>9576</v>
      </c>
      <c r="AO1834" s="59">
        <f>SUMIFS(HIX_RatingAreas8[Silver Enrollments 2019],HIX_RatingAreas8[Area],HIX_SLCSP11[[#This Row],[Area Code]])</f>
        <v>10084</v>
      </c>
      <c r="AP1834" s="59">
        <f>SUMIFS(HIX_RatingAreas8[Silver Enrollments 2020],HIX_RatingAreas8[Area],HIX_SLCSP11[[#This Row],[Area Code]])</f>
        <v>10870</v>
      </c>
      <c r="AQ1834" s="59">
        <f>SUMIFS(HIX_RatingAreas8[Silver Enrollments 2021],HIX_RatingAreas8[Area],HIX_SLCSP11[[#This Row],[Area Code]])</f>
        <v>9442</v>
      </c>
      <c r="AR1834" s="59">
        <f>SUMIFS(HIX_RatingAreas8[Silver Enrollments 2022],HIX_RatingAreas8[Area],HIX_SLCSP11[[#This Row],[Area Code]])</f>
        <v>10105</v>
      </c>
      <c r="AS1834" s="59">
        <f>SUMIFS(HIX_RatingAreas8[Silver Enrollments 2023],HIX_RatingAreas8[Area],HIX_SLCSP11[[#This Row],[Area Code]])</f>
        <v>10105</v>
      </c>
      <c r="AT1834" s="59">
        <v>12296</v>
      </c>
      <c r="AU1834">
        <f t="shared" si="28"/>
        <v>7.0552889994640825E-3</v>
      </c>
      <c r="AV1834">
        <f>SUMIFS(HIX_RatingAreas8[QHP Enrollments 2018],HIX_RatingAreas8[Area],HIX_SLCSP11[[#This Row],[Area Code]])</f>
        <v>13388</v>
      </c>
      <c r="AW1834">
        <f t="shared" si="29"/>
        <v>7.8053854127677633E-3</v>
      </c>
      <c r="AX1834">
        <f>SUMIFS(HIX_RatingAreas8[QHP Enrollments 2019],HIX_RatingAreas8[Area],HIX_SLCSP11[[#This Row],[Area Code]])</f>
        <v>14723</v>
      </c>
      <c r="AY1834">
        <f t="shared" si="30"/>
        <v>8.2560236504824747E-3</v>
      </c>
      <c r="AZ1834">
        <f>SUMIFS(HIX_RatingAreas8[QHP Enrollments 2020],HIX_RatingAreas8[Area],HIX_SLCSP11[[#This Row],[Area Code]])</f>
        <v>15849</v>
      </c>
      <c r="BA1834">
        <f t="shared" si="31"/>
        <v>8.2806724225760516E-3</v>
      </c>
      <c r="BB1834">
        <f>SUMIFS(HIX_RatingAreas8[QHP Enrollments 2021],HIX_RatingAreas8[Area],HIX_SLCSP11[[#This Row],[Area Code]])</f>
        <v>18153</v>
      </c>
      <c r="BC1834">
        <f t="shared" si="32"/>
        <v>8.5613224231848514E-3</v>
      </c>
      <c r="BD1834">
        <f>SUMIFS(HIX_RatingAreas8[QHP Enrollments 2022],HIX_RatingAreas8[Area],HIX_SLCSP11[[#This Row],[Area Code]])</f>
        <v>20336</v>
      </c>
      <c r="BE1834">
        <f t="shared" si="40"/>
        <v>7.4679757658016946E-3</v>
      </c>
      <c r="BF1834">
        <f>SUMIFS(HIX_RatingAreas8[QHP Enrollments 2023],HIX_RatingAreas8[Area],HIX_SLCSP11[[#This Row],[Area Code]])</f>
        <v>20336</v>
      </c>
      <c r="BG1834">
        <f t="shared" si="39"/>
        <v>7.4679757658016946E-3</v>
      </c>
      <c r="BH1834" s="53">
        <f>ROUND(HIX_SLCSP11[[#This Row],[Weighting Factor 2018]]*HIX_SLCSP11[[#This Row],[2018]],2)</f>
        <v>4.7699999999999996</v>
      </c>
      <c r="BI1834" s="53">
        <f>ROUND(HIX_SLCSP11[[#This Row],[Weighting Factor 2019]]*HIX_SLCSP11[[#This Row],[2019]],2)</f>
        <v>4.8499999999999996</v>
      </c>
      <c r="BJ1834" s="53">
        <f>ROUND(HIX_SLCSP11[[#This Row],[Weighting Factor 2020]]*HIX_SLCSP11[[#This Row],[2020]],2)</f>
        <v>4.6500000000000004</v>
      </c>
      <c r="BK1834" s="53">
        <f>ROUND(HIX_SLCSP11[[#This Row],[Weighting Factor 2021]]*HIX_SLCSP11[[#This Row],[2021]],2)</f>
        <v>2.48</v>
      </c>
      <c r="BL1834" s="53">
        <f>ROUND(HIX_SLCSP11[[#This Row],[Weighting Factor 2022]]*HIX_SLCSP11[[#This Row],[2022]],2)</f>
        <v>2.14</v>
      </c>
      <c r="BM1834" s="53">
        <f>ROUND(HIX_SLCSP11[[#This Row],[Weighting Factor 2023]]*HIX_SLCSP11[[#This Row],[2023]],2)</f>
        <v>2.19</v>
      </c>
    </row>
    <row r="1835" spans="4:65" x14ac:dyDescent="0.35">
      <c r="D1835" t="s">
        <v>539</v>
      </c>
      <c r="E1835" t="s">
        <v>663</v>
      </c>
      <c r="F1835" s="23">
        <v>37</v>
      </c>
      <c r="G1835" s="23" t="s">
        <v>540</v>
      </c>
      <c r="H1835" s="23" t="s">
        <v>664</v>
      </c>
      <c r="I1835" s="23">
        <v>36</v>
      </c>
      <c r="J1835" s="53">
        <v>338.75</v>
      </c>
      <c r="K1835" s="53">
        <v>476.63</v>
      </c>
      <c r="L1835" s="53">
        <v>812.27</v>
      </c>
      <c r="M1835" s="54">
        <f t="shared" si="34"/>
        <v>1.7041940289113149</v>
      </c>
      <c r="N1835" s="24">
        <v>32</v>
      </c>
      <c r="O1835" s="55">
        <v>431.16</v>
      </c>
      <c r="P1835" s="56">
        <v>487.57</v>
      </c>
      <c r="Q1835" s="56">
        <v>830.92</v>
      </c>
      <c r="R1835" s="57">
        <f t="shared" si="35"/>
        <v>1.7042065754660869</v>
      </c>
      <c r="S1835" s="23">
        <v>36</v>
      </c>
      <c r="T1835" s="53">
        <v>367.62</v>
      </c>
      <c r="U1835" s="53">
        <v>387.42</v>
      </c>
      <c r="V1835" s="53">
        <v>660.25</v>
      </c>
      <c r="W1835" s="57">
        <f t="shared" si="36"/>
        <v>1.7042228072892467</v>
      </c>
      <c r="X1835" s="47">
        <v>118</v>
      </c>
      <c r="Y1835" s="58">
        <v>323.68</v>
      </c>
      <c r="Z1835" s="58">
        <v>332.67</v>
      </c>
      <c r="AA1835" s="58">
        <v>566.92999999999995</v>
      </c>
      <c r="AB1835" s="57">
        <f t="shared" si="37"/>
        <v>1.7041813208284484</v>
      </c>
      <c r="AC1835" s="47">
        <v>137</v>
      </c>
      <c r="AD1835" s="57">
        <v>334.09</v>
      </c>
      <c r="AE1835" s="57">
        <v>349.9</v>
      </c>
      <c r="AF1835" s="57">
        <v>596.29999999999995</v>
      </c>
      <c r="AG1835" s="57">
        <f t="shared" si="38"/>
        <v>1.7042012003429552</v>
      </c>
      <c r="AH1835" s="47">
        <v>116</v>
      </c>
      <c r="AI1835">
        <v>371.42</v>
      </c>
      <c r="AJ1835">
        <v>373.22</v>
      </c>
      <c r="AK1835">
        <v>636.04</v>
      </c>
      <c r="AL1835" s="57">
        <f t="shared" si="15"/>
        <v>1.7041959166175444</v>
      </c>
      <c r="AM1835" s="59">
        <v>1902</v>
      </c>
      <c r="AN1835" s="59">
        <f>SUMIFS(HIX_RatingAreas8[Silver Enrollments 2018],HIX_RatingAreas8[Area],HIX_SLCSP11[[#This Row],[Area Code]])</f>
        <v>2058</v>
      </c>
      <c r="AO1835" s="59">
        <f>SUMIFS(HIX_RatingAreas8[Silver Enrollments 2019],HIX_RatingAreas8[Area],HIX_SLCSP11[[#This Row],[Area Code]])</f>
        <v>1890</v>
      </c>
      <c r="AP1835" s="59">
        <f>SUMIFS(HIX_RatingAreas8[Silver Enrollments 2020],HIX_RatingAreas8[Area],HIX_SLCSP11[[#This Row],[Area Code]])</f>
        <v>2056</v>
      </c>
      <c r="AQ1835" s="59">
        <f>SUMIFS(HIX_RatingAreas8[Silver Enrollments 2021],HIX_RatingAreas8[Area],HIX_SLCSP11[[#This Row],[Area Code]])</f>
        <v>1753</v>
      </c>
      <c r="AR1835" s="59">
        <f>SUMIFS(HIX_RatingAreas8[Silver Enrollments 2022],HIX_RatingAreas8[Area],HIX_SLCSP11[[#This Row],[Area Code]])</f>
        <v>1810</v>
      </c>
      <c r="AS1835" s="59">
        <f>SUMIFS(HIX_RatingAreas8[Silver Enrollments 2023],HIX_RatingAreas8[Area],HIX_SLCSP11[[#This Row],[Area Code]])</f>
        <v>1810</v>
      </c>
      <c r="AT1835" s="59">
        <v>2353</v>
      </c>
      <c r="AU1835">
        <f t="shared" si="28"/>
        <v>1.3501215855350509E-3</v>
      </c>
      <c r="AV1835">
        <f>SUMIFS(HIX_RatingAreas8[QHP Enrollments 2018],HIX_RatingAreas8[Area],HIX_SLCSP11[[#This Row],[Area Code]])</f>
        <v>2666</v>
      </c>
      <c r="AW1835">
        <f t="shared" si="29"/>
        <v>1.5543141253689019E-3</v>
      </c>
      <c r="AX1835">
        <f>SUMIFS(HIX_RatingAreas8[QHP Enrollments 2019],HIX_RatingAreas8[Area],HIX_SLCSP11[[#This Row],[Area Code]])</f>
        <v>2606</v>
      </c>
      <c r="AY1835">
        <f t="shared" si="30"/>
        <v>1.4613324480851275E-3</v>
      </c>
      <c r="AZ1835">
        <f>SUMIFS(HIX_RatingAreas8[QHP Enrollments 2020],HIX_RatingAreas8[Area],HIX_SLCSP11[[#This Row],[Area Code]])</f>
        <v>2922</v>
      </c>
      <c r="BA1835">
        <f t="shared" si="31"/>
        <v>1.5266657087997491E-3</v>
      </c>
      <c r="BB1835">
        <f>SUMIFS(HIX_RatingAreas8[QHP Enrollments 2021],HIX_RatingAreas8[Area],HIX_SLCSP11[[#This Row],[Area Code]])</f>
        <v>2970</v>
      </c>
      <c r="BC1835">
        <f t="shared" si="32"/>
        <v>1.4007121465795741E-3</v>
      </c>
      <c r="BD1835">
        <f>SUMIFS(HIX_RatingAreas8[QHP Enrollments 2022],HIX_RatingAreas8[Area],HIX_SLCSP11[[#This Row],[Area Code]])</f>
        <v>3367</v>
      </c>
      <c r="BE1835">
        <f t="shared" si="40"/>
        <v>1.236461172475133E-3</v>
      </c>
      <c r="BF1835">
        <f>SUMIFS(HIX_RatingAreas8[QHP Enrollments 2023],HIX_RatingAreas8[Area],HIX_SLCSP11[[#This Row],[Area Code]])</f>
        <v>3367</v>
      </c>
      <c r="BG1835">
        <f t="shared" si="39"/>
        <v>1.236461172475133E-3</v>
      </c>
      <c r="BH1835" s="53">
        <f>ROUND(HIX_SLCSP11[[#This Row],[Weighting Factor 2018]]*HIX_SLCSP11[[#This Row],[2018]],2)</f>
        <v>0.74</v>
      </c>
      <c r="BI1835" s="53">
        <f>ROUND(HIX_SLCSP11[[#This Row],[Weighting Factor 2019]]*HIX_SLCSP11[[#This Row],[2019]],2)</f>
        <v>0.71</v>
      </c>
      <c r="BJ1835" s="53">
        <f>ROUND(HIX_SLCSP11[[#This Row],[Weighting Factor 2020]]*HIX_SLCSP11[[#This Row],[2020]],2)</f>
        <v>0.59</v>
      </c>
      <c r="BK1835" s="53">
        <f>ROUND(HIX_SLCSP11[[#This Row],[Weighting Factor 2021]]*HIX_SLCSP11[[#This Row],[2021]],2)</f>
        <v>0.47</v>
      </c>
      <c r="BL1835" s="53">
        <f>ROUND(HIX_SLCSP11[[#This Row],[Weighting Factor 2022]]*HIX_SLCSP11[[#This Row],[2022]],2)</f>
        <v>0.43</v>
      </c>
      <c r="BM1835" s="53">
        <f>ROUND(HIX_SLCSP11[[#This Row],[Weighting Factor 2023]]*HIX_SLCSP11[[#This Row],[2023]],2)</f>
        <v>0.46</v>
      </c>
    </row>
    <row r="1836" spans="4:65" x14ac:dyDescent="0.35">
      <c r="D1836" t="s">
        <v>539</v>
      </c>
      <c r="E1836" t="s">
        <v>667</v>
      </c>
      <c r="F1836" s="23">
        <v>38</v>
      </c>
      <c r="G1836" s="23" t="s">
        <v>540</v>
      </c>
      <c r="H1836" s="23" t="s">
        <v>668</v>
      </c>
      <c r="I1836" s="23">
        <v>16</v>
      </c>
      <c r="J1836" s="53">
        <v>487.03</v>
      </c>
      <c r="K1836" s="53">
        <v>636.96</v>
      </c>
      <c r="L1836" s="53">
        <v>1085.51</v>
      </c>
      <c r="M1836" s="54">
        <f t="shared" si="34"/>
        <v>1.7042043456417983</v>
      </c>
      <c r="N1836" s="24">
        <v>16</v>
      </c>
      <c r="O1836" s="55">
        <v>561.12</v>
      </c>
      <c r="P1836" s="56">
        <v>606.53</v>
      </c>
      <c r="Q1836" s="56">
        <v>1033.6500000000001</v>
      </c>
      <c r="R1836" s="57">
        <f t="shared" si="35"/>
        <v>1.704202595090103</v>
      </c>
      <c r="S1836" s="23">
        <v>16</v>
      </c>
      <c r="T1836" s="53">
        <v>540.67999999999995</v>
      </c>
      <c r="U1836" s="53">
        <v>583.22</v>
      </c>
      <c r="V1836" s="53">
        <v>993.93</v>
      </c>
      <c r="W1836" s="57">
        <f t="shared" si="36"/>
        <v>1.7042111038716092</v>
      </c>
      <c r="X1836" s="47">
        <v>101</v>
      </c>
      <c r="Y1836" s="58">
        <v>349.06</v>
      </c>
      <c r="Z1836" s="58">
        <v>358.75</v>
      </c>
      <c r="AA1836" s="58">
        <v>611.38</v>
      </c>
      <c r="AB1836" s="57">
        <f t="shared" si="37"/>
        <v>1.7041951219512195</v>
      </c>
      <c r="AC1836" s="47">
        <v>97</v>
      </c>
      <c r="AD1836" s="57">
        <v>340.73</v>
      </c>
      <c r="AE1836" s="57">
        <v>356.86</v>
      </c>
      <c r="AF1836" s="57">
        <v>608.16</v>
      </c>
      <c r="AG1836" s="57">
        <f t="shared" si="38"/>
        <v>1.7041977245978814</v>
      </c>
      <c r="AH1836" s="47">
        <v>108</v>
      </c>
      <c r="AI1836">
        <v>330.2</v>
      </c>
      <c r="AJ1836">
        <v>331.8</v>
      </c>
      <c r="AK1836">
        <v>565.45000000000005</v>
      </c>
      <c r="AL1836" s="57">
        <f t="shared" si="15"/>
        <v>1.7041892706449668</v>
      </c>
      <c r="AM1836" s="59">
        <v>165</v>
      </c>
      <c r="AN1836" s="59">
        <f>SUMIFS(HIX_RatingAreas8[Silver Enrollments 2018],HIX_RatingAreas8[Area],HIX_SLCSP11[[#This Row],[Area Code]])</f>
        <v>177</v>
      </c>
      <c r="AO1836" s="59">
        <f>SUMIFS(HIX_RatingAreas8[Silver Enrollments 2019],HIX_RatingAreas8[Area],HIX_SLCSP11[[#This Row],[Area Code]])</f>
        <v>187</v>
      </c>
      <c r="AP1836" s="59">
        <f>SUMIFS(HIX_RatingAreas8[Silver Enrollments 2020],HIX_RatingAreas8[Area],HIX_SLCSP11[[#This Row],[Area Code]])</f>
        <v>206</v>
      </c>
      <c r="AQ1836" s="59">
        <f>SUMIFS(HIX_RatingAreas8[Silver Enrollments 2021],HIX_RatingAreas8[Area],HIX_SLCSP11[[#This Row],[Area Code]])</f>
        <v>147</v>
      </c>
      <c r="AR1836" s="59">
        <f>SUMIFS(HIX_RatingAreas8[Silver Enrollments 2022],HIX_RatingAreas8[Area],HIX_SLCSP11[[#This Row],[Area Code]])</f>
        <v>130</v>
      </c>
      <c r="AS1836" s="59">
        <f>SUMIFS(HIX_RatingAreas8[Silver Enrollments 2023],HIX_RatingAreas8[Area],HIX_SLCSP11[[#This Row],[Area Code]])</f>
        <v>130</v>
      </c>
      <c r="AT1836" s="59">
        <v>195</v>
      </c>
      <c r="AU1836">
        <f t="shared" si="28"/>
        <v>1.1188852918798764E-4</v>
      </c>
      <c r="AV1836">
        <f>SUMIFS(HIX_RatingAreas8[QHP Enrollments 2018],HIX_RatingAreas8[Area],HIX_SLCSP11[[#This Row],[Area Code]])</f>
        <v>230</v>
      </c>
      <c r="AW1836">
        <f t="shared" si="29"/>
        <v>1.3409311659221584E-4</v>
      </c>
      <c r="AX1836">
        <f>SUMIFS(HIX_RatingAreas8[QHP Enrollments 2019],HIX_RatingAreas8[Area],HIX_SLCSP11[[#This Row],[Area Code]])</f>
        <v>256</v>
      </c>
      <c r="AY1836">
        <f t="shared" si="30"/>
        <v>1.4355376312731873E-4</v>
      </c>
      <c r="AZ1836">
        <f>SUMIFS(HIX_RatingAreas8[QHP Enrollments 2020],HIX_RatingAreas8[Area],HIX_SLCSP11[[#This Row],[Area Code]])</f>
        <v>299</v>
      </c>
      <c r="BA1836">
        <f t="shared" si="31"/>
        <v>1.5621938635562116E-4</v>
      </c>
      <c r="BB1836">
        <f>SUMIFS(HIX_RatingAreas8[QHP Enrollments 2021],HIX_RatingAreas8[Area],HIX_SLCSP11[[#This Row],[Area Code]])</f>
        <v>308</v>
      </c>
      <c r="BC1836">
        <f t="shared" si="32"/>
        <v>1.4525903742306694E-4</v>
      </c>
      <c r="BD1836">
        <f>SUMIFS(HIX_RatingAreas8[QHP Enrollments 2022],HIX_RatingAreas8[Area],HIX_SLCSP11[[#This Row],[Area Code]])</f>
        <v>367</v>
      </c>
      <c r="BE1836">
        <f t="shared" si="40"/>
        <v>1.3477316611178313E-4</v>
      </c>
      <c r="BF1836">
        <f>SUMIFS(HIX_RatingAreas8[QHP Enrollments 2023],HIX_RatingAreas8[Area],HIX_SLCSP11[[#This Row],[Area Code]])</f>
        <v>367</v>
      </c>
      <c r="BG1836">
        <f t="shared" si="39"/>
        <v>1.3477316611178313E-4</v>
      </c>
      <c r="BH1836" s="53">
        <f>ROUND(HIX_SLCSP11[[#This Row],[Weighting Factor 2018]]*HIX_SLCSP11[[#This Row],[2018]],2)</f>
        <v>0.09</v>
      </c>
      <c r="BI1836" s="53">
        <f>ROUND(HIX_SLCSP11[[#This Row],[Weighting Factor 2019]]*HIX_SLCSP11[[#This Row],[2019]],2)</f>
        <v>0.09</v>
      </c>
      <c r="BJ1836" s="53">
        <f>ROUND(HIX_SLCSP11[[#This Row],[Weighting Factor 2020]]*HIX_SLCSP11[[#This Row],[2020]],2)</f>
        <v>0.09</v>
      </c>
      <c r="BK1836" s="53">
        <f>ROUND(HIX_SLCSP11[[#This Row],[Weighting Factor 2021]]*HIX_SLCSP11[[#This Row],[2021]],2)</f>
        <v>0.05</v>
      </c>
      <c r="BL1836" s="53">
        <f>ROUND(HIX_SLCSP11[[#This Row],[Weighting Factor 2022]]*HIX_SLCSP11[[#This Row],[2022]],2)</f>
        <v>0.05</v>
      </c>
      <c r="BM1836" s="53">
        <f>ROUND(HIX_SLCSP11[[#This Row],[Weighting Factor 2023]]*HIX_SLCSP11[[#This Row],[2023]],2)</f>
        <v>0.04</v>
      </c>
    </row>
    <row r="1837" spans="4:65" x14ac:dyDescent="0.35">
      <c r="D1837" t="s">
        <v>539</v>
      </c>
      <c r="E1837" t="s">
        <v>671</v>
      </c>
      <c r="F1837" s="23">
        <v>39</v>
      </c>
      <c r="G1837" s="23" t="s">
        <v>540</v>
      </c>
      <c r="H1837" s="23" t="s">
        <v>672</v>
      </c>
      <c r="I1837" s="23">
        <v>16</v>
      </c>
      <c r="J1837" s="53">
        <v>457.29</v>
      </c>
      <c r="K1837" s="53">
        <v>598.05999999999995</v>
      </c>
      <c r="L1837" s="53">
        <v>1019.22</v>
      </c>
      <c r="M1837" s="54">
        <f t="shared" si="34"/>
        <v>1.7042102799050265</v>
      </c>
      <c r="N1837" s="24">
        <v>16</v>
      </c>
      <c r="O1837" s="55">
        <v>533.54999999999995</v>
      </c>
      <c r="P1837" s="56">
        <v>576.72</v>
      </c>
      <c r="Q1837" s="56">
        <v>982.85</v>
      </c>
      <c r="R1837" s="57">
        <f t="shared" si="35"/>
        <v>1.7042065473713413</v>
      </c>
      <c r="S1837" s="23">
        <v>16</v>
      </c>
      <c r="T1837" s="53">
        <v>511.4</v>
      </c>
      <c r="U1837" s="53">
        <v>551.65</v>
      </c>
      <c r="V1837" s="53">
        <v>940.11</v>
      </c>
      <c r="W1837" s="57">
        <f t="shared" si="36"/>
        <v>1.7041783739690022</v>
      </c>
      <c r="X1837" s="47">
        <v>101</v>
      </c>
      <c r="Y1837" s="58">
        <v>322.38</v>
      </c>
      <c r="Z1837" s="58">
        <v>331.33</v>
      </c>
      <c r="AA1837" s="58">
        <v>564.65</v>
      </c>
      <c r="AB1837" s="57">
        <f t="shared" si="37"/>
        <v>1.7041921950925061</v>
      </c>
      <c r="AC1837" s="47">
        <v>89</v>
      </c>
      <c r="AD1837" s="57">
        <v>351.2</v>
      </c>
      <c r="AE1837" s="57">
        <v>367.83</v>
      </c>
      <c r="AF1837" s="57">
        <v>626.85</v>
      </c>
      <c r="AG1837" s="57">
        <f t="shared" si="38"/>
        <v>1.7041839980425741</v>
      </c>
      <c r="AH1837" s="47">
        <v>108</v>
      </c>
      <c r="AI1837">
        <v>406.92</v>
      </c>
      <c r="AJ1837">
        <v>408.89</v>
      </c>
      <c r="AK1837">
        <v>696.83</v>
      </c>
      <c r="AL1837" s="57">
        <f t="shared" si="15"/>
        <v>1.7041991733718116</v>
      </c>
      <c r="AM1837" s="59">
        <v>674</v>
      </c>
      <c r="AN1837" s="59">
        <f>SUMIFS(HIX_RatingAreas8[Silver Enrollments 2018],HIX_RatingAreas8[Area],HIX_SLCSP11[[#This Row],[Area Code]])</f>
        <v>684</v>
      </c>
      <c r="AO1837" s="59">
        <f>SUMIFS(HIX_RatingAreas8[Silver Enrollments 2019],HIX_RatingAreas8[Area],HIX_SLCSP11[[#This Row],[Area Code]])</f>
        <v>660</v>
      </c>
      <c r="AP1837" s="59">
        <f>SUMIFS(HIX_RatingAreas8[Silver Enrollments 2020],HIX_RatingAreas8[Area],HIX_SLCSP11[[#This Row],[Area Code]])</f>
        <v>725</v>
      </c>
      <c r="AQ1837" s="59">
        <f>SUMIFS(HIX_RatingAreas8[Silver Enrollments 2021],HIX_RatingAreas8[Area],HIX_SLCSP11[[#This Row],[Area Code]])</f>
        <v>538</v>
      </c>
      <c r="AR1837" s="59">
        <f>SUMIFS(HIX_RatingAreas8[Silver Enrollments 2022],HIX_RatingAreas8[Area],HIX_SLCSP11[[#This Row],[Area Code]])</f>
        <v>494</v>
      </c>
      <c r="AS1837" s="59">
        <f>SUMIFS(HIX_RatingAreas8[Silver Enrollments 2023],HIX_RatingAreas8[Area],HIX_SLCSP11[[#This Row],[Area Code]])</f>
        <v>494</v>
      </c>
      <c r="AT1837" s="59">
        <v>820</v>
      </c>
      <c r="AU1837">
        <f t="shared" si="28"/>
        <v>4.7050560991871728E-4</v>
      </c>
      <c r="AV1837">
        <f>SUMIFS(HIX_RatingAreas8[QHP Enrollments 2018],HIX_RatingAreas8[Area],HIX_SLCSP11[[#This Row],[Area Code]])</f>
        <v>880</v>
      </c>
      <c r="AW1837">
        <f t="shared" si="29"/>
        <v>5.1305192435282577E-4</v>
      </c>
      <c r="AX1837">
        <f>SUMIFS(HIX_RatingAreas8[QHP Enrollments 2019],HIX_RatingAreas8[Area],HIX_SLCSP11[[#This Row],[Area Code]])</f>
        <v>884</v>
      </c>
      <c r="AY1837">
        <f t="shared" si="30"/>
        <v>4.9570908829902249E-4</v>
      </c>
      <c r="AZ1837">
        <f>SUMIFS(HIX_RatingAreas8[QHP Enrollments 2020],HIX_RatingAreas8[Area],HIX_SLCSP11[[#This Row],[Area Code]])</f>
        <v>966</v>
      </c>
      <c r="BA1837">
        <f t="shared" si="31"/>
        <v>5.0470878668739142E-4</v>
      </c>
      <c r="BB1837">
        <f>SUMIFS(HIX_RatingAreas8[QHP Enrollments 2021],HIX_RatingAreas8[Area],HIX_SLCSP11[[#This Row],[Area Code]])</f>
        <v>1093</v>
      </c>
      <c r="BC1837">
        <f t="shared" si="32"/>
        <v>5.154809347513382E-4</v>
      </c>
      <c r="BD1837">
        <f>SUMIFS(HIX_RatingAreas8[QHP Enrollments 2022],HIX_RatingAreas8[Area],HIX_SLCSP11[[#This Row],[Area Code]])</f>
        <v>1226</v>
      </c>
      <c r="BE1837">
        <f t="shared" si="40"/>
        <v>4.5022316526715568E-4</v>
      </c>
      <c r="BF1837">
        <f>SUMIFS(HIX_RatingAreas8[QHP Enrollments 2023],HIX_RatingAreas8[Area],HIX_SLCSP11[[#This Row],[Area Code]])</f>
        <v>1226</v>
      </c>
      <c r="BG1837">
        <f t="shared" si="39"/>
        <v>4.5022316526715568E-4</v>
      </c>
      <c r="BH1837" s="53">
        <f>ROUND(HIX_SLCSP11[[#This Row],[Weighting Factor 2018]]*HIX_SLCSP11[[#This Row],[2018]],2)</f>
        <v>0.31</v>
      </c>
      <c r="BI1837" s="53">
        <f>ROUND(HIX_SLCSP11[[#This Row],[Weighting Factor 2019]]*HIX_SLCSP11[[#This Row],[2019]],2)</f>
        <v>0.28999999999999998</v>
      </c>
      <c r="BJ1837" s="53">
        <f>ROUND(HIX_SLCSP11[[#This Row],[Weighting Factor 2020]]*HIX_SLCSP11[[#This Row],[2020]],2)</f>
        <v>0.28000000000000003</v>
      </c>
      <c r="BK1837" s="53">
        <f>ROUND(HIX_SLCSP11[[#This Row],[Weighting Factor 2021]]*HIX_SLCSP11[[#This Row],[2021]],2)</f>
        <v>0.17</v>
      </c>
      <c r="BL1837" s="53">
        <f>ROUND(HIX_SLCSP11[[#This Row],[Weighting Factor 2022]]*HIX_SLCSP11[[#This Row],[2022]],2)</f>
        <v>0.17</v>
      </c>
      <c r="BM1837" s="53">
        <f>ROUND(HIX_SLCSP11[[#This Row],[Weighting Factor 2023]]*HIX_SLCSP11[[#This Row],[2023]],2)</f>
        <v>0.18</v>
      </c>
    </row>
    <row r="1838" spans="4:65" x14ac:dyDescent="0.35">
      <c r="D1838" t="s">
        <v>539</v>
      </c>
      <c r="E1838" t="s">
        <v>674</v>
      </c>
      <c r="F1838" s="23">
        <v>40</v>
      </c>
      <c r="G1838" s="23" t="s">
        <v>540</v>
      </c>
      <c r="H1838" s="23" t="s">
        <v>675</v>
      </c>
      <c r="I1838" s="23">
        <v>105</v>
      </c>
      <c r="J1838" s="53">
        <v>298.64</v>
      </c>
      <c r="K1838" s="53">
        <v>342.54</v>
      </c>
      <c r="L1838" s="53">
        <v>583.76</v>
      </c>
      <c r="M1838" s="54">
        <f t="shared" si="34"/>
        <v>1.7042097273311145</v>
      </c>
      <c r="N1838" s="24">
        <v>96</v>
      </c>
      <c r="O1838" s="55">
        <v>353.32</v>
      </c>
      <c r="P1838" s="56">
        <v>359.27</v>
      </c>
      <c r="Q1838" s="56">
        <v>612.27</v>
      </c>
      <c r="R1838" s="57">
        <f t="shared" si="35"/>
        <v>1.7042057505497259</v>
      </c>
      <c r="S1838" s="23">
        <v>105</v>
      </c>
      <c r="T1838" s="53">
        <v>275.82</v>
      </c>
      <c r="U1838" s="53">
        <v>307.91000000000003</v>
      </c>
      <c r="V1838" s="53">
        <v>524.74</v>
      </c>
      <c r="W1838" s="57">
        <f t="shared" si="36"/>
        <v>1.7041992790101002</v>
      </c>
      <c r="X1838" s="47">
        <v>169</v>
      </c>
      <c r="Y1838" s="58">
        <v>272.81</v>
      </c>
      <c r="Z1838" s="58">
        <v>272.81</v>
      </c>
      <c r="AA1838" s="58">
        <v>464.93</v>
      </c>
      <c r="AB1838" s="57">
        <f t="shared" si="37"/>
        <v>1.7042263846633188</v>
      </c>
      <c r="AC1838" s="47">
        <v>208</v>
      </c>
      <c r="AD1838" s="57">
        <v>269.63</v>
      </c>
      <c r="AE1838" s="57">
        <v>277.12</v>
      </c>
      <c r="AF1838" s="57">
        <v>472.26</v>
      </c>
      <c r="AG1838" s="57">
        <f t="shared" si="38"/>
        <v>1.7041714780600461</v>
      </c>
      <c r="AH1838" s="47">
        <v>238</v>
      </c>
      <c r="AI1838">
        <v>295.14999999999998</v>
      </c>
      <c r="AJ1838">
        <v>296.58</v>
      </c>
      <c r="AK1838">
        <v>505.43</v>
      </c>
      <c r="AL1838" s="57">
        <f t="shared" si="15"/>
        <v>1.7041944837817791</v>
      </c>
      <c r="AM1838" s="59">
        <v>15266</v>
      </c>
      <c r="AN1838" s="59">
        <f>SUMIFS(HIX_RatingAreas8[Silver Enrollments 2018],HIX_RatingAreas8[Area],HIX_SLCSP11[[#This Row],[Area Code]])</f>
        <v>10672</v>
      </c>
      <c r="AO1838" s="59">
        <f>SUMIFS(HIX_RatingAreas8[Silver Enrollments 2019],HIX_RatingAreas8[Area],HIX_SLCSP11[[#This Row],[Area Code]])</f>
        <v>9373</v>
      </c>
      <c r="AP1838" s="59">
        <f>SUMIFS(HIX_RatingAreas8[Silver Enrollments 2020],HIX_RatingAreas8[Area],HIX_SLCSP11[[#This Row],[Area Code]])</f>
        <v>9925</v>
      </c>
      <c r="AQ1838" s="59">
        <f>SUMIFS(HIX_RatingAreas8[Silver Enrollments 2021],HIX_RatingAreas8[Area],HIX_SLCSP11[[#This Row],[Area Code]])</f>
        <v>10760</v>
      </c>
      <c r="AR1838" s="59">
        <f>SUMIFS(HIX_RatingAreas8[Silver Enrollments 2022],HIX_RatingAreas8[Area],HIX_SLCSP11[[#This Row],[Area Code]])</f>
        <v>15587</v>
      </c>
      <c r="AS1838" s="59">
        <f>SUMIFS(HIX_RatingAreas8[Silver Enrollments 2023],HIX_RatingAreas8[Area],HIX_SLCSP11[[#This Row],[Area Code]])</f>
        <v>15587</v>
      </c>
      <c r="AT1838" s="59">
        <v>21324</v>
      </c>
      <c r="AU1838">
        <f t="shared" si="28"/>
        <v>1.2235441007203326E-2</v>
      </c>
      <c r="AV1838">
        <f>SUMIFS(HIX_RatingAreas8[QHP Enrollments 2018],HIX_RatingAreas8[Area],HIX_SLCSP11[[#This Row],[Area Code]])</f>
        <v>19717</v>
      </c>
      <c r="AW1838">
        <f t="shared" si="29"/>
        <v>1.1495278173255304E-2</v>
      </c>
      <c r="AX1838">
        <f>SUMIFS(HIX_RatingAreas8[QHP Enrollments 2019],HIX_RatingAreas8[Area],HIX_SLCSP11[[#This Row],[Area Code]])</f>
        <v>18965</v>
      </c>
      <c r="AY1838">
        <f t="shared" si="30"/>
        <v>1.0634754366053123E-2</v>
      </c>
      <c r="AZ1838">
        <f>SUMIFS(HIX_RatingAreas8[QHP Enrollments 2020],HIX_RatingAreas8[Area],HIX_SLCSP11[[#This Row],[Area Code]])</f>
        <v>19302</v>
      </c>
      <c r="BA1838">
        <f t="shared" si="31"/>
        <v>1.0084771222194647E-2</v>
      </c>
      <c r="BB1838">
        <f>SUMIFS(HIX_RatingAreas8[QHP Enrollments 2021],HIX_RatingAreas8[Area],HIX_SLCSP11[[#This Row],[Area Code]])</f>
        <v>21183</v>
      </c>
      <c r="BC1838">
        <f t="shared" si="32"/>
        <v>9.9903317848468419E-3</v>
      </c>
      <c r="BD1838">
        <f>SUMIFS(HIX_RatingAreas8[QHP Enrollments 2022],HIX_RatingAreas8[Area],HIX_SLCSP11[[#This Row],[Area Code]])</f>
        <v>29989</v>
      </c>
      <c r="BE1838">
        <f t="shared" si="40"/>
        <v>1.1012840540943499E-2</v>
      </c>
      <c r="BF1838">
        <f>SUMIFS(HIX_RatingAreas8[QHP Enrollments 2023],HIX_RatingAreas8[Area],HIX_SLCSP11[[#This Row],[Area Code]])</f>
        <v>29989</v>
      </c>
      <c r="BG1838">
        <f t="shared" si="39"/>
        <v>1.1012840540943499E-2</v>
      </c>
      <c r="BH1838" s="53">
        <f>ROUND(HIX_SLCSP11[[#This Row],[Weighting Factor 2018]]*HIX_SLCSP11[[#This Row],[2018]],2)</f>
        <v>3.94</v>
      </c>
      <c r="BI1838" s="53">
        <f>ROUND(HIX_SLCSP11[[#This Row],[Weighting Factor 2019]]*HIX_SLCSP11[[#This Row],[2019]],2)</f>
        <v>3.82</v>
      </c>
      <c r="BJ1838" s="53">
        <f>ROUND(HIX_SLCSP11[[#This Row],[Weighting Factor 2020]]*HIX_SLCSP11[[#This Row],[2020]],2)</f>
        <v>3.11</v>
      </c>
      <c r="BK1838" s="53">
        <f>ROUND(HIX_SLCSP11[[#This Row],[Weighting Factor 2021]]*HIX_SLCSP11[[#This Row],[2021]],2)</f>
        <v>2.73</v>
      </c>
      <c r="BL1838" s="53">
        <f>ROUND(HIX_SLCSP11[[#This Row],[Weighting Factor 2022]]*HIX_SLCSP11[[#This Row],[2022]],2)</f>
        <v>3.05</v>
      </c>
      <c r="BM1838" s="53">
        <f>ROUND(HIX_SLCSP11[[#This Row],[Weighting Factor 2023]]*HIX_SLCSP11[[#This Row],[2023]],2)</f>
        <v>3.27</v>
      </c>
    </row>
    <row r="1839" spans="4:65" x14ac:dyDescent="0.35">
      <c r="D1839" t="s">
        <v>539</v>
      </c>
      <c r="E1839" t="s">
        <v>678</v>
      </c>
      <c r="F1839" s="23">
        <v>41</v>
      </c>
      <c r="G1839" s="23" t="s">
        <v>540</v>
      </c>
      <c r="H1839" s="23" t="s">
        <v>679</v>
      </c>
      <c r="I1839" s="23">
        <v>114</v>
      </c>
      <c r="J1839" s="53">
        <v>277.37</v>
      </c>
      <c r="K1839" s="53">
        <v>334.78</v>
      </c>
      <c r="L1839" s="53">
        <v>557.74</v>
      </c>
      <c r="M1839" s="54">
        <f t="shared" si="34"/>
        <v>1.6659896051138063</v>
      </c>
      <c r="N1839" s="24">
        <v>96</v>
      </c>
      <c r="O1839" s="55">
        <v>338.23</v>
      </c>
      <c r="P1839" s="56">
        <v>357.36</v>
      </c>
      <c r="Q1839" s="56">
        <v>609.02</v>
      </c>
      <c r="R1839" s="57">
        <f t="shared" si="35"/>
        <v>1.7042198343407207</v>
      </c>
      <c r="S1839" s="23">
        <v>114</v>
      </c>
      <c r="T1839" s="53">
        <v>276.35000000000002</v>
      </c>
      <c r="U1839" s="53">
        <v>290.58</v>
      </c>
      <c r="V1839" s="53">
        <v>495.21</v>
      </c>
      <c r="W1839" s="57">
        <f t="shared" si="36"/>
        <v>1.7042122651249225</v>
      </c>
      <c r="X1839" s="47">
        <v>212</v>
      </c>
      <c r="Y1839" s="58">
        <v>253.42</v>
      </c>
      <c r="Z1839" s="58">
        <v>260.45999999999998</v>
      </c>
      <c r="AA1839" s="58">
        <v>443.87</v>
      </c>
      <c r="AB1839" s="57">
        <f t="shared" si="37"/>
        <v>1.7041772249097751</v>
      </c>
      <c r="AC1839" s="47">
        <v>236</v>
      </c>
      <c r="AD1839" s="57">
        <v>256.95</v>
      </c>
      <c r="AE1839" s="57">
        <v>257.74</v>
      </c>
      <c r="AF1839" s="57">
        <v>439.24</v>
      </c>
      <c r="AG1839" s="57">
        <f t="shared" si="38"/>
        <v>1.7041980290214944</v>
      </c>
      <c r="AH1839" s="47">
        <v>222</v>
      </c>
      <c r="AI1839">
        <v>276.27999999999997</v>
      </c>
      <c r="AJ1839">
        <v>277.62</v>
      </c>
      <c r="AK1839">
        <v>473.12</v>
      </c>
      <c r="AL1839" s="57">
        <f t="shared" si="15"/>
        <v>1.7041999855918162</v>
      </c>
      <c r="AM1839" s="59">
        <v>18167</v>
      </c>
      <c r="AN1839" s="59">
        <f>SUMIFS(HIX_RatingAreas8[Silver Enrollments 2018],HIX_RatingAreas8[Area],HIX_SLCSP11[[#This Row],[Area Code]])</f>
        <v>14440</v>
      </c>
      <c r="AO1839" s="59">
        <f>SUMIFS(HIX_RatingAreas8[Silver Enrollments 2019],HIX_RatingAreas8[Area],HIX_SLCSP11[[#This Row],[Area Code]])</f>
        <v>14149</v>
      </c>
      <c r="AP1839" s="59">
        <f>SUMIFS(HIX_RatingAreas8[Silver Enrollments 2020],HIX_RatingAreas8[Area],HIX_SLCSP11[[#This Row],[Area Code]])</f>
        <v>15396</v>
      </c>
      <c r="AQ1839" s="59">
        <f>SUMIFS(HIX_RatingAreas8[Silver Enrollments 2021],HIX_RatingAreas8[Area],HIX_SLCSP11[[#This Row],[Area Code]])</f>
        <v>15376</v>
      </c>
      <c r="AR1839" s="59">
        <f>SUMIFS(HIX_RatingAreas8[Silver Enrollments 2022],HIX_RatingAreas8[Area],HIX_SLCSP11[[#This Row],[Area Code]])</f>
        <v>19569</v>
      </c>
      <c r="AS1839" s="59">
        <f>SUMIFS(HIX_RatingAreas8[Silver Enrollments 2023],HIX_RatingAreas8[Area],HIX_SLCSP11[[#This Row],[Area Code]])</f>
        <v>19569</v>
      </c>
      <c r="AT1839" s="59">
        <v>22270</v>
      </c>
      <c r="AU1839">
        <f t="shared" si="28"/>
        <v>1.2778243820597359E-2</v>
      </c>
      <c r="AV1839">
        <f>SUMIFS(HIX_RatingAreas8[QHP Enrollments 2018],HIX_RatingAreas8[Area],HIX_SLCSP11[[#This Row],[Area Code]])</f>
        <v>22207</v>
      </c>
      <c r="AW1839">
        <f t="shared" si="29"/>
        <v>1.294698191375364E-2</v>
      </c>
      <c r="AX1839">
        <f>SUMIFS(HIX_RatingAreas8[QHP Enrollments 2019],HIX_RatingAreas8[Area],HIX_SLCSP11[[#This Row],[Area Code]])</f>
        <v>22114</v>
      </c>
      <c r="AY1839">
        <f t="shared" si="30"/>
        <v>1.2400577803896588E-2</v>
      </c>
      <c r="AZ1839">
        <f>SUMIFS(HIX_RatingAreas8[QHP Enrollments 2020],HIX_RatingAreas8[Area],HIX_SLCSP11[[#This Row],[Area Code]])</f>
        <v>23912</v>
      </c>
      <c r="BA1839">
        <f t="shared" si="31"/>
        <v>1.2493371125537167E-2</v>
      </c>
      <c r="BB1839">
        <f>SUMIFS(HIX_RatingAreas8[QHP Enrollments 2021],HIX_RatingAreas8[Area],HIX_SLCSP11[[#This Row],[Area Code]])</f>
        <v>25415</v>
      </c>
      <c r="BC1839">
        <f t="shared" si="32"/>
        <v>1.1986228688659891E-2</v>
      </c>
      <c r="BD1839">
        <f>SUMIFS(HIX_RatingAreas8[QHP Enrollments 2022],HIX_RatingAreas8[Area],HIX_SLCSP11[[#This Row],[Area Code]])</f>
        <v>32830</v>
      </c>
      <c r="BE1839">
        <f t="shared" si="40"/>
        <v>1.2056139082969593E-2</v>
      </c>
      <c r="BF1839">
        <f>SUMIFS(HIX_RatingAreas8[QHP Enrollments 2023],HIX_RatingAreas8[Area],HIX_SLCSP11[[#This Row],[Area Code]])</f>
        <v>32830</v>
      </c>
      <c r="BG1839">
        <f t="shared" si="39"/>
        <v>1.2056139082969593E-2</v>
      </c>
      <c r="BH1839" s="53">
        <f>ROUND(HIX_SLCSP11[[#This Row],[Weighting Factor 2018]]*HIX_SLCSP11[[#This Row],[2018]],2)</f>
        <v>4.33</v>
      </c>
      <c r="BI1839" s="53">
        <f>ROUND(HIX_SLCSP11[[#This Row],[Weighting Factor 2019]]*HIX_SLCSP11[[#This Row],[2019]],2)</f>
        <v>4.43</v>
      </c>
      <c r="BJ1839" s="53">
        <f>ROUND(HIX_SLCSP11[[#This Row],[Weighting Factor 2020]]*HIX_SLCSP11[[#This Row],[2020]],2)</f>
        <v>3.63</v>
      </c>
      <c r="BK1839" s="53">
        <f>ROUND(HIX_SLCSP11[[#This Row],[Weighting Factor 2021]]*HIX_SLCSP11[[#This Row],[2021]],2)</f>
        <v>3.12</v>
      </c>
      <c r="BL1839" s="53">
        <f>ROUND(HIX_SLCSP11[[#This Row],[Weighting Factor 2022]]*HIX_SLCSP11[[#This Row],[2022]],2)</f>
        <v>3.11</v>
      </c>
      <c r="BM1839" s="53">
        <f>ROUND(HIX_SLCSP11[[#This Row],[Weighting Factor 2023]]*HIX_SLCSP11[[#This Row],[2023]],2)</f>
        <v>3.35</v>
      </c>
    </row>
    <row r="1840" spans="4:65" x14ac:dyDescent="0.35">
      <c r="D1840" t="s">
        <v>539</v>
      </c>
      <c r="E1840" t="s">
        <v>681</v>
      </c>
      <c r="F1840" s="23">
        <v>42</v>
      </c>
      <c r="G1840" s="23" t="s">
        <v>540</v>
      </c>
      <c r="H1840" s="23" t="s">
        <v>682</v>
      </c>
      <c r="I1840" s="23">
        <v>75</v>
      </c>
      <c r="J1840" s="53">
        <v>297</v>
      </c>
      <c r="K1840" s="53">
        <v>373.6</v>
      </c>
      <c r="L1840" s="53">
        <v>636.69000000000005</v>
      </c>
      <c r="M1840" s="54">
        <f t="shared" si="34"/>
        <v>1.7042023554603856</v>
      </c>
      <c r="N1840" s="24">
        <v>48</v>
      </c>
      <c r="O1840" s="55">
        <v>364.05</v>
      </c>
      <c r="P1840" s="56">
        <v>392.1</v>
      </c>
      <c r="Q1840" s="56">
        <v>668.21</v>
      </c>
      <c r="R1840" s="57">
        <f t="shared" si="35"/>
        <v>1.7041826064779393</v>
      </c>
      <c r="S1840" s="23">
        <v>75</v>
      </c>
      <c r="T1840" s="53">
        <v>295.48</v>
      </c>
      <c r="U1840" s="53">
        <v>310.19</v>
      </c>
      <c r="V1840" s="53">
        <v>528.62</v>
      </c>
      <c r="W1840" s="57">
        <f t="shared" si="36"/>
        <v>1.7041813082304393</v>
      </c>
      <c r="X1840" s="47">
        <v>122</v>
      </c>
      <c r="Y1840" s="58">
        <v>285.87</v>
      </c>
      <c r="Z1840" s="58">
        <v>305.39999999999998</v>
      </c>
      <c r="AA1840" s="58">
        <v>520.46</v>
      </c>
      <c r="AB1840" s="57">
        <f t="shared" si="37"/>
        <v>1.704191224623445</v>
      </c>
      <c r="AC1840" s="47">
        <v>197</v>
      </c>
      <c r="AD1840" s="57">
        <v>287.88</v>
      </c>
      <c r="AE1840" s="57">
        <v>313.54000000000002</v>
      </c>
      <c r="AF1840" s="57">
        <v>534.34</v>
      </c>
      <c r="AG1840" s="57">
        <f t="shared" si="38"/>
        <v>1.7042163679275371</v>
      </c>
      <c r="AH1840" s="47">
        <v>187</v>
      </c>
      <c r="AI1840">
        <v>314.72000000000003</v>
      </c>
      <c r="AJ1840">
        <v>328.4</v>
      </c>
      <c r="AK1840">
        <v>559.66</v>
      </c>
      <c r="AL1840" s="57">
        <f t="shared" si="15"/>
        <v>1.7042021924482338</v>
      </c>
      <c r="AM1840" s="59">
        <v>8756</v>
      </c>
      <c r="AN1840" s="59">
        <f>SUMIFS(HIX_RatingAreas8[Silver Enrollments 2018],HIX_RatingAreas8[Area],HIX_SLCSP11[[#This Row],[Area Code]])</f>
        <v>7679</v>
      </c>
      <c r="AO1840" s="59">
        <f>SUMIFS(HIX_RatingAreas8[Silver Enrollments 2019],HIX_RatingAreas8[Area],HIX_SLCSP11[[#This Row],[Area Code]])</f>
        <v>7540</v>
      </c>
      <c r="AP1840" s="59">
        <f>SUMIFS(HIX_RatingAreas8[Silver Enrollments 2020],HIX_RatingAreas8[Area],HIX_SLCSP11[[#This Row],[Area Code]])</f>
        <v>7284</v>
      </c>
      <c r="AQ1840" s="59">
        <f>SUMIFS(HIX_RatingAreas8[Silver Enrollments 2021],HIX_RatingAreas8[Area],HIX_SLCSP11[[#This Row],[Area Code]])</f>
        <v>6671</v>
      </c>
      <c r="AR1840" s="59">
        <f>SUMIFS(HIX_RatingAreas8[Silver Enrollments 2022],HIX_RatingAreas8[Area],HIX_SLCSP11[[#This Row],[Area Code]])</f>
        <v>8073</v>
      </c>
      <c r="AS1840" s="59">
        <f>SUMIFS(HIX_RatingAreas8[Silver Enrollments 2023],HIX_RatingAreas8[Area],HIX_SLCSP11[[#This Row],[Area Code]])</f>
        <v>8073</v>
      </c>
      <c r="AT1840" s="59">
        <v>11903</v>
      </c>
      <c r="AU1840">
        <f t="shared" si="28"/>
        <v>6.8297905791005996E-3</v>
      </c>
      <c r="AV1840">
        <f>SUMIFS(HIX_RatingAreas8[QHP Enrollments 2018],HIX_RatingAreas8[Area],HIX_SLCSP11[[#This Row],[Area Code]])</f>
        <v>12173</v>
      </c>
      <c r="AW1840">
        <f t="shared" si="29"/>
        <v>7.0970239490306232E-3</v>
      </c>
      <c r="AX1840">
        <f>SUMIFS(HIX_RatingAreas8[QHP Enrollments 2019],HIX_RatingAreas8[Area],HIX_SLCSP11[[#This Row],[Area Code]])</f>
        <v>12446</v>
      </c>
      <c r="AY1840">
        <f t="shared" si="30"/>
        <v>6.9791802182914411E-3</v>
      </c>
      <c r="AZ1840">
        <f>SUMIFS(HIX_RatingAreas8[QHP Enrollments 2020],HIX_RatingAreas8[Area],HIX_SLCSP11[[#This Row],[Area Code]])</f>
        <v>12512</v>
      </c>
      <c r="BA1840">
        <f t="shared" si="31"/>
        <v>6.5371804751890696E-3</v>
      </c>
      <c r="BB1840">
        <f>SUMIFS(HIX_RatingAreas8[QHP Enrollments 2021],HIX_RatingAreas8[Area],HIX_SLCSP11[[#This Row],[Area Code]])</f>
        <v>12789</v>
      </c>
      <c r="BC1840">
        <f t="shared" si="32"/>
        <v>6.0315513948168932E-3</v>
      </c>
      <c r="BD1840">
        <f>SUMIFS(HIX_RatingAreas8[QHP Enrollments 2022],HIX_RatingAreas8[Area],HIX_SLCSP11[[#This Row],[Area Code]])</f>
        <v>15817</v>
      </c>
      <c r="BE1840">
        <f t="shared" si="40"/>
        <v>5.8084663988830351E-3</v>
      </c>
      <c r="BF1840">
        <f>SUMIFS(HIX_RatingAreas8[QHP Enrollments 2023],HIX_RatingAreas8[Area],HIX_SLCSP11[[#This Row],[Area Code]])</f>
        <v>15817</v>
      </c>
      <c r="BG1840">
        <f t="shared" si="39"/>
        <v>5.8084663988830351E-3</v>
      </c>
      <c r="BH1840" s="53">
        <f>ROUND(HIX_SLCSP11[[#This Row],[Weighting Factor 2018]]*HIX_SLCSP11[[#This Row],[2018]],2)</f>
        <v>2.65</v>
      </c>
      <c r="BI1840" s="53">
        <f>ROUND(HIX_SLCSP11[[#This Row],[Weighting Factor 2019]]*HIX_SLCSP11[[#This Row],[2019]],2)</f>
        <v>2.74</v>
      </c>
      <c r="BJ1840" s="53">
        <f>ROUND(HIX_SLCSP11[[#This Row],[Weighting Factor 2020]]*HIX_SLCSP11[[#This Row],[2020]],2)</f>
        <v>2.0299999999999998</v>
      </c>
      <c r="BK1840" s="53">
        <f>ROUND(HIX_SLCSP11[[#This Row],[Weighting Factor 2021]]*HIX_SLCSP11[[#This Row],[2021]],2)</f>
        <v>1.84</v>
      </c>
      <c r="BL1840" s="53">
        <f>ROUND(HIX_SLCSP11[[#This Row],[Weighting Factor 2022]]*HIX_SLCSP11[[#This Row],[2022]],2)</f>
        <v>1.82</v>
      </c>
      <c r="BM1840" s="53">
        <f>ROUND(HIX_SLCSP11[[#This Row],[Weighting Factor 2023]]*HIX_SLCSP11[[#This Row],[2023]],2)</f>
        <v>1.91</v>
      </c>
    </row>
    <row r="1841" spans="4:65" x14ac:dyDescent="0.35">
      <c r="D1841" t="s">
        <v>539</v>
      </c>
      <c r="E1841" t="s">
        <v>685</v>
      </c>
      <c r="F1841" s="23">
        <v>43</v>
      </c>
      <c r="G1841" s="23" t="s">
        <v>540</v>
      </c>
      <c r="H1841" s="23" t="s">
        <v>686</v>
      </c>
      <c r="I1841" s="23">
        <v>137</v>
      </c>
      <c r="J1841" s="53">
        <v>293.35000000000002</v>
      </c>
      <c r="K1841" s="53">
        <v>362.79</v>
      </c>
      <c r="L1841" s="53">
        <v>618.26</v>
      </c>
      <c r="M1841" s="54">
        <f t="shared" si="34"/>
        <v>1.7041814824002866</v>
      </c>
      <c r="N1841" s="24">
        <v>100</v>
      </c>
      <c r="O1841" s="55">
        <v>360.67</v>
      </c>
      <c r="P1841" s="56">
        <v>366.75</v>
      </c>
      <c r="Q1841" s="56">
        <v>625.02</v>
      </c>
      <c r="R1841" s="57">
        <f t="shared" si="35"/>
        <v>1.7042126789366052</v>
      </c>
      <c r="S1841" s="23">
        <v>137</v>
      </c>
      <c r="T1841" s="53">
        <v>283.01</v>
      </c>
      <c r="U1841" s="53">
        <v>289.75</v>
      </c>
      <c r="V1841" s="53">
        <v>493.79</v>
      </c>
      <c r="W1841" s="57">
        <f t="shared" si="36"/>
        <v>1.704193270060397</v>
      </c>
      <c r="X1841" s="47">
        <v>252</v>
      </c>
      <c r="Y1841" s="58">
        <v>275.45</v>
      </c>
      <c r="Z1841" s="58">
        <v>283.08999999999997</v>
      </c>
      <c r="AA1841" s="58">
        <v>482.45</v>
      </c>
      <c r="AB1841" s="57">
        <f t="shared" si="37"/>
        <v>1.7042283372778977</v>
      </c>
      <c r="AC1841" s="47">
        <v>434</v>
      </c>
      <c r="AD1841" s="57">
        <v>290.92</v>
      </c>
      <c r="AE1841" s="57">
        <v>293.91000000000003</v>
      </c>
      <c r="AF1841" s="57">
        <v>500.88</v>
      </c>
      <c r="AG1841" s="57">
        <f t="shared" si="38"/>
        <v>1.7041951617842195</v>
      </c>
      <c r="AH1841" s="47">
        <v>377</v>
      </c>
      <c r="AI1841">
        <v>305.48</v>
      </c>
      <c r="AJ1841">
        <v>319.58</v>
      </c>
      <c r="AK1841">
        <v>544.64</v>
      </c>
      <c r="AL1841" s="57">
        <f t="shared" ref="AL1841:AL1904" si="41">AK1841/AJ1841</f>
        <v>1.7042368108141936</v>
      </c>
      <c r="AM1841" s="59">
        <v>311075</v>
      </c>
      <c r="AN1841" s="59">
        <f>SUMIFS(HIX_RatingAreas8[Silver Enrollments 2018],HIX_RatingAreas8[Area],HIX_SLCSP11[[#This Row],[Area Code]])</f>
        <v>302716</v>
      </c>
      <c r="AO1841" s="59">
        <f>SUMIFS(HIX_RatingAreas8[Silver Enrollments 2019],HIX_RatingAreas8[Area],HIX_SLCSP11[[#This Row],[Area Code]])</f>
        <v>329415</v>
      </c>
      <c r="AP1841" s="59">
        <f>SUMIFS(HIX_RatingAreas8[Silver Enrollments 2020],HIX_RatingAreas8[Area],HIX_SLCSP11[[#This Row],[Area Code]])</f>
        <v>360743</v>
      </c>
      <c r="AQ1841" s="59">
        <f>SUMIFS(HIX_RatingAreas8[Silver Enrollments 2021],HIX_RatingAreas8[Area],HIX_SLCSP11[[#This Row],[Area Code]])</f>
        <v>390470</v>
      </c>
      <c r="AR1841" s="59">
        <f>SUMIFS(HIX_RatingAreas8[Silver Enrollments 2022],HIX_RatingAreas8[Area],HIX_SLCSP11[[#This Row],[Area Code]])</f>
        <v>483326</v>
      </c>
      <c r="AS1841" s="59">
        <f>SUMIFS(HIX_RatingAreas8[Silver Enrollments 2023],HIX_RatingAreas8[Area],HIX_SLCSP11[[#This Row],[Area Code]])</f>
        <v>483326</v>
      </c>
      <c r="AT1841" s="59">
        <v>392901</v>
      </c>
      <c r="AU1841">
        <f t="shared" si="28"/>
        <v>0.22544161541789504</v>
      </c>
      <c r="AV1841">
        <f>SUMIFS(HIX_RatingAreas8[QHP Enrollments 2018],HIX_RatingAreas8[Area],HIX_SLCSP11[[#This Row],[Area Code]])</f>
        <v>394677</v>
      </c>
      <c r="AW1841">
        <f t="shared" si="29"/>
        <v>0.23010203903159118</v>
      </c>
      <c r="AX1841">
        <f>SUMIFS(HIX_RatingAreas8[QHP Enrollments 2019],HIX_RatingAreas8[Area],HIX_SLCSP11[[#This Row],[Area Code]])</f>
        <v>422183</v>
      </c>
      <c r="AY1841">
        <f t="shared" si="30"/>
        <v>0.23674202491555002</v>
      </c>
      <c r="AZ1841">
        <f>SUMIFS(HIX_RatingAreas8[QHP Enrollments 2020],HIX_RatingAreas8[Area],HIX_SLCSP11[[#This Row],[Area Code]])</f>
        <v>457666</v>
      </c>
      <c r="BA1841">
        <f t="shared" si="31"/>
        <v>0.23911806580545722</v>
      </c>
      <c r="BB1841">
        <f>SUMIFS(HIX_RatingAreas8[QHP Enrollments 2021],HIX_RatingAreas8[Area],HIX_SLCSP11[[#This Row],[Area Code]])</f>
        <v>509218</v>
      </c>
      <c r="BC1841">
        <f t="shared" si="32"/>
        <v>0.24015752116395878</v>
      </c>
      <c r="BD1841">
        <f>SUMIFS(HIX_RatingAreas8[QHP Enrollments 2022],HIX_RatingAreas8[Area],HIX_SLCSP11[[#This Row],[Area Code]])</f>
        <v>631365</v>
      </c>
      <c r="BE1841">
        <f t="shared" si="40"/>
        <v>0.23185574937919881</v>
      </c>
      <c r="BF1841">
        <f>SUMIFS(HIX_RatingAreas8[QHP Enrollments 2023],HIX_RatingAreas8[Area],HIX_SLCSP11[[#This Row],[Area Code]])</f>
        <v>631365</v>
      </c>
      <c r="BG1841">
        <f t="shared" si="39"/>
        <v>0.23185574937919881</v>
      </c>
      <c r="BH1841" s="53">
        <f>ROUND(HIX_SLCSP11[[#This Row],[Weighting Factor 2018]]*HIX_SLCSP11[[#This Row],[2018]],2)</f>
        <v>83.48</v>
      </c>
      <c r="BI1841" s="53">
        <f>ROUND(HIX_SLCSP11[[#This Row],[Weighting Factor 2019]]*HIX_SLCSP11[[#This Row],[2019]],2)</f>
        <v>86.83</v>
      </c>
      <c r="BJ1841" s="53">
        <f>ROUND(HIX_SLCSP11[[#This Row],[Weighting Factor 2020]]*HIX_SLCSP11[[#This Row],[2020]],2)</f>
        <v>69.28</v>
      </c>
      <c r="BK1841" s="53">
        <f>ROUND(HIX_SLCSP11[[#This Row],[Weighting Factor 2021]]*HIX_SLCSP11[[#This Row],[2021]],2)</f>
        <v>67.989999999999995</v>
      </c>
      <c r="BL1841" s="53">
        <f>ROUND(HIX_SLCSP11[[#This Row],[Weighting Factor 2022]]*HIX_SLCSP11[[#This Row],[2022]],2)</f>
        <v>68.14</v>
      </c>
      <c r="BM1841" s="53">
        <f>ROUND(HIX_SLCSP11[[#This Row],[Weighting Factor 2023]]*HIX_SLCSP11[[#This Row],[2023]],2)</f>
        <v>74.099999999999994</v>
      </c>
    </row>
    <row r="1842" spans="4:65" x14ac:dyDescent="0.35">
      <c r="D1842" t="s">
        <v>539</v>
      </c>
      <c r="E1842" t="s">
        <v>689</v>
      </c>
      <c r="F1842" s="23">
        <v>44</v>
      </c>
      <c r="G1842" s="23" t="s">
        <v>540</v>
      </c>
      <c r="H1842" s="23" t="s">
        <v>690</v>
      </c>
      <c r="I1842" s="23">
        <v>16</v>
      </c>
      <c r="J1842" s="53">
        <v>628.77</v>
      </c>
      <c r="K1842" s="53">
        <v>822.33</v>
      </c>
      <c r="L1842" s="53">
        <v>1401.42</v>
      </c>
      <c r="M1842" s="54">
        <f t="shared" si="34"/>
        <v>1.704206340520229</v>
      </c>
      <c r="N1842" s="24">
        <v>16</v>
      </c>
      <c r="O1842" s="55">
        <v>721.04</v>
      </c>
      <c r="P1842" s="56">
        <v>779.41</v>
      </c>
      <c r="Q1842" s="56">
        <v>1328.27</v>
      </c>
      <c r="R1842" s="57">
        <f t="shared" si="35"/>
        <v>1.7041993302626346</v>
      </c>
      <c r="S1842" s="23">
        <v>16</v>
      </c>
      <c r="T1842" s="53">
        <v>691.18</v>
      </c>
      <c r="U1842" s="53">
        <v>745.56</v>
      </c>
      <c r="V1842" s="53">
        <v>1270.58</v>
      </c>
      <c r="W1842" s="57">
        <f t="shared" si="36"/>
        <v>1.7041955040506465</v>
      </c>
      <c r="X1842" s="47">
        <v>17</v>
      </c>
      <c r="Y1842" s="58">
        <v>658.62</v>
      </c>
      <c r="Z1842" s="58">
        <v>722.49</v>
      </c>
      <c r="AA1842" s="58">
        <v>1231.27</v>
      </c>
      <c r="AB1842" s="57">
        <f t="shared" si="37"/>
        <v>1.7042035183877977</v>
      </c>
      <c r="AC1842" s="47">
        <v>32</v>
      </c>
      <c r="AD1842" s="57">
        <v>584.87</v>
      </c>
      <c r="AE1842" s="57">
        <v>584.87</v>
      </c>
      <c r="AF1842" s="57">
        <v>996.73</v>
      </c>
      <c r="AG1842" s="57">
        <f t="shared" si="38"/>
        <v>1.7041906748508215</v>
      </c>
      <c r="AH1842" s="47">
        <v>32</v>
      </c>
      <c r="AI1842">
        <v>622.02</v>
      </c>
      <c r="AJ1842">
        <v>655.95</v>
      </c>
      <c r="AK1842">
        <v>1117.8800000000001</v>
      </c>
      <c r="AL1842" s="57">
        <f t="shared" si="41"/>
        <v>1.7042152603094749</v>
      </c>
      <c r="AM1842" s="59">
        <v>5013</v>
      </c>
      <c r="AN1842" s="59">
        <f>SUMIFS(HIX_RatingAreas8[Silver Enrollments 2018],HIX_RatingAreas8[Area],HIX_SLCSP11[[#This Row],[Area Code]])</f>
        <v>4469</v>
      </c>
      <c r="AO1842" s="59">
        <f>SUMIFS(HIX_RatingAreas8[Silver Enrollments 2019],HIX_RatingAreas8[Area],HIX_SLCSP11[[#This Row],[Area Code]])</f>
        <v>4711</v>
      </c>
      <c r="AP1842" s="59">
        <f>SUMIFS(HIX_RatingAreas8[Silver Enrollments 2020],HIX_RatingAreas8[Area],HIX_SLCSP11[[#This Row],[Area Code]])</f>
        <v>6881</v>
      </c>
      <c r="AQ1842" s="59">
        <f>SUMIFS(HIX_RatingAreas8[Silver Enrollments 2021],HIX_RatingAreas8[Area],HIX_SLCSP11[[#This Row],[Area Code]])</f>
        <v>9450</v>
      </c>
      <c r="AR1842" s="59">
        <f>SUMIFS(HIX_RatingAreas8[Silver Enrollments 2022],HIX_RatingAreas8[Area],HIX_SLCSP11[[#This Row],[Area Code]])</f>
        <v>10489</v>
      </c>
      <c r="AS1842" s="59">
        <f>SUMIFS(HIX_RatingAreas8[Silver Enrollments 2023],HIX_RatingAreas8[Area],HIX_SLCSP11[[#This Row],[Area Code]])</f>
        <v>10489</v>
      </c>
      <c r="AT1842" s="59">
        <v>7149</v>
      </c>
      <c r="AU1842">
        <f t="shared" si="28"/>
        <v>4.1020056162303781E-3</v>
      </c>
      <c r="AV1842">
        <f>SUMIFS(HIX_RatingAreas8[QHP Enrollments 2018],HIX_RatingAreas8[Area],HIX_SLCSP11[[#This Row],[Area Code]])</f>
        <v>7365</v>
      </c>
      <c r="AW1842">
        <f t="shared" si="29"/>
        <v>4.2938947987029115E-3</v>
      </c>
      <c r="AX1842">
        <f>SUMIFS(HIX_RatingAreas8[QHP Enrollments 2019],HIX_RatingAreas8[Area],HIX_SLCSP11[[#This Row],[Area Code]])</f>
        <v>8064</v>
      </c>
      <c r="AY1842">
        <f t="shared" si="30"/>
        <v>4.5219435385105396E-3</v>
      </c>
      <c r="AZ1842">
        <f>SUMIFS(HIX_RatingAreas8[QHP Enrollments 2020],HIX_RatingAreas8[Area],HIX_SLCSP11[[#This Row],[Area Code]])</f>
        <v>10623</v>
      </c>
      <c r="BA1842">
        <f t="shared" si="31"/>
        <v>5.5502292349691087E-3</v>
      </c>
      <c r="BB1842">
        <f>SUMIFS(HIX_RatingAreas8[QHP Enrollments 2021],HIX_RatingAreas8[Area],HIX_SLCSP11[[#This Row],[Area Code]])</f>
        <v>13773</v>
      </c>
      <c r="BC1842">
        <f t="shared" si="32"/>
        <v>6.4956257221685096E-3</v>
      </c>
      <c r="BD1842">
        <f>SUMIFS(HIX_RatingAreas8[QHP Enrollments 2022],HIX_RatingAreas8[Area],HIX_SLCSP11[[#This Row],[Area Code]])</f>
        <v>16609</v>
      </c>
      <c r="BE1842">
        <f t="shared" si="40"/>
        <v>6.0993120325629592E-3</v>
      </c>
      <c r="BF1842">
        <f>SUMIFS(HIX_RatingAreas8[QHP Enrollments 2023],HIX_RatingAreas8[Area],HIX_SLCSP11[[#This Row],[Area Code]])</f>
        <v>16609</v>
      </c>
      <c r="BG1842">
        <f t="shared" si="39"/>
        <v>6.0993120325629592E-3</v>
      </c>
      <c r="BH1842" s="53">
        <f>ROUND(HIX_SLCSP11[[#This Row],[Weighting Factor 2018]]*HIX_SLCSP11[[#This Row],[2018]],2)</f>
        <v>3.53</v>
      </c>
      <c r="BI1842" s="53">
        <f>ROUND(HIX_SLCSP11[[#This Row],[Weighting Factor 2019]]*HIX_SLCSP11[[#This Row],[2019]],2)</f>
        <v>3.52</v>
      </c>
      <c r="BJ1842" s="53">
        <f>ROUND(HIX_SLCSP11[[#This Row],[Weighting Factor 2020]]*HIX_SLCSP11[[#This Row],[2020]],2)</f>
        <v>4.1399999999999997</v>
      </c>
      <c r="BK1842" s="53">
        <f>ROUND(HIX_SLCSP11[[#This Row],[Weighting Factor 2021]]*HIX_SLCSP11[[#This Row],[2021]],2)</f>
        <v>4.6900000000000004</v>
      </c>
      <c r="BL1842" s="53">
        <f>ROUND(HIX_SLCSP11[[#This Row],[Weighting Factor 2022]]*HIX_SLCSP11[[#This Row],[2022]],2)</f>
        <v>3.57</v>
      </c>
      <c r="BM1842" s="53">
        <f>ROUND(HIX_SLCSP11[[#This Row],[Weighting Factor 2023]]*HIX_SLCSP11[[#This Row],[2023]],2)</f>
        <v>4</v>
      </c>
    </row>
    <row r="1843" spans="4:65" x14ac:dyDescent="0.35">
      <c r="D1843" t="s">
        <v>539</v>
      </c>
      <c r="E1843" t="s">
        <v>692</v>
      </c>
      <c r="F1843" s="23">
        <v>45</v>
      </c>
      <c r="G1843" s="23" t="s">
        <v>540</v>
      </c>
      <c r="H1843" s="23" t="s">
        <v>693</v>
      </c>
      <c r="I1843" s="23">
        <v>41</v>
      </c>
      <c r="J1843" s="53">
        <v>413.01</v>
      </c>
      <c r="K1843" s="53">
        <v>561.67999999999995</v>
      </c>
      <c r="L1843" s="53">
        <v>935.78</v>
      </c>
      <c r="M1843" s="54">
        <f t="shared" si="34"/>
        <v>1.6660376014812706</v>
      </c>
      <c r="N1843" s="24">
        <v>32</v>
      </c>
      <c r="O1843" s="55">
        <v>528.95000000000005</v>
      </c>
      <c r="P1843" s="56">
        <v>598.16</v>
      </c>
      <c r="Q1843" s="56">
        <v>1019.38</v>
      </c>
      <c r="R1843" s="57">
        <f t="shared" si="35"/>
        <v>1.7041928580981678</v>
      </c>
      <c r="S1843" s="23">
        <v>41</v>
      </c>
      <c r="T1843" s="53">
        <v>381.13</v>
      </c>
      <c r="U1843" s="53">
        <v>435.29</v>
      </c>
      <c r="V1843" s="53">
        <v>741.82</v>
      </c>
      <c r="W1843" s="57">
        <f t="shared" si="36"/>
        <v>1.704197201865423</v>
      </c>
      <c r="X1843" s="47">
        <v>149</v>
      </c>
      <c r="Y1843" s="58">
        <v>304.23</v>
      </c>
      <c r="Z1843" s="58">
        <v>312.68</v>
      </c>
      <c r="AA1843" s="58">
        <v>532.86</v>
      </c>
      <c r="AB1843" s="57">
        <f t="shared" si="37"/>
        <v>1.704170397850838</v>
      </c>
      <c r="AC1843" s="47">
        <v>145</v>
      </c>
      <c r="AD1843" s="57">
        <v>334.63</v>
      </c>
      <c r="AE1843" s="57">
        <v>350.47</v>
      </c>
      <c r="AF1843" s="57">
        <v>597.28</v>
      </c>
      <c r="AG1843" s="57">
        <f t="shared" si="38"/>
        <v>1.7042257539875023</v>
      </c>
      <c r="AH1843" s="47">
        <v>133</v>
      </c>
      <c r="AI1843">
        <v>349.7</v>
      </c>
      <c r="AJ1843">
        <v>351.23</v>
      </c>
      <c r="AK1843">
        <v>598.57000000000005</v>
      </c>
      <c r="AL1843" s="57">
        <f t="shared" si="41"/>
        <v>1.7042109159240384</v>
      </c>
      <c r="AM1843" s="59">
        <v>3220</v>
      </c>
      <c r="AN1843" s="59">
        <f>SUMIFS(HIX_RatingAreas8[Silver Enrollments 2018],HIX_RatingAreas8[Area],HIX_SLCSP11[[#This Row],[Area Code]])</f>
        <v>2801</v>
      </c>
      <c r="AO1843" s="59">
        <f>SUMIFS(HIX_RatingAreas8[Silver Enrollments 2019],HIX_RatingAreas8[Area],HIX_SLCSP11[[#This Row],[Area Code]])</f>
        <v>2589</v>
      </c>
      <c r="AP1843" s="59">
        <f>SUMIFS(HIX_RatingAreas8[Silver Enrollments 2020],HIX_RatingAreas8[Area],HIX_SLCSP11[[#This Row],[Area Code]])</f>
        <v>2701</v>
      </c>
      <c r="AQ1843" s="59">
        <f>SUMIFS(HIX_RatingAreas8[Silver Enrollments 2021],HIX_RatingAreas8[Area],HIX_SLCSP11[[#This Row],[Area Code]])</f>
        <v>1919</v>
      </c>
      <c r="AR1843" s="59">
        <f>SUMIFS(HIX_RatingAreas8[Silver Enrollments 2022],HIX_RatingAreas8[Area],HIX_SLCSP11[[#This Row],[Area Code]])</f>
        <v>2422</v>
      </c>
      <c r="AS1843" s="59">
        <f>SUMIFS(HIX_RatingAreas8[Silver Enrollments 2023],HIX_RatingAreas8[Area],HIX_SLCSP11[[#This Row],[Area Code]])</f>
        <v>2422</v>
      </c>
      <c r="AT1843" s="59">
        <v>4210</v>
      </c>
      <c r="AU1843">
        <f t="shared" si="28"/>
        <v>2.4156446558021949E-3</v>
      </c>
      <c r="AV1843">
        <f>SUMIFS(HIX_RatingAreas8[QHP Enrollments 2018],HIX_RatingAreas8[Area],HIX_SLCSP11[[#This Row],[Area Code]])</f>
        <v>4309</v>
      </c>
      <c r="AW1843">
        <f t="shared" si="29"/>
        <v>2.5122053886776434E-3</v>
      </c>
      <c r="AX1843">
        <f>SUMIFS(HIX_RatingAreas8[QHP Enrollments 2019],HIX_RatingAreas8[Area],HIX_SLCSP11[[#This Row],[Area Code]])</f>
        <v>4471</v>
      </c>
      <c r="AY1843">
        <f t="shared" si="30"/>
        <v>2.507144042743133E-3</v>
      </c>
      <c r="AZ1843">
        <f>SUMIFS(HIX_RatingAreas8[QHP Enrollments 2020],HIX_RatingAreas8[Area],HIX_SLCSP11[[#This Row],[Area Code]])</f>
        <v>4689</v>
      </c>
      <c r="BA1843">
        <f t="shared" si="31"/>
        <v>2.4498752596037042E-3</v>
      </c>
      <c r="BB1843">
        <f>SUMIFS(HIX_RatingAreas8[QHP Enrollments 2021],HIX_RatingAreas8[Area],HIX_SLCSP11[[#This Row],[Area Code]])</f>
        <v>4504</v>
      </c>
      <c r="BC1843">
        <f t="shared" si="32"/>
        <v>2.1241776121866673E-3</v>
      </c>
      <c r="BD1843">
        <f>SUMIFS(HIX_RatingAreas8[QHP Enrollments 2022],HIX_RatingAreas8[Area],HIX_SLCSP11[[#This Row],[Area Code]])</f>
        <v>5434</v>
      </c>
      <c r="BE1843">
        <f t="shared" si="40"/>
        <v>1.9955242088594812E-3</v>
      </c>
      <c r="BF1843">
        <f>SUMIFS(HIX_RatingAreas8[QHP Enrollments 2023],HIX_RatingAreas8[Area],HIX_SLCSP11[[#This Row],[Area Code]])</f>
        <v>5434</v>
      </c>
      <c r="BG1843">
        <f t="shared" si="39"/>
        <v>1.9955242088594812E-3</v>
      </c>
      <c r="BH1843" s="53">
        <f>ROUND(HIX_SLCSP11[[#This Row],[Weighting Factor 2018]]*HIX_SLCSP11[[#This Row],[2018]],2)</f>
        <v>1.41</v>
      </c>
      <c r="BI1843" s="53">
        <f>ROUND(HIX_SLCSP11[[#This Row],[Weighting Factor 2019]]*HIX_SLCSP11[[#This Row],[2019]],2)</f>
        <v>1.5</v>
      </c>
      <c r="BJ1843" s="53">
        <f>ROUND(HIX_SLCSP11[[#This Row],[Weighting Factor 2020]]*HIX_SLCSP11[[#This Row],[2020]],2)</f>
        <v>1.07</v>
      </c>
      <c r="BK1843" s="53">
        <f>ROUND(HIX_SLCSP11[[#This Row],[Weighting Factor 2021]]*HIX_SLCSP11[[#This Row],[2021]],2)</f>
        <v>0.66</v>
      </c>
      <c r="BL1843" s="53">
        <f>ROUND(HIX_SLCSP11[[#This Row],[Weighting Factor 2022]]*HIX_SLCSP11[[#This Row],[2022]],2)</f>
        <v>0.7</v>
      </c>
      <c r="BM1843" s="53">
        <f>ROUND(HIX_SLCSP11[[#This Row],[Weighting Factor 2023]]*HIX_SLCSP11[[#This Row],[2023]],2)</f>
        <v>0.7</v>
      </c>
    </row>
    <row r="1844" spans="4:65" x14ac:dyDescent="0.35">
      <c r="D1844" t="s">
        <v>539</v>
      </c>
      <c r="E1844" t="s">
        <v>696</v>
      </c>
      <c r="F1844" s="23">
        <v>46</v>
      </c>
      <c r="G1844" s="23" t="s">
        <v>540</v>
      </c>
      <c r="H1844" s="23" t="s">
        <v>697</v>
      </c>
      <c r="I1844" s="23">
        <v>97</v>
      </c>
      <c r="J1844" s="53">
        <v>302.70999999999998</v>
      </c>
      <c r="K1844" s="53">
        <v>409.04</v>
      </c>
      <c r="L1844" s="53">
        <v>681.46</v>
      </c>
      <c r="M1844" s="54">
        <f t="shared" si="34"/>
        <v>1.665998435360845</v>
      </c>
      <c r="N1844" s="24">
        <v>48</v>
      </c>
      <c r="O1844" s="55">
        <v>374.81</v>
      </c>
      <c r="P1844" s="56">
        <v>403.69</v>
      </c>
      <c r="Q1844" s="56">
        <v>687.97</v>
      </c>
      <c r="R1844" s="57">
        <f t="shared" si="35"/>
        <v>1.7042037206767571</v>
      </c>
      <c r="S1844" s="23">
        <v>97</v>
      </c>
      <c r="T1844" s="53">
        <v>300.51</v>
      </c>
      <c r="U1844" s="53">
        <v>357.55</v>
      </c>
      <c r="V1844" s="53">
        <v>609.33000000000004</v>
      </c>
      <c r="W1844" s="57">
        <f t="shared" si="36"/>
        <v>1.704181233393931</v>
      </c>
      <c r="X1844" s="47">
        <v>157</v>
      </c>
      <c r="Y1844" s="58">
        <v>293.01</v>
      </c>
      <c r="Z1844" s="58">
        <v>301.14999999999998</v>
      </c>
      <c r="AA1844" s="58">
        <v>513.21</v>
      </c>
      <c r="AB1844" s="57">
        <f t="shared" si="37"/>
        <v>1.7041673584592398</v>
      </c>
      <c r="AC1844" s="47">
        <v>204</v>
      </c>
      <c r="AD1844" s="57">
        <v>302.86</v>
      </c>
      <c r="AE1844" s="57">
        <v>304.58</v>
      </c>
      <c r="AF1844" s="57">
        <v>519.07000000000005</v>
      </c>
      <c r="AG1844" s="57">
        <f t="shared" si="38"/>
        <v>1.704215641210848</v>
      </c>
      <c r="AH1844" s="47">
        <v>177</v>
      </c>
      <c r="AI1844">
        <v>337.8</v>
      </c>
      <c r="AJ1844">
        <v>342.89</v>
      </c>
      <c r="AK1844">
        <v>584.35</v>
      </c>
      <c r="AL1844" s="57">
        <f t="shared" si="41"/>
        <v>1.7041908483770307</v>
      </c>
      <c r="AM1844" s="59">
        <v>7300</v>
      </c>
      <c r="AN1844" s="59">
        <f>SUMIFS(HIX_RatingAreas8[Silver Enrollments 2018],HIX_RatingAreas8[Area],HIX_SLCSP11[[#This Row],[Area Code]])</f>
        <v>5748</v>
      </c>
      <c r="AO1844" s="59">
        <f>SUMIFS(HIX_RatingAreas8[Silver Enrollments 2019],HIX_RatingAreas8[Area],HIX_SLCSP11[[#This Row],[Area Code]])</f>
        <v>5614</v>
      </c>
      <c r="AP1844" s="59">
        <f>SUMIFS(HIX_RatingAreas8[Silver Enrollments 2020],HIX_RatingAreas8[Area],HIX_SLCSP11[[#This Row],[Area Code]])</f>
        <v>5993</v>
      </c>
      <c r="AQ1844" s="59">
        <f>SUMIFS(HIX_RatingAreas8[Silver Enrollments 2021],HIX_RatingAreas8[Area],HIX_SLCSP11[[#This Row],[Area Code]])</f>
        <v>5881</v>
      </c>
      <c r="AR1844" s="59">
        <f>SUMIFS(HIX_RatingAreas8[Silver Enrollments 2022],HIX_RatingAreas8[Area],HIX_SLCSP11[[#This Row],[Area Code]])</f>
        <v>6783</v>
      </c>
      <c r="AS1844" s="59">
        <f>SUMIFS(HIX_RatingAreas8[Silver Enrollments 2023],HIX_RatingAreas8[Area],HIX_SLCSP11[[#This Row],[Area Code]])</f>
        <v>6783</v>
      </c>
      <c r="AT1844" s="59">
        <v>9368</v>
      </c>
      <c r="AU1844">
        <f t="shared" si="28"/>
        <v>5.37523969965676E-3</v>
      </c>
      <c r="AV1844">
        <f>SUMIFS(HIX_RatingAreas8[QHP Enrollments 2018],HIX_RatingAreas8[Area],HIX_SLCSP11[[#This Row],[Area Code]])</f>
        <v>9109</v>
      </c>
      <c r="AW1844">
        <f t="shared" si="29"/>
        <v>5.3106704306021477E-3</v>
      </c>
      <c r="AX1844">
        <f>SUMIFS(HIX_RatingAreas8[QHP Enrollments 2019],HIX_RatingAreas8[Area],HIX_SLCSP11[[#This Row],[Area Code]])</f>
        <v>9262</v>
      </c>
      <c r="AY1844">
        <f t="shared" si="30"/>
        <v>5.1937302893954145E-3</v>
      </c>
      <c r="AZ1844">
        <f>SUMIFS(HIX_RatingAreas8[QHP Enrollments 2020],HIX_RatingAreas8[Area],HIX_SLCSP11[[#This Row],[Area Code]])</f>
        <v>9770</v>
      </c>
      <c r="BA1844">
        <f t="shared" si="31"/>
        <v>5.1045598819211323E-3</v>
      </c>
      <c r="BB1844">
        <f>SUMIFS(HIX_RatingAreas8[QHP Enrollments 2021],HIX_RatingAreas8[Area],HIX_SLCSP11[[#This Row],[Area Code]])</f>
        <v>10698</v>
      </c>
      <c r="BC1844">
        <f t="shared" si="32"/>
        <v>5.0453934491947088E-3</v>
      </c>
      <c r="BD1844">
        <f>SUMIFS(HIX_RatingAreas8[QHP Enrollments 2022],HIX_RatingAreas8[Area],HIX_SLCSP11[[#This Row],[Area Code]])</f>
        <v>13356</v>
      </c>
      <c r="BE1844">
        <f t="shared" si="40"/>
        <v>4.9047150043296335E-3</v>
      </c>
      <c r="BF1844">
        <f>SUMIFS(HIX_RatingAreas8[QHP Enrollments 2023],HIX_RatingAreas8[Area],HIX_SLCSP11[[#This Row],[Area Code]])</f>
        <v>13356</v>
      </c>
      <c r="BG1844">
        <f t="shared" si="39"/>
        <v>4.9047150043296335E-3</v>
      </c>
      <c r="BH1844" s="53">
        <f>ROUND(HIX_SLCSP11[[#This Row],[Weighting Factor 2018]]*HIX_SLCSP11[[#This Row],[2018]],2)</f>
        <v>2.17</v>
      </c>
      <c r="BI1844" s="53">
        <f>ROUND(HIX_SLCSP11[[#This Row],[Weighting Factor 2019]]*HIX_SLCSP11[[#This Row],[2019]],2)</f>
        <v>2.1</v>
      </c>
      <c r="BJ1844" s="53">
        <f>ROUND(HIX_SLCSP11[[#This Row],[Weighting Factor 2020]]*HIX_SLCSP11[[#This Row],[2020]],2)</f>
        <v>1.83</v>
      </c>
      <c r="BK1844" s="53">
        <f>ROUND(HIX_SLCSP11[[#This Row],[Weighting Factor 2021]]*HIX_SLCSP11[[#This Row],[2021]],2)</f>
        <v>1.52</v>
      </c>
      <c r="BL1844" s="53">
        <f>ROUND(HIX_SLCSP11[[#This Row],[Weighting Factor 2022]]*HIX_SLCSP11[[#This Row],[2022]],2)</f>
        <v>1.49</v>
      </c>
      <c r="BM1844" s="53">
        <f>ROUND(HIX_SLCSP11[[#This Row],[Weighting Factor 2023]]*HIX_SLCSP11[[#This Row],[2023]],2)</f>
        <v>1.68</v>
      </c>
    </row>
    <row r="1845" spans="4:65" x14ac:dyDescent="0.35">
      <c r="D1845" t="s">
        <v>539</v>
      </c>
      <c r="E1845" t="s">
        <v>700</v>
      </c>
      <c r="F1845" s="23">
        <v>47</v>
      </c>
      <c r="G1845" s="23" t="s">
        <v>540</v>
      </c>
      <c r="H1845" s="23" t="s">
        <v>701</v>
      </c>
      <c r="I1845" s="23">
        <v>81</v>
      </c>
      <c r="J1845" s="53">
        <v>424.53</v>
      </c>
      <c r="K1845" s="53">
        <v>569.27</v>
      </c>
      <c r="L1845" s="53">
        <v>948.42</v>
      </c>
      <c r="M1845" s="54">
        <f t="shared" si="34"/>
        <v>1.6660284223654855</v>
      </c>
      <c r="N1845" s="24">
        <v>80</v>
      </c>
      <c r="O1845" s="55">
        <v>359.94</v>
      </c>
      <c r="P1845" s="56">
        <v>366</v>
      </c>
      <c r="Q1845" s="56">
        <v>623.74</v>
      </c>
      <c r="R1845" s="57">
        <f t="shared" si="35"/>
        <v>1.704207650273224</v>
      </c>
      <c r="S1845" s="23">
        <v>81</v>
      </c>
      <c r="T1845" s="53">
        <v>277.95</v>
      </c>
      <c r="U1845" s="53">
        <v>355.17</v>
      </c>
      <c r="V1845" s="53">
        <v>605.29</v>
      </c>
      <c r="W1845" s="57">
        <f t="shared" si="36"/>
        <v>1.7042261452262295</v>
      </c>
      <c r="X1845" s="47">
        <v>141</v>
      </c>
      <c r="Y1845" s="58">
        <v>303.04000000000002</v>
      </c>
      <c r="Z1845" s="58">
        <v>311.45</v>
      </c>
      <c r="AA1845" s="58">
        <v>530.78</v>
      </c>
      <c r="AB1845" s="57">
        <f t="shared" si="37"/>
        <v>1.7042221865467972</v>
      </c>
      <c r="AC1845" s="47">
        <v>137</v>
      </c>
      <c r="AD1845" s="57">
        <v>314</v>
      </c>
      <c r="AE1845" s="57">
        <v>328.86</v>
      </c>
      <c r="AF1845" s="57">
        <v>560.44000000000005</v>
      </c>
      <c r="AG1845" s="57">
        <f t="shared" si="38"/>
        <v>1.7041902329258651</v>
      </c>
      <c r="AH1845" s="47">
        <v>116</v>
      </c>
      <c r="AI1845">
        <v>376.19</v>
      </c>
      <c r="AJ1845">
        <v>378.02</v>
      </c>
      <c r="AK1845">
        <v>644.21</v>
      </c>
      <c r="AL1845" s="57">
        <f t="shared" si="41"/>
        <v>1.7041690915824561</v>
      </c>
      <c r="AM1845" s="59">
        <v>1492</v>
      </c>
      <c r="AN1845" s="59">
        <f>SUMIFS(HIX_RatingAreas8[Silver Enrollments 2018],HIX_RatingAreas8[Area],HIX_SLCSP11[[#This Row],[Area Code]])</f>
        <v>1450</v>
      </c>
      <c r="AO1845" s="59">
        <f>SUMIFS(HIX_RatingAreas8[Silver Enrollments 2019],HIX_RatingAreas8[Area],HIX_SLCSP11[[#This Row],[Area Code]])</f>
        <v>1170</v>
      </c>
      <c r="AP1845" s="59">
        <f>SUMIFS(HIX_RatingAreas8[Silver Enrollments 2020],HIX_RatingAreas8[Area],HIX_SLCSP11[[#This Row],[Area Code]])</f>
        <v>803</v>
      </c>
      <c r="AQ1845" s="59">
        <f>SUMIFS(HIX_RatingAreas8[Silver Enrollments 2021],HIX_RatingAreas8[Area],HIX_SLCSP11[[#This Row],[Area Code]])</f>
        <v>942</v>
      </c>
      <c r="AR1845" s="59">
        <f>SUMIFS(HIX_RatingAreas8[Silver Enrollments 2022],HIX_RatingAreas8[Area],HIX_SLCSP11[[#This Row],[Area Code]])</f>
        <v>1678</v>
      </c>
      <c r="AS1845" s="59">
        <f>SUMIFS(HIX_RatingAreas8[Silver Enrollments 2023],HIX_RatingAreas8[Area],HIX_SLCSP11[[#This Row],[Area Code]])</f>
        <v>1678</v>
      </c>
      <c r="AT1845" s="59">
        <v>1801</v>
      </c>
      <c r="AU1845">
        <f t="shared" si="28"/>
        <v>1.0333909798336705E-3</v>
      </c>
      <c r="AV1845">
        <f>SUMIFS(HIX_RatingAreas8[QHP Enrollments 2018],HIX_RatingAreas8[Area],HIX_SLCSP11[[#This Row],[Area Code]])</f>
        <v>1847</v>
      </c>
      <c r="AW1845">
        <f t="shared" si="29"/>
        <v>1.0768260275905333E-3</v>
      </c>
      <c r="AX1845">
        <f>SUMIFS(HIX_RatingAreas8[QHP Enrollments 2019],HIX_RatingAreas8[Area],HIX_SLCSP11[[#This Row],[Area Code]])</f>
        <v>1745</v>
      </c>
      <c r="AY1845">
        <f t="shared" si="30"/>
        <v>9.7852076819207492E-4</v>
      </c>
      <c r="AZ1845">
        <f>SUMIFS(HIX_RatingAreas8[QHP Enrollments 2020],HIX_RatingAreas8[Area],HIX_SLCSP11[[#This Row],[Area Code]])</f>
        <v>1298</v>
      </c>
      <c r="BA1845">
        <f t="shared" si="31"/>
        <v>6.781697775571781E-4</v>
      </c>
      <c r="BB1845">
        <f>SUMIFS(HIX_RatingAreas8[QHP Enrollments 2021],HIX_RatingAreas8[Area],HIX_SLCSP11[[#This Row],[Area Code]])</f>
        <v>1500</v>
      </c>
      <c r="BC1845">
        <f t="shared" si="32"/>
        <v>7.0743037706039093E-4</v>
      </c>
      <c r="BD1845">
        <f>SUMIFS(HIX_RatingAreas8[QHP Enrollments 2022],HIX_RatingAreas8[Area],HIX_SLCSP11[[#This Row],[Area Code]])</f>
        <v>2550</v>
      </c>
      <c r="BE1845">
        <f t="shared" si="40"/>
        <v>9.3643480540884746E-4</v>
      </c>
      <c r="BF1845">
        <f>SUMIFS(HIX_RatingAreas8[QHP Enrollments 2023],HIX_RatingAreas8[Area],HIX_SLCSP11[[#This Row],[Area Code]])</f>
        <v>2550</v>
      </c>
      <c r="BG1845">
        <f t="shared" si="39"/>
        <v>9.3643480540884746E-4</v>
      </c>
      <c r="BH1845" s="53">
        <f>ROUND(HIX_SLCSP11[[#This Row],[Weighting Factor 2018]]*HIX_SLCSP11[[#This Row],[2018]],2)</f>
        <v>0.61</v>
      </c>
      <c r="BI1845" s="53">
        <f>ROUND(HIX_SLCSP11[[#This Row],[Weighting Factor 2019]]*HIX_SLCSP11[[#This Row],[2019]],2)</f>
        <v>0.36</v>
      </c>
      <c r="BJ1845" s="53">
        <f>ROUND(HIX_SLCSP11[[#This Row],[Weighting Factor 2020]]*HIX_SLCSP11[[#This Row],[2020]],2)</f>
        <v>0.24</v>
      </c>
      <c r="BK1845" s="53">
        <f>ROUND(HIX_SLCSP11[[#This Row],[Weighting Factor 2021]]*HIX_SLCSP11[[#This Row],[2021]],2)</f>
        <v>0.22</v>
      </c>
      <c r="BL1845" s="53">
        <f>ROUND(HIX_SLCSP11[[#This Row],[Weighting Factor 2022]]*HIX_SLCSP11[[#This Row],[2022]],2)</f>
        <v>0.31</v>
      </c>
      <c r="BM1845" s="53">
        <f>ROUND(HIX_SLCSP11[[#This Row],[Weighting Factor 2023]]*HIX_SLCSP11[[#This Row],[2023]],2)</f>
        <v>0.35</v>
      </c>
    </row>
    <row r="1846" spans="4:65" x14ac:dyDescent="0.35">
      <c r="D1846" t="s">
        <v>539</v>
      </c>
      <c r="E1846" t="s">
        <v>704</v>
      </c>
      <c r="F1846" s="23">
        <v>48</v>
      </c>
      <c r="G1846" s="23" t="s">
        <v>540</v>
      </c>
      <c r="H1846" s="23" t="s">
        <v>705</v>
      </c>
      <c r="I1846" s="23">
        <v>143</v>
      </c>
      <c r="J1846" s="53">
        <v>310.66000000000003</v>
      </c>
      <c r="K1846" s="53">
        <v>384.2</v>
      </c>
      <c r="L1846" s="53">
        <v>654.75</v>
      </c>
      <c r="M1846" s="54">
        <f t="shared" si="34"/>
        <v>1.7041905257678294</v>
      </c>
      <c r="N1846" s="24">
        <v>109</v>
      </c>
      <c r="O1846" s="55">
        <v>291.54000000000002</v>
      </c>
      <c r="P1846" s="56">
        <v>383.33</v>
      </c>
      <c r="Q1846" s="56">
        <v>653.28</v>
      </c>
      <c r="R1846" s="57">
        <f t="shared" si="35"/>
        <v>1.7042235149870868</v>
      </c>
      <c r="S1846" s="23">
        <v>143</v>
      </c>
      <c r="T1846" s="53">
        <v>301.74</v>
      </c>
      <c r="U1846" s="53">
        <v>308.52</v>
      </c>
      <c r="V1846" s="53">
        <v>525.79</v>
      </c>
      <c r="W1846" s="57">
        <f t="shared" si="36"/>
        <v>1.7042331129262285</v>
      </c>
      <c r="X1846" s="47">
        <v>256</v>
      </c>
      <c r="Y1846" s="58">
        <v>292.77</v>
      </c>
      <c r="Z1846" s="58">
        <v>292.77</v>
      </c>
      <c r="AA1846" s="58">
        <v>498.94</v>
      </c>
      <c r="AB1846" s="57">
        <f t="shared" si="37"/>
        <v>1.7042046657785976</v>
      </c>
      <c r="AC1846" s="47">
        <v>358</v>
      </c>
      <c r="AD1846" s="57">
        <v>294.20999999999998</v>
      </c>
      <c r="AE1846" s="57">
        <v>300.10000000000002</v>
      </c>
      <c r="AF1846" s="57">
        <v>511.43</v>
      </c>
      <c r="AG1846" s="57">
        <f t="shared" si="38"/>
        <v>1.7041986004665111</v>
      </c>
      <c r="AH1846" s="47">
        <v>336</v>
      </c>
      <c r="AI1846">
        <v>306.37</v>
      </c>
      <c r="AJ1846">
        <v>318.02</v>
      </c>
      <c r="AK1846">
        <v>541.96</v>
      </c>
      <c r="AL1846" s="57">
        <f t="shared" si="41"/>
        <v>1.7041695490849633</v>
      </c>
      <c r="AM1846" s="59">
        <v>99478</v>
      </c>
      <c r="AN1846" s="59">
        <f>SUMIFS(HIX_RatingAreas8[Silver Enrollments 2018],HIX_RatingAreas8[Area],HIX_SLCSP11[[#This Row],[Area Code]])</f>
        <v>96777</v>
      </c>
      <c r="AO1846" s="59">
        <f>SUMIFS(HIX_RatingAreas8[Silver Enrollments 2019],HIX_RatingAreas8[Area],HIX_SLCSP11[[#This Row],[Area Code]])</f>
        <v>96815</v>
      </c>
      <c r="AP1846" s="59">
        <f>SUMIFS(HIX_RatingAreas8[Silver Enrollments 2020],HIX_RatingAreas8[Area],HIX_SLCSP11[[#This Row],[Area Code]])</f>
        <v>103786</v>
      </c>
      <c r="AQ1846" s="59">
        <f>SUMIFS(HIX_RatingAreas8[Silver Enrollments 2021],HIX_RatingAreas8[Area],HIX_SLCSP11[[#This Row],[Area Code]])</f>
        <v>118289</v>
      </c>
      <c r="AR1846" s="59">
        <f>SUMIFS(HIX_RatingAreas8[Silver Enrollments 2022],HIX_RatingAreas8[Area],HIX_SLCSP11[[#This Row],[Area Code]])</f>
        <v>165642</v>
      </c>
      <c r="AS1846" s="59">
        <f>SUMIFS(HIX_RatingAreas8[Silver Enrollments 2023],HIX_RatingAreas8[Area],HIX_SLCSP11[[#This Row],[Area Code]])</f>
        <v>165642</v>
      </c>
      <c r="AT1846" s="59">
        <v>120913</v>
      </c>
      <c r="AU1846">
        <f t="shared" si="28"/>
        <v>6.9378347331831541E-2</v>
      </c>
      <c r="AV1846">
        <f>SUMIFS(HIX_RatingAreas8[QHP Enrollments 2018],HIX_RatingAreas8[Area],HIX_SLCSP11[[#This Row],[Area Code]])</f>
        <v>133742</v>
      </c>
      <c r="AW1846">
        <f t="shared" si="29"/>
        <v>7.7973398257722301E-2</v>
      </c>
      <c r="AX1846">
        <f>SUMIFS(HIX_RatingAreas8[QHP Enrollments 2019],HIX_RatingAreas8[Area],HIX_SLCSP11[[#This Row],[Area Code]])</f>
        <v>140932</v>
      </c>
      <c r="AY1846">
        <f t="shared" si="30"/>
        <v>7.9028589629137821E-2</v>
      </c>
      <c r="AZ1846">
        <f>SUMIFS(HIX_RatingAreas8[QHP Enrollments 2020],HIX_RatingAreas8[Area],HIX_SLCSP11[[#This Row],[Area Code]])</f>
        <v>152794</v>
      </c>
      <c r="BA1846">
        <f t="shared" si="31"/>
        <v>7.9830718792042732E-2</v>
      </c>
      <c r="BB1846">
        <f>SUMIFS(HIX_RatingAreas8[QHP Enrollments 2021],HIX_RatingAreas8[Area],HIX_SLCSP11[[#This Row],[Area Code]])</f>
        <v>176773</v>
      </c>
      <c r="BC1846">
        <f t="shared" si="32"/>
        <v>8.3369726696064322E-2</v>
      </c>
      <c r="BD1846">
        <f>SUMIFS(HIX_RatingAreas8[QHP Enrollments 2022],HIX_RatingAreas8[Area],HIX_SLCSP11[[#This Row],[Area Code]])</f>
        <v>244577</v>
      </c>
      <c r="BE1846">
        <f t="shared" si="40"/>
        <v>8.9815849177443008E-2</v>
      </c>
      <c r="BF1846">
        <f>SUMIFS(HIX_RatingAreas8[QHP Enrollments 2023],HIX_RatingAreas8[Area],HIX_SLCSP11[[#This Row],[Area Code]])</f>
        <v>244577</v>
      </c>
      <c r="BG1846">
        <f t="shared" si="39"/>
        <v>8.9815849177443008E-2</v>
      </c>
      <c r="BH1846" s="53">
        <f>ROUND(HIX_SLCSP11[[#This Row],[Weighting Factor 2018]]*HIX_SLCSP11[[#This Row],[2018]],2)</f>
        <v>29.96</v>
      </c>
      <c r="BI1846" s="53">
        <f>ROUND(HIX_SLCSP11[[#This Row],[Weighting Factor 2019]]*HIX_SLCSP11[[#This Row],[2019]],2)</f>
        <v>30.29</v>
      </c>
      <c r="BJ1846" s="53">
        <f>ROUND(HIX_SLCSP11[[#This Row],[Weighting Factor 2020]]*HIX_SLCSP11[[#This Row],[2020]],2)</f>
        <v>24.63</v>
      </c>
      <c r="BK1846" s="53">
        <f>ROUND(HIX_SLCSP11[[#This Row],[Weighting Factor 2021]]*HIX_SLCSP11[[#This Row],[2021]],2)</f>
        <v>24.41</v>
      </c>
      <c r="BL1846" s="53">
        <f>ROUND(HIX_SLCSP11[[#This Row],[Weighting Factor 2022]]*HIX_SLCSP11[[#This Row],[2022]],2)</f>
        <v>26.95</v>
      </c>
      <c r="BM1846" s="53">
        <f>ROUND(HIX_SLCSP11[[#This Row],[Weighting Factor 2023]]*HIX_SLCSP11[[#This Row],[2023]],2)</f>
        <v>28.56</v>
      </c>
    </row>
    <row r="1847" spans="4:65" x14ac:dyDescent="0.35">
      <c r="D1847" t="s">
        <v>539</v>
      </c>
      <c r="E1847" t="s">
        <v>708</v>
      </c>
      <c r="F1847" s="23">
        <v>49</v>
      </c>
      <c r="G1847" s="23" t="s">
        <v>540</v>
      </c>
      <c r="H1847" s="23" t="s">
        <v>709</v>
      </c>
      <c r="I1847" s="23">
        <v>143</v>
      </c>
      <c r="J1847" s="53">
        <v>304.3</v>
      </c>
      <c r="K1847" s="53">
        <v>377.21</v>
      </c>
      <c r="L1847" s="53">
        <v>642.84</v>
      </c>
      <c r="M1847" s="54">
        <f t="shared" si="34"/>
        <v>1.7041966013626364</v>
      </c>
      <c r="N1847" s="24">
        <v>113</v>
      </c>
      <c r="O1847" s="55">
        <v>286.29000000000002</v>
      </c>
      <c r="P1847" s="56">
        <v>376.43</v>
      </c>
      <c r="Q1847" s="56">
        <v>641.52</v>
      </c>
      <c r="R1847" s="57">
        <f t="shared" si="35"/>
        <v>1.7042212363520441</v>
      </c>
      <c r="S1847" s="23">
        <v>143</v>
      </c>
      <c r="T1847" s="53">
        <v>292.55</v>
      </c>
      <c r="U1847" s="53">
        <v>292.94</v>
      </c>
      <c r="V1847" s="53">
        <v>499.23</v>
      </c>
      <c r="W1847" s="57">
        <f t="shared" si="36"/>
        <v>1.704205639380078</v>
      </c>
      <c r="X1847" s="47">
        <v>256</v>
      </c>
      <c r="Y1847" s="58">
        <v>298.35000000000002</v>
      </c>
      <c r="Z1847" s="58">
        <v>290.3</v>
      </c>
      <c r="AA1847" s="58">
        <v>494.73</v>
      </c>
      <c r="AB1847" s="57">
        <f t="shared" si="37"/>
        <v>1.7042025490871513</v>
      </c>
      <c r="AC1847" s="47">
        <v>358</v>
      </c>
      <c r="AD1847" s="57">
        <v>287.52999999999997</v>
      </c>
      <c r="AE1847" s="57">
        <v>292.72000000000003</v>
      </c>
      <c r="AF1847" s="57">
        <v>498.86</v>
      </c>
      <c r="AG1847" s="57">
        <f t="shared" si="38"/>
        <v>1.7042224651544136</v>
      </c>
      <c r="AH1847" s="47">
        <v>336</v>
      </c>
      <c r="AI1847">
        <v>303.36</v>
      </c>
      <c r="AJ1847">
        <v>311.39999999999998</v>
      </c>
      <c r="AK1847">
        <v>530.69000000000005</v>
      </c>
      <c r="AL1847" s="57">
        <f t="shared" si="41"/>
        <v>1.7042068079640338</v>
      </c>
      <c r="AM1847" s="59">
        <v>30801</v>
      </c>
      <c r="AN1847" s="59">
        <f>SUMIFS(HIX_RatingAreas8[Silver Enrollments 2018],HIX_RatingAreas8[Area],HIX_SLCSP11[[#This Row],[Area Code]])</f>
        <v>31721</v>
      </c>
      <c r="AO1847" s="59">
        <f>SUMIFS(HIX_RatingAreas8[Silver Enrollments 2019],HIX_RatingAreas8[Area],HIX_SLCSP11[[#This Row],[Area Code]])</f>
        <v>33108</v>
      </c>
      <c r="AP1847" s="59">
        <f>SUMIFS(HIX_RatingAreas8[Silver Enrollments 2020],HIX_RatingAreas8[Area],HIX_SLCSP11[[#This Row],[Area Code]])</f>
        <v>37171</v>
      </c>
      <c r="AQ1847" s="59">
        <f>SUMIFS(HIX_RatingAreas8[Silver Enrollments 2021],HIX_RatingAreas8[Area],HIX_SLCSP11[[#This Row],[Area Code]])</f>
        <v>44632</v>
      </c>
      <c r="AR1847" s="59">
        <f>SUMIFS(HIX_RatingAreas8[Silver Enrollments 2022],HIX_RatingAreas8[Area],HIX_SLCSP11[[#This Row],[Area Code]])</f>
        <v>69034</v>
      </c>
      <c r="AS1847" s="59">
        <f>SUMIFS(HIX_RatingAreas8[Silver Enrollments 2023],HIX_RatingAreas8[Area],HIX_SLCSP11[[#This Row],[Area Code]])</f>
        <v>69034</v>
      </c>
      <c r="AT1847" s="59">
        <v>35732</v>
      </c>
      <c r="AU1847">
        <f t="shared" si="28"/>
        <v>2.050256884587269E-2</v>
      </c>
      <c r="AV1847">
        <f>SUMIFS(HIX_RatingAreas8[QHP Enrollments 2018],HIX_RatingAreas8[Area],HIX_SLCSP11[[#This Row],[Area Code]])</f>
        <v>40414</v>
      </c>
      <c r="AW1847">
        <f t="shared" si="29"/>
        <v>2.3561909625903526E-2</v>
      </c>
      <c r="AX1847">
        <f>SUMIFS(HIX_RatingAreas8[QHP Enrollments 2019],HIX_RatingAreas8[Area],HIX_SLCSP11[[#This Row],[Area Code]])</f>
        <v>44306</v>
      </c>
      <c r="AY1847">
        <f t="shared" si="30"/>
        <v>2.4844894644996028E-2</v>
      </c>
      <c r="AZ1847">
        <f>SUMIFS(HIX_RatingAreas8[QHP Enrollments 2020],HIX_RatingAreas8[Area],HIX_SLCSP11[[#This Row],[Area Code]])</f>
        <v>49758</v>
      </c>
      <c r="BA1847">
        <f t="shared" si="31"/>
        <v>2.5997204770177248E-2</v>
      </c>
      <c r="BB1847">
        <f>SUMIFS(HIX_RatingAreas8[QHP Enrollments 2021],HIX_RatingAreas8[Area],HIX_SLCSP11[[#This Row],[Area Code]])</f>
        <v>59280</v>
      </c>
      <c r="BC1847">
        <f t="shared" si="32"/>
        <v>2.7957648501426652E-2</v>
      </c>
      <c r="BD1847">
        <f>SUMIFS(HIX_RatingAreas8[QHP Enrollments 2022],HIX_RatingAreas8[Area],HIX_SLCSP11[[#This Row],[Area Code]])</f>
        <v>89146</v>
      </c>
      <c r="BE1847">
        <f t="shared" si="40"/>
        <v>3.2737026338422397E-2</v>
      </c>
      <c r="BF1847">
        <f>SUMIFS(HIX_RatingAreas8[QHP Enrollments 2023],HIX_RatingAreas8[Area],HIX_SLCSP11[[#This Row],[Area Code]])</f>
        <v>89146</v>
      </c>
      <c r="BG1847">
        <f t="shared" si="39"/>
        <v>3.2737026338422397E-2</v>
      </c>
      <c r="BH1847" s="53">
        <f>ROUND(HIX_SLCSP11[[#This Row],[Weighting Factor 2018]]*HIX_SLCSP11[[#This Row],[2018]],2)</f>
        <v>8.89</v>
      </c>
      <c r="BI1847" s="53">
        <f>ROUND(HIX_SLCSP11[[#This Row],[Weighting Factor 2019]]*HIX_SLCSP11[[#This Row],[2019]],2)</f>
        <v>9.35</v>
      </c>
      <c r="BJ1847" s="53">
        <f>ROUND(HIX_SLCSP11[[#This Row],[Weighting Factor 2020]]*HIX_SLCSP11[[#This Row],[2020]],2)</f>
        <v>7.62</v>
      </c>
      <c r="BK1847" s="53">
        <f>ROUND(HIX_SLCSP11[[#This Row],[Weighting Factor 2021]]*HIX_SLCSP11[[#This Row],[2021]],2)</f>
        <v>8.1199999999999992</v>
      </c>
      <c r="BL1847" s="53">
        <f>ROUND(HIX_SLCSP11[[#This Row],[Weighting Factor 2022]]*HIX_SLCSP11[[#This Row],[2022]],2)</f>
        <v>9.58</v>
      </c>
      <c r="BM1847" s="53">
        <f>ROUND(HIX_SLCSP11[[#This Row],[Weighting Factor 2023]]*HIX_SLCSP11[[#This Row],[2023]],2)</f>
        <v>10.19</v>
      </c>
    </row>
    <row r="1848" spans="4:65" x14ac:dyDescent="0.35">
      <c r="D1848" t="s">
        <v>539</v>
      </c>
      <c r="E1848" t="s">
        <v>712</v>
      </c>
      <c r="F1848" s="23">
        <v>50</v>
      </c>
      <c r="G1848" s="23" t="s">
        <v>540</v>
      </c>
      <c r="H1848" s="23" t="s">
        <v>713</v>
      </c>
      <c r="I1848" s="23">
        <v>157</v>
      </c>
      <c r="J1848" s="53">
        <v>301.47000000000003</v>
      </c>
      <c r="K1848" s="53">
        <v>348.71</v>
      </c>
      <c r="L1848" s="53">
        <v>594.27</v>
      </c>
      <c r="M1848" s="54">
        <f t="shared" si="34"/>
        <v>1.7041954632789424</v>
      </c>
      <c r="N1848" s="24">
        <v>100</v>
      </c>
      <c r="O1848" s="55">
        <v>364.35</v>
      </c>
      <c r="P1848" s="56">
        <v>370.49</v>
      </c>
      <c r="Q1848" s="56">
        <v>631.39</v>
      </c>
      <c r="R1848" s="57">
        <f t="shared" si="35"/>
        <v>1.704202542578747</v>
      </c>
      <c r="S1848" s="23">
        <v>157</v>
      </c>
      <c r="T1848" s="53">
        <v>281.25</v>
      </c>
      <c r="U1848" s="53">
        <v>301.52</v>
      </c>
      <c r="V1848" s="53">
        <v>513.85</v>
      </c>
      <c r="W1848" s="57">
        <f t="shared" si="36"/>
        <v>1.7041987264526401</v>
      </c>
      <c r="X1848" s="47">
        <v>256</v>
      </c>
      <c r="Y1848" s="58">
        <v>279.35000000000002</v>
      </c>
      <c r="Z1848" s="58">
        <v>279.35000000000002</v>
      </c>
      <c r="AA1848" s="58">
        <v>476.08</v>
      </c>
      <c r="AB1848" s="57">
        <f t="shared" si="37"/>
        <v>1.7042419903347055</v>
      </c>
      <c r="AC1848" s="47">
        <v>362</v>
      </c>
      <c r="AD1848" s="57">
        <v>283.73</v>
      </c>
      <c r="AE1848" s="57">
        <v>306</v>
      </c>
      <c r="AF1848" s="57">
        <v>521.48</v>
      </c>
      <c r="AG1848" s="57">
        <f t="shared" si="38"/>
        <v>1.7041830065359478</v>
      </c>
      <c r="AH1848" s="47">
        <v>356</v>
      </c>
      <c r="AI1848">
        <v>307.3</v>
      </c>
      <c r="AJ1848">
        <v>307.77999999999997</v>
      </c>
      <c r="AK1848">
        <v>524.52</v>
      </c>
      <c r="AL1848" s="57">
        <f t="shared" si="41"/>
        <v>1.7042043017739945</v>
      </c>
      <c r="AM1848" s="59">
        <v>117476</v>
      </c>
      <c r="AN1848" s="59">
        <f>SUMIFS(HIX_RatingAreas8[Silver Enrollments 2018],HIX_RatingAreas8[Area],HIX_SLCSP11[[#This Row],[Area Code]])</f>
        <v>86308</v>
      </c>
      <c r="AO1848" s="59">
        <f>SUMIFS(HIX_RatingAreas8[Silver Enrollments 2019],HIX_RatingAreas8[Area],HIX_SLCSP11[[#This Row],[Area Code]])</f>
        <v>88199</v>
      </c>
      <c r="AP1848" s="59">
        <f>SUMIFS(HIX_RatingAreas8[Silver Enrollments 2020],HIX_RatingAreas8[Area],HIX_SLCSP11[[#This Row],[Area Code]])</f>
        <v>95031</v>
      </c>
      <c r="AQ1848" s="59">
        <f>SUMIFS(HIX_RatingAreas8[Silver Enrollments 2021],HIX_RatingAreas8[Area],HIX_SLCSP11[[#This Row],[Area Code]])</f>
        <v>102185</v>
      </c>
      <c r="AR1848" s="59">
        <f>SUMIFS(HIX_RatingAreas8[Silver Enrollments 2022],HIX_RatingAreas8[Area],HIX_SLCSP11[[#This Row],[Area Code]])</f>
        <v>131363</v>
      </c>
      <c r="AS1848" s="59">
        <f>SUMIFS(HIX_RatingAreas8[Silver Enrollments 2023],HIX_RatingAreas8[Area],HIX_SLCSP11[[#This Row],[Area Code]])</f>
        <v>131363</v>
      </c>
      <c r="AT1848" s="59">
        <v>148961</v>
      </c>
      <c r="AU1848">
        <f t="shared" si="28"/>
        <v>8.5471934340368344E-2</v>
      </c>
      <c r="AV1848">
        <f>SUMIFS(HIX_RatingAreas8[QHP Enrollments 2018],HIX_RatingAreas8[Area],HIX_SLCSP11[[#This Row],[Area Code]])</f>
        <v>132761</v>
      </c>
      <c r="AW1848">
        <f t="shared" si="29"/>
        <v>7.7401461964778984E-2</v>
      </c>
      <c r="AX1848">
        <f>SUMIFS(HIX_RatingAreas8[QHP Enrollments 2019],HIX_RatingAreas8[Area],HIX_SLCSP11[[#This Row],[Area Code]])</f>
        <v>136310</v>
      </c>
      <c r="AY1848">
        <f t="shared" si="30"/>
        <v>7.6436771296425066E-2</v>
      </c>
      <c r="AZ1848">
        <f>SUMIFS(HIX_RatingAreas8[QHP Enrollments 2020],HIX_RatingAreas8[Area],HIX_SLCSP11[[#This Row],[Area Code]])</f>
        <v>146436</v>
      </c>
      <c r="BA1848">
        <f t="shared" si="31"/>
        <v>7.6508836322313506E-2</v>
      </c>
      <c r="BB1848">
        <f>SUMIFS(HIX_RatingAreas8[QHP Enrollments 2021],HIX_RatingAreas8[Area],HIX_SLCSP11[[#This Row],[Area Code]])</f>
        <v>161066</v>
      </c>
      <c r="BC1848">
        <f t="shared" si="32"/>
        <v>7.5961987407739281E-2</v>
      </c>
      <c r="BD1848">
        <f>SUMIFS(HIX_RatingAreas8[QHP Enrollments 2022],HIX_RatingAreas8[Area],HIX_SLCSP11[[#This Row],[Area Code]])</f>
        <v>203075</v>
      </c>
      <c r="BE1848">
        <f t="shared" si="40"/>
        <v>7.4575097297412435E-2</v>
      </c>
      <c r="BF1848">
        <f>SUMIFS(HIX_RatingAreas8[QHP Enrollments 2023],HIX_RatingAreas8[Area],HIX_SLCSP11[[#This Row],[Area Code]])</f>
        <v>203075</v>
      </c>
      <c r="BG1848">
        <f t="shared" si="39"/>
        <v>7.4575097297412435E-2</v>
      </c>
      <c r="BH1848" s="53">
        <f>ROUND(HIX_SLCSP11[[#This Row],[Weighting Factor 2018]]*HIX_SLCSP11[[#This Row],[2018]],2)</f>
        <v>26.99</v>
      </c>
      <c r="BI1848" s="53">
        <f>ROUND(HIX_SLCSP11[[#This Row],[Weighting Factor 2019]]*HIX_SLCSP11[[#This Row],[2019]],2)</f>
        <v>28.32</v>
      </c>
      <c r="BJ1848" s="53">
        <f>ROUND(HIX_SLCSP11[[#This Row],[Weighting Factor 2020]]*HIX_SLCSP11[[#This Row],[2020]],2)</f>
        <v>23.07</v>
      </c>
      <c r="BK1848" s="53">
        <f>ROUND(HIX_SLCSP11[[#This Row],[Weighting Factor 2021]]*HIX_SLCSP11[[#This Row],[2021]],2)</f>
        <v>21.22</v>
      </c>
      <c r="BL1848" s="53">
        <f>ROUND(HIX_SLCSP11[[#This Row],[Weighting Factor 2022]]*HIX_SLCSP11[[#This Row],[2022]],2)</f>
        <v>22.82</v>
      </c>
      <c r="BM1848" s="53">
        <f>ROUND(HIX_SLCSP11[[#This Row],[Weighting Factor 2023]]*HIX_SLCSP11[[#This Row],[2023]],2)</f>
        <v>22.95</v>
      </c>
    </row>
    <row r="1849" spans="4:65" x14ac:dyDescent="0.35">
      <c r="D1849" t="s">
        <v>539</v>
      </c>
      <c r="E1849" t="s">
        <v>716</v>
      </c>
      <c r="F1849" s="23">
        <v>51</v>
      </c>
      <c r="G1849" s="23" t="s">
        <v>540</v>
      </c>
      <c r="H1849" s="23" t="s">
        <v>717</v>
      </c>
      <c r="I1849" s="23">
        <v>143</v>
      </c>
      <c r="J1849" s="53">
        <v>319.5</v>
      </c>
      <c r="K1849" s="53">
        <v>362.7</v>
      </c>
      <c r="L1849" s="53">
        <v>618.12</v>
      </c>
      <c r="M1849" s="54">
        <f t="shared" si="34"/>
        <v>1.7042183622828784</v>
      </c>
      <c r="N1849" s="24">
        <v>96</v>
      </c>
      <c r="O1849" s="55">
        <v>388.24</v>
      </c>
      <c r="P1849" s="56">
        <v>394.79</v>
      </c>
      <c r="Q1849" s="56">
        <v>672.8</v>
      </c>
      <c r="R1849" s="57">
        <f t="shared" si="35"/>
        <v>1.7041971681146937</v>
      </c>
      <c r="S1849" s="23">
        <v>143</v>
      </c>
      <c r="T1849" s="53">
        <v>292.58</v>
      </c>
      <c r="U1849" s="53">
        <v>295.89</v>
      </c>
      <c r="V1849" s="53">
        <v>504.26</v>
      </c>
      <c r="W1849" s="57">
        <f t="shared" si="36"/>
        <v>1.704214404001487</v>
      </c>
      <c r="X1849" s="47">
        <v>206</v>
      </c>
      <c r="Y1849" s="58">
        <v>273.89999999999998</v>
      </c>
      <c r="Z1849" s="58">
        <v>281.5</v>
      </c>
      <c r="AA1849" s="58">
        <v>479.73</v>
      </c>
      <c r="AB1849" s="57">
        <f t="shared" si="37"/>
        <v>1.7041918294849023</v>
      </c>
      <c r="AC1849" s="47">
        <v>316</v>
      </c>
      <c r="AD1849" s="57">
        <v>286.99</v>
      </c>
      <c r="AE1849" s="57">
        <v>291.85000000000002</v>
      </c>
      <c r="AF1849" s="57">
        <v>497.37</v>
      </c>
      <c r="AG1849" s="57">
        <f t="shared" si="38"/>
        <v>1.7041973616583861</v>
      </c>
      <c r="AH1849" s="47">
        <v>270</v>
      </c>
      <c r="AI1849">
        <v>299.26</v>
      </c>
      <c r="AJ1849">
        <v>310.19</v>
      </c>
      <c r="AK1849">
        <v>528.63</v>
      </c>
      <c r="AL1849" s="57">
        <f t="shared" si="41"/>
        <v>1.704213546535994</v>
      </c>
      <c r="AM1849" s="59">
        <v>25587</v>
      </c>
      <c r="AN1849" s="59">
        <f>SUMIFS(HIX_RatingAreas8[Silver Enrollments 2018],HIX_RatingAreas8[Area],HIX_SLCSP11[[#This Row],[Area Code]])</f>
        <v>17460</v>
      </c>
      <c r="AO1849" s="59">
        <f>SUMIFS(HIX_RatingAreas8[Silver Enrollments 2019],HIX_RatingAreas8[Area],HIX_SLCSP11[[#This Row],[Area Code]])</f>
        <v>16597</v>
      </c>
      <c r="AP1849" s="59">
        <f>SUMIFS(HIX_RatingAreas8[Silver Enrollments 2020],HIX_RatingAreas8[Area],HIX_SLCSP11[[#This Row],[Area Code]])</f>
        <v>16822</v>
      </c>
      <c r="AQ1849" s="59">
        <f>SUMIFS(HIX_RatingAreas8[Silver Enrollments 2021],HIX_RatingAreas8[Area],HIX_SLCSP11[[#This Row],[Area Code]])</f>
        <v>17771</v>
      </c>
      <c r="AR1849" s="59">
        <f>SUMIFS(HIX_RatingAreas8[Silver Enrollments 2022],HIX_RatingAreas8[Area],HIX_SLCSP11[[#This Row],[Area Code]])</f>
        <v>25037</v>
      </c>
      <c r="AS1849" s="59">
        <f>SUMIFS(HIX_RatingAreas8[Silver Enrollments 2023],HIX_RatingAreas8[Area],HIX_SLCSP11[[#This Row],[Area Code]])</f>
        <v>25037</v>
      </c>
      <c r="AT1849" s="59">
        <v>32655</v>
      </c>
      <c r="AU1849">
        <f t="shared" si="28"/>
        <v>1.8737025234019163E-2</v>
      </c>
      <c r="AV1849">
        <f>SUMIFS(HIX_RatingAreas8[QHP Enrollments 2018],HIX_RatingAreas8[Area],HIX_SLCSP11[[#This Row],[Area Code]])</f>
        <v>28950</v>
      </c>
      <c r="AW1849">
        <f t="shared" si="29"/>
        <v>1.6878242284107167E-2</v>
      </c>
      <c r="AX1849">
        <f>SUMIFS(HIX_RatingAreas8[QHP Enrollments 2019],HIX_RatingAreas8[Area],HIX_SLCSP11[[#This Row],[Area Code]])</f>
        <v>29008</v>
      </c>
      <c r="AY1849">
        <f t="shared" si="30"/>
        <v>1.6266435784364302E-2</v>
      </c>
      <c r="AZ1849">
        <f>SUMIFS(HIX_RatingAreas8[QHP Enrollments 2020],HIX_RatingAreas8[Area],HIX_SLCSP11[[#This Row],[Area Code]])</f>
        <v>30459</v>
      </c>
      <c r="BA1849">
        <f t="shared" si="31"/>
        <v>1.5914000966574797E-2</v>
      </c>
      <c r="BB1849">
        <f>SUMIFS(HIX_RatingAreas8[QHP Enrollments 2021],HIX_RatingAreas8[Area],HIX_SLCSP11[[#This Row],[Area Code]])</f>
        <v>32614</v>
      </c>
      <c r="BC1849">
        <f t="shared" si="32"/>
        <v>1.5381422878298395E-2</v>
      </c>
      <c r="BD1849">
        <f>SUMIFS(HIX_RatingAreas8[QHP Enrollments 2022],HIX_RatingAreas8[Area],HIX_SLCSP11[[#This Row],[Area Code]])</f>
        <v>43721</v>
      </c>
      <c r="BE1849">
        <f t="shared" si="40"/>
        <v>1.6055633775404008E-2</v>
      </c>
      <c r="BF1849">
        <f>SUMIFS(HIX_RatingAreas8[QHP Enrollments 2023],HIX_RatingAreas8[Area],HIX_SLCSP11[[#This Row],[Area Code]])</f>
        <v>43721</v>
      </c>
      <c r="BG1849">
        <f t="shared" si="39"/>
        <v>1.6055633775404008E-2</v>
      </c>
      <c r="BH1849" s="53">
        <f>ROUND(HIX_SLCSP11[[#This Row],[Weighting Factor 2018]]*HIX_SLCSP11[[#This Row],[2018]],2)</f>
        <v>6.12</v>
      </c>
      <c r="BI1849" s="53">
        <f>ROUND(HIX_SLCSP11[[#This Row],[Weighting Factor 2019]]*HIX_SLCSP11[[#This Row],[2019]],2)</f>
        <v>6.42</v>
      </c>
      <c r="BJ1849" s="53">
        <f>ROUND(HIX_SLCSP11[[#This Row],[Weighting Factor 2020]]*HIX_SLCSP11[[#This Row],[2020]],2)</f>
        <v>4.71</v>
      </c>
      <c r="BK1849" s="53">
        <f>ROUND(HIX_SLCSP11[[#This Row],[Weighting Factor 2021]]*HIX_SLCSP11[[#This Row],[2021]],2)</f>
        <v>4.33</v>
      </c>
      <c r="BL1849" s="53">
        <f>ROUND(HIX_SLCSP11[[#This Row],[Weighting Factor 2022]]*HIX_SLCSP11[[#This Row],[2022]],2)</f>
        <v>4.6900000000000004</v>
      </c>
      <c r="BM1849" s="53">
        <f>ROUND(HIX_SLCSP11[[#This Row],[Weighting Factor 2023]]*HIX_SLCSP11[[#This Row],[2023]],2)</f>
        <v>4.9800000000000004</v>
      </c>
    </row>
    <row r="1850" spans="4:65" x14ac:dyDescent="0.35">
      <c r="D1850" t="s">
        <v>539</v>
      </c>
      <c r="E1850" t="s">
        <v>720</v>
      </c>
      <c r="F1850" s="23">
        <v>52</v>
      </c>
      <c r="G1850" s="23" t="s">
        <v>540</v>
      </c>
      <c r="H1850" s="23" t="s">
        <v>721</v>
      </c>
      <c r="I1850" s="23">
        <v>143</v>
      </c>
      <c r="J1850" s="53">
        <v>332.22</v>
      </c>
      <c r="K1850" s="53">
        <v>359.17</v>
      </c>
      <c r="L1850" s="53">
        <v>612.09</v>
      </c>
      <c r="M1850" s="54">
        <f t="shared" si="34"/>
        <v>1.7041790795445053</v>
      </c>
      <c r="N1850" s="24">
        <v>100</v>
      </c>
      <c r="O1850" s="55">
        <v>394.86</v>
      </c>
      <c r="P1850" s="56">
        <v>399.8</v>
      </c>
      <c r="Q1850" s="56">
        <v>681.34</v>
      </c>
      <c r="R1850" s="57">
        <f t="shared" si="35"/>
        <v>1.7042021010505253</v>
      </c>
      <c r="S1850" s="23">
        <v>143</v>
      </c>
      <c r="T1850" s="53">
        <v>292.58</v>
      </c>
      <c r="U1850" s="53">
        <v>300.64999999999998</v>
      </c>
      <c r="V1850" s="53">
        <v>512.37</v>
      </c>
      <c r="W1850" s="57">
        <f t="shared" si="36"/>
        <v>1.7042075503076668</v>
      </c>
      <c r="X1850" s="47">
        <v>206</v>
      </c>
      <c r="Y1850" s="58">
        <v>274.92</v>
      </c>
      <c r="Z1850" s="58">
        <v>282.55</v>
      </c>
      <c r="AA1850" s="58">
        <v>481.52</v>
      </c>
      <c r="AB1850" s="57">
        <f t="shared" si="37"/>
        <v>1.7041939479738097</v>
      </c>
      <c r="AC1850" s="47">
        <v>301</v>
      </c>
      <c r="AD1850" s="57">
        <v>283.86</v>
      </c>
      <c r="AE1850" s="57">
        <v>286.10000000000002</v>
      </c>
      <c r="AF1850" s="57">
        <v>487.57</v>
      </c>
      <c r="AG1850" s="57">
        <f t="shared" si="38"/>
        <v>1.7041943376441802</v>
      </c>
      <c r="AH1850" s="47">
        <v>253</v>
      </c>
      <c r="AI1850">
        <v>294.35000000000002</v>
      </c>
      <c r="AJ1850">
        <v>295.77999999999997</v>
      </c>
      <c r="AK1850">
        <v>504.06</v>
      </c>
      <c r="AL1850" s="57">
        <f t="shared" si="41"/>
        <v>1.7041720197444048</v>
      </c>
      <c r="AM1850" s="59">
        <v>50638</v>
      </c>
      <c r="AN1850" s="59">
        <f>SUMIFS(HIX_RatingAreas8[Silver Enrollments 2018],HIX_RatingAreas8[Area],HIX_SLCSP11[[#This Row],[Area Code]])</f>
        <v>31838</v>
      </c>
      <c r="AO1850" s="59">
        <f>SUMIFS(HIX_RatingAreas8[Silver Enrollments 2019],HIX_RatingAreas8[Area],HIX_SLCSP11[[#This Row],[Area Code]])</f>
        <v>30184</v>
      </c>
      <c r="AP1850" s="59">
        <f>SUMIFS(HIX_RatingAreas8[Silver Enrollments 2020],HIX_RatingAreas8[Area],HIX_SLCSP11[[#This Row],[Area Code]])</f>
        <v>30150</v>
      </c>
      <c r="AQ1850" s="59">
        <f>SUMIFS(HIX_RatingAreas8[Silver Enrollments 2021],HIX_RatingAreas8[Area],HIX_SLCSP11[[#This Row],[Area Code]])</f>
        <v>31853</v>
      </c>
      <c r="AR1850" s="59">
        <f>SUMIFS(HIX_RatingAreas8[Silver Enrollments 2022],HIX_RatingAreas8[Area],HIX_SLCSP11[[#This Row],[Area Code]])</f>
        <v>44982</v>
      </c>
      <c r="AS1850" s="59">
        <f>SUMIFS(HIX_RatingAreas8[Silver Enrollments 2023],HIX_RatingAreas8[Area],HIX_SLCSP11[[#This Row],[Area Code]])</f>
        <v>44982</v>
      </c>
      <c r="AT1850" s="59">
        <v>66221</v>
      </c>
      <c r="AU1850">
        <f t="shared" si="28"/>
        <v>3.7996770724911436E-2</v>
      </c>
      <c r="AV1850">
        <f>SUMIFS(HIX_RatingAreas8[QHP Enrollments 2018],HIX_RatingAreas8[Area],HIX_SLCSP11[[#This Row],[Area Code]])</f>
        <v>60167</v>
      </c>
      <c r="AW1850">
        <f t="shared" si="29"/>
        <v>3.507817628697326E-2</v>
      </c>
      <c r="AX1850">
        <f>SUMIFS(HIX_RatingAreas8[QHP Enrollments 2019],HIX_RatingAreas8[Area],HIX_SLCSP11[[#This Row],[Area Code]])</f>
        <v>57485</v>
      </c>
      <c r="AY1850">
        <f t="shared" si="30"/>
        <v>3.2235109661616863E-2</v>
      </c>
      <c r="AZ1850">
        <f>SUMIFS(HIX_RatingAreas8[QHP Enrollments 2020],HIX_RatingAreas8[Area],HIX_SLCSP11[[#This Row],[Area Code]])</f>
        <v>58163</v>
      </c>
      <c r="BA1850">
        <f t="shared" si="31"/>
        <v>3.0388589192648807E-2</v>
      </c>
      <c r="BB1850">
        <f>SUMIFS(HIX_RatingAreas8[QHP Enrollments 2021],HIX_RatingAreas8[Area],HIX_SLCSP11[[#This Row],[Area Code]])</f>
        <v>62868</v>
      </c>
      <c r="BC1850">
        <f t="shared" si="32"/>
        <v>2.9649821963355107E-2</v>
      </c>
      <c r="BD1850">
        <f>SUMIFS(HIX_RatingAreas8[QHP Enrollments 2022],HIX_RatingAreas8[Area],HIX_SLCSP11[[#This Row],[Area Code]])</f>
        <v>80839</v>
      </c>
      <c r="BE1850">
        <f t="shared" si="40"/>
        <v>2.9686452248802283E-2</v>
      </c>
      <c r="BF1850">
        <f>SUMIFS(HIX_RatingAreas8[QHP Enrollments 2023],HIX_RatingAreas8[Area],HIX_SLCSP11[[#This Row],[Area Code]])</f>
        <v>80839</v>
      </c>
      <c r="BG1850">
        <f t="shared" si="39"/>
        <v>2.9686452248802283E-2</v>
      </c>
      <c r="BH1850" s="53">
        <f>ROUND(HIX_SLCSP11[[#This Row],[Weighting Factor 2018]]*HIX_SLCSP11[[#This Row],[2018]],2)</f>
        <v>12.6</v>
      </c>
      <c r="BI1850" s="53">
        <f>ROUND(HIX_SLCSP11[[#This Row],[Weighting Factor 2019]]*HIX_SLCSP11[[#This Row],[2019]],2)</f>
        <v>12.89</v>
      </c>
      <c r="BJ1850" s="53">
        <f>ROUND(HIX_SLCSP11[[#This Row],[Weighting Factor 2020]]*HIX_SLCSP11[[#This Row],[2020]],2)</f>
        <v>9.14</v>
      </c>
      <c r="BK1850" s="53">
        <f>ROUND(HIX_SLCSP11[[#This Row],[Weighting Factor 2021]]*HIX_SLCSP11[[#This Row],[2021]],2)</f>
        <v>8.3800000000000008</v>
      </c>
      <c r="BL1850" s="53">
        <f>ROUND(HIX_SLCSP11[[#This Row],[Weighting Factor 2022]]*HIX_SLCSP11[[#This Row],[2022]],2)</f>
        <v>8.49</v>
      </c>
      <c r="BM1850" s="53">
        <f>ROUND(HIX_SLCSP11[[#This Row],[Weighting Factor 2023]]*HIX_SLCSP11[[#This Row],[2023]],2)</f>
        <v>8.7799999999999994</v>
      </c>
    </row>
    <row r="1851" spans="4:65" x14ac:dyDescent="0.35">
      <c r="D1851" t="s">
        <v>539</v>
      </c>
      <c r="E1851" t="s">
        <v>724</v>
      </c>
      <c r="F1851" s="23">
        <v>53</v>
      </c>
      <c r="G1851" s="23" t="s">
        <v>540</v>
      </c>
      <c r="H1851" s="23" t="s">
        <v>725</v>
      </c>
      <c r="I1851" s="23">
        <v>113</v>
      </c>
      <c r="J1851" s="53">
        <v>326.56</v>
      </c>
      <c r="K1851" s="53">
        <v>353.5</v>
      </c>
      <c r="L1851" s="53">
        <v>602.44000000000005</v>
      </c>
      <c r="M1851" s="54">
        <f t="shared" si="34"/>
        <v>1.7042149929278643</v>
      </c>
      <c r="N1851" s="24">
        <v>100</v>
      </c>
      <c r="O1851" s="55">
        <v>388.24</v>
      </c>
      <c r="P1851" s="56">
        <v>388.58</v>
      </c>
      <c r="Q1851" s="56">
        <v>662.21</v>
      </c>
      <c r="R1851" s="57">
        <f t="shared" si="35"/>
        <v>1.7041793195738331</v>
      </c>
      <c r="S1851" s="23">
        <v>113</v>
      </c>
      <c r="T1851" s="53">
        <v>299.24</v>
      </c>
      <c r="U1851" s="53">
        <v>333.13</v>
      </c>
      <c r="V1851" s="53">
        <v>567.72</v>
      </c>
      <c r="W1851" s="57">
        <f t="shared" si="36"/>
        <v>1.7041995617326571</v>
      </c>
      <c r="X1851" s="47">
        <v>175</v>
      </c>
      <c r="Y1851" s="58">
        <v>268.66000000000003</v>
      </c>
      <c r="Z1851" s="58">
        <v>276.12</v>
      </c>
      <c r="AA1851" s="58">
        <v>470.56</v>
      </c>
      <c r="AB1851" s="57">
        <f t="shared" si="37"/>
        <v>1.7041865855425178</v>
      </c>
      <c r="AC1851" s="47">
        <v>173</v>
      </c>
      <c r="AD1851" s="57">
        <v>288.45</v>
      </c>
      <c r="AE1851" s="57">
        <v>302.10000000000002</v>
      </c>
      <c r="AF1851" s="57">
        <v>514.84</v>
      </c>
      <c r="AG1851" s="57">
        <f t="shared" si="38"/>
        <v>1.7042039059913936</v>
      </c>
      <c r="AH1851" s="47">
        <v>180</v>
      </c>
      <c r="AI1851">
        <v>308.22000000000003</v>
      </c>
      <c r="AJ1851">
        <v>309.70999999999998</v>
      </c>
      <c r="AK1851">
        <v>527.80999999999995</v>
      </c>
      <c r="AL1851" s="57">
        <f t="shared" si="41"/>
        <v>1.7042071615382131</v>
      </c>
      <c r="AM1851" s="59">
        <v>26841</v>
      </c>
      <c r="AN1851" s="59">
        <f>SUMIFS(HIX_RatingAreas8[Silver Enrollments 2018],HIX_RatingAreas8[Area],HIX_SLCSP11[[#This Row],[Area Code]])</f>
        <v>18612</v>
      </c>
      <c r="AO1851" s="59">
        <f>SUMIFS(HIX_RatingAreas8[Silver Enrollments 2019],HIX_RatingAreas8[Area],HIX_SLCSP11[[#This Row],[Area Code]])</f>
        <v>19423</v>
      </c>
      <c r="AP1851" s="59">
        <f>SUMIFS(HIX_RatingAreas8[Silver Enrollments 2020],HIX_RatingAreas8[Area],HIX_SLCSP11[[#This Row],[Area Code]])</f>
        <v>23654</v>
      </c>
      <c r="AQ1851" s="59">
        <f>SUMIFS(HIX_RatingAreas8[Silver Enrollments 2021],HIX_RatingAreas8[Area],HIX_SLCSP11[[#This Row],[Area Code]])</f>
        <v>27771</v>
      </c>
      <c r="AR1851" s="59">
        <f>SUMIFS(HIX_RatingAreas8[Silver Enrollments 2022],HIX_RatingAreas8[Area],HIX_SLCSP11[[#This Row],[Area Code]])</f>
        <v>38550</v>
      </c>
      <c r="AS1851" s="59">
        <f>SUMIFS(HIX_RatingAreas8[Silver Enrollments 2023],HIX_RatingAreas8[Area],HIX_SLCSP11[[#This Row],[Area Code]])</f>
        <v>38550</v>
      </c>
      <c r="AT1851" s="59">
        <v>34156</v>
      </c>
      <c r="AU1851">
        <f t="shared" si="28"/>
        <v>1.9598280015102082E-2</v>
      </c>
      <c r="AV1851">
        <f>SUMIFS(HIX_RatingAreas8[QHP Enrollments 2018],HIX_RatingAreas8[Area],HIX_SLCSP11[[#This Row],[Area Code]])</f>
        <v>30399</v>
      </c>
      <c r="AW1851">
        <f t="shared" si="29"/>
        <v>1.7723028918638126E-2</v>
      </c>
      <c r="AX1851">
        <f>SUMIFS(HIX_RatingAreas8[QHP Enrollments 2019],HIX_RatingAreas8[Area],HIX_SLCSP11[[#This Row],[Area Code]])</f>
        <v>32706</v>
      </c>
      <c r="AY1851">
        <f t="shared" si="30"/>
        <v>1.8340114753289401E-2</v>
      </c>
      <c r="AZ1851">
        <f>SUMIFS(HIX_RatingAreas8[QHP Enrollments 2020],HIX_RatingAreas8[Area],HIX_SLCSP11[[#This Row],[Area Code]])</f>
        <v>39479</v>
      </c>
      <c r="BA1851">
        <f t="shared" si="31"/>
        <v>2.0626706200446713E-2</v>
      </c>
      <c r="BB1851">
        <f>SUMIFS(HIX_RatingAreas8[QHP Enrollments 2021],HIX_RatingAreas8[Area],HIX_SLCSP11[[#This Row],[Area Code]])</f>
        <v>45675</v>
      </c>
      <c r="BC1851">
        <f t="shared" si="32"/>
        <v>2.1541254981488907E-2</v>
      </c>
      <c r="BD1851">
        <f>SUMIFS(HIX_RatingAreas8[QHP Enrollments 2022],HIX_RatingAreas8[Area],HIX_SLCSP11[[#This Row],[Area Code]])</f>
        <v>62987</v>
      </c>
      <c r="BE1851">
        <f t="shared" si="40"/>
        <v>2.313067415226944E-2</v>
      </c>
      <c r="BF1851">
        <f>SUMIFS(HIX_RatingAreas8[QHP Enrollments 2023],HIX_RatingAreas8[Area],HIX_SLCSP11[[#This Row],[Area Code]])</f>
        <v>62987</v>
      </c>
      <c r="BG1851">
        <f t="shared" si="39"/>
        <v>2.313067415226944E-2</v>
      </c>
      <c r="BH1851" s="53">
        <f>ROUND(HIX_SLCSP11[[#This Row],[Weighting Factor 2018]]*HIX_SLCSP11[[#This Row],[2018]],2)</f>
        <v>6.27</v>
      </c>
      <c r="BI1851" s="53">
        <f>ROUND(HIX_SLCSP11[[#This Row],[Weighting Factor 2019]]*HIX_SLCSP11[[#This Row],[2019]],2)</f>
        <v>7.13</v>
      </c>
      <c r="BJ1851" s="53">
        <f>ROUND(HIX_SLCSP11[[#This Row],[Weighting Factor 2020]]*HIX_SLCSP11[[#This Row],[2020]],2)</f>
        <v>6.87</v>
      </c>
      <c r="BK1851" s="53">
        <f>ROUND(HIX_SLCSP11[[#This Row],[Weighting Factor 2021]]*HIX_SLCSP11[[#This Row],[2021]],2)</f>
        <v>5.95</v>
      </c>
      <c r="BL1851" s="53">
        <f>ROUND(HIX_SLCSP11[[#This Row],[Weighting Factor 2022]]*HIX_SLCSP11[[#This Row],[2022]],2)</f>
        <v>6.99</v>
      </c>
      <c r="BM1851" s="53">
        <f>ROUND(HIX_SLCSP11[[#This Row],[Weighting Factor 2023]]*HIX_SLCSP11[[#This Row],[2023]],2)</f>
        <v>7.16</v>
      </c>
    </row>
    <row r="1852" spans="4:65" x14ac:dyDescent="0.35">
      <c r="D1852" t="s">
        <v>539</v>
      </c>
      <c r="E1852" t="s">
        <v>727</v>
      </c>
      <c r="F1852" s="23">
        <v>54</v>
      </c>
      <c r="G1852" s="23" t="s">
        <v>540</v>
      </c>
      <c r="H1852" s="23" t="s">
        <v>728</v>
      </c>
      <c r="I1852" s="23">
        <v>84</v>
      </c>
      <c r="J1852" s="53">
        <v>478.86</v>
      </c>
      <c r="K1852" s="53">
        <v>626.28</v>
      </c>
      <c r="L1852" s="53">
        <v>1067.31</v>
      </c>
      <c r="M1852" s="54">
        <f t="shared" si="34"/>
        <v>1.7042057865491473</v>
      </c>
      <c r="N1852" s="24">
        <v>64</v>
      </c>
      <c r="O1852" s="55">
        <v>375.01</v>
      </c>
      <c r="P1852" s="56">
        <v>381.33</v>
      </c>
      <c r="Q1852" s="56">
        <v>649.86</v>
      </c>
      <c r="R1852" s="57">
        <f t="shared" si="35"/>
        <v>1.7041932184721895</v>
      </c>
      <c r="S1852" s="23">
        <v>84</v>
      </c>
      <c r="T1852" s="53">
        <v>289.81</v>
      </c>
      <c r="U1852" s="53">
        <v>337.39</v>
      </c>
      <c r="V1852" s="53">
        <v>574.98</v>
      </c>
      <c r="W1852" s="57">
        <f t="shared" si="36"/>
        <v>1.7041998873706987</v>
      </c>
      <c r="X1852" s="47">
        <v>126</v>
      </c>
      <c r="Y1852" s="58">
        <v>289.41000000000003</v>
      </c>
      <c r="Z1852" s="58">
        <v>297.44</v>
      </c>
      <c r="AA1852" s="58">
        <v>506.9</v>
      </c>
      <c r="AB1852" s="57">
        <f t="shared" si="37"/>
        <v>1.7042092522861754</v>
      </c>
      <c r="AC1852" s="47">
        <v>121</v>
      </c>
      <c r="AD1852" s="57">
        <v>289.87</v>
      </c>
      <c r="AE1852" s="57">
        <v>303.58999999999997</v>
      </c>
      <c r="AF1852" s="57">
        <v>517.38</v>
      </c>
      <c r="AG1852" s="57">
        <f t="shared" si="38"/>
        <v>1.7042063309068152</v>
      </c>
      <c r="AH1852" s="47">
        <v>109</v>
      </c>
      <c r="AI1852">
        <v>336.21</v>
      </c>
      <c r="AJ1852">
        <v>337.84</v>
      </c>
      <c r="AK1852">
        <v>575.75</v>
      </c>
      <c r="AL1852" s="57">
        <f t="shared" si="41"/>
        <v>1.7042090930618046</v>
      </c>
      <c r="AM1852" s="59">
        <v>2702</v>
      </c>
      <c r="AN1852" s="59">
        <f>SUMIFS(HIX_RatingAreas8[Silver Enrollments 2018],HIX_RatingAreas8[Area],HIX_SLCSP11[[#This Row],[Area Code]])</f>
        <v>2672</v>
      </c>
      <c r="AO1852" s="59">
        <f>SUMIFS(HIX_RatingAreas8[Silver Enrollments 2019],HIX_RatingAreas8[Area],HIX_SLCSP11[[#This Row],[Area Code]])</f>
        <v>1775</v>
      </c>
      <c r="AP1852" s="59">
        <f>SUMIFS(HIX_RatingAreas8[Silver Enrollments 2020],HIX_RatingAreas8[Area],HIX_SLCSP11[[#This Row],[Area Code]])</f>
        <v>1225</v>
      </c>
      <c r="AQ1852" s="59">
        <f>SUMIFS(HIX_RatingAreas8[Silver Enrollments 2021],HIX_RatingAreas8[Area],HIX_SLCSP11[[#This Row],[Area Code]])</f>
        <v>1300</v>
      </c>
      <c r="AR1852" s="59">
        <f>SUMIFS(HIX_RatingAreas8[Silver Enrollments 2022],HIX_RatingAreas8[Area],HIX_SLCSP11[[#This Row],[Area Code]])</f>
        <v>2106</v>
      </c>
      <c r="AS1852" s="59">
        <f>SUMIFS(HIX_RatingAreas8[Silver Enrollments 2023],HIX_RatingAreas8[Area],HIX_SLCSP11[[#This Row],[Area Code]])</f>
        <v>2106</v>
      </c>
      <c r="AT1852" s="59">
        <v>3728</v>
      </c>
      <c r="AU1852">
        <f t="shared" si="28"/>
        <v>2.139079163142656E-3</v>
      </c>
      <c r="AV1852">
        <f>SUMIFS(HIX_RatingAreas8[QHP Enrollments 2018],HIX_RatingAreas8[Area],HIX_SLCSP11[[#This Row],[Area Code]])</f>
        <v>3655</v>
      </c>
      <c r="AW1852">
        <f t="shared" si="29"/>
        <v>2.1309145267154298E-3</v>
      </c>
      <c r="AX1852">
        <f>SUMIFS(HIX_RatingAreas8[QHP Enrollments 2019],HIX_RatingAreas8[Area],HIX_SLCSP11[[#This Row],[Area Code]])</f>
        <v>3337</v>
      </c>
      <c r="AY1852">
        <f t="shared" si="30"/>
        <v>1.8712457326400882E-3</v>
      </c>
      <c r="AZ1852">
        <f>SUMIFS(HIX_RatingAreas8[QHP Enrollments 2020],HIX_RatingAreas8[Area],HIX_SLCSP11[[#This Row],[Area Code]])</f>
        <v>2615</v>
      </c>
      <c r="BA1852">
        <f t="shared" si="31"/>
        <v>1.3662665395316031E-3</v>
      </c>
      <c r="BB1852">
        <f>SUMIFS(HIX_RatingAreas8[QHP Enrollments 2021],HIX_RatingAreas8[Area],HIX_SLCSP11[[#This Row],[Area Code]])</f>
        <v>2805</v>
      </c>
      <c r="BC1852">
        <f t="shared" si="32"/>
        <v>1.3228948051029312E-3</v>
      </c>
      <c r="BD1852">
        <f>SUMIFS(HIX_RatingAreas8[QHP Enrollments 2022],HIX_RatingAreas8[Area],HIX_SLCSP11[[#This Row],[Area Code]])</f>
        <v>4029</v>
      </c>
      <c r="BE1852">
        <f t="shared" si="40"/>
        <v>1.4795669925459789E-3</v>
      </c>
      <c r="BF1852">
        <f>SUMIFS(HIX_RatingAreas8[QHP Enrollments 2023],HIX_RatingAreas8[Area],HIX_SLCSP11[[#This Row],[Area Code]])</f>
        <v>4029</v>
      </c>
      <c r="BG1852">
        <f t="shared" si="39"/>
        <v>1.4795669925459789E-3</v>
      </c>
      <c r="BH1852" s="53">
        <f>ROUND(HIX_SLCSP11[[#This Row],[Weighting Factor 2018]]*HIX_SLCSP11[[#This Row],[2018]],2)</f>
        <v>1.33</v>
      </c>
      <c r="BI1852" s="53">
        <f>ROUND(HIX_SLCSP11[[#This Row],[Weighting Factor 2019]]*HIX_SLCSP11[[#This Row],[2019]],2)</f>
        <v>0.71</v>
      </c>
      <c r="BJ1852" s="53">
        <f>ROUND(HIX_SLCSP11[[#This Row],[Weighting Factor 2020]]*HIX_SLCSP11[[#This Row],[2020]],2)</f>
        <v>0.46</v>
      </c>
      <c r="BK1852" s="53">
        <f>ROUND(HIX_SLCSP11[[#This Row],[Weighting Factor 2021]]*HIX_SLCSP11[[#This Row],[2021]],2)</f>
        <v>0.39</v>
      </c>
      <c r="BL1852" s="53">
        <f>ROUND(HIX_SLCSP11[[#This Row],[Weighting Factor 2022]]*HIX_SLCSP11[[#This Row],[2022]],2)</f>
        <v>0.45</v>
      </c>
      <c r="BM1852" s="53">
        <f>ROUND(HIX_SLCSP11[[#This Row],[Weighting Factor 2023]]*HIX_SLCSP11[[#This Row],[2023]],2)</f>
        <v>0.5</v>
      </c>
    </row>
    <row r="1853" spans="4:65" x14ac:dyDescent="0.35">
      <c r="D1853" t="s">
        <v>539</v>
      </c>
      <c r="E1853" t="s">
        <v>731</v>
      </c>
      <c r="F1853" s="23">
        <v>55</v>
      </c>
      <c r="G1853" s="23" t="s">
        <v>540</v>
      </c>
      <c r="H1853" s="23" t="s">
        <v>732</v>
      </c>
      <c r="I1853" s="23">
        <v>65</v>
      </c>
      <c r="J1853" s="53">
        <v>319.85000000000002</v>
      </c>
      <c r="K1853" s="53">
        <v>402.34</v>
      </c>
      <c r="L1853" s="53">
        <v>685.66</v>
      </c>
      <c r="M1853" s="54">
        <f t="shared" si="34"/>
        <v>1.7041805438186608</v>
      </c>
      <c r="N1853" s="24">
        <v>48</v>
      </c>
      <c r="O1853" s="55">
        <v>394.17</v>
      </c>
      <c r="P1853" s="56">
        <v>424.54</v>
      </c>
      <c r="Q1853" s="56">
        <v>723.51</v>
      </c>
      <c r="R1853" s="57">
        <f t="shared" si="35"/>
        <v>1.7042210392424741</v>
      </c>
      <c r="S1853" s="23">
        <v>65</v>
      </c>
      <c r="T1853" s="53">
        <v>309.62</v>
      </c>
      <c r="U1853" s="53">
        <v>362.1</v>
      </c>
      <c r="V1853" s="53">
        <v>617.09</v>
      </c>
      <c r="W1853" s="57">
        <f t="shared" si="36"/>
        <v>1.7041977354322011</v>
      </c>
      <c r="X1853" s="47">
        <v>175</v>
      </c>
      <c r="Y1853" s="58">
        <v>330.62</v>
      </c>
      <c r="Z1853" s="58">
        <v>334.93</v>
      </c>
      <c r="AA1853" s="58">
        <v>570.79</v>
      </c>
      <c r="AB1853" s="57">
        <f t="shared" si="37"/>
        <v>1.7042068491923683</v>
      </c>
      <c r="AC1853" s="47">
        <v>276</v>
      </c>
      <c r="AD1853" s="57">
        <v>329.56</v>
      </c>
      <c r="AE1853" s="57">
        <v>331.98</v>
      </c>
      <c r="AF1853" s="57">
        <v>565.77</v>
      </c>
      <c r="AG1853" s="57">
        <f t="shared" si="38"/>
        <v>1.7042291704319537</v>
      </c>
      <c r="AH1853" s="47">
        <v>222</v>
      </c>
      <c r="AI1853">
        <v>362.69</v>
      </c>
      <c r="AJ1853">
        <v>385.23</v>
      </c>
      <c r="AK1853">
        <v>656.5</v>
      </c>
      <c r="AL1853" s="57">
        <f t="shared" si="41"/>
        <v>1.7041767255925031</v>
      </c>
      <c r="AM1853" s="59">
        <v>5065</v>
      </c>
      <c r="AN1853" s="59">
        <f>SUMIFS(HIX_RatingAreas8[Silver Enrollments 2018],HIX_RatingAreas8[Area],HIX_SLCSP11[[#This Row],[Area Code]])</f>
        <v>4518</v>
      </c>
      <c r="AO1853" s="59">
        <f>SUMIFS(HIX_RatingAreas8[Silver Enrollments 2019],HIX_RatingAreas8[Area],HIX_SLCSP11[[#This Row],[Area Code]])</f>
        <v>4391</v>
      </c>
      <c r="AP1853" s="59">
        <f>SUMIFS(HIX_RatingAreas8[Silver Enrollments 2020],HIX_RatingAreas8[Area],HIX_SLCSP11[[#This Row],[Area Code]])</f>
        <v>4287</v>
      </c>
      <c r="AQ1853" s="59">
        <f>SUMIFS(HIX_RatingAreas8[Silver Enrollments 2021],HIX_RatingAreas8[Area],HIX_SLCSP11[[#This Row],[Area Code]])</f>
        <v>4110</v>
      </c>
      <c r="AR1853" s="59">
        <f>SUMIFS(HIX_RatingAreas8[Silver Enrollments 2022],HIX_RatingAreas8[Area],HIX_SLCSP11[[#This Row],[Area Code]])</f>
        <v>4980</v>
      </c>
      <c r="AS1853" s="59">
        <f>SUMIFS(HIX_RatingAreas8[Silver Enrollments 2023],HIX_RatingAreas8[Area],HIX_SLCSP11[[#This Row],[Area Code]])</f>
        <v>4980</v>
      </c>
      <c r="AT1853" s="59">
        <v>7114</v>
      </c>
      <c r="AU1853">
        <f t="shared" si="28"/>
        <v>4.0819230597094573E-3</v>
      </c>
      <c r="AV1853">
        <f>SUMIFS(HIX_RatingAreas8[QHP Enrollments 2018],HIX_RatingAreas8[Area],HIX_SLCSP11[[#This Row],[Area Code]])</f>
        <v>7129</v>
      </c>
      <c r="AW1853">
        <f t="shared" si="29"/>
        <v>4.1563036008082904E-3</v>
      </c>
      <c r="AX1853">
        <f>SUMIFS(HIX_RatingAreas8[QHP Enrollments 2019],HIX_RatingAreas8[Area],HIX_SLCSP11[[#This Row],[Area Code]])</f>
        <v>7357</v>
      </c>
      <c r="AY1853">
        <f t="shared" si="30"/>
        <v>4.1254884192487651E-3</v>
      </c>
      <c r="AZ1853">
        <f>SUMIFS(HIX_RatingAreas8[QHP Enrollments 2020],HIX_RatingAreas8[Area],HIX_SLCSP11[[#This Row],[Area Code]])</f>
        <v>7471</v>
      </c>
      <c r="BA1853">
        <f t="shared" si="31"/>
        <v>3.9033947674342664E-3</v>
      </c>
      <c r="BB1853">
        <f>SUMIFS(HIX_RatingAreas8[QHP Enrollments 2021],HIX_RatingAreas8[Area],HIX_SLCSP11[[#This Row],[Area Code]])</f>
        <v>7775</v>
      </c>
      <c r="BC1853">
        <f t="shared" si="32"/>
        <v>3.6668474544296931E-3</v>
      </c>
      <c r="BD1853">
        <f>SUMIFS(HIX_RatingAreas8[QHP Enrollments 2022],HIX_RatingAreas8[Area],HIX_SLCSP11[[#This Row],[Area Code]])</f>
        <v>10186</v>
      </c>
      <c r="BE1853">
        <f t="shared" si="40"/>
        <v>3.7405980109390274E-3</v>
      </c>
      <c r="BF1853">
        <f>SUMIFS(HIX_RatingAreas8[QHP Enrollments 2023],HIX_RatingAreas8[Area],HIX_SLCSP11[[#This Row],[Area Code]])</f>
        <v>10186</v>
      </c>
      <c r="BG1853">
        <f t="shared" si="39"/>
        <v>3.7405980109390274E-3</v>
      </c>
      <c r="BH1853" s="53">
        <f>ROUND(HIX_SLCSP11[[#This Row],[Weighting Factor 2018]]*HIX_SLCSP11[[#This Row],[2018]],2)</f>
        <v>1.67</v>
      </c>
      <c r="BI1853" s="53">
        <f>ROUND(HIX_SLCSP11[[#This Row],[Weighting Factor 2019]]*HIX_SLCSP11[[#This Row],[2019]],2)</f>
        <v>1.75</v>
      </c>
      <c r="BJ1853" s="53">
        <f>ROUND(HIX_SLCSP11[[#This Row],[Weighting Factor 2020]]*HIX_SLCSP11[[#This Row],[2020]],2)</f>
        <v>1.41</v>
      </c>
      <c r="BK1853" s="53">
        <f>ROUND(HIX_SLCSP11[[#This Row],[Weighting Factor 2021]]*HIX_SLCSP11[[#This Row],[2021]],2)</f>
        <v>1.23</v>
      </c>
      <c r="BL1853" s="53">
        <f>ROUND(HIX_SLCSP11[[#This Row],[Weighting Factor 2022]]*HIX_SLCSP11[[#This Row],[2022]],2)</f>
        <v>1.24</v>
      </c>
      <c r="BM1853" s="53">
        <f>ROUND(HIX_SLCSP11[[#This Row],[Weighting Factor 2023]]*HIX_SLCSP11[[#This Row],[2023]],2)</f>
        <v>1.44</v>
      </c>
    </row>
    <row r="1854" spans="4:65" x14ac:dyDescent="0.35">
      <c r="D1854" t="s">
        <v>539</v>
      </c>
      <c r="E1854" t="s">
        <v>735</v>
      </c>
      <c r="F1854" s="23">
        <v>56</v>
      </c>
      <c r="G1854" s="23" t="s">
        <v>540</v>
      </c>
      <c r="H1854" s="23" t="s">
        <v>736</v>
      </c>
      <c r="I1854" s="23">
        <v>98</v>
      </c>
      <c r="J1854" s="53">
        <v>299.5</v>
      </c>
      <c r="K1854" s="53">
        <v>376.75</v>
      </c>
      <c r="L1854" s="53">
        <v>642.04999999999995</v>
      </c>
      <c r="M1854" s="54">
        <f t="shared" si="34"/>
        <v>1.7041804910418048</v>
      </c>
      <c r="N1854" s="24">
        <v>96</v>
      </c>
      <c r="O1854" s="55">
        <v>355.87</v>
      </c>
      <c r="P1854" s="56">
        <v>383.3</v>
      </c>
      <c r="Q1854" s="56">
        <v>653.21</v>
      </c>
      <c r="R1854" s="57">
        <f t="shared" si="35"/>
        <v>1.7041742760240022</v>
      </c>
      <c r="S1854" s="23">
        <v>98</v>
      </c>
      <c r="T1854" s="53">
        <v>318.5</v>
      </c>
      <c r="U1854" s="53">
        <v>353.7</v>
      </c>
      <c r="V1854" s="53">
        <v>602.78</v>
      </c>
      <c r="W1854" s="57">
        <f t="shared" si="36"/>
        <v>1.704212609556121</v>
      </c>
      <c r="X1854" s="47">
        <v>165</v>
      </c>
      <c r="Y1854" s="58">
        <v>267.83</v>
      </c>
      <c r="Z1854" s="58">
        <v>275.26</v>
      </c>
      <c r="AA1854" s="58">
        <v>469.1</v>
      </c>
      <c r="AB1854" s="57">
        <f t="shared" si="37"/>
        <v>1.7042069316282789</v>
      </c>
      <c r="AC1854" s="47">
        <v>216</v>
      </c>
      <c r="AD1854" s="57">
        <v>262.86</v>
      </c>
      <c r="AE1854" s="57">
        <v>275.31</v>
      </c>
      <c r="AF1854" s="57">
        <v>469.18</v>
      </c>
      <c r="AG1854" s="57">
        <f t="shared" si="38"/>
        <v>1.7041880062475028</v>
      </c>
      <c r="AH1854" s="47">
        <v>190</v>
      </c>
      <c r="AI1854">
        <v>291.01</v>
      </c>
      <c r="AJ1854">
        <v>292.35000000000002</v>
      </c>
      <c r="AK1854">
        <v>498.22</v>
      </c>
      <c r="AL1854" s="57">
        <f t="shared" si="41"/>
        <v>1.7041901829998289</v>
      </c>
      <c r="AM1854" s="59">
        <v>20670</v>
      </c>
      <c r="AN1854" s="59">
        <f>SUMIFS(HIX_RatingAreas8[Silver Enrollments 2018],HIX_RatingAreas8[Area],HIX_SLCSP11[[#This Row],[Area Code]])</f>
        <v>16287</v>
      </c>
      <c r="AO1854" s="59">
        <f>SUMIFS(HIX_RatingAreas8[Silver Enrollments 2019],HIX_RatingAreas8[Area],HIX_SLCSP11[[#This Row],[Area Code]])</f>
        <v>15421</v>
      </c>
      <c r="AP1854" s="59">
        <f>SUMIFS(HIX_RatingAreas8[Silver Enrollments 2020],HIX_RatingAreas8[Area],HIX_SLCSP11[[#This Row],[Area Code]])</f>
        <v>16407</v>
      </c>
      <c r="AQ1854" s="59">
        <f>SUMIFS(HIX_RatingAreas8[Silver Enrollments 2021],HIX_RatingAreas8[Area],HIX_SLCSP11[[#This Row],[Area Code]])</f>
        <v>16691</v>
      </c>
      <c r="AR1854" s="59">
        <f>SUMIFS(HIX_RatingAreas8[Silver Enrollments 2022],HIX_RatingAreas8[Area],HIX_SLCSP11[[#This Row],[Area Code]])</f>
        <v>20294</v>
      </c>
      <c r="AS1854" s="59">
        <f>SUMIFS(HIX_RatingAreas8[Silver Enrollments 2023],HIX_RatingAreas8[Area],HIX_SLCSP11[[#This Row],[Area Code]])</f>
        <v>20294</v>
      </c>
      <c r="AT1854" s="59">
        <v>28425</v>
      </c>
      <c r="AU1854">
        <f t="shared" si="28"/>
        <v>1.6309904831633585E-2</v>
      </c>
      <c r="AV1854">
        <f>SUMIFS(HIX_RatingAreas8[QHP Enrollments 2018],HIX_RatingAreas8[Area],HIX_SLCSP11[[#This Row],[Area Code]])</f>
        <v>28911</v>
      </c>
      <c r="AW1854">
        <f t="shared" si="29"/>
        <v>1.6855504755641532E-2</v>
      </c>
      <c r="AX1854">
        <f>SUMIFS(HIX_RatingAreas8[QHP Enrollments 2019],HIX_RatingAreas8[Area],HIX_SLCSP11[[#This Row],[Area Code]])</f>
        <v>28958</v>
      </c>
      <c r="AY1854">
        <f t="shared" si="30"/>
        <v>1.62383979400035E-2</v>
      </c>
      <c r="AZ1854">
        <f>SUMIFS(HIX_RatingAreas8[QHP Enrollments 2020],HIX_RatingAreas8[Area],HIX_SLCSP11[[#This Row],[Area Code]])</f>
        <v>29669</v>
      </c>
      <c r="BA1854">
        <f t="shared" si="31"/>
        <v>1.5501247403962956E-2</v>
      </c>
      <c r="BB1854">
        <f>SUMIFS(HIX_RatingAreas8[QHP Enrollments 2021],HIX_RatingAreas8[Area],HIX_SLCSP11[[#This Row],[Area Code]])</f>
        <v>31971</v>
      </c>
      <c r="BC1854">
        <f t="shared" si="32"/>
        <v>1.5078171056665174E-2</v>
      </c>
      <c r="BD1854">
        <f>SUMIFS(HIX_RatingAreas8[QHP Enrollments 2022],HIX_RatingAreas8[Area],HIX_SLCSP11[[#This Row],[Area Code]])</f>
        <v>40694</v>
      </c>
      <c r="BE1854">
        <f t="shared" si="40"/>
        <v>1.4944030576983387E-2</v>
      </c>
      <c r="BF1854">
        <f>SUMIFS(HIX_RatingAreas8[QHP Enrollments 2023],HIX_RatingAreas8[Area],HIX_SLCSP11[[#This Row],[Area Code]])</f>
        <v>40694</v>
      </c>
      <c r="BG1854">
        <f t="shared" si="39"/>
        <v>1.4944030576983387E-2</v>
      </c>
      <c r="BH1854" s="53">
        <f>ROUND(HIX_SLCSP11[[#This Row],[Weighting Factor 2018]]*HIX_SLCSP11[[#This Row],[2018]],2)</f>
        <v>6.35</v>
      </c>
      <c r="BI1854" s="53">
        <f>ROUND(HIX_SLCSP11[[#This Row],[Weighting Factor 2019]]*HIX_SLCSP11[[#This Row],[2019]],2)</f>
        <v>6.22</v>
      </c>
      <c r="BJ1854" s="53">
        <f>ROUND(HIX_SLCSP11[[#This Row],[Weighting Factor 2020]]*HIX_SLCSP11[[#This Row],[2020]],2)</f>
        <v>5.48</v>
      </c>
      <c r="BK1854" s="53">
        <f>ROUND(HIX_SLCSP11[[#This Row],[Weighting Factor 2021]]*HIX_SLCSP11[[#This Row],[2021]],2)</f>
        <v>4.1500000000000004</v>
      </c>
      <c r="BL1854" s="53">
        <f>ROUND(HIX_SLCSP11[[#This Row],[Weighting Factor 2022]]*HIX_SLCSP11[[#This Row],[2022]],2)</f>
        <v>4.1100000000000003</v>
      </c>
      <c r="BM1854" s="53">
        <f>ROUND(HIX_SLCSP11[[#This Row],[Weighting Factor 2023]]*HIX_SLCSP11[[#This Row],[2023]],2)</f>
        <v>4.37</v>
      </c>
    </row>
    <row r="1855" spans="4:65" x14ac:dyDescent="0.35">
      <c r="D1855" t="s">
        <v>539</v>
      </c>
      <c r="E1855" t="s">
        <v>739</v>
      </c>
      <c r="F1855" s="23">
        <v>57</v>
      </c>
      <c r="G1855" s="23" t="s">
        <v>540</v>
      </c>
      <c r="H1855" s="23" t="s">
        <v>740</v>
      </c>
      <c r="I1855" s="23">
        <v>207</v>
      </c>
      <c r="J1855" s="53">
        <v>315.97000000000003</v>
      </c>
      <c r="K1855" s="53">
        <v>376.16</v>
      </c>
      <c r="L1855" s="53">
        <v>626.67999999999995</v>
      </c>
      <c r="M1855" s="54">
        <f t="shared" si="34"/>
        <v>1.6659931943853676</v>
      </c>
      <c r="N1855" s="24">
        <v>177</v>
      </c>
      <c r="O1855" s="55">
        <v>286.29000000000002</v>
      </c>
      <c r="P1855" s="56">
        <v>376.43</v>
      </c>
      <c r="Q1855" s="56">
        <v>641.52</v>
      </c>
      <c r="R1855" s="57">
        <f t="shared" si="35"/>
        <v>1.7042212363520441</v>
      </c>
      <c r="S1855" s="23">
        <v>207</v>
      </c>
      <c r="T1855" s="53">
        <v>292.94</v>
      </c>
      <c r="U1855" s="53">
        <v>301.11</v>
      </c>
      <c r="V1855" s="53">
        <v>513.15</v>
      </c>
      <c r="W1855" s="57">
        <f t="shared" si="36"/>
        <v>1.7041944804224369</v>
      </c>
      <c r="X1855" s="47">
        <v>304</v>
      </c>
      <c r="Y1855" s="58">
        <v>289.10000000000002</v>
      </c>
      <c r="Z1855" s="58">
        <v>308.85000000000002</v>
      </c>
      <c r="AA1855" s="58">
        <v>526.33000000000004</v>
      </c>
      <c r="AB1855" s="57">
        <f t="shared" si="37"/>
        <v>1.7041605957584589</v>
      </c>
      <c r="AC1855" s="47">
        <v>354</v>
      </c>
      <c r="AD1855" s="57">
        <v>292.98</v>
      </c>
      <c r="AE1855" s="57">
        <v>319.10000000000002</v>
      </c>
      <c r="AF1855" s="57">
        <v>543.80999999999995</v>
      </c>
      <c r="AG1855" s="57">
        <f t="shared" si="38"/>
        <v>1.7041993105609523</v>
      </c>
      <c r="AH1855" s="47">
        <v>397</v>
      </c>
      <c r="AI1855">
        <v>318.45</v>
      </c>
      <c r="AJ1855">
        <v>322.75</v>
      </c>
      <c r="AK1855">
        <v>550.03</v>
      </c>
      <c r="AL1855" s="57">
        <f t="shared" si="41"/>
        <v>1.7041982958946553</v>
      </c>
      <c r="AM1855" s="59">
        <v>27830</v>
      </c>
      <c r="AN1855" s="59">
        <f>SUMIFS(HIX_RatingAreas8[Silver Enrollments 2018],HIX_RatingAreas8[Area],HIX_SLCSP11[[#This Row],[Area Code]])</f>
        <v>20008</v>
      </c>
      <c r="AO1855" s="59">
        <f>SUMIFS(HIX_RatingAreas8[Silver Enrollments 2019],HIX_RatingAreas8[Area],HIX_SLCSP11[[#This Row],[Area Code]])</f>
        <v>18697</v>
      </c>
      <c r="AP1855" s="59">
        <f>SUMIFS(HIX_RatingAreas8[Silver Enrollments 2020],HIX_RatingAreas8[Area],HIX_SLCSP11[[#This Row],[Area Code]])</f>
        <v>18413</v>
      </c>
      <c r="AQ1855" s="59">
        <f>SUMIFS(HIX_RatingAreas8[Silver Enrollments 2021],HIX_RatingAreas8[Area],HIX_SLCSP11[[#This Row],[Area Code]])</f>
        <v>20294</v>
      </c>
      <c r="AR1855" s="59">
        <f>SUMIFS(HIX_RatingAreas8[Silver Enrollments 2022],HIX_RatingAreas8[Area],HIX_SLCSP11[[#This Row],[Area Code]])</f>
        <v>28593</v>
      </c>
      <c r="AS1855" s="59">
        <f>SUMIFS(HIX_RatingAreas8[Silver Enrollments 2023],HIX_RatingAreas8[Area],HIX_SLCSP11[[#This Row],[Area Code]])</f>
        <v>28593</v>
      </c>
      <c r="AT1855" s="59">
        <v>37130</v>
      </c>
      <c r="AU1855">
        <f t="shared" si="28"/>
        <v>2.1304723532051185E-2</v>
      </c>
      <c r="AV1855">
        <f>SUMIFS(HIX_RatingAreas8[QHP Enrollments 2018],HIX_RatingAreas8[Area],HIX_SLCSP11[[#This Row],[Area Code]])</f>
        <v>34063</v>
      </c>
      <c r="AW1855">
        <f t="shared" si="29"/>
        <v>1.9859190567307165E-2</v>
      </c>
      <c r="AX1855">
        <f>SUMIFS(HIX_RatingAreas8[QHP Enrollments 2019],HIX_RatingAreas8[Area],HIX_SLCSP11[[#This Row],[Area Code]])</f>
        <v>33643</v>
      </c>
      <c r="AY1855">
        <f t="shared" si="30"/>
        <v>1.8865543956610876E-2</v>
      </c>
      <c r="AZ1855">
        <f>SUMIFS(HIX_RatingAreas8[QHP Enrollments 2020],HIX_RatingAreas8[Area],HIX_SLCSP11[[#This Row],[Area Code]])</f>
        <v>33824</v>
      </c>
      <c r="BA1855">
        <f t="shared" si="31"/>
        <v>1.7672122154155617E-2</v>
      </c>
      <c r="BB1855">
        <f>SUMIFS(HIX_RatingAreas8[QHP Enrollments 2021],HIX_RatingAreas8[Area],HIX_SLCSP11[[#This Row],[Area Code]])</f>
        <v>36736</v>
      </c>
      <c r="BC1855">
        <f t="shared" si="32"/>
        <v>1.732544155446035E-2</v>
      </c>
      <c r="BD1855">
        <f>SUMIFS(HIX_RatingAreas8[QHP Enrollments 2022],HIX_RatingAreas8[Area],HIX_SLCSP11[[#This Row],[Area Code]])</f>
        <v>48512</v>
      </c>
      <c r="BE1855">
        <f t="shared" si="40"/>
        <v>1.7815029521566276E-2</v>
      </c>
      <c r="BF1855">
        <f>SUMIFS(HIX_RatingAreas8[QHP Enrollments 2023],HIX_RatingAreas8[Area],HIX_SLCSP11[[#This Row],[Area Code]])</f>
        <v>48512</v>
      </c>
      <c r="BG1855">
        <f t="shared" si="39"/>
        <v>1.7815029521566276E-2</v>
      </c>
      <c r="BH1855" s="53">
        <f>ROUND(HIX_SLCSP11[[#This Row],[Weighting Factor 2018]]*HIX_SLCSP11[[#This Row],[2018]],2)</f>
        <v>7.47</v>
      </c>
      <c r="BI1855" s="53">
        <f>ROUND(HIX_SLCSP11[[#This Row],[Weighting Factor 2019]]*HIX_SLCSP11[[#This Row],[2019]],2)</f>
        <v>7.1</v>
      </c>
      <c r="BJ1855" s="53">
        <f>ROUND(HIX_SLCSP11[[#This Row],[Weighting Factor 2020]]*HIX_SLCSP11[[#This Row],[2020]],2)</f>
        <v>5.32</v>
      </c>
      <c r="BK1855" s="53">
        <f>ROUND(HIX_SLCSP11[[#This Row],[Weighting Factor 2021]]*HIX_SLCSP11[[#This Row],[2021]],2)</f>
        <v>5.35</v>
      </c>
      <c r="BL1855" s="53">
        <f>ROUND(HIX_SLCSP11[[#This Row],[Weighting Factor 2022]]*HIX_SLCSP11[[#This Row],[2022]],2)</f>
        <v>5.68</v>
      </c>
      <c r="BM1855" s="53">
        <f>ROUND(HIX_SLCSP11[[#This Row],[Weighting Factor 2023]]*HIX_SLCSP11[[#This Row],[2023]],2)</f>
        <v>5.75</v>
      </c>
    </row>
    <row r="1856" spans="4:65" x14ac:dyDescent="0.35">
      <c r="D1856" t="s">
        <v>539</v>
      </c>
      <c r="E1856" t="s">
        <v>743</v>
      </c>
      <c r="F1856" s="23">
        <v>58</v>
      </c>
      <c r="G1856" s="23" t="s">
        <v>540</v>
      </c>
      <c r="H1856" s="23" t="s">
        <v>744</v>
      </c>
      <c r="I1856" s="23">
        <v>80</v>
      </c>
      <c r="J1856" s="53">
        <v>294.86</v>
      </c>
      <c r="K1856" s="53">
        <v>375.69</v>
      </c>
      <c r="L1856" s="53">
        <v>625.9</v>
      </c>
      <c r="M1856" s="54">
        <f t="shared" si="34"/>
        <v>1.6660012244137454</v>
      </c>
      <c r="N1856" s="24">
        <v>48</v>
      </c>
      <c r="O1856" s="55">
        <v>346.41</v>
      </c>
      <c r="P1856" s="56">
        <v>373.1</v>
      </c>
      <c r="Q1856" s="56">
        <v>635.83000000000004</v>
      </c>
      <c r="R1856" s="57">
        <f t="shared" si="35"/>
        <v>1.7041811846689896</v>
      </c>
      <c r="S1856" s="23">
        <v>80</v>
      </c>
      <c r="T1856" s="53">
        <v>343.82</v>
      </c>
      <c r="U1856" s="53">
        <v>353.27</v>
      </c>
      <c r="V1856" s="53">
        <v>602.04</v>
      </c>
      <c r="W1856" s="57">
        <f t="shared" si="36"/>
        <v>1.7041922608769495</v>
      </c>
      <c r="X1856" s="47">
        <v>193</v>
      </c>
      <c r="Y1856" s="58">
        <v>247.71</v>
      </c>
      <c r="Z1856" s="58">
        <v>254.59</v>
      </c>
      <c r="AA1856" s="58">
        <v>433.87</v>
      </c>
      <c r="AB1856" s="57">
        <f t="shared" si="37"/>
        <v>1.7041910522801367</v>
      </c>
      <c r="AC1856" s="47">
        <v>185</v>
      </c>
      <c r="AD1856" s="57">
        <v>254.43</v>
      </c>
      <c r="AE1856" s="57">
        <v>266.47000000000003</v>
      </c>
      <c r="AF1856" s="57">
        <v>454.12</v>
      </c>
      <c r="AG1856" s="57">
        <f t="shared" si="38"/>
        <v>1.7042068525537581</v>
      </c>
      <c r="AH1856" s="47">
        <v>184</v>
      </c>
      <c r="AI1856">
        <v>272.72000000000003</v>
      </c>
      <c r="AJ1856">
        <v>274.04000000000002</v>
      </c>
      <c r="AK1856">
        <v>467.02</v>
      </c>
      <c r="AL1856" s="57">
        <f t="shared" si="41"/>
        <v>1.7042037658735949</v>
      </c>
      <c r="AM1856" s="59">
        <v>9295</v>
      </c>
      <c r="AN1856" s="59">
        <f>SUMIFS(HIX_RatingAreas8[Silver Enrollments 2018],HIX_RatingAreas8[Area],HIX_SLCSP11[[#This Row],[Area Code]])</f>
        <v>7320</v>
      </c>
      <c r="AO1856" s="59">
        <f>SUMIFS(HIX_RatingAreas8[Silver Enrollments 2019],HIX_RatingAreas8[Area],HIX_SLCSP11[[#This Row],[Area Code]])</f>
        <v>7268</v>
      </c>
      <c r="AP1856" s="59">
        <f>SUMIFS(HIX_RatingAreas8[Silver Enrollments 2020],HIX_RatingAreas8[Area],HIX_SLCSP11[[#This Row],[Area Code]])</f>
        <v>7097</v>
      </c>
      <c r="AQ1856" s="59">
        <f>SUMIFS(HIX_RatingAreas8[Silver Enrollments 2021],HIX_RatingAreas8[Area],HIX_SLCSP11[[#This Row],[Area Code]])</f>
        <v>7088</v>
      </c>
      <c r="AR1856" s="59">
        <f>SUMIFS(HIX_RatingAreas8[Silver Enrollments 2022],HIX_RatingAreas8[Area],HIX_SLCSP11[[#This Row],[Area Code]])</f>
        <v>8145</v>
      </c>
      <c r="AS1856" s="59">
        <f>SUMIFS(HIX_RatingAreas8[Silver Enrollments 2023],HIX_RatingAreas8[Area],HIX_SLCSP11[[#This Row],[Area Code]])</f>
        <v>8145</v>
      </c>
      <c r="AT1856" s="59">
        <v>13139</v>
      </c>
      <c r="AU1856">
        <f t="shared" si="28"/>
        <v>7.5389917179536905E-3</v>
      </c>
      <c r="AV1856">
        <f>SUMIFS(HIX_RatingAreas8[QHP Enrollments 2018],HIX_RatingAreas8[Area],HIX_SLCSP11[[#This Row],[Area Code]])</f>
        <v>13443</v>
      </c>
      <c r="AW1856">
        <f t="shared" si="29"/>
        <v>7.8374511580398144E-3</v>
      </c>
      <c r="AX1856">
        <f>SUMIFS(HIX_RatingAreas8[QHP Enrollments 2019],HIX_RatingAreas8[Area],HIX_SLCSP11[[#This Row],[Area Code]])</f>
        <v>13924</v>
      </c>
      <c r="AY1856">
        <f t="shared" si="30"/>
        <v>7.8079788975968199E-3</v>
      </c>
      <c r="AZ1856">
        <f>SUMIFS(HIX_RatingAreas8[QHP Enrollments 2020],HIX_RatingAreas8[Area],HIX_SLCSP11[[#This Row],[Area Code]])</f>
        <v>14176</v>
      </c>
      <c r="BA1856">
        <f t="shared" si="31"/>
        <v>7.4065753209942662E-3</v>
      </c>
      <c r="BB1856">
        <f>SUMIFS(HIX_RatingAreas8[QHP Enrollments 2021],HIX_RatingAreas8[Area],HIX_SLCSP11[[#This Row],[Area Code]])</f>
        <v>15240</v>
      </c>
      <c r="BC1856">
        <f t="shared" si="32"/>
        <v>7.1874926309335721E-3</v>
      </c>
      <c r="BD1856">
        <f>SUMIFS(HIX_RatingAreas8[QHP Enrollments 2022],HIX_RatingAreas8[Area],HIX_SLCSP11[[#This Row],[Area Code]])</f>
        <v>19585</v>
      </c>
      <c r="BE1856">
        <f t="shared" si="40"/>
        <v>7.1921865348754024E-3</v>
      </c>
      <c r="BF1856">
        <f>SUMIFS(HIX_RatingAreas8[QHP Enrollments 2023],HIX_RatingAreas8[Area],HIX_SLCSP11[[#This Row],[Area Code]])</f>
        <v>19585</v>
      </c>
      <c r="BG1856">
        <f t="shared" si="39"/>
        <v>7.1921865348754024E-3</v>
      </c>
      <c r="BH1856" s="53">
        <f>ROUND(HIX_SLCSP11[[#This Row],[Weighting Factor 2018]]*HIX_SLCSP11[[#This Row],[2018]],2)</f>
        <v>2.94</v>
      </c>
      <c r="BI1856" s="53">
        <f>ROUND(HIX_SLCSP11[[#This Row],[Weighting Factor 2019]]*HIX_SLCSP11[[#This Row],[2019]],2)</f>
        <v>2.91</v>
      </c>
      <c r="BJ1856" s="53">
        <f>ROUND(HIX_SLCSP11[[#This Row],[Weighting Factor 2020]]*HIX_SLCSP11[[#This Row],[2020]],2)</f>
        <v>2.62</v>
      </c>
      <c r="BK1856" s="53">
        <f>ROUND(HIX_SLCSP11[[#This Row],[Weighting Factor 2021]]*HIX_SLCSP11[[#This Row],[2021]],2)</f>
        <v>1.83</v>
      </c>
      <c r="BL1856" s="53">
        <f>ROUND(HIX_SLCSP11[[#This Row],[Weighting Factor 2022]]*HIX_SLCSP11[[#This Row],[2022]],2)</f>
        <v>1.92</v>
      </c>
      <c r="BM1856" s="53">
        <f>ROUND(HIX_SLCSP11[[#This Row],[Weighting Factor 2023]]*HIX_SLCSP11[[#This Row],[2023]],2)</f>
        <v>1.97</v>
      </c>
    </row>
    <row r="1857" spans="4:65" x14ac:dyDescent="0.35">
      <c r="D1857" t="s">
        <v>539</v>
      </c>
      <c r="E1857" t="s">
        <v>747</v>
      </c>
      <c r="F1857" s="23">
        <v>59</v>
      </c>
      <c r="G1857" s="23" t="s">
        <v>540</v>
      </c>
      <c r="H1857" s="23" t="s">
        <v>748</v>
      </c>
      <c r="I1857" s="23">
        <v>104</v>
      </c>
      <c r="J1857" s="53">
        <v>363.38</v>
      </c>
      <c r="K1857" s="53">
        <v>388.63</v>
      </c>
      <c r="L1857" s="53">
        <v>662.3</v>
      </c>
      <c r="M1857" s="54">
        <f t="shared" si="34"/>
        <v>1.7041916475825334</v>
      </c>
      <c r="N1857" s="24">
        <v>80</v>
      </c>
      <c r="O1857" s="55">
        <v>404.05</v>
      </c>
      <c r="P1857" s="56">
        <v>410.87</v>
      </c>
      <c r="Q1857" s="56">
        <v>700.2</v>
      </c>
      <c r="R1857" s="57">
        <f t="shared" si="35"/>
        <v>1.7041886728162194</v>
      </c>
      <c r="S1857" s="23">
        <v>104</v>
      </c>
      <c r="T1857" s="53">
        <v>305.79000000000002</v>
      </c>
      <c r="U1857" s="53">
        <v>318.62</v>
      </c>
      <c r="V1857" s="53">
        <v>542.99</v>
      </c>
      <c r="W1857" s="57">
        <f t="shared" si="36"/>
        <v>1.7041930826690102</v>
      </c>
      <c r="X1857" s="47">
        <v>191</v>
      </c>
      <c r="Y1857" s="58">
        <v>285.87</v>
      </c>
      <c r="Z1857" s="58">
        <v>305.39999999999998</v>
      </c>
      <c r="AA1857" s="58">
        <v>520.46</v>
      </c>
      <c r="AB1857" s="57">
        <f t="shared" si="37"/>
        <v>1.704191224623445</v>
      </c>
      <c r="AC1857" s="47">
        <v>226</v>
      </c>
      <c r="AD1857" s="57">
        <v>293.47000000000003</v>
      </c>
      <c r="AE1857" s="57">
        <v>319.63</v>
      </c>
      <c r="AF1857" s="57">
        <v>544.71</v>
      </c>
      <c r="AG1857" s="57">
        <f t="shared" si="38"/>
        <v>1.7041892187842194</v>
      </c>
      <c r="AH1857" s="47">
        <v>224</v>
      </c>
      <c r="AI1857">
        <v>321.67</v>
      </c>
      <c r="AJ1857">
        <v>332.13</v>
      </c>
      <c r="AK1857">
        <v>566.01</v>
      </c>
      <c r="AL1857" s="57">
        <f t="shared" si="41"/>
        <v>1.7041820973715112</v>
      </c>
      <c r="AM1857" s="59">
        <v>21277</v>
      </c>
      <c r="AN1857" s="59">
        <f>SUMIFS(HIX_RatingAreas8[Silver Enrollments 2018],HIX_RatingAreas8[Area],HIX_SLCSP11[[#This Row],[Area Code]])</f>
        <v>12803</v>
      </c>
      <c r="AO1857" s="59">
        <f>SUMIFS(HIX_RatingAreas8[Silver Enrollments 2019],HIX_RatingAreas8[Area],HIX_SLCSP11[[#This Row],[Area Code]])</f>
        <v>11355</v>
      </c>
      <c r="AP1857" s="59">
        <f>SUMIFS(HIX_RatingAreas8[Silver Enrollments 2020],HIX_RatingAreas8[Area],HIX_SLCSP11[[#This Row],[Area Code]])</f>
        <v>13802</v>
      </c>
      <c r="AQ1857" s="59">
        <f>SUMIFS(HIX_RatingAreas8[Silver Enrollments 2021],HIX_RatingAreas8[Area],HIX_SLCSP11[[#This Row],[Area Code]])</f>
        <v>14125</v>
      </c>
      <c r="AR1857" s="59">
        <f>SUMIFS(HIX_RatingAreas8[Silver Enrollments 2022],HIX_RatingAreas8[Area],HIX_SLCSP11[[#This Row],[Area Code]])</f>
        <v>20325</v>
      </c>
      <c r="AS1857" s="59">
        <f>SUMIFS(HIX_RatingAreas8[Silver Enrollments 2023],HIX_RatingAreas8[Area],HIX_SLCSP11[[#This Row],[Area Code]])</f>
        <v>20325</v>
      </c>
      <c r="AT1857" s="59">
        <v>25627</v>
      </c>
      <c r="AU1857">
        <f t="shared" si="28"/>
        <v>1.4704447884618254E-2</v>
      </c>
      <c r="AV1857">
        <f>SUMIFS(HIX_RatingAreas8[QHP Enrollments 2018],HIX_RatingAreas8[Area],HIX_SLCSP11[[#This Row],[Area Code]])</f>
        <v>25909</v>
      </c>
      <c r="AW1857">
        <f t="shared" si="29"/>
        <v>1.5105298077337913E-2</v>
      </c>
      <c r="AX1857">
        <f>SUMIFS(HIX_RatingAreas8[QHP Enrollments 2019],HIX_RatingAreas8[Area],HIX_SLCSP11[[#This Row],[Area Code]])</f>
        <v>25236</v>
      </c>
      <c r="AY1857">
        <f t="shared" si="30"/>
        <v>1.4151260805785217E-2</v>
      </c>
      <c r="AZ1857">
        <f>SUMIFS(HIX_RatingAreas8[QHP Enrollments 2020],HIX_RatingAreas8[Area],HIX_SLCSP11[[#This Row],[Area Code]])</f>
        <v>26331</v>
      </c>
      <c r="BA1857">
        <f t="shared" si="31"/>
        <v>1.3757232983711908E-2</v>
      </c>
      <c r="BB1857">
        <f>SUMIFS(HIX_RatingAreas8[QHP Enrollments 2021],HIX_RatingAreas8[Area],HIX_SLCSP11[[#This Row],[Area Code]])</f>
        <v>28142</v>
      </c>
      <c r="BC1857">
        <f t="shared" si="32"/>
        <v>1.3272337114155682E-2</v>
      </c>
      <c r="BD1857">
        <f>SUMIFS(HIX_RatingAreas8[QHP Enrollments 2022],HIX_RatingAreas8[Area],HIX_SLCSP11[[#This Row],[Area Code]])</f>
        <v>35880</v>
      </c>
      <c r="BE1857">
        <f t="shared" si="40"/>
        <v>1.3176188556105665E-2</v>
      </c>
      <c r="BF1857">
        <f>SUMIFS(HIX_RatingAreas8[QHP Enrollments 2023],HIX_RatingAreas8[Area],HIX_SLCSP11[[#This Row],[Area Code]])</f>
        <v>35880</v>
      </c>
      <c r="BG1857">
        <f t="shared" si="39"/>
        <v>1.3176188556105665E-2</v>
      </c>
      <c r="BH1857" s="53">
        <f>ROUND(HIX_SLCSP11[[#This Row],[Weighting Factor 2018]]*HIX_SLCSP11[[#This Row],[2018]],2)</f>
        <v>5.87</v>
      </c>
      <c r="BI1857" s="53">
        <f>ROUND(HIX_SLCSP11[[#This Row],[Weighting Factor 2019]]*HIX_SLCSP11[[#This Row],[2019]],2)</f>
        <v>5.81</v>
      </c>
      <c r="BJ1857" s="53">
        <f>ROUND(HIX_SLCSP11[[#This Row],[Weighting Factor 2020]]*HIX_SLCSP11[[#This Row],[2020]],2)</f>
        <v>4.38</v>
      </c>
      <c r="BK1857" s="53">
        <f>ROUND(HIX_SLCSP11[[#This Row],[Weighting Factor 2021]]*HIX_SLCSP11[[#This Row],[2021]],2)</f>
        <v>4.05</v>
      </c>
      <c r="BL1857" s="53">
        <f>ROUND(HIX_SLCSP11[[#This Row],[Weighting Factor 2022]]*HIX_SLCSP11[[#This Row],[2022]],2)</f>
        <v>4.21</v>
      </c>
      <c r="BM1857" s="53">
        <f>ROUND(HIX_SLCSP11[[#This Row],[Weighting Factor 2023]]*HIX_SLCSP11[[#This Row],[2023]],2)</f>
        <v>4.38</v>
      </c>
    </row>
    <row r="1858" spans="4:65" x14ac:dyDescent="0.35">
      <c r="D1858" t="s">
        <v>539</v>
      </c>
      <c r="E1858" t="s">
        <v>751</v>
      </c>
      <c r="F1858" s="23">
        <v>60</v>
      </c>
      <c r="G1858" s="23" t="s">
        <v>540</v>
      </c>
      <c r="H1858" s="23" t="s">
        <v>752</v>
      </c>
      <c r="I1858" s="23">
        <v>53</v>
      </c>
      <c r="J1858" s="53">
        <v>282.01</v>
      </c>
      <c r="K1858" s="53">
        <v>354.74</v>
      </c>
      <c r="L1858" s="53">
        <v>604.54</v>
      </c>
      <c r="M1858" s="54">
        <f t="shared" si="34"/>
        <v>1.7041777076168461</v>
      </c>
      <c r="N1858" s="24">
        <v>48</v>
      </c>
      <c r="O1858" s="55">
        <v>350.28</v>
      </c>
      <c r="P1858" s="56">
        <v>377.27</v>
      </c>
      <c r="Q1858" s="56">
        <v>642.94000000000005</v>
      </c>
      <c r="R1858" s="57">
        <f t="shared" si="35"/>
        <v>1.7041906327033691</v>
      </c>
      <c r="S1858" s="23">
        <v>53</v>
      </c>
      <c r="T1858" s="53">
        <v>356.27</v>
      </c>
      <c r="U1858" s="53">
        <v>381.4</v>
      </c>
      <c r="V1858" s="53">
        <v>649.98</v>
      </c>
      <c r="W1858" s="57">
        <f t="shared" si="36"/>
        <v>1.7041950707918199</v>
      </c>
      <c r="X1858" s="47">
        <v>133</v>
      </c>
      <c r="Y1858" s="58">
        <v>246.02</v>
      </c>
      <c r="Z1858" s="58">
        <v>252.85</v>
      </c>
      <c r="AA1858" s="58">
        <v>430.91</v>
      </c>
      <c r="AB1858" s="57">
        <f t="shared" si="37"/>
        <v>1.7042119833893614</v>
      </c>
      <c r="AC1858" s="47">
        <v>153</v>
      </c>
      <c r="AD1858" s="57">
        <v>243.65</v>
      </c>
      <c r="AE1858" s="57">
        <v>255.19</v>
      </c>
      <c r="AF1858" s="57">
        <v>434.89</v>
      </c>
      <c r="AG1858" s="57">
        <f t="shared" si="38"/>
        <v>1.7041811983228183</v>
      </c>
      <c r="AH1858" s="47">
        <v>141</v>
      </c>
      <c r="AI1858">
        <v>275.83999999999997</v>
      </c>
      <c r="AJ1858">
        <v>277.02999999999997</v>
      </c>
      <c r="AK1858">
        <v>472.12</v>
      </c>
      <c r="AL1858" s="57">
        <f t="shared" si="41"/>
        <v>1.7042197595928241</v>
      </c>
      <c r="AM1858" s="59">
        <v>3150</v>
      </c>
      <c r="AN1858" s="59">
        <f>SUMIFS(HIX_RatingAreas8[Silver Enrollments 2018],HIX_RatingAreas8[Area],HIX_SLCSP11[[#This Row],[Area Code]])</f>
        <v>2746</v>
      </c>
      <c r="AO1858" s="59">
        <f>SUMIFS(HIX_RatingAreas8[Silver Enrollments 2019],HIX_RatingAreas8[Area],HIX_SLCSP11[[#This Row],[Area Code]])</f>
        <v>2677</v>
      </c>
      <c r="AP1858" s="59">
        <f>SUMIFS(HIX_RatingAreas8[Silver Enrollments 2020],HIX_RatingAreas8[Area],HIX_SLCSP11[[#This Row],[Area Code]])</f>
        <v>2858</v>
      </c>
      <c r="AQ1858" s="59">
        <f>SUMIFS(HIX_RatingAreas8[Silver Enrollments 2021],HIX_RatingAreas8[Area],HIX_SLCSP11[[#This Row],[Area Code]])</f>
        <v>3012</v>
      </c>
      <c r="AR1858" s="59">
        <f>SUMIFS(HIX_RatingAreas8[Silver Enrollments 2022],HIX_RatingAreas8[Area],HIX_SLCSP11[[#This Row],[Area Code]])</f>
        <v>3296</v>
      </c>
      <c r="AS1858" s="59">
        <f>SUMIFS(HIX_RatingAreas8[Silver Enrollments 2023],HIX_RatingAreas8[Area],HIX_SLCSP11[[#This Row],[Area Code]])</f>
        <v>3296</v>
      </c>
      <c r="AT1858" s="59">
        <v>4270</v>
      </c>
      <c r="AU1858">
        <f t="shared" si="28"/>
        <v>2.4500718955523448E-3</v>
      </c>
      <c r="AV1858">
        <f>SUMIFS(HIX_RatingAreas8[QHP Enrollments 2018],HIX_RatingAreas8[Area],HIX_SLCSP11[[#This Row],[Area Code]])</f>
        <v>4487</v>
      </c>
      <c r="AW1858">
        <f t="shared" si="29"/>
        <v>2.6159818006490105E-3</v>
      </c>
      <c r="AX1858">
        <f>SUMIFS(HIX_RatingAreas8[QHP Enrollments 2019],HIX_RatingAreas8[Area],HIX_SLCSP11[[#This Row],[Area Code]])</f>
        <v>4588</v>
      </c>
      <c r="AY1858">
        <f t="shared" si="30"/>
        <v>2.5727525985474154E-3</v>
      </c>
      <c r="AZ1858">
        <f>SUMIFS(HIX_RatingAreas8[QHP Enrollments 2020],HIX_RatingAreas8[Area],HIX_SLCSP11[[#This Row],[Area Code]])</f>
        <v>4907</v>
      </c>
      <c r="BA1858">
        <f t="shared" si="31"/>
        <v>2.56377434397001E-3</v>
      </c>
      <c r="BB1858">
        <f>SUMIFS(HIX_RatingAreas8[QHP Enrollments 2021],HIX_RatingAreas8[Area],HIX_SLCSP11[[#This Row],[Area Code]])</f>
        <v>5480</v>
      </c>
      <c r="BC1858">
        <f t="shared" si="32"/>
        <v>2.5844789775272951E-3</v>
      </c>
      <c r="BD1858">
        <f>SUMIFS(HIX_RatingAreas8[QHP Enrollments 2022],HIX_RatingAreas8[Area],HIX_SLCSP11[[#This Row],[Area Code]])</f>
        <v>6959</v>
      </c>
      <c r="BE1858">
        <f t="shared" si="40"/>
        <v>2.5555489454275175E-3</v>
      </c>
      <c r="BF1858">
        <f>SUMIFS(HIX_RatingAreas8[QHP Enrollments 2023],HIX_RatingAreas8[Area],HIX_SLCSP11[[#This Row],[Area Code]])</f>
        <v>6959</v>
      </c>
      <c r="BG1858">
        <f t="shared" si="39"/>
        <v>2.5555489454275175E-3</v>
      </c>
      <c r="BH1858" s="53">
        <f>ROUND(HIX_SLCSP11[[#This Row],[Weighting Factor 2018]]*HIX_SLCSP11[[#This Row],[2018]],2)</f>
        <v>0.93</v>
      </c>
      <c r="BI1858" s="53">
        <f>ROUND(HIX_SLCSP11[[#This Row],[Weighting Factor 2019]]*HIX_SLCSP11[[#This Row],[2019]],2)</f>
        <v>0.97</v>
      </c>
      <c r="BJ1858" s="53">
        <f>ROUND(HIX_SLCSP11[[#This Row],[Weighting Factor 2020]]*HIX_SLCSP11[[#This Row],[2020]],2)</f>
        <v>0.98</v>
      </c>
      <c r="BK1858" s="53">
        <f>ROUND(HIX_SLCSP11[[#This Row],[Weighting Factor 2021]]*HIX_SLCSP11[[#This Row],[2021]],2)</f>
        <v>0.65</v>
      </c>
      <c r="BL1858" s="53">
        <f>ROUND(HIX_SLCSP11[[#This Row],[Weighting Factor 2022]]*HIX_SLCSP11[[#This Row],[2022]],2)</f>
        <v>0.65</v>
      </c>
      <c r="BM1858" s="53">
        <f>ROUND(HIX_SLCSP11[[#This Row],[Weighting Factor 2023]]*HIX_SLCSP11[[#This Row],[2023]],2)</f>
        <v>0.71</v>
      </c>
    </row>
    <row r="1859" spans="4:65" x14ac:dyDescent="0.35">
      <c r="D1859" t="s">
        <v>539</v>
      </c>
      <c r="E1859" t="s">
        <v>754</v>
      </c>
      <c r="F1859" s="23">
        <v>61</v>
      </c>
      <c r="G1859" s="23" t="s">
        <v>540</v>
      </c>
      <c r="H1859" s="23" t="s">
        <v>755</v>
      </c>
      <c r="I1859" s="23">
        <v>36</v>
      </c>
      <c r="J1859" s="53">
        <v>350.67</v>
      </c>
      <c r="K1859" s="53">
        <v>481.78</v>
      </c>
      <c r="L1859" s="53">
        <v>802.66</v>
      </c>
      <c r="M1859" s="54">
        <f t="shared" si="34"/>
        <v>1.6660301382373697</v>
      </c>
      <c r="N1859" s="24">
        <v>32</v>
      </c>
      <c r="O1859" s="55">
        <v>432.14</v>
      </c>
      <c r="P1859" s="56">
        <v>488.69</v>
      </c>
      <c r="Q1859" s="56">
        <v>832.83</v>
      </c>
      <c r="R1859" s="57">
        <f t="shared" si="35"/>
        <v>1.704209212384129</v>
      </c>
      <c r="S1859" s="23">
        <v>36</v>
      </c>
      <c r="T1859" s="53">
        <v>375.97</v>
      </c>
      <c r="U1859" s="53">
        <v>396.23</v>
      </c>
      <c r="V1859" s="53">
        <v>675.25</v>
      </c>
      <c r="W1859" s="57">
        <f t="shared" si="36"/>
        <v>1.7041869621179617</v>
      </c>
      <c r="X1859" s="47">
        <v>145</v>
      </c>
      <c r="Y1859" s="58">
        <v>331.72</v>
      </c>
      <c r="Z1859" s="58">
        <v>340.92</v>
      </c>
      <c r="AA1859" s="58">
        <v>581</v>
      </c>
      <c r="AB1859" s="57">
        <f t="shared" si="37"/>
        <v>1.7042121318784464</v>
      </c>
      <c r="AC1859" s="47">
        <v>169</v>
      </c>
      <c r="AD1859" s="57">
        <v>359.09</v>
      </c>
      <c r="AE1859" s="57">
        <v>376.09</v>
      </c>
      <c r="AF1859" s="57">
        <v>640.92999999999995</v>
      </c>
      <c r="AG1859" s="57">
        <f t="shared" si="38"/>
        <v>1.7041931452577841</v>
      </c>
      <c r="AH1859" s="47">
        <v>161</v>
      </c>
      <c r="AI1859">
        <v>353.7</v>
      </c>
      <c r="AJ1859">
        <v>355.27</v>
      </c>
      <c r="AK1859">
        <v>605.45000000000005</v>
      </c>
      <c r="AL1859" s="57">
        <f t="shared" si="41"/>
        <v>1.7041968080614747</v>
      </c>
      <c r="AM1859" s="59">
        <v>1700</v>
      </c>
      <c r="AN1859" s="59">
        <f>SUMIFS(HIX_RatingAreas8[Silver Enrollments 2018],HIX_RatingAreas8[Area],HIX_SLCSP11[[#This Row],[Area Code]])</f>
        <v>1830</v>
      </c>
      <c r="AO1859" s="59">
        <f>SUMIFS(HIX_RatingAreas8[Silver Enrollments 2019],HIX_RatingAreas8[Area],HIX_SLCSP11[[#This Row],[Area Code]])</f>
        <v>1953</v>
      </c>
      <c r="AP1859" s="59">
        <f>SUMIFS(HIX_RatingAreas8[Silver Enrollments 2020],HIX_RatingAreas8[Area],HIX_SLCSP11[[#This Row],[Area Code]])</f>
        <v>2221</v>
      </c>
      <c r="AQ1859" s="59">
        <f>SUMIFS(HIX_RatingAreas8[Silver Enrollments 2021],HIX_RatingAreas8[Area],HIX_SLCSP11[[#This Row],[Area Code]])</f>
        <v>2122</v>
      </c>
      <c r="AR1859" s="59">
        <f>SUMIFS(HIX_RatingAreas8[Silver Enrollments 2022],HIX_RatingAreas8[Area],HIX_SLCSP11[[#This Row],[Area Code]])</f>
        <v>2300</v>
      </c>
      <c r="AS1859" s="59">
        <f>SUMIFS(HIX_RatingAreas8[Silver Enrollments 2023],HIX_RatingAreas8[Area],HIX_SLCSP11[[#This Row],[Area Code]])</f>
        <v>2300</v>
      </c>
      <c r="AT1859" s="59">
        <v>2063</v>
      </c>
      <c r="AU1859">
        <f t="shared" si="28"/>
        <v>1.1837232600759924E-3</v>
      </c>
      <c r="AV1859">
        <f>SUMIFS(HIX_RatingAreas8[QHP Enrollments 2018],HIX_RatingAreas8[Area],HIX_SLCSP11[[#This Row],[Area Code]])</f>
        <v>2397</v>
      </c>
      <c r="AW1859">
        <f t="shared" si="29"/>
        <v>1.3974834803110493E-3</v>
      </c>
      <c r="AX1859">
        <f>SUMIFS(HIX_RatingAreas8[QHP Enrollments 2019],HIX_RatingAreas8[Area],HIX_SLCSP11[[#This Row],[Area Code]])</f>
        <v>2677</v>
      </c>
      <c r="AY1859">
        <f t="shared" si="30"/>
        <v>1.5011461870774697E-3</v>
      </c>
      <c r="AZ1859">
        <f>SUMIFS(HIX_RatingAreas8[QHP Enrollments 2020],HIX_RatingAreas8[Area],HIX_SLCSP11[[#This Row],[Area Code]])</f>
        <v>2907</v>
      </c>
      <c r="BA1859">
        <f t="shared" si="31"/>
        <v>1.5188286158387648E-3</v>
      </c>
      <c r="BB1859">
        <f>SUMIFS(HIX_RatingAreas8[QHP Enrollments 2021],HIX_RatingAreas8[Area],HIX_SLCSP11[[#This Row],[Area Code]])</f>
        <v>3267</v>
      </c>
      <c r="BC1859">
        <f t="shared" si="32"/>
        <v>1.5407833612375316E-3</v>
      </c>
      <c r="BD1859">
        <f>SUMIFS(HIX_RatingAreas8[QHP Enrollments 2022],HIX_RatingAreas8[Area],HIX_SLCSP11[[#This Row],[Area Code]])</f>
        <v>3701</v>
      </c>
      <c r="BE1859">
        <f t="shared" si="40"/>
        <v>1.3591157705169193E-3</v>
      </c>
      <c r="BF1859">
        <f>SUMIFS(HIX_RatingAreas8[QHP Enrollments 2023],HIX_RatingAreas8[Area],HIX_SLCSP11[[#This Row],[Area Code]])</f>
        <v>3701</v>
      </c>
      <c r="BG1859">
        <f t="shared" si="39"/>
        <v>1.3591157705169193E-3</v>
      </c>
      <c r="BH1859" s="53">
        <f>ROUND(HIX_SLCSP11[[#This Row],[Weighting Factor 2018]]*HIX_SLCSP11[[#This Row],[2018]],2)</f>
        <v>0.67</v>
      </c>
      <c r="BI1859" s="53">
        <f>ROUND(HIX_SLCSP11[[#This Row],[Weighting Factor 2019]]*HIX_SLCSP11[[#This Row],[2019]],2)</f>
        <v>0.73</v>
      </c>
      <c r="BJ1859" s="53">
        <f>ROUND(HIX_SLCSP11[[#This Row],[Weighting Factor 2020]]*HIX_SLCSP11[[#This Row],[2020]],2)</f>
        <v>0.6</v>
      </c>
      <c r="BK1859" s="53">
        <f>ROUND(HIX_SLCSP11[[#This Row],[Weighting Factor 2021]]*HIX_SLCSP11[[#This Row],[2021]],2)</f>
        <v>0.53</v>
      </c>
      <c r="BL1859" s="53">
        <f>ROUND(HIX_SLCSP11[[#This Row],[Weighting Factor 2022]]*HIX_SLCSP11[[#This Row],[2022]],2)</f>
        <v>0.51</v>
      </c>
      <c r="BM1859" s="53">
        <f>ROUND(HIX_SLCSP11[[#This Row],[Weighting Factor 2023]]*HIX_SLCSP11[[#This Row],[2023]],2)</f>
        <v>0.48</v>
      </c>
    </row>
    <row r="1860" spans="4:65" x14ac:dyDescent="0.35">
      <c r="D1860" t="s">
        <v>539</v>
      </c>
      <c r="E1860" t="s">
        <v>758</v>
      </c>
      <c r="F1860" s="23">
        <v>62</v>
      </c>
      <c r="G1860" s="23" t="s">
        <v>540</v>
      </c>
      <c r="H1860" s="23" t="s">
        <v>759</v>
      </c>
      <c r="I1860" s="23">
        <v>16</v>
      </c>
      <c r="J1860" s="53">
        <v>449.7</v>
      </c>
      <c r="K1860" s="53">
        <v>588.14</v>
      </c>
      <c r="L1860" s="53">
        <v>1002.3</v>
      </c>
      <c r="M1860" s="54">
        <f t="shared" si="34"/>
        <v>1.7041860781446594</v>
      </c>
      <c r="N1860" s="24">
        <v>16</v>
      </c>
      <c r="O1860" s="55">
        <v>517.69000000000005</v>
      </c>
      <c r="P1860" s="56">
        <v>559.59</v>
      </c>
      <c r="Q1860" s="56">
        <v>953.65</v>
      </c>
      <c r="R1860" s="57">
        <f t="shared" si="35"/>
        <v>1.7041941421397808</v>
      </c>
      <c r="S1860" s="23">
        <v>16</v>
      </c>
      <c r="T1860" s="53">
        <v>502.55</v>
      </c>
      <c r="U1860" s="53">
        <v>542.09</v>
      </c>
      <c r="V1860" s="53">
        <v>923.83</v>
      </c>
      <c r="W1860" s="57">
        <f t="shared" si="36"/>
        <v>1.7042004095260934</v>
      </c>
      <c r="X1860" s="47">
        <v>17</v>
      </c>
      <c r="Y1860" s="58">
        <v>487.63</v>
      </c>
      <c r="Z1860" s="58">
        <v>534.92999999999995</v>
      </c>
      <c r="AA1860" s="58">
        <v>911.63</v>
      </c>
      <c r="AB1860" s="57">
        <f t="shared" si="37"/>
        <v>1.704204288411568</v>
      </c>
      <c r="AC1860" s="47">
        <v>16</v>
      </c>
      <c r="AD1860" s="57">
        <v>513.35</v>
      </c>
      <c r="AE1860" s="57">
        <v>513.35</v>
      </c>
      <c r="AF1860" s="57">
        <v>874.85</v>
      </c>
      <c r="AG1860" s="57">
        <f t="shared" si="38"/>
        <v>1.7041979156520892</v>
      </c>
      <c r="AH1860" s="47">
        <v>24</v>
      </c>
      <c r="AI1860">
        <v>473.1</v>
      </c>
      <c r="AJ1860">
        <v>491.73</v>
      </c>
      <c r="AK1860">
        <v>838</v>
      </c>
      <c r="AL1860" s="57">
        <f t="shared" si="41"/>
        <v>1.7041872572346612</v>
      </c>
      <c r="AM1860" s="59">
        <v>512</v>
      </c>
      <c r="AN1860" s="59">
        <f>SUMIFS(HIX_RatingAreas8[Silver Enrollments 2018],HIX_RatingAreas8[Area],HIX_SLCSP11[[#This Row],[Area Code]])</f>
        <v>528</v>
      </c>
      <c r="AO1860" s="59">
        <f>SUMIFS(HIX_RatingAreas8[Silver Enrollments 2019],HIX_RatingAreas8[Area],HIX_SLCSP11[[#This Row],[Area Code]])</f>
        <v>586</v>
      </c>
      <c r="AP1860" s="59">
        <f>SUMIFS(HIX_RatingAreas8[Silver Enrollments 2020],HIX_RatingAreas8[Area],HIX_SLCSP11[[#This Row],[Area Code]])</f>
        <v>657</v>
      </c>
      <c r="AQ1860" s="59">
        <f>SUMIFS(HIX_RatingAreas8[Silver Enrollments 2021],HIX_RatingAreas8[Area],HIX_SLCSP11[[#This Row],[Area Code]])</f>
        <v>1273</v>
      </c>
      <c r="AR1860" s="59">
        <f>SUMIFS(HIX_RatingAreas8[Silver Enrollments 2022],HIX_RatingAreas8[Area],HIX_SLCSP11[[#This Row],[Area Code]])</f>
        <v>1966</v>
      </c>
      <c r="AS1860" s="59">
        <f>SUMIFS(HIX_RatingAreas8[Silver Enrollments 2023],HIX_RatingAreas8[Area],HIX_SLCSP11[[#This Row],[Area Code]])</f>
        <v>1966</v>
      </c>
      <c r="AT1860" s="59">
        <v>624</v>
      </c>
      <c r="AU1860">
        <f t="shared" si="28"/>
        <v>3.5804329340156048E-4</v>
      </c>
      <c r="AV1860">
        <f>SUMIFS(HIX_RatingAreas8[QHP Enrollments 2018],HIX_RatingAreas8[Area],HIX_SLCSP11[[#This Row],[Area Code]])</f>
        <v>743</v>
      </c>
      <c r="AW1860">
        <f t="shared" si="29"/>
        <v>4.3317906794789726E-4</v>
      </c>
      <c r="AX1860">
        <f>SUMIFS(HIX_RatingAreas8[QHP Enrollments 2019],HIX_RatingAreas8[Area],HIX_SLCSP11[[#This Row],[Area Code]])</f>
        <v>845</v>
      </c>
      <c r="AY1860">
        <f t="shared" si="30"/>
        <v>4.7383956969759502E-4</v>
      </c>
      <c r="AZ1860">
        <f>SUMIFS(HIX_RatingAreas8[QHP Enrollments 2020],HIX_RatingAreas8[Area],HIX_SLCSP11[[#This Row],[Area Code]])</f>
        <v>973</v>
      </c>
      <c r="BA1860">
        <f t="shared" si="31"/>
        <v>5.0836609673585078E-4</v>
      </c>
      <c r="BB1860">
        <f>SUMIFS(HIX_RatingAreas8[QHP Enrollments 2021],HIX_RatingAreas8[Area],HIX_SLCSP11[[#This Row],[Area Code]])</f>
        <v>1679</v>
      </c>
      <c r="BC1860">
        <f t="shared" si="32"/>
        <v>7.9185040205626434E-4</v>
      </c>
      <c r="BD1860">
        <f>SUMIFS(HIX_RatingAreas8[QHP Enrollments 2022],HIX_RatingAreas8[Area],HIX_SLCSP11[[#This Row],[Area Code]])</f>
        <v>2743</v>
      </c>
      <c r="BE1860">
        <f t="shared" si="40"/>
        <v>1.0073100671515562E-3</v>
      </c>
      <c r="BF1860">
        <f>SUMIFS(HIX_RatingAreas8[QHP Enrollments 2023],HIX_RatingAreas8[Area],HIX_SLCSP11[[#This Row],[Area Code]])</f>
        <v>2743</v>
      </c>
      <c r="BG1860">
        <f t="shared" si="39"/>
        <v>1.0073100671515562E-3</v>
      </c>
      <c r="BH1860" s="53">
        <f>ROUND(HIX_SLCSP11[[#This Row],[Weighting Factor 2018]]*HIX_SLCSP11[[#This Row],[2018]],2)</f>
        <v>0.25</v>
      </c>
      <c r="BI1860" s="53">
        <f>ROUND(HIX_SLCSP11[[#This Row],[Weighting Factor 2019]]*HIX_SLCSP11[[#This Row],[2019]],2)</f>
        <v>0.27</v>
      </c>
      <c r="BJ1860" s="53">
        <f>ROUND(HIX_SLCSP11[[#This Row],[Weighting Factor 2020]]*HIX_SLCSP11[[#This Row],[2020]],2)</f>
        <v>0.28000000000000003</v>
      </c>
      <c r="BK1860" s="53">
        <f>ROUND(HIX_SLCSP11[[#This Row],[Weighting Factor 2021]]*HIX_SLCSP11[[#This Row],[2021]],2)</f>
        <v>0.42</v>
      </c>
      <c r="BL1860" s="53">
        <f>ROUND(HIX_SLCSP11[[#This Row],[Weighting Factor 2022]]*HIX_SLCSP11[[#This Row],[2022]],2)</f>
        <v>0.52</v>
      </c>
      <c r="BM1860" s="53">
        <f>ROUND(HIX_SLCSP11[[#This Row],[Weighting Factor 2023]]*HIX_SLCSP11[[#This Row],[2023]],2)</f>
        <v>0.5</v>
      </c>
    </row>
    <row r="1861" spans="4:65" x14ac:dyDescent="0.35">
      <c r="D1861" t="s">
        <v>539</v>
      </c>
      <c r="E1861" t="s">
        <v>762</v>
      </c>
      <c r="F1861" s="23">
        <v>63</v>
      </c>
      <c r="G1861" s="23" t="s">
        <v>540</v>
      </c>
      <c r="H1861" s="23" t="s">
        <v>763</v>
      </c>
      <c r="I1861" s="23">
        <v>16</v>
      </c>
      <c r="J1861" s="53">
        <v>505.11</v>
      </c>
      <c r="K1861" s="53">
        <v>660.61</v>
      </c>
      <c r="L1861" s="53">
        <v>1125.81</v>
      </c>
      <c r="M1861" s="54">
        <f t="shared" si="34"/>
        <v>1.7041976355186872</v>
      </c>
      <c r="N1861" s="24">
        <v>16</v>
      </c>
      <c r="O1861" s="55">
        <v>599.03</v>
      </c>
      <c r="P1861" s="56">
        <v>647.52</v>
      </c>
      <c r="Q1861" s="56">
        <v>1103.5</v>
      </c>
      <c r="R1861" s="57">
        <f t="shared" si="35"/>
        <v>1.7041944650358292</v>
      </c>
      <c r="S1861" s="23">
        <v>16</v>
      </c>
      <c r="T1861" s="53">
        <v>583.58000000000004</v>
      </c>
      <c r="U1861" s="53">
        <v>629.5</v>
      </c>
      <c r="V1861" s="53">
        <v>1072.8</v>
      </c>
      <c r="W1861" s="57">
        <f t="shared" si="36"/>
        <v>1.7042096902303414</v>
      </c>
      <c r="X1861" s="47">
        <v>130</v>
      </c>
      <c r="Y1861" s="58">
        <v>394.14</v>
      </c>
      <c r="Z1861" s="58">
        <v>405.08</v>
      </c>
      <c r="AA1861" s="58">
        <v>690.33</v>
      </c>
      <c r="AB1861" s="57">
        <f t="shared" si="37"/>
        <v>1.7041818899970378</v>
      </c>
      <c r="AC1861" s="47">
        <v>121</v>
      </c>
      <c r="AD1861" s="57">
        <v>376.66</v>
      </c>
      <c r="AE1861" s="57">
        <v>394.49</v>
      </c>
      <c r="AF1861" s="57">
        <v>672.29</v>
      </c>
      <c r="AG1861" s="57">
        <f t="shared" si="38"/>
        <v>1.7042003599584272</v>
      </c>
      <c r="AH1861" s="47">
        <v>105</v>
      </c>
      <c r="AI1861">
        <v>436.91</v>
      </c>
      <c r="AJ1861">
        <v>438.88</v>
      </c>
      <c r="AK1861">
        <v>747.93</v>
      </c>
      <c r="AL1861" s="57">
        <f t="shared" si="41"/>
        <v>1.7041788188115201</v>
      </c>
      <c r="AM1861" s="59">
        <v>264</v>
      </c>
      <c r="AN1861" s="59">
        <f>SUMIFS(HIX_RatingAreas8[Silver Enrollments 2018],HIX_RatingAreas8[Area],HIX_SLCSP11[[#This Row],[Area Code]])</f>
        <v>338</v>
      </c>
      <c r="AO1861" s="59">
        <f>SUMIFS(HIX_RatingAreas8[Silver Enrollments 2019],HIX_RatingAreas8[Area],HIX_SLCSP11[[#This Row],[Area Code]])</f>
        <v>373</v>
      </c>
      <c r="AP1861" s="59">
        <f>SUMIFS(HIX_RatingAreas8[Silver Enrollments 2020],HIX_RatingAreas8[Area],HIX_SLCSP11[[#This Row],[Area Code]])</f>
        <v>425</v>
      </c>
      <c r="AQ1861" s="59">
        <f>SUMIFS(HIX_RatingAreas8[Silver Enrollments 2021],HIX_RatingAreas8[Area],HIX_SLCSP11[[#This Row],[Area Code]])</f>
        <v>305</v>
      </c>
      <c r="AR1861" s="59">
        <f>SUMIFS(HIX_RatingAreas8[Silver Enrollments 2022],HIX_RatingAreas8[Area],HIX_SLCSP11[[#This Row],[Area Code]])</f>
        <v>233</v>
      </c>
      <c r="AS1861" s="59">
        <f>SUMIFS(HIX_RatingAreas8[Silver Enrollments 2023],HIX_RatingAreas8[Area],HIX_SLCSP11[[#This Row],[Area Code]])</f>
        <v>233</v>
      </c>
      <c r="AT1861" s="59">
        <v>358</v>
      </c>
      <c r="AU1861">
        <f t="shared" si="28"/>
        <v>2.0541586384256193E-4</v>
      </c>
      <c r="AV1861">
        <f>SUMIFS(HIX_RatingAreas8[QHP Enrollments 2018],HIX_RatingAreas8[Area],HIX_SLCSP11[[#This Row],[Area Code]])</f>
        <v>473</v>
      </c>
      <c r="AW1861">
        <f t="shared" si="29"/>
        <v>2.7576540933964386E-4</v>
      </c>
      <c r="AX1861">
        <f>SUMIFS(HIX_RatingAreas8[QHP Enrollments 2019],HIX_RatingAreas8[Area],HIX_SLCSP11[[#This Row],[Area Code]])</f>
        <v>568</v>
      </c>
      <c r="AY1861">
        <f t="shared" si="30"/>
        <v>3.1850991193873841E-4</v>
      </c>
      <c r="AZ1861">
        <f>SUMIFS(HIX_RatingAreas8[QHP Enrollments 2020],HIX_RatingAreas8[Area],HIX_SLCSP11[[#This Row],[Area Code]])</f>
        <v>694</v>
      </c>
      <c r="BA1861">
        <f t="shared" si="31"/>
        <v>3.6259616766154206E-4</v>
      </c>
      <c r="BB1861">
        <f>SUMIFS(HIX_RatingAreas8[QHP Enrollments 2021],HIX_RatingAreas8[Area],HIX_SLCSP11[[#This Row],[Area Code]])</f>
        <v>588</v>
      </c>
      <c r="BC1861">
        <f t="shared" si="32"/>
        <v>2.7731270780767325E-4</v>
      </c>
      <c r="BD1861">
        <f>SUMIFS(HIX_RatingAreas8[QHP Enrollments 2022],HIX_RatingAreas8[Area],HIX_SLCSP11[[#This Row],[Area Code]])</f>
        <v>631</v>
      </c>
      <c r="BE1861">
        <f t="shared" si="40"/>
        <v>2.3172171067175793E-4</v>
      </c>
      <c r="BF1861">
        <f>SUMIFS(HIX_RatingAreas8[QHP Enrollments 2023],HIX_RatingAreas8[Area],HIX_SLCSP11[[#This Row],[Area Code]])</f>
        <v>631</v>
      </c>
      <c r="BG1861">
        <f t="shared" si="39"/>
        <v>2.3172171067175793E-4</v>
      </c>
      <c r="BH1861" s="53">
        <f>ROUND(HIX_SLCSP11[[#This Row],[Weighting Factor 2018]]*HIX_SLCSP11[[#This Row],[2018]],2)</f>
        <v>0.18</v>
      </c>
      <c r="BI1861" s="53">
        <f>ROUND(HIX_SLCSP11[[#This Row],[Weighting Factor 2019]]*HIX_SLCSP11[[#This Row],[2019]],2)</f>
        <v>0.21</v>
      </c>
      <c r="BJ1861" s="53">
        <f>ROUND(HIX_SLCSP11[[#This Row],[Weighting Factor 2020]]*HIX_SLCSP11[[#This Row],[2020]],2)</f>
        <v>0.23</v>
      </c>
      <c r="BK1861" s="53">
        <f>ROUND(HIX_SLCSP11[[#This Row],[Weighting Factor 2021]]*HIX_SLCSP11[[#This Row],[2021]],2)</f>
        <v>0.11</v>
      </c>
      <c r="BL1861" s="53">
        <f>ROUND(HIX_SLCSP11[[#This Row],[Weighting Factor 2022]]*HIX_SLCSP11[[#This Row],[2022]],2)</f>
        <v>0.09</v>
      </c>
      <c r="BM1861" s="53">
        <f>ROUND(HIX_SLCSP11[[#This Row],[Weighting Factor 2023]]*HIX_SLCSP11[[#This Row],[2023]],2)</f>
        <v>0.1</v>
      </c>
    </row>
    <row r="1862" spans="4:65" x14ac:dyDescent="0.35">
      <c r="D1862" t="s">
        <v>539</v>
      </c>
      <c r="E1862" t="s">
        <v>765</v>
      </c>
      <c r="F1862" s="23">
        <v>64</v>
      </c>
      <c r="G1862" s="23" t="s">
        <v>540</v>
      </c>
      <c r="H1862" s="23" t="s">
        <v>766</v>
      </c>
      <c r="I1862" s="23">
        <v>176</v>
      </c>
      <c r="J1862" s="53">
        <v>347.13</v>
      </c>
      <c r="K1862" s="53">
        <v>355.8</v>
      </c>
      <c r="L1862" s="53">
        <v>606.35</v>
      </c>
      <c r="M1862" s="54">
        <f t="shared" si="34"/>
        <v>1.7041877459246768</v>
      </c>
      <c r="N1862" s="24">
        <v>148</v>
      </c>
      <c r="O1862" s="55">
        <v>371.02</v>
      </c>
      <c r="P1862" s="56">
        <v>384.65</v>
      </c>
      <c r="Q1862" s="56">
        <v>655.52</v>
      </c>
      <c r="R1862" s="57">
        <f t="shared" si="35"/>
        <v>1.7041986221240089</v>
      </c>
      <c r="S1862" s="23">
        <v>176</v>
      </c>
      <c r="T1862" s="53">
        <v>291.99</v>
      </c>
      <c r="U1862" s="53">
        <v>299.20999999999998</v>
      </c>
      <c r="V1862" s="53">
        <v>509.91</v>
      </c>
      <c r="W1862" s="57">
        <f t="shared" si="36"/>
        <v>1.7041876942615557</v>
      </c>
      <c r="X1862" s="47">
        <v>210</v>
      </c>
      <c r="Y1862" s="58">
        <v>273.29000000000002</v>
      </c>
      <c r="Z1862" s="58">
        <v>280.87</v>
      </c>
      <c r="AA1862" s="58">
        <v>478.66</v>
      </c>
      <c r="AB1862" s="57">
        <f t="shared" si="37"/>
        <v>1.7042047922526435</v>
      </c>
      <c r="AC1862" s="47">
        <v>260</v>
      </c>
      <c r="AD1862" s="57">
        <v>277.7</v>
      </c>
      <c r="AE1862" s="57">
        <v>287.97000000000003</v>
      </c>
      <c r="AF1862" s="57">
        <v>490.76</v>
      </c>
      <c r="AG1862" s="57">
        <f t="shared" si="38"/>
        <v>1.7042052991631071</v>
      </c>
      <c r="AH1862" s="47">
        <v>227</v>
      </c>
      <c r="AI1862">
        <v>296.23</v>
      </c>
      <c r="AJ1862">
        <v>297.66000000000003</v>
      </c>
      <c r="AK1862">
        <v>507.28</v>
      </c>
      <c r="AL1862" s="57">
        <f t="shared" si="41"/>
        <v>1.7042262984613314</v>
      </c>
      <c r="AM1862" s="59">
        <v>30069</v>
      </c>
      <c r="AN1862" s="59">
        <f>SUMIFS(HIX_RatingAreas8[Silver Enrollments 2018],HIX_RatingAreas8[Area],HIX_SLCSP11[[#This Row],[Area Code]])</f>
        <v>21241</v>
      </c>
      <c r="AO1862" s="59">
        <f>SUMIFS(HIX_RatingAreas8[Silver Enrollments 2019],HIX_RatingAreas8[Area],HIX_SLCSP11[[#This Row],[Area Code]])</f>
        <v>20318</v>
      </c>
      <c r="AP1862" s="59">
        <f>SUMIFS(HIX_RatingAreas8[Silver Enrollments 2020],HIX_RatingAreas8[Area],HIX_SLCSP11[[#This Row],[Area Code]])</f>
        <v>20316</v>
      </c>
      <c r="AQ1862" s="59">
        <f>SUMIFS(HIX_RatingAreas8[Silver Enrollments 2021],HIX_RatingAreas8[Area],HIX_SLCSP11[[#This Row],[Area Code]])</f>
        <v>22069</v>
      </c>
      <c r="AR1862" s="59">
        <f>SUMIFS(HIX_RatingAreas8[Silver Enrollments 2022],HIX_RatingAreas8[Area],HIX_SLCSP11[[#This Row],[Area Code]])</f>
        <v>29806</v>
      </c>
      <c r="AS1862" s="59">
        <f>SUMIFS(HIX_RatingAreas8[Silver Enrollments 2023],HIX_RatingAreas8[Area],HIX_SLCSP11[[#This Row],[Area Code]])</f>
        <v>29806</v>
      </c>
      <c r="AT1862" s="59">
        <v>40262</v>
      </c>
      <c r="AU1862">
        <f>AT1862/AT$1798</f>
        <v>2.310182544700902E-2</v>
      </c>
      <c r="AV1862">
        <f>SUMIFS(HIX_RatingAreas8[QHP Enrollments 2018],HIX_RatingAreas8[Area],HIX_SLCSP11[[#This Row],[Area Code]])</f>
        <v>36993</v>
      </c>
      <c r="AW1862">
        <f>AV1862/AV$1798</f>
        <v>2.1567420269981916E-2</v>
      </c>
      <c r="AX1862">
        <f>SUMIFS(HIX_RatingAreas8[QHP Enrollments 2019],HIX_RatingAreas8[Area],HIX_SLCSP11[[#This Row],[Area Code]])</f>
        <v>37219</v>
      </c>
      <c r="AY1862">
        <f>AX1862/AX$1798</f>
        <v>2.0870810585295607E-2</v>
      </c>
      <c r="AZ1862">
        <f>SUMIFS(HIX_RatingAreas8[QHP Enrollments 2020],HIX_RatingAreas8[Area],HIX_SLCSP11[[#This Row],[Area Code]])</f>
        <v>38182</v>
      </c>
      <c r="BA1862">
        <f>AZ1862/AZ$1798</f>
        <v>1.9949058895753602E-2</v>
      </c>
      <c r="BB1862">
        <f>SUMIFS(HIX_RatingAreas8[QHP Enrollments 2021],HIX_RatingAreas8[Area],HIX_SLCSP11[[#This Row],[Area Code]])</f>
        <v>40719</v>
      </c>
      <c r="BC1862">
        <f>BB1862/BB$1798</f>
        <v>1.9203905015681373E-2</v>
      </c>
      <c r="BD1862">
        <f>SUMIFS(HIX_RatingAreas8[QHP Enrollments 2022],HIX_RatingAreas8[Area],HIX_SLCSP11[[#This Row],[Area Code]])</f>
        <v>52761</v>
      </c>
      <c r="BE1862">
        <f t="shared" ref="BE1862:BE1865" si="42">BD1862/BD$1798</f>
        <v>1.9375386967912234E-2</v>
      </c>
      <c r="BF1862">
        <f>SUMIFS(HIX_RatingAreas8[QHP Enrollments 2023],HIX_RatingAreas8[Area],HIX_SLCSP11[[#This Row],[Area Code]])</f>
        <v>52761</v>
      </c>
      <c r="BG1862">
        <f t="shared" si="39"/>
        <v>1.9375386967912234E-2</v>
      </c>
      <c r="BH1862" s="53">
        <f>ROUND(HIX_SLCSP11[[#This Row],[Weighting Factor 2018]]*HIX_SLCSP11[[#This Row],[2018]],2)</f>
        <v>7.67</v>
      </c>
      <c r="BI1862" s="53">
        <f>ROUND(HIX_SLCSP11[[#This Row],[Weighting Factor 2019]]*HIX_SLCSP11[[#This Row],[2019]],2)</f>
        <v>8.0299999999999994</v>
      </c>
      <c r="BJ1862" s="53">
        <f>ROUND(HIX_SLCSP11[[#This Row],[Weighting Factor 2020]]*HIX_SLCSP11[[#This Row],[2020]],2)</f>
        <v>5.97</v>
      </c>
      <c r="BK1862" s="53">
        <f>ROUND(HIX_SLCSP11[[#This Row],[Weighting Factor 2021]]*HIX_SLCSP11[[#This Row],[2021]],2)</f>
        <v>5.39</v>
      </c>
      <c r="BL1862" s="53">
        <f>ROUND(HIX_SLCSP11[[#This Row],[Weighting Factor 2022]]*HIX_SLCSP11[[#This Row],[2022]],2)</f>
        <v>5.58</v>
      </c>
      <c r="BM1862" s="53">
        <f>ROUND(HIX_SLCSP11[[#This Row],[Weighting Factor 2023]]*HIX_SLCSP11[[#This Row],[2023]],2)</f>
        <v>5.77</v>
      </c>
    </row>
    <row r="1863" spans="4:65" x14ac:dyDescent="0.35">
      <c r="D1863" t="s">
        <v>539</v>
      </c>
      <c r="E1863" t="s">
        <v>769</v>
      </c>
      <c r="F1863" s="23">
        <v>65</v>
      </c>
      <c r="G1863" s="23" t="s">
        <v>540</v>
      </c>
      <c r="H1863" s="23" t="s">
        <v>770</v>
      </c>
      <c r="I1863" s="23">
        <v>16</v>
      </c>
      <c r="J1863" s="53">
        <v>537.19000000000005</v>
      </c>
      <c r="K1863" s="53">
        <v>702.57</v>
      </c>
      <c r="L1863" s="53">
        <v>1197.32</v>
      </c>
      <c r="M1863" s="54">
        <f>L1863/K1863</f>
        <v>1.7042002932092173</v>
      </c>
      <c r="N1863" s="24">
        <v>16</v>
      </c>
      <c r="O1863" s="55">
        <v>625.23</v>
      </c>
      <c r="P1863" s="56">
        <v>675.83</v>
      </c>
      <c r="Q1863" s="56">
        <v>1151.76</v>
      </c>
      <c r="R1863" s="57">
        <f>Q1863/P1863</f>
        <v>1.704215557166743</v>
      </c>
      <c r="S1863" s="23">
        <v>16</v>
      </c>
      <c r="T1863" s="53">
        <v>599.25</v>
      </c>
      <c r="U1863" s="53">
        <v>646.4</v>
      </c>
      <c r="V1863" s="53">
        <v>1101.5899999999999</v>
      </c>
      <c r="W1863" s="57">
        <f>V1863/U1863</f>
        <v>1.7041924504950494</v>
      </c>
      <c r="X1863" s="47">
        <v>106</v>
      </c>
      <c r="Y1863" s="58">
        <v>309</v>
      </c>
      <c r="Z1863" s="58">
        <v>317.57</v>
      </c>
      <c r="AA1863" s="58">
        <v>541.21</v>
      </c>
      <c r="AB1863" s="57">
        <f>AA1863/Z1863</f>
        <v>1.7042226910602389</v>
      </c>
      <c r="AC1863" s="47">
        <v>105</v>
      </c>
      <c r="AD1863" s="57">
        <v>316.33</v>
      </c>
      <c r="AE1863" s="57">
        <v>331.31</v>
      </c>
      <c r="AF1863" s="57">
        <v>564.61</v>
      </c>
      <c r="AG1863" s="57">
        <f>AF1863/AE1863</f>
        <v>1.7041743382330747</v>
      </c>
      <c r="AH1863" s="47">
        <v>89</v>
      </c>
      <c r="AI1863">
        <v>302.14</v>
      </c>
      <c r="AJ1863">
        <v>303.47000000000003</v>
      </c>
      <c r="AK1863">
        <v>517.17999999999995</v>
      </c>
      <c r="AL1863" s="57">
        <f t="shared" si="41"/>
        <v>1.7042211750749658</v>
      </c>
      <c r="AM1863" s="59">
        <v>781</v>
      </c>
      <c r="AN1863" s="59">
        <f>SUMIFS(HIX_RatingAreas8[Silver Enrollments 2018],HIX_RatingAreas8[Area],HIX_SLCSP11[[#This Row],[Area Code]])</f>
        <v>774</v>
      </c>
      <c r="AO1863" s="59">
        <f>SUMIFS(HIX_RatingAreas8[Silver Enrollments 2019],HIX_RatingAreas8[Area],HIX_SLCSP11[[#This Row],[Area Code]])</f>
        <v>787</v>
      </c>
      <c r="AP1863" s="59">
        <f>SUMIFS(HIX_RatingAreas8[Silver Enrollments 2020],HIX_RatingAreas8[Area],HIX_SLCSP11[[#This Row],[Area Code]])</f>
        <v>886</v>
      </c>
      <c r="AQ1863" s="59">
        <f>SUMIFS(HIX_RatingAreas8[Silver Enrollments 2021],HIX_RatingAreas8[Area],HIX_SLCSP11[[#This Row],[Area Code]])</f>
        <v>628</v>
      </c>
      <c r="AR1863" s="59">
        <f>SUMIFS(HIX_RatingAreas8[Silver Enrollments 2022],HIX_RatingAreas8[Area],HIX_SLCSP11[[#This Row],[Area Code]])</f>
        <v>682</v>
      </c>
      <c r="AS1863" s="59">
        <f>SUMIFS(HIX_RatingAreas8[Silver Enrollments 2023],HIX_RatingAreas8[Area],HIX_SLCSP11[[#This Row],[Area Code]])</f>
        <v>682</v>
      </c>
      <c r="AT1863" s="59">
        <v>995</v>
      </c>
      <c r="AU1863">
        <f>AT1863/AT$1798</f>
        <v>5.7091839252332158E-4</v>
      </c>
      <c r="AV1863">
        <f>SUMIFS(HIX_RatingAreas8[QHP Enrollments 2018],HIX_RatingAreas8[Area],HIX_SLCSP11[[#This Row],[Area Code]])</f>
        <v>1108</v>
      </c>
      <c r="AW1863">
        <f>AV1863/AV$1798</f>
        <v>6.4597901384423975E-4</v>
      </c>
      <c r="AX1863">
        <f>SUMIFS(HIX_RatingAreas8[QHP Enrollments 2019],HIX_RatingAreas8[Area],HIX_SLCSP11[[#This Row],[Area Code]])</f>
        <v>1255</v>
      </c>
      <c r="AY1863">
        <f>AX1863/AX$1798</f>
        <v>7.0374989345619145E-4</v>
      </c>
      <c r="AZ1863">
        <f>SUMIFS(HIX_RatingAreas8[QHP Enrollments 2020],HIX_RatingAreas8[Area],HIX_SLCSP11[[#This Row],[Area Code]])</f>
        <v>1399</v>
      </c>
      <c r="BA1863">
        <f>AZ1863/AZ$1798</f>
        <v>7.3093953682780595E-4</v>
      </c>
      <c r="BB1863">
        <f>SUMIFS(HIX_RatingAreas8[QHP Enrollments 2021],HIX_RatingAreas8[Area],HIX_SLCSP11[[#This Row],[Area Code]])</f>
        <v>1514</v>
      </c>
      <c r="BC1863">
        <f>BB1863/BB$1798</f>
        <v>7.1403306057962127E-4</v>
      </c>
      <c r="BD1863">
        <f>SUMIFS(HIX_RatingAreas8[QHP Enrollments 2022],HIX_RatingAreas8[Area],HIX_SLCSP11[[#This Row],[Area Code]])</f>
        <v>1733</v>
      </c>
      <c r="BE1863">
        <f t="shared" si="42"/>
        <v>6.3640843834256177E-4</v>
      </c>
      <c r="BF1863">
        <f>SUMIFS(HIX_RatingAreas8[QHP Enrollments 2023],HIX_RatingAreas8[Area],HIX_SLCSP11[[#This Row],[Area Code]])</f>
        <v>1733</v>
      </c>
      <c r="BG1863">
        <f t="shared" si="39"/>
        <v>6.3640843834256177E-4</v>
      </c>
      <c r="BH1863" s="53">
        <f>ROUND(HIX_SLCSP11[[#This Row],[Weighting Factor 2018]]*HIX_SLCSP11[[#This Row],[2018]],2)</f>
        <v>0.45</v>
      </c>
      <c r="BI1863" s="53">
        <f>ROUND(HIX_SLCSP11[[#This Row],[Weighting Factor 2019]]*HIX_SLCSP11[[#This Row],[2019]],2)</f>
        <v>0.48</v>
      </c>
      <c r="BJ1863" s="53">
        <f>ROUND(HIX_SLCSP11[[#This Row],[Weighting Factor 2020]]*HIX_SLCSP11[[#This Row],[2020]],2)</f>
        <v>0.47</v>
      </c>
      <c r="BK1863" s="53">
        <f>ROUND(HIX_SLCSP11[[#This Row],[Weighting Factor 2021]]*HIX_SLCSP11[[#This Row],[2021]],2)</f>
        <v>0.23</v>
      </c>
      <c r="BL1863" s="53">
        <f>ROUND(HIX_SLCSP11[[#This Row],[Weighting Factor 2022]]*HIX_SLCSP11[[#This Row],[2022]],2)</f>
        <v>0.21</v>
      </c>
      <c r="BM1863" s="53">
        <f>ROUND(HIX_SLCSP11[[#This Row],[Weighting Factor 2023]]*HIX_SLCSP11[[#This Row],[2023]],2)</f>
        <v>0.19</v>
      </c>
    </row>
    <row r="1864" spans="4:65" x14ac:dyDescent="0.35">
      <c r="D1864" t="s">
        <v>539</v>
      </c>
      <c r="E1864" t="s">
        <v>773</v>
      </c>
      <c r="F1864" s="23">
        <v>66</v>
      </c>
      <c r="G1864" s="23" t="s">
        <v>540</v>
      </c>
      <c r="H1864" s="23" t="s">
        <v>774</v>
      </c>
      <c r="I1864" s="23">
        <v>97</v>
      </c>
      <c r="J1864" s="53">
        <v>313.77999999999997</v>
      </c>
      <c r="K1864" s="53">
        <v>399.51</v>
      </c>
      <c r="L1864" s="53">
        <v>665.6</v>
      </c>
      <c r="M1864" s="54">
        <f>L1864/K1864</f>
        <v>1.6660409001026257</v>
      </c>
      <c r="N1864" s="24">
        <v>48</v>
      </c>
      <c r="O1864" s="55">
        <v>389.44</v>
      </c>
      <c r="P1864" s="56">
        <v>419.45</v>
      </c>
      <c r="Q1864" s="56">
        <v>714.83</v>
      </c>
      <c r="R1864" s="57">
        <f>Q1864/P1864</f>
        <v>1.7042078912862082</v>
      </c>
      <c r="S1864" s="23">
        <v>97</v>
      </c>
      <c r="T1864" s="53">
        <v>281.79000000000002</v>
      </c>
      <c r="U1864" s="53">
        <v>360.08</v>
      </c>
      <c r="V1864" s="53">
        <v>613.64</v>
      </c>
      <c r="W1864" s="57">
        <f>V1864/U1864</f>
        <v>1.7041768495889802</v>
      </c>
      <c r="X1864" s="47">
        <v>156</v>
      </c>
      <c r="Y1864" s="58">
        <v>275.7</v>
      </c>
      <c r="Z1864" s="58">
        <v>283.35000000000002</v>
      </c>
      <c r="AA1864" s="58">
        <v>482.88</v>
      </c>
      <c r="AB1864" s="57">
        <f>AA1864/Z1864</f>
        <v>1.7041821069348859</v>
      </c>
      <c r="AC1864" s="47">
        <v>153</v>
      </c>
      <c r="AD1864" s="57">
        <v>275.33999999999997</v>
      </c>
      <c r="AE1864" s="57">
        <v>288.37</v>
      </c>
      <c r="AF1864" s="57">
        <v>491.44</v>
      </c>
      <c r="AG1864" s="57">
        <f>AF1864/AE1864</f>
        <v>1.7041994659638657</v>
      </c>
      <c r="AH1864" s="47">
        <v>141</v>
      </c>
      <c r="AI1864">
        <v>319.83</v>
      </c>
      <c r="AJ1864">
        <v>321.2</v>
      </c>
      <c r="AK1864">
        <v>547.4</v>
      </c>
      <c r="AL1864" s="57">
        <f t="shared" si="41"/>
        <v>1.7042341220423411</v>
      </c>
      <c r="AM1864" s="59">
        <v>3279</v>
      </c>
      <c r="AN1864" s="59">
        <f>SUMIFS(HIX_RatingAreas8[Silver Enrollments 2018],HIX_RatingAreas8[Area],HIX_SLCSP11[[#This Row],[Area Code]])</f>
        <v>2791</v>
      </c>
      <c r="AO1864" s="59">
        <f>SUMIFS(HIX_RatingAreas8[Silver Enrollments 2019],HIX_RatingAreas8[Area],HIX_SLCSP11[[#This Row],[Area Code]])</f>
        <v>2718</v>
      </c>
      <c r="AP1864" s="59">
        <f>SUMIFS(HIX_RatingAreas8[Silver Enrollments 2020],HIX_RatingAreas8[Area],HIX_SLCSP11[[#This Row],[Area Code]])</f>
        <v>2458</v>
      </c>
      <c r="AQ1864" s="59">
        <f>SUMIFS(HIX_RatingAreas8[Silver Enrollments 2021],HIX_RatingAreas8[Area],HIX_SLCSP11[[#This Row],[Area Code]])</f>
        <v>2484</v>
      </c>
      <c r="AR1864" s="59">
        <f>SUMIFS(HIX_RatingAreas8[Silver Enrollments 2022],HIX_RatingAreas8[Area],HIX_SLCSP11[[#This Row],[Area Code]])</f>
        <v>2922</v>
      </c>
      <c r="AS1864" s="59">
        <f>SUMIFS(HIX_RatingAreas8[Silver Enrollments 2023],HIX_RatingAreas8[Area],HIX_SLCSP11[[#This Row],[Area Code]])</f>
        <v>2922</v>
      </c>
      <c r="AT1864" s="59">
        <v>4454</v>
      </c>
      <c r="AU1864">
        <f>AT1864/AT$1798</f>
        <v>2.5556487641194719E-3</v>
      </c>
      <c r="AV1864">
        <f>SUMIFS(HIX_RatingAreas8[QHP Enrollments 2018],HIX_RatingAreas8[Area],HIX_SLCSP11[[#This Row],[Area Code]])</f>
        <v>4668</v>
      </c>
      <c r="AW1864">
        <f>AV1864/AV$1798</f>
        <v>2.7215072532715805E-3</v>
      </c>
      <c r="AX1864">
        <f>SUMIFS(HIX_RatingAreas8[QHP Enrollments 2019],HIX_RatingAreas8[Area],HIX_SLCSP11[[#This Row],[Area Code]])</f>
        <v>4893</v>
      </c>
      <c r="AY1864">
        <f>AX1864/AX$1798</f>
        <v>2.7437834491483223E-3</v>
      </c>
      <c r="AZ1864">
        <f>SUMIFS(HIX_RatingAreas8[QHP Enrollments 2020],HIX_RatingAreas8[Area],HIX_SLCSP11[[#This Row],[Area Code]])</f>
        <v>4884</v>
      </c>
      <c r="BA1864">
        <f>AZ1864/AZ$1798</f>
        <v>2.5517574680965008E-3</v>
      </c>
      <c r="BB1864">
        <f>SUMIFS(HIX_RatingAreas8[QHP Enrollments 2021],HIX_RatingAreas8[Area],HIX_SLCSP11[[#This Row],[Area Code]])</f>
        <v>5145</v>
      </c>
      <c r="BC1864">
        <f>BB1864/BB$1798</f>
        <v>2.4264861933171412E-3</v>
      </c>
      <c r="BD1864">
        <f>SUMIFS(HIX_RatingAreas8[QHP Enrollments 2022],HIX_RatingAreas8[Area],HIX_SLCSP11[[#This Row],[Area Code]])</f>
        <v>6760</v>
      </c>
      <c r="BE1864">
        <f t="shared" si="42"/>
        <v>2.4824703076720819E-3</v>
      </c>
      <c r="BF1864">
        <f>SUMIFS(HIX_RatingAreas8[QHP Enrollments 2023],HIX_RatingAreas8[Area],HIX_SLCSP11[[#This Row],[Area Code]])</f>
        <v>6760</v>
      </c>
      <c r="BG1864">
        <f>BF1864/BF$1798</f>
        <v>2.4824703076720819E-3</v>
      </c>
      <c r="BH1864" s="53">
        <f>ROUND(HIX_SLCSP11[[#This Row],[Weighting Factor 2018]]*HIX_SLCSP11[[#This Row],[2018]],2)</f>
        <v>1.0900000000000001</v>
      </c>
      <c r="BI1864" s="53">
        <f>ROUND(HIX_SLCSP11[[#This Row],[Weighting Factor 2019]]*HIX_SLCSP11[[#This Row],[2019]],2)</f>
        <v>1.1499999999999999</v>
      </c>
      <c r="BJ1864" s="53">
        <f>ROUND(HIX_SLCSP11[[#This Row],[Weighting Factor 2020]]*HIX_SLCSP11[[#This Row],[2020]],2)</f>
        <v>0.92</v>
      </c>
      <c r="BK1864" s="53">
        <f>ROUND(HIX_SLCSP11[[#This Row],[Weighting Factor 2021]]*HIX_SLCSP11[[#This Row],[2021]],2)</f>
        <v>0.69</v>
      </c>
      <c r="BL1864" s="53">
        <f>ROUND(HIX_SLCSP11[[#This Row],[Weighting Factor 2022]]*HIX_SLCSP11[[#This Row],[2022]],2)</f>
        <v>0.72</v>
      </c>
      <c r="BM1864" s="53">
        <f>ROUND(HIX_SLCSP11[[#This Row],[Weighting Factor 2023]]*HIX_SLCSP11[[#This Row],[2023]],2)</f>
        <v>0.8</v>
      </c>
    </row>
    <row r="1865" spans="4:65" x14ac:dyDescent="0.35">
      <c r="D1865" t="s">
        <v>539</v>
      </c>
      <c r="E1865" t="s">
        <v>777</v>
      </c>
      <c r="F1865" s="23">
        <v>67</v>
      </c>
      <c r="G1865" s="23" t="s">
        <v>540</v>
      </c>
      <c r="H1865" s="23" t="s">
        <v>778</v>
      </c>
      <c r="I1865" s="23">
        <v>16</v>
      </c>
      <c r="J1865" s="53">
        <v>460.2</v>
      </c>
      <c r="K1865" s="53">
        <v>601.88</v>
      </c>
      <c r="L1865" s="53">
        <v>1025.72</v>
      </c>
      <c r="M1865" s="54">
        <f>L1865/K1865</f>
        <v>1.7041935269488935</v>
      </c>
      <c r="N1865" s="24">
        <v>16</v>
      </c>
      <c r="O1865" s="55">
        <v>530.79</v>
      </c>
      <c r="P1865" s="56">
        <v>573.75</v>
      </c>
      <c r="Q1865" s="56">
        <v>977.78</v>
      </c>
      <c r="R1865" s="57">
        <f>Q1865/P1865</f>
        <v>1.7041917211328976</v>
      </c>
      <c r="S1865" s="23">
        <v>16</v>
      </c>
      <c r="T1865" s="53">
        <v>514.13</v>
      </c>
      <c r="U1865" s="53">
        <v>554.58000000000004</v>
      </c>
      <c r="V1865" s="53">
        <v>945.12</v>
      </c>
      <c r="W1865" s="57">
        <f>V1865/U1865</f>
        <v>1.7042085902845396</v>
      </c>
      <c r="X1865" s="47">
        <v>101</v>
      </c>
      <c r="Y1865" s="58">
        <v>319.58</v>
      </c>
      <c r="Z1865" s="58">
        <v>328.45</v>
      </c>
      <c r="AA1865" s="58">
        <v>559.75</v>
      </c>
      <c r="AB1865" s="57">
        <f>AA1865/Z1865</f>
        <v>1.7042167757649567</v>
      </c>
      <c r="AC1865" s="47">
        <v>89</v>
      </c>
      <c r="AD1865" s="57">
        <v>319.27999999999997</v>
      </c>
      <c r="AE1865" s="57">
        <v>334.39</v>
      </c>
      <c r="AF1865" s="57">
        <v>569.87</v>
      </c>
      <c r="AG1865" s="57">
        <f>AF1865/AE1865</f>
        <v>1.7042076617123718</v>
      </c>
      <c r="AH1865" s="47">
        <v>69</v>
      </c>
      <c r="AI1865">
        <v>386.37</v>
      </c>
      <c r="AJ1865">
        <v>388.03</v>
      </c>
      <c r="AK1865">
        <v>661.28</v>
      </c>
      <c r="AL1865" s="57">
        <f t="shared" si="41"/>
        <v>1.7041981290106436</v>
      </c>
      <c r="AM1865" s="59">
        <v>807</v>
      </c>
      <c r="AN1865" s="59">
        <f>SUMIFS(HIX_RatingAreas8[Silver Enrollments 2018],HIX_RatingAreas8[Area],HIX_SLCSP11[[#This Row],[Area Code]])</f>
        <v>826</v>
      </c>
      <c r="AO1865" s="59">
        <f>SUMIFS(HIX_RatingAreas8[Silver Enrollments 2019],HIX_RatingAreas8[Area],HIX_SLCSP11[[#This Row],[Area Code]])</f>
        <v>834</v>
      </c>
      <c r="AP1865" s="59">
        <f>SUMIFS(HIX_RatingAreas8[Silver Enrollments 2020],HIX_RatingAreas8[Area],HIX_SLCSP11[[#This Row],[Area Code]])</f>
        <v>897</v>
      </c>
      <c r="AQ1865" s="59">
        <f>SUMIFS(HIX_RatingAreas8[Silver Enrollments 2021],HIX_RatingAreas8[Area],HIX_SLCSP11[[#This Row],[Area Code]])</f>
        <v>670</v>
      </c>
      <c r="AR1865" s="59">
        <f>SUMIFS(HIX_RatingAreas8[Silver Enrollments 2022],HIX_RatingAreas8[Area],HIX_SLCSP11[[#This Row],[Area Code]])</f>
        <v>510</v>
      </c>
      <c r="AS1865" s="59">
        <f>SUMIFS(HIX_RatingAreas8[Silver Enrollments 2023],HIX_RatingAreas8[Area],HIX_SLCSP11[[#This Row],[Area Code]])</f>
        <v>510</v>
      </c>
      <c r="AT1865" s="59">
        <v>961</v>
      </c>
      <c r="AU1865">
        <f>AT1865/AT$1798</f>
        <v>5.5140962333156995E-4</v>
      </c>
      <c r="AV1865">
        <f>SUMIFS(HIX_RatingAreas8[QHP Enrollments 2018],HIX_RatingAreas8[Area],HIX_SLCSP11[[#This Row],[Area Code]])</f>
        <v>1127</v>
      </c>
      <c r="AW1865">
        <f>AV1865/AV$1798</f>
        <v>6.5705627130185754E-4</v>
      </c>
      <c r="AX1865">
        <f>SUMIFS(HIX_RatingAreas8[QHP Enrollments 2019],HIX_RatingAreas8[Area],HIX_SLCSP11[[#This Row],[Area Code]])</f>
        <v>1214</v>
      </c>
      <c r="AY1865">
        <f>AX1865/AX$1798</f>
        <v>6.8075886108033177E-4</v>
      </c>
      <c r="AZ1865">
        <f>SUMIFS(HIX_RatingAreas8[QHP Enrollments 2020],HIX_RatingAreas8[Area],HIX_SLCSP11[[#This Row],[Area Code]])</f>
        <v>1309</v>
      </c>
      <c r="BA1865">
        <f>AZ1865/AZ$1798</f>
        <v>6.8391697906189993E-4</v>
      </c>
      <c r="BB1865">
        <f>SUMIFS(HIX_RatingAreas8[QHP Enrollments 2021],HIX_RatingAreas8[Area],HIX_SLCSP11[[#This Row],[Area Code]])</f>
        <v>1368</v>
      </c>
      <c r="BC1865">
        <f>BB1865/BB$1798</f>
        <v>6.4517650387907661E-4</v>
      </c>
      <c r="BD1865">
        <f>SUMIFS(HIX_RatingAreas8[QHP Enrollments 2022],HIX_RatingAreas8[Area],HIX_SLCSP11[[#This Row],[Area Code]])</f>
        <v>1528</v>
      </c>
      <c r="BE1865">
        <f t="shared" si="42"/>
        <v>5.6112642457439952E-4</v>
      </c>
      <c r="BF1865">
        <f>SUMIFS(HIX_RatingAreas8[QHP Enrollments 2023],HIX_RatingAreas8[Area],HIX_SLCSP11[[#This Row],[Area Code]])</f>
        <v>1528</v>
      </c>
      <c r="BG1865">
        <f>BF1865/BF$1798</f>
        <v>5.6112642457439952E-4</v>
      </c>
      <c r="BH1865" s="53">
        <f>ROUND(HIX_SLCSP11[[#This Row],[Weighting Factor 2018]]*HIX_SLCSP11[[#This Row],[2018]],2)</f>
        <v>0.4</v>
      </c>
      <c r="BI1865" s="53">
        <f>ROUND(HIX_SLCSP11[[#This Row],[Weighting Factor 2019]]*HIX_SLCSP11[[#This Row],[2019]],2)</f>
        <v>0.39</v>
      </c>
      <c r="BJ1865" s="53">
        <f>ROUND(HIX_SLCSP11[[#This Row],[Weighting Factor 2020]]*HIX_SLCSP11[[#This Row],[2020]],2)</f>
        <v>0.38</v>
      </c>
      <c r="BK1865" s="53">
        <f>ROUND(HIX_SLCSP11[[#This Row],[Weighting Factor 2021]]*HIX_SLCSP11[[#This Row],[2021]],2)</f>
        <v>0.21</v>
      </c>
      <c r="BL1865" s="53">
        <f>ROUND(HIX_SLCSP11[[#This Row],[Weighting Factor 2022]]*HIX_SLCSP11[[#This Row],[2022]],2)</f>
        <v>0.19</v>
      </c>
      <c r="BM1865" s="53">
        <f>ROUND(HIX_SLCSP11[[#This Row],[Weighting Factor 2023]]*HIX_SLCSP11[[#This Row],[2023]],2)</f>
        <v>0.22</v>
      </c>
    </row>
    <row r="1866" spans="4:65" x14ac:dyDescent="0.35">
      <c r="D1866" t="s">
        <v>780</v>
      </c>
      <c r="E1866" t="s">
        <v>2597</v>
      </c>
      <c r="F1866" s="23"/>
      <c r="G1866" s="23"/>
      <c r="H1866" s="23"/>
      <c r="I1866" s="23"/>
      <c r="J1866" s="53"/>
      <c r="K1866" s="53">
        <f>SUM(BH1867:BH1882)</f>
        <v>389.07999999999993</v>
      </c>
      <c r="L1866" s="53"/>
      <c r="M1866" s="54"/>
      <c r="O1866" s="55"/>
      <c r="P1866" s="56">
        <f>SUM(BI1867:BI1882)</f>
        <v>362.86</v>
      </c>
      <c r="Q1866" s="56"/>
      <c r="R1866" s="57"/>
      <c r="S1866" s="23"/>
      <c r="T1866" s="53"/>
      <c r="U1866" s="53">
        <f>SUM(BJ1867:BJ1882)</f>
        <v>355.41999999999996</v>
      </c>
      <c r="V1866" s="53"/>
      <c r="W1866" s="57"/>
      <c r="X1866" s="47"/>
      <c r="Y1866" s="58"/>
      <c r="Z1866" s="53">
        <f>SUM(BK1867:BK1882)</f>
        <v>290.58</v>
      </c>
      <c r="AA1866" s="53"/>
      <c r="AB1866" s="57"/>
      <c r="AC1866" s="47"/>
      <c r="AD1866" s="57"/>
      <c r="AE1866" s="53">
        <f>SUM(BL1867:BL1882)</f>
        <v>281.11</v>
      </c>
      <c r="AF1866" s="57"/>
      <c r="AG1866" s="57"/>
      <c r="AH1866" s="47"/>
      <c r="AI1866" s="57"/>
      <c r="AJ1866" s="53">
        <f>SUM(BM1867:BM1882)</f>
        <v>292.55000000000013</v>
      </c>
      <c r="AK1866" s="57"/>
      <c r="AL1866" s="57"/>
      <c r="AM1866" s="59">
        <f t="shared" ref="AM1866:AT1866" si="43">SUM(AM1867:AM1882)</f>
        <v>447613</v>
      </c>
      <c r="AN1866" s="59">
        <f t="shared" si="43"/>
        <v>373612</v>
      </c>
      <c r="AO1866" s="59">
        <f t="shared" si="43"/>
        <v>339381</v>
      </c>
      <c r="AP1866" s="59">
        <f t="shared" si="43"/>
        <v>335180</v>
      </c>
      <c r="AQ1866" s="59">
        <f t="shared" si="43"/>
        <v>357441</v>
      </c>
      <c r="AR1866" s="59">
        <f t="shared" si="43"/>
        <v>476098</v>
      </c>
      <c r="AS1866" s="59">
        <f t="shared" si="43"/>
        <v>476098</v>
      </c>
      <c r="AT1866" s="59">
        <f t="shared" si="43"/>
        <v>587833</v>
      </c>
      <c r="AU1866">
        <f t="shared" ref="AU1866:AU1882" si="44">AT1866/AT$1866</f>
        <v>1</v>
      </c>
      <c r="AV1866" s="59">
        <f>SUM(AV1867:AV1882)</f>
        <v>480911</v>
      </c>
      <c r="AW1866">
        <f t="shared" ref="AW1866:AW1882" si="45">AV1866/AV$1866</f>
        <v>1</v>
      </c>
      <c r="AX1866" s="59">
        <f>SUM(AX1867:AX1882)</f>
        <v>458437</v>
      </c>
      <c r="AY1866">
        <f t="shared" ref="AY1866:AY1882" si="46">AX1866/AX$1866</f>
        <v>1</v>
      </c>
      <c r="AZ1866" s="59">
        <f>SUM(AZ1867:AZ1882)</f>
        <v>463910</v>
      </c>
      <c r="BA1866">
        <f t="shared" ref="BA1866:BA1882" si="47">AZ1866/AZ$1866</f>
        <v>1</v>
      </c>
      <c r="BB1866" s="59">
        <f>SUM(BB1867:BB1882)</f>
        <v>517113</v>
      </c>
      <c r="BC1866">
        <f t="shared" ref="BC1866:BC1882" si="48">BB1866/BB$1866</f>
        <v>1</v>
      </c>
      <c r="BD1866" s="59">
        <f>SUM(BD1867:BD1882)</f>
        <v>701135</v>
      </c>
      <c r="BE1866">
        <f t="shared" ref="BE1866:BE1882" si="49">BD1866/BD$1866</f>
        <v>1</v>
      </c>
      <c r="BF1866" s="59">
        <f>SUM(BF1867:BF1882)</f>
        <v>701135</v>
      </c>
      <c r="BG1866">
        <f>BF1866/BF$1866</f>
        <v>1</v>
      </c>
      <c r="BH1866" s="53"/>
      <c r="BI1866" s="53"/>
      <c r="BJ1866" s="53"/>
      <c r="BK1866" s="53"/>
      <c r="BL1866" s="53"/>
      <c r="BM1866" s="53"/>
    </row>
    <row r="1867" spans="4:65" x14ac:dyDescent="0.35">
      <c r="D1867" t="s">
        <v>780</v>
      </c>
      <c r="E1867" t="s">
        <v>231</v>
      </c>
      <c r="F1867" s="23">
        <v>1</v>
      </c>
      <c r="G1867" s="23" t="s">
        <v>781</v>
      </c>
      <c r="H1867" s="23" t="s">
        <v>782</v>
      </c>
      <c r="I1867" s="23">
        <v>12</v>
      </c>
      <c r="J1867" s="53">
        <v>433.92</v>
      </c>
      <c r="K1867" s="53">
        <v>454.27</v>
      </c>
      <c r="L1867" s="53">
        <v>774.17</v>
      </c>
      <c r="M1867" s="54">
        <f t="shared" ref="M1867:M1882" si="50">L1867/K1867</f>
        <v>1.7042067492900697</v>
      </c>
      <c r="N1867" s="24">
        <v>44</v>
      </c>
      <c r="O1867" s="55">
        <v>412.95</v>
      </c>
      <c r="P1867" s="56">
        <v>434.22</v>
      </c>
      <c r="Q1867" s="56">
        <v>740</v>
      </c>
      <c r="R1867" s="57">
        <f t="shared" ref="R1867:R1882" si="51">Q1867/P1867</f>
        <v>1.7042052415826079</v>
      </c>
      <c r="S1867" s="23">
        <v>12</v>
      </c>
      <c r="T1867" s="53">
        <v>358.56</v>
      </c>
      <c r="U1867" s="53">
        <v>392.69</v>
      </c>
      <c r="V1867" s="53">
        <v>669.23</v>
      </c>
      <c r="W1867" s="57">
        <f t="shared" ref="W1867:W1882" si="52">V1867/U1867</f>
        <v>1.7042196134355345</v>
      </c>
      <c r="X1867" s="47">
        <v>101</v>
      </c>
      <c r="Y1867" s="23">
        <v>297.68</v>
      </c>
      <c r="Z1867" s="23">
        <v>304.14999999999998</v>
      </c>
      <c r="AA1867" s="23">
        <v>518.34</v>
      </c>
      <c r="AB1867" s="57">
        <f t="shared" ref="AB1867:AB1882" si="53">AA1867/Z1867</f>
        <v>1.7042248890350158</v>
      </c>
      <c r="AC1867" s="47">
        <v>143</v>
      </c>
      <c r="AD1867" s="57">
        <v>232.71</v>
      </c>
      <c r="AE1867" s="57">
        <v>244.13</v>
      </c>
      <c r="AF1867" s="57">
        <v>416.05</v>
      </c>
      <c r="AG1867" s="57">
        <f t="shared" ref="AG1867:AG1882" si="54">AF1867/AE1867</f>
        <v>1.7042149674353828</v>
      </c>
      <c r="AH1867" s="47">
        <v>154</v>
      </c>
      <c r="AI1867">
        <v>277.29000000000002</v>
      </c>
      <c r="AJ1867">
        <v>278</v>
      </c>
      <c r="AK1867">
        <v>473.76</v>
      </c>
      <c r="AL1867" s="57">
        <f t="shared" si="41"/>
        <v>1.7041726618705035</v>
      </c>
      <c r="AM1867" s="59">
        <v>7906</v>
      </c>
      <c r="AN1867" s="59">
        <f>SUMIFS(HIX_RatingAreas8[Silver Enrollments 2018],HIX_RatingAreas8[Area],HIX_SLCSP11[[#This Row],[Area Code]])</f>
        <v>6776</v>
      </c>
      <c r="AO1867" s="59">
        <f>SUMIFS(HIX_RatingAreas8[Silver Enrollments 2019],HIX_RatingAreas8[Area],HIX_SLCSP11[[#This Row],[Area Code]])</f>
        <v>6899</v>
      </c>
      <c r="AP1867" s="59">
        <f>SUMIFS(HIX_RatingAreas8[Silver Enrollments 2020],HIX_RatingAreas8[Area],HIX_SLCSP11[[#This Row],[Area Code]])</f>
        <v>7053</v>
      </c>
      <c r="AQ1867" s="59">
        <f>SUMIFS(HIX_RatingAreas8[Silver Enrollments 2021],HIX_RatingAreas8[Area],HIX_SLCSP11[[#This Row],[Area Code]])</f>
        <v>6730</v>
      </c>
      <c r="AR1867" s="59">
        <f>SUMIFS(HIX_RatingAreas8[Silver Enrollments 2022],HIX_RatingAreas8[Area],HIX_SLCSP11[[#This Row],[Area Code]])</f>
        <v>9913</v>
      </c>
      <c r="AS1867" s="59">
        <f>SUMIFS(HIX_RatingAreas8[Silver Enrollments 2023],HIX_RatingAreas8[Area],HIX_SLCSP11[[#This Row],[Area Code]])</f>
        <v>9913</v>
      </c>
      <c r="AT1867" s="59">
        <v>10409</v>
      </c>
      <c r="AU1867">
        <f t="shared" si="44"/>
        <v>1.7707410097765861E-2</v>
      </c>
      <c r="AV1867">
        <f>SUMIFS(HIX_RatingAreas8[QHP Enrollments 2018],HIX_RatingAreas8[Area],HIX_SLCSP11[[#This Row],[Area Code]])</f>
        <v>8604</v>
      </c>
      <c r="AW1867">
        <f t="shared" si="45"/>
        <v>1.7891044288860101E-2</v>
      </c>
      <c r="AX1867">
        <f>SUMIFS(HIX_RatingAreas8[QHP Enrollments 2019],HIX_RatingAreas8[Area],HIX_SLCSP11[[#This Row],[Area Code]])</f>
        <v>8146</v>
      </c>
      <c r="AY1867">
        <f t="shared" si="46"/>
        <v>1.7769071868108378E-2</v>
      </c>
      <c r="AZ1867">
        <f>SUMIFS(HIX_RatingAreas8[QHP Enrollments 2020],HIX_RatingAreas8[Area],HIX_SLCSP11[[#This Row],[Area Code]])</f>
        <v>8537</v>
      </c>
      <c r="BA1867">
        <f t="shared" si="47"/>
        <v>1.8402276303593368E-2</v>
      </c>
      <c r="BB1867">
        <f>SUMIFS(HIX_RatingAreas8[QHP Enrollments 2021],HIX_RatingAreas8[Area],HIX_SLCSP11[[#This Row],[Area Code]])</f>
        <v>9538</v>
      </c>
      <c r="BC1867">
        <f t="shared" si="48"/>
        <v>1.8444711310680643E-2</v>
      </c>
      <c r="BD1867">
        <f>SUMIFS(HIX_RatingAreas8[QHP Enrollments 2022],HIX_RatingAreas8[Area],HIX_SLCSP11[[#This Row],[Area Code]])</f>
        <v>13648</v>
      </c>
      <c r="BE1867">
        <f t="shared" si="49"/>
        <v>1.9465580808260892E-2</v>
      </c>
      <c r="BF1867">
        <f>SUMIFS(HIX_RatingAreas8[QHP Enrollments 2023],HIX_RatingAreas8[Area],HIX_SLCSP11[[#This Row],[Area Code]])</f>
        <v>13648</v>
      </c>
      <c r="BG1867">
        <f>BF1867/BF$1866</f>
        <v>1.9465580808260892E-2</v>
      </c>
      <c r="BH1867" s="53">
        <f>ROUND(HIX_SLCSP11[[#This Row],[Weighting Factor 2018]]*HIX_SLCSP11[[#This Row],[2018]],2)</f>
        <v>8.1300000000000008</v>
      </c>
      <c r="BI1867" s="53">
        <f>ROUND(HIX_SLCSP11[[#This Row],[Weighting Factor 2019]]*HIX_SLCSP11[[#This Row],[2019]],2)</f>
        <v>7.72</v>
      </c>
      <c r="BJ1867" s="53">
        <f>ROUND(HIX_SLCSP11[[#This Row],[Weighting Factor 2020]]*HIX_SLCSP11[[#This Row],[2020]],2)</f>
        <v>7.23</v>
      </c>
      <c r="BK1867" s="53">
        <f>ROUND(HIX_SLCSP11[[#This Row],[Weighting Factor 2021]]*HIX_SLCSP11[[#This Row],[2021]],2)</f>
        <v>5.61</v>
      </c>
      <c r="BL1867" s="53">
        <f>ROUND(HIX_SLCSP11[[#This Row],[Weighting Factor 2022]]*HIX_SLCSP11[[#This Row],[2022]],2)</f>
        <v>4.75</v>
      </c>
      <c r="BM1867" s="53">
        <f>ROUND(HIX_SLCSP11[[#This Row],[Weighting Factor 2023]]*HIX_SLCSP11[[#This Row],[2023]],2)</f>
        <v>5.41</v>
      </c>
    </row>
    <row r="1868" spans="4:65" x14ac:dyDescent="0.35">
      <c r="D1868" t="s">
        <v>780</v>
      </c>
      <c r="E1868" t="s">
        <v>235</v>
      </c>
      <c r="F1868" s="23">
        <v>2</v>
      </c>
      <c r="G1868" s="23" t="s">
        <v>781</v>
      </c>
      <c r="H1868" s="23" t="s">
        <v>801</v>
      </c>
      <c r="I1868" s="23">
        <v>41</v>
      </c>
      <c r="J1868" s="53">
        <v>316.99</v>
      </c>
      <c r="K1868" s="53">
        <v>331.86</v>
      </c>
      <c r="L1868" s="53">
        <v>565.54999999999995</v>
      </c>
      <c r="M1868" s="54">
        <f t="shared" si="50"/>
        <v>1.7041824865907309</v>
      </c>
      <c r="N1868" s="24">
        <v>61</v>
      </c>
      <c r="O1868" s="55">
        <v>309</v>
      </c>
      <c r="P1868" s="56">
        <v>324.92</v>
      </c>
      <c r="Q1868" s="56">
        <v>553.74</v>
      </c>
      <c r="R1868" s="57">
        <f t="shared" si="51"/>
        <v>1.7042348885879601</v>
      </c>
      <c r="S1868" s="23">
        <v>41</v>
      </c>
      <c r="T1868" s="53">
        <v>315.45</v>
      </c>
      <c r="U1868" s="53">
        <v>345.48</v>
      </c>
      <c r="V1868" s="53">
        <v>588.77</v>
      </c>
      <c r="W1868" s="57">
        <f t="shared" si="52"/>
        <v>1.7042086372583072</v>
      </c>
      <c r="X1868" s="47">
        <v>128</v>
      </c>
      <c r="Y1868" s="23">
        <v>316.75</v>
      </c>
      <c r="Z1868" s="23">
        <v>323.64</v>
      </c>
      <c r="AA1868" s="23">
        <v>551.54</v>
      </c>
      <c r="AB1868" s="57">
        <f t="shared" si="53"/>
        <v>1.704177481151897</v>
      </c>
      <c r="AC1868" s="47">
        <v>179</v>
      </c>
      <c r="AD1868" s="57">
        <v>272.70999999999998</v>
      </c>
      <c r="AE1868" s="57">
        <v>286.08999999999997</v>
      </c>
      <c r="AF1868" s="57">
        <v>487.55</v>
      </c>
      <c r="AG1868" s="57">
        <f t="shared" si="54"/>
        <v>1.7041839980425741</v>
      </c>
      <c r="AH1868" s="47">
        <v>178</v>
      </c>
      <c r="AI1868">
        <v>283.35000000000002</v>
      </c>
      <c r="AJ1868">
        <v>296.55</v>
      </c>
      <c r="AK1868">
        <v>505.39</v>
      </c>
      <c r="AL1868" s="57">
        <f t="shared" si="41"/>
        <v>1.704232001348845</v>
      </c>
      <c r="AM1868" s="59">
        <v>12240</v>
      </c>
      <c r="AN1868" s="59">
        <f>SUMIFS(HIX_RatingAreas8[Silver Enrollments 2018],HIX_RatingAreas8[Area],HIX_SLCSP11[[#This Row],[Area Code]])</f>
        <v>10640</v>
      </c>
      <c r="AO1868" s="59">
        <f>SUMIFS(HIX_RatingAreas8[Silver Enrollments 2019],HIX_RatingAreas8[Area],HIX_SLCSP11[[#This Row],[Area Code]])</f>
        <v>10596</v>
      </c>
      <c r="AP1868" s="59">
        <f>SUMIFS(HIX_RatingAreas8[Silver Enrollments 2020],HIX_RatingAreas8[Area],HIX_SLCSP11[[#This Row],[Area Code]])</f>
        <v>10967</v>
      </c>
      <c r="AQ1868" s="59">
        <f>SUMIFS(HIX_RatingAreas8[Silver Enrollments 2021],HIX_RatingAreas8[Area],HIX_SLCSP11[[#This Row],[Area Code]])</f>
        <v>9354</v>
      </c>
      <c r="AR1868" s="59">
        <f>SUMIFS(HIX_RatingAreas8[Silver Enrollments 2022],HIX_RatingAreas8[Area],HIX_SLCSP11[[#This Row],[Area Code]])</f>
        <v>13206</v>
      </c>
      <c r="AS1868" s="59">
        <f>SUMIFS(HIX_RatingAreas8[Silver Enrollments 2023],HIX_RatingAreas8[Area],HIX_SLCSP11[[#This Row],[Area Code]])</f>
        <v>13206</v>
      </c>
      <c r="AT1868" s="59">
        <v>16180</v>
      </c>
      <c r="AU1868">
        <f t="shared" si="44"/>
        <v>2.7524824227289042E-2</v>
      </c>
      <c r="AV1868">
        <f>SUMIFS(HIX_RatingAreas8[QHP Enrollments 2018],HIX_RatingAreas8[Area],HIX_SLCSP11[[#This Row],[Area Code]])</f>
        <v>14146</v>
      </c>
      <c r="AW1868">
        <f t="shared" si="45"/>
        <v>2.9415006103000348E-2</v>
      </c>
      <c r="AX1868">
        <f>SUMIFS(HIX_RatingAreas8[QHP Enrollments 2019],HIX_RatingAreas8[Area],HIX_SLCSP11[[#This Row],[Area Code]])</f>
        <v>13631</v>
      </c>
      <c r="AY1868">
        <f t="shared" si="46"/>
        <v>2.9733638427962839E-2</v>
      </c>
      <c r="AZ1868">
        <f>SUMIFS(HIX_RatingAreas8[QHP Enrollments 2020],HIX_RatingAreas8[Area],HIX_SLCSP11[[#This Row],[Area Code]])</f>
        <v>14746</v>
      </c>
      <c r="BA1868">
        <f t="shared" si="47"/>
        <v>3.1786337867258735E-2</v>
      </c>
      <c r="BB1868">
        <f>SUMIFS(HIX_RatingAreas8[QHP Enrollments 2021],HIX_RatingAreas8[Area],HIX_SLCSP11[[#This Row],[Area Code]])</f>
        <v>15741</v>
      </c>
      <c r="BC1868">
        <f t="shared" si="48"/>
        <v>3.044015524653219E-2</v>
      </c>
      <c r="BD1868">
        <f>SUMIFS(HIX_RatingAreas8[QHP Enrollments 2022],HIX_RatingAreas8[Area],HIX_SLCSP11[[#This Row],[Area Code]])</f>
        <v>22224</v>
      </c>
      <c r="BE1868">
        <f t="shared" si="49"/>
        <v>3.1697176720603022E-2</v>
      </c>
      <c r="BF1868">
        <f>SUMIFS(HIX_RatingAreas8[QHP Enrollments 2023],HIX_RatingAreas8[Area],HIX_SLCSP11[[#This Row],[Area Code]])</f>
        <v>22224</v>
      </c>
      <c r="BG1868">
        <f t="shared" ref="BG1868:BG1882" si="55">BF1868/BF$1866</f>
        <v>3.1697176720603022E-2</v>
      </c>
      <c r="BH1868" s="53">
        <f>ROUND(HIX_SLCSP11[[#This Row],[Weighting Factor 2018]]*HIX_SLCSP11[[#This Row],[2018]],2)</f>
        <v>9.76</v>
      </c>
      <c r="BI1868" s="53">
        <f>ROUND(HIX_SLCSP11[[#This Row],[Weighting Factor 2019]]*HIX_SLCSP11[[#This Row],[2019]],2)</f>
        <v>9.66</v>
      </c>
      <c r="BJ1868" s="53">
        <f>ROUND(HIX_SLCSP11[[#This Row],[Weighting Factor 2020]]*HIX_SLCSP11[[#This Row],[2020]],2)</f>
        <v>10.98</v>
      </c>
      <c r="BK1868" s="53">
        <f>ROUND(HIX_SLCSP11[[#This Row],[Weighting Factor 2021]]*HIX_SLCSP11[[#This Row],[2021]],2)</f>
        <v>9.85</v>
      </c>
      <c r="BL1868" s="53">
        <f>ROUND(HIX_SLCSP11[[#This Row],[Weighting Factor 2022]]*HIX_SLCSP11[[#This Row],[2022]],2)</f>
        <v>9.07</v>
      </c>
      <c r="BM1868" s="53">
        <f>ROUND(HIX_SLCSP11[[#This Row],[Weighting Factor 2023]]*HIX_SLCSP11[[#This Row],[2023]],2)</f>
        <v>9.4</v>
      </c>
    </row>
    <row r="1869" spans="4:65" x14ac:dyDescent="0.35">
      <c r="D1869" t="s">
        <v>780</v>
      </c>
      <c r="E1869" t="s">
        <v>239</v>
      </c>
      <c r="F1869" s="23">
        <v>3</v>
      </c>
      <c r="G1869" s="23" t="s">
        <v>781</v>
      </c>
      <c r="H1869" s="23" t="s">
        <v>815</v>
      </c>
      <c r="I1869" s="23">
        <v>147</v>
      </c>
      <c r="J1869" s="53">
        <v>342</v>
      </c>
      <c r="K1869" s="53">
        <v>346.16</v>
      </c>
      <c r="L1869" s="53">
        <v>589.92999999999995</v>
      </c>
      <c r="M1869" s="54">
        <f t="shared" si="50"/>
        <v>1.704211925121331</v>
      </c>
      <c r="N1869" s="24">
        <v>126</v>
      </c>
      <c r="O1869" s="55">
        <v>359.45</v>
      </c>
      <c r="P1869" s="56">
        <v>360.62</v>
      </c>
      <c r="Q1869" s="56">
        <v>614.57000000000005</v>
      </c>
      <c r="R1869" s="57">
        <f t="shared" si="51"/>
        <v>1.7042038711108647</v>
      </c>
      <c r="S1869" s="23">
        <v>147</v>
      </c>
      <c r="T1869" s="53">
        <v>343.28</v>
      </c>
      <c r="U1869" s="53">
        <v>348.46</v>
      </c>
      <c r="V1869" s="53">
        <v>593.84</v>
      </c>
      <c r="W1869" s="57">
        <f t="shared" si="52"/>
        <v>1.7041841244332205</v>
      </c>
      <c r="X1869" s="47">
        <v>193</v>
      </c>
      <c r="Y1869" s="23">
        <v>279.89</v>
      </c>
      <c r="Z1869" s="23">
        <v>285.98</v>
      </c>
      <c r="AA1869" s="23">
        <v>487.36</v>
      </c>
      <c r="AB1869" s="57">
        <f t="shared" si="53"/>
        <v>1.7041751171410588</v>
      </c>
      <c r="AC1869" s="47">
        <v>338</v>
      </c>
      <c r="AD1869" s="57">
        <v>283.41000000000003</v>
      </c>
      <c r="AE1869" s="57">
        <v>292.38</v>
      </c>
      <c r="AF1869" s="57">
        <v>498.28</v>
      </c>
      <c r="AG1869" s="57">
        <f t="shared" si="54"/>
        <v>1.7042205349203092</v>
      </c>
      <c r="AH1869" s="47">
        <v>382</v>
      </c>
      <c r="AI1869">
        <v>294.82</v>
      </c>
      <c r="AJ1869">
        <v>304.08</v>
      </c>
      <c r="AK1869">
        <v>518.22</v>
      </c>
      <c r="AL1869" s="57">
        <f t="shared" si="41"/>
        <v>1.7042225730071037</v>
      </c>
      <c r="AM1869" s="59">
        <v>276722</v>
      </c>
      <c r="AN1869" s="59">
        <f>SUMIFS(HIX_RatingAreas8[Silver Enrollments 2018],HIX_RatingAreas8[Area],HIX_SLCSP11[[#This Row],[Area Code]])</f>
        <v>248071</v>
      </c>
      <c r="AO1869" s="59">
        <f>SUMIFS(HIX_RatingAreas8[Silver Enrollments 2019],HIX_RatingAreas8[Area],HIX_SLCSP11[[#This Row],[Area Code]])</f>
        <v>217547</v>
      </c>
      <c r="AP1869" s="59">
        <f>SUMIFS(HIX_RatingAreas8[Silver Enrollments 2020],HIX_RatingAreas8[Area],HIX_SLCSP11[[#This Row],[Area Code]])</f>
        <v>217272</v>
      </c>
      <c r="AQ1869" s="59">
        <f>SUMIFS(HIX_RatingAreas8[Silver Enrollments 2021],HIX_RatingAreas8[Area],HIX_SLCSP11[[#This Row],[Area Code]])</f>
        <v>242459</v>
      </c>
      <c r="AR1869" s="59">
        <f>SUMIFS(HIX_RatingAreas8[Silver Enrollments 2022],HIX_RatingAreas8[Area],HIX_SLCSP11[[#This Row],[Area Code]])</f>
        <v>314404</v>
      </c>
      <c r="AS1869" s="59">
        <f>SUMIFS(HIX_RatingAreas8[Silver Enrollments 2023],HIX_RatingAreas8[Area],HIX_SLCSP11[[#This Row],[Area Code]])</f>
        <v>314404</v>
      </c>
      <c r="AT1869" s="59">
        <v>369625</v>
      </c>
      <c r="AU1869">
        <f t="shared" si="44"/>
        <v>0.628792531212096</v>
      </c>
      <c r="AV1869">
        <f>SUMIFS(HIX_RatingAreas8[QHP Enrollments 2018],HIX_RatingAreas8[Area],HIX_SLCSP11[[#This Row],[Area Code]])</f>
        <v>314506</v>
      </c>
      <c r="AW1869">
        <f t="shared" si="45"/>
        <v>0.65397963448538299</v>
      </c>
      <c r="AX1869">
        <f>SUMIFS(HIX_RatingAreas8[QHP Enrollments 2019],HIX_RatingAreas8[Area],HIX_SLCSP11[[#This Row],[Area Code]])</f>
        <v>296123</v>
      </c>
      <c r="AY1869">
        <f t="shared" si="46"/>
        <v>0.64594044547015184</v>
      </c>
      <c r="AZ1869">
        <f>SUMIFS(HIX_RatingAreas8[QHP Enrollments 2020],HIX_RatingAreas8[Area],HIX_SLCSP11[[#This Row],[Area Code]])</f>
        <v>301053</v>
      </c>
      <c r="BA1869">
        <f t="shared" si="47"/>
        <v>0.64894699402901423</v>
      </c>
      <c r="BB1869">
        <f>SUMIFS(HIX_RatingAreas8[QHP Enrollments 2021],HIX_RatingAreas8[Area],HIX_SLCSP11[[#This Row],[Area Code]])</f>
        <v>341667</v>
      </c>
      <c r="BC1869">
        <f t="shared" si="48"/>
        <v>0.66072019075134447</v>
      </c>
      <c r="BD1869">
        <f>SUMIFS(HIX_RatingAreas8[QHP Enrollments 2022],HIX_RatingAreas8[Area],HIX_SLCSP11[[#This Row],[Area Code]])</f>
        <v>455741</v>
      </c>
      <c r="BE1869">
        <f t="shared" si="49"/>
        <v>0.65000463534126807</v>
      </c>
      <c r="BF1869">
        <f>SUMIFS(HIX_RatingAreas8[QHP Enrollments 2023],HIX_RatingAreas8[Area],HIX_SLCSP11[[#This Row],[Area Code]])</f>
        <v>455741</v>
      </c>
      <c r="BG1869">
        <f t="shared" si="55"/>
        <v>0.65000463534126807</v>
      </c>
      <c r="BH1869" s="53">
        <f>ROUND(HIX_SLCSP11[[#This Row],[Weighting Factor 2018]]*HIX_SLCSP11[[#This Row],[2018]],2)</f>
        <v>226.38</v>
      </c>
      <c r="BI1869" s="53">
        <f>ROUND(HIX_SLCSP11[[#This Row],[Weighting Factor 2019]]*HIX_SLCSP11[[#This Row],[2019]],2)</f>
        <v>232.94</v>
      </c>
      <c r="BJ1869" s="53">
        <f>ROUND(HIX_SLCSP11[[#This Row],[Weighting Factor 2020]]*HIX_SLCSP11[[#This Row],[2020]],2)</f>
        <v>226.13</v>
      </c>
      <c r="BK1869" s="53">
        <f>ROUND(HIX_SLCSP11[[#This Row],[Weighting Factor 2021]]*HIX_SLCSP11[[#This Row],[2021]],2)</f>
        <v>188.95</v>
      </c>
      <c r="BL1869" s="53">
        <f>ROUND(HIX_SLCSP11[[#This Row],[Weighting Factor 2022]]*HIX_SLCSP11[[#This Row],[2022]],2)</f>
        <v>190.05</v>
      </c>
      <c r="BM1869" s="53">
        <f>ROUND(HIX_SLCSP11[[#This Row],[Weighting Factor 2023]]*HIX_SLCSP11[[#This Row],[2023]],2)</f>
        <v>197.65</v>
      </c>
    </row>
    <row r="1870" spans="4:65" x14ac:dyDescent="0.35">
      <c r="D1870" t="s">
        <v>780</v>
      </c>
      <c r="E1870" t="s">
        <v>255</v>
      </c>
      <c r="F1870" s="23">
        <v>4</v>
      </c>
      <c r="G1870" s="23" t="s">
        <v>781</v>
      </c>
      <c r="H1870" s="23" t="s">
        <v>849</v>
      </c>
      <c r="I1870" s="23">
        <v>8</v>
      </c>
      <c r="J1870" s="53">
        <v>546.47</v>
      </c>
      <c r="K1870" s="53">
        <v>570.79</v>
      </c>
      <c r="L1870" s="53">
        <v>972.74</v>
      </c>
      <c r="M1870" s="54">
        <f t="shared" si="50"/>
        <v>1.7041994428774156</v>
      </c>
      <c r="N1870" s="24">
        <v>8</v>
      </c>
      <c r="O1870" s="55">
        <v>596.75</v>
      </c>
      <c r="P1870" s="56">
        <v>715.35</v>
      </c>
      <c r="Q1870" s="56">
        <v>1219.1099999999999</v>
      </c>
      <c r="R1870" s="57">
        <f t="shared" si="51"/>
        <v>1.7042147200670998</v>
      </c>
      <c r="S1870" s="23">
        <v>8</v>
      </c>
      <c r="T1870" s="53">
        <v>594.20000000000005</v>
      </c>
      <c r="U1870" s="53">
        <v>680.13</v>
      </c>
      <c r="V1870" s="53">
        <v>1159.08</v>
      </c>
      <c r="W1870" s="57">
        <f t="shared" si="52"/>
        <v>1.7042036081337391</v>
      </c>
      <c r="X1870" s="47">
        <v>104</v>
      </c>
      <c r="Y1870" s="58">
        <v>345</v>
      </c>
      <c r="Z1870" s="58">
        <v>352.5</v>
      </c>
      <c r="AA1870" s="58">
        <v>600.73</v>
      </c>
      <c r="AB1870" s="57">
        <f t="shared" si="53"/>
        <v>1.7041985815602838</v>
      </c>
      <c r="AC1870" s="47">
        <v>155</v>
      </c>
      <c r="AD1870" s="57">
        <v>244.98</v>
      </c>
      <c r="AE1870" s="57">
        <v>257</v>
      </c>
      <c r="AF1870" s="57">
        <v>437.98</v>
      </c>
      <c r="AG1870" s="57">
        <f t="shared" si="54"/>
        <v>1.7042023346303503</v>
      </c>
      <c r="AH1870" s="47">
        <v>170</v>
      </c>
      <c r="AI1870">
        <v>245.79</v>
      </c>
      <c r="AJ1870">
        <v>246.41</v>
      </c>
      <c r="AK1870">
        <v>419.94</v>
      </c>
      <c r="AL1870" s="57">
        <f t="shared" si="41"/>
        <v>1.70423278276044</v>
      </c>
      <c r="AM1870" s="59">
        <v>6975</v>
      </c>
      <c r="AN1870" s="59">
        <f>SUMIFS(HIX_RatingAreas8[Silver Enrollments 2018],HIX_RatingAreas8[Area],HIX_SLCSP11[[#This Row],[Area Code]])</f>
        <v>5160</v>
      </c>
      <c r="AO1870" s="59">
        <f>SUMIFS(HIX_RatingAreas8[Silver Enrollments 2019],HIX_RatingAreas8[Area],HIX_SLCSP11[[#This Row],[Area Code]])</f>
        <v>5096</v>
      </c>
      <c r="AP1870" s="59">
        <f>SUMIFS(HIX_RatingAreas8[Silver Enrollments 2020],HIX_RatingAreas8[Area],HIX_SLCSP11[[#This Row],[Area Code]])</f>
        <v>4957</v>
      </c>
      <c r="AQ1870" s="59">
        <f>SUMIFS(HIX_RatingAreas8[Silver Enrollments 2021],HIX_RatingAreas8[Area],HIX_SLCSP11[[#This Row],[Area Code]])</f>
        <v>4794</v>
      </c>
      <c r="AR1870" s="59">
        <f>SUMIFS(HIX_RatingAreas8[Silver Enrollments 2022],HIX_RatingAreas8[Area],HIX_SLCSP11[[#This Row],[Area Code]])</f>
        <v>6180</v>
      </c>
      <c r="AS1870" s="59">
        <f>SUMIFS(HIX_RatingAreas8[Silver Enrollments 2023],HIX_RatingAreas8[Area],HIX_SLCSP11[[#This Row],[Area Code]])</f>
        <v>6180</v>
      </c>
      <c r="AT1870" s="59">
        <v>9072</v>
      </c>
      <c r="AU1870">
        <f t="shared" si="44"/>
        <v>1.5432954597649332E-2</v>
      </c>
      <c r="AV1870">
        <f>SUMIFS(HIX_RatingAreas8[QHP Enrollments 2018],HIX_RatingAreas8[Area],HIX_SLCSP11[[#This Row],[Area Code]])</f>
        <v>6252</v>
      </c>
      <c r="AW1870">
        <f t="shared" si="45"/>
        <v>1.3000326463732375E-2</v>
      </c>
      <c r="AX1870">
        <f>SUMIFS(HIX_RatingAreas8[QHP Enrollments 2019],HIX_RatingAreas8[Area],HIX_SLCSP11[[#This Row],[Area Code]])</f>
        <v>6064</v>
      </c>
      <c r="AY1870">
        <f t="shared" si="46"/>
        <v>1.3227553622417039E-2</v>
      </c>
      <c r="AZ1870">
        <f>SUMIFS(HIX_RatingAreas8[QHP Enrollments 2020],HIX_RatingAreas8[Area],HIX_SLCSP11[[#This Row],[Area Code]])</f>
        <v>6207</v>
      </c>
      <c r="BA1870">
        <f t="shared" si="47"/>
        <v>1.3379750382617317E-2</v>
      </c>
      <c r="BB1870">
        <f>SUMIFS(HIX_RatingAreas8[QHP Enrollments 2021],HIX_RatingAreas8[Area],HIX_SLCSP11[[#This Row],[Area Code]])</f>
        <v>6709</v>
      </c>
      <c r="BC1870">
        <f t="shared" si="48"/>
        <v>1.2973953468584236E-2</v>
      </c>
      <c r="BD1870">
        <f>SUMIFS(HIX_RatingAreas8[QHP Enrollments 2022],HIX_RatingAreas8[Area],HIX_SLCSP11[[#This Row],[Area Code]])</f>
        <v>8353</v>
      </c>
      <c r="BE1870">
        <f t="shared" si="49"/>
        <v>1.1913540188408794E-2</v>
      </c>
      <c r="BF1870">
        <f>SUMIFS(HIX_RatingAreas8[QHP Enrollments 2023],HIX_RatingAreas8[Area],HIX_SLCSP11[[#This Row],[Area Code]])</f>
        <v>8353</v>
      </c>
      <c r="BG1870">
        <f t="shared" si="55"/>
        <v>1.1913540188408794E-2</v>
      </c>
      <c r="BH1870" s="53">
        <f>ROUND(HIX_SLCSP11[[#This Row],[Weighting Factor 2018]]*HIX_SLCSP11[[#This Row],[2018]],2)</f>
        <v>7.42</v>
      </c>
      <c r="BI1870" s="53">
        <f>ROUND(HIX_SLCSP11[[#This Row],[Weighting Factor 2019]]*HIX_SLCSP11[[#This Row],[2019]],2)</f>
        <v>9.4600000000000009</v>
      </c>
      <c r="BJ1870" s="53">
        <f>ROUND(HIX_SLCSP11[[#This Row],[Weighting Factor 2020]]*HIX_SLCSP11[[#This Row],[2020]],2)</f>
        <v>9.1</v>
      </c>
      <c r="BK1870" s="53">
        <f>ROUND(HIX_SLCSP11[[#This Row],[Weighting Factor 2021]]*HIX_SLCSP11[[#This Row],[2021]],2)</f>
        <v>4.57</v>
      </c>
      <c r="BL1870" s="53">
        <f>ROUND(HIX_SLCSP11[[#This Row],[Weighting Factor 2022]]*HIX_SLCSP11[[#This Row],[2022]],2)</f>
        <v>3.06</v>
      </c>
      <c r="BM1870" s="53">
        <f>ROUND(HIX_SLCSP11[[#This Row],[Weighting Factor 2023]]*HIX_SLCSP11[[#This Row],[2023]],2)</f>
        <v>2.94</v>
      </c>
    </row>
    <row r="1871" spans="4:65" x14ac:dyDescent="0.35">
      <c r="D1871" t="s">
        <v>780</v>
      </c>
      <c r="E1871" t="s">
        <v>259</v>
      </c>
      <c r="F1871" s="23">
        <v>5</v>
      </c>
      <c r="G1871" s="23" t="s">
        <v>781</v>
      </c>
      <c r="H1871" s="23" t="s">
        <v>855</v>
      </c>
      <c r="I1871" s="23">
        <v>52</v>
      </c>
      <c r="J1871" s="53">
        <v>380.83</v>
      </c>
      <c r="K1871" s="53">
        <v>396.25</v>
      </c>
      <c r="L1871" s="53">
        <v>675.29</v>
      </c>
      <c r="M1871" s="54">
        <f t="shared" si="50"/>
        <v>1.7042018927444793</v>
      </c>
      <c r="N1871" s="24">
        <v>16</v>
      </c>
      <c r="O1871" s="55">
        <v>388.3</v>
      </c>
      <c r="P1871" s="56">
        <v>401.94</v>
      </c>
      <c r="Q1871" s="56">
        <v>684.98</v>
      </c>
      <c r="R1871" s="57">
        <f t="shared" si="51"/>
        <v>1.7041847041847042</v>
      </c>
      <c r="S1871" s="23">
        <v>52</v>
      </c>
      <c r="T1871" s="53">
        <v>328.98</v>
      </c>
      <c r="U1871" s="53">
        <v>360.3</v>
      </c>
      <c r="V1871" s="53">
        <v>614.03</v>
      </c>
      <c r="W1871" s="57">
        <f t="shared" si="52"/>
        <v>1.7042187066333609</v>
      </c>
      <c r="X1871" s="47">
        <v>124</v>
      </c>
      <c r="Y1871" s="58">
        <v>282.66000000000003</v>
      </c>
      <c r="Z1871" s="58">
        <v>277.55</v>
      </c>
      <c r="AA1871" s="58">
        <v>473</v>
      </c>
      <c r="AB1871" s="57">
        <f t="shared" si="53"/>
        <v>1.7041974419023598</v>
      </c>
      <c r="AC1871" s="47">
        <v>151</v>
      </c>
      <c r="AD1871" s="57">
        <v>275.88</v>
      </c>
      <c r="AE1871" s="57">
        <v>289.42</v>
      </c>
      <c r="AF1871" s="57">
        <v>493.22</v>
      </c>
      <c r="AG1871" s="57">
        <f t="shared" si="54"/>
        <v>1.7041669545988529</v>
      </c>
      <c r="AH1871" s="47">
        <v>206</v>
      </c>
      <c r="AI1871">
        <v>298.22000000000003</v>
      </c>
      <c r="AJ1871">
        <v>312.11</v>
      </c>
      <c r="AK1871">
        <v>531.91</v>
      </c>
      <c r="AL1871" s="57">
        <f t="shared" si="41"/>
        <v>1.7042388901348882</v>
      </c>
      <c r="AM1871" s="59">
        <v>18495</v>
      </c>
      <c r="AN1871" s="59">
        <f>SUMIFS(HIX_RatingAreas8[Silver Enrollments 2018],HIX_RatingAreas8[Area],HIX_SLCSP11[[#This Row],[Area Code]])</f>
        <v>12890</v>
      </c>
      <c r="AO1871" s="59">
        <f>SUMIFS(HIX_RatingAreas8[Silver Enrollments 2019],HIX_RatingAreas8[Area],HIX_SLCSP11[[#This Row],[Area Code]])</f>
        <v>11938</v>
      </c>
      <c r="AP1871" s="59">
        <f>SUMIFS(HIX_RatingAreas8[Silver Enrollments 2020],HIX_RatingAreas8[Area],HIX_SLCSP11[[#This Row],[Area Code]])</f>
        <v>10664</v>
      </c>
      <c r="AQ1871" s="59">
        <f>SUMIFS(HIX_RatingAreas8[Silver Enrollments 2021],HIX_RatingAreas8[Area],HIX_SLCSP11[[#This Row],[Area Code]])</f>
        <v>9926</v>
      </c>
      <c r="AR1871" s="59">
        <f>SUMIFS(HIX_RatingAreas8[Silver Enrollments 2022],HIX_RatingAreas8[Area],HIX_SLCSP11[[#This Row],[Area Code]])</f>
        <v>14291</v>
      </c>
      <c r="AS1871" s="59">
        <f>SUMIFS(HIX_RatingAreas8[Silver Enrollments 2023],HIX_RatingAreas8[Area],HIX_SLCSP11[[#This Row],[Area Code]])</f>
        <v>14291</v>
      </c>
      <c r="AT1871" s="59">
        <v>23119</v>
      </c>
      <c r="AU1871">
        <f t="shared" si="44"/>
        <v>3.9329197237991061E-2</v>
      </c>
      <c r="AV1871">
        <f>SUMIFS(HIX_RatingAreas8[QHP Enrollments 2018],HIX_RatingAreas8[Area],HIX_SLCSP11[[#This Row],[Area Code]])</f>
        <v>15677</v>
      </c>
      <c r="AW1871">
        <f t="shared" si="45"/>
        <v>3.2598547340360273E-2</v>
      </c>
      <c r="AX1871">
        <f>SUMIFS(HIX_RatingAreas8[QHP Enrollments 2019],HIX_RatingAreas8[Area],HIX_SLCSP11[[#This Row],[Area Code]])</f>
        <v>14825</v>
      </c>
      <c r="AY1871">
        <f t="shared" si="46"/>
        <v>3.2338140246097068E-2</v>
      </c>
      <c r="AZ1871">
        <f>SUMIFS(HIX_RatingAreas8[QHP Enrollments 2020],HIX_RatingAreas8[Area],HIX_SLCSP11[[#This Row],[Area Code]])</f>
        <v>15128</v>
      </c>
      <c r="BA1871">
        <f t="shared" si="47"/>
        <v>3.2609773447435923E-2</v>
      </c>
      <c r="BB1871">
        <f>SUMIFS(HIX_RatingAreas8[QHP Enrollments 2021],HIX_RatingAreas8[Area],HIX_SLCSP11[[#This Row],[Area Code]])</f>
        <v>14795</v>
      </c>
      <c r="BC1871">
        <f t="shared" si="48"/>
        <v>2.8610767859249334E-2</v>
      </c>
      <c r="BD1871">
        <f>SUMIFS(HIX_RatingAreas8[QHP Enrollments 2022],HIX_RatingAreas8[Area],HIX_SLCSP11[[#This Row],[Area Code]])</f>
        <v>20719</v>
      </c>
      <c r="BE1871">
        <f t="shared" si="49"/>
        <v>2.9550657148765931E-2</v>
      </c>
      <c r="BF1871">
        <f>SUMIFS(HIX_RatingAreas8[QHP Enrollments 2023],HIX_RatingAreas8[Area],HIX_SLCSP11[[#This Row],[Area Code]])</f>
        <v>20719</v>
      </c>
      <c r="BG1871">
        <f t="shared" si="55"/>
        <v>2.9550657148765931E-2</v>
      </c>
      <c r="BH1871" s="53">
        <f>ROUND(HIX_SLCSP11[[#This Row],[Weighting Factor 2018]]*HIX_SLCSP11[[#This Row],[2018]],2)</f>
        <v>12.92</v>
      </c>
      <c r="BI1871" s="53">
        <f>ROUND(HIX_SLCSP11[[#This Row],[Weighting Factor 2019]]*HIX_SLCSP11[[#This Row],[2019]],2)</f>
        <v>13</v>
      </c>
      <c r="BJ1871" s="53">
        <f>ROUND(HIX_SLCSP11[[#This Row],[Weighting Factor 2020]]*HIX_SLCSP11[[#This Row],[2020]],2)</f>
        <v>11.75</v>
      </c>
      <c r="BK1871" s="53">
        <f>ROUND(HIX_SLCSP11[[#This Row],[Weighting Factor 2021]]*HIX_SLCSP11[[#This Row],[2021]],2)</f>
        <v>7.94</v>
      </c>
      <c r="BL1871" s="53">
        <f>ROUND(HIX_SLCSP11[[#This Row],[Weighting Factor 2022]]*HIX_SLCSP11[[#This Row],[2022]],2)</f>
        <v>8.5500000000000007</v>
      </c>
      <c r="BM1871" s="53">
        <f>ROUND(HIX_SLCSP11[[#This Row],[Weighting Factor 2023]]*HIX_SLCSP11[[#This Row],[2023]],2)</f>
        <v>9.2200000000000006</v>
      </c>
    </row>
    <row r="1872" spans="4:65" x14ac:dyDescent="0.35">
      <c r="D1872" t="s">
        <v>780</v>
      </c>
      <c r="E1872" t="s">
        <v>265</v>
      </c>
      <c r="F1872" s="23">
        <v>6</v>
      </c>
      <c r="G1872" s="23" t="s">
        <v>781</v>
      </c>
      <c r="H1872" s="23" t="s">
        <v>877</v>
      </c>
      <c r="I1872" s="23">
        <v>32</v>
      </c>
      <c r="J1872" s="53">
        <v>524.01</v>
      </c>
      <c r="K1872" s="53">
        <v>547.33000000000004</v>
      </c>
      <c r="L1872" s="53">
        <v>932.76</v>
      </c>
      <c r="M1872" s="54">
        <f t="shared" si="50"/>
        <v>1.7042003909889827</v>
      </c>
      <c r="N1872" s="24">
        <v>52</v>
      </c>
      <c r="O1872" s="55">
        <v>288.85000000000002</v>
      </c>
      <c r="P1872" s="56">
        <v>303.73</v>
      </c>
      <c r="Q1872" s="56">
        <v>517.62</v>
      </c>
      <c r="R1872" s="57">
        <f t="shared" si="51"/>
        <v>1.7042109768544429</v>
      </c>
      <c r="S1872" s="23">
        <v>32</v>
      </c>
      <c r="T1872" s="53">
        <v>310.23</v>
      </c>
      <c r="U1872" s="53">
        <v>339.76</v>
      </c>
      <c r="V1872" s="53">
        <v>579.03</v>
      </c>
      <c r="W1872" s="57">
        <f t="shared" si="52"/>
        <v>1.7042323993407111</v>
      </c>
      <c r="X1872" s="47">
        <v>120</v>
      </c>
      <c r="Y1872" s="58">
        <v>287.14</v>
      </c>
      <c r="Z1872" s="58">
        <v>293.39</v>
      </c>
      <c r="AA1872" s="58">
        <v>499.99</v>
      </c>
      <c r="AB1872" s="57">
        <f t="shared" si="53"/>
        <v>1.7041821466307647</v>
      </c>
      <c r="AC1872" s="47">
        <v>117</v>
      </c>
      <c r="AD1872" s="57">
        <v>211.97</v>
      </c>
      <c r="AE1872" s="57">
        <v>222.37</v>
      </c>
      <c r="AF1872" s="57">
        <v>378.96</v>
      </c>
      <c r="AG1872" s="57">
        <f t="shared" si="54"/>
        <v>1.7041867158339703</v>
      </c>
      <c r="AH1872" s="47">
        <v>112</v>
      </c>
      <c r="AI1872">
        <v>265.16000000000003</v>
      </c>
      <c r="AJ1872">
        <v>265.83</v>
      </c>
      <c r="AK1872">
        <v>453.03</v>
      </c>
      <c r="AL1872" s="57">
        <f t="shared" si="41"/>
        <v>1.7042094571718767</v>
      </c>
      <c r="AM1872" s="59">
        <v>10525</v>
      </c>
      <c r="AN1872" s="59">
        <f>SUMIFS(HIX_RatingAreas8[Silver Enrollments 2018],HIX_RatingAreas8[Area],HIX_SLCSP11[[#This Row],[Area Code]])</f>
        <v>6958</v>
      </c>
      <c r="AO1872" s="59">
        <f>SUMIFS(HIX_RatingAreas8[Silver Enrollments 2019],HIX_RatingAreas8[Area],HIX_SLCSP11[[#This Row],[Area Code]])</f>
        <v>6795</v>
      </c>
      <c r="AP1872" s="59">
        <f>SUMIFS(HIX_RatingAreas8[Silver Enrollments 2020],HIX_RatingAreas8[Area],HIX_SLCSP11[[#This Row],[Area Code]])</f>
        <v>6761</v>
      </c>
      <c r="AQ1872" s="59">
        <f>SUMIFS(HIX_RatingAreas8[Silver Enrollments 2021],HIX_RatingAreas8[Area],HIX_SLCSP11[[#This Row],[Area Code]])</f>
        <v>5619</v>
      </c>
      <c r="AR1872" s="59">
        <f>SUMIFS(HIX_RatingAreas8[Silver Enrollments 2022],HIX_RatingAreas8[Area],HIX_SLCSP11[[#This Row],[Area Code]])</f>
        <v>7730</v>
      </c>
      <c r="AS1872" s="59">
        <f>SUMIFS(HIX_RatingAreas8[Silver Enrollments 2023],HIX_RatingAreas8[Area],HIX_SLCSP11[[#This Row],[Area Code]])</f>
        <v>7730</v>
      </c>
      <c r="AT1872" s="59">
        <v>13442</v>
      </c>
      <c r="AU1872">
        <f t="shared" si="44"/>
        <v>2.2867038767813309E-2</v>
      </c>
      <c r="AV1872">
        <f>SUMIFS(HIX_RatingAreas8[QHP Enrollments 2018],HIX_RatingAreas8[Area],HIX_SLCSP11[[#This Row],[Area Code]])</f>
        <v>8781</v>
      </c>
      <c r="AW1872">
        <f t="shared" si="45"/>
        <v>1.8259095757842927E-2</v>
      </c>
      <c r="AX1872">
        <f>SUMIFS(HIX_RatingAreas8[QHP Enrollments 2019],HIX_RatingAreas8[Area],HIX_SLCSP11[[#This Row],[Area Code]])</f>
        <v>8648</v>
      </c>
      <c r="AY1872">
        <f t="shared" si="46"/>
        <v>1.8864096920623772E-2</v>
      </c>
      <c r="AZ1872">
        <f>SUMIFS(HIX_RatingAreas8[QHP Enrollments 2020],HIX_RatingAreas8[Area],HIX_SLCSP11[[#This Row],[Area Code]])</f>
        <v>8940</v>
      </c>
      <c r="BA1872">
        <f t="shared" si="47"/>
        <v>1.9270979284775065E-2</v>
      </c>
      <c r="BB1872">
        <f>SUMIFS(HIX_RatingAreas8[QHP Enrollments 2021],HIX_RatingAreas8[Area],HIX_SLCSP11[[#This Row],[Area Code]])</f>
        <v>9608</v>
      </c>
      <c r="BC1872">
        <f t="shared" si="48"/>
        <v>1.8580078242086351E-2</v>
      </c>
      <c r="BD1872">
        <f>SUMIFS(HIX_RatingAreas8[QHP Enrollments 2022],HIX_RatingAreas8[Area],HIX_SLCSP11[[#This Row],[Area Code]])</f>
        <v>13243</v>
      </c>
      <c r="BE1872">
        <f t="shared" si="49"/>
        <v>1.8887945973314696E-2</v>
      </c>
      <c r="BF1872">
        <f>SUMIFS(HIX_RatingAreas8[QHP Enrollments 2023],HIX_RatingAreas8[Area],HIX_SLCSP11[[#This Row],[Area Code]])</f>
        <v>13243</v>
      </c>
      <c r="BG1872">
        <f t="shared" si="55"/>
        <v>1.8887945973314696E-2</v>
      </c>
      <c r="BH1872" s="53">
        <f>ROUND(HIX_SLCSP11[[#This Row],[Weighting Factor 2018]]*HIX_SLCSP11[[#This Row],[2018]],2)</f>
        <v>9.99</v>
      </c>
      <c r="BI1872" s="53">
        <f>ROUND(HIX_SLCSP11[[#This Row],[Weighting Factor 2019]]*HIX_SLCSP11[[#This Row],[2019]],2)</f>
        <v>5.73</v>
      </c>
      <c r="BJ1872" s="53">
        <f>ROUND(HIX_SLCSP11[[#This Row],[Weighting Factor 2020]]*HIX_SLCSP11[[#This Row],[2020]],2)</f>
        <v>6.55</v>
      </c>
      <c r="BK1872" s="53">
        <f>ROUND(HIX_SLCSP11[[#This Row],[Weighting Factor 2021]]*HIX_SLCSP11[[#This Row],[2021]],2)</f>
        <v>5.45</v>
      </c>
      <c r="BL1872" s="53">
        <f>ROUND(HIX_SLCSP11[[#This Row],[Weighting Factor 2022]]*HIX_SLCSP11[[#This Row],[2022]],2)</f>
        <v>4.2</v>
      </c>
      <c r="BM1872" s="53">
        <f>ROUND(HIX_SLCSP11[[#This Row],[Weighting Factor 2023]]*HIX_SLCSP11[[#This Row],[2023]],2)</f>
        <v>5.0199999999999996</v>
      </c>
    </row>
    <row r="1873" spans="4:65" x14ac:dyDescent="0.35">
      <c r="D1873" t="s">
        <v>780</v>
      </c>
      <c r="E1873" t="s">
        <v>273</v>
      </c>
      <c r="F1873" s="23">
        <v>7</v>
      </c>
      <c r="G1873" s="23" t="s">
        <v>781</v>
      </c>
      <c r="H1873" s="23" t="s">
        <v>896</v>
      </c>
      <c r="I1873" s="23">
        <v>12</v>
      </c>
      <c r="J1873" s="53">
        <v>414.68</v>
      </c>
      <c r="K1873" s="53">
        <v>517.14</v>
      </c>
      <c r="L1873" s="53">
        <v>881.3</v>
      </c>
      <c r="M1873" s="54">
        <f t="shared" si="50"/>
        <v>1.7041806860811386</v>
      </c>
      <c r="N1873" s="24">
        <v>44</v>
      </c>
      <c r="O1873" s="55">
        <v>341.53</v>
      </c>
      <c r="P1873" s="56">
        <v>359.13</v>
      </c>
      <c r="Q1873" s="56">
        <v>612.02</v>
      </c>
      <c r="R1873" s="57">
        <f t="shared" si="51"/>
        <v>1.7041739759975496</v>
      </c>
      <c r="S1873" s="23">
        <v>12</v>
      </c>
      <c r="T1873" s="53">
        <v>346.98</v>
      </c>
      <c r="U1873" s="53">
        <v>380.02</v>
      </c>
      <c r="V1873" s="53">
        <v>647.62</v>
      </c>
      <c r="W1873" s="57">
        <f t="shared" si="52"/>
        <v>1.7041734645544973</v>
      </c>
      <c r="X1873" s="47">
        <v>104</v>
      </c>
      <c r="Y1873" s="58">
        <v>305.42</v>
      </c>
      <c r="Z1873" s="58">
        <v>312.06</v>
      </c>
      <c r="AA1873" s="58">
        <v>531.80999999999995</v>
      </c>
      <c r="AB1873" s="57">
        <f t="shared" si="53"/>
        <v>1.704191501634301</v>
      </c>
      <c r="AC1873" s="47">
        <v>155</v>
      </c>
      <c r="AD1873" s="57">
        <v>262.01</v>
      </c>
      <c r="AE1873" s="57">
        <v>274.87</v>
      </c>
      <c r="AF1873" s="57">
        <v>468.44</v>
      </c>
      <c r="AG1873" s="57">
        <f t="shared" si="54"/>
        <v>1.7042238148943136</v>
      </c>
      <c r="AH1873" s="47">
        <v>138</v>
      </c>
      <c r="AI1873">
        <v>293.43</v>
      </c>
      <c r="AJ1873">
        <v>294.18</v>
      </c>
      <c r="AK1873">
        <v>501.33</v>
      </c>
      <c r="AL1873" s="57">
        <f t="shared" si="41"/>
        <v>1.7041607179277991</v>
      </c>
      <c r="AM1873" s="59">
        <v>4784</v>
      </c>
      <c r="AN1873" s="59">
        <f>SUMIFS(HIX_RatingAreas8[Silver Enrollments 2018],HIX_RatingAreas8[Area],HIX_SLCSP11[[#This Row],[Area Code]])</f>
        <v>3129</v>
      </c>
      <c r="AO1873" s="59">
        <f>SUMIFS(HIX_RatingAreas8[Silver Enrollments 2019],HIX_RatingAreas8[Area],HIX_SLCSP11[[#This Row],[Area Code]])</f>
        <v>3635</v>
      </c>
      <c r="AP1873" s="59">
        <f>SUMIFS(HIX_RatingAreas8[Silver Enrollments 2020],HIX_RatingAreas8[Area],HIX_SLCSP11[[#This Row],[Area Code]])</f>
        <v>3165</v>
      </c>
      <c r="AQ1873" s="59">
        <f>SUMIFS(HIX_RatingAreas8[Silver Enrollments 2021],HIX_RatingAreas8[Area],HIX_SLCSP11[[#This Row],[Area Code]])</f>
        <v>3003</v>
      </c>
      <c r="AR1873" s="59">
        <f>SUMIFS(HIX_RatingAreas8[Silver Enrollments 2022],HIX_RatingAreas8[Area],HIX_SLCSP11[[#This Row],[Area Code]])</f>
        <v>3730</v>
      </c>
      <c r="AS1873" s="59">
        <f>SUMIFS(HIX_RatingAreas8[Silver Enrollments 2023],HIX_RatingAreas8[Area],HIX_SLCSP11[[#This Row],[Area Code]])</f>
        <v>3730</v>
      </c>
      <c r="AT1873" s="59">
        <v>5998</v>
      </c>
      <c r="AU1873">
        <f t="shared" si="44"/>
        <v>1.0203578227149547E-2</v>
      </c>
      <c r="AV1873">
        <f>SUMIFS(HIX_RatingAreas8[QHP Enrollments 2018],HIX_RatingAreas8[Area],HIX_SLCSP11[[#This Row],[Area Code]])</f>
        <v>4956</v>
      </c>
      <c r="AW1873">
        <f t="shared" si="45"/>
        <v>1.0305441131519138E-2</v>
      </c>
      <c r="AX1873">
        <f>SUMIFS(HIX_RatingAreas8[QHP Enrollments 2019],HIX_RatingAreas8[Area],HIX_SLCSP11[[#This Row],[Area Code]])</f>
        <v>4827</v>
      </c>
      <c r="AY1873">
        <f t="shared" si="46"/>
        <v>1.0529254837633088E-2</v>
      </c>
      <c r="AZ1873">
        <f>SUMIFS(HIX_RatingAreas8[QHP Enrollments 2020],HIX_RatingAreas8[Area],HIX_SLCSP11[[#This Row],[Area Code]])</f>
        <v>4115</v>
      </c>
      <c r="BA1873">
        <f t="shared" si="47"/>
        <v>8.870255006358992E-3</v>
      </c>
      <c r="BB1873">
        <f>SUMIFS(HIX_RatingAreas8[QHP Enrollments 2021],HIX_RatingAreas8[Area],HIX_SLCSP11[[#This Row],[Area Code]])</f>
        <v>4678</v>
      </c>
      <c r="BC1873">
        <f t="shared" si="48"/>
        <v>9.0463786445129021E-3</v>
      </c>
      <c r="BD1873">
        <f>SUMIFS(HIX_RatingAreas8[QHP Enrollments 2022],HIX_RatingAreas8[Area],HIX_SLCSP11[[#This Row],[Area Code]])</f>
        <v>5942</v>
      </c>
      <c r="BE1873">
        <f t="shared" si="49"/>
        <v>8.4748300969142883E-3</v>
      </c>
      <c r="BF1873">
        <f>SUMIFS(HIX_RatingAreas8[QHP Enrollments 2023],HIX_RatingAreas8[Area],HIX_SLCSP11[[#This Row],[Area Code]])</f>
        <v>5942</v>
      </c>
      <c r="BG1873">
        <f t="shared" si="55"/>
        <v>8.4748300969142883E-3</v>
      </c>
      <c r="BH1873" s="53">
        <f>ROUND(HIX_SLCSP11[[#This Row],[Weighting Factor 2018]]*HIX_SLCSP11[[#This Row],[2018]],2)</f>
        <v>5.33</v>
      </c>
      <c r="BI1873" s="53">
        <f>ROUND(HIX_SLCSP11[[#This Row],[Weighting Factor 2019]]*HIX_SLCSP11[[#This Row],[2019]],2)</f>
        <v>3.78</v>
      </c>
      <c r="BJ1873" s="53">
        <f>ROUND(HIX_SLCSP11[[#This Row],[Weighting Factor 2020]]*HIX_SLCSP11[[#This Row],[2020]],2)</f>
        <v>3.37</v>
      </c>
      <c r="BK1873" s="53">
        <f>ROUND(HIX_SLCSP11[[#This Row],[Weighting Factor 2021]]*HIX_SLCSP11[[#This Row],[2021]],2)</f>
        <v>2.82</v>
      </c>
      <c r="BL1873" s="53">
        <f>ROUND(HIX_SLCSP11[[#This Row],[Weighting Factor 2022]]*HIX_SLCSP11[[#This Row],[2022]],2)</f>
        <v>2.33</v>
      </c>
      <c r="BM1873" s="53">
        <f>ROUND(HIX_SLCSP11[[#This Row],[Weighting Factor 2023]]*HIX_SLCSP11[[#This Row],[2023]],2)</f>
        <v>2.4900000000000002</v>
      </c>
    </row>
    <row r="1874" spans="4:65" x14ac:dyDescent="0.35">
      <c r="D1874" t="s">
        <v>780</v>
      </c>
      <c r="E1874" t="s">
        <v>279</v>
      </c>
      <c r="F1874" s="23">
        <v>8</v>
      </c>
      <c r="G1874" s="23" t="s">
        <v>781</v>
      </c>
      <c r="H1874" s="23" t="s">
        <v>902</v>
      </c>
      <c r="I1874" s="23">
        <v>37</v>
      </c>
      <c r="J1874" s="53">
        <v>334.56</v>
      </c>
      <c r="K1874" s="53">
        <v>350.26</v>
      </c>
      <c r="L1874" s="53">
        <v>596.91</v>
      </c>
      <c r="M1874" s="54">
        <f t="shared" si="50"/>
        <v>1.7041911722720264</v>
      </c>
      <c r="N1874" s="24">
        <v>52</v>
      </c>
      <c r="O1874" s="55">
        <v>318.2</v>
      </c>
      <c r="P1874" s="56">
        <v>334.59</v>
      </c>
      <c r="Q1874" s="56">
        <v>570.21</v>
      </c>
      <c r="R1874" s="57">
        <f t="shared" si="51"/>
        <v>1.7042051465973282</v>
      </c>
      <c r="S1874" s="23">
        <v>37</v>
      </c>
      <c r="T1874" s="53">
        <v>327.68</v>
      </c>
      <c r="U1874" s="53">
        <v>334.55</v>
      </c>
      <c r="V1874" s="53">
        <v>570.13</v>
      </c>
      <c r="W1874" s="57">
        <f t="shared" si="52"/>
        <v>1.704169780301898</v>
      </c>
      <c r="X1874" s="47">
        <v>163</v>
      </c>
      <c r="Y1874" s="58">
        <v>297.43</v>
      </c>
      <c r="Z1874" s="58">
        <v>303.89</v>
      </c>
      <c r="AA1874" s="58">
        <v>517.9</v>
      </c>
      <c r="AB1874" s="57">
        <f t="shared" si="53"/>
        <v>1.7042350850636743</v>
      </c>
      <c r="AC1874" s="47">
        <v>222</v>
      </c>
      <c r="AD1874" s="57">
        <v>266.64999999999998</v>
      </c>
      <c r="AE1874" s="57">
        <v>279.73</v>
      </c>
      <c r="AF1874" s="57">
        <v>476.72</v>
      </c>
      <c r="AG1874" s="57">
        <f t="shared" si="54"/>
        <v>1.7042147785364459</v>
      </c>
      <c r="AH1874" s="47">
        <v>264</v>
      </c>
      <c r="AI1874">
        <v>284.68</v>
      </c>
      <c r="AJ1874">
        <v>291.39999999999998</v>
      </c>
      <c r="AK1874">
        <v>496.6</v>
      </c>
      <c r="AL1874" s="57">
        <f t="shared" si="41"/>
        <v>1.7041866849691147</v>
      </c>
      <c r="AM1874" s="59">
        <v>11842</v>
      </c>
      <c r="AN1874" s="59">
        <f>SUMIFS(HIX_RatingAreas8[Silver Enrollments 2018],HIX_RatingAreas8[Area],HIX_SLCSP11[[#This Row],[Area Code]])</f>
        <v>9111</v>
      </c>
      <c r="AO1874" s="59">
        <f>SUMIFS(HIX_RatingAreas8[Silver Enrollments 2019],HIX_RatingAreas8[Area],HIX_SLCSP11[[#This Row],[Area Code]])</f>
        <v>9200</v>
      </c>
      <c r="AP1874" s="59">
        <f>SUMIFS(HIX_RatingAreas8[Silver Enrollments 2020],HIX_RatingAreas8[Area],HIX_SLCSP11[[#This Row],[Area Code]])</f>
        <v>9389</v>
      </c>
      <c r="AQ1874" s="59">
        <f>SUMIFS(HIX_RatingAreas8[Silver Enrollments 2021],HIX_RatingAreas8[Area],HIX_SLCSP11[[#This Row],[Area Code]])</f>
        <v>8589</v>
      </c>
      <c r="AR1874" s="59">
        <f>SUMIFS(HIX_RatingAreas8[Silver Enrollments 2022],HIX_RatingAreas8[Area],HIX_SLCSP11[[#This Row],[Area Code]])</f>
        <v>12551</v>
      </c>
      <c r="AS1874" s="59">
        <f>SUMIFS(HIX_RatingAreas8[Silver Enrollments 2023],HIX_RatingAreas8[Area],HIX_SLCSP11[[#This Row],[Area Code]])</f>
        <v>12551</v>
      </c>
      <c r="AT1874" s="59">
        <v>14914</v>
      </c>
      <c r="AU1874">
        <f t="shared" si="44"/>
        <v>2.5371151330394855E-2</v>
      </c>
      <c r="AV1874">
        <f>SUMIFS(HIX_RatingAreas8[QHP Enrollments 2018],HIX_RatingAreas8[Area],HIX_SLCSP11[[#This Row],[Area Code]])</f>
        <v>11532</v>
      </c>
      <c r="AW1874">
        <f t="shared" si="45"/>
        <v>2.3979488928304822E-2</v>
      </c>
      <c r="AX1874">
        <f>SUMIFS(HIX_RatingAreas8[QHP Enrollments 2019],HIX_RatingAreas8[Area],HIX_SLCSP11[[#This Row],[Area Code]])</f>
        <v>11181</v>
      </c>
      <c r="AY1874">
        <f t="shared" si="46"/>
        <v>2.4389392653734319E-2</v>
      </c>
      <c r="AZ1874">
        <f>SUMIFS(HIX_RatingAreas8[QHP Enrollments 2020],HIX_RatingAreas8[Area],HIX_SLCSP11[[#This Row],[Area Code]])</f>
        <v>11649</v>
      </c>
      <c r="BA1874">
        <f t="shared" si="47"/>
        <v>2.5110474014356232E-2</v>
      </c>
      <c r="BB1874">
        <f>SUMIFS(HIX_RatingAreas8[QHP Enrollments 2021],HIX_RatingAreas8[Area],HIX_SLCSP11[[#This Row],[Area Code]])</f>
        <v>12864</v>
      </c>
      <c r="BC1874">
        <f t="shared" si="48"/>
        <v>2.4876574365757582E-2</v>
      </c>
      <c r="BD1874">
        <f>SUMIFS(HIX_RatingAreas8[QHP Enrollments 2022],HIX_RatingAreas8[Area],HIX_SLCSP11[[#This Row],[Area Code]])</f>
        <v>18015</v>
      </c>
      <c r="BE1874">
        <f t="shared" si="49"/>
        <v>2.5694053213717757E-2</v>
      </c>
      <c r="BF1874">
        <f>SUMIFS(HIX_RatingAreas8[QHP Enrollments 2023],HIX_RatingAreas8[Area],HIX_SLCSP11[[#This Row],[Area Code]])</f>
        <v>18015</v>
      </c>
      <c r="BG1874">
        <f t="shared" si="55"/>
        <v>2.5694053213717757E-2</v>
      </c>
      <c r="BH1874" s="53">
        <f>ROUND(HIX_SLCSP11[[#This Row],[Weighting Factor 2018]]*HIX_SLCSP11[[#This Row],[2018]],2)</f>
        <v>8.4</v>
      </c>
      <c r="BI1874" s="53">
        <f>ROUND(HIX_SLCSP11[[#This Row],[Weighting Factor 2019]]*HIX_SLCSP11[[#This Row],[2019]],2)</f>
        <v>8.16</v>
      </c>
      <c r="BJ1874" s="53">
        <f>ROUND(HIX_SLCSP11[[#This Row],[Weighting Factor 2020]]*HIX_SLCSP11[[#This Row],[2020]],2)</f>
        <v>8.4</v>
      </c>
      <c r="BK1874" s="53">
        <f>ROUND(HIX_SLCSP11[[#This Row],[Weighting Factor 2021]]*HIX_SLCSP11[[#This Row],[2021]],2)</f>
        <v>7.56</v>
      </c>
      <c r="BL1874" s="53">
        <f>ROUND(HIX_SLCSP11[[#This Row],[Weighting Factor 2022]]*HIX_SLCSP11[[#This Row],[2022]],2)</f>
        <v>7.19</v>
      </c>
      <c r="BM1874" s="53">
        <f>ROUND(HIX_SLCSP11[[#This Row],[Weighting Factor 2023]]*HIX_SLCSP11[[#This Row],[2023]],2)</f>
        <v>7.49</v>
      </c>
    </row>
    <row r="1875" spans="4:65" x14ac:dyDescent="0.35">
      <c r="D1875" t="s">
        <v>780</v>
      </c>
      <c r="E1875" t="s">
        <v>283</v>
      </c>
      <c r="F1875" s="23">
        <v>9</v>
      </c>
      <c r="G1875" s="23" t="s">
        <v>781</v>
      </c>
      <c r="H1875" s="23" t="s">
        <v>926</v>
      </c>
      <c r="I1875" s="23">
        <v>59</v>
      </c>
      <c r="J1875" s="53">
        <v>407.91</v>
      </c>
      <c r="K1875" s="53">
        <v>508.71</v>
      </c>
      <c r="L1875" s="53">
        <v>866.93</v>
      </c>
      <c r="M1875" s="54">
        <f t="shared" si="50"/>
        <v>1.7041733010949263</v>
      </c>
      <c r="N1875" s="24">
        <v>95</v>
      </c>
      <c r="O1875" s="55">
        <v>325.27</v>
      </c>
      <c r="P1875" s="56">
        <v>334.32</v>
      </c>
      <c r="Q1875" s="56">
        <v>569.75</v>
      </c>
      <c r="R1875" s="57">
        <f t="shared" si="51"/>
        <v>1.7042055515673606</v>
      </c>
      <c r="S1875" s="23">
        <v>59</v>
      </c>
      <c r="T1875" s="53">
        <v>302.93</v>
      </c>
      <c r="U1875" s="53">
        <v>336.92</v>
      </c>
      <c r="V1875" s="53">
        <v>574.17999999999995</v>
      </c>
      <c r="W1875" s="57">
        <f t="shared" si="52"/>
        <v>1.7042027781075624</v>
      </c>
      <c r="X1875" s="47">
        <v>104</v>
      </c>
      <c r="Y1875" s="58">
        <v>301.27999999999997</v>
      </c>
      <c r="Z1875" s="58">
        <v>307.83</v>
      </c>
      <c r="AA1875" s="58">
        <v>524.6</v>
      </c>
      <c r="AB1875" s="57">
        <f t="shared" si="53"/>
        <v>1.7041873761491735</v>
      </c>
      <c r="AC1875" s="47">
        <v>154</v>
      </c>
      <c r="AD1875" s="57">
        <v>254.8</v>
      </c>
      <c r="AE1875" s="57">
        <v>267.3</v>
      </c>
      <c r="AF1875" s="57">
        <v>455.54</v>
      </c>
      <c r="AG1875" s="57">
        <f t="shared" si="54"/>
        <v>1.7042274597830154</v>
      </c>
      <c r="AH1875" s="47">
        <v>138</v>
      </c>
      <c r="AI1875">
        <v>290.36</v>
      </c>
      <c r="AJ1875">
        <v>291.10000000000002</v>
      </c>
      <c r="AK1875">
        <v>496.1</v>
      </c>
      <c r="AL1875" s="57">
        <f t="shared" si="41"/>
        <v>1.704225352112676</v>
      </c>
      <c r="AM1875" s="59">
        <v>5332</v>
      </c>
      <c r="AN1875" s="59">
        <f>SUMIFS(HIX_RatingAreas8[Silver Enrollments 2018],HIX_RatingAreas8[Area],HIX_SLCSP11[[#This Row],[Area Code]])</f>
        <v>4034</v>
      </c>
      <c r="AO1875" s="59">
        <f>SUMIFS(HIX_RatingAreas8[Silver Enrollments 2019],HIX_RatingAreas8[Area],HIX_SLCSP11[[#This Row],[Area Code]])</f>
        <v>3557</v>
      </c>
      <c r="AP1875" s="59">
        <f>SUMIFS(HIX_RatingAreas8[Silver Enrollments 2020],HIX_RatingAreas8[Area],HIX_SLCSP11[[#This Row],[Area Code]])</f>
        <v>3210</v>
      </c>
      <c r="AQ1875" s="59">
        <f>SUMIFS(HIX_RatingAreas8[Silver Enrollments 2021],HIX_RatingAreas8[Area],HIX_SLCSP11[[#This Row],[Area Code]])</f>
        <v>3819</v>
      </c>
      <c r="AR1875" s="59">
        <f>SUMIFS(HIX_RatingAreas8[Silver Enrollments 2022],HIX_RatingAreas8[Area],HIX_SLCSP11[[#This Row],[Area Code]])</f>
        <v>5479</v>
      </c>
      <c r="AS1875" s="59">
        <f>SUMIFS(HIX_RatingAreas8[Silver Enrollments 2023],HIX_RatingAreas8[Area],HIX_SLCSP11[[#This Row],[Area Code]])</f>
        <v>5479</v>
      </c>
      <c r="AT1875" s="59">
        <v>6412</v>
      </c>
      <c r="AU1875">
        <f t="shared" si="44"/>
        <v>1.0907859885375609E-2</v>
      </c>
      <c r="AV1875">
        <f>SUMIFS(HIX_RatingAreas8[QHP Enrollments 2018],HIX_RatingAreas8[Area],HIX_SLCSP11[[#This Row],[Area Code]])</f>
        <v>6236</v>
      </c>
      <c r="AW1875">
        <f t="shared" si="45"/>
        <v>1.2967056274445792E-2</v>
      </c>
      <c r="AX1875">
        <f>SUMIFS(HIX_RatingAreas8[QHP Enrollments 2019],HIX_RatingAreas8[Area],HIX_SLCSP11[[#This Row],[Area Code]])</f>
        <v>6021</v>
      </c>
      <c r="AY1875">
        <f t="shared" si="46"/>
        <v>1.3133756655767314E-2</v>
      </c>
      <c r="AZ1875">
        <f>SUMIFS(HIX_RatingAreas8[QHP Enrollments 2020],HIX_RatingAreas8[Area],HIX_SLCSP11[[#This Row],[Area Code]])</f>
        <v>5405</v>
      </c>
      <c r="BA1875">
        <f t="shared" si="47"/>
        <v>1.1650966782350025E-2</v>
      </c>
      <c r="BB1875">
        <f>SUMIFS(HIX_RatingAreas8[QHP Enrollments 2021],HIX_RatingAreas8[Area],HIX_SLCSP11[[#This Row],[Area Code]])</f>
        <v>6626</v>
      </c>
      <c r="BC1875">
        <f t="shared" si="48"/>
        <v>1.2813446964203182E-2</v>
      </c>
      <c r="BD1875">
        <f>SUMIFS(HIX_RatingAreas8[QHP Enrollments 2022],HIX_RatingAreas8[Area],HIX_SLCSP11[[#This Row],[Area Code]])</f>
        <v>8530</v>
      </c>
      <c r="BE1875">
        <f t="shared" si="49"/>
        <v>1.2165988005163057E-2</v>
      </c>
      <c r="BF1875">
        <f>SUMIFS(HIX_RatingAreas8[QHP Enrollments 2023],HIX_RatingAreas8[Area],HIX_SLCSP11[[#This Row],[Area Code]])</f>
        <v>8530</v>
      </c>
      <c r="BG1875">
        <f t="shared" si="55"/>
        <v>1.2165988005163057E-2</v>
      </c>
      <c r="BH1875" s="53">
        <f>ROUND(HIX_SLCSP11[[#This Row],[Weighting Factor 2018]]*HIX_SLCSP11[[#This Row],[2018]],2)</f>
        <v>6.6</v>
      </c>
      <c r="BI1875" s="53">
        <f>ROUND(HIX_SLCSP11[[#This Row],[Weighting Factor 2019]]*HIX_SLCSP11[[#This Row],[2019]],2)</f>
        <v>4.3899999999999997</v>
      </c>
      <c r="BJ1875" s="53">
        <f>ROUND(HIX_SLCSP11[[#This Row],[Weighting Factor 2020]]*HIX_SLCSP11[[#This Row],[2020]],2)</f>
        <v>3.93</v>
      </c>
      <c r="BK1875" s="53">
        <f>ROUND(HIX_SLCSP11[[#This Row],[Weighting Factor 2021]]*HIX_SLCSP11[[#This Row],[2021]],2)</f>
        <v>3.94</v>
      </c>
      <c r="BL1875" s="53">
        <f>ROUND(HIX_SLCSP11[[#This Row],[Weighting Factor 2022]]*HIX_SLCSP11[[#This Row],[2022]],2)</f>
        <v>3.25</v>
      </c>
      <c r="BM1875" s="53">
        <f>ROUND(HIX_SLCSP11[[#This Row],[Weighting Factor 2023]]*HIX_SLCSP11[[#This Row],[2023]],2)</f>
        <v>3.54</v>
      </c>
    </row>
    <row r="1876" spans="4:65" x14ac:dyDescent="0.35">
      <c r="D1876" t="s">
        <v>780</v>
      </c>
      <c r="E1876" t="s">
        <v>289</v>
      </c>
      <c r="F1876" s="23">
        <v>10</v>
      </c>
      <c r="G1876" s="23" t="s">
        <v>781</v>
      </c>
      <c r="H1876" s="23" t="s">
        <v>933</v>
      </c>
      <c r="I1876" s="23">
        <v>152</v>
      </c>
      <c r="J1876" s="53">
        <v>486.79</v>
      </c>
      <c r="K1876" s="53">
        <v>607.07000000000005</v>
      </c>
      <c r="L1876" s="53">
        <v>1034.57</v>
      </c>
      <c r="M1876" s="54">
        <f t="shared" si="50"/>
        <v>1.7042021513169814</v>
      </c>
      <c r="N1876" s="24">
        <v>132</v>
      </c>
      <c r="O1876" s="55">
        <v>421.84</v>
      </c>
      <c r="P1876" s="56">
        <v>421.84</v>
      </c>
      <c r="Q1876" s="56">
        <v>718.9</v>
      </c>
      <c r="R1876" s="57">
        <f t="shared" si="51"/>
        <v>1.7042006447942348</v>
      </c>
      <c r="S1876" s="23">
        <v>152</v>
      </c>
      <c r="T1876" s="53">
        <v>382.46</v>
      </c>
      <c r="U1876" s="53">
        <v>398.25</v>
      </c>
      <c r="V1876" s="53">
        <v>678.69</v>
      </c>
      <c r="W1876" s="57">
        <f t="shared" si="52"/>
        <v>1.7041807909604521</v>
      </c>
      <c r="X1876" s="47">
        <v>128</v>
      </c>
      <c r="Y1876" s="58">
        <v>310.26</v>
      </c>
      <c r="Z1876" s="58">
        <v>317.01</v>
      </c>
      <c r="AA1876" s="58">
        <v>540.24</v>
      </c>
      <c r="AB1876" s="57">
        <f t="shared" si="53"/>
        <v>1.704173369925239</v>
      </c>
      <c r="AC1876" s="47">
        <v>203</v>
      </c>
      <c r="AD1876" s="57">
        <v>208.91</v>
      </c>
      <c r="AE1876" s="57">
        <v>219.16</v>
      </c>
      <c r="AF1876" s="57">
        <v>373.49</v>
      </c>
      <c r="AG1876" s="57">
        <f t="shared" si="54"/>
        <v>1.704188720569447</v>
      </c>
      <c r="AH1876" s="47">
        <v>166</v>
      </c>
      <c r="AI1876">
        <v>226.65</v>
      </c>
      <c r="AJ1876">
        <v>227.23</v>
      </c>
      <c r="AK1876">
        <v>387.24</v>
      </c>
      <c r="AL1876" s="57">
        <f t="shared" si="41"/>
        <v>1.7041763851604104</v>
      </c>
      <c r="AM1876" s="59">
        <v>19412</v>
      </c>
      <c r="AN1876" s="59">
        <f>SUMIFS(HIX_RatingAreas8[Silver Enrollments 2018],HIX_RatingAreas8[Area],HIX_SLCSP11[[#This Row],[Area Code]])</f>
        <v>13796</v>
      </c>
      <c r="AO1876" s="59">
        <f>SUMIFS(HIX_RatingAreas8[Silver Enrollments 2019],HIX_RatingAreas8[Area],HIX_SLCSP11[[#This Row],[Area Code]])</f>
        <v>11888</v>
      </c>
      <c r="AP1876" s="59">
        <f>SUMIFS(HIX_RatingAreas8[Silver Enrollments 2020],HIX_RatingAreas8[Area],HIX_SLCSP11[[#This Row],[Area Code]])</f>
        <v>10771</v>
      </c>
      <c r="AQ1876" s="59">
        <f>SUMIFS(HIX_RatingAreas8[Silver Enrollments 2021],HIX_RatingAreas8[Area],HIX_SLCSP11[[#This Row],[Area Code]])</f>
        <v>11756</v>
      </c>
      <c r="AR1876" s="59">
        <f>SUMIFS(HIX_RatingAreas8[Silver Enrollments 2022],HIX_RatingAreas8[Area],HIX_SLCSP11[[#This Row],[Area Code]])</f>
        <v>16294</v>
      </c>
      <c r="AS1876" s="59">
        <f>SUMIFS(HIX_RatingAreas8[Silver Enrollments 2023],HIX_RatingAreas8[Area],HIX_SLCSP11[[#This Row],[Area Code]])</f>
        <v>16294</v>
      </c>
      <c r="AT1876" s="59">
        <v>24598</v>
      </c>
      <c r="AU1876">
        <f t="shared" si="44"/>
        <v>4.1845217944552281E-2</v>
      </c>
      <c r="AV1876">
        <f>SUMIFS(HIX_RatingAreas8[QHP Enrollments 2018],HIX_RatingAreas8[Area],HIX_SLCSP11[[#This Row],[Area Code]])</f>
        <v>22486</v>
      </c>
      <c r="AW1876">
        <f t="shared" si="45"/>
        <v>4.6757092268631825E-2</v>
      </c>
      <c r="AX1876">
        <f>SUMIFS(HIX_RatingAreas8[QHP Enrollments 2019],HIX_RatingAreas8[Area],HIX_SLCSP11[[#This Row],[Area Code]])</f>
        <v>22559</v>
      </c>
      <c r="AY1876">
        <f t="shared" si="46"/>
        <v>4.920850629421273E-2</v>
      </c>
      <c r="AZ1876">
        <f>SUMIFS(HIX_RatingAreas8[QHP Enrollments 2020],HIX_RatingAreas8[Area],HIX_SLCSP11[[#This Row],[Area Code]])</f>
        <v>20387</v>
      </c>
      <c r="BA1876">
        <f t="shared" si="47"/>
        <v>4.3946024013278441E-2</v>
      </c>
      <c r="BB1876">
        <f>SUMIFS(HIX_RatingAreas8[QHP Enrollments 2021],HIX_RatingAreas8[Area],HIX_SLCSP11[[#This Row],[Area Code]])</f>
        <v>20812</v>
      </c>
      <c r="BC1876">
        <f t="shared" si="48"/>
        <v>4.0246522520222851E-2</v>
      </c>
      <c r="BD1876">
        <f>SUMIFS(HIX_RatingAreas8[QHP Enrollments 2022],HIX_RatingAreas8[Area],HIX_SLCSP11[[#This Row],[Area Code]])</f>
        <v>27931</v>
      </c>
      <c r="BE1876">
        <f t="shared" si="49"/>
        <v>3.9836835987363345E-2</v>
      </c>
      <c r="BF1876">
        <f>SUMIFS(HIX_RatingAreas8[QHP Enrollments 2023],HIX_RatingAreas8[Area],HIX_SLCSP11[[#This Row],[Area Code]])</f>
        <v>27931</v>
      </c>
      <c r="BG1876">
        <f t="shared" si="55"/>
        <v>3.9836835987363345E-2</v>
      </c>
      <c r="BH1876" s="53">
        <f>ROUND(HIX_SLCSP11[[#This Row],[Weighting Factor 2018]]*HIX_SLCSP11[[#This Row],[2018]],2)</f>
        <v>28.38</v>
      </c>
      <c r="BI1876" s="53">
        <f>ROUND(HIX_SLCSP11[[#This Row],[Weighting Factor 2019]]*HIX_SLCSP11[[#This Row],[2019]],2)</f>
        <v>20.76</v>
      </c>
      <c r="BJ1876" s="53">
        <f>ROUND(HIX_SLCSP11[[#This Row],[Weighting Factor 2020]]*HIX_SLCSP11[[#This Row],[2020]],2)</f>
        <v>17.5</v>
      </c>
      <c r="BK1876" s="53">
        <f>ROUND(HIX_SLCSP11[[#This Row],[Weighting Factor 2021]]*HIX_SLCSP11[[#This Row],[2021]],2)</f>
        <v>12.76</v>
      </c>
      <c r="BL1876" s="53">
        <f>ROUND(HIX_SLCSP11[[#This Row],[Weighting Factor 2022]]*HIX_SLCSP11[[#This Row],[2022]],2)</f>
        <v>8.73</v>
      </c>
      <c r="BM1876" s="53">
        <f>ROUND(HIX_SLCSP11[[#This Row],[Weighting Factor 2023]]*HIX_SLCSP11[[#This Row],[2023]],2)</f>
        <v>9.0500000000000007</v>
      </c>
    </row>
    <row r="1877" spans="4:65" x14ac:dyDescent="0.35">
      <c r="D1877" t="s">
        <v>780</v>
      </c>
      <c r="E1877" t="s">
        <v>293</v>
      </c>
      <c r="F1877" s="23">
        <v>11</v>
      </c>
      <c r="G1877" s="23" t="s">
        <v>781</v>
      </c>
      <c r="H1877" s="23" t="s">
        <v>955</v>
      </c>
      <c r="I1877" s="23">
        <v>32</v>
      </c>
      <c r="J1877" s="53">
        <v>515.6</v>
      </c>
      <c r="K1877" s="53">
        <v>538.54999999999995</v>
      </c>
      <c r="L1877" s="53">
        <v>917.79</v>
      </c>
      <c r="M1877" s="54">
        <f t="shared" si="50"/>
        <v>1.704187169250766</v>
      </c>
      <c r="N1877" s="24">
        <v>52</v>
      </c>
      <c r="O1877" s="55">
        <v>265.52</v>
      </c>
      <c r="P1877" s="56">
        <v>279.2</v>
      </c>
      <c r="Q1877" s="56">
        <v>475.81</v>
      </c>
      <c r="R1877" s="57">
        <f t="shared" si="51"/>
        <v>1.7041905444126075</v>
      </c>
      <c r="S1877" s="23">
        <v>32</v>
      </c>
      <c r="T1877" s="53">
        <v>300.95</v>
      </c>
      <c r="U1877" s="53">
        <v>329.61</v>
      </c>
      <c r="V1877" s="53">
        <v>561.72</v>
      </c>
      <c r="W1877" s="57">
        <f t="shared" si="52"/>
        <v>1.7041958678438154</v>
      </c>
      <c r="X1877" s="47">
        <v>104</v>
      </c>
      <c r="Y1877" s="58">
        <v>276.75</v>
      </c>
      <c r="Z1877" s="58">
        <v>282.76</v>
      </c>
      <c r="AA1877" s="58">
        <v>481.88</v>
      </c>
      <c r="AB1877" s="57">
        <f t="shared" si="53"/>
        <v>1.7042014429197907</v>
      </c>
      <c r="AC1877" s="47">
        <v>179</v>
      </c>
      <c r="AD1877" s="57">
        <v>207.45</v>
      </c>
      <c r="AE1877" s="57">
        <v>217.63</v>
      </c>
      <c r="AF1877" s="57">
        <v>370.88</v>
      </c>
      <c r="AG1877" s="57">
        <f t="shared" si="54"/>
        <v>1.7041768138583835</v>
      </c>
      <c r="AH1877" s="47">
        <v>170</v>
      </c>
      <c r="AI1877">
        <v>245.26</v>
      </c>
      <c r="AJ1877">
        <v>252.25</v>
      </c>
      <c r="AK1877">
        <v>429.88</v>
      </c>
      <c r="AL1877" s="57">
        <f t="shared" si="41"/>
        <v>1.7041823587710605</v>
      </c>
      <c r="AM1877" s="59">
        <v>6166</v>
      </c>
      <c r="AN1877" s="59">
        <f>SUMIFS(HIX_RatingAreas8[Silver Enrollments 2018],HIX_RatingAreas8[Area],HIX_SLCSP11[[#This Row],[Area Code]])</f>
        <v>4251</v>
      </c>
      <c r="AO1877" s="59">
        <f>SUMIFS(HIX_RatingAreas8[Silver Enrollments 2019],HIX_RatingAreas8[Area],HIX_SLCSP11[[#This Row],[Area Code]])</f>
        <v>4203</v>
      </c>
      <c r="AP1877" s="59">
        <f>SUMIFS(HIX_RatingAreas8[Silver Enrollments 2020],HIX_RatingAreas8[Area],HIX_SLCSP11[[#This Row],[Area Code]])</f>
        <v>4655</v>
      </c>
      <c r="AQ1877" s="59">
        <f>SUMIFS(HIX_RatingAreas8[Silver Enrollments 2021],HIX_RatingAreas8[Area],HIX_SLCSP11[[#This Row],[Area Code]])</f>
        <v>5106</v>
      </c>
      <c r="AR1877" s="59">
        <f>SUMIFS(HIX_RatingAreas8[Silver Enrollments 2022],HIX_RatingAreas8[Area],HIX_SLCSP11[[#This Row],[Area Code]])</f>
        <v>8105</v>
      </c>
      <c r="AS1877" s="59">
        <f>SUMIFS(HIX_RatingAreas8[Silver Enrollments 2023],HIX_RatingAreas8[Area],HIX_SLCSP11[[#This Row],[Area Code]])</f>
        <v>8105</v>
      </c>
      <c r="AT1877" s="59">
        <v>7544</v>
      </c>
      <c r="AU1877">
        <f t="shared" si="44"/>
        <v>1.2833576883230441E-2</v>
      </c>
      <c r="AV1877">
        <f>SUMIFS(HIX_RatingAreas8[QHP Enrollments 2018],HIX_RatingAreas8[Area],HIX_SLCSP11[[#This Row],[Area Code]])</f>
        <v>5057</v>
      </c>
      <c r="AW1877">
        <f t="shared" si="45"/>
        <v>1.0515459201390694E-2</v>
      </c>
      <c r="AX1877">
        <f>SUMIFS(HIX_RatingAreas8[QHP Enrollments 2019],HIX_RatingAreas8[Area],HIX_SLCSP11[[#This Row],[Area Code]])</f>
        <v>5084</v>
      </c>
      <c r="AY1877">
        <f t="shared" si="46"/>
        <v>1.1089855312725631E-2</v>
      </c>
      <c r="AZ1877">
        <f>SUMIFS(HIX_RatingAreas8[QHP Enrollments 2020],HIX_RatingAreas8[Area],HIX_SLCSP11[[#This Row],[Area Code]])</f>
        <v>5674</v>
      </c>
      <c r="BA1877">
        <f t="shared" si="47"/>
        <v>1.2230820633312496E-2</v>
      </c>
      <c r="BB1877">
        <f>SUMIFS(HIX_RatingAreas8[QHP Enrollments 2021],HIX_RatingAreas8[Area],HIX_SLCSP11[[#This Row],[Area Code]])</f>
        <v>6767</v>
      </c>
      <c r="BC1877">
        <f t="shared" si="48"/>
        <v>1.3086114640320395E-2</v>
      </c>
      <c r="BD1877">
        <f>SUMIFS(HIX_RatingAreas8[QHP Enrollments 2022],HIX_RatingAreas8[Area],HIX_SLCSP11[[#This Row],[Area Code]])</f>
        <v>10548</v>
      </c>
      <c r="BE1877">
        <f t="shared" si="49"/>
        <v>1.5044178367931996E-2</v>
      </c>
      <c r="BF1877">
        <f>SUMIFS(HIX_RatingAreas8[QHP Enrollments 2023],HIX_RatingAreas8[Area],HIX_SLCSP11[[#This Row],[Area Code]])</f>
        <v>10548</v>
      </c>
      <c r="BG1877">
        <f t="shared" si="55"/>
        <v>1.5044178367931996E-2</v>
      </c>
      <c r="BH1877" s="53">
        <f>ROUND(HIX_SLCSP11[[#This Row],[Weighting Factor 2018]]*HIX_SLCSP11[[#This Row],[2018]],2)</f>
        <v>5.66</v>
      </c>
      <c r="BI1877" s="53">
        <f>ROUND(HIX_SLCSP11[[#This Row],[Weighting Factor 2019]]*HIX_SLCSP11[[#This Row],[2019]],2)</f>
        <v>3.1</v>
      </c>
      <c r="BJ1877" s="53">
        <f>ROUND(HIX_SLCSP11[[#This Row],[Weighting Factor 2020]]*HIX_SLCSP11[[#This Row],[2020]],2)</f>
        <v>4.03</v>
      </c>
      <c r="BK1877" s="53">
        <f>ROUND(HIX_SLCSP11[[#This Row],[Weighting Factor 2021]]*HIX_SLCSP11[[#This Row],[2021]],2)</f>
        <v>3.7</v>
      </c>
      <c r="BL1877" s="53">
        <f>ROUND(HIX_SLCSP11[[#This Row],[Weighting Factor 2022]]*HIX_SLCSP11[[#This Row],[2022]],2)</f>
        <v>3.27</v>
      </c>
      <c r="BM1877" s="53">
        <f>ROUND(HIX_SLCSP11[[#This Row],[Weighting Factor 2023]]*HIX_SLCSP11[[#This Row],[2023]],2)</f>
        <v>3.79</v>
      </c>
    </row>
    <row r="1878" spans="4:65" x14ac:dyDescent="0.35">
      <c r="D1878" t="s">
        <v>780</v>
      </c>
      <c r="E1878" t="s">
        <v>303</v>
      </c>
      <c r="F1878" s="23">
        <v>12</v>
      </c>
      <c r="G1878" s="23" t="s">
        <v>781</v>
      </c>
      <c r="H1878" s="23" t="s">
        <v>973</v>
      </c>
      <c r="I1878" s="23">
        <v>41</v>
      </c>
      <c r="J1878" s="53">
        <v>450.8</v>
      </c>
      <c r="K1878" s="53">
        <v>469</v>
      </c>
      <c r="L1878" s="53">
        <v>799.27</v>
      </c>
      <c r="M1878" s="54">
        <f t="shared" si="50"/>
        <v>1.7042004264392323</v>
      </c>
      <c r="N1878" s="24">
        <v>52</v>
      </c>
      <c r="O1878" s="55">
        <v>321.73</v>
      </c>
      <c r="P1878" s="56">
        <v>338.31</v>
      </c>
      <c r="Q1878" s="56">
        <v>576.54</v>
      </c>
      <c r="R1878" s="57">
        <f t="shared" si="51"/>
        <v>1.7041766427241287</v>
      </c>
      <c r="S1878" s="23">
        <v>41</v>
      </c>
      <c r="T1878" s="53">
        <v>305.2</v>
      </c>
      <c r="U1878" s="53">
        <v>348.29</v>
      </c>
      <c r="V1878" s="53">
        <v>593.54999999999995</v>
      </c>
      <c r="W1878" s="57">
        <f t="shared" si="52"/>
        <v>1.7041832955295872</v>
      </c>
      <c r="X1878" s="47">
        <v>104</v>
      </c>
      <c r="Y1878" s="58">
        <v>292.07</v>
      </c>
      <c r="Z1878" s="58">
        <v>298.42</v>
      </c>
      <c r="AA1878" s="58">
        <v>508.57</v>
      </c>
      <c r="AB1878" s="57">
        <f t="shared" si="53"/>
        <v>1.704208833188124</v>
      </c>
      <c r="AC1878" s="47">
        <v>187</v>
      </c>
      <c r="AD1878" s="57">
        <v>246.8</v>
      </c>
      <c r="AE1878" s="57">
        <v>258.91000000000003</v>
      </c>
      <c r="AF1878" s="57">
        <v>441.24</v>
      </c>
      <c r="AG1878" s="57">
        <f t="shared" si="54"/>
        <v>1.7042215441659263</v>
      </c>
      <c r="AH1878" s="47">
        <v>202</v>
      </c>
      <c r="AI1878">
        <v>241.22</v>
      </c>
      <c r="AJ1878">
        <v>252.46</v>
      </c>
      <c r="AK1878">
        <v>430.24</v>
      </c>
      <c r="AL1878" s="57">
        <f t="shared" si="41"/>
        <v>1.7041907628931316</v>
      </c>
      <c r="AM1878" s="59">
        <v>15726</v>
      </c>
      <c r="AN1878" s="59">
        <f>SUMIFS(HIX_RatingAreas8[Silver Enrollments 2018],HIX_RatingAreas8[Area],HIX_SLCSP11[[#This Row],[Area Code]])</f>
        <v>11671</v>
      </c>
      <c r="AO1878" s="59">
        <f>SUMIFS(HIX_RatingAreas8[Silver Enrollments 2019],HIX_RatingAreas8[Area],HIX_SLCSP11[[#This Row],[Area Code]])</f>
        <v>11843</v>
      </c>
      <c r="AP1878" s="59">
        <f>SUMIFS(HIX_RatingAreas8[Silver Enrollments 2020],HIX_RatingAreas8[Area],HIX_SLCSP11[[#This Row],[Area Code]])</f>
        <v>10723</v>
      </c>
      <c r="AQ1878" s="59">
        <f>SUMIFS(HIX_RatingAreas8[Silver Enrollments 2021],HIX_RatingAreas8[Area],HIX_SLCSP11[[#This Row],[Area Code]])</f>
        <v>10684</v>
      </c>
      <c r="AR1878" s="59">
        <f>SUMIFS(HIX_RatingAreas8[Silver Enrollments 2022],HIX_RatingAreas8[Area],HIX_SLCSP11[[#This Row],[Area Code]])</f>
        <v>16393</v>
      </c>
      <c r="AS1878" s="59">
        <f>SUMIFS(HIX_RatingAreas8[Silver Enrollments 2023],HIX_RatingAreas8[Area],HIX_SLCSP11[[#This Row],[Area Code]])</f>
        <v>16393</v>
      </c>
      <c r="AT1878" s="59">
        <v>19821</v>
      </c>
      <c r="AU1878">
        <f t="shared" si="44"/>
        <v>3.3718760260141908E-2</v>
      </c>
      <c r="AV1878">
        <f>SUMIFS(HIX_RatingAreas8[QHP Enrollments 2018],HIX_RatingAreas8[Area],HIX_SLCSP11[[#This Row],[Area Code]])</f>
        <v>14000</v>
      </c>
      <c r="AW1878">
        <f t="shared" si="45"/>
        <v>2.9111415625760275E-2</v>
      </c>
      <c r="AX1878">
        <f>SUMIFS(HIX_RatingAreas8[QHP Enrollments 2019],HIX_RatingAreas8[Area],HIX_SLCSP11[[#This Row],[Area Code]])</f>
        <v>13961</v>
      </c>
      <c r="AY1878">
        <f t="shared" si="46"/>
        <v>3.0453475613879333E-2</v>
      </c>
      <c r="AZ1878">
        <f>SUMIFS(HIX_RatingAreas8[QHP Enrollments 2020],HIX_RatingAreas8[Area],HIX_SLCSP11[[#This Row],[Area Code]])</f>
        <v>13715</v>
      </c>
      <c r="BA1878">
        <f t="shared" si="47"/>
        <v>2.9563924036989934E-2</v>
      </c>
      <c r="BB1878">
        <f>SUMIFS(HIX_RatingAreas8[QHP Enrollments 2021],HIX_RatingAreas8[Area],HIX_SLCSP11[[#This Row],[Area Code]])</f>
        <v>14591</v>
      </c>
      <c r="BC1878">
        <f t="shared" si="48"/>
        <v>2.8216269944866982E-2</v>
      </c>
      <c r="BD1878">
        <f>SUMIFS(HIX_RatingAreas8[QHP Enrollments 2022],HIX_RatingAreas8[Area],HIX_SLCSP11[[#This Row],[Area Code]])</f>
        <v>22522</v>
      </c>
      <c r="BE1878">
        <f t="shared" si="49"/>
        <v>3.2122201858415286E-2</v>
      </c>
      <c r="BF1878">
        <f>SUMIFS(HIX_RatingAreas8[QHP Enrollments 2023],HIX_RatingAreas8[Area],HIX_SLCSP11[[#This Row],[Area Code]])</f>
        <v>22522</v>
      </c>
      <c r="BG1878">
        <f t="shared" si="55"/>
        <v>3.2122201858415286E-2</v>
      </c>
      <c r="BH1878" s="53">
        <f>ROUND(HIX_SLCSP11[[#This Row],[Weighting Factor 2018]]*HIX_SLCSP11[[#This Row],[2018]],2)</f>
        <v>13.65</v>
      </c>
      <c r="BI1878" s="53">
        <f>ROUND(HIX_SLCSP11[[#This Row],[Weighting Factor 2019]]*HIX_SLCSP11[[#This Row],[2019]],2)</f>
        <v>10.3</v>
      </c>
      <c r="BJ1878" s="53">
        <f>ROUND(HIX_SLCSP11[[#This Row],[Weighting Factor 2020]]*HIX_SLCSP11[[#This Row],[2020]],2)</f>
        <v>10.3</v>
      </c>
      <c r="BK1878" s="53">
        <f>ROUND(HIX_SLCSP11[[#This Row],[Weighting Factor 2021]]*HIX_SLCSP11[[#This Row],[2021]],2)</f>
        <v>8.42</v>
      </c>
      <c r="BL1878" s="53">
        <f>ROUND(HIX_SLCSP11[[#This Row],[Weighting Factor 2022]]*HIX_SLCSP11[[#This Row],[2022]],2)</f>
        <v>8.32</v>
      </c>
      <c r="BM1878" s="53">
        <f>ROUND(HIX_SLCSP11[[#This Row],[Weighting Factor 2023]]*HIX_SLCSP11[[#This Row],[2023]],2)</f>
        <v>8.11</v>
      </c>
    </row>
    <row r="1879" spans="4:65" x14ac:dyDescent="0.35">
      <c r="D1879" t="s">
        <v>780</v>
      </c>
      <c r="E1879" t="s">
        <v>311</v>
      </c>
      <c r="F1879" s="23">
        <v>13</v>
      </c>
      <c r="G1879" s="23" t="s">
        <v>781</v>
      </c>
      <c r="H1879" s="23" t="s">
        <v>993</v>
      </c>
      <c r="I1879" s="23">
        <v>86</v>
      </c>
      <c r="J1879" s="53">
        <v>447.58</v>
      </c>
      <c r="K1879" s="53">
        <v>558.16999999999996</v>
      </c>
      <c r="L1879" s="53">
        <v>951.23</v>
      </c>
      <c r="M1879" s="54">
        <f t="shared" si="50"/>
        <v>1.7041940627407421</v>
      </c>
      <c r="N1879" s="24">
        <v>113</v>
      </c>
      <c r="O1879" s="55">
        <v>288.85000000000002</v>
      </c>
      <c r="P1879" s="56">
        <v>303.73</v>
      </c>
      <c r="Q1879" s="56">
        <v>517.62</v>
      </c>
      <c r="R1879" s="57">
        <f t="shared" si="51"/>
        <v>1.7042109768544429</v>
      </c>
      <c r="S1879" s="23">
        <v>86</v>
      </c>
      <c r="T1879" s="53">
        <v>307.10000000000002</v>
      </c>
      <c r="U1879" s="53">
        <v>336.34</v>
      </c>
      <c r="V1879" s="53">
        <v>573.19000000000005</v>
      </c>
      <c r="W1879" s="57">
        <f t="shared" si="52"/>
        <v>1.7041981328417675</v>
      </c>
      <c r="X1879" s="47">
        <v>104</v>
      </c>
      <c r="Y1879" s="58">
        <v>287.08999999999997</v>
      </c>
      <c r="Z1879" s="58">
        <v>293.33</v>
      </c>
      <c r="AA1879" s="58">
        <v>499.89</v>
      </c>
      <c r="AB1879" s="57">
        <f t="shared" si="53"/>
        <v>1.7041898203388675</v>
      </c>
      <c r="AC1879" s="47">
        <v>203</v>
      </c>
      <c r="AD1879" s="57">
        <v>209.13</v>
      </c>
      <c r="AE1879" s="57">
        <v>219.4</v>
      </c>
      <c r="AF1879" s="57">
        <v>373.9</v>
      </c>
      <c r="AG1879" s="57">
        <f t="shared" si="54"/>
        <v>1.7041932543299907</v>
      </c>
      <c r="AH1879" s="47">
        <v>226</v>
      </c>
      <c r="AI1879">
        <v>208.62</v>
      </c>
      <c r="AJ1879">
        <v>218.34</v>
      </c>
      <c r="AK1879">
        <v>372.1</v>
      </c>
      <c r="AL1879" s="57">
        <f t="shared" si="41"/>
        <v>1.7042227718237613</v>
      </c>
      <c r="AM1879" s="59">
        <v>9919</v>
      </c>
      <c r="AN1879" s="59">
        <f>SUMIFS(HIX_RatingAreas8[Silver Enrollments 2018],HIX_RatingAreas8[Area],HIX_SLCSP11[[#This Row],[Area Code]])</f>
        <v>6470</v>
      </c>
      <c r="AO1879" s="59">
        <f>SUMIFS(HIX_RatingAreas8[Silver Enrollments 2019],HIX_RatingAreas8[Area],HIX_SLCSP11[[#This Row],[Area Code]])</f>
        <v>5642</v>
      </c>
      <c r="AP1879" s="59">
        <f>SUMIFS(HIX_RatingAreas8[Silver Enrollments 2020],HIX_RatingAreas8[Area],HIX_SLCSP11[[#This Row],[Area Code]])</f>
        <v>5713</v>
      </c>
      <c r="AQ1879" s="59">
        <f>SUMIFS(HIX_RatingAreas8[Silver Enrollments 2021],HIX_RatingAreas8[Area],HIX_SLCSP11[[#This Row],[Area Code]])</f>
        <v>6429</v>
      </c>
      <c r="AR1879" s="59">
        <f>SUMIFS(HIX_RatingAreas8[Silver Enrollments 2022],HIX_RatingAreas8[Area],HIX_SLCSP11[[#This Row],[Area Code]])</f>
        <v>9207</v>
      </c>
      <c r="AS1879" s="59">
        <f>SUMIFS(HIX_RatingAreas8[Silver Enrollments 2023],HIX_RatingAreas8[Area],HIX_SLCSP11[[#This Row],[Area Code]])</f>
        <v>9207</v>
      </c>
      <c r="AT1879" s="59">
        <v>12515</v>
      </c>
      <c r="AU1879">
        <f t="shared" si="44"/>
        <v>2.1290060272220173E-2</v>
      </c>
      <c r="AV1879">
        <f>SUMIFS(HIX_RatingAreas8[QHP Enrollments 2018],HIX_RatingAreas8[Area],HIX_SLCSP11[[#This Row],[Area Code]])</f>
        <v>10355</v>
      </c>
      <c r="AW1879">
        <f t="shared" si="45"/>
        <v>2.1532050628910546E-2</v>
      </c>
      <c r="AX1879">
        <f>SUMIFS(HIX_RatingAreas8[QHP Enrollments 2019],HIX_RatingAreas8[Area],HIX_SLCSP11[[#This Row],[Area Code]])</f>
        <v>10087</v>
      </c>
      <c r="AY1879">
        <f t="shared" si="46"/>
        <v>2.2003023316180849E-2</v>
      </c>
      <c r="AZ1879">
        <f>SUMIFS(HIX_RatingAreas8[QHP Enrollments 2020],HIX_RatingAreas8[Area],HIX_SLCSP11[[#This Row],[Area Code]])</f>
        <v>9312</v>
      </c>
      <c r="BA1879">
        <f t="shared" si="47"/>
        <v>2.0072858959712014E-2</v>
      </c>
      <c r="BB1879">
        <f>SUMIFS(HIX_RatingAreas8[QHP Enrollments 2021],HIX_RatingAreas8[Area],HIX_SLCSP11[[#This Row],[Area Code]])</f>
        <v>9981</v>
      </c>
      <c r="BC1879">
        <f t="shared" si="48"/>
        <v>1.9301390605148197E-2</v>
      </c>
      <c r="BD1879">
        <f>SUMIFS(HIX_RatingAreas8[QHP Enrollments 2022],HIX_RatingAreas8[Area],HIX_SLCSP11[[#This Row],[Area Code]])</f>
        <v>13656</v>
      </c>
      <c r="BE1879">
        <f t="shared" si="49"/>
        <v>1.9476990879074643E-2</v>
      </c>
      <c r="BF1879">
        <f>SUMIFS(HIX_RatingAreas8[QHP Enrollments 2023],HIX_RatingAreas8[Area],HIX_SLCSP11[[#This Row],[Area Code]])</f>
        <v>13656</v>
      </c>
      <c r="BG1879">
        <f t="shared" si="55"/>
        <v>1.9476990879074643E-2</v>
      </c>
      <c r="BH1879" s="53">
        <f>ROUND(HIX_SLCSP11[[#This Row],[Weighting Factor 2018]]*HIX_SLCSP11[[#This Row],[2018]],2)</f>
        <v>12.02</v>
      </c>
      <c r="BI1879" s="53">
        <f>ROUND(HIX_SLCSP11[[#This Row],[Weighting Factor 2019]]*HIX_SLCSP11[[#This Row],[2019]],2)</f>
        <v>6.68</v>
      </c>
      <c r="BJ1879" s="53">
        <f>ROUND(HIX_SLCSP11[[#This Row],[Weighting Factor 2020]]*HIX_SLCSP11[[#This Row],[2020]],2)</f>
        <v>6.75</v>
      </c>
      <c r="BK1879" s="53">
        <f>ROUND(HIX_SLCSP11[[#This Row],[Weighting Factor 2021]]*HIX_SLCSP11[[#This Row],[2021]],2)</f>
        <v>5.66</v>
      </c>
      <c r="BL1879" s="53">
        <f>ROUND(HIX_SLCSP11[[#This Row],[Weighting Factor 2022]]*HIX_SLCSP11[[#This Row],[2022]],2)</f>
        <v>4.2699999999999996</v>
      </c>
      <c r="BM1879" s="53">
        <f>ROUND(HIX_SLCSP11[[#This Row],[Weighting Factor 2023]]*HIX_SLCSP11[[#This Row],[2023]],2)</f>
        <v>4.25</v>
      </c>
    </row>
    <row r="1880" spans="4:65" x14ac:dyDescent="0.35">
      <c r="D1880" t="s">
        <v>780</v>
      </c>
      <c r="E1880" t="s">
        <v>577</v>
      </c>
      <c r="F1880" s="23">
        <v>14</v>
      </c>
      <c r="G1880" s="23" t="s">
        <v>781</v>
      </c>
      <c r="H1880" s="23" t="s">
        <v>1004</v>
      </c>
      <c r="I1880" s="23">
        <v>36</v>
      </c>
      <c r="J1880" s="53">
        <v>305.5</v>
      </c>
      <c r="K1880" s="53">
        <v>319.83</v>
      </c>
      <c r="L1880" s="53">
        <v>545.04999999999995</v>
      </c>
      <c r="M1880" s="54">
        <f t="shared" si="50"/>
        <v>1.7041865991307881</v>
      </c>
      <c r="N1880" s="24">
        <v>44</v>
      </c>
      <c r="O1880" s="55">
        <v>326.68</v>
      </c>
      <c r="P1880" s="56">
        <v>343.51</v>
      </c>
      <c r="Q1880" s="56">
        <v>585.41</v>
      </c>
      <c r="R1880" s="57">
        <f t="shared" si="51"/>
        <v>1.7042007510698378</v>
      </c>
      <c r="S1880" s="23">
        <v>36</v>
      </c>
      <c r="T1880" s="53">
        <v>330.08</v>
      </c>
      <c r="U1880" s="53">
        <v>354.56</v>
      </c>
      <c r="V1880" s="53">
        <v>604.24</v>
      </c>
      <c r="W1880" s="57">
        <f t="shared" si="52"/>
        <v>1.7041967509025271</v>
      </c>
      <c r="X1880" s="47">
        <v>100</v>
      </c>
      <c r="Y1880" s="58">
        <v>275.77999999999997</v>
      </c>
      <c r="Z1880" s="58">
        <v>281.77999999999997</v>
      </c>
      <c r="AA1880" s="58">
        <v>480.21</v>
      </c>
      <c r="AB1880" s="57">
        <f t="shared" si="53"/>
        <v>1.7042018596067856</v>
      </c>
      <c r="AC1880" s="47">
        <v>185</v>
      </c>
      <c r="AD1880" s="57">
        <v>295.25</v>
      </c>
      <c r="AE1880" s="57">
        <v>306.42</v>
      </c>
      <c r="AF1880" s="57">
        <v>522.20000000000005</v>
      </c>
      <c r="AG1880" s="57">
        <f t="shared" si="54"/>
        <v>1.704196853991254</v>
      </c>
      <c r="AH1880" s="47">
        <v>236</v>
      </c>
      <c r="AI1880">
        <v>286.52</v>
      </c>
      <c r="AJ1880">
        <v>299.86</v>
      </c>
      <c r="AK1880">
        <v>511.03</v>
      </c>
      <c r="AL1880" s="57">
        <f t="shared" si="41"/>
        <v>1.7042286400320148</v>
      </c>
      <c r="AM1880" s="59">
        <v>26670</v>
      </c>
      <c r="AN1880" s="59">
        <f>SUMIFS(HIX_RatingAreas8[Silver Enrollments 2018],HIX_RatingAreas8[Area],HIX_SLCSP11[[#This Row],[Area Code]])</f>
        <v>18543</v>
      </c>
      <c r="AO1880" s="59">
        <f>SUMIFS(HIX_RatingAreas8[Silver Enrollments 2019],HIX_RatingAreas8[Area],HIX_SLCSP11[[#This Row],[Area Code]])</f>
        <v>18705</v>
      </c>
      <c r="AP1880" s="59">
        <f>SUMIFS(HIX_RatingAreas8[Silver Enrollments 2020],HIX_RatingAreas8[Area],HIX_SLCSP11[[#This Row],[Area Code]])</f>
        <v>18079</v>
      </c>
      <c r="AQ1880" s="59">
        <f>SUMIFS(HIX_RatingAreas8[Silver Enrollments 2021],HIX_RatingAreas8[Area],HIX_SLCSP11[[#This Row],[Area Code]])</f>
        <v>17878</v>
      </c>
      <c r="AR1880" s="59">
        <f>SUMIFS(HIX_RatingAreas8[Silver Enrollments 2022],HIX_RatingAreas8[Area],HIX_SLCSP11[[#This Row],[Area Code]])</f>
        <v>23208</v>
      </c>
      <c r="AS1880" s="59">
        <f>SUMIFS(HIX_RatingAreas8[Silver Enrollments 2023],HIX_RatingAreas8[Area],HIX_SLCSP11[[#This Row],[Area Code]])</f>
        <v>23208</v>
      </c>
      <c r="AT1880" s="59">
        <v>34665</v>
      </c>
      <c r="AU1880">
        <f t="shared" si="44"/>
        <v>5.8970830150740089E-2</v>
      </c>
      <c r="AV1880">
        <f>SUMIFS(HIX_RatingAreas8[QHP Enrollments 2018],HIX_RatingAreas8[Area],HIX_SLCSP11[[#This Row],[Area Code]])</f>
        <v>23458</v>
      </c>
      <c r="AW1880">
        <f t="shared" si="45"/>
        <v>4.8778256267791753E-2</v>
      </c>
      <c r="AX1880">
        <f>SUMIFS(HIX_RatingAreas8[QHP Enrollments 2019],HIX_RatingAreas8[Area],HIX_SLCSP11[[#This Row],[Area Code]])</f>
        <v>23022</v>
      </c>
      <c r="AY1880">
        <f t="shared" si="46"/>
        <v>5.0218459679301629E-2</v>
      </c>
      <c r="AZ1880">
        <f>SUMIFS(HIX_RatingAreas8[QHP Enrollments 2020],HIX_RatingAreas8[Area],HIX_SLCSP11[[#This Row],[Area Code]])</f>
        <v>24248</v>
      </c>
      <c r="BA1880">
        <f t="shared" si="47"/>
        <v>5.2268759026535321E-2</v>
      </c>
      <c r="BB1880">
        <f>SUMIFS(HIX_RatingAreas8[QHP Enrollments 2021],HIX_RatingAreas8[Area],HIX_SLCSP11[[#This Row],[Area Code]])</f>
        <v>27082</v>
      </c>
      <c r="BC1880">
        <f t="shared" si="48"/>
        <v>5.2371531947562722E-2</v>
      </c>
      <c r="BD1880">
        <f>SUMIFS(HIX_RatingAreas8[QHP Enrollments 2022],HIX_RatingAreas8[Area],HIX_SLCSP11[[#This Row],[Area Code]])</f>
        <v>37475</v>
      </c>
      <c r="BE1880">
        <f t="shared" si="49"/>
        <v>5.3449050468169466E-2</v>
      </c>
      <c r="BF1880">
        <f>SUMIFS(HIX_RatingAreas8[QHP Enrollments 2023],HIX_RatingAreas8[Area],HIX_SLCSP11[[#This Row],[Area Code]])</f>
        <v>37475</v>
      </c>
      <c r="BG1880">
        <f t="shared" si="55"/>
        <v>5.3449050468169466E-2</v>
      </c>
      <c r="BH1880" s="53">
        <f>ROUND(HIX_SLCSP11[[#This Row],[Weighting Factor 2018]]*HIX_SLCSP11[[#This Row],[2018]],2)</f>
        <v>15.6</v>
      </c>
      <c r="BI1880" s="53">
        <f>ROUND(HIX_SLCSP11[[#This Row],[Weighting Factor 2019]]*HIX_SLCSP11[[#This Row],[2019]],2)</f>
        <v>17.25</v>
      </c>
      <c r="BJ1880" s="53">
        <f>ROUND(HIX_SLCSP11[[#This Row],[Weighting Factor 2020]]*HIX_SLCSP11[[#This Row],[2020]],2)</f>
        <v>18.53</v>
      </c>
      <c r="BK1880" s="53">
        <f>ROUND(HIX_SLCSP11[[#This Row],[Weighting Factor 2021]]*HIX_SLCSP11[[#This Row],[2021]],2)</f>
        <v>14.76</v>
      </c>
      <c r="BL1880" s="53">
        <f>ROUND(HIX_SLCSP11[[#This Row],[Weighting Factor 2022]]*HIX_SLCSP11[[#This Row],[2022]],2)</f>
        <v>16.38</v>
      </c>
      <c r="BM1880" s="53">
        <f>ROUND(HIX_SLCSP11[[#This Row],[Weighting Factor 2023]]*HIX_SLCSP11[[#This Row],[2023]],2)</f>
        <v>16.03</v>
      </c>
    </row>
    <row r="1881" spans="4:65" x14ac:dyDescent="0.35">
      <c r="D1881" t="s">
        <v>780</v>
      </c>
      <c r="E1881" t="s">
        <v>581</v>
      </c>
      <c r="F1881" s="23">
        <v>15</v>
      </c>
      <c r="G1881" s="23" t="s">
        <v>781</v>
      </c>
      <c r="H1881" s="23" t="s">
        <v>1026</v>
      </c>
      <c r="I1881" s="23">
        <v>32</v>
      </c>
      <c r="J1881" s="53">
        <v>606.91</v>
      </c>
      <c r="K1881" s="53">
        <v>633.91</v>
      </c>
      <c r="L1881" s="53">
        <v>1080.32</v>
      </c>
      <c r="M1881" s="54">
        <f t="shared" si="50"/>
        <v>1.7042166869113913</v>
      </c>
      <c r="N1881" s="24">
        <v>52</v>
      </c>
      <c r="O1881" s="55">
        <v>267.27999999999997</v>
      </c>
      <c r="P1881" s="56">
        <v>281.06</v>
      </c>
      <c r="Q1881" s="56">
        <v>478.98</v>
      </c>
      <c r="R1881" s="57">
        <f t="shared" si="51"/>
        <v>1.7041912758841529</v>
      </c>
      <c r="S1881" s="23">
        <v>32</v>
      </c>
      <c r="T1881" s="53">
        <v>316.38</v>
      </c>
      <c r="U1881" s="53">
        <v>346.5</v>
      </c>
      <c r="V1881" s="53">
        <v>590.5</v>
      </c>
      <c r="W1881" s="57">
        <f t="shared" si="52"/>
        <v>1.7041847041847042</v>
      </c>
      <c r="X1881" s="47">
        <v>104</v>
      </c>
      <c r="Y1881" s="58">
        <v>278.81</v>
      </c>
      <c r="Z1881" s="58">
        <v>284.88</v>
      </c>
      <c r="AA1881" s="58">
        <v>485.48</v>
      </c>
      <c r="AB1881" s="57">
        <f t="shared" si="53"/>
        <v>1.7041561359168773</v>
      </c>
      <c r="AC1881" s="47">
        <v>155</v>
      </c>
      <c r="AD1881" s="57">
        <v>234.99</v>
      </c>
      <c r="AE1881" s="57">
        <v>237.3</v>
      </c>
      <c r="AF1881" s="57">
        <v>404.41</v>
      </c>
      <c r="AG1881" s="57">
        <f t="shared" si="54"/>
        <v>1.7042140750105352</v>
      </c>
      <c r="AH1881" s="47">
        <v>170</v>
      </c>
      <c r="AI1881">
        <v>250.77</v>
      </c>
      <c r="AJ1881">
        <v>253.41</v>
      </c>
      <c r="AK1881">
        <v>431.86</v>
      </c>
      <c r="AL1881" s="57">
        <f t="shared" si="41"/>
        <v>1.7041947831577287</v>
      </c>
      <c r="AM1881" s="59">
        <v>12438</v>
      </c>
      <c r="AN1881" s="59">
        <f>SUMIFS(HIX_RatingAreas8[Silver Enrollments 2018],HIX_RatingAreas8[Area],HIX_SLCSP11[[#This Row],[Area Code]])</f>
        <v>10314</v>
      </c>
      <c r="AO1881" s="59">
        <f>SUMIFS(HIX_RatingAreas8[Silver Enrollments 2019],HIX_RatingAreas8[Area],HIX_SLCSP11[[#This Row],[Area Code]])</f>
        <v>10172</v>
      </c>
      <c r="AP1881" s="59">
        <f>SUMIFS(HIX_RatingAreas8[Silver Enrollments 2020],HIX_RatingAreas8[Area],HIX_SLCSP11[[#This Row],[Area Code]])</f>
        <v>10231</v>
      </c>
      <c r="AQ1881" s="59">
        <f>SUMIFS(HIX_RatingAreas8[Silver Enrollments 2021],HIX_RatingAreas8[Area],HIX_SLCSP11[[#This Row],[Area Code]])</f>
        <v>9892</v>
      </c>
      <c r="AR1881" s="59">
        <f>SUMIFS(HIX_RatingAreas8[Silver Enrollments 2022],HIX_RatingAreas8[Area],HIX_SLCSP11[[#This Row],[Area Code]])</f>
        <v>13200</v>
      </c>
      <c r="AS1881" s="59">
        <f>SUMIFS(HIX_RatingAreas8[Silver Enrollments 2023],HIX_RatingAreas8[Area],HIX_SLCSP11[[#This Row],[Area Code]])</f>
        <v>13200</v>
      </c>
      <c r="AT1881" s="59">
        <v>16425</v>
      </c>
      <c r="AU1881">
        <f t="shared" si="44"/>
        <v>2.7941609266577412E-2</v>
      </c>
      <c r="AV1881">
        <f>SUMIFS(HIX_RatingAreas8[QHP Enrollments 2018],HIX_RatingAreas8[Area],HIX_SLCSP11[[#This Row],[Area Code]])</f>
        <v>12661</v>
      </c>
      <c r="AW1881">
        <f t="shared" si="45"/>
        <v>2.6327116659839347E-2</v>
      </c>
      <c r="AX1881">
        <f>SUMIFS(HIX_RatingAreas8[QHP Enrollments 2019],HIX_RatingAreas8[Area],HIX_SLCSP11[[#This Row],[Area Code]])</f>
        <v>12224</v>
      </c>
      <c r="AY1881">
        <f t="shared" si="46"/>
        <v>2.6664514426191603E-2</v>
      </c>
      <c r="AZ1881">
        <f>SUMIFS(HIX_RatingAreas8[QHP Enrollments 2020],HIX_RatingAreas8[Area],HIX_SLCSP11[[#This Row],[Area Code]])</f>
        <v>12728</v>
      </c>
      <c r="BA1881">
        <f t="shared" si="47"/>
        <v>2.7436356189778188E-2</v>
      </c>
      <c r="BB1881">
        <f>SUMIFS(HIX_RatingAreas8[QHP Enrollments 2021],HIX_RatingAreas8[Area],HIX_SLCSP11[[#This Row],[Area Code]])</f>
        <v>13598</v>
      </c>
      <c r="BC1881">
        <f t="shared" si="48"/>
        <v>2.629599333221172E-2</v>
      </c>
      <c r="BD1881">
        <f>SUMIFS(HIX_RatingAreas8[QHP Enrollments 2022],HIX_RatingAreas8[Area],HIX_SLCSP11[[#This Row],[Area Code]])</f>
        <v>19513</v>
      </c>
      <c r="BE1881">
        <f t="shared" si="49"/>
        <v>2.7830588973592817E-2</v>
      </c>
      <c r="BF1881">
        <f>SUMIFS(HIX_RatingAreas8[QHP Enrollments 2023],HIX_RatingAreas8[Area],HIX_SLCSP11[[#This Row],[Area Code]])</f>
        <v>19513</v>
      </c>
      <c r="BG1881">
        <f t="shared" si="55"/>
        <v>2.7830588973592817E-2</v>
      </c>
      <c r="BH1881" s="53">
        <f>ROUND(HIX_SLCSP11[[#This Row],[Weighting Factor 2018]]*HIX_SLCSP11[[#This Row],[2018]],2)</f>
        <v>16.690000000000001</v>
      </c>
      <c r="BI1881" s="53">
        <f>ROUND(HIX_SLCSP11[[#This Row],[Weighting Factor 2019]]*HIX_SLCSP11[[#This Row],[2019]],2)</f>
        <v>7.49</v>
      </c>
      <c r="BJ1881" s="53">
        <f>ROUND(HIX_SLCSP11[[#This Row],[Weighting Factor 2020]]*HIX_SLCSP11[[#This Row],[2020]],2)</f>
        <v>9.51</v>
      </c>
      <c r="BK1881" s="53">
        <f>ROUND(HIX_SLCSP11[[#This Row],[Weighting Factor 2021]]*HIX_SLCSP11[[#This Row],[2021]],2)</f>
        <v>7.49</v>
      </c>
      <c r="BL1881" s="53">
        <f>ROUND(HIX_SLCSP11[[#This Row],[Weighting Factor 2022]]*HIX_SLCSP11[[#This Row],[2022]],2)</f>
        <v>6.6</v>
      </c>
      <c r="BM1881" s="53">
        <f>ROUND(HIX_SLCSP11[[#This Row],[Weighting Factor 2023]]*HIX_SLCSP11[[#This Row],[2023]],2)</f>
        <v>7.05</v>
      </c>
    </row>
    <row r="1882" spans="4:65" x14ac:dyDescent="0.35">
      <c r="D1882" t="s">
        <v>780</v>
      </c>
      <c r="E1882" t="s">
        <v>585</v>
      </c>
      <c r="F1882" s="23">
        <v>16</v>
      </c>
      <c r="G1882" s="23" t="s">
        <v>781</v>
      </c>
      <c r="H1882" s="23" t="s">
        <v>1060</v>
      </c>
      <c r="I1882" s="23">
        <v>41</v>
      </c>
      <c r="J1882" s="53">
        <v>449.62</v>
      </c>
      <c r="K1882" s="53">
        <v>469.63</v>
      </c>
      <c r="L1882" s="53">
        <v>800.34</v>
      </c>
      <c r="M1882" s="54">
        <f t="shared" si="50"/>
        <v>1.7041926623086261</v>
      </c>
      <c r="N1882" s="24">
        <v>8</v>
      </c>
      <c r="O1882" s="55">
        <v>458</v>
      </c>
      <c r="P1882" s="56">
        <v>549.03</v>
      </c>
      <c r="Q1882" s="56">
        <v>935.65</v>
      </c>
      <c r="R1882" s="57">
        <f t="shared" si="51"/>
        <v>1.7041873850244977</v>
      </c>
      <c r="S1882" s="23">
        <v>41</v>
      </c>
      <c r="T1882" s="53">
        <v>303.26</v>
      </c>
      <c r="U1882" s="53">
        <v>305.2</v>
      </c>
      <c r="V1882" s="53">
        <v>520.12</v>
      </c>
      <c r="W1882" s="57">
        <f t="shared" si="52"/>
        <v>1.7041939711664482</v>
      </c>
      <c r="X1882" s="47">
        <v>104</v>
      </c>
      <c r="Y1882" s="58">
        <v>269.81</v>
      </c>
      <c r="Z1882" s="58">
        <v>275.67</v>
      </c>
      <c r="AA1882" s="58">
        <v>469.8</v>
      </c>
      <c r="AB1882" s="57">
        <f t="shared" si="53"/>
        <v>1.7042115572967678</v>
      </c>
      <c r="AC1882" s="47">
        <v>93</v>
      </c>
      <c r="AD1882" s="57">
        <v>236.92</v>
      </c>
      <c r="AE1882" s="57">
        <v>248.55</v>
      </c>
      <c r="AF1882" s="57">
        <v>423.57</v>
      </c>
      <c r="AG1882" s="57">
        <f t="shared" si="54"/>
        <v>1.7041641520820758</v>
      </c>
      <c r="AH1882" s="47">
        <v>170</v>
      </c>
      <c r="AI1882">
        <v>253.15</v>
      </c>
      <c r="AJ1882">
        <v>253.79</v>
      </c>
      <c r="AK1882">
        <v>432.51</v>
      </c>
      <c r="AL1882" s="57">
        <f t="shared" si="41"/>
        <v>1.7042042633673509</v>
      </c>
      <c r="AM1882" s="59">
        <v>2461</v>
      </c>
      <c r="AN1882" s="59">
        <f>SUMIFS(HIX_RatingAreas8[Silver Enrollments 2018],HIX_RatingAreas8[Area],HIX_SLCSP11[[#This Row],[Area Code]])</f>
        <v>1798</v>
      </c>
      <c r="AO1882" s="59">
        <f>SUMIFS(HIX_RatingAreas8[Silver Enrollments 2019],HIX_RatingAreas8[Area],HIX_SLCSP11[[#This Row],[Area Code]])</f>
        <v>1665</v>
      </c>
      <c r="AP1882" s="59">
        <f>SUMIFS(HIX_RatingAreas8[Silver Enrollments 2020],HIX_RatingAreas8[Area],HIX_SLCSP11[[#This Row],[Area Code]])</f>
        <v>1570</v>
      </c>
      <c r="AQ1882" s="59">
        <f>SUMIFS(HIX_RatingAreas8[Silver Enrollments 2021],HIX_RatingAreas8[Area],HIX_SLCSP11[[#This Row],[Area Code]])</f>
        <v>1403</v>
      </c>
      <c r="AR1882" s="59">
        <f>SUMIFS(HIX_RatingAreas8[Silver Enrollments 2022],HIX_RatingAreas8[Area],HIX_SLCSP11[[#This Row],[Area Code]])</f>
        <v>2207</v>
      </c>
      <c r="AS1882" s="59">
        <f>SUMIFS(HIX_RatingAreas8[Silver Enrollments 2023],HIX_RatingAreas8[Area],HIX_SLCSP11[[#This Row],[Area Code]])</f>
        <v>2207</v>
      </c>
      <c r="AT1882" s="59">
        <v>3094</v>
      </c>
      <c r="AU1882">
        <f t="shared" si="44"/>
        <v>5.2633996390131213E-3</v>
      </c>
      <c r="AV1882">
        <f>SUMIFS(HIX_RatingAreas8[QHP Enrollments 2018],HIX_RatingAreas8[Area],HIX_SLCSP11[[#This Row],[Area Code]])</f>
        <v>2204</v>
      </c>
      <c r="AW1882">
        <f t="shared" si="45"/>
        <v>4.5829685742268316E-3</v>
      </c>
      <c r="AX1882">
        <f>SUMIFS(HIX_RatingAreas8[QHP Enrollments 2019],HIX_RatingAreas8[Area],HIX_SLCSP11[[#This Row],[Area Code]])</f>
        <v>2034</v>
      </c>
      <c r="AY1882">
        <f t="shared" si="46"/>
        <v>4.4368146550125753E-3</v>
      </c>
      <c r="AZ1882">
        <f>SUMIFS(HIX_RatingAreas8[QHP Enrollments 2020],HIX_RatingAreas8[Area],HIX_SLCSP11[[#This Row],[Area Code]])</f>
        <v>2066</v>
      </c>
      <c r="BA1882">
        <f t="shared" si="47"/>
        <v>4.4534500226337008E-3</v>
      </c>
      <c r="BB1882">
        <f>SUMIFS(HIX_RatingAreas8[QHP Enrollments 2021],HIX_RatingAreas8[Area],HIX_SLCSP11[[#This Row],[Area Code]])</f>
        <v>2056</v>
      </c>
      <c r="BC1882">
        <f t="shared" si="48"/>
        <v>3.9759201567162302E-3</v>
      </c>
      <c r="BD1882">
        <f>SUMIFS(HIX_RatingAreas8[QHP Enrollments 2022],HIX_RatingAreas8[Area],HIX_SLCSP11[[#This Row],[Area Code]])</f>
        <v>3075</v>
      </c>
      <c r="BE1882">
        <f t="shared" si="49"/>
        <v>4.38574596903592E-3</v>
      </c>
      <c r="BF1882">
        <f>SUMIFS(HIX_RatingAreas8[QHP Enrollments 2023],HIX_RatingAreas8[Area],HIX_SLCSP11[[#This Row],[Area Code]])</f>
        <v>3075</v>
      </c>
      <c r="BG1882">
        <f t="shared" si="55"/>
        <v>4.38574596903592E-3</v>
      </c>
      <c r="BH1882" s="53">
        <f>ROUND(HIX_SLCSP11[[#This Row],[Weighting Factor 2018]]*HIX_SLCSP11[[#This Row],[2018]],2)</f>
        <v>2.15</v>
      </c>
      <c r="BI1882" s="53">
        <f>ROUND(HIX_SLCSP11[[#This Row],[Weighting Factor 2019]]*HIX_SLCSP11[[#This Row],[2019]],2)</f>
        <v>2.44</v>
      </c>
      <c r="BJ1882" s="53">
        <f>ROUND(HIX_SLCSP11[[#This Row],[Weighting Factor 2020]]*HIX_SLCSP11[[#This Row],[2020]],2)</f>
        <v>1.36</v>
      </c>
      <c r="BK1882" s="53">
        <f>ROUND(HIX_SLCSP11[[#This Row],[Weighting Factor 2021]]*HIX_SLCSP11[[#This Row],[2021]],2)</f>
        <v>1.1000000000000001</v>
      </c>
      <c r="BL1882" s="53">
        <f>ROUND(HIX_SLCSP11[[#This Row],[Weighting Factor 2022]]*HIX_SLCSP11[[#This Row],[2022]],2)</f>
        <v>1.0900000000000001</v>
      </c>
      <c r="BM1882" s="53">
        <f>ROUND(HIX_SLCSP11[[#This Row],[Weighting Factor 2023]]*HIX_SLCSP11[[#This Row],[2023]],2)</f>
        <v>1.1100000000000001</v>
      </c>
    </row>
    <row r="1883" spans="4:65" x14ac:dyDescent="0.35">
      <c r="D1883" t="s">
        <v>1067</v>
      </c>
      <c r="E1883" t="s">
        <v>2597</v>
      </c>
      <c r="F1883" s="23"/>
      <c r="G1883" s="23"/>
      <c r="H1883" s="23"/>
      <c r="I1883" s="23"/>
      <c r="J1883" s="53"/>
      <c r="K1883" s="53">
        <f>SUM(BH1884:BH1891)</f>
        <v>383.03000000000003</v>
      </c>
      <c r="L1883" s="53"/>
      <c r="M1883" s="54"/>
      <c r="O1883" s="55"/>
      <c r="P1883" s="56">
        <f>SUM(BI1884:BI1891)</f>
        <v>374.69</v>
      </c>
      <c r="Q1883" s="56"/>
      <c r="R1883" s="57"/>
      <c r="S1883" s="23"/>
      <c r="T1883" s="53"/>
      <c r="U1883" s="53">
        <f>SUM(BJ1884:BJ1891)</f>
        <v>383.24</v>
      </c>
      <c r="V1883" s="53"/>
      <c r="W1883" s="57"/>
      <c r="X1883" s="47"/>
      <c r="Y1883" s="58"/>
      <c r="Z1883" s="53">
        <f>SUM(BK1884:BK1891)</f>
        <v>443.15999999999997</v>
      </c>
      <c r="AA1883" s="58"/>
      <c r="AB1883" s="57"/>
      <c r="AC1883" s="47"/>
      <c r="AD1883" s="57"/>
      <c r="AE1883" s="53">
        <f>SUM(BL1884:BL1891)</f>
        <v>412.74</v>
      </c>
      <c r="AF1883" s="57"/>
      <c r="AG1883" s="57"/>
      <c r="AH1883" s="47"/>
      <c r="AI1883" s="57"/>
      <c r="AJ1883" s="53">
        <f>SUM(BM1884:BM1891)</f>
        <v>428.43000000000006</v>
      </c>
      <c r="AK1883" s="57"/>
      <c r="AL1883" s="57"/>
      <c r="AM1883" s="59">
        <f t="shared" ref="AM1883:AT1883" si="56">SUM(AM1884:AM1891)</f>
        <v>151153</v>
      </c>
      <c r="AN1883" s="59">
        <f t="shared" si="56"/>
        <v>69759</v>
      </c>
      <c r="AO1883" s="59">
        <f t="shared" si="56"/>
        <v>58081</v>
      </c>
      <c r="AP1883" s="59">
        <f t="shared" si="56"/>
        <v>52937</v>
      </c>
      <c r="AQ1883" s="59">
        <f t="shared" si="56"/>
        <v>48896</v>
      </c>
      <c r="AR1883" s="59">
        <f t="shared" si="56"/>
        <v>55587</v>
      </c>
      <c r="AS1883" s="59">
        <f t="shared" si="56"/>
        <v>55587</v>
      </c>
      <c r="AT1883" s="59">
        <f t="shared" si="56"/>
        <v>214143</v>
      </c>
      <c r="AU1883">
        <f t="shared" ref="AU1883:AU1891" si="57">AT1883/AT$1883</f>
        <v>1</v>
      </c>
      <c r="AV1883" s="59">
        <f>SUM(AV1884:AV1891)</f>
        <v>109855</v>
      </c>
      <c r="AW1883">
        <f>AV1883/AV$1883</f>
        <v>1</v>
      </c>
      <c r="AX1883" s="59">
        <f>SUM(AX1884:AX1891)</f>
        <v>92948</v>
      </c>
      <c r="AY1883">
        <f t="shared" ref="AY1883:AY1891" si="58">AX1883/AX$1883</f>
        <v>1</v>
      </c>
      <c r="AZ1883" s="59">
        <f>SUM(AZ1884:AZ1891)</f>
        <v>87748</v>
      </c>
      <c r="BA1883">
        <f t="shared" ref="BA1883:BA1891" si="59">AZ1883/AZ$1883</f>
        <v>1</v>
      </c>
      <c r="BB1883" s="59">
        <f>SUM(BB1884:BB1891)</f>
        <v>83159</v>
      </c>
      <c r="BC1883">
        <f t="shared" ref="BC1883:BC1891" si="60">BB1883/BB$1883</f>
        <v>1</v>
      </c>
      <c r="BD1883" s="59">
        <f>SUM(BD1884:BD1891)</f>
        <v>99626</v>
      </c>
      <c r="BE1883">
        <f t="shared" ref="BE1883:BE1891" si="61">BD1883/BD$1883</f>
        <v>1</v>
      </c>
      <c r="BF1883" s="59">
        <f>SUM(BF1884:BF1891)</f>
        <v>99626</v>
      </c>
      <c r="BG1883">
        <f>BF1883/BF$1883</f>
        <v>1</v>
      </c>
      <c r="BH1883" s="53"/>
      <c r="BI1883" s="53"/>
      <c r="BJ1883" s="53"/>
      <c r="BK1883" s="53"/>
      <c r="BL1883" s="53"/>
      <c r="BM1883" s="53"/>
    </row>
    <row r="1884" spans="4:65" x14ac:dyDescent="0.35">
      <c r="D1884" t="s">
        <v>1067</v>
      </c>
      <c r="E1884" t="s">
        <v>231</v>
      </c>
      <c r="F1884" s="23">
        <v>1</v>
      </c>
      <c r="G1884" s="23" t="s">
        <v>1068</v>
      </c>
      <c r="H1884" s="23" t="s">
        <v>1069</v>
      </c>
      <c r="I1884" s="23">
        <v>48</v>
      </c>
      <c r="J1884" s="53">
        <v>335.1</v>
      </c>
      <c r="K1884" s="53">
        <v>337.56</v>
      </c>
      <c r="L1884" s="53">
        <v>575.27</v>
      </c>
      <c r="M1884" s="54">
        <f t="shared" ref="M1884:M1891" si="62">L1884/K1884</f>
        <v>1.7042007346842043</v>
      </c>
      <c r="N1884" s="24">
        <v>60</v>
      </c>
      <c r="O1884" s="55">
        <v>314.76</v>
      </c>
      <c r="P1884" s="56">
        <v>349.73</v>
      </c>
      <c r="Q1884" s="56">
        <v>596.01</v>
      </c>
      <c r="R1884" s="57">
        <f t="shared" ref="R1884:R1898" si="63">Q1884/P1884</f>
        <v>1.7042003831527177</v>
      </c>
      <c r="S1884" s="23">
        <v>48</v>
      </c>
      <c r="T1884" s="53">
        <v>353.28</v>
      </c>
      <c r="U1884" s="53">
        <v>355.84</v>
      </c>
      <c r="V1884" s="53">
        <v>606.41999999999996</v>
      </c>
      <c r="W1884" s="57">
        <f t="shared" ref="W1884:W1891" si="64">V1884/U1884</f>
        <v>1.7041928956834533</v>
      </c>
      <c r="X1884" s="47">
        <v>40</v>
      </c>
      <c r="Y1884" s="58">
        <v>389.58</v>
      </c>
      <c r="Z1884" s="58">
        <v>432.87</v>
      </c>
      <c r="AA1884" s="58">
        <v>737.69</v>
      </c>
      <c r="AB1884" s="57">
        <f t="shared" ref="AB1884:AB1898" si="65">AA1884/Z1884</f>
        <v>1.7041837041143995</v>
      </c>
      <c r="AC1884" s="47">
        <v>77</v>
      </c>
      <c r="AD1884" s="57">
        <v>375.48</v>
      </c>
      <c r="AE1884" s="57">
        <v>375.48</v>
      </c>
      <c r="AF1884" s="57">
        <v>639.89</v>
      </c>
      <c r="AG1884" s="57">
        <f t="shared" ref="AG1884:AG1891" si="66">AF1884/AE1884</f>
        <v>1.7041919676147863</v>
      </c>
      <c r="AH1884" s="47">
        <v>113</v>
      </c>
      <c r="AI1884">
        <v>381.26</v>
      </c>
      <c r="AJ1884">
        <v>393.96</v>
      </c>
      <c r="AK1884">
        <v>671.39</v>
      </c>
      <c r="AL1884" s="57">
        <f t="shared" si="41"/>
        <v>1.7042085490912784</v>
      </c>
      <c r="AM1884" s="59">
        <v>53921</v>
      </c>
      <c r="AN1884" s="59">
        <f>SUMIFS(HIX_RatingAreas8[Silver Enrollments 2018],HIX_RatingAreas8[Area],HIX_SLCSP11[[#This Row],[Area Code]])</f>
        <v>26279</v>
      </c>
      <c r="AO1884" s="59">
        <f>SUMIFS(HIX_RatingAreas8[Silver Enrollments 2019],HIX_RatingAreas8[Area],HIX_SLCSP11[[#This Row],[Area Code]])</f>
        <v>20468</v>
      </c>
      <c r="AP1884" s="59">
        <f>SUMIFS(HIX_RatingAreas8[Silver Enrollments 2020],HIX_RatingAreas8[Area],HIX_SLCSP11[[#This Row],[Area Code]])</f>
        <v>18300</v>
      </c>
      <c r="AQ1884" s="59">
        <f>SUMIFS(HIX_RatingAreas8[Silver Enrollments 2021],HIX_RatingAreas8[Area],HIX_SLCSP11[[#This Row],[Area Code]])</f>
        <v>16415</v>
      </c>
      <c r="AR1884" s="59">
        <f>SUMIFS(HIX_RatingAreas8[Silver Enrollments 2022],HIX_RatingAreas8[Area],HIX_SLCSP11[[#This Row],[Area Code]])</f>
        <v>17491</v>
      </c>
      <c r="AS1884" s="59">
        <f>SUMIFS(HIX_RatingAreas8[Silver Enrollments 2023],HIX_RatingAreas8[Area],HIX_SLCSP11[[#This Row],[Area Code]])</f>
        <v>17491</v>
      </c>
      <c r="AT1884" s="59">
        <v>74438</v>
      </c>
      <c r="AU1884">
        <f t="shared" si="57"/>
        <v>0.34760884082132032</v>
      </c>
      <c r="AV1884">
        <f>SUMIFS(HIX_RatingAreas8[QHP Enrollments 2018],HIX_RatingAreas8[Area],HIX_SLCSP11[[#This Row],[Area Code]])</f>
        <v>38886</v>
      </c>
      <c r="AW1884">
        <f t="shared" ref="AW1884:AW1891" si="67">AV1884/AV$1883</f>
        <v>0.35397569523462746</v>
      </c>
      <c r="AX1884">
        <f>SUMIFS(HIX_RatingAreas8[QHP Enrollments 2019],HIX_RatingAreas8[Area],HIX_SLCSP11[[#This Row],[Area Code]])</f>
        <v>30749</v>
      </c>
      <c r="AY1884">
        <f t="shared" si="58"/>
        <v>0.33081938288075052</v>
      </c>
      <c r="AZ1884">
        <f>SUMIFS(HIX_RatingAreas8[QHP Enrollments 2020],HIX_RatingAreas8[Area],HIX_SLCSP11[[#This Row],[Area Code]])</f>
        <v>28342</v>
      </c>
      <c r="BA1884">
        <f t="shared" si="59"/>
        <v>0.3229931166522314</v>
      </c>
      <c r="BB1884">
        <f>SUMIFS(HIX_RatingAreas8[QHP Enrollments 2021],HIX_RatingAreas8[Area],HIX_SLCSP11[[#This Row],[Area Code]])</f>
        <v>26268</v>
      </c>
      <c r="BC1884">
        <f t="shared" si="60"/>
        <v>0.31587681429550618</v>
      </c>
      <c r="BD1884">
        <f>SUMIFS(HIX_RatingAreas8[QHP Enrollments 2022],HIX_RatingAreas8[Area],HIX_SLCSP11[[#This Row],[Area Code]])</f>
        <v>30431</v>
      </c>
      <c r="BE1884">
        <f t="shared" si="61"/>
        <v>0.30545239194587759</v>
      </c>
      <c r="BF1884">
        <f>SUMIFS(HIX_RatingAreas8[QHP Enrollments 2023],HIX_RatingAreas8[Area],HIX_SLCSP11[[#This Row],[Area Code]])</f>
        <v>30431</v>
      </c>
      <c r="BG1884">
        <f>BF1884/BF$1883</f>
        <v>0.30545239194587759</v>
      </c>
      <c r="BH1884" s="53">
        <f>ROUND(HIX_SLCSP11[[#This Row],[Weighting Factor 2018]]*HIX_SLCSP11[[#This Row],[2018]],2)</f>
        <v>119.49</v>
      </c>
      <c r="BI1884" s="53">
        <f>ROUND(HIX_SLCSP11[[#This Row],[Weighting Factor 2019]]*HIX_SLCSP11[[#This Row],[2019]],2)</f>
        <v>115.7</v>
      </c>
      <c r="BJ1884" s="53">
        <f>ROUND(HIX_SLCSP11[[#This Row],[Weighting Factor 2020]]*HIX_SLCSP11[[#This Row],[2020]],2)</f>
        <v>114.93</v>
      </c>
      <c r="BK1884" s="53">
        <f>ROUND(HIX_SLCSP11[[#This Row],[Weighting Factor 2021]]*HIX_SLCSP11[[#This Row],[2021]],2)</f>
        <v>136.72999999999999</v>
      </c>
      <c r="BL1884" s="53">
        <f>ROUND(HIX_SLCSP11[[#This Row],[Weighting Factor 2022]]*HIX_SLCSP11[[#This Row],[2022]],2)</f>
        <v>114.69</v>
      </c>
      <c r="BM1884" s="53">
        <f>ROUND(HIX_SLCSP11[[#This Row],[Weighting Factor 2023]]*HIX_SLCSP11[[#This Row],[2023]],2)</f>
        <v>120.34</v>
      </c>
    </row>
    <row r="1885" spans="4:65" x14ac:dyDescent="0.35">
      <c r="D1885" t="s">
        <v>1067</v>
      </c>
      <c r="E1885" t="s">
        <v>235</v>
      </c>
      <c r="F1885" s="23">
        <v>2</v>
      </c>
      <c r="G1885" s="23" t="s">
        <v>1068</v>
      </c>
      <c r="H1885" s="23" t="s">
        <v>1086</v>
      </c>
      <c r="I1885" s="23">
        <v>30</v>
      </c>
      <c r="J1885" s="53">
        <v>370.48</v>
      </c>
      <c r="K1885" s="53">
        <v>409.67</v>
      </c>
      <c r="L1885" s="53">
        <v>698.17</v>
      </c>
      <c r="M1885" s="54">
        <f t="shared" si="62"/>
        <v>1.7042253521126758</v>
      </c>
      <c r="N1885" s="24">
        <v>32</v>
      </c>
      <c r="O1885" s="55">
        <v>349.73</v>
      </c>
      <c r="P1885" s="56">
        <v>395</v>
      </c>
      <c r="Q1885" s="56">
        <v>673.16</v>
      </c>
      <c r="R1885" s="57">
        <f t="shared" si="63"/>
        <v>1.7042025316455696</v>
      </c>
      <c r="S1885" s="23">
        <v>30</v>
      </c>
      <c r="T1885" s="53">
        <v>392.54</v>
      </c>
      <c r="U1885" s="53">
        <v>452.29</v>
      </c>
      <c r="V1885" s="53">
        <v>770.78</v>
      </c>
      <c r="W1885" s="57">
        <f t="shared" si="64"/>
        <v>1.7041721019699749</v>
      </c>
      <c r="X1885" s="47">
        <v>24</v>
      </c>
      <c r="Y1885" s="58">
        <v>432.87</v>
      </c>
      <c r="Z1885" s="58">
        <v>501.13</v>
      </c>
      <c r="AA1885" s="58">
        <v>854.03</v>
      </c>
      <c r="AB1885" s="57">
        <f t="shared" si="65"/>
        <v>1.7042084888152775</v>
      </c>
      <c r="AC1885" s="47">
        <v>14</v>
      </c>
      <c r="AD1885" s="57">
        <v>627.79999999999995</v>
      </c>
      <c r="AE1885" s="57">
        <v>630.03</v>
      </c>
      <c r="AF1885" s="57">
        <v>1073.69</v>
      </c>
      <c r="AG1885" s="57">
        <f t="shared" si="66"/>
        <v>1.7041886894274878</v>
      </c>
      <c r="AH1885" s="47">
        <v>38</v>
      </c>
      <c r="AI1885">
        <v>440.39</v>
      </c>
      <c r="AJ1885">
        <v>479.72</v>
      </c>
      <c r="AK1885">
        <v>817.54</v>
      </c>
      <c r="AL1885" s="57">
        <f t="shared" si="41"/>
        <v>1.7042024514300007</v>
      </c>
      <c r="AM1885" s="59">
        <v>5654</v>
      </c>
      <c r="AN1885" s="59">
        <f>SUMIFS(HIX_RatingAreas8[Silver Enrollments 2018],HIX_RatingAreas8[Area],HIX_SLCSP11[[#This Row],[Area Code]])</f>
        <v>2780</v>
      </c>
      <c r="AO1885" s="59">
        <f>SUMIFS(HIX_RatingAreas8[Silver Enrollments 2019],HIX_RatingAreas8[Area],HIX_SLCSP11[[#This Row],[Area Code]])</f>
        <v>2486</v>
      </c>
      <c r="AP1885" s="59">
        <f>SUMIFS(HIX_RatingAreas8[Silver Enrollments 2020],HIX_RatingAreas8[Area],HIX_SLCSP11[[#This Row],[Area Code]])</f>
        <v>2344</v>
      </c>
      <c r="AQ1885" s="59">
        <f>SUMIFS(HIX_RatingAreas8[Silver Enrollments 2021],HIX_RatingAreas8[Area],HIX_SLCSP11[[#This Row],[Area Code]])</f>
        <v>2202</v>
      </c>
      <c r="AR1885" s="59">
        <f>SUMIFS(HIX_RatingAreas8[Silver Enrollments 2022],HIX_RatingAreas8[Area],HIX_SLCSP11[[#This Row],[Area Code]])</f>
        <v>2704</v>
      </c>
      <c r="AS1885" s="59">
        <f>SUMIFS(HIX_RatingAreas8[Silver Enrollments 2023],HIX_RatingAreas8[Area],HIX_SLCSP11[[#This Row],[Area Code]])</f>
        <v>2704</v>
      </c>
      <c r="AT1885" s="59">
        <v>7816</v>
      </c>
      <c r="AU1885">
        <f t="shared" si="57"/>
        <v>3.6498974984006012E-2</v>
      </c>
      <c r="AV1885">
        <f>SUMIFS(HIX_RatingAreas8[QHP Enrollments 2018],HIX_RatingAreas8[Area],HIX_SLCSP11[[#This Row],[Area Code]])</f>
        <v>4179</v>
      </c>
      <c r="AW1885">
        <f t="shared" si="67"/>
        <v>3.8041054116790311E-2</v>
      </c>
      <c r="AX1885">
        <f>SUMIFS(HIX_RatingAreas8[QHP Enrollments 2019],HIX_RatingAreas8[Area],HIX_SLCSP11[[#This Row],[Area Code]])</f>
        <v>3876</v>
      </c>
      <c r="AY1885">
        <f t="shared" si="58"/>
        <v>4.1700735895339326E-2</v>
      </c>
      <c r="AZ1885">
        <f>SUMIFS(HIX_RatingAreas8[QHP Enrollments 2020],HIX_RatingAreas8[Area],HIX_SLCSP11[[#This Row],[Area Code]])</f>
        <v>3768</v>
      </c>
      <c r="BA1885">
        <f t="shared" si="59"/>
        <v>4.2941149655832608E-2</v>
      </c>
      <c r="BB1885">
        <f>SUMIFS(HIX_RatingAreas8[QHP Enrollments 2021],HIX_RatingAreas8[Area],HIX_SLCSP11[[#This Row],[Area Code]])</f>
        <v>3634</v>
      </c>
      <c r="BC1885">
        <f t="shared" si="60"/>
        <v>4.3699419184934883E-2</v>
      </c>
      <c r="BD1885">
        <f>SUMIFS(HIX_RatingAreas8[QHP Enrollments 2022],HIX_RatingAreas8[Area],HIX_SLCSP11[[#This Row],[Area Code]])</f>
        <v>4471</v>
      </c>
      <c r="BE1885">
        <f t="shared" si="61"/>
        <v>4.4877843133318614E-2</v>
      </c>
      <c r="BF1885">
        <f>SUMIFS(HIX_RatingAreas8[QHP Enrollments 2023],HIX_RatingAreas8[Area],HIX_SLCSP11[[#This Row],[Area Code]])</f>
        <v>4471</v>
      </c>
      <c r="BG1885">
        <f t="shared" ref="BG1885:BG1891" si="68">BF1885/BF$1883</f>
        <v>4.4877843133318614E-2</v>
      </c>
      <c r="BH1885" s="53">
        <f>ROUND(HIX_SLCSP11[[#This Row],[Weighting Factor 2018]]*HIX_SLCSP11[[#This Row],[2018]],2)</f>
        <v>15.58</v>
      </c>
      <c r="BI1885" s="53">
        <f>ROUND(HIX_SLCSP11[[#This Row],[Weighting Factor 2019]]*HIX_SLCSP11[[#This Row],[2019]],2)</f>
        <v>16.47</v>
      </c>
      <c r="BJ1885" s="53">
        <f>ROUND(HIX_SLCSP11[[#This Row],[Weighting Factor 2020]]*HIX_SLCSP11[[#This Row],[2020]],2)</f>
        <v>19.420000000000002</v>
      </c>
      <c r="BK1885" s="53">
        <f>ROUND(HIX_SLCSP11[[#This Row],[Weighting Factor 2021]]*HIX_SLCSP11[[#This Row],[2021]],2)</f>
        <v>21.9</v>
      </c>
      <c r="BL1885" s="53">
        <f>ROUND(HIX_SLCSP11[[#This Row],[Weighting Factor 2022]]*HIX_SLCSP11[[#This Row],[2022]],2)</f>
        <v>28.27</v>
      </c>
      <c r="BM1885" s="53">
        <f>ROUND(HIX_SLCSP11[[#This Row],[Weighting Factor 2023]]*HIX_SLCSP11[[#This Row],[2023]],2)</f>
        <v>21.53</v>
      </c>
    </row>
    <row r="1886" spans="4:65" x14ac:dyDescent="0.35">
      <c r="D1886" t="s">
        <v>1067</v>
      </c>
      <c r="E1886" t="s">
        <v>239</v>
      </c>
      <c r="F1886" s="23">
        <v>3</v>
      </c>
      <c r="G1886" s="23" t="s">
        <v>1068</v>
      </c>
      <c r="H1886" s="23" t="s">
        <v>1093</v>
      </c>
      <c r="I1886" s="23">
        <v>39</v>
      </c>
      <c r="J1886" s="53">
        <v>373.52</v>
      </c>
      <c r="K1886" s="53">
        <v>393.18</v>
      </c>
      <c r="L1886" s="53">
        <v>670.05</v>
      </c>
      <c r="M1886" s="54">
        <f t="shared" si="62"/>
        <v>1.7041812910117502</v>
      </c>
      <c r="N1886" s="24">
        <v>40</v>
      </c>
      <c r="O1886" s="55">
        <v>350.85</v>
      </c>
      <c r="P1886" s="56">
        <v>369.32</v>
      </c>
      <c r="Q1886" s="56">
        <v>629.39</v>
      </c>
      <c r="R1886" s="57">
        <f t="shared" si="63"/>
        <v>1.7041860716993393</v>
      </c>
      <c r="S1886" s="23">
        <v>39</v>
      </c>
      <c r="T1886" s="53">
        <v>393.8</v>
      </c>
      <c r="U1886" s="53">
        <v>396.64</v>
      </c>
      <c r="V1886" s="53">
        <v>675.95</v>
      </c>
      <c r="W1886" s="57">
        <f t="shared" si="64"/>
        <v>1.7041901976603471</v>
      </c>
      <c r="X1886" s="47">
        <v>32</v>
      </c>
      <c r="Y1886" s="58">
        <v>434.25</v>
      </c>
      <c r="Z1886" s="58">
        <v>457.11</v>
      </c>
      <c r="AA1886" s="58">
        <v>779</v>
      </c>
      <c r="AB1886" s="57">
        <f t="shared" si="65"/>
        <v>1.7041849882960338</v>
      </c>
      <c r="AC1886" s="47">
        <v>48</v>
      </c>
      <c r="AD1886" s="57">
        <v>448.9</v>
      </c>
      <c r="AE1886" s="57">
        <v>458.03</v>
      </c>
      <c r="AF1886" s="57">
        <v>780.57</v>
      </c>
      <c r="AG1886" s="57">
        <f t="shared" si="66"/>
        <v>1.7041896818985658</v>
      </c>
      <c r="AH1886" s="47">
        <v>68</v>
      </c>
      <c r="AI1886">
        <v>439.13</v>
      </c>
      <c r="AJ1886">
        <v>465.06</v>
      </c>
      <c r="AK1886">
        <v>792.56</v>
      </c>
      <c r="AL1886" s="57">
        <f t="shared" si="41"/>
        <v>1.7042102094353415</v>
      </c>
      <c r="AM1886" s="59">
        <v>19551</v>
      </c>
      <c r="AN1886" s="59">
        <f>SUMIFS(HIX_RatingAreas8[Silver Enrollments 2018],HIX_RatingAreas8[Area],HIX_SLCSP11[[#This Row],[Area Code]])</f>
        <v>8329</v>
      </c>
      <c r="AO1886" s="59">
        <f>SUMIFS(HIX_RatingAreas8[Silver Enrollments 2019],HIX_RatingAreas8[Area],HIX_SLCSP11[[#This Row],[Area Code]])</f>
        <v>7181</v>
      </c>
      <c r="AP1886" s="59">
        <f>SUMIFS(HIX_RatingAreas8[Silver Enrollments 2020],HIX_RatingAreas8[Area],HIX_SLCSP11[[#This Row],[Area Code]])</f>
        <v>6528</v>
      </c>
      <c r="AQ1886" s="59">
        <f>SUMIFS(HIX_RatingAreas8[Silver Enrollments 2021],HIX_RatingAreas8[Area],HIX_SLCSP11[[#This Row],[Area Code]])</f>
        <v>6464</v>
      </c>
      <c r="AR1886" s="59">
        <f>SUMIFS(HIX_RatingAreas8[Silver Enrollments 2022],HIX_RatingAreas8[Area],HIX_SLCSP11[[#This Row],[Area Code]])</f>
        <v>7800</v>
      </c>
      <c r="AS1886" s="59">
        <f>SUMIFS(HIX_RatingAreas8[Silver Enrollments 2023],HIX_RatingAreas8[Area],HIX_SLCSP11[[#This Row],[Area Code]])</f>
        <v>7800</v>
      </c>
      <c r="AT1886" s="59">
        <v>27165</v>
      </c>
      <c r="AU1886">
        <f t="shared" si="57"/>
        <v>0.12685448508706798</v>
      </c>
      <c r="AV1886">
        <f>SUMIFS(HIX_RatingAreas8[QHP Enrollments 2018],HIX_RatingAreas8[Area],HIX_SLCSP11[[#This Row],[Area Code]])</f>
        <v>14450</v>
      </c>
      <c r="AW1886">
        <f t="shared" si="67"/>
        <v>0.1315370260798325</v>
      </c>
      <c r="AX1886">
        <f>SUMIFS(HIX_RatingAreas8[QHP Enrollments 2019],HIX_RatingAreas8[Area],HIX_SLCSP11[[#This Row],[Area Code]])</f>
        <v>12324</v>
      </c>
      <c r="AY1886">
        <f t="shared" si="58"/>
        <v>0.13259026552480957</v>
      </c>
      <c r="AZ1886">
        <f>SUMIFS(HIX_RatingAreas8[QHP Enrollments 2020],HIX_RatingAreas8[Area],HIX_SLCSP11[[#This Row],[Area Code]])</f>
        <v>11539</v>
      </c>
      <c r="BA1886">
        <f t="shared" si="59"/>
        <v>0.13150157268541735</v>
      </c>
      <c r="BB1886">
        <f>SUMIFS(HIX_RatingAreas8[QHP Enrollments 2021],HIX_RatingAreas8[Area],HIX_SLCSP11[[#This Row],[Area Code]])</f>
        <v>11411</v>
      </c>
      <c r="BC1886">
        <f t="shared" si="60"/>
        <v>0.13721906227828617</v>
      </c>
      <c r="BD1886">
        <f>SUMIFS(HIX_RatingAreas8[QHP Enrollments 2022],HIX_RatingAreas8[Area],HIX_SLCSP11[[#This Row],[Area Code]])</f>
        <v>14135</v>
      </c>
      <c r="BE1886">
        <f t="shared" si="61"/>
        <v>0.14188063356955011</v>
      </c>
      <c r="BF1886">
        <f>SUMIFS(HIX_RatingAreas8[QHP Enrollments 2023],HIX_RatingAreas8[Area],HIX_SLCSP11[[#This Row],[Area Code]])</f>
        <v>14135</v>
      </c>
      <c r="BG1886">
        <f t="shared" si="68"/>
        <v>0.14188063356955011</v>
      </c>
      <c r="BH1886" s="53">
        <f>ROUND(HIX_SLCSP11[[#This Row],[Weighting Factor 2018]]*HIX_SLCSP11[[#This Row],[2018]],2)</f>
        <v>51.72</v>
      </c>
      <c r="BI1886" s="53">
        <f>ROUND(HIX_SLCSP11[[#This Row],[Weighting Factor 2019]]*HIX_SLCSP11[[#This Row],[2019]],2)</f>
        <v>48.97</v>
      </c>
      <c r="BJ1886" s="53">
        <f>ROUND(HIX_SLCSP11[[#This Row],[Weighting Factor 2020]]*HIX_SLCSP11[[#This Row],[2020]],2)</f>
        <v>52.16</v>
      </c>
      <c r="BK1886" s="53">
        <f>ROUND(HIX_SLCSP11[[#This Row],[Weighting Factor 2021]]*HIX_SLCSP11[[#This Row],[2021]],2)</f>
        <v>62.72</v>
      </c>
      <c r="BL1886" s="53">
        <f>ROUND(HIX_SLCSP11[[#This Row],[Weighting Factor 2022]]*HIX_SLCSP11[[#This Row],[2022]],2)</f>
        <v>64.989999999999995</v>
      </c>
      <c r="BM1886" s="53">
        <f>ROUND(HIX_SLCSP11[[#This Row],[Weighting Factor 2023]]*HIX_SLCSP11[[#This Row],[2023]],2)</f>
        <v>65.98</v>
      </c>
    </row>
    <row r="1887" spans="4:65" x14ac:dyDescent="0.35">
      <c r="D1887" t="s">
        <v>1067</v>
      </c>
      <c r="E1887" t="s">
        <v>255</v>
      </c>
      <c r="F1887" s="23">
        <v>4</v>
      </c>
      <c r="G1887" s="23" t="s">
        <v>1068</v>
      </c>
      <c r="H1887" s="23" t="s">
        <v>1110</v>
      </c>
      <c r="I1887" s="23">
        <v>38</v>
      </c>
      <c r="J1887" s="53">
        <v>395.3</v>
      </c>
      <c r="K1887" s="53">
        <v>437.12</v>
      </c>
      <c r="L1887" s="53">
        <v>744.94</v>
      </c>
      <c r="M1887" s="54">
        <f t="shared" si="62"/>
        <v>1.7042002196193267</v>
      </c>
      <c r="N1887" s="24">
        <v>32</v>
      </c>
      <c r="O1887" s="55">
        <v>373.16</v>
      </c>
      <c r="P1887" s="56">
        <v>421.47</v>
      </c>
      <c r="Q1887" s="56">
        <v>718.28</v>
      </c>
      <c r="R1887" s="57">
        <f t="shared" si="63"/>
        <v>1.7042256862884664</v>
      </c>
      <c r="S1887" s="23">
        <v>38</v>
      </c>
      <c r="T1887" s="53">
        <v>353.42</v>
      </c>
      <c r="U1887" s="53">
        <v>381.7</v>
      </c>
      <c r="V1887" s="53">
        <v>650.48</v>
      </c>
      <c r="W1887" s="57">
        <f t="shared" si="64"/>
        <v>1.7041655750589468</v>
      </c>
      <c r="X1887" s="47">
        <v>36</v>
      </c>
      <c r="Y1887" s="58">
        <v>390.79</v>
      </c>
      <c r="Z1887" s="58">
        <v>407.94</v>
      </c>
      <c r="AA1887" s="58">
        <v>695.2</v>
      </c>
      <c r="AB1887" s="57">
        <f t="shared" si="65"/>
        <v>1.7041721821836546</v>
      </c>
      <c r="AC1887" s="47">
        <v>39</v>
      </c>
      <c r="AD1887" s="57">
        <v>407.93</v>
      </c>
      <c r="AE1887" s="57">
        <v>407.93</v>
      </c>
      <c r="AF1887" s="57">
        <v>695.19</v>
      </c>
      <c r="AG1887" s="57">
        <f t="shared" si="66"/>
        <v>1.7041894442673988</v>
      </c>
      <c r="AH1887" s="47">
        <v>95</v>
      </c>
      <c r="AI1887">
        <v>446.17</v>
      </c>
      <c r="AJ1887">
        <v>458.51</v>
      </c>
      <c r="AK1887">
        <v>781.39</v>
      </c>
      <c r="AL1887" s="57">
        <f t="shared" si="41"/>
        <v>1.7041940197596563</v>
      </c>
      <c r="AM1887" s="59">
        <v>6998</v>
      </c>
      <c r="AN1887" s="59">
        <f>SUMIFS(HIX_RatingAreas8[Silver Enrollments 2018],HIX_RatingAreas8[Area],HIX_SLCSP11[[#This Row],[Area Code]])</f>
        <v>3310</v>
      </c>
      <c r="AO1887" s="59">
        <f>SUMIFS(HIX_RatingAreas8[Silver Enrollments 2019],HIX_RatingAreas8[Area],HIX_SLCSP11[[#This Row],[Area Code]])</f>
        <v>3145</v>
      </c>
      <c r="AP1887" s="59">
        <f>SUMIFS(HIX_RatingAreas8[Silver Enrollments 2020],HIX_RatingAreas8[Area],HIX_SLCSP11[[#This Row],[Area Code]])</f>
        <v>2726</v>
      </c>
      <c r="AQ1887" s="59">
        <f>SUMIFS(HIX_RatingAreas8[Silver Enrollments 2021],HIX_RatingAreas8[Area],HIX_SLCSP11[[#This Row],[Area Code]])</f>
        <v>2485</v>
      </c>
      <c r="AR1887" s="59">
        <f>SUMIFS(HIX_RatingAreas8[Silver Enrollments 2022],HIX_RatingAreas8[Area],HIX_SLCSP11[[#This Row],[Area Code]])</f>
        <v>3103</v>
      </c>
      <c r="AS1887" s="59">
        <f>SUMIFS(HIX_RatingAreas8[Silver Enrollments 2023],HIX_RatingAreas8[Area],HIX_SLCSP11[[#This Row],[Area Code]])</f>
        <v>3103</v>
      </c>
      <c r="AT1887" s="59">
        <v>10070</v>
      </c>
      <c r="AU1887">
        <f t="shared" si="57"/>
        <v>4.7024651751399763E-2</v>
      </c>
      <c r="AV1887">
        <f>SUMIFS(HIX_RatingAreas8[QHP Enrollments 2018],HIX_RatingAreas8[Area],HIX_SLCSP11[[#This Row],[Area Code]])</f>
        <v>5173</v>
      </c>
      <c r="AW1887">
        <f t="shared" si="67"/>
        <v>4.7089345045742116E-2</v>
      </c>
      <c r="AX1887">
        <f>SUMIFS(HIX_RatingAreas8[QHP Enrollments 2019],HIX_RatingAreas8[Area],HIX_SLCSP11[[#This Row],[Area Code]])</f>
        <v>4826</v>
      </c>
      <c r="AY1887">
        <f t="shared" si="58"/>
        <v>5.1921504497138185E-2</v>
      </c>
      <c r="AZ1887">
        <f>SUMIFS(HIX_RatingAreas8[QHP Enrollments 2020],HIX_RatingAreas8[Area],HIX_SLCSP11[[#This Row],[Area Code]])</f>
        <v>4794</v>
      </c>
      <c r="BA1887">
        <f t="shared" si="59"/>
        <v>5.463372384555773E-2</v>
      </c>
      <c r="BB1887">
        <f>SUMIFS(HIX_RatingAreas8[QHP Enrollments 2021],HIX_RatingAreas8[Area],HIX_SLCSP11[[#This Row],[Area Code]])</f>
        <v>4471</v>
      </c>
      <c r="BC1887">
        <f t="shared" si="60"/>
        <v>5.3764475282290551E-2</v>
      </c>
      <c r="BD1887">
        <f>SUMIFS(HIX_RatingAreas8[QHP Enrollments 2022],HIX_RatingAreas8[Area],HIX_SLCSP11[[#This Row],[Area Code]])</f>
        <v>5455</v>
      </c>
      <c r="BE1887">
        <f t="shared" si="61"/>
        <v>5.4754782888001126E-2</v>
      </c>
      <c r="BF1887">
        <f>SUMIFS(HIX_RatingAreas8[QHP Enrollments 2023],HIX_RatingAreas8[Area],HIX_SLCSP11[[#This Row],[Area Code]])</f>
        <v>5455</v>
      </c>
      <c r="BG1887">
        <f t="shared" si="68"/>
        <v>5.4754782888001126E-2</v>
      </c>
      <c r="BH1887" s="53">
        <f>ROUND(HIX_SLCSP11[[#This Row],[Weighting Factor 2018]]*HIX_SLCSP11[[#This Row],[2018]],2)</f>
        <v>20.58</v>
      </c>
      <c r="BI1887" s="53">
        <f>ROUND(HIX_SLCSP11[[#This Row],[Weighting Factor 2019]]*HIX_SLCSP11[[#This Row],[2019]],2)</f>
        <v>21.88</v>
      </c>
      <c r="BJ1887" s="53">
        <f>ROUND(HIX_SLCSP11[[#This Row],[Weighting Factor 2020]]*HIX_SLCSP11[[#This Row],[2020]],2)</f>
        <v>20.85</v>
      </c>
      <c r="BK1887" s="53">
        <f>ROUND(HIX_SLCSP11[[#This Row],[Weighting Factor 2021]]*HIX_SLCSP11[[#This Row],[2021]],2)</f>
        <v>21.93</v>
      </c>
      <c r="BL1887" s="53">
        <f>ROUND(HIX_SLCSP11[[#This Row],[Weighting Factor 2022]]*HIX_SLCSP11[[#This Row],[2022]],2)</f>
        <v>22.34</v>
      </c>
      <c r="BM1887" s="53">
        <f>ROUND(HIX_SLCSP11[[#This Row],[Weighting Factor 2023]]*HIX_SLCSP11[[#This Row],[2023]],2)</f>
        <v>25.11</v>
      </c>
    </row>
    <row r="1888" spans="4:65" x14ac:dyDescent="0.35">
      <c r="D1888" t="s">
        <v>1067</v>
      </c>
      <c r="E1888" t="s">
        <v>259</v>
      </c>
      <c r="F1888" s="23">
        <v>5</v>
      </c>
      <c r="G1888" s="23" t="s">
        <v>1068</v>
      </c>
      <c r="H1888" s="23" t="s">
        <v>1121</v>
      </c>
      <c r="I1888" s="23">
        <v>40</v>
      </c>
      <c r="J1888" s="53">
        <v>337.28</v>
      </c>
      <c r="K1888" s="53">
        <v>405.84</v>
      </c>
      <c r="L1888" s="53">
        <v>691.63</v>
      </c>
      <c r="M1888" s="54">
        <f t="shared" si="62"/>
        <v>1.7041937709442145</v>
      </c>
      <c r="N1888" s="24">
        <v>48</v>
      </c>
      <c r="O1888" s="55">
        <v>362.89</v>
      </c>
      <c r="P1888" s="56">
        <v>381.2</v>
      </c>
      <c r="Q1888" s="56">
        <v>649.64</v>
      </c>
      <c r="R1888" s="57">
        <f t="shared" si="63"/>
        <v>1.7041972717733473</v>
      </c>
      <c r="S1888" s="23">
        <v>40</v>
      </c>
      <c r="T1888" s="53">
        <v>355.53</v>
      </c>
      <c r="U1888" s="53">
        <v>383.09</v>
      </c>
      <c r="V1888" s="53">
        <v>652.85</v>
      </c>
      <c r="W1888" s="57">
        <f t="shared" si="64"/>
        <v>1.7041687331958548</v>
      </c>
      <c r="X1888" s="47">
        <v>36</v>
      </c>
      <c r="Y1888" s="58">
        <v>411.92</v>
      </c>
      <c r="Z1888" s="58">
        <v>456.26</v>
      </c>
      <c r="AA1888" s="58">
        <v>777.55</v>
      </c>
      <c r="AB1888" s="57">
        <f t="shared" si="65"/>
        <v>1.7041818261517556</v>
      </c>
      <c r="AC1888" s="47">
        <v>85</v>
      </c>
      <c r="AD1888" s="57">
        <v>399.96</v>
      </c>
      <c r="AE1888" s="57">
        <v>399.96</v>
      </c>
      <c r="AF1888" s="57">
        <v>681.61</v>
      </c>
      <c r="AG1888" s="57">
        <f t="shared" si="66"/>
        <v>1.7041954195419544</v>
      </c>
      <c r="AH1888" s="47">
        <v>113</v>
      </c>
      <c r="AI1888">
        <v>399.25</v>
      </c>
      <c r="AJ1888">
        <v>424.31</v>
      </c>
      <c r="AK1888">
        <v>723.12</v>
      </c>
      <c r="AL1888" s="57">
        <f t="shared" si="41"/>
        <v>1.7042256840517547</v>
      </c>
      <c r="AM1888" s="59">
        <v>31102</v>
      </c>
      <c r="AN1888" s="59">
        <f>SUMIFS(HIX_RatingAreas8[Silver Enrollments 2018],HIX_RatingAreas8[Area],HIX_SLCSP11[[#This Row],[Area Code]])</f>
        <v>15382</v>
      </c>
      <c r="AO1888" s="59">
        <f>SUMIFS(HIX_RatingAreas8[Silver Enrollments 2019],HIX_RatingAreas8[Area],HIX_SLCSP11[[#This Row],[Area Code]])</f>
        <v>13404</v>
      </c>
      <c r="AP1888" s="59">
        <f>SUMIFS(HIX_RatingAreas8[Silver Enrollments 2020],HIX_RatingAreas8[Area],HIX_SLCSP11[[#This Row],[Area Code]])</f>
        <v>12679</v>
      </c>
      <c r="AQ1888" s="59">
        <f>SUMIFS(HIX_RatingAreas8[Silver Enrollments 2021],HIX_RatingAreas8[Area],HIX_SLCSP11[[#This Row],[Area Code]])</f>
        <v>12127</v>
      </c>
      <c r="AR1888" s="59">
        <f>SUMIFS(HIX_RatingAreas8[Silver Enrollments 2022],HIX_RatingAreas8[Area],HIX_SLCSP11[[#This Row],[Area Code]])</f>
        <v>12839</v>
      </c>
      <c r="AS1888" s="59">
        <f>SUMIFS(HIX_RatingAreas8[Silver Enrollments 2023],HIX_RatingAreas8[Area],HIX_SLCSP11[[#This Row],[Area Code]])</f>
        <v>12839</v>
      </c>
      <c r="AT1888" s="59">
        <v>43832</v>
      </c>
      <c r="AU1888">
        <f t="shared" si="57"/>
        <v>0.20468565397888328</v>
      </c>
      <c r="AV1888">
        <f>SUMIFS(HIX_RatingAreas8[QHP Enrollments 2018],HIX_RatingAreas8[Area],HIX_SLCSP11[[#This Row],[Area Code]])</f>
        <v>24467</v>
      </c>
      <c r="AW1888">
        <f t="shared" si="67"/>
        <v>0.22272085931455099</v>
      </c>
      <c r="AX1888">
        <f>SUMIFS(HIX_RatingAreas8[QHP Enrollments 2019],HIX_RatingAreas8[Area],HIX_SLCSP11[[#This Row],[Area Code]])</f>
        <v>21672</v>
      </c>
      <c r="AY1888">
        <f t="shared" si="58"/>
        <v>0.23316262856651029</v>
      </c>
      <c r="AZ1888">
        <f>SUMIFS(HIX_RatingAreas8[QHP Enrollments 2020],HIX_RatingAreas8[Area],HIX_SLCSP11[[#This Row],[Area Code]])</f>
        <v>20840</v>
      </c>
      <c r="BA1888">
        <f t="shared" si="59"/>
        <v>0.237498290559329</v>
      </c>
      <c r="BB1888">
        <f>SUMIFS(HIX_RatingAreas8[QHP Enrollments 2021],HIX_RatingAreas8[Area],HIX_SLCSP11[[#This Row],[Area Code]])</f>
        <v>20160</v>
      </c>
      <c r="BC1888">
        <f t="shared" si="60"/>
        <v>0.24242715761372791</v>
      </c>
      <c r="BD1888">
        <f>SUMIFS(HIX_RatingAreas8[QHP Enrollments 2022],HIX_RatingAreas8[Area],HIX_SLCSP11[[#This Row],[Area Code]])</f>
        <v>23700</v>
      </c>
      <c r="BE1888">
        <f t="shared" si="61"/>
        <v>0.23788970750607272</v>
      </c>
      <c r="BF1888">
        <f>SUMIFS(HIX_RatingAreas8[QHP Enrollments 2023],HIX_RatingAreas8[Area],HIX_SLCSP11[[#This Row],[Area Code]])</f>
        <v>23700</v>
      </c>
      <c r="BG1888">
        <f t="shared" si="68"/>
        <v>0.23788970750607272</v>
      </c>
      <c r="BH1888" s="53">
        <f>ROUND(HIX_SLCSP11[[#This Row],[Weighting Factor 2018]]*HIX_SLCSP11[[#This Row],[2018]],2)</f>
        <v>90.39</v>
      </c>
      <c r="BI1888" s="53">
        <f>ROUND(HIX_SLCSP11[[#This Row],[Weighting Factor 2019]]*HIX_SLCSP11[[#This Row],[2019]],2)</f>
        <v>88.88</v>
      </c>
      <c r="BJ1888" s="53">
        <f>ROUND(HIX_SLCSP11[[#This Row],[Weighting Factor 2020]]*HIX_SLCSP11[[#This Row],[2020]],2)</f>
        <v>90.98</v>
      </c>
      <c r="BK1888" s="53">
        <f>ROUND(HIX_SLCSP11[[#This Row],[Weighting Factor 2021]]*HIX_SLCSP11[[#This Row],[2021]],2)</f>
        <v>110.61</v>
      </c>
      <c r="BL1888" s="53">
        <f>ROUND(HIX_SLCSP11[[#This Row],[Weighting Factor 2022]]*HIX_SLCSP11[[#This Row],[2022]],2)</f>
        <v>95.15</v>
      </c>
      <c r="BM1888" s="53">
        <f>ROUND(HIX_SLCSP11[[#This Row],[Weighting Factor 2023]]*HIX_SLCSP11[[#This Row],[2023]],2)</f>
        <v>100.94</v>
      </c>
    </row>
    <row r="1889" spans="4:65" x14ac:dyDescent="0.35">
      <c r="D1889" t="s">
        <v>1067</v>
      </c>
      <c r="E1889" t="s">
        <v>265</v>
      </c>
      <c r="F1889" s="23">
        <v>6</v>
      </c>
      <c r="G1889" s="23" t="s">
        <v>1068</v>
      </c>
      <c r="H1889" s="23" t="s">
        <v>1144</v>
      </c>
      <c r="I1889" s="23">
        <v>38</v>
      </c>
      <c r="J1889" s="53">
        <v>403.82</v>
      </c>
      <c r="K1889" s="53">
        <v>446.54</v>
      </c>
      <c r="L1889" s="53">
        <v>761</v>
      </c>
      <c r="M1889" s="54">
        <f t="shared" si="62"/>
        <v>1.7042146280288439</v>
      </c>
      <c r="N1889" s="24">
        <v>32</v>
      </c>
      <c r="O1889" s="55">
        <v>381.2</v>
      </c>
      <c r="P1889" s="56">
        <v>430.56</v>
      </c>
      <c r="Q1889" s="56">
        <v>733.76</v>
      </c>
      <c r="R1889" s="57">
        <f t="shared" si="63"/>
        <v>1.704199182460052</v>
      </c>
      <c r="S1889" s="23">
        <v>38</v>
      </c>
      <c r="T1889" s="53">
        <v>359.54</v>
      </c>
      <c r="U1889" s="53">
        <v>388.3</v>
      </c>
      <c r="V1889" s="53">
        <v>661.74</v>
      </c>
      <c r="W1889" s="57">
        <f t="shared" si="64"/>
        <v>1.7041977852176151</v>
      </c>
      <c r="X1889" s="47">
        <v>36</v>
      </c>
      <c r="Y1889" s="58">
        <v>397.55</v>
      </c>
      <c r="Z1889" s="58">
        <v>414.99</v>
      </c>
      <c r="AA1889" s="58">
        <v>707.23</v>
      </c>
      <c r="AB1889" s="57">
        <f t="shared" si="65"/>
        <v>1.7042097399937348</v>
      </c>
      <c r="AC1889" s="47">
        <v>39</v>
      </c>
      <c r="AD1889" s="57">
        <v>414.98</v>
      </c>
      <c r="AE1889" s="57">
        <v>414.98</v>
      </c>
      <c r="AF1889" s="57">
        <v>707.21</v>
      </c>
      <c r="AG1889" s="57">
        <f t="shared" si="66"/>
        <v>1.7042026121740808</v>
      </c>
      <c r="AH1889" s="47">
        <v>59</v>
      </c>
      <c r="AI1889">
        <v>453.89</v>
      </c>
      <c r="AJ1889">
        <v>466.44</v>
      </c>
      <c r="AK1889">
        <v>794.9</v>
      </c>
      <c r="AL1889" s="57">
        <f t="shared" si="41"/>
        <v>1.7041848898036189</v>
      </c>
      <c r="AM1889" s="59">
        <v>7611</v>
      </c>
      <c r="AN1889" s="59">
        <f>SUMIFS(HIX_RatingAreas8[Silver Enrollments 2018],HIX_RatingAreas8[Area],HIX_SLCSP11[[#This Row],[Area Code]])</f>
        <v>2900</v>
      </c>
      <c r="AO1889" s="59">
        <f>SUMIFS(HIX_RatingAreas8[Silver Enrollments 2019],HIX_RatingAreas8[Area],HIX_SLCSP11[[#This Row],[Area Code]])</f>
        <v>2444</v>
      </c>
      <c r="AP1889" s="59">
        <f>SUMIFS(HIX_RatingAreas8[Silver Enrollments 2020],HIX_RatingAreas8[Area],HIX_SLCSP11[[#This Row],[Area Code]])</f>
        <v>2151</v>
      </c>
      <c r="AQ1889" s="59">
        <f>SUMIFS(HIX_RatingAreas8[Silver Enrollments 2021],HIX_RatingAreas8[Area],HIX_SLCSP11[[#This Row],[Area Code]])</f>
        <v>1826</v>
      </c>
      <c r="AR1889" s="59">
        <f>SUMIFS(HIX_RatingAreas8[Silver Enrollments 2022],HIX_RatingAreas8[Area],HIX_SLCSP11[[#This Row],[Area Code]])</f>
        <v>2156</v>
      </c>
      <c r="AS1889" s="59">
        <f>SUMIFS(HIX_RatingAreas8[Silver Enrollments 2023],HIX_RatingAreas8[Area],HIX_SLCSP11[[#This Row],[Area Code]])</f>
        <v>2156</v>
      </c>
      <c r="AT1889" s="59">
        <v>11606</v>
      </c>
      <c r="AU1889">
        <f t="shared" si="57"/>
        <v>5.4197428820928074E-2</v>
      </c>
      <c r="AV1889">
        <f>SUMIFS(HIX_RatingAreas8[QHP Enrollments 2018],HIX_RatingAreas8[Area],HIX_SLCSP11[[#This Row],[Area Code]])</f>
        <v>5052</v>
      </c>
      <c r="AW1889">
        <f t="shared" si="67"/>
        <v>4.5987893131855626E-2</v>
      </c>
      <c r="AX1889">
        <f>SUMIFS(HIX_RatingAreas8[QHP Enrollments 2019],HIX_RatingAreas8[Area],HIX_SLCSP11[[#This Row],[Area Code]])</f>
        <v>4293</v>
      </c>
      <c r="AY1889">
        <f t="shared" si="58"/>
        <v>4.618711537633946E-2</v>
      </c>
      <c r="AZ1889">
        <f>SUMIFS(HIX_RatingAreas8[QHP Enrollments 2020],HIX_RatingAreas8[Area],HIX_SLCSP11[[#This Row],[Area Code]])</f>
        <v>4089</v>
      </c>
      <c r="BA1889">
        <f t="shared" si="59"/>
        <v>4.6599352691799246E-2</v>
      </c>
      <c r="BB1889">
        <f>SUMIFS(HIX_RatingAreas8[QHP Enrollments 2021],HIX_RatingAreas8[Area],HIX_SLCSP11[[#This Row],[Area Code]])</f>
        <v>3756</v>
      </c>
      <c r="BC1889">
        <f t="shared" si="60"/>
        <v>4.516648829351002E-2</v>
      </c>
      <c r="BD1889">
        <f>SUMIFS(HIX_RatingAreas8[QHP Enrollments 2022],HIX_RatingAreas8[Area],HIX_SLCSP11[[#This Row],[Area Code]])</f>
        <v>4509</v>
      </c>
      <c r="BE1889">
        <f t="shared" si="61"/>
        <v>4.5259269668560413E-2</v>
      </c>
      <c r="BF1889">
        <f>SUMIFS(HIX_RatingAreas8[QHP Enrollments 2023],HIX_RatingAreas8[Area],HIX_SLCSP11[[#This Row],[Area Code]])</f>
        <v>4509</v>
      </c>
      <c r="BG1889">
        <f t="shared" si="68"/>
        <v>4.5259269668560413E-2</v>
      </c>
      <c r="BH1889" s="53">
        <f>ROUND(HIX_SLCSP11[[#This Row],[Weighting Factor 2018]]*HIX_SLCSP11[[#This Row],[2018]],2)</f>
        <v>20.54</v>
      </c>
      <c r="BI1889" s="53">
        <f>ROUND(HIX_SLCSP11[[#This Row],[Weighting Factor 2019]]*HIX_SLCSP11[[#This Row],[2019]],2)</f>
        <v>19.89</v>
      </c>
      <c r="BJ1889" s="53">
        <f>ROUND(HIX_SLCSP11[[#This Row],[Weighting Factor 2020]]*HIX_SLCSP11[[#This Row],[2020]],2)</f>
        <v>18.09</v>
      </c>
      <c r="BK1889" s="53">
        <f>ROUND(HIX_SLCSP11[[#This Row],[Weighting Factor 2021]]*HIX_SLCSP11[[#This Row],[2021]],2)</f>
        <v>18.739999999999998</v>
      </c>
      <c r="BL1889" s="53">
        <f>ROUND(HIX_SLCSP11[[#This Row],[Weighting Factor 2022]]*HIX_SLCSP11[[#This Row],[2022]],2)</f>
        <v>18.78</v>
      </c>
      <c r="BM1889" s="53">
        <f>ROUND(HIX_SLCSP11[[#This Row],[Weighting Factor 2023]]*HIX_SLCSP11[[#This Row],[2023]],2)</f>
        <v>21.11</v>
      </c>
    </row>
    <row r="1890" spans="4:65" x14ac:dyDescent="0.35">
      <c r="D1890" t="s">
        <v>1067</v>
      </c>
      <c r="E1890" t="s">
        <v>273</v>
      </c>
      <c r="F1890" s="23">
        <v>7</v>
      </c>
      <c r="G1890" s="23" t="s">
        <v>1068</v>
      </c>
      <c r="H1890" s="23" t="s">
        <v>1162</v>
      </c>
      <c r="I1890" s="23">
        <v>30</v>
      </c>
      <c r="J1890" s="53">
        <v>403.82</v>
      </c>
      <c r="K1890" s="53">
        <v>446.54</v>
      </c>
      <c r="L1890" s="53">
        <v>761</v>
      </c>
      <c r="M1890" s="54">
        <f t="shared" si="62"/>
        <v>1.7042146280288439</v>
      </c>
      <c r="N1890" s="24">
        <v>32</v>
      </c>
      <c r="O1890" s="55">
        <v>381.2</v>
      </c>
      <c r="P1890" s="56">
        <v>430.56</v>
      </c>
      <c r="Q1890" s="56">
        <v>733.76</v>
      </c>
      <c r="R1890" s="57">
        <f t="shared" si="63"/>
        <v>1.704199182460052</v>
      </c>
      <c r="S1890" s="23">
        <v>30</v>
      </c>
      <c r="T1890" s="53">
        <v>427.87</v>
      </c>
      <c r="U1890" s="53">
        <v>492.99</v>
      </c>
      <c r="V1890" s="53">
        <v>840.15</v>
      </c>
      <c r="W1890" s="57">
        <f t="shared" si="64"/>
        <v>1.7041927828150671</v>
      </c>
      <c r="X1890" s="47">
        <v>24</v>
      </c>
      <c r="Y1890" s="58">
        <v>471.83</v>
      </c>
      <c r="Z1890" s="58">
        <v>546.24</v>
      </c>
      <c r="AA1890" s="58">
        <v>930.9</v>
      </c>
      <c r="AB1890" s="57">
        <f t="shared" si="65"/>
        <v>1.704195957820738</v>
      </c>
      <c r="AC1890" s="47">
        <v>25</v>
      </c>
      <c r="AD1890" s="57">
        <v>448.3</v>
      </c>
      <c r="AE1890" s="57">
        <v>457.85</v>
      </c>
      <c r="AF1890" s="57">
        <v>780.27</v>
      </c>
      <c r="AG1890" s="57">
        <f t="shared" si="66"/>
        <v>1.7042044337665172</v>
      </c>
      <c r="AH1890" s="47">
        <v>68</v>
      </c>
      <c r="AI1890">
        <v>438.29</v>
      </c>
      <c r="AJ1890">
        <v>480.03</v>
      </c>
      <c r="AK1890">
        <v>818.06</v>
      </c>
      <c r="AL1890" s="57">
        <f t="shared" si="41"/>
        <v>1.7041851550944733</v>
      </c>
      <c r="AM1890" s="59">
        <v>10838</v>
      </c>
      <c r="AN1890" s="59">
        <f>SUMIFS(HIX_RatingAreas8[Silver Enrollments 2018],HIX_RatingAreas8[Area],HIX_SLCSP11[[#This Row],[Area Code]])</f>
        <v>3740</v>
      </c>
      <c r="AO1890" s="59">
        <f>SUMIFS(HIX_RatingAreas8[Silver Enrollments 2019],HIX_RatingAreas8[Area],HIX_SLCSP11[[#This Row],[Area Code]])</f>
        <v>3162</v>
      </c>
      <c r="AP1890" s="59">
        <f>SUMIFS(HIX_RatingAreas8[Silver Enrollments 2020],HIX_RatingAreas8[Area],HIX_SLCSP11[[#This Row],[Area Code]])</f>
        <v>3250</v>
      </c>
      <c r="AQ1890" s="59">
        <f>SUMIFS(HIX_RatingAreas8[Silver Enrollments 2021],HIX_RatingAreas8[Area],HIX_SLCSP11[[#This Row],[Area Code]])</f>
        <v>3241</v>
      </c>
      <c r="AR1890" s="59">
        <f>SUMIFS(HIX_RatingAreas8[Silver Enrollments 2022],HIX_RatingAreas8[Area],HIX_SLCSP11[[#This Row],[Area Code]])</f>
        <v>3815</v>
      </c>
      <c r="AS1890" s="59">
        <f>SUMIFS(HIX_RatingAreas8[Silver Enrollments 2023],HIX_RatingAreas8[Area],HIX_SLCSP11[[#This Row],[Area Code]])</f>
        <v>3815</v>
      </c>
      <c r="AT1890" s="59">
        <v>16769</v>
      </c>
      <c r="AU1890">
        <f t="shared" si="57"/>
        <v>7.8307486119088651E-2</v>
      </c>
      <c r="AV1890">
        <f>SUMIFS(HIX_RatingAreas8[QHP Enrollments 2018],HIX_RatingAreas8[Area],HIX_SLCSP11[[#This Row],[Area Code]])</f>
        <v>7161</v>
      </c>
      <c r="AW1890">
        <f t="shared" si="67"/>
        <v>6.5185926903645719E-2</v>
      </c>
      <c r="AX1890">
        <f>SUMIFS(HIX_RatingAreas8[QHP Enrollments 2019],HIX_RatingAreas8[Area],HIX_SLCSP11[[#This Row],[Area Code]])</f>
        <v>6326</v>
      </c>
      <c r="AY1890">
        <f t="shared" si="58"/>
        <v>6.8059560184189002E-2</v>
      </c>
      <c r="AZ1890">
        <f>SUMIFS(HIX_RatingAreas8[QHP Enrollments 2020],HIX_RatingAreas8[Area],HIX_SLCSP11[[#This Row],[Area Code]])</f>
        <v>6128</v>
      </c>
      <c r="BA1890">
        <f t="shared" si="59"/>
        <v>6.9836349546428408E-2</v>
      </c>
      <c r="BB1890">
        <f>SUMIFS(HIX_RatingAreas8[QHP Enrollments 2021],HIX_RatingAreas8[Area],HIX_SLCSP11[[#This Row],[Area Code]])</f>
        <v>6014</v>
      </c>
      <c r="BC1890">
        <f t="shared" si="60"/>
        <v>7.2319291958777759E-2</v>
      </c>
      <c r="BD1890">
        <f>SUMIFS(HIX_RatingAreas8[QHP Enrollments 2022],HIX_RatingAreas8[Area],HIX_SLCSP11[[#This Row],[Area Code]])</f>
        <v>7316</v>
      </c>
      <c r="BE1890">
        <f t="shared" si="61"/>
        <v>7.343464557444844E-2</v>
      </c>
      <c r="BF1890">
        <f>SUMIFS(HIX_RatingAreas8[QHP Enrollments 2023],HIX_RatingAreas8[Area],HIX_SLCSP11[[#This Row],[Area Code]])</f>
        <v>7316</v>
      </c>
      <c r="BG1890">
        <f t="shared" si="68"/>
        <v>7.343464557444844E-2</v>
      </c>
      <c r="BH1890" s="53">
        <f>ROUND(HIX_SLCSP11[[#This Row],[Weighting Factor 2018]]*HIX_SLCSP11[[#This Row],[2018]],2)</f>
        <v>29.11</v>
      </c>
      <c r="BI1890" s="53">
        <f>ROUND(HIX_SLCSP11[[#This Row],[Weighting Factor 2019]]*HIX_SLCSP11[[#This Row],[2019]],2)</f>
        <v>29.3</v>
      </c>
      <c r="BJ1890" s="53">
        <f>ROUND(HIX_SLCSP11[[#This Row],[Weighting Factor 2020]]*HIX_SLCSP11[[#This Row],[2020]],2)</f>
        <v>34.43</v>
      </c>
      <c r="BK1890" s="53">
        <f>ROUND(HIX_SLCSP11[[#This Row],[Weighting Factor 2021]]*HIX_SLCSP11[[#This Row],[2021]],2)</f>
        <v>39.5</v>
      </c>
      <c r="BL1890" s="53">
        <f>ROUND(HIX_SLCSP11[[#This Row],[Weighting Factor 2022]]*HIX_SLCSP11[[#This Row],[2022]],2)</f>
        <v>33.619999999999997</v>
      </c>
      <c r="BM1890" s="53">
        <f>ROUND(HIX_SLCSP11[[#This Row],[Weighting Factor 2023]]*HIX_SLCSP11[[#This Row],[2023]],2)</f>
        <v>35.25</v>
      </c>
    </row>
    <row r="1891" spans="4:65" x14ac:dyDescent="0.35">
      <c r="D1891" t="s">
        <v>1067</v>
      </c>
      <c r="E1891" t="s">
        <v>279</v>
      </c>
      <c r="F1891" s="23">
        <v>8</v>
      </c>
      <c r="G1891" s="23" t="s">
        <v>1068</v>
      </c>
      <c r="H1891" s="23" t="s">
        <v>1187</v>
      </c>
      <c r="I1891" s="23">
        <v>47</v>
      </c>
      <c r="J1891" s="53">
        <v>324.37</v>
      </c>
      <c r="K1891" s="53">
        <v>373.1</v>
      </c>
      <c r="L1891" s="53">
        <v>635.83000000000004</v>
      </c>
      <c r="M1891" s="54">
        <f t="shared" si="62"/>
        <v>1.7041811846689896</v>
      </c>
      <c r="N1891" s="24">
        <v>40</v>
      </c>
      <c r="O1891" s="55">
        <v>304.69</v>
      </c>
      <c r="P1891" s="56">
        <v>351.57</v>
      </c>
      <c r="Q1891" s="56">
        <v>599.15</v>
      </c>
      <c r="R1891" s="57">
        <f t="shared" si="63"/>
        <v>1.7042125323548654</v>
      </c>
      <c r="S1891" s="23">
        <v>47</v>
      </c>
      <c r="T1891" s="53">
        <v>341.97</v>
      </c>
      <c r="U1891" s="53">
        <v>344.45</v>
      </c>
      <c r="V1891" s="53">
        <v>587</v>
      </c>
      <c r="W1891" s="57">
        <f t="shared" si="64"/>
        <v>1.7041660618377124</v>
      </c>
      <c r="X1891" s="47">
        <v>48</v>
      </c>
      <c r="Y1891" s="58">
        <v>333.64</v>
      </c>
      <c r="Z1891" s="58">
        <v>346.65</v>
      </c>
      <c r="AA1891" s="58">
        <v>590.77</v>
      </c>
      <c r="AB1891" s="57">
        <f t="shared" si="65"/>
        <v>1.7042261647194576</v>
      </c>
      <c r="AC1891" s="47">
        <v>48</v>
      </c>
      <c r="AD1891" s="57">
        <v>361.86</v>
      </c>
      <c r="AE1891" s="57">
        <v>361.86</v>
      </c>
      <c r="AF1891" s="57">
        <v>616.67999999999995</v>
      </c>
      <c r="AG1891" s="57">
        <f t="shared" si="66"/>
        <v>1.7041949925385507</v>
      </c>
      <c r="AH1891" s="47">
        <v>68</v>
      </c>
      <c r="AI1891">
        <v>373.77</v>
      </c>
      <c r="AJ1891">
        <v>395.79</v>
      </c>
      <c r="AK1891">
        <v>674.5</v>
      </c>
      <c r="AL1891" s="57">
        <f t="shared" si="41"/>
        <v>1.7041865635816973</v>
      </c>
      <c r="AM1891" s="59">
        <v>15478</v>
      </c>
      <c r="AN1891" s="59">
        <f>SUMIFS(HIX_RatingAreas8[Silver Enrollments 2018],HIX_RatingAreas8[Area],HIX_SLCSP11[[#This Row],[Area Code]])</f>
        <v>7039</v>
      </c>
      <c r="AO1891" s="59">
        <f>SUMIFS(HIX_RatingAreas8[Silver Enrollments 2019],HIX_RatingAreas8[Area],HIX_SLCSP11[[#This Row],[Area Code]])</f>
        <v>5791</v>
      </c>
      <c r="AP1891" s="59">
        <f>SUMIFS(HIX_RatingAreas8[Silver Enrollments 2020],HIX_RatingAreas8[Area],HIX_SLCSP11[[#This Row],[Area Code]])</f>
        <v>4959</v>
      </c>
      <c r="AQ1891" s="59">
        <f>SUMIFS(HIX_RatingAreas8[Silver Enrollments 2021],HIX_RatingAreas8[Area],HIX_SLCSP11[[#This Row],[Area Code]])</f>
        <v>4136</v>
      </c>
      <c r="AR1891" s="59">
        <f>SUMIFS(HIX_RatingAreas8[Silver Enrollments 2022],HIX_RatingAreas8[Area],HIX_SLCSP11[[#This Row],[Area Code]])</f>
        <v>5679</v>
      </c>
      <c r="AS1891" s="59">
        <f>SUMIFS(HIX_RatingAreas8[Silver Enrollments 2023],HIX_RatingAreas8[Area],HIX_SLCSP11[[#This Row],[Area Code]])</f>
        <v>5679</v>
      </c>
      <c r="AT1891" s="59">
        <v>22447</v>
      </c>
      <c r="AU1891">
        <f t="shared" si="57"/>
        <v>0.10482247843730591</v>
      </c>
      <c r="AV1891">
        <f>SUMIFS(HIX_RatingAreas8[QHP Enrollments 2018],HIX_RatingAreas8[Area],HIX_SLCSP11[[#This Row],[Area Code]])</f>
        <v>10487</v>
      </c>
      <c r="AW1891">
        <f t="shared" si="67"/>
        <v>9.5462200172955258E-2</v>
      </c>
      <c r="AX1891">
        <f>SUMIFS(HIX_RatingAreas8[QHP Enrollments 2019],HIX_RatingAreas8[Area],HIX_SLCSP11[[#This Row],[Area Code]])</f>
        <v>8882</v>
      </c>
      <c r="AY1891">
        <f t="shared" si="58"/>
        <v>9.5558807074923618E-2</v>
      </c>
      <c r="AZ1891">
        <f>SUMIFS(HIX_RatingAreas8[QHP Enrollments 2020],HIX_RatingAreas8[Area],HIX_SLCSP11[[#This Row],[Area Code]])</f>
        <v>8248</v>
      </c>
      <c r="BA1891">
        <f t="shared" si="59"/>
        <v>9.3996444363404291E-2</v>
      </c>
      <c r="BB1891">
        <f>SUMIFS(HIX_RatingAreas8[QHP Enrollments 2021],HIX_RatingAreas8[Area],HIX_SLCSP11[[#This Row],[Area Code]])</f>
        <v>7445</v>
      </c>
      <c r="BC1891">
        <f t="shared" si="60"/>
        <v>8.9527291092966491E-2</v>
      </c>
      <c r="BD1891">
        <f>SUMIFS(HIX_RatingAreas8[QHP Enrollments 2022],HIX_RatingAreas8[Area],HIX_SLCSP11[[#This Row],[Area Code]])</f>
        <v>9609</v>
      </c>
      <c r="BE1891">
        <f t="shared" si="61"/>
        <v>9.6450725714171001E-2</v>
      </c>
      <c r="BF1891">
        <f>SUMIFS(HIX_RatingAreas8[QHP Enrollments 2023],HIX_RatingAreas8[Area],HIX_SLCSP11[[#This Row],[Area Code]])</f>
        <v>9609</v>
      </c>
      <c r="BG1891">
        <f t="shared" si="68"/>
        <v>9.6450725714171001E-2</v>
      </c>
      <c r="BH1891" s="53">
        <f>ROUND(HIX_SLCSP11[[#This Row],[Weighting Factor 2018]]*HIX_SLCSP11[[#This Row],[2018]],2)</f>
        <v>35.619999999999997</v>
      </c>
      <c r="BI1891" s="53">
        <f>ROUND(HIX_SLCSP11[[#This Row],[Weighting Factor 2019]]*HIX_SLCSP11[[#This Row],[2019]],2)</f>
        <v>33.6</v>
      </c>
      <c r="BJ1891" s="53">
        <f>ROUND(HIX_SLCSP11[[#This Row],[Weighting Factor 2020]]*HIX_SLCSP11[[#This Row],[2020]],2)</f>
        <v>32.380000000000003</v>
      </c>
      <c r="BK1891" s="53">
        <f>ROUND(HIX_SLCSP11[[#This Row],[Weighting Factor 2021]]*HIX_SLCSP11[[#This Row],[2021]],2)</f>
        <v>31.03</v>
      </c>
      <c r="BL1891" s="53">
        <f>ROUND(HIX_SLCSP11[[#This Row],[Weighting Factor 2022]]*HIX_SLCSP11[[#This Row],[2022]],2)</f>
        <v>34.9</v>
      </c>
      <c r="BM1891" s="53">
        <f>ROUND(HIX_SLCSP11[[#This Row],[Weighting Factor 2023]]*HIX_SLCSP11[[#This Row],[2023]],2)</f>
        <v>38.17</v>
      </c>
    </row>
    <row r="1892" spans="4:65" x14ac:dyDescent="0.35">
      <c r="D1892" t="s">
        <v>1206</v>
      </c>
      <c r="E1892" t="s">
        <v>2597</v>
      </c>
      <c r="F1892" s="23"/>
      <c r="G1892" s="23"/>
      <c r="H1892" s="23"/>
      <c r="I1892" s="23"/>
      <c r="J1892" s="53"/>
      <c r="K1892" s="53">
        <f>SUM(BH1893:BH1898)</f>
        <v>395.65</v>
      </c>
      <c r="L1892" s="53"/>
      <c r="M1892" s="54"/>
      <c r="O1892" s="55"/>
      <c r="P1892" s="56">
        <f>SUM(BI1893:BI1898)</f>
        <v>426.15</v>
      </c>
      <c r="Q1892" s="56"/>
      <c r="R1892" s="57">
        <f t="shared" si="63"/>
        <v>0</v>
      </c>
      <c r="S1892" s="23"/>
      <c r="T1892" s="53"/>
      <c r="U1892" s="53">
        <f>SUM(BJ1893:BJ1898)</f>
        <v>370.36</v>
      </c>
      <c r="V1892" s="53"/>
      <c r="W1892" s="57"/>
      <c r="X1892" s="47"/>
      <c r="Y1892" s="58"/>
      <c r="Z1892" s="53">
        <f>SUM(BK1893:BK1898)</f>
        <v>376.96000000000004</v>
      </c>
      <c r="AA1892" s="58"/>
      <c r="AB1892" s="57">
        <f t="shared" si="65"/>
        <v>0</v>
      </c>
      <c r="AC1892" s="47"/>
      <c r="AD1892" s="57"/>
      <c r="AE1892" s="53">
        <f>SUM(BL1893:BL1898)</f>
        <v>367.59000000000003</v>
      </c>
      <c r="AF1892" s="57"/>
      <c r="AG1892" s="57"/>
      <c r="AH1892" s="47"/>
      <c r="AI1892" s="57"/>
      <c r="AJ1892" s="53">
        <f>SUM(BM1893:BM1898)</f>
        <v>345.82</v>
      </c>
      <c r="AK1892" s="57"/>
      <c r="AL1892" s="57"/>
      <c r="AM1892" s="59">
        <f t="shared" ref="AM1892:AT1892" si="69">SUM(AM1893:AM1898)</f>
        <v>88517</v>
      </c>
      <c r="AN1892" s="59">
        <f t="shared" si="69"/>
        <v>77931</v>
      </c>
      <c r="AO1892" s="59">
        <f t="shared" si="69"/>
        <v>85057</v>
      </c>
      <c r="AP1892" s="59">
        <f t="shared" si="69"/>
        <v>89906</v>
      </c>
      <c r="AQ1892" s="59">
        <f t="shared" si="69"/>
        <v>91217</v>
      </c>
      <c r="AR1892" s="59">
        <f t="shared" si="69"/>
        <v>122604</v>
      </c>
      <c r="AS1892" s="59">
        <f t="shared" si="69"/>
        <v>122604</v>
      </c>
      <c r="AT1892" s="59">
        <f t="shared" si="69"/>
        <v>108668</v>
      </c>
      <c r="AU1892">
        <f t="shared" ref="AU1892:AU1898" si="70">AT1892/AT$1892</f>
        <v>1</v>
      </c>
      <c r="AV1892" s="59">
        <f>SUM(AV1893:AV1898)</f>
        <v>83649</v>
      </c>
      <c r="AW1892">
        <f t="shared" ref="AW1892:AW1898" si="71">AV1892/AV$1892</f>
        <v>1</v>
      </c>
      <c r="AX1892" s="59">
        <f>SUM(AX1893:AX1898)</f>
        <v>88542</v>
      </c>
      <c r="AY1892">
        <f t="shared" ref="AY1892:AY1898" si="72">AX1892/AX$1892</f>
        <v>1</v>
      </c>
      <c r="AZ1892" s="59">
        <f>SUM(AZ1893:AZ1898)</f>
        <v>98892</v>
      </c>
      <c r="BA1892">
        <f t="shared" ref="BA1892:BA1898" si="73">AZ1892/AZ$1892</f>
        <v>1</v>
      </c>
      <c r="BB1892" s="59">
        <f>SUM(BB1893:BB1898)</f>
        <v>110966</v>
      </c>
      <c r="BC1892">
        <f t="shared" ref="BC1892:BC1898" si="74">BB1892/BB$1892</f>
        <v>1</v>
      </c>
      <c r="BD1892" s="59">
        <f>SUM(BD1893:BD1898)</f>
        <v>143014</v>
      </c>
      <c r="BE1892">
        <f t="shared" ref="BE1892:BE1898" si="75">BD1892/BD$1892</f>
        <v>1</v>
      </c>
      <c r="BF1892" s="59">
        <f>SUM(BF1893:BF1898)</f>
        <v>143014</v>
      </c>
      <c r="BG1892">
        <f t="shared" ref="BG1892:BG1898" si="76">BF1892/BF$1892</f>
        <v>1</v>
      </c>
      <c r="BH1892" s="53"/>
      <c r="BI1892" s="53"/>
      <c r="BJ1892" s="53"/>
      <c r="BK1892" s="53"/>
      <c r="BL1892" s="53"/>
      <c r="BM1892" s="53"/>
    </row>
    <row r="1893" spans="4:65" x14ac:dyDescent="0.35">
      <c r="D1893" t="s">
        <v>1206</v>
      </c>
      <c r="E1893" t="s">
        <v>231</v>
      </c>
      <c r="F1893" s="23">
        <v>1</v>
      </c>
      <c r="G1893" s="23" t="s">
        <v>1207</v>
      </c>
      <c r="H1893" s="23" t="s">
        <v>1208</v>
      </c>
      <c r="I1893" s="23">
        <v>25</v>
      </c>
      <c r="J1893" s="53">
        <v>361.65</v>
      </c>
      <c r="K1893" s="53">
        <v>382.54</v>
      </c>
      <c r="L1893" s="53">
        <v>651.92999999999995</v>
      </c>
      <c r="M1893" s="54">
        <f t="shared" ref="M1893:M1898" si="77">L1893/K1893</f>
        <v>1.7042139384116692</v>
      </c>
      <c r="N1893" s="24">
        <v>12</v>
      </c>
      <c r="O1893" s="55">
        <v>343.36</v>
      </c>
      <c r="P1893" s="56">
        <v>391.78</v>
      </c>
      <c r="Q1893" s="56">
        <v>667.68</v>
      </c>
      <c r="R1893" s="57">
        <f t="shared" si="63"/>
        <v>1.7042217571085814</v>
      </c>
      <c r="S1893" s="23">
        <v>25</v>
      </c>
      <c r="T1893" s="53">
        <v>327.17</v>
      </c>
      <c r="U1893" s="53">
        <v>328.15</v>
      </c>
      <c r="V1893" s="53">
        <v>559.23</v>
      </c>
      <c r="W1893" s="57">
        <f t="shared" ref="W1893:W1898" si="78">V1893/U1893</f>
        <v>1.7041901569404239</v>
      </c>
      <c r="X1893" s="47">
        <v>56</v>
      </c>
      <c r="Y1893" s="58">
        <v>343.59</v>
      </c>
      <c r="Z1893" s="58">
        <v>350.21</v>
      </c>
      <c r="AA1893" s="58">
        <v>596.82000000000005</v>
      </c>
      <c r="AB1893" s="57">
        <f t="shared" si="65"/>
        <v>1.7041774935038978</v>
      </c>
      <c r="AC1893" s="47">
        <v>72</v>
      </c>
      <c r="AD1893" s="57">
        <v>358.96</v>
      </c>
      <c r="AE1893" s="57">
        <v>358.96</v>
      </c>
      <c r="AF1893" s="57">
        <v>611.74</v>
      </c>
      <c r="AG1893" s="57">
        <f t="shared" ref="AG1893:AG1898" si="79">AF1893/AE1893</f>
        <v>1.7042010251838646</v>
      </c>
      <c r="AH1893" s="47">
        <v>124</v>
      </c>
      <c r="AI1893">
        <v>345.22</v>
      </c>
      <c r="AJ1893">
        <v>346.19</v>
      </c>
      <c r="AK1893">
        <v>589.97</v>
      </c>
      <c r="AL1893" s="57">
        <f t="shared" si="41"/>
        <v>1.7041797856668304</v>
      </c>
      <c r="AM1893" s="59">
        <v>7941</v>
      </c>
      <c r="AN1893" s="59">
        <f>SUMIFS(HIX_RatingAreas8[Silver Enrollments 2018],HIX_RatingAreas8[Area],HIX_SLCSP11[[#This Row],[Area Code]])</f>
        <v>6448</v>
      </c>
      <c r="AO1893" s="59">
        <f>SUMIFS(HIX_RatingAreas8[Silver Enrollments 2019],HIX_RatingAreas8[Area],HIX_SLCSP11[[#This Row],[Area Code]])</f>
        <v>6300</v>
      </c>
      <c r="AP1893" s="59">
        <f>SUMIFS(HIX_RatingAreas8[Silver Enrollments 2020],HIX_RatingAreas8[Area],HIX_SLCSP11[[#This Row],[Area Code]])</f>
        <v>6314</v>
      </c>
      <c r="AQ1893" s="59">
        <f>SUMIFS(HIX_RatingAreas8[Silver Enrollments 2021],HIX_RatingAreas8[Area],HIX_SLCSP11[[#This Row],[Area Code]])</f>
        <v>6694</v>
      </c>
      <c r="AR1893" s="59">
        <f>SUMIFS(HIX_RatingAreas8[Silver Enrollments 2022],HIX_RatingAreas8[Area],HIX_SLCSP11[[#This Row],[Area Code]])</f>
        <v>9042</v>
      </c>
      <c r="AS1893" s="59">
        <f>SUMIFS(HIX_RatingAreas8[Silver Enrollments 2023],HIX_RatingAreas8[Area],HIX_SLCSP11[[#This Row],[Area Code]])</f>
        <v>9042</v>
      </c>
      <c r="AT1893" s="59">
        <v>10004</v>
      </c>
      <c r="AU1893">
        <f t="shared" si="70"/>
        <v>9.2060220119998523E-2</v>
      </c>
      <c r="AV1893">
        <f>SUMIFS(HIX_RatingAreas8[QHP Enrollments 2018],HIX_RatingAreas8[Area],HIX_SLCSP11[[#This Row],[Area Code]])</f>
        <v>7102</v>
      </c>
      <c r="AW1893">
        <f t="shared" si="71"/>
        <v>8.4902389747635962E-2</v>
      </c>
      <c r="AX1893">
        <f>SUMIFS(HIX_RatingAreas8[QHP Enrollments 2019],HIX_RatingAreas8[Area],HIX_SLCSP11[[#This Row],[Area Code]])</f>
        <v>6654</v>
      </c>
      <c r="AY1893">
        <f t="shared" si="72"/>
        <v>7.5150775902961306E-2</v>
      </c>
      <c r="AZ1893">
        <f>SUMIFS(HIX_RatingAreas8[QHP Enrollments 2020],HIX_RatingAreas8[Area],HIX_SLCSP11[[#This Row],[Area Code]])</f>
        <v>7017</v>
      </c>
      <c r="BA1893">
        <f t="shared" si="73"/>
        <v>7.0956194636573225E-2</v>
      </c>
      <c r="BB1893">
        <f>SUMIFS(HIX_RatingAreas8[QHP Enrollments 2021],HIX_RatingAreas8[Area],HIX_SLCSP11[[#This Row],[Area Code]])</f>
        <v>8011</v>
      </c>
      <c r="BC1893">
        <f t="shared" si="74"/>
        <v>7.2193284429464877E-2</v>
      </c>
      <c r="BD1893">
        <f>SUMIFS(HIX_RatingAreas8[QHP Enrollments 2022],HIX_RatingAreas8[Area],HIX_SLCSP11[[#This Row],[Area Code]])</f>
        <v>10637</v>
      </c>
      <c r="BE1893">
        <f t="shared" si="75"/>
        <v>7.4377333687611E-2</v>
      </c>
      <c r="BF1893">
        <f>SUMIFS(HIX_RatingAreas8[QHP Enrollments 2023],HIX_RatingAreas8[Area],HIX_SLCSP11[[#This Row],[Area Code]])</f>
        <v>10637</v>
      </c>
      <c r="BG1893">
        <f t="shared" si="76"/>
        <v>7.4377333687611E-2</v>
      </c>
      <c r="BH1893" s="53">
        <f>ROUND(HIX_SLCSP11[[#This Row],[Weighting Factor 2018]]*HIX_SLCSP11[[#This Row],[2018]],2)</f>
        <v>32.479999999999997</v>
      </c>
      <c r="BI1893" s="53">
        <f>ROUND(HIX_SLCSP11[[#This Row],[Weighting Factor 2019]]*HIX_SLCSP11[[#This Row],[2019]],2)</f>
        <v>29.44</v>
      </c>
      <c r="BJ1893" s="53">
        <f>ROUND(HIX_SLCSP11[[#This Row],[Weighting Factor 2020]]*HIX_SLCSP11[[#This Row],[2020]],2)</f>
        <v>23.28</v>
      </c>
      <c r="BK1893" s="53">
        <f>ROUND(HIX_SLCSP11[[#This Row],[Weighting Factor 2021]]*HIX_SLCSP11[[#This Row],[2021]],2)</f>
        <v>25.28</v>
      </c>
      <c r="BL1893" s="53">
        <f>ROUND(HIX_SLCSP11[[#This Row],[Weighting Factor 2022]]*HIX_SLCSP11[[#This Row],[2022]],2)</f>
        <v>26.7</v>
      </c>
      <c r="BM1893" s="53">
        <f>ROUND(HIX_SLCSP11[[#This Row],[Weighting Factor 2023]]*HIX_SLCSP11[[#This Row],[2023]],2)</f>
        <v>25.75</v>
      </c>
    </row>
    <row r="1894" spans="4:65" x14ac:dyDescent="0.35">
      <c r="D1894" t="s">
        <v>1206</v>
      </c>
      <c r="E1894" t="s">
        <v>235</v>
      </c>
      <c r="F1894" s="23">
        <v>2</v>
      </c>
      <c r="G1894" s="23" t="s">
        <v>1207</v>
      </c>
      <c r="H1894" s="23" t="s">
        <v>1216</v>
      </c>
      <c r="I1894" s="23">
        <v>25</v>
      </c>
      <c r="J1894" s="53">
        <v>362.83</v>
      </c>
      <c r="K1894" s="53">
        <v>375.6</v>
      </c>
      <c r="L1894" s="53">
        <v>640.09</v>
      </c>
      <c r="M1894" s="54">
        <f t="shared" si="77"/>
        <v>1.7041799787007454</v>
      </c>
      <c r="N1894" s="24">
        <v>12</v>
      </c>
      <c r="O1894" s="55">
        <v>382.26</v>
      </c>
      <c r="P1894" s="56">
        <v>436.17</v>
      </c>
      <c r="Q1894" s="56">
        <v>743.32</v>
      </c>
      <c r="R1894" s="57">
        <f t="shared" si="63"/>
        <v>1.7041979044867828</v>
      </c>
      <c r="S1894" s="23">
        <v>25</v>
      </c>
      <c r="T1894" s="53">
        <v>386.39</v>
      </c>
      <c r="U1894" s="53">
        <v>387.55</v>
      </c>
      <c r="V1894" s="53">
        <v>660.46</v>
      </c>
      <c r="W1894" s="57">
        <f t="shared" si="78"/>
        <v>1.7041930073538898</v>
      </c>
      <c r="X1894" s="47">
        <v>56</v>
      </c>
      <c r="Y1894" s="58">
        <v>380.4</v>
      </c>
      <c r="Z1894" s="58">
        <v>381.09</v>
      </c>
      <c r="AA1894" s="58">
        <v>649.45000000000005</v>
      </c>
      <c r="AB1894" s="57">
        <f t="shared" si="65"/>
        <v>1.7041906111417253</v>
      </c>
      <c r="AC1894" s="47">
        <v>96</v>
      </c>
      <c r="AD1894" s="57">
        <v>372.71</v>
      </c>
      <c r="AE1894" s="57">
        <v>372.71</v>
      </c>
      <c r="AF1894" s="57">
        <v>635.16999999999996</v>
      </c>
      <c r="AG1894" s="57">
        <f t="shared" si="79"/>
        <v>1.704193608972123</v>
      </c>
      <c r="AH1894" s="47">
        <v>124</v>
      </c>
      <c r="AI1894">
        <v>349.74</v>
      </c>
      <c r="AJ1894">
        <v>350.71</v>
      </c>
      <c r="AK1894">
        <v>597.69000000000005</v>
      </c>
      <c r="AL1894" s="57">
        <f t="shared" si="41"/>
        <v>1.7042285649111804</v>
      </c>
      <c r="AM1894" s="59">
        <v>4288</v>
      </c>
      <c r="AN1894" s="59">
        <f>SUMIFS(HIX_RatingAreas8[Silver Enrollments 2018],HIX_RatingAreas8[Area],HIX_SLCSP11[[#This Row],[Area Code]])</f>
        <v>4529</v>
      </c>
      <c r="AO1894" s="59">
        <f>SUMIFS(HIX_RatingAreas8[Silver Enrollments 2019],HIX_RatingAreas8[Area],HIX_SLCSP11[[#This Row],[Area Code]])</f>
        <v>5366</v>
      </c>
      <c r="AP1894" s="59">
        <f>SUMIFS(HIX_RatingAreas8[Silver Enrollments 2020],HIX_RatingAreas8[Area],HIX_SLCSP11[[#This Row],[Area Code]])</f>
        <v>6147</v>
      </c>
      <c r="AQ1894" s="59">
        <f>SUMIFS(HIX_RatingAreas8[Silver Enrollments 2021],HIX_RatingAreas8[Area],HIX_SLCSP11[[#This Row],[Area Code]])</f>
        <v>6159</v>
      </c>
      <c r="AR1894" s="59">
        <f>SUMIFS(HIX_RatingAreas8[Silver Enrollments 2022],HIX_RatingAreas8[Area],HIX_SLCSP11[[#This Row],[Area Code]])</f>
        <v>7825</v>
      </c>
      <c r="AS1894" s="59">
        <f>SUMIFS(HIX_RatingAreas8[Silver Enrollments 2023],HIX_RatingAreas8[Area],HIX_SLCSP11[[#This Row],[Area Code]])</f>
        <v>7825</v>
      </c>
      <c r="AT1894" s="59">
        <v>5186</v>
      </c>
      <c r="AU1894">
        <f t="shared" si="70"/>
        <v>4.7723340817904074E-2</v>
      </c>
      <c r="AV1894">
        <f>SUMIFS(HIX_RatingAreas8[QHP Enrollments 2018],HIX_RatingAreas8[Area],HIX_SLCSP11[[#This Row],[Area Code]])</f>
        <v>4829</v>
      </c>
      <c r="AW1894">
        <f t="shared" si="71"/>
        <v>5.7729321330798937E-2</v>
      </c>
      <c r="AX1894">
        <f>SUMIFS(HIX_RatingAreas8[QHP Enrollments 2019],HIX_RatingAreas8[Area],HIX_SLCSP11[[#This Row],[Area Code]])</f>
        <v>5547</v>
      </c>
      <c r="AY1894">
        <f t="shared" si="72"/>
        <v>6.2648234736057462E-2</v>
      </c>
      <c r="AZ1894">
        <f>SUMIFS(HIX_RatingAreas8[QHP Enrollments 2020],HIX_RatingAreas8[Area],HIX_SLCSP11[[#This Row],[Area Code]])</f>
        <v>6668</v>
      </c>
      <c r="BA1894">
        <f t="shared" si="73"/>
        <v>6.742709218136958E-2</v>
      </c>
      <c r="BB1894">
        <f>SUMIFS(HIX_RatingAreas8[QHP Enrollments 2021],HIX_RatingAreas8[Area],HIX_SLCSP11[[#This Row],[Area Code]])</f>
        <v>7201</v>
      </c>
      <c r="BC1894">
        <f t="shared" si="74"/>
        <v>6.4893751239118294E-2</v>
      </c>
      <c r="BD1894">
        <f>SUMIFS(HIX_RatingAreas8[QHP Enrollments 2022],HIX_RatingAreas8[Area],HIX_SLCSP11[[#This Row],[Area Code]])</f>
        <v>8972</v>
      </c>
      <c r="BE1894">
        <f t="shared" si="75"/>
        <v>6.2735116841707808E-2</v>
      </c>
      <c r="BF1894">
        <f>SUMIFS(HIX_RatingAreas8[QHP Enrollments 2023],HIX_RatingAreas8[Area],HIX_SLCSP11[[#This Row],[Area Code]])</f>
        <v>8972</v>
      </c>
      <c r="BG1894">
        <f t="shared" si="76"/>
        <v>6.2735116841707808E-2</v>
      </c>
      <c r="BH1894" s="53">
        <f>ROUND(HIX_SLCSP11[[#This Row],[Weighting Factor 2018]]*HIX_SLCSP11[[#This Row],[2018]],2)</f>
        <v>21.68</v>
      </c>
      <c r="BI1894" s="53">
        <f>ROUND(HIX_SLCSP11[[#This Row],[Weighting Factor 2019]]*HIX_SLCSP11[[#This Row],[2019]],2)</f>
        <v>27.33</v>
      </c>
      <c r="BJ1894" s="53">
        <f>ROUND(HIX_SLCSP11[[#This Row],[Weighting Factor 2020]]*HIX_SLCSP11[[#This Row],[2020]],2)</f>
        <v>26.13</v>
      </c>
      <c r="BK1894" s="53">
        <f>ROUND(HIX_SLCSP11[[#This Row],[Weighting Factor 2021]]*HIX_SLCSP11[[#This Row],[2021]],2)</f>
        <v>24.73</v>
      </c>
      <c r="BL1894" s="53">
        <f>ROUND(HIX_SLCSP11[[#This Row],[Weighting Factor 2022]]*HIX_SLCSP11[[#This Row],[2022]],2)</f>
        <v>23.38</v>
      </c>
      <c r="BM1894" s="53">
        <f>ROUND(HIX_SLCSP11[[#This Row],[Weighting Factor 2023]]*HIX_SLCSP11[[#This Row],[2023]],2)</f>
        <v>22</v>
      </c>
    </row>
    <row r="1895" spans="4:65" x14ac:dyDescent="0.35">
      <c r="D1895" t="s">
        <v>1206</v>
      </c>
      <c r="E1895" t="s">
        <v>239</v>
      </c>
      <c r="F1895" s="23">
        <v>3</v>
      </c>
      <c r="G1895" s="23" t="s">
        <v>1207</v>
      </c>
      <c r="H1895" s="23" t="s">
        <v>1226</v>
      </c>
      <c r="I1895" s="23">
        <v>25</v>
      </c>
      <c r="J1895" s="53">
        <v>393.71</v>
      </c>
      <c r="K1895" s="53">
        <v>407.56</v>
      </c>
      <c r="L1895" s="53">
        <v>694.57</v>
      </c>
      <c r="M1895" s="54">
        <f t="shared" si="77"/>
        <v>1.7042153302581216</v>
      </c>
      <c r="N1895" s="24">
        <v>12</v>
      </c>
      <c r="O1895" s="55">
        <v>389.74</v>
      </c>
      <c r="P1895" s="56">
        <v>444.71</v>
      </c>
      <c r="Q1895" s="56">
        <v>757.87</v>
      </c>
      <c r="R1895" s="57">
        <f t="shared" si="63"/>
        <v>1.7041892469249624</v>
      </c>
      <c r="S1895" s="23">
        <v>25</v>
      </c>
      <c r="T1895" s="53">
        <v>364.92</v>
      </c>
      <c r="U1895" s="53">
        <v>366.02</v>
      </c>
      <c r="V1895" s="53">
        <v>623.77</v>
      </c>
      <c r="W1895" s="57">
        <f t="shared" si="78"/>
        <v>1.704196491994973</v>
      </c>
      <c r="X1895" s="47">
        <v>56</v>
      </c>
      <c r="Y1895" s="58">
        <v>376.48</v>
      </c>
      <c r="Z1895" s="58">
        <v>377.16</v>
      </c>
      <c r="AA1895" s="58">
        <v>642.76</v>
      </c>
      <c r="AB1895" s="57">
        <f t="shared" si="65"/>
        <v>1.7042104146781205</v>
      </c>
      <c r="AC1895" s="47">
        <v>76</v>
      </c>
      <c r="AD1895" s="57">
        <v>363.9</v>
      </c>
      <c r="AE1895" s="57">
        <v>363.9</v>
      </c>
      <c r="AF1895" s="57">
        <v>620.15</v>
      </c>
      <c r="AG1895" s="57">
        <f t="shared" si="79"/>
        <v>1.7041769716955208</v>
      </c>
      <c r="AH1895" s="47">
        <v>96</v>
      </c>
      <c r="AI1895">
        <v>354.56</v>
      </c>
      <c r="AJ1895">
        <v>355.55</v>
      </c>
      <c r="AK1895">
        <v>605.92999999999995</v>
      </c>
      <c r="AL1895" s="57">
        <f t="shared" si="41"/>
        <v>1.7042047531992686</v>
      </c>
      <c r="AM1895" s="59">
        <v>25001</v>
      </c>
      <c r="AN1895" s="59">
        <f>SUMIFS(HIX_RatingAreas8[Silver Enrollments 2018],HIX_RatingAreas8[Area],HIX_SLCSP11[[#This Row],[Area Code]])</f>
        <v>16571</v>
      </c>
      <c r="AO1895" s="59">
        <f>SUMIFS(HIX_RatingAreas8[Silver Enrollments 2019],HIX_RatingAreas8[Area],HIX_SLCSP11[[#This Row],[Area Code]])</f>
        <v>17294</v>
      </c>
      <c r="AP1895" s="59">
        <f>SUMIFS(HIX_RatingAreas8[Silver Enrollments 2020],HIX_RatingAreas8[Area],HIX_SLCSP11[[#This Row],[Area Code]])</f>
        <v>16605</v>
      </c>
      <c r="AQ1895" s="59">
        <f>SUMIFS(HIX_RatingAreas8[Silver Enrollments 2021],HIX_RatingAreas8[Area],HIX_SLCSP11[[#This Row],[Area Code]])</f>
        <v>15838</v>
      </c>
      <c r="AR1895" s="59">
        <f>SUMIFS(HIX_RatingAreas8[Silver Enrollments 2022],HIX_RatingAreas8[Area],HIX_SLCSP11[[#This Row],[Area Code]])</f>
        <v>21081</v>
      </c>
      <c r="AS1895" s="59">
        <f>SUMIFS(HIX_RatingAreas8[Silver Enrollments 2023],HIX_RatingAreas8[Area],HIX_SLCSP11[[#This Row],[Area Code]])</f>
        <v>21081</v>
      </c>
      <c r="AT1895" s="59">
        <v>32141</v>
      </c>
      <c r="AU1895">
        <f t="shared" si="70"/>
        <v>0.29577244450988333</v>
      </c>
      <c r="AV1895">
        <f>SUMIFS(HIX_RatingAreas8[QHP Enrollments 2018],HIX_RatingAreas8[Area],HIX_SLCSP11[[#This Row],[Area Code]])</f>
        <v>18057</v>
      </c>
      <c r="AW1895">
        <f t="shared" si="71"/>
        <v>0.2158662984614281</v>
      </c>
      <c r="AX1895">
        <f>SUMIFS(HIX_RatingAreas8[QHP Enrollments 2019],HIX_RatingAreas8[Area],HIX_SLCSP11[[#This Row],[Area Code]])</f>
        <v>18142</v>
      </c>
      <c r="AY1895">
        <f t="shared" si="72"/>
        <v>0.20489711097558222</v>
      </c>
      <c r="AZ1895">
        <f>SUMIFS(HIX_RatingAreas8[QHP Enrollments 2020],HIX_RatingAreas8[Area],HIX_SLCSP11[[#This Row],[Area Code]])</f>
        <v>18890</v>
      </c>
      <c r="BA1895">
        <f t="shared" si="73"/>
        <v>0.19101646240343001</v>
      </c>
      <c r="BB1895">
        <f>SUMIFS(HIX_RatingAreas8[QHP Enrollments 2021],HIX_RatingAreas8[Area],HIX_SLCSP11[[#This Row],[Area Code]])</f>
        <v>20450</v>
      </c>
      <c r="BC1895">
        <f t="shared" si="74"/>
        <v>0.18429068363282447</v>
      </c>
      <c r="BD1895">
        <f>SUMIFS(HIX_RatingAreas8[QHP Enrollments 2022],HIX_RatingAreas8[Area],HIX_SLCSP11[[#This Row],[Area Code]])</f>
        <v>25493</v>
      </c>
      <c r="BE1895">
        <f t="shared" si="75"/>
        <v>0.17825527570727343</v>
      </c>
      <c r="BF1895">
        <f>SUMIFS(HIX_RatingAreas8[QHP Enrollments 2023],HIX_RatingAreas8[Area],HIX_SLCSP11[[#This Row],[Area Code]])</f>
        <v>25493</v>
      </c>
      <c r="BG1895">
        <f t="shared" si="76"/>
        <v>0.17825527570727343</v>
      </c>
      <c r="BH1895" s="53">
        <f>ROUND(HIX_SLCSP11[[#This Row],[Weighting Factor 2018]]*HIX_SLCSP11[[#This Row],[2018]],2)</f>
        <v>87.98</v>
      </c>
      <c r="BI1895" s="53">
        <f>ROUND(HIX_SLCSP11[[#This Row],[Weighting Factor 2019]]*HIX_SLCSP11[[#This Row],[2019]],2)</f>
        <v>91.12</v>
      </c>
      <c r="BJ1895" s="53">
        <f>ROUND(HIX_SLCSP11[[#This Row],[Weighting Factor 2020]]*HIX_SLCSP11[[#This Row],[2020]],2)</f>
        <v>69.92</v>
      </c>
      <c r="BK1895" s="53">
        <f>ROUND(HIX_SLCSP11[[#This Row],[Weighting Factor 2021]]*HIX_SLCSP11[[#This Row],[2021]],2)</f>
        <v>69.510000000000005</v>
      </c>
      <c r="BL1895" s="53">
        <f>ROUND(HIX_SLCSP11[[#This Row],[Weighting Factor 2022]]*HIX_SLCSP11[[#This Row],[2022]],2)</f>
        <v>64.87</v>
      </c>
      <c r="BM1895" s="53">
        <f>ROUND(HIX_SLCSP11[[#This Row],[Weighting Factor 2023]]*HIX_SLCSP11[[#This Row],[2023]],2)</f>
        <v>63.38</v>
      </c>
    </row>
    <row r="1896" spans="4:65" x14ac:dyDescent="0.35">
      <c r="D1896" t="s">
        <v>1206</v>
      </c>
      <c r="E1896" t="s">
        <v>255</v>
      </c>
      <c r="F1896" s="23">
        <v>4</v>
      </c>
      <c r="G1896" s="23" t="s">
        <v>1207</v>
      </c>
      <c r="H1896" s="23" t="s">
        <v>1237</v>
      </c>
      <c r="I1896" s="23">
        <v>25</v>
      </c>
      <c r="J1896" s="53">
        <v>370.55</v>
      </c>
      <c r="K1896" s="53">
        <v>383.59</v>
      </c>
      <c r="L1896" s="53">
        <v>653.71</v>
      </c>
      <c r="M1896" s="54">
        <f t="shared" si="77"/>
        <v>1.7041893688573739</v>
      </c>
      <c r="N1896" s="24">
        <v>12</v>
      </c>
      <c r="O1896" s="55">
        <v>398.71</v>
      </c>
      <c r="P1896" s="56">
        <v>454.95</v>
      </c>
      <c r="Q1896" s="56">
        <v>775.32</v>
      </c>
      <c r="R1896" s="57">
        <f t="shared" si="63"/>
        <v>1.7041872733267394</v>
      </c>
      <c r="S1896" s="23">
        <v>25</v>
      </c>
      <c r="T1896" s="53">
        <v>380.7</v>
      </c>
      <c r="U1896" s="53">
        <v>390.23</v>
      </c>
      <c r="V1896" s="53">
        <v>665.03</v>
      </c>
      <c r="W1896" s="57">
        <f t="shared" si="78"/>
        <v>1.7042000871281038</v>
      </c>
      <c r="X1896" s="47">
        <v>56</v>
      </c>
      <c r="Y1896" s="58">
        <v>382.51</v>
      </c>
      <c r="Z1896" s="58">
        <v>383.21</v>
      </c>
      <c r="AA1896" s="58">
        <v>653.05999999999995</v>
      </c>
      <c r="AB1896" s="57">
        <f t="shared" si="65"/>
        <v>1.7041830849925628</v>
      </c>
      <c r="AC1896" s="47">
        <v>76</v>
      </c>
      <c r="AD1896" s="57">
        <v>373.89</v>
      </c>
      <c r="AE1896" s="57">
        <v>373.89</v>
      </c>
      <c r="AF1896" s="57">
        <v>637.17999999999995</v>
      </c>
      <c r="AG1896" s="57">
        <f t="shared" si="79"/>
        <v>1.7041910722404985</v>
      </c>
      <c r="AH1896" s="47">
        <v>124</v>
      </c>
      <c r="AI1896">
        <v>362.49</v>
      </c>
      <c r="AJ1896">
        <v>363.5</v>
      </c>
      <c r="AK1896">
        <v>619.48</v>
      </c>
      <c r="AL1896" s="57">
        <f t="shared" si="41"/>
        <v>1.7042090784044017</v>
      </c>
      <c r="AM1896" s="59">
        <v>7926</v>
      </c>
      <c r="AN1896" s="59">
        <f>SUMIFS(HIX_RatingAreas8[Silver Enrollments 2018],HIX_RatingAreas8[Area],HIX_SLCSP11[[#This Row],[Area Code]])</f>
        <v>8085</v>
      </c>
      <c r="AO1896" s="59">
        <f>SUMIFS(HIX_RatingAreas8[Silver Enrollments 2019],HIX_RatingAreas8[Area],HIX_SLCSP11[[#This Row],[Area Code]])</f>
        <v>9057</v>
      </c>
      <c r="AP1896" s="59">
        <f>SUMIFS(HIX_RatingAreas8[Silver Enrollments 2020],HIX_RatingAreas8[Area],HIX_SLCSP11[[#This Row],[Area Code]])</f>
        <v>8841</v>
      </c>
      <c r="AQ1896" s="59">
        <f>SUMIFS(HIX_RatingAreas8[Silver Enrollments 2021],HIX_RatingAreas8[Area],HIX_SLCSP11[[#This Row],[Area Code]])</f>
        <v>8814</v>
      </c>
      <c r="AR1896" s="59">
        <f>SUMIFS(HIX_RatingAreas8[Silver Enrollments 2022],HIX_RatingAreas8[Area],HIX_SLCSP11[[#This Row],[Area Code]])</f>
        <v>11930</v>
      </c>
      <c r="AS1896" s="59">
        <f>SUMIFS(HIX_RatingAreas8[Silver Enrollments 2023],HIX_RatingAreas8[Area],HIX_SLCSP11[[#This Row],[Area Code]])</f>
        <v>11930</v>
      </c>
      <c r="AT1896" s="59">
        <v>9489</v>
      </c>
      <c r="AU1896">
        <f t="shared" si="70"/>
        <v>8.7321014466080177E-2</v>
      </c>
      <c r="AV1896">
        <f>SUMIFS(HIX_RatingAreas8[QHP Enrollments 2018],HIX_RatingAreas8[Area],HIX_SLCSP11[[#This Row],[Area Code]])</f>
        <v>8568</v>
      </c>
      <c r="AW1896">
        <f t="shared" si="71"/>
        <v>0.10242800272567515</v>
      </c>
      <c r="AX1896">
        <f>SUMIFS(HIX_RatingAreas8[QHP Enrollments 2019],HIX_RatingAreas8[Area],HIX_SLCSP11[[#This Row],[Area Code]])</f>
        <v>9413</v>
      </c>
      <c r="AY1896">
        <f t="shared" si="72"/>
        <v>0.10631112918163131</v>
      </c>
      <c r="AZ1896">
        <f>SUMIFS(HIX_RatingAreas8[QHP Enrollments 2020],HIX_RatingAreas8[Area],HIX_SLCSP11[[#This Row],[Area Code]])</f>
        <v>10076</v>
      </c>
      <c r="BA1896">
        <f t="shared" si="73"/>
        <v>0.10188892933705457</v>
      </c>
      <c r="BB1896">
        <f>SUMIFS(HIX_RatingAreas8[QHP Enrollments 2021],HIX_RatingAreas8[Area],HIX_SLCSP11[[#This Row],[Area Code]])</f>
        <v>10584</v>
      </c>
      <c r="BC1896">
        <f t="shared" si="74"/>
        <v>9.5380567020528814E-2</v>
      </c>
      <c r="BD1896">
        <f>SUMIFS(HIX_RatingAreas8[QHP Enrollments 2022],HIX_RatingAreas8[Area],HIX_SLCSP11[[#This Row],[Area Code]])</f>
        <v>14003</v>
      </c>
      <c r="BE1896">
        <f t="shared" si="75"/>
        <v>9.791349098689639E-2</v>
      </c>
      <c r="BF1896">
        <f>SUMIFS(HIX_RatingAreas8[QHP Enrollments 2023],HIX_RatingAreas8[Area],HIX_SLCSP11[[#This Row],[Area Code]])</f>
        <v>14003</v>
      </c>
      <c r="BG1896">
        <f t="shared" si="76"/>
        <v>9.791349098689639E-2</v>
      </c>
      <c r="BH1896" s="53">
        <f>ROUND(HIX_SLCSP11[[#This Row],[Weighting Factor 2018]]*HIX_SLCSP11[[#This Row],[2018]],2)</f>
        <v>39.29</v>
      </c>
      <c r="BI1896" s="53">
        <f>ROUND(HIX_SLCSP11[[#This Row],[Weighting Factor 2019]]*HIX_SLCSP11[[#This Row],[2019]],2)</f>
        <v>48.37</v>
      </c>
      <c r="BJ1896" s="53">
        <f>ROUND(HIX_SLCSP11[[#This Row],[Weighting Factor 2020]]*HIX_SLCSP11[[#This Row],[2020]],2)</f>
        <v>39.76</v>
      </c>
      <c r="BK1896" s="53">
        <f>ROUND(HIX_SLCSP11[[#This Row],[Weighting Factor 2021]]*HIX_SLCSP11[[#This Row],[2021]],2)</f>
        <v>36.549999999999997</v>
      </c>
      <c r="BL1896" s="53">
        <f>ROUND(HIX_SLCSP11[[#This Row],[Weighting Factor 2022]]*HIX_SLCSP11[[#This Row],[2022]],2)</f>
        <v>36.61</v>
      </c>
      <c r="BM1896" s="53">
        <f>ROUND(HIX_SLCSP11[[#This Row],[Weighting Factor 2023]]*HIX_SLCSP11[[#This Row],[2023]],2)</f>
        <v>35.590000000000003</v>
      </c>
    </row>
    <row r="1897" spans="4:65" x14ac:dyDescent="0.35">
      <c r="D1897" t="s">
        <v>1206</v>
      </c>
      <c r="E1897" t="s">
        <v>259</v>
      </c>
      <c r="F1897" s="23">
        <v>5</v>
      </c>
      <c r="G1897" s="23" t="s">
        <v>1207</v>
      </c>
      <c r="H1897" s="23" t="s">
        <v>1246</v>
      </c>
      <c r="I1897" s="23">
        <v>25</v>
      </c>
      <c r="J1897" s="53">
        <v>405.29</v>
      </c>
      <c r="K1897" s="53">
        <v>419.55</v>
      </c>
      <c r="L1897" s="53">
        <v>715</v>
      </c>
      <c r="M1897" s="54">
        <f t="shared" si="77"/>
        <v>1.7042068883327375</v>
      </c>
      <c r="N1897" s="24">
        <v>12</v>
      </c>
      <c r="O1897" s="55">
        <v>437.99</v>
      </c>
      <c r="P1897" s="56">
        <v>499.76</v>
      </c>
      <c r="Q1897" s="56">
        <v>851.69</v>
      </c>
      <c r="R1897" s="57">
        <f t="shared" si="63"/>
        <v>1.7041980150472229</v>
      </c>
      <c r="S1897" s="23">
        <v>25</v>
      </c>
      <c r="T1897" s="53">
        <v>399.58</v>
      </c>
      <c r="U1897" s="53">
        <v>400.77</v>
      </c>
      <c r="V1897" s="53">
        <v>683</v>
      </c>
      <c r="W1897" s="57">
        <f t="shared" si="78"/>
        <v>1.7042193776979315</v>
      </c>
      <c r="X1897" s="47">
        <v>56</v>
      </c>
      <c r="Y1897" s="58">
        <v>368.33</v>
      </c>
      <c r="Z1897" s="58">
        <v>369</v>
      </c>
      <c r="AA1897" s="58">
        <v>628.85</v>
      </c>
      <c r="AB1897" s="57">
        <f t="shared" si="65"/>
        <v>1.70420054200542</v>
      </c>
      <c r="AC1897" s="47">
        <v>96</v>
      </c>
      <c r="AD1897" s="57">
        <v>363.4</v>
      </c>
      <c r="AE1897" s="57">
        <v>363.4</v>
      </c>
      <c r="AF1897" s="57">
        <v>619.30999999999995</v>
      </c>
      <c r="AG1897" s="57">
        <f t="shared" si="79"/>
        <v>1.704210236653825</v>
      </c>
      <c r="AH1897" s="47">
        <v>124</v>
      </c>
      <c r="AI1897">
        <v>341.98</v>
      </c>
      <c r="AJ1897">
        <v>342.94</v>
      </c>
      <c r="AK1897">
        <v>584.42999999999995</v>
      </c>
      <c r="AL1897" s="57">
        <f t="shared" si="41"/>
        <v>1.7041756575494253</v>
      </c>
      <c r="AM1897" s="59">
        <v>9818</v>
      </c>
      <c r="AN1897" s="59">
        <f>SUMIFS(HIX_RatingAreas8[Silver Enrollments 2018],HIX_RatingAreas8[Area],HIX_SLCSP11[[#This Row],[Area Code]])</f>
        <v>10102</v>
      </c>
      <c r="AO1897" s="59">
        <f>SUMIFS(HIX_RatingAreas8[Silver Enrollments 2019],HIX_RatingAreas8[Area],HIX_SLCSP11[[#This Row],[Area Code]])</f>
        <v>10730</v>
      </c>
      <c r="AP1897" s="59">
        <f>SUMIFS(HIX_RatingAreas8[Silver Enrollments 2020],HIX_RatingAreas8[Area],HIX_SLCSP11[[#This Row],[Area Code]])</f>
        <v>10261</v>
      </c>
      <c r="AQ1897" s="59">
        <f>SUMIFS(HIX_RatingAreas8[Silver Enrollments 2021],HIX_RatingAreas8[Area],HIX_SLCSP11[[#This Row],[Area Code]])</f>
        <v>10501</v>
      </c>
      <c r="AR1897" s="59">
        <f>SUMIFS(HIX_RatingAreas8[Silver Enrollments 2022],HIX_RatingAreas8[Area],HIX_SLCSP11[[#This Row],[Area Code]])</f>
        <v>16073</v>
      </c>
      <c r="AS1897" s="59">
        <f>SUMIFS(HIX_RatingAreas8[Silver Enrollments 2023],HIX_RatingAreas8[Area],HIX_SLCSP11[[#This Row],[Area Code]])</f>
        <v>16073</v>
      </c>
      <c r="AT1897" s="59">
        <v>11679</v>
      </c>
      <c r="AU1897">
        <f t="shared" si="70"/>
        <v>0.10747414142157764</v>
      </c>
      <c r="AV1897">
        <f>SUMIFS(HIX_RatingAreas8[QHP Enrollments 2018],HIX_RatingAreas8[Area],HIX_SLCSP11[[#This Row],[Area Code]])</f>
        <v>10860</v>
      </c>
      <c r="AW1897">
        <f t="shared" si="71"/>
        <v>0.12982821073772549</v>
      </c>
      <c r="AX1897">
        <f>SUMIFS(HIX_RatingAreas8[QHP Enrollments 2019],HIX_RatingAreas8[Area],HIX_SLCSP11[[#This Row],[Area Code]])</f>
        <v>11197</v>
      </c>
      <c r="AY1897">
        <f t="shared" si="72"/>
        <v>0.12645975921031827</v>
      </c>
      <c r="AZ1897">
        <f>SUMIFS(HIX_RatingAreas8[QHP Enrollments 2020],HIX_RatingAreas8[Area],HIX_SLCSP11[[#This Row],[Area Code]])</f>
        <v>12175</v>
      </c>
      <c r="BA1897">
        <f t="shared" si="73"/>
        <v>0.12311410427537112</v>
      </c>
      <c r="BB1897">
        <f>SUMIFS(HIX_RatingAreas8[QHP Enrollments 2021],HIX_RatingAreas8[Area],HIX_SLCSP11[[#This Row],[Area Code]])</f>
        <v>13247</v>
      </c>
      <c r="BC1897">
        <f t="shared" si="74"/>
        <v>0.11937890885496458</v>
      </c>
      <c r="BD1897">
        <f>SUMIFS(HIX_RatingAreas8[QHP Enrollments 2022],HIX_RatingAreas8[Area],HIX_SLCSP11[[#This Row],[Area Code]])</f>
        <v>18662</v>
      </c>
      <c r="BE1897">
        <f t="shared" si="75"/>
        <v>0.13049072118813543</v>
      </c>
      <c r="BF1897">
        <f>SUMIFS(HIX_RatingAreas8[QHP Enrollments 2023],HIX_RatingAreas8[Area],HIX_SLCSP11[[#This Row],[Area Code]])</f>
        <v>18662</v>
      </c>
      <c r="BG1897">
        <f t="shared" si="76"/>
        <v>0.13049072118813543</v>
      </c>
      <c r="BH1897" s="53">
        <f>ROUND(HIX_SLCSP11[[#This Row],[Weighting Factor 2018]]*HIX_SLCSP11[[#This Row],[2018]],2)</f>
        <v>54.47</v>
      </c>
      <c r="BI1897" s="53">
        <f>ROUND(HIX_SLCSP11[[#This Row],[Weighting Factor 2019]]*HIX_SLCSP11[[#This Row],[2019]],2)</f>
        <v>63.2</v>
      </c>
      <c r="BJ1897" s="53">
        <f>ROUND(HIX_SLCSP11[[#This Row],[Weighting Factor 2020]]*HIX_SLCSP11[[#This Row],[2020]],2)</f>
        <v>49.34</v>
      </c>
      <c r="BK1897" s="53">
        <f>ROUND(HIX_SLCSP11[[#This Row],[Weighting Factor 2021]]*HIX_SLCSP11[[#This Row],[2021]],2)</f>
        <v>44.05</v>
      </c>
      <c r="BL1897" s="53">
        <f>ROUND(HIX_SLCSP11[[#This Row],[Weighting Factor 2022]]*HIX_SLCSP11[[#This Row],[2022]],2)</f>
        <v>47.42</v>
      </c>
      <c r="BM1897" s="53">
        <f>ROUND(HIX_SLCSP11[[#This Row],[Weighting Factor 2023]]*HIX_SLCSP11[[#This Row],[2023]],2)</f>
        <v>44.75</v>
      </c>
    </row>
    <row r="1898" spans="4:65" x14ac:dyDescent="0.35">
      <c r="D1898" t="s">
        <v>1206</v>
      </c>
      <c r="E1898" t="s">
        <v>265</v>
      </c>
      <c r="F1898" s="23">
        <v>6</v>
      </c>
      <c r="G1898" s="23" t="s">
        <v>1207</v>
      </c>
      <c r="H1898" s="23" t="s">
        <v>1254</v>
      </c>
      <c r="I1898" s="23">
        <v>25</v>
      </c>
      <c r="J1898" s="53">
        <v>365.58</v>
      </c>
      <c r="K1898" s="53">
        <v>390.35</v>
      </c>
      <c r="L1898" s="53">
        <v>665.23</v>
      </c>
      <c r="M1898" s="54">
        <f t="shared" si="77"/>
        <v>1.7041885487383117</v>
      </c>
      <c r="N1898" s="24">
        <v>12</v>
      </c>
      <c r="O1898" s="55">
        <v>344.11</v>
      </c>
      <c r="P1898" s="56">
        <v>392.64</v>
      </c>
      <c r="Q1898" s="56">
        <v>669.13</v>
      </c>
      <c r="R1898" s="57">
        <f t="shared" si="63"/>
        <v>1.7041819478402609</v>
      </c>
      <c r="S1898" s="23">
        <v>25</v>
      </c>
      <c r="T1898" s="53">
        <v>362.3</v>
      </c>
      <c r="U1898" s="53">
        <v>363.39</v>
      </c>
      <c r="V1898" s="53">
        <v>619.28</v>
      </c>
      <c r="W1898" s="57">
        <f t="shared" si="78"/>
        <v>1.7041745782767825</v>
      </c>
      <c r="X1898" s="47">
        <v>56</v>
      </c>
      <c r="Y1898" s="58">
        <v>380.49</v>
      </c>
      <c r="Z1898" s="58">
        <v>381.23</v>
      </c>
      <c r="AA1898" s="58">
        <v>649.69000000000005</v>
      </c>
      <c r="AB1898" s="57">
        <f t="shared" si="65"/>
        <v>1.7041943183904731</v>
      </c>
      <c r="AC1898" s="47">
        <v>96</v>
      </c>
      <c r="AD1898" s="57">
        <v>369.57</v>
      </c>
      <c r="AE1898" s="57">
        <v>369.57</v>
      </c>
      <c r="AF1898" s="57">
        <v>629.83000000000004</v>
      </c>
      <c r="AG1898" s="57">
        <f t="shared" si="79"/>
        <v>1.7042238276916417</v>
      </c>
      <c r="AH1898" s="47">
        <v>96</v>
      </c>
      <c r="AI1898">
        <v>337.36</v>
      </c>
      <c r="AJ1898">
        <v>338.31</v>
      </c>
      <c r="AK1898">
        <v>576.54</v>
      </c>
      <c r="AL1898" s="57">
        <f t="shared" si="41"/>
        <v>1.7041766427241287</v>
      </c>
      <c r="AM1898" s="59">
        <v>33543</v>
      </c>
      <c r="AN1898" s="59">
        <f>SUMIFS(HIX_RatingAreas8[Silver Enrollments 2018],HIX_RatingAreas8[Area],HIX_SLCSP11[[#This Row],[Area Code]])</f>
        <v>32196</v>
      </c>
      <c r="AO1898" s="59">
        <f>SUMIFS(HIX_RatingAreas8[Silver Enrollments 2019],HIX_RatingAreas8[Area],HIX_SLCSP11[[#This Row],[Area Code]])</f>
        <v>36310</v>
      </c>
      <c r="AP1898" s="59">
        <f>SUMIFS(HIX_RatingAreas8[Silver Enrollments 2020],HIX_RatingAreas8[Area],HIX_SLCSP11[[#This Row],[Area Code]])</f>
        <v>41738</v>
      </c>
      <c r="AQ1898" s="59">
        <f>SUMIFS(HIX_RatingAreas8[Silver Enrollments 2021],HIX_RatingAreas8[Area],HIX_SLCSP11[[#This Row],[Area Code]])</f>
        <v>43211</v>
      </c>
      <c r="AR1898" s="59">
        <f>SUMIFS(HIX_RatingAreas8[Silver Enrollments 2022],HIX_RatingAreas8[Area],HIX_SLCSP11[[#This Row],[Area Code]])</f>
        <v>56653</v>
      </c>
      <c r="AS1898" s="59">
        <f>SUMIFS(HIX_RatingAreas8[Silver Enrollments 2023],HIX_RatingAreas8[Area],HIX_SLCSP11[[#This Row],[Area Code]])</f>
        <v>56653</v>
      </c>
      <c r="AT1898" s="59">
        <v>40169</v>
      </c>
      <c r="AU1898">
        <f t="shared" si="70"/>
        <v>0.36964883866455628</v>
      </c>
      <c r="AV1898">
        <f>SUMIFS(HIX_RatingAreas8[QHP Enrollments 2018],HIX_RatingAreas8[Area],HIX_SLCSP11[[#This Row],[Area Code]])</f>
        <v>34233</v>
      </c>
      <c r="AW1898">
        <f t="shared" si="71"/>
        <v>0.40924577699673637</v>
      </c>
      <c r="AX1898">
        <f>SUMIFS(HIX_RatingAreas8[QHP Enrollments 2019],HIX_RatingAreas8[Area],HIX_SLCSP11[[#This Row],[Area Code]])</f>
        <v>37589</v>
      </c>
      <c r="AY1898">
        <f t="shared" si="72"/>
        <v>0.42453298999344946</v>
      </c>
      <c r="AZ1898">
        <f>SUMIFS(HIX_RatingAreas8[QHP Enrollments 2020],HIX_RatingAreas8[Area],HIX_SLCSP11[[#This Row],[Area Code]])</f>
        <v>44066</v>
      </c>
      <c r="BA1898">
        <f t="shared" si="73"/>
        <v>0.44559721716620149</v>
      </c>
      <c r="BB1898">
        <f>SUMIFS(HIX_RatingAreas8[QHP Enrollments 2021],HIX_RatingAreas8[Area],HIX_SLCSP11[[#This Row],[Area Code]])</f>
        <v>51473</v>
      </c>
      <c r="BC1898">
        <f t="shared" si="74"/>
        <v>0.46386280482309894</v>
      </c>
      <c r="BD1898">
        <f>SUMIFS(HIX_RatingAreas8[QHP Enrollments 2022],HIX_RatingAreas8[Area],HIX_SLCSP11[[#This Row],[Area Code]])</f>
        <v>65247</v>
      </c>
      <c r="BE1898">
        <f t="shared" si="75"/>
        <v>0.45622806158837598</v>
      </c>
      <c r="BF1898">
        <f>SUMIFS(HIX_RatingAreas8[QHP Enrollments 2023],HIX_RatingAreas8[Area],HIX_SLCSP11[[#This Row],[Area Code]])</f>
        <v>65247</v>
      </c>
      <c r="BG1898">
        <f t="shared" si="76"/>
        <v>0.45622806158837598</v>
      </c>
      <c r="BH1898" s="53">
        <f>ROUND(HIX_SLCSP11[[#This Row],[Weighting Factor 2018]]*HIX_SLCSP11[[#This Row],[2018]],2)</f>
        <v>159.75</v>
      </c>
      <c r="BI1898" s="53">
        <f>ROUND(HIX_SLCSP11[[#This Row],[Weighting Factor 2019]]*HIX_SLCSP11[[#This Row],[2019]],2)</f>
        <v>166.69</v>
      </c>
      <c r="BJ1898" s="53">
        <f>ROUND(HIX_SLCSP11[[#This Row],[Weighting Factor 2020]]*HIX_SLCSP11[[#This Row],[2020]],2)</f>
        <v>161.93</v>
      </c>
      <c r="BK1898" s="53">
        <f>ROUND(HIX_SLCSP11[[#This Row],[Weighting Factor 2021]]*HIX_SLCSP11[[#This Row],[2021]],2)</f>
        <v>176.84</v>
      </c>
      <c r="BL1898" s="53">
        <f>ROUND(HIX_SLCSP11[[#This Row],[Weighting Factor 2022]]*HIX_SLCSP11[[#This Row],[2022]],2)</f>
        <v>168.61</v>
      </c>
      <c r="BM1898" s="53">
        <f>ROUND(HIX_SLCSP11[[#This Row],[Weighting Factor 2023]]*HIX_SLCSP11[[#This Row],[2023]],2)</f>
        <v>154.35</v>
      </c>
    </row>
    <row r="1899" spans="4:65" x14ac:dyDescent="0.35">
      <c r="D1899" t="s">
        <v>1338</v>
      </c>
      <c r="E1899" t="s">
        <v>2597</v>
      </c>
      <c r="F1899" s="23"/>
      <c r="G1899" s="23"/>
      <c r="H1899" s="23"/>
      <c r="I1899" s="23"/>
      <c r="J1899" s="53"/>
      <c r="K1899" s="53">
        <f>SUM(BH1900:BH1909)</f>
        <v>443.28000000000009</v>
      </c>
      <c r="L1899" s="53"/>
      <c r="M1899" s="54"/>
      <c r="O1899" s="55"/>
      <c r="P1899" s="56">
        <f>SUM(BI1900:BI1909)</f>
        <v>453.52</v>
      </c>
      <c r="Q1899" s="56"/>
      <c r="R1899" s="57"/>
      <c r="S1899" s="23"/>
      <c r="T1899" s="53"/>
      <c r="U1899" s="53">
        <f>SUM(BJ1900:BJ1909)</f>
        <v>444.92999999999995</v>
      </c>
      <c r="V1899" s="53"/>
      <c r="W1899" s="57"/>
      <c r="X1899" s="47"/>
      <c r="Y1899" s="58"/>
      <c r="Z1899" s="53">
        <f>SUM(BK1900:BK1909)</f>
        <v>384.78000000000003</v>
      </c>
      <c r="AA1899" s="58"/>
      <c r="AB1899" s="57"/>
      <c r="AC1899" s="47"/>
      <c r="AD1899" s="57"/>
      <c r="AE1899" s="53">
        <f>SUM(BL1900:BL1909)</f>
        <v>650.78</v>
      </c>
      <c r="AF1899" s="57"/>
      <c r="AG1899" s="57"/>
      <c r="AH1899" s="47"/>
      <c r="AI1899" s="57"/>
      <c r="AJ1899" s="53">
        <f>SUM(BM1900:BM1909)</f>
        <v>389.5</v>
      </c>
      <c r="AK1899" s="57"/>
      <c r="AL1899" s="57"/>
      <c r="AM1899" s="59"/>
      <c r="AN1899" s="59">
        <f t="shared" ref="AN1899:AT1899" si="80">SUM(AN1900:AN1909)</f>
        <v>157213</v>
      </c>
      <c r="AO1899" s="59">
        <f t="shared" si="80"/>
        <v>157213</v>
      </c>
      <c r="AP1899" s="59">
        <f t="shared" si="80"/>
        <v>140993</v>
      </c>
      <c r="AQ1899" s="59">
        <f t="shared" si="80"/>
        <v>138862</v>
      </c>
      <c r="AR1899" s="59">
        <f t="shared" si="80"/>
        <v>161335</v>
      </c>
      <c r="AS1899" s="59">
        <f t="shared" si="80"/>
        <v>161335</v>
      </c>
      <c r="AT1899" s="59">
        <f t="shared" si="80"/>
        <v>269354</v>
      </c>
      <c r="AU1899">
        <f>AT1899/AT$1899</f>
        <v>1</v>
      </c>
      <c r="AV1899" s="59">
        <f>SUM(AV1900:AV1909)</f>
        <v>220461</v>
      </c>
      <c r="AW1899">
        <f>AV1899/AV$1899</f>
        <v>1</v>
      </c>
      <c r="AX1899" s="59">
        <f>SUM(AX1900:AX1909)</f>
        <v>220461</v>
      </c>
      <c r="AY1899">
        <f>AX1899/AX$1899</f>
        <v>1</v>
      </c>
      <c r="AZ1899" s="59">
        <f>SUM(AZ1900:AZ1909)</f>
        <v>202750</v>
      </c>
      <c r="BA1899">
        <f>AZ1899/AZ$1899</f>
        <v>1</v>
      </c>
      <c r="BB1899" s="59">
        <f>SUM(BB1900:BB1909)</f>
        <v>215311</v>
      </c>
      <c r="BC1899">
        <f>BB1899/BB$1899</f>
        <v>1</v>
      </c>
      <c r="BD1899" s="59">
        <f>SUM(BD1900:BD1909)</f>
        <v>250341</v>
      </c>
      <c r="BE1899">
        <f>BD1899/BD$1899</f>
        <v>1</v>
      </c>
      <c r="BF1899" s="59">
        <f>SUM(BF1900:BF1909)</f>
        <v>250341</v>
      </c>
      <c r="BG1899">
        <f>BF1899/BF$1899</f>
        <v>1</v>
      </c>
      <c r="BH1899" s="53"/>
      <c r="BI1899" s="53"/>
      <c r="BJ1899" s="53"/>
      <c r="BK1899" s="53"/>
      <c r="BL1899" s="53"/>
      <c r="BM1899" s="53"/>
    </row>
    <row r="1900" spans="4:65" x14ac:dyDescent="0.35">
      <c r="D1900" t="s">
        <v>1338</v>
      </c>
      <c r="E1900" t="s">
        <v>231</v>
      </c>
      <c r="F1900" s="23">
        <v>1</v>
      </c>
      <c r="G1900" s="23" t="s">
        <v>1339</v>
      </c>
      <c r="H1900" s="23" t="s">
        <v>1342</v>
      </c>
      <c r="I1900" s="23">
        <v>20</v>
      </c>
      <c r="J1900" s="53">
        <v>396.48</v>
      </c>
      <c r="K1900" s="53">
        <v>437.7</v>
      </c>
      <c r="L1900" s="53">
        <v>745.93</v>
      </c>
      <c r="M1900" s="54">
        <f t="shared" ref="M1900:M1909" si="81">L1900/K1900</f>
        <v>1.7042037925519762</v>
      </c>
      <c r="N1900" s="24">
        <v>48</v>
      </c>
      <c r="O1900" s="55">
        <v>392.82</v>
      </c>
      <c r="P1900" s="56">
        <v>443.43</v>
      </c>
      <c r="Q1900" s="56">
        <v>755.7</v>
      </c>
      <c r="R1900" s="57">
        <f t="shared" ref="R1900:R1909" si="82">Q1900/P1900</f>
        <v>1.7042148704417834</v>
      </c>
      <c r="S1900" s="23">
        <v>25</v>
      </c>
      <c r="T1900" s="53">
        <v>369.69</v>
      </c>
      <c r="U1900" s="53">
        <v>416.55</v>
      </c>
      <c r="V1900" s="53">
        <v>709.88</v>
      </c>
      <c r="W1900" s="57">
        <f t="shared" ref="W1900:W1909" si="83">V1900/U1900</f>
        <v>1.7041891729684311</v>
      </c>
      <c r="X1900" s="47">
        <v>103</v>
      </c>
      <c r="Y1900" s="58">
        <v>363.22</v>
      </c>
      <c r="Z1900" s="58">
        <v>420.61</v>
      </c>
      <c r="AA1900" s="58">
        <v>716.8</v>
      </c>
      <c r="AB1900" s="57">
        <f t="shared" ref="AB1900:AB1926" si="84">AA1900/Z1900</f>
        <v>1.7041915313473288</v>
      </c>
      <c r="AC1900" s="47">
        <v>118</v>
      </c>
      <c r="AD1900" s="57">
        <v>417.07</v>
      </c>
      <c r="AE1900" s="57">
        <v>417.58</v>
      </c>
      <c r="AF1900" s="57">
        <v>711.64</v>
      </c>
      <c r="AG1900" s="57">
        <f t="shared" ref="AG1900:AG1909" si="85">AF1900/AE1900</f>
        <v>1.7042003927391158</v>
      </c>
      <c r="AH1900" s="47">
        <v>98</v>
      </c>
      <c r="AI1900">
        <v>452.39</v>
      </c>
      <c r="AJ1900">
        <v>453.24</v>
      </c>
      <c r="AK1900">
        <v>772.41</v>
      </c>
      <c r="AL1900" s="57">
        <f t="shared" si="41"/>
        <v>1.7041964522107491</v>
      </c>
      <c r="AM1900" s="59"/>
      <c r="AN1900" s="59">
        <f>SUMIFS(HIX_RatingAreas8[Silver Enrollments 2018],HIX_RatingAreas8[Area],HIX_SLCSP11[[#This Row],[Area Code]])</f>
        <v>6985</v>
      </c>
      <c r="AO1900" s="59">
        <f>SUMIFS(HIX_RatingAreas8[Silver Enrollments 2019],HIX_RatingAreas8[Area],HIX_SLCSP11[[#This Row],[Area Code]])</f>
        <v>6985</v>
      </c>
      <c r="AP1900" s="59">
        <f>SUMIFS(HIX_RatingAreas8[Silver Enrollments 2020],HIX_RatingAreas8[Area],HIX_SLCSP11[[#This Row],[Area Code]])</f>
        <v>6324</v>
      </c>
      <c r="AQ1900" s="59">
        <f>SUMIFS(HIX_RatingAreas8[Silver Enrollments 2021],HIX_RatingAreas8[Area],HIX_SLCSP11[[#This Row],[Area Code]])</f>
        <v>5973</v>
      </c>
      <c r="AR1900" s="59">
        <f>SUMIFS(HIX_RatingAreas8[Silver Enrollments 2022],HIX_RatingAreas8[Area],HIX_SLCSP11[[#This Row],[Area Code]])</f>
        <v>6652</v>
      </c>
      <c r="AS1900" s="59">
        <f>SUMIFS(HIX_RatingAreas8[Silver Enrollments 2023],HIX_RatingAreas8[Area],HIX_SLCSP11[[#This Row],[Area Code]])</f>
        <v>6652</v>
      </c>
      <c r="AT1900" s="59">
        <v>10004</v>
      </c>
      <c r="AU1900">
        <f t="shared" ref="AU1900:AU1909" si="86">AT1900/AT$1899</f>
        <v>3.7140714450128828E-2</v>
      </c>
      <c r="AV1900">
        <f>SUMIFS(HIX_RatingAreas8[QHP Enrollments 2018],HIX_RatingAreas8[Area],HIX_SLCSP11[[#This Row],[Area Code]])</f>
        <v>8279</v>
      </c>
      <c r="AW1900">
        <f t="shared" ref="AW1900:AW1909" si="87">AV1900/AV$1899</f>
        <v>3.7553127310499361E-2</v>
      </c>
      <c r="AX1900">
        <f>SUMIFS(HIX_RatingAreas8[QHP Enrollments 2019],HIX_RatingAreas8[Area],HIX_SLCSP11[[#This Row],[Area Code]])</f>
        <v>8279</v>
      </c>
      <c r="AY1900">
        <f t="shared" ref="AY1900:AY1909" si="88">AX1900/AX$1899</f>
        <v>3.7553127310499361E-2</v>
      </c>
      <c r="AZ1900">
        <f>SUMIFS(HIX_RatingAreas8[QHP Enrollments 2020],HIX_RatingAreas8[Area],HIX_SLCSP11[[#This Row],[Area Code]])</f>
        <v>7894</v>
      </c>
      <c r="BA1900">
        <f t="shared" ref="BA1900:BA1909" si="89">AZ1900/AZ$1899</f>
        <v>3.8934648581997536E-2</v>
      </c>
      <c r="BB1900">
        <f>SUMIFS(HIX_RatingAreas8[QHP Enrollments 2021],HIX_RatingAreas8[Area],HIX_SLCSP11[[#This Row],[Area Code]])</f>
        <v>8265</v>
      </c>
      <c r="BC1900">
        <f t="shared" ref="BC1900:BC1909" si="90">BB1900/BB$1899</f>
        <v>3.8386334186362982E-2</v>
      </c>
      <c r="BD1900">
        <f>SUMIFS(HIX_RatingAreas8[QHP Enrollments 2022],HIX_RatingAreas8[Area],HIX_SLCSP11[[#This Row],[Area Code]])</f>
        <v>9492</v>
      </c>
      <c r="BE1900">
        <f t="shared" ref="BE1900:BE1905" si="91">BD1900/BD$1892</f>
        <v>6.6371124505293186E-2</v>
      </c>
      <c r="BF1900">
        <f>SUMIFS(HIX_RatingAreas8[QHP Enrollments 2023],HIX_RatingAreas8[Area],HIX_SLCSP11[[#This Row],[Area Code]])</f>
        <v>9492</v>
      </c>
      <c r="BG1900">
        <f>BF1900/BF$1899</f>
        <v>3.7916282191091354E-2</v>
      </c>
      <c r="BH1900" s="53">
        <f>ROUND(HIX_SLCSP11[[#This Row],[Weighting Factor 2018]]*HIX_SLCSP11[[#This Row],[2018]],2)</f>
        <v>16.440000000000001</v>
      </c>
      <c r="BI1900" s="53">
        <f>ROUND(HIX_SLCSP11[[#This Row],[Weighting Factor 2019]]*HIX_SLCSP11[[#This Row],[2019]],2)</f>
        <v>16.649999999999999</v>
      </c>
      <c r="BJ1900" s="53">
        <f>ROUND(HIX_SLCSP11[[#This Row],[Weighting Factor 2020]]*HIX_SLCSP11[[#This Row],[2020]],2)</f>
        <v>16.22</v>
      </c>
      <c r="BK1900" s="53">
        <f>ROUND(HIX_SLCSP11[[#This Row],[Weighting Factor 2021]]*HIX_SLCSP11[[#This Row],[2021]],2)</f>
        <v>16.149999999999999</v>
      </c>
      <c r="BL1900" s="53">
        <f>ROUND(HIX_SLCSP11[[#This Row],[Weighting Factor 2022]]*HIX_SLCSP11[[#This Row],[2022]],2)</f>
        <v>27.72</v>
      </c>
      <c r="BM1900" s="53">
        <f>ROUND(HIX_SLCSP11[[#This Row],[Weighting Factor 2023]]*HIX_SLCSP11[[#This Row],[2023]],2)</f>
        <v>17.190000000000001</v>
      </c>
    </row>
    <row r="1901" spans="4:65" x14ac:dyDescent="0.35">
      <c r="D1901" t="s">
        <v>1338</v>
      </c>
      <c r="E1901" t="s">
        <v>235</v>
      </c>
      <c r="F1901" s="23">
        <v>2</v>
      </c>
      <c r="G1901" s="23" t="s">
        <v>1339</v>
      </c>
      <c r="H1901" s="23" t="s">
        <v>1340</v>
      </c>
      <c r="I1901" s="23">
        <v>36</v>
      </c>
      <c r="J1901" s="53">
        <v>543.41999999999996</v>
      </c>
      <c r="K1901" s="53">
        <v>565.92999999999995</v>
      </c>
      <c r="L1901" s="53">
        <v>964.46</v>
      </c>
      <c r="M1901" s="54">
        <f t="shared" si="81"/>
        <v>1.7042037001042534</v>
      </c>
      <c r="N1901" s="24">
        <v>40</v>
      </c>
      <c r="O1901" s="55">
        <v>568.55999999999995</v>
      </c>
      <c r="P1901" s="56">
        <v>595.26</v>
      </c>
      <c r="Q1901" s="56">
        <v>1014.45</v>
      </c>
      <c r="R1901" s="57">
        <f t="shared" si="82"/>
        <v>1.7042132849511138</v>
      </c>
      <c r="S1901" s="23">
        <v>36</v>
      </c>
      <c r="T1901" s="53">
        <v>599.26</v>
      </c>
      <c r="U1901" s="53">
        <v>632.59</v>
      </c>
      <c r="V1901" s="53">
        <v>1078.07</v>
      </c>
      <c r="W1901" s="57">
        <f t="shared" si="83"/>
        <v>1.7042160008852494</v>
      </c>
      <c r="X1901" s="47">
        <v>101</v>
      </c>
      <c r="Y1901" s="58">
        <v>363.22</v>
      </c>
      <c r="Z1901" s="58">
        <v>433.97</v>
      </c>
      <c r="AA1901" s="58">
        <v>739.57</v>
      </c>
      <c r="AB1901" s="57">
        <f t="shared" si="84"/>
        <v>1.7041961425905017</v>
      </c>
      <c r="AC1901" s="47">
        <v>68</v>
      </c>
      <c r="AD1901" s="57">
        <v>389.41</v>
      </c>
      <c r="AE1901" s="57">
        <v>389.89</v>
      </c>
      <c r="AF1901" s="57">
        <v>664.44</v>
      </c>
      <c r="AG1901" s="57">
        <f t="shared" si="85"/>
        <v>1.7041729718638592</v>
      </c>
      <c r="AH1901" s="47">
        <v>68</v>
      </c>
      <c r="AI1901">
        <v>463.88</v>
      </c>
      <c r="AJ1901">
        <v>464.8</v>
      </c>
      <c r="AK1901">
        <v>792.11</v>
      </c>
      <c r="AL1901" s="57">
        <f t="shared" si="41"/>
        <v>1.7041953528399312</v>
      </c>
      <c r="AM1901" s="59"/>
      <c r="AN1901" s="59">
        <f>SUMIFS(HIX_RatingAreas8[Silver Enrollments 2018],HIX_RatingAreas8[Area],HIX_SLCSP11[[#This Row],[Area Code]])</f>
        <v>6734</v>
      </c>
      <c r="AO1901" s="59">
        <f>SUMIFS(HIX_RatingAreas8[Silver Enrollments 2019],HIX_RatingAreas8[Area],HIX_SLCSP11[[#This Row],[Area Code]])</f>
        <v>6734</v>
      </c>
      <c r="AP1901" s="59">
        <f>SUMIFS(HIX_RatingAreas8[Silver Enrollments 2020],HIX_RatingAreas8[Area],HIX_SLCSP11[[#This Row],[Area Code]])</f>
        <v>6386</v>
      </c>
      <c r="AQ1901" s="59">
        <f>SUMIFS(HIX_RatingAreas8[Silver Enrollments 2021],HIX_RatingAreas8[Area],HIX_SLCSP11[[#This Row],[Area Code]])</f>
        <v>5885</v>
      </c>
      <c r="AR1901" s="59">
        <f>SUMIFS(HIX_RatingAreas8[Silver Enrollments 2022],HIX_RatingAreas8[Area],HIX_SLCSP11[[#This Row],[Area Code]])</f>
        <v>6575</v>
      </c>
      <c r="AS1901" s="59">
        <f>SUMIFS(HIX_RatingAreas8[Silver Enrollments 2023],HIX_RatingAreas8[Area],HIX_SLCSP11[[#This Row],[Area Code]])</f>
        <v>6575</v>
      </c>
      <c r="AT1901" s="59">
        <v>5186</v>
      </c>
      <c r="AU1901">
        <f t="shared" si="86"/>
        <v>1.9253473124586976E-2</v>
      </c>
      <c r="AV1901">
        <f>SUMIFS(HIX_RatingAreas8[QHP Enrollments 2018],HIX_RatingAreas8[Area],HIX_SLCSP11[[#This Row],[Area Code]])</f>
        <v>8672</v>
      </c>
      <c r="AW1901">
        <f t="shared" si="87"/>
        <v>3.9335755530456637E-2</v>
      </c>
      <c r="AX1901">
        <f>SUMIFS(HIX_RatingAreas8[QHP Enrollments 2019],HIX_RatingAreas8[Area],HIX_SLCSP11[[#This Row],[Area Code]])</f>
        <v>8672</v>
      </c>
      <c r="AY1901">
        <f t="shared" si="88"/>
        <v>3.9335755530456637E-2</v>
      </c>
      <c r="AZ1901">
        <f>SUMIFS(HIX_RatingAreas8[QHP Enrollments 2020],HIX_RatingAreas8[Area],HIX_SLCSP11[[#This Row],[Area Code]])</f>
        <v>8135</v>
      </c>
      <c r="BA1901">
        <f t="shared" si="89"/>
        <v>4.0123304562268806E-2</v>
      </c>
      <c r="BB1901">
        <f>SUMIFS(HIX_RatingAreas8[QHP Enrollments 2021],HIX_RatingAreas8[Area],HIX_SLCSP11[[#This Row],[Area Code]])</f>
        <v>8500</v>
      </c>
      <c r="BC1901">
        <f t="shared" si="90"/>
        <v>3.9477778655061746E-2</v>
      </c>
      <c r="BD1901">
        <f>SUMIFS(HIX_RatingAreas8[QHP Enrollments 2022],HIX_RatingAreas8[Area],HIX_SLCSP11[[#This Row],[Area Code]])</f>
        <v>9587</v>
      </c>
      <c r="BE1901">
        <f t="shared" si="91"/>
        <v>6.7035395136140513E-2</v>
      </c>
      <c r="BF1901">
        <f>SUMIFS(HIX_RatingAreas8[QHP Enrollments 2023],HIX_RatingAreas8[Area],HIX_SLCSP11[[#This Row],[Area Code]])</f>
        <v>9587</v>
      </c>
      <c r="BG1901">
        <f t="shared" ref="BG1901:BG1909" si="92">BF1901/BF$1899</f>
        <v>3.8295764577116816E-2</v>
      </c>
      <c r="BH1901" s="53">
        <f>ROUND(HIX_SLCSP11[[#This Row],[Weighting Factor 2018]]*HIX_SLCSP11[[#This Row],[2018]],2)</f>
        <v>22.26</v>
      </c>
      <c r="BI1901" s="53">
        <f>ROUND(HIX_SLCSP11[[#This Row],[Weighting Factor 2019]]*HIX_SLCSP11[[#This Row],[2019]],2)</f>
        <v>23.42</v>
      </c>
      <c r="BJ1901" s="53">
        <f>ROUND(HIX_SLCSP11[[#This Row],[Weighting Factor 2020]]*HIX_SLCSP11[[#This Row],[2020]],2)</f>
        <v>25.38</v>
      </c>
      <c r="BK1901" s="53">
        <f>ROUND(HIX_SLCSP11[[#This Row],[Weighting Factor 2021]]*HIX_SLCSP11[[#This Row],[2021]],2)</f>
        <v>17.13</v>
      </c>
      <c r="BL1901" s="53">
        <f>ROUND(HIX_SLCSP11[[#This Row],[Weighting Factor 2022]]*HIX_SLCSP11[[#This Row],[2022]],2)</f>
        <v>26.14</v>
      </c>
      <c r="BM1901" s="53">
        <f>ROUND(HIX_SLCSP11[[#This Row],[Weighting Factor 2023]]*HIX_SLCSP11[[#This Row],[2023]],2)</f>
        <v>17.8</v>
      </c>
    </row>
    <row r="1902" spans="4:65" x14ac:dyDescent="0.35">
      <c r="D1902" t="s">
        <v>1338</v>
      </c>
      <c r="E1902" t="s">
        <v>239</v>
      </c>
      <c r="F1902" s="23">
        <v>3</v>
      </c>
      <c r="G1902" s="23" t="s">
        <v>1339</v>
      </c>
      <c r="H1902" s="23" t="s">
        <v>1369</v>
      </c>
      <c r="I1902" s="23">
        <v>20</v>
      </c>
      <c r="J1902" s="53">
        <v>396.97</v>
      </c>
      <c r="K1902" s="53">
        <v>424.59</v>
      </c>
      <c r="L1902" s="53">
        <v>723.59</v>
      </c>
      <c r="M1902" s="54">
        <f t="shared" si="81"/>
        <v>1.7042087661037708</v>
      </c>
      <c r="N1902" s="24">
        <v>40</v>
      </c>
      <c r="O1902" s="55">
        <v>382.87</v>
      </c>
      <c r="P1902" s="56">
        <v>384.83</v>
      </c>
      <c r="Q1902" s="56">
        <v>655.83</v>
      </c>
      <c r="R1902" s="57">
        <f t="shared" si="82"/>
        <v>1.7042070524647248</v>
      </c>
      <c r="S1902" s="23">
        <v>82</v>
      </c>
      <c r="T1902" s="53">
        <v>315.51</v>
      </c>
      <c r="U1902" s="53">
        <v>363.28</v>
      </c>
      <c r="V1902" s="53">
        <v>619.1</v>
      </c>
      <c r="W1902" s="57">
        <f t="shared" si="83"/>
        <v>1.704195111208985</v>
      </c>
      <c r="X1902" s="47">
        <v>134</v>
      </c>
      <c r="Y1902" s="58">
        <v>347.59</v>
      </c>
      <c r="Z1902" s="58">
        <v>354.5</v>
      </c>
      <c r="AA1902" s="58">
        <v>604.13</v>
      </c>
      <c r="AB1902" s="57">
        <f t="shared" si="84"/>
        <v>1.7041748942172072</v>
      </c>
      <c r="AC1902" s="47">
        <v>169</v>
      </c>
      <c r="AD1902" s="57">
        <v>333.06</v>
      </c>
      <c r="AE1902" s="57">
        <v>334.74</v>
      </c>
      <c r="AF1902" s="57">
        <v>570.47</v>
      </c>
      <c r="AG1902" s="57">
        <f t="shared" si="85"/>
        <v>1.7042181991993786</v>
      </c>
      <c r="AH1902" s="47">
        <v>166</v>
      </c>
      <c r="AI1902">
        <v>338.07</v>
      </c>
      <c r="AJ1902">
        <v>344.78</v>
      </c>
      <c r="AK1902">
        <v>587.58000000000004</v>
      </c>
      <c r="AL1902" s="57">
        <f t="shared" si="41"/>
        <v>1.7042171819711123</v>
      </c>
      <c r="AM1902" s="59"/>
      <c r="AN1902" s="59">
        <f>SUMIFS(HIX_RatingAreas8[Silver Enrollments 2018],HIX_RatingAreas8[Area],HIX_SLCSP11[[#This Row],[Area Code]])</f>
        <v>21341</v>
      </c>
      <c r="AO1902" s="59">
        <f>SUMIFS(HIX_RatingAreas8[Silver Enrollments 2019],HIX_RatingAreas8[Area],HIX_SLCSP11[[#This Row],[Area Code]])</f>
        <v>21341</v>
      </c>
      <c r="AP1902" s="59">
        <f>SUMIFS(HIX_RatingAreas8[Silver Enrollments 2020],HIX_RatingAreas8[Area],HIX_SLCSP11[[#This Row],[Area Code]])</f>
        <v>17718</v>
      </c>
      <c r="AQ1902" s="59">
        <f>SUMIFS(HIX_RatingAreas8[Silver Enrollments 2021],HIX_RatingAreas8[Area],HIX_SLCSP11[[#This Row],[Area Code]])</f>
        <v>18978</v>
      </c>
      <c r="AR1902" s="59">
        <f>SUMIFS(HIX_RatingAreas8[Silver Enrollments 2022],HIX_RatingAreas8[Area],HIX_SLCSP11[[#This Row],[Area Code]])</f>
        <v>23181</v>
      </c>
      <c r="AS1902" s="59">
        <f>SUMIFS(HIX_RatingAreas8[Silver Enrollments 2023],HIX_RatingAreas8[Area],HIX_SLCSP11[[#This Row],[Area Code]])</f>
        <v>23181</v>
      </c>
      <c r="AT1902" s="59">
        <v>32141</v>
      </c>
      <c r="AU1902">
        <f t="shared" si="86"/>
        <v>0.11932623981823177</v>
      </c>
      <c r="AV1902">
        <f>SUMIFS(HIX_RatingAreas8[QHP Enrollments 2018],HIX_RatingAreas8[Area],HIX_SLCSP11[[#This Row],[Area Code]])</f>
        <v>36721</v>
      </c>
      <c r="AW1902">
        <f t="shared" si="87"/>
        <v>0.16656460779911186</v>
      </c>
      <c r="AX1902">
        <f>SUMIFS(HIX_RatingAreas8[QHP Enrollments 2019],HIX_RatingAreas8[Area],HIX_SLCSP11[[#This Row],[Area Code]])</f>
        <v>36721</v>
      </c>
      <c r="AY1902">
        <f t="shared" si="88"/>
        <v>0.16656460779911186</v>
      </c>
      <c r="AZ1902">
        <f>SUMIFS(HIX_RatingAreas8[QHP Enrollments 2020],HIX_RatingAreas8[Area],HIX_SLCSP11[[#This Row],[Area Code]])</f>
        <v>32055</v>
      </c>
      <c r="BA1902">
        <f t="shared" si="89"/>
        <v>0.15810110974106042</v>
      </c>
      <c r="BB1902">
        <f>SUMIFS(HIX_RatingAreas8[QHP Enrollments 2021],HIX_RatingAreas8[Area],HIX_SLCSP11[[#This Row],[Area Code]])</f>
        <v>34204</v>
      </c>
      <c r="BC1902">
        <f t="shared" si="90"/>
        <v>0.15885858130796848</v>
      </c>
      <c r="BD1902">
        <f>SUMIFS(HIX_RatingAreas8[QHP Enrollments 2022],HIX_RatingAreas8[Area],HIX_SLCSP11[[#This Row],[Area Code]])</f>
        <v>41114</v>
      </c>
      <c r="BE1902">
        <f t="shared" si="91"/>
        <v>0.28748234438586434</v>
      </c>
      <c r="BF1902">
        <f>SUMIFS(HIX_RatingAreas8[QHP Enrollments 2023],HIX_RatingAreas8[Area],HIX_SLCSP11[[#This Row],[Area Code]])</f>
        <v>41114</v>
      </c>
      <c r="BG1902">
        <f t="shared" si="92"/>
        <v>0.16423198756895593</v>
      </c>
      <c r="BH1902" s="53">
        <f>ROUND(HIX_SLCSP11[[#This Row],[Weighting Factor 2018]]*HIX_SLCSP11[[#This Row],[2018]],2)</f>
        <v>70.72</v>
      </c>
      <c r="BI1902" s="53">
        <f>ROUND(HIX_SLCSP11[[#This Row],[Weighting Factor 2019]]*HIX_SLCSP11[[#This Row],[2019]],2)</f>
        <v>64.099999999999994</v>
      </c>
      <c r="BJ1902" s="53">
        <f>ROUND(HIX_SLCSP11[[#This Row],[Weighting Factor 2020]]*HIX_SLCSP11[[#This Row],[2020]],2)</f>
        <v>57.43</v>
      </c>
      <c r="BK1902" s="53">
        <f>ROUND(HIX_SLCSP11[[#This Row],[Weighting Factor 2021]]*HIX_SLCSP11[[#This Row],[2021]],2)</f>
        <v>56.32</v>
      </c>
      <c r="BL1902" s="53">
        <f>ROUND(HIX_SLCSP11[[#This Row],[Weighting Factor 2022]]*HIX_SLCSP11[[#This Row],[2022]],2)</f>
        <v>96.23</v>
      </c>
      <c r="BM1902" s="53">
        <f>ROUND(HIX_SLCSP11[[#This Row],[Weighting Factor 2023]]*HIX_SLCSP11[[#This Row],[2023]],2)</f>
        <v>56.62</v>
      </c>
    </row>
    <row r="1903" spans="4:65" x14ac:dyDescent="0.35">
      <c r="D1903" t="s">
        <v>1338</v>
      </c>
      <c r="E1903" t="s">
        <v>255</v>
      </c>
      <c r="F1903" s="23">
        <v>4</v>
      </c>
      <c r="G1903" s="23" t="s">
        <v>1339</v>
      </c>
      <c r="H1903" s="23" t="s">
        <v>1352</v>
      </c>
      <c r="I1903" s="23">
        <v>12</v>
      </c>
      <c r="J1903" s="53">
        <v>493.13</v>
      </c>
      <c r="K1903" s="53">
        <v>512.86</v>
      </c>
      <c r="L1903" s="53">
        <v>874.01</v>
      </c>
      <c r="M1903" s="54">
        <f t="shared" si="81"/>
        <v>1.7041882775026322</v>
      </c>
      <c r="N1903" s="24">
        <v>12</v>
      </c>
      <c r="O1903" s="55">
        <v>401.72</v>
      </c>
      <c r="P1903" s="56">
        <v>458.23</v>
      </c>
      <c r="Q1903" s="56">
        <v>780.91</v>
      </c>
      <c r="R1903" s="57">
        <f t="shared" si="82"/>
        <v>1.7041878532614625</v>
      </c>
      <c r="S1903" s="23">
        <v>17</v>
      </c>
      <c r="T1903" s="53">
        <v>367.33</v>
      </c>
      <c r="U1903" s="53">
        <v>384.48</v>
      </c>
      <c r="V1903" s="53">
        <v>655.23</v>
      </c>
      <c r="W1903" s="57">
        <f t="shared" si="83"/>
        <v>1.7041978776529338</v>
      </c>
      <c r="X1903" s="47">
        <v>89</v>
      </c>
      <c r="Y1903" s="58">
        <v>377.75</v>
      </c>
      <c r="Z1903" s="58">
        <v>410.01</v>
      </c>
      <c r="AA1903" s="58">
        <v>698.73</v>
      </c>
      <c r="AB1903" s="57">
        <f t="shared" si="84"/>
        <v>1.7041779468793445</v>
      </c>
      <c r="AC1903" s="47">
        <v>96</v>
      </c>
      <c r="AD1903" s="57">
        <v>424.51</v>
      </c>
      <c r="AE1903" s="57">
        <v>432.79</v>
      </c>
      <c r="AF1903" s="57">
        <v>737.56</v>
      </c>
      <c r="AG1903" s="57">
        <f t="shared" si="85"/>
        <v>1.704198340996788</v>
      </c>
      <c r="AH1903" s="47">
        <v>106</v>
      </c>
      <c r="AI1903">
        <v>392.16</v>
      </c>
      <c r="AJ1903">
        <v>399.94</v>
      </c>
      <c r="AK1903">
        <v>681.58</v>
      </c>
      <c r="AL1903" s="57">
        <f t="shared" si="41"/>
        <v>1.7042056308446267</v>
      </c>
      <c r="AM1903" s="59"/>
      <c r="AN1903" s="59">
        <f>SUMIFS(HIX_RatingAreas8[Silver Enrollments 2018],HIX_RatingAreas8[Area],HIX_SLCSP11[[#This Row],[Area Code]])</f>
        <v>15523</v>
      </c>
      <c r="AO1903" s="59">
        <f>SUMIFS(HIX_RatingAreas8[Silver Enrollments 2019],HIX_RatingAreas8[Area],HIX_SLCSP11[[#This Row],[Area Code]])</f>
        <v>15523</v>
      </c>
      <c r="AP1903" s="59">
        <f>SUMIFS(HIX_RatingAreas8[Silver Enrollments 2020],HIX_RatingAreas8[Area],HIX_SLCSP11[[#This Row],[Area Code]])</f>
        <v>14004</v>
      </c>
      <c r="AQ1903" s="59">
        <f>SUMIFS(HIX_RatingAreas8[Silver Enrollments 2021],HIX_RatingAreas8[Area],HIX_SLCSP11[[#This Row],[Area Code]])</f>
        <v>13817</v>
      </c>
      <c r="AR1903" s="59">
        <f>SUMIFS(HIX_RatingAreas8[Silver Enrollments 2022],HIX_RatingAreas8[Area],HIX_SLCSP11[[#This Row],[Area Code]])</f>
        <v>15390</v>
      </c>
      <c r="AS1903" s="59">
        <f>SUMIFS(HIX_RatingAreas8[Silver Enrollments 2023],HIX_RatingAreas8[Area],HIX_SLCSP11[[#This Row],[Area Code]])</f>
        <v>15390</v>
      </c>
      <c r="AT1903" s="59">
        <v>9489</v>
      </c>
      <c r="AU1903">
        <f t="shared" si="86"/>
        <v>3.5228732448747746E-2</v>
      </c>
      <c r="AV1903">
        <f>SUMIFS(HIX_RatingAreas8[QHP Enrollments 2018],HIX_RatingAreas8[Area],HIX_SLCSP11[[#This Row],[Area Code]])</f>
        <v>20554</v>
      </c>
      <c r="AW1903">
        <f t="shared" si="87"/>
        <v>9.3231909498732196E-2</v>
      </c>
      <c r="AX1903">
        <f>SUMIFS(HIX_RatingAreas8[QHP Enrollments 2019],HIX_RatingAreas8[Area],HIX_SLCSP11[[#This Row],[Area Code]])</f>
        <v>20554</v>
      </c>
      <c r="AY1903">
        <f t="shared" si="88"/>
        <v>9.3231909498732196E-2</v>
      </c>
      <c r="AZ1903">
        <f>SUMIFS(HIX_RatingAreas8[QHP Enrollments 2020],HIX_RatingAreas8[Area],HIX_SLCSP11[[#This Row],[Area Code]])</f>
        <v>19499</v>
      </c>
      <c r="BA1903">
        <f t="shared" si="89"/>
        <v>9.617262638717633E-2</v>
      </c>
      <c r="BB1903">
        <f>SUMIFS(HIX_RatingAreas8[QHP Enrollments 2021],HIX_RatingAreas8[Area],HIX_SLCSP11[[#This Row],[Area Code]])</f>
        <v>20688</v>
      </c>
      <c r="BC1903">
        <f t="shared" si="90"/>
        <v>9.6084268801872638E-2</v>
      </c>
      <c r="BD1903">
        <f>SUMIFS(HIX_RatingAreas8[QHP Enrollments 2022],HIX_RatingAreas8[Area],HIX_SLCSP11[[#This Row],[Area Code]])</f>
        <v>23664</v>
      </c>
      <c r="BE1903">
        <f t="shared" si="91"/>
        <v>0.16546631798285483</v>
      </c>
      <c r="BF1903">
        <f>SUMIFS(HIX_RatingAreas8[QHP Enrollments 2023],HIX_RatingAreas8[Area],HIX_SLCSP11[[#This Row],[Area Code]])</f>
        <v>23664</v>
      </c>
      <c r="BG1903">
        <f t="shared" si="92"/>
        <v>9.4527065083226475E-2</v>
      </c>
      <c r="BH1903" s="53">
        <f>ROUND(HIX_SLCSP11[[#This Row],[Weighting Factor 2018]]*HIX_SLCSP11[[#This Row],[2018]],2)</f>
        <v>47.81</v>
      </c>
      <c r="BI1903" s="53">
        <f>ROUND(HIX_SLCSP11[[#This Row],[Weighting Factor 2019]]*HIX_SLCSP11[[#This Row],[2019]],2)</f>
        <v>42.72</v>
      </c>
      <c r="BJ1903" s="53">
        <f>ROUND(HIX_SLCSP11[[#This Row],[Weighting Factor 2020]]*HIX_SLCSP11[[#This Row],[2020]],2)</f>
        <v>36.979999999999997</v>
      </c>
      <c r="BK1903" s="53">
        <f>ROUND(HIX_SLCSP11[[#This Row],[Weighting Factor 2021]]*HIX_SLCSP11[[#This Row],[2021]],2)</f>
        <v>39.4</v>
      </c>
      <c r="BL1903" s="53">
        <f>ROUND(HIX_SLCSP11[[#This Row],[Weighting Factor 2022]]*HIX_SLCSP11[[#This Row],[2022]],2)</f>
        <v>71.61</v>
      </c>
      <c r="BM1903" s="53">
        <f>ROUND(HIX_SLCSP11[[#This Row],[Weighting Factor 2023]]*HIX_SLCSP11[[#This Row],[2023]],2)</f>
        <v>37.81</v>
      </c>
    </row>
    <row r="1904" spans="4:65" x14ac:dyDescent="0.35">
      <c r="D1904" t="s">
        <v>1338</v>
      </c>
      <c r="E1904" t="s">
        <v>259</v>
      </c>
      <c r="F1904" s="23">
        <v>5</v>
      </c>
      <c r="G1904" s="23" t="s">
        <v>1339</v>
      </c>
      <c r="H1904" s="23" t="s">
        <v>1345</v>
      </c>
      <c r="I1904" s="23">
        <v>44</v>
      </c>
      <c r="J1904" s="53">
        <v>374.77</v>
      </c>
      <c r="K1904" s="53">
        <v>413.79</v>
      </c>
      <c r="L1904" s="53">
        <v>705.18</v>
      </c>
      <c r="M1904" s="54">
        <f t="shared" si="81"/>
        <v>1.7041977814833609</v>
      </c>
      <c r="N1904" s="24">
        <v>48</v>
      </c>
      <c r="O1904" s="55">
        <v>372.96</v>
      </c>
      <c r="P1904" s="56">
        <v>425.83</v>
      </c>
      <c r="Q1904" s="56">
        <v>725.71</v>
      </c>
      <c r="R1904" s="57">
        <f t="shared" si="82"/>
        <v>1.704224690604232</v>
      </c>
      <c r="S1904" s="23">
        <v>44</v>
      </c>
      <c r="T1904" s="53">
        <v>397.18</v>
      </c>
      <c r="U1904" s="53">
        <v>401.34</v>
      </c>
      <c r="V1904" s="53">
        <v>683.96</v>
      </c>
      <c r="W1904" s="57">
        <f t="shared" si="83"/>
        <v>1.7041909602830521</v>
      </c>
      <c r="X1904" s="47">
        <v>46</v>
      </c>
      <c r="Y1904" s="58">
        <v>382.46</v>
      </c>
      <c r="Z1904" s="58">
        <v>397.44</v>
      </c>
      <c r="AA1904" s="58">
        <v>677.31</v>
      </c>
      <c r="AB1904" s="57">
        <f t="shared" si="84"/>
        <v>1.704181763285024</v>
      </c>
      <c r="AC1904" s="47">
        <v>78</v>
      </c>
      <c r="AD1904" s="57">
        <v>423.72</v>
      </c>
      <c r="AE1904" s="57">
        <v>424.24</v>
      </c>
      <c r="AF1904" s="57">
        <v>722.99</v>
      </c>
      <c r="AG1904" s="57">
        <f t="shared" si="85"/>
        <v>1.7042004525740146</v>
      </c>
      <c r="AH1904" s="47">
        <v>84</v>
      </c>
      <c r="AI1904">
        <v>482.33</v>
      </c>
      <c r="AJ1904">
        <v>483.28</v>
      </c>
      <c r="AK1904">
        <v>823.61</v>
      </c>
      <c r="AL1904" s="57">
        <f t="shared" si="41"/>
        <v>1.704208740274789</v>
      </c>
      <c r="AM1904" s="59"/>
      <c r="AN1904" s="59">
        <f>SUMIFS(HIX_RatingAreas8[Silver Enrollments 2018],HIX_RatingAreas8[Area],HIX_SLCSP11[[#This Row],[Area Code]])</f>
        <v>11651</v>
      </c>
      <c r="AO1904" s="59">
        <f>SUMIFS(HIX_RatingAreas8[Silver Enrollments 2019],HIX_RatingAreas8[Area],HIX_SLCSP11[[#This Row],[Area Code]])</f>
        <v>11651</v>
      </c>
      <c r="AP1904" s="59">
        <f>SUMIFS(HIX_RatingAreas8[Silver Enrollments 2020],HIX_RatingAreas8[Area],HIX_SLCSP11[[#This Row],[Area Code]])</f>
        <v>10598</v>
      </c>
      <c r="AQ1904" s="59">
        <f>SUMIFS(HIX_RatingAreas8[Silver Enrollments 2021],HIX_RatingAreas8[Area],HIX_SLCSP11[[#This Row],[Area Code]])</f>
        <v>9986</v>
      </c>
      <c r="AR1904" s="59">
        <f>SUMIFS(HIX_RatingAreas8[Silver Enrollments 2022],HIX_RatingAreas8[Area],HIX_SLCSP11[[#This Row],[Area Code]])</f>
        <v>12173</v>
      </c>
      <c r="AS1904" s="59">
        <f>SUMIFS(HIX_RatingAreas8[Silver Enrollments 2023],HIX_RatingAreas8[Area],HIX_SLCSP11[[#This Row],[Area Code]])</f>
        <v>12173</v>
      </c>
      <c r="AT1904" s="59">
        <v>11679</v>
      </c>
      <c r="AU1904">
        <f t="shared" si="86"/>
        <v>4.3359296687630403E-2</v>
      </c>
      <c r="AV1904">
        <f>SUMIFS(HIX_RatingAreas8[QHP Enrollments 2018],HIX_RatingAreas8[Area],HIX_SLCSP11[[#This Row],[Area Code]])</f>
        <v>16603</v>
      </c>
      <c r="AW1904">
        <f t="shared" si="87"/>
        <v>7.5310372356108338E-2</v>
      </c>
      <c r="AX1904">
        <f>SUMIFS(HIX_RatingAreas8[QHP Enrollments 2019],HIX_RatingAreas8[Area],HIX_SLCSP11[[#This Row],[Area Code]])</f>
        <v>16603</v>
      </c>
      <c r="AY1904">
        <f t="shared" si="88"/>
        <v>7.5310372356108338E-2</v>
      </c>
      <c r="AZ1904">
        <f>SUMIFS(HIX_RatingAreas8[QHP Enrollments 2020],HIX_RatingAreas8[Area],HIX_SLCSP11[[#This Row],[Area Code]])</f>
        <v>15646</v>
      </c>
      <c r="BA1904">
        <f t="shared" si="89"/>
        <v>7.7168927250308259E-2</v>
      </c>
      <c r="BB1904">
        <f>SUMIFS(HIX_RatingAreas8[QHP Enrollments 2021],HIX_RatingAreas8[Area],HIX_SLCSP11[[#This Row],[Area Code]])</f>
        <v>16239</v>
      </c>
      <c r="BC1904">
        <f t="shared" si="90"/>
        <v>7.5421135009358556E-2</v>
      </c>
      <c r="BD1904">
        <f>SUMIFS(HIX_RatingAreas8[QHP Enrollments 2022],HIX_RatingAreas8[Area],HIX_SLCSP11[[#This Row],[Area Code]])</f>
        <v>19865</v>
      </c>
      <c r="BE1904">
        <f t="shared" si="91"/>
        <v>0.13890248507139161</v>
      </c>
      <c r="BF1904">
        <f>SUMIFS(HIX_RatingAreas8[QHP Enrollments 2023],HIX_RatingAreas8[Area],HIX_SLCSP11[[#This Row],[Area Code]])</f>
        <v>19865</v>
      </c>
      <c r="BG1904">
        <f t="shared" si="92"/>
        <v>7.9351764193639873E-2</v>
      </c>
      <c r="BH1904" s="53">
        <f>ROUND(HIX_SLCSP11[[#This Row],[Weighting Factor 2018]]*HIX_SLCSP11[[#This Row],[2018]],2)</f>
        <v>31.16</v>
      </c>
      <c r="BI1904" s="53">
        <f>ROUND(HIX_SLCSP11[[#This Row],[Weighting Factor 2019]]*HIX_SLCSP11[[#This Row],[2019]],2)</f>
        <v>32.07</v>
      </c>
      <c r="BJ1904" s="53">
        <f>ROUND(HIX_SLCSP11[[#This Row],[Weighting Factor 2020]]*HIX_SLCSP11[[#This Row],[2020]],2)</f>
        <v>30.97</v>
      </c>
      <c r="BK1904" s="53">
        <f>ROUND(HIX_SLCSP11[[#This Row],[Weighting Factor 2021]]*HIX_SLCSP11[[#This Row],[2021]],2)</f>
        <v>29.98</v>
      </c>
      <c r="BL1904" s="53">
        <f>ROUND(HIX_SLCSP11[[#This Row],[Weighting Factor 2022]]*HIX_SLCSP11[[#This Row],[2022]],2)</f>
        <v>58.93</v>
      </c>
      <c r="BM1904" s="53">
        <f>ROUND(HIX_SLCSP11[[#This Row],[Weighting Factor 2023]]*HIX_SLCSP11[[#This Row],[2023]],2)</f>
        <v>38.35</v>
      </c>
    </row>
    <row r="1905" spans="4:65" x14ac:dyDescent="0.35">
      <c r="D1905" t="s">
        <v>1338</v>
      </c>
      <c r="E1905" t="s">
        <v>265</v>
      </c>
      <c r="F1905" s="23">
        <v>6</v>
      </c>
      <c r="G1905" s="23" t="s">
        <v>1339</v>
      </c>
      <c r="H1905" s="23" t="s">
        <v>1387</v>
      </c>
      <c r="I1905" s="23">
        <v>20</v>
      </c>
      <c r="J1905" s="53">
        <v>345.23</v>
      </c>
      <c r="K1905" s="53">
        <v>380.98</v>
      </c>
      <c r="L1905" s="53">
        <v>649.26</v>
      </c>
      <c r="M1905" s="54">
        <f t="shared" si="81"/>
        <v>1.7041839466638669</v>
      </c>
      <c r="N1905" s="24">
        <v>36</v>
      </c>
      <c r="O1905" s="55">
        <v>343.24</v>
      </c>
      <c r="P1905" s="56">
        <v>345</v>
      </c>
      <c r="Q1905" s="56">
        <v>587.94000000000005</v>
      </c>
      <c r="R1905" s="57">
        <f t="shared" si="82"/>
        <v>1.7041739130434783</v>
      </c>
      <c r="S1905" s="23">
        <v>79</v>
      </c>
      <c r="T1905" s="53">
        <v>269.77</v>
      </c>
      <c r="U1905" s="53">
        <v>285.44</v>
      </c>
      <c r="V1905" s="53">
        <v>486.45</v>
      </c>
      <c r="W1905" s="57">
        <f t="shared" si="83"/>
        <v>1.7042110426008967</v>
      </c>
      <c r="X1905" s="47">
        <v>137</v>
      </c>
      <c r="Y1905" s="58">
        <v>268.3</v>
      </c>
      <c r="Z1905" s="58">
        <v>290.51</v>
      </c>
      <c r="AA1905" s="58">
        <v>495.09</v>
      </c>
      <c r="AB1905" s="57">
        <f t="shared" si="84"/>
        <v>1.7042098378713297</v>
      </c>
      <c r="AC1905" s="47">
        <v>196</v>
      </c>
      <c r="AD1905" s="57">
        <v>283.94</v>
      </c>
      <c r="AE1905" s="57">
        <v>304</v>
      </c>
      <c r="AF1905" s="57">
        <v>518.08000000000004</v>
      </c>
      <c r="AG1905" s="57">
        <f t="shared" si="85"/>
        <v>1.7042105263157896</v>
      </c>
      <c r="AH1905" s="47">
        <v>167</v>
      </c>
      <c r="AI1905">
        <v>306.39</v>
      </c>
      <c r="AJ1905">
        <v>312.47000000000003</v>
      </c>
      <c r="AK1905">
        <v>532.51</v>
      </c>
      <c r="AL1905" s="57">
        <f t="shared" ref="AL1905:AL1968" si="93">AK1905/AJ1905</f>
        <v>1.7041956027778664</v>
      </c>
      <c r="AM1905" s="59"/>
      <c r="AN1905" s="59">
        <f>SUMIFS(HIX_RatingAreas8[Silver Enrollments 2018],HIX_RatingAreas8[Area],HIX_SLCSP11[[#This Row],[Area Code]])</f>
        <v>12891</v>
      </c>
      <c r="AO1905" s="59">
        <f>SUMIFS(HIX_RatingAreas8[Silver Enrollments 2019],HIX_RatingAreas8[Area],HIX_SLCSP11[[#This Row],[Area Code]])</f>
        <v>12891</v>
      </c>
      <c r="AP1905" s="59">
        <f>SUMIFS(HIX_RatingAreas8[Silver Enrollments 2020],HIX_RatingAreas8[Area],HIX_SLCSP11[[#This Row],[Area Code]])</f>
        <v>11616</v>
      </c>
      <c r="AQ1905" s="59">
        <f>SUMIFS(HIX_RatingAreas8[Silver Enrollments 2021],HIX_RatingAreas8[Area],HIX_SLCSP11[[#This Row],[Area Code]])</f>
        <v>11652</v>
      </c>
      <c r="AR1905" s="59">
        <f>SUMIFS(HIX_RatingAreas8[Silver Enrollments 2022],HIX_RatingAreas8[Area],HIX_SLCSP11[[#This Row],[Area Code]])</f>
        <v>13432</v>
      </c>
      <c r="AS1905" s="59">
        <f>SUMIFS(HIX_RatingAreas8[Silver Enrollments 2023],HIX_RatingAreas8[Area],HIX_SLCSP11[[#This Row],[Area Code]])</f>
        <v>13432</v>
      </c>
      <c r="AT1905" s="59">
        <v>40169</v>
      </c>
      <c r="AU1905">
        <f t="shared" si="86"/>
        <v>0.14913088352131396</v>
      </c>
      <c r="AV1905">
        <f>SUMIFS(HIX_RatingAreas8[QHP Enrollments 2018],HIX_RatingAreas8[Area],HIX_SLCSP11[[#This Row],[Area Code]])</f>
        <v>17389</v>
      </c>
      <c r="AW1905">
        <f t="shared" si="87"/>
        <v>7.8875628796022876E-2</v>
      </c>
      <c r="AX1905">
        <f>SUMIFS(HIX_RatingAreas8[QHP Enrollments 2019],HIX_RatingAreas8[Area],HIX_SLCSP11[[#This Row],[Area Code]])</f>
        <v>17389</v>
      </c>
      <c r="AY1905">
        <f t="shared" si="88"/>
        <v>7.8875628796022876E-2</v>
      </c>
      <c r="AZ1905">
        <f>SUMIFS(HIX_RatingAreas8[QHP Enrollments 2020],HIX_RatingAreas8[Area],HIX_SLCSP11[[#This Row],[Area Code]])</f>
        <v>15818</v>
      </c>
      <c r="BA1905">
        <f t="shared" si="89"/>
        <v>7.8017262638717638E-2</v>
      </c>
      <c r="BB1905">
        <f>SUMIFS(HIX_RatingAreas8[QHP Enrollments 2021],HIX_RatingAreas8[Area],HIX_SLCSP11[[#This Row],[Area Code]])</f>
        <v>16571</v>
      </c>
      <c r="BC1905">
        <f t="shared" si="90"/>
        <v>7.6963090599179787E-2</v>
      </c>
      <c r="BD1905">
        <f>SUMIFS(HIX_RatingAreas8[QHP Enrollments 2022],HIX_RatingAreas8[Area],HIX_SLCSP11[[#This Row],[Area Code]])</f>
        <v>19469</v>
      </c>
      <c r="BE1905">
        <f t="shared" si="91"/>
        <v>0.13613352538912274</v>
      </c>
      <c r="BF1905">
        <f>SUMIFS(HIX_RatingAreas8[QHP Enrollments 2023],HIX_RatingAreas8[Area],HIX_SLCSP11[[#This Row],[Area Code]])</f>
        <v>19469</v>
      </c>
      <c r="BG1905">
        <f t="shared" si="92"/>
        <v>7.776992182662848E-2</v>
      </c>
      <c r="BH1905" s="53">
        <f>ROUND(HIX_SLCSP11[[#This Row],[Weighting Factor 2018]]*HIX_SLCSP11[[#This Row],[2018]],2)</f>
        <v>30.05</v>
      </c>
      <c r="BI1905" s="53">
        <f>ROUND(HIX_SLCSP11[[#This Row],[Weighting Factor 2019]]*HIX_SLCSP11[[#This Row],[2019]],2)</f>
        <v>27.21</v>
      </c>
      <c r="BJ1905" s="53">
        <f>ROUND(HIX_SLCSP11[[#This Row],[Weighting Factor 2020]]*HIX_SLCSP11[[#This Row],[2020]],2)</f>
        <v>22.27</v>
      </c>
      <c r="BK1905" s="53">
        <f>ROUND(HIX_SLCSP11[[#This Row],[Weighting Factor 2021]]*HIX_SLCSP11[[#This Row],[2021]],2)</f>
        <v>22.36</v>
      </c>
      <c r="BL1905" s="53">
        <f>ROUND(HIX_SLCSP11[[#This Row],[Weighting Factor 2022]]*HIX_SLCSP11[[#This Row],[2022]],2)</f>
        <v>41.38</v>
      </c>
      <c r="BM1905" s="53">
        <f>ROUND(HIX_SLCSP11[[#This Row],[Weighting Factor 2023]]*HIX_SLCSP11[[#This Row],[2023]],2)</f>
        <v>24.3</v>
      </c>
    </row>
    <row r="1906" spans="4:65" x14ac:dyDescent="0.35">
      <c r="D1906" t="s">
        <v>1338</v>
      </c>
      <c r="E1906" t="s">
        <v>273</v>
      </c>
      <c r="F1906" s="23">
        <v>7</v>
      </c>
      <c r="G1906" s="23" t="s">
        <v>1339</v>
      </c>
      <c r="H1906" s="23" t="s">
        <v>1350</v>
      </c>
      <c r="I1906" s="23">
        <v>51</v>
      </c>
      <c r="J1906" s="53">
        <v>369.34</v>
      </c>
      <c r="K1906" s="53">
        <v>411.19</v>
      </c>
      <c r="L1906" s="53">
        <v>700.75</v>
      </c>
      <c r="M1906" s="54">
        <f t="shared" si="81"/>
        <v>1.7042000048639314</v>
      </c>
      <c r="N1906" s="24">
        <v>40</v>
      </c>
      <c r="O1906" s="55">
        <v>375.94</v>
      </c>
      <c r="P1906" s="56">
        <v>377.87</v>
      </c>
      <c r="Q1906" s="56">
        <v>643.97</v>
      </c>
      <c r="R1906" s="57">
        <f t="shared" si="82"/>
        <v>1.7042104427448594</v>
      </c>
      <c r="S1906" s="23">
        <v>12</v>
      </c>
      <c r="T1906" s="53">
        <v>350.92</v>
      </c>
      <c r="U1906" s="53">
        <v>387.68</v>
      </c>
      <c r="V1906" s="53">
        <v>660.69</v>
      </c>
      <c r="W1906" s="57">
        <f t="shared" si="83"/>
        <v>1.7042148163433761</v>
      </c>
      <c r="X1906" s="47">
        <v>72</v>
      </c>
      <c r="Y1906" s="58">
        <v>384.4</v>
      </c>
      <c r="Z1906" s="58">
        <v>390.78</v>
      </c>
      <c r="AA1906" s="58">
        <v>665.96</v>
      </c>
      <c r="AB1906" s="57">
        <f t="shared" si="84"/>
        <v>1.7041813808280877</v>
      </c>
      <c r="AC1906" s="47">
        <v>80</v>
      </c>
      <c r="AD1906" s="57">
        <v>356.91</v>
      </c>
      <c r="AE1906" s="57">
        <v>357.35</v>
      </c>
      <c r="AF1906" s="57">
        <v>608.99</v>
      </c>
      <c r="AG1906" s="57">
        <f t="shared" si="85"/>
        <v>1.7041835735273541</v>
      </c>
      <c r="AH1906" s="47">
        <v>88</v>
      </c>
      <c r="AI1906">
        <v>375.57</v>
      </c>
      <c r="AJ1906">
        <v>383.02</v>
      </c>
      <c r="AK1906">
        <v>652.75</v>
      </c>
      <c r="AL1906" s="57">
        <f t="shared" si="93"/>
        <v>1.7042191008302439</v>
      </c>
      <c r="AM1906" s="59"/>
      <c r="AN1906" s="59">
        <f>SUMIFS(HIX_RatingAreas8[Silver Enrollments 2018],HIX_RatingAreas8[Area],HIX_SLCSP11[[#This Row],[Area Code]])</f>
        <v>5814</v>
      </c>
      <c r="AO1906" s="59">
        <f>SUMIFS(HIX_RatingAreas8[Silver Enrollments 2019],HIX_RatingAreas8[Area],HIX_SLCSP11[[#This Row],[Area Code]])</f>
        <v>5814</v>
      </c>
      <c r="AP1906" s="59">
        <f>SUMIFS(HIX_RatingAreas8[Silver Enrollments 2020],HIX_RatingAreas8[Area],HIX_SLCSP11[[#This Row],[Area Code]])</f>
        <v>5679</v>
      </c>
      <c r="AQ1906" s="59">
        <f>SUMIFS(HIX_RatingAreas8[Silver Enrollments 2021],HIX_RatingAreas8[Area],HIX_SLCSP11[[#This Row],[Area Code]])</f>
        <v>4935</v>
      </c>
      <c r="AR1906" s="59">
        <f>SUMIFS(HIX_RatingAreas8[Silver Enrollments 2022],HIX_RatingAreas8[Area],HIX_SLCSP11[[#This Row],[Area Code]])</f>
        <v>5485</v>
      </c>
      <c r="AS1906" s="59">
        <f>SUMIFS(HIX_RatingAreas8[Silver Enrollments 2023],HIX_RatingAreas8[Area],HIX_SLCSP11[[#This Row],[Area Code]])</f>
        <v>5485</v>
      </c>
      <c r="AT1906" s="59">
        <v>40170</v>
      </c>
      <c r="AU1906">
        <f t="shared" si="86"/>
        <v>0.14913459610772442</v>
      </c>
      <c r="AV1906">
        <f>SUMIFS(HIX_RatingAreas8[QHP Enrollments 2018],HIX_RatingAreas8[Area],HIX_SLCSP11[[#This Row],[Area Code]])</f>
        <v>6721</v>
      </c>
      <c r="AW1906">
        <f t="shared" si="87"/>
        <v>3.0486117726037713E-2</v>
      </c>
      <c r="AX1906">
        <f>SUMIFS(HIX_RatingAreas8[QHP Enrollments 2019],HIX_RatingAreas8[Area],HIX_SLCSP11[[#This Row],[Area Code]])</f>
        <v>6721</v>
      </c>
      <c r="AY1906">
        <f t="shared" si="88"/>
        <v>3.0486117726037713E-2</v>
      </c>
      <c r="AZ1906">
        <f>SUMIFS(HIX_RatingAreas8[QHP Enrollments 2020],HIX_RatingAreas8[Area],HIX_SLCSP11[[#This Row],[Area Code]])</f>
        <v>6626</v>
      </c>
      <c r="BA1906">
        <f t="shared" si="89"/>
        <v>3.2680641183723796E-2</v>
      </c>
      <c r="BB1906">
        <f>SUMIFS(HIX_RatingAreas8[QHP Enrollments 2021],HIX_RatingAreas8[Area],HIX_SLCSP11[[#This Row],[Area Code]])</f>
        <v>7206</v>
      </c>
      <c r="BC1906">
        <f t="shared" si="90"/>
        <v>3.3467867410397055E-2</v>
      </c>
      <c r="BD1906">
        <f>SUMIFS(HIX_RatingAreas8[QHP Enrollments 2022],HIX_RatingAreas8[Area],HIX_SLCSP11[[#This Row],[Area Code]])</f>
        <v>8170</v>
      </c>
      <c r="BE1906">
        <f>BD1906/BD$1892</f>
        <v>5.7127274252870348E-2</v>
      </c>
      <c r="BF1906">
        <f>SUMIFS(HIX_RatingAreas8[QHP Enrollments 2023],HIX_RatingAreas8[Area],HIX_SLCSP11[[#This Row],[Area Code]])</f>
        <v>8170</v>
      </c>
      <c r="BG1906">
        <f t="shared" si="92"/>
        <v>3.2635485198189672E-2</v>
      </c>
      <c r="BH1906" s="53">
        <f>ROUND(HIX_SLCSP11[[#This Row],[Weighting Factor 2018]]*HIX_SLCSP11[[#This Row],[2018]],2)</f>
        <v>12.54</v>
      </c>
      <c r="BI1906" s="53">
        <f>ROUND(HIX_SLCSP11[[#This Row],[Weighting Factor 2019]]*HIX_SLCSP11[[#This Row],[2019]],2)</f>
        <v>11.52</v>
      </c>
      <c r="BJ1906" s="53">
        <f>ROUND(HIX_SLCSP11[[#This Row],[Weighting Factor 2020]]*HIX_SLCSP11[[#This Row],[2020]],2)</f>
        <v>12.67</v>
      </c>
      <c r="BK1906" s="53">
        <f>ROUND(HIX_SLCSP11[[#This Row],[Weighting Factor 2021]]*HIX_SLCSP11[[#This Row],[2021]],2)</f>
        <v>13.08</v>
      </c>
      <c r="BL1906" s="53">
        <f>ROUND(HIX_SLCSP11[[#This Row],[Weighting Factor 2022]]*HIX_SLCSP11[[#This Row],[2022]],2)</f>
        <v>20.41</v>
      </c>
      <c r="BM1906" s="53">
        <f>ROUND(HIX_SLCSP11[[#This Row],[Weighting Factor 2023]]*HIX_SLCSP11[[#This Row],[2023]],2)</f>
        <v>12.5</v>
      </c>
    </row>
    <row r="1907" spans="4:65" x14ac:dyDescent="0.35">
      <c r="D1907" t="s">
        <v>1338</v>
      </c>
      <c r="E1907" t="s">
        <v>279</v>
      </c>
      <c r="F1907" s="23">
        <v>8</v>
      </c>
      <c r="G1907" s="23" t="s">
        <v>1339</v>
      </c>
      <c r="H1907" s="23" t="s">
        <v>1348</v>
      </c>
      <c r="I1907" s="23">
        <v>51</v>
      </c>
      <c r="J1907" s="53">
        <v>369.34</v>
      </c>
      <c r="K1907" s="53">
        <v>411.19</v>
      </c>
      <c r="L1907" s="53">
        <v>700.75</v>
      </c>
      <c r="M1907" s="54">
        <f t="shared" si="81"/>
        <v>1.7042000048639314</v>
      </c>
      <c r="N1907" s="24">
        <v>40</v>
      </c>
      <c r="O1907" s="55">
        <v>404.42</v>
      </c>
      <c r="P1907" s="56">
        <v>406.49</v>
      </c>
      <c r="Q1907" s="56">
        <v>692.75</v>
      </c>
      <c r="R1907" s="57">
        <f t="shared" si="82"/>
        <v>1.7042239661492287</v>
      </c>
      <c r="S1907" s="23">
        <v>60</v>
      </c>
      <c r="T1907" s="53">
        <v>369.81</v>
      </c>
      <c r="U1907" s="53">
        <v>396</v>
      </c>
      <c r="V1907" s="53">
        <v>674</v>
      </c>
      <c r="W1907" s="57">
        <f t="shared" si="83"/>
        <v>1.702020202020202</v>
      </c>
      <c r="X1907" s="47">
        <v>184</v>
      </c>
      <c r="Y1907" s="58">
        <v>384.4</v>
      </c>
      <c r="Z1907" s="58">
        <v>384.87</v>
      </c>
      <c r="AA1907" s="58">
        <v>655.89</v>
      </c>
      <c r="AB1907" s="57">
        <f t="shared" si="84"/>
        <v>1.7041858289812144</v>
      </c>
      <c r="AC1907" s="47">
        <v>120</v>
      </c>
      <c r="AD1907" s="57">
        <v>355.13</v>
      </c>
      <c r="AE1907" s="57">
        <v>355.57</v>
      </c>
      <c r="AF1907" s="57">
        <v>605.96</v>
      </c>
      <c r="AG1907" s="57">
        <f t="shared" si="85"/>
        <v>1.7041932671485223</v>
      </c>
      <c r="AH1907" s="47">
        <v>128</v>
      </c>
      <c r="AI1907">
        <v>355.72</v>
      </c>
      <c r="AJ1907">
        <v>362.78</v>
      </c>
      <c r="AK1907">
        <v>618.25</v>
      </c>
      <c r="AL1907" s="57">
        <f t="shared" si="93"/>
        <v>1.7042008931032584</v>
      </c>
      <c r="AM1907" s="59"/>
      <c r="AN1907" s="59">
        <f>SUMIFS(HIX_RatingAreas8[Silver Enrollments 2018],HIX_RatingAreas8[Area],HIX_SLCSP11[[#This Row],[Area Code]])</f>
        <v>32983</v>
      </c>
      <c r="AO1907" s="59">
        <f>SUMIFS(HIX_RatingAreas8[Silver Enrollments 2019],HIX_RatingAreas8[Area],HIX_SLCSP11[[#This Row],[Area Code]])</f>
        <v>32983</v>
      </c>
      <c r="AP1907" s="59">
        <f>SUMIFS(HIX_RatingAreas8[Silver Enrollments 2020],HIX_RatingAreas8[Area],HIX_SLCSP11[[#This Row],[Area Code]])</f>
        <v>30506</v>
      </c>
      <c r="AQ1907" s="59">
        <f>SUMIFS(HIX_RatingAreas8[Silver Enrollments 2021],HIX_RatingAreas8[Area],HIX_SLCSP11[[#This Row],[Area Code]])</f>
        <v>29257</v>
      </c>
      <c r="AR1907" s="59">
        <f>SUMIFS(HIX_RatingAreas8[Silver Enrollments 2022],HIX_RatingAreas8[Area],HIX_SLCSP11[[#This Row],[Area Code]])</f>
        <v>33377</v>
      </c>
      <c r="AS1907" s="59">
        <f>SUMIFS(HIX_RatingAreas8[Silver Enrollments 2023],HIX_RatingAreas8[Area],HIX_SLCSP11[[#This Row],[Area Code]])</f>
        <v>33377</v>
      </c>
      <c r="AT1907" s="59">
        <v>40171</v>
      </c>
      <c r="AU1907">
        <f t="shared" si="86"/>
        <v>0.14913830869413486</v>
      </c>
      <c r="AV1907">
        <f>SUMIFS(HIX_RatingAreas8[QHP Enrollments 2018],HIX_RatingAreas8[Area],HIX_SLCSP11[[#This Row],[Area Code]])</f>
        <v>41872</v>
      </c>
      <c r="AW1907">
        <f t="shared" si="87"/>
        <v>0.18992928454465868</v>
      </c>
      <c r="AX1907">
        <f>SUMIFS(HIX_RatingAreas8[QHP Enrollments 2019],HIX_RatingAreas8[Area],HIX_SLCSP11[[#This Row],[Area Code]])</f>
        <v>41872</v>
      </c>
      <c r="AY1907">
        <f t="shared" si="88"/>
        <v>0.18992928454465868</v>
      </c>
      <c r="AZ1907">
        <f>SUMIFS(HIX_RatingAreas8[QHP Enrollments 2020],HIX_RatingAreas8[Area],HIX_SLCSP11[[#This Row],[Area Code]])</f>
        <v>39450</v>
      </c>
      <c r="BA1907">
        <f t="shared" si="89"/>
        <v>0.19457459926017262</v>
      </c>
      <c r="BB1907">
        <f>SUMIFS(HIX_RatingAreas8[QHP Enrollments 2021],HIX_RatingAreas8[Area],HIX_SLCSP11[[#This Row],[Area Code]])</f>
        <v>42243</v>
      </c>
      <c r="BC1907">
        <f t="shared" si="90"/>
        <v>0.19619527102656159</v>
      </c>
      <c r="BD1907">
        <f>SUMIFS(HIX_RatingAreas8[QHP Enrollments 2022],HIX_RatingAreas8[Area],HIX_SLCSP11[[#This Row],[Area Code]])</f>
        <v>48576</v>
      </c>
      <c r="BE1907">
        <f>BD1907/BD$1892</f>
        <v>0.33965905435831456</v>
      </c>
      <c r="BF1907">
        <f>SUMIFS(HIX_RatingAreas8[QHP Enrollments 2023],HIX_RatingAreas8[Area],HIX_SLCSP11[[#This Row],[Area Code]])</f>
        <v>48576</v>
      </c>
      <c r="BG1907">
        <f t="shared" si="92"/>
        <v>0.19403933035339796</v>
      </c>
      <c r="BH1907" s="53">
        <f>ROUND(HIX_SLCSP11[[#This Row],[Weighting Factor 2018]]*HIX_SLCSP11[[#This Row],[2018]],2)</f>
        <v>78.099999999999994</v>
      </c>
      <c r="BI1907" s="53">
        <f>ROUND(HIX_SLCSP11[[#This Row],[Weighting Factor 2019]]*HIX_SLCSP11[[#This Row],[2019]],2)</f>
        <v>77.2</v>
      </c>
      <c r="BJ1907" s="53">
        <f>ROUND(HIX_SLCSP11[[#This Row],[Weighting Factor 2020]]*HIX_SLCSP11[[#This Row],[2020]],2)</f>
        <v>77.05</v>
      </c>
      <c r="BK1907" s="53">
        <f>ROUND(HIX_SLCSP11[[#This Row],[Weighting Factor 2021]]*HIX_SLCSP11[[#This Row],[2021]],2)</f>
        <v>75.510000000000005</v>
      </c>
      <c r="BL1907" s="53">
        <f>ROUND(HIX_SLCSP11[[#This Row],[Weighting Factor 2022]]*HIX_SLCSP11[[#This Row],[2022]],2)</f>
        <v>120.77</v>
      </c>
      <c r="BM1907" s="53">
        <f>ROUND(HIX_SLCSP11[[#This Row],[Weighting Factor 2023]]*HIX_SLCSP11[[#This Row],[2023]],2)</f>
        <v>70.39</v>
      </c>
    </row>
    <row r="1908" spans="4:65" x14ac:dyDescent="0.35">
      <c r="D1908" t="s">
        <v>1338</v>
      </c>
      <c r="E1908" t="s">
        <v>283</v>
      </c>
      <c r="F1908" s="23">
        <v>9</v>
      </c>
      <c r="G1908" s="23" t="s">
        <v>1339</v>
      </c>
      <c r="H1908" s="23" t="s">
        <v>1367</v>
      </c>
      <c r="I1908" s="23">
        <v>39</v>
      </c>
      <c r="J1908" s="53">
        <v>406.27</v>
      </c>
      <c r="K1908" s="53">
        <v>452.31</v>
      </c>
      <c r="L1908" s="53">
        <v>770.82</v>
      </c>
      <c r="M1908" s="54">
        <f t="shared" si="81"/>
        <v>1.7041851827286596</v>
      </c>
      <c r="N1908" s="24">
        <v>40</v>
      </c>
      <c r="O1908" s="55">
        <v>524.75</v>
      </c>
      <c r="P1908" s="56">
        <v>549.41</v>
      </c>
      <c r="Q1908" s="56">
        <v>936.31</v>
      </c>
      <c r="R1908" s="57">
        <f t="shared" si="82"/>
        <v>1.7042099706958374</v>
      </c>
      <c r="S1908" s="23">
        <v>36</v>
      </c>
      <c r="T1908" s="53">
        <v>553.09</v>
      </c>
      <c r="U1908" s="53">
        <v>583.86</v>
      </c>
      <c r="V1908" s="53">
        <v>995.02</v>
      </c>
      <c r="W1908" s="57">
        <f t="shared" si="83"/>
        <v>1.7042099133353885</v>
      </c>
      <c r="X1908" s="47">
        <v>104</v>
      </c>
      <c r="Y1908" s="58">
        <v>384.4</v>
      </c>
      <c r="Z1908" s="58">
        <v>390.78</v>
      </c>
      <c r="AA1908" s="58">
        <v>665.96</v>
      </c>
      <c r="AB1908" s="57">
        <f t="shared" si="84"/>
        <v>1.7041813808280877</v>
      </c>
      <c r="AC1908" s="47">
        <v>96</v>
      </c>
      <c r="AD1908" s="57">
        <v>372.52</v>
      </c>
      <c r="AE1908" s="57">
        <v>372.98</v>
      </c>
      <c r="AF1908" s="57">
        <v>635.63</v>
      </c>
      <c r="AG1908" s="57">
        <f t="shared" si="85"/>
        <v>1.7041932543299907</v>
      </c>
      <c r="AH1908" s="47">
        <v>76</v>
      </c>
      <c r="AI1908">
        <v>387.92</v>
      </c>
      <c r="AJ1908">
        <v>388.69</v>
      </c>
      <c r="AK1908">
        <v>662.4</v>
      </c>
      <c r="AL1908" s="57">
        <f t="shared" si="93"/>
        <v>1.7041858550515834</v>
      </c>
      <c r="AM1908" s="59"/>
      <c r="AN1908" s="59">
        <f>SUMIFS(HIX_RatingAreas8[Silver Enrollments 2018],HIX_RatingAreas8[Area],HIX_SLCSP11[[#This Row],[Area Code]])</f>
        <v>34725</v>
      </c>
      <c r="AO1908" s="59">
        <f>SUMIFS(HIX_RatingAreas8[Silver Enrollments 2019],HIX_RatingAreas8[Area],HIX_SLCSP11[[#This Row],[Area Code]])</f>
        <v>34725</v>
      </c>
      <c r="AP1908" s="59">
        <f>SUMIFS(HIX_RatingAreas8[Silver Enrollments 2020],HIX_RatingAreas8[Area],HIX_SLCSP11[[#This Row],[Area Code]])</f>
        <v>30113</v>
      </c>
      <c r="AQ1908" s="59">
        <f>SUMIFS(HIX_RatingAreas8[Silver Enrollments 2021],HIX_RatingAreas8[Area],HIX_SLCSP11[[#This Row],[Area Code]])</f>
        <v>30575</v>
      </c>
      <c r="AR1908" s="59">
        <f>SUMIFS(HIX_RatingAreas8[Silver Enrollments 2022],HIX_RatingAreas8[Area],HIX_SLCSP11[[#This Row],[Area Code]])</f>
        <v>35174</v>
      </c>
      <c r="AS1908" s="59">
        <f>SUMIFS(HIX_RatingAreas8[Silver Enrollments 2023],HIX_RatingAreas8[Area],HIX_SLCSP11[[#This Row],[Area Code]])</f>
        <v>35174</v>
      </c>
      <c r="AT1908" s="59">
        <v>40172</v>
      </c>
      <c r="AU1908">
        <f t="shared" si="86"/>
        <v>0.14914202128054529</v>
      </c>
      <c r="AV1908">
        <f>SUMIFS(HIX_RatingAreas8[QHP Enrollments 2018],HIX_RatingAreas8[Area],HIX_SLCSP11[[#This Row],[Area Code]])</f>
        <v>52322</v>
      </c>
      <c r="AW1908">
        <f t="shared" si="87"/>
        <v>0.23732995858677952</v>
      </c>
      <c r="AX1908">
        <f>SUMIFS(HIX_RatingAreas8[QHP Enrollments 2019],HIX_RatingAreas8[Area],HIX_SLCSP11[[#This Row],[Area Code]])</f>
        <v>52322</v>
      </c>
      <c r="AY1908">
        <f t="shared" si="88"/>
        <v>0.23732995858677952</v>
      </c>
      <c r="AZ1908">
        <f>SUMIFS(HIX_RatingAreas8[QHP Enrollments 2020],HIX_RatingAreas8[Area],HIX_SLCSP11[[#This Row],[Area Code]])</f>
        <v>46862</v>
      </c>
      <c r="BA1908">
        <f t="shared" si="89"/>
        <v>0.23113193588162761</v>
      </c>
      <c r="BB1908">
        <f>SUMIFS(HIX_RatingAreas8[QHP Enrollments 2021],HIX_RatingAreas8[Area],HIX_SLCSP11[[#This Row],[Area Code]])</f>
        <v>49852</v>
      </c>
      <c r="BC1908">
        <f t="shared" si="90"/>
        <v>0.23153484958966333</v>
      </c>
      <c r="BD1908">
        <f>SUMIFS(HIX_RatingAreas8[QHP Enrollments 2022],HIX_RatingAreas8[Area],HIX_SLCSP11[[#This Row],[Area Code]])</f>
        <v>56204</v>
      </c>
      <c r="BE1908">
        <f>BD1908/BD$1892</f>
        <v>0.39299648985414015</v>
      </c>
      <c r="BF1908">
        <f>SUMIFS(HIX_RatingAreas8[QHP Enrollments 2023],HIX_RatingAreas8[Area],HIX_SLCSP11[[#This Row],[Area Code]])</f>
        <v>56204</v>
      </c>
      <c r="BG1908">
        <f t="shared" si="92"/>
        <v>0.22450976867552658</v>
      </c>
      <c r="BH1908" s="53">
        <f>ROUND(HIX_SLCSP11[[#This Row],[Weighting Factor 2018]]*HIX_SLCSP11[[#This Row],[2018]],2)</f>
        <v>107.35</v>
      </c>
      <c r="BI1908" s="53">
        <f>ROUND(HIX_SLCSP11[[#This Row],[Weighting Factor 2019]]*HIX_SLCSP11[[#This Row],[2019]],2)</f>
        <v>130.38999999999999</v>
      </c>
      <c r="BJ1908" s="53">
        <f>ROUND(HIX_SLCSP11[[#This Row],[Weighting Factor 2020]]*HIX_SLCSP11[[#This Row],[2020]],2)</f>
        <v>134.94999999999999</v>
      </c>
      <c r="BK1908" s="53">
        <f>ROUND(HIX_SLCSP11[[#This Row],[Weighting Factor 2021]]*HIX_SLCSP11[[#This Row],[2021]],2)</f>
        <v>90.48</v>
      </c>
      <c r="BL1908" s="53">
        <f>ROUND(HIX_SLCSP11[[#This Row],[Weighting Factor 2022]]*HIX_SLCSP11[[#This Row],[2022]],2)</f>
        <v>146.58000000000001</v>
      </c>
      <c r="BM1908" s="53">
        <f>ROUND(HIX_SLCSP11[[#This Row],[Weighting Factor 2023]]*HIX_SLCSP11[[#This Row],[2023]],2)</f>
        <v>87.26</v>
      </c>
    </row>
    <row r="1909" spans="4:65" x14ac:dyDescent="0.35">
      <c r="D1909" t="s">
        <v>1338</v>
      </c>
      <c r="E1909" t="s">
        <v>289</v>
      </c>
      <c r="F1909" s="23">
        <v>10</v>
      </c>
      <c r="G1909" s="23" t="s">
        <v>1339</v>
      </c>
      <c r="H1909" s="23" t="s">
        <v>1356</v>
      </c>
      <c r="I1909" s="23">
        <v>36</v>
      </c>
      <c r="J1909" s="53">
        <v>501.72</v>
      </c>
      <c r="K1909" s="53">
        <v>522.5</v>
      </c>
      <c r="L1909" s="53">
        <v>890.45</v>
      </c>
      <c r="M1909" s="54">
        <f t="shared" si="81"/>
        <v>1.7042105263157896</v>
      </c>
      <c r="N1909" s="24">
        <v>40</v>
      </c>
      <c r="O1909" s="55">
        <v>524.92999999999995</v>
      </c>
      <c r="P1909" s="56">
        <v>549.59</v>
      </c>
      <c r="Q1909" s="56">
        <v>936.61</v>
      </c>
      <c r="R1909" s="57">
        <f t="shared" si="82"/>
        <v>1.7041976746301788</v>
      </c>
      <c r="S1909" s="23">
        <v>36</v>
      </c>
      <c r="T1909" s="53">
        <v>553.28</v>
      </c>
      <c r="U1909" s="53">
        <v>584.04999999999995</v>
      </c>
      <c r="V1909" s="53">
        <v>995.34</v>
      </c>
      <c r="W1909" s="57">
        <f t="shared" si="83"/>
        <v>1.7042034072425307</v>
      </c>
      <c r="X1909" s="47">
        <v>96</v>
      </c>
      <c r="Y1909" s="58">
        <v>448.11</v>
      </c>
      <c r="Z1909" s="58">
        <v>454.62</v>
      </c>
      <c r="AA1909" s="58">
        <v>774.76</v>
      </c>
      <c r="AB1909" s="57">
        <f t="shared" si="84"/>
        <v>1.7041925124279618</v>
      </c>
      <c r="AC1909" s="47">
        <v>64</v>
      </c>
      <c r="AD1909" s="57">
        <v>412.49</v>
      </c>
      <c r="AE1909" s="57">
        <v>412.99</v>
      </c>
      <c r="AF1909" s="57">
        <v>703.82</v>
      </c>
      <c r="AG1909" s="57">
        <f t="shared" si="85"/>
        <v>1.7042059129761011</v>
      </c>
      <c r="AH1909" s="47">
        <v>68</v>
      </c>
      <c r="AI1909">
        <v>480</v>
      </c>
      <c r="AJ1909">
        <v>480.94</v>
      </c>
      <c r="AK1909">
        <v>819.63</v>
      </c>
      <c r="AL1909" s="57">
        <f t="shared" si="93"/>
        <v>1.7042250592589512</v>
      </c>
      <c r="AM1909" s="59"/>
      <c r="AN1909" s="59">
        <f>SUMIFS(HIX_RatingAreas8[Silver Enrollments 2018],HIX_RatingAreas8[Area],HIX_SLCSP11[[#This Row],[Area Code]])</f>
        <v>8566</v>
      </c>
      <c r="AO1909" s="59">
        <f>SUMIFS(HIX_RatingAreas8[Silver Enrollments 2019],HIX_RatingAreas8[Area],HIX_SLCSP11[[#This Row],[Area Code]])</f>
        <v>8566</v>
      </c>
      <c r="AP1909" s="59">
        <f>SUMIFS(HIX_RatingAreas8[Silver Enrollments 2020],HIX_RatingAreas8[Area],HIX_SLCSP11[[#This Row],[Area Code]])</f>
        <v>8049</v>
      </c>
      <c r="AQ1909" s="59">
        <f>SUMIFS(HIX_RatingAreas8[Silver Enrollments 2021],HIX_RatingAreas8[Area],HIX_SLCSP11[[#This Row],[Area Code]])</f>
        <v>7804</v>
      </c>
      <c r="AR1909" s="59">
        <f>SUMIFS(HIX_RatingAreas8[Silver Enrollments 2022],HIX_RatingAreas8[Area],HIX_SLCSP11[[#This Row],[Area Code]])</f>
        <v>9896</v>
      </c>
      <c r="AS1909" s="59">
        <f>SUMIFS(HIX_RatingAreas8[Silver Enrollments 2023],HIX_RatingAreas8[Area],HIX_SLCSP11[[#This Row],[Area Code]])</f>
        <v>9896</v>
      </c>
      <c r="AT1909" s="59">
        <v>40173</v>
      </c>
      <c r="AU1909">
        <f t="shared" si="86"/>
        <v>0.14914573386695576</v>
      </c>
      <c r="AV1909">
        <f>SUMIFS(HIX_RatingAreas8[QHP Enrollments 2018],HIX_RatingAreas8[Area],HIX_SLCSP11[[#This Row],[Area Code]])</f>
        <v>11328</v>
      </c>
      <c r="AW1909">
        <f t="shared" si="87"/>
        <v>5.1383237851592801E-2</v>
      </c>
      <c r="AX1909">
        <f>SUMIFS(HIX_RatingAreas8[QHP Enrollments 2019],HIX_RatingAreas8[Area],HIX_SLCSP11[[#This Row],[Area Code]])</f>
        <v>11328</v>
      </c>
      <c r="AY1909">
        <f t="shared" si="88"/>
        <v>5.1383237851592801E-2</v>
      </c>
      <c r="AZ1909">
        <f>SUMIFS(HIX_RatingAreas8[QHP Enrollments 2020],HIX_RatingAreas8[Area],HIX_SLCSP11[[#This Row],[Area Code]])</f>
        <v>10765</v>
      </c>
      <c r="BA1909">
        <f t="shared" si="89"/>
        <v>5.3094944512946982E-2</v>
      </c>
      <c r="BB1909">
        <f>SUMIFS(HIX_RatingAreas8[QHP Enrollments 2021],HIX_RatingAreas8[Area],HIX_SLCSP11[[#This Row],[Area Code]])</f>
        <v>11543</v>
      </c>
      <c r="BC1909">
        <f t="shared" si="90"/>
        <v>5.3610823413573851E-2</v>
      </c>
      <c r="BD1909">
        <f>SUMIFS(HIX_RatingAreas8[QHP Enrollments 2022],HIX_RatingAreas8[Area],HIX_SLCSP11[[#This Row],[Area Code]])</f>
        <v>14200</v>
      </c>
      <c r="BE1909">
        <f>BD1909/BD$1892</f>
        <v>9.9290978505600855E-2</v>
      </c>
      <c r="BF1909">
        <f>SUMIFS(HIX_RatingAreas8[QHP Enrollments 2023],HIX_RatingAreas8[Area],HIX_SLCSP11[[#This Row],[Area Code]])</f>
        <v>14200</v>
      </c>
      <c r="BG1909">
        <f t="shared" si="92"/>
        <v>5.6722630332226839E-2</v>
      </c>
      <c r="BH1909" s="53">
        <f>ROUND(HIX_SLCSP11[[#This Row],[Weighting Factor 2018]]*HIX_SLCSP11[[#This Row],[2018]],2)</f>
        <v>26.85</v>
      </c>
      <c r="BI1909" s="53">
        <f>ROUND(HIX_SLCSP11[[#This Row],[Weighting Factor 2019]]*HIX_SLCSP11[[#This Row],[2019]],2)</f>
        <v>28.24</v>
      </c>
      <c r="BJ1909" s="53">
        <f>ROUND(HIX_SLCSP11[[#This Row],[Weighting Factor 2020]]*HIX_SLCSP11[[#This Row],[2020]],2)</f>
        <v>31.01</v>
      </c>
      <c r="BK1909" s="53">
        <f>ROUND(HIX_SLCSP11[[#This Row],[Weighting Factor 2021]]*HIX_SLCSP11[[#This Row],[2021]],2)</f>
        <v>24.37</v>
      </c>
      <c r="BL1909" s="53">
        <f>ROUND(HIX_SLCSP11[[#This Row],[Weighting Factor 2022]]*HIX_SLCSP11[[#This Row],[2022]],2)</f>
        <v>41.01</v>
      </c>
      <c r="BM1909" s="53">
        <f>ROUND(HIX_SLCSP11[[#This Row],[Weighting Factor 2023]]*HIX_SLCSP11[[#This Row],[2023]],2)</f>
        <v>27.28</v>
      </c>
    </row>
    <row r="1910" spans="4:65" x14ac:dyDescent="0.35">
      <c r="D1910" t="s">
        <v>1471</v>
      </c>
      <c r="E1910" t="s">
        <v>2597</v>
      </c>
      <c r="F1910" s="23"/>
      <c r="G1910" s="23"/>
      <c r="H1910" s="23"/>
      <c r="I1910" s="23"/>
      <c r="J1910" s="53"/>
      <c r="K1910" s="53">
        <f>SUM(BH1911:BH1926)</f>
        <v>531.84999999999991</v>
      </c>
      <c r="L1910" s="53"/>
      <c r="M1910" s="54"/>
      <c r="O1910" s="55"/>
      <c r="P1910" s="56">
        <f>SUM(BI1911:BI1926)</f>
        <v>502.81</v>
      </c>
      <c r="Q1910" s="56"/>
      <c r="R1910" s="57"/>
      <c r="S1910" s="23"/>
      <c r="T1910" s="53"/>
      <c r="U1910" s="53">
        <f>SUM(BJ1911:BJ1926)</f>
        <v>449.08</v>
      </c>
      <c r="V1910" s="53"/>
      <c r="W1910" s="57"/>
      <c r="X1910" s="47"/>
      <c r="Y1910" s="58"/>
      <c r="Z1910" s="53">
        <f>SUM(BK1911:BK1926)</f>
        <v>391.83000000000004</v>
      </c>
      <c r="AA1910" s="58"/>
      <c r="AB1910" s="57">
        <f t="shared" si="84"/>
        <v>0</v>
      </c>
      <c r="AC1910" s="47"/>
      <c r="AD1910" s="57"/>
      <c r="AE1910" s="53">
        <f>SUM(BL1911:BL1926)</f>
        <v>375.53</v>
      </c>
      <c r="AF1910" s="57"/>
      <c r="AG1910" s="57"/>
      <c r="AH1910" s="47"/>
      <c r="AI1910" s="57"/>
      <c r="AJ1910" s="53">
        <f>SUM(BM1911:BM1926)</f>
        <v>393.39</v>
      </c>
      <c r="AK1910" s="57"/>
      <c r="AL1910" s="57"/>
      <c r="AM1910" s="59">
        <f t="shared" ref="AM1910:AT1910" si="94">SUM(AM1911:AM1926)</f>
        <v>470335</v>
      </c>
      <c r="AN1910" s="59">
        <f t="shared" si="94"/>
        <v>368734</v>
      </c>
      <c r="AO1910" s="59">
        <f t="shared" si="94"/>
        <v>319178</v>
      </c>
      <c r="AP1910" s="59">
        <f t="shared" si="94"/>
        <v>295585</v>
      </c>
      <c r="AQ1910" s="59">
        <f t="shared" si="94"/>
        <v>276595</v>
      </c>
      <c r="AR1910" s="59">
        <f t="shared" si="94"/>
        <v>354972</v>
      </c>
      <c r="AS1910" s="59">
        <f t="shared" si="94"/>
        <v>354972</v>
      </c>
      <c r="AT1910" s="59">
        <f t="shared" si="94"/>
        <v>613477</v>
      </c>
      <c r="AU1910">
        <f t="shared" ref="AU1910:AU1926" si="95">AT1910/AT$1910</f>
        <v>1</v>
      </c>
      <c r="AV1910" s="59">
        <f>SUM(AV1911:AV1926)</f>
        <v>519803</v>
      </c>
      <c r="AW1910">
        <f t="shared" ref="AW1910:AW1926" si="96">AV1910/AV$1910</f>
        <v>1</v>
      </c>
      <c r="AX1910" s="59">
        <f>SUM(AX1911:AX1926)</f>
        <v>501271</v>
      </c>
      <c r="AY1910">
        <f t="shared" ref="AY1910:AY1926" si="97">AX1910/AX$1910</f>
        <v>1</v>
      </c>
      <c r="AZ1910" s="59">
        <f>SUM(AZ1911:AZ1926)</f>
        <v>505275</v>
      </c>
      <c r="BA1910">
        <f t="shared" ref="BA1910:BA1926" si="98">AZ1910/AZ$1910</f>
        <v>1</v>
      </c>
      <c r="BB1910" s="59">
        <f>SUM(BB1911:BB1926)</f>
        <v>535803</v>
      </c>
      <c r="BC1910">
        <f t="shared" ref="BC1910:BC1926" si="99">BB1910/BB$1910</f>
        <v>1</v>
      </c>
      <c r="BD1910" s="59">
        <f>SUM(BD1911:BD1926)</f>
        <v>670223</v>
      </c>
      <c r="BE1910">
        <f t="shared" ref="BE1910:BE1926" si="100">BD1910/BD$1910</f>
        <v>1</v>
      </c>
      <c r="BF1910" s="59">
        <f>SUM(BF1911:BF1926)</f>
        <v>670223</v>
      </c>
      <c r="BG1910">
        <f>BF1910/BF$1910</f>
        <v>1</v>
      </c>
      <c r="BH1910" s="53"/>
      <c r="BI1910" s="53"/>
      <c r="BJ1910" s="53"/>
      <c r="BK1910" s="53"/>
      <c r="BL1910" s="53"/>
      <c r="BM1910" s="53"/>
    </row>
    <row r="1911" spans="4:65" x14ac:dyDescent="0.35">
      <c r="D1911" t="s">
        <v>1471</v>
      </c>
      <c r="E1911" t="s">
        <v>231</v>
      </c>
      <c r="F1911" s="23">
        <v>1</v>
      </c>
      <c r="G1911" s="23" t="s">
        <v>1472</v>
      </c>
      <c r="H1911" s="23" t="s">
        <v>1473</v>
      </c>
      <c r="I1911" s="23">
        <v>8</v>
      </c>
      <c r="J1911" s="53">
        <v>499.9</v>
      </c>
      <c r="K1911" s="53">
        <v>538.24</v>
      </c>
      <c r="L1911" s="53">
        <v>917.27</v>
      </c>
      <c r="M1911" s="54">
        <f t="shared" ref="M1911:M1973" si="101">L1911/K1911</f>
        <v>1.7042025862068966</v>
      </c>
      <c r="N1911" s="24">
        <v>12</v>
      </c>
      <c r="O1911" s="55">
        <v>544.89</v>
      </c>
      <c r="P1911" s="56">
        <v>561.41999999999996</v>
      </c>
      <c r="Q1911" s="56">
        <v>956.78</v>
      </c>
      <c r="R1911" s="57">
        <f t="shared" ref="R1911:R1926" si="102">Q1911/P1911</f>
        <v>1.7042143137045349</v>
      </c>
      <c r="S1911" s="23">
        <v>8</v>
      </c>
      <c r="T1911" s="53">
        <v>542.25</v>
      </c>
      <c r="U1911" s="53">
        <v>577.16999999999996</v>
      </c>
      <c r="V1911" s="53">
        <v>983.6</v>
      </c>
      <c r="W1911" s="57">
        <f t="shared" ref="W1911:W1926" si="103">V1911/U1911</f>
        <v>1.7041772787913441</v>
      </c>
      <c r="X1911" s="47">
        <v>75</v>
      </c>
      <c r="Y1911" s="58">
        <v>423.85</v>
      </c>
      <c r="Z1911" s="58">
        <v>424.3</v>
      </c>
      <c r="AA1911" s="58">
        <v>723.1</v>
      </c>
      <c r="AB1911" s="57">
        <f t="shared" si="84"/>
        <v>1.7042187131746407</v>
      </c>
      <c r="AC1911" s="47">
        <v>211</v>
      </c>
      <c r="AD1911" s="57">
        <v>368.08</v>
      </c>
      <c r="AE1911" s="57">
        <v>423.31</v>
      </c>
      <c r="AF1911" s="57">
        <v>721.4</v>
      </c>
      <c r="AG1911" s="57">
        <f t="shared" ref="AG1911:AG1926" si="104">AF1911/AE1911</f>
        <v>1.7041884198341639</v>
      </c>
      <c r="AH1911" s="47">
        <v>238</v>
      </c>
      <c r="AI1911">
        <v>423.03</v>
      </c>
      <c r="AJ1911">
        <v>443.24</v>
      </c>
      <c r="AK1911">
        <v>755.37</v>
      </c>
      <c r="AL1911" s="57">
        <f t="shared" si="93"/>
        <v>1.7042008843967151</v>
      </c>
      <c r="AM1911" s="59">
        <v>44061</v>
      </c>
      <c r="AN1911" s="59">
        <f>SUMIFS(HIX_RatingAreas8[Silver Enrollments 2018],HIX_RatingAreas8[Area],HIX_SLCSP11[[#This Row],[Area Code]])</f>
        <v>36168</v>
      </c>
      <c r="AO1911" s="59">
        <f>SUMIFS(HIX_RatingAreas8[Silver Enrollments 2019],HIX_RatingAreas8[Area],HIX_SLCSP11[[#This Row],[Area Code]])</f>
        <v>30721</v>
      </c>
      <c r="AP1911" s="59">
        <f>SUMIFS(HIX_RatingAreas8[Silver Enrollments 2020],HIX_RatingAreas8[Area],HIX_SLCSP11[[#This Row],[Area Code]])</f>
        <v>29265</v>
      </c>
      <c r="AQ1911" s="59">
        <f>SUMIFS(HIX_RatingAreas8[Silver Enrollments 2021],HIX_RatingAreas8[Area],HIX_SLCSP11[[#This Row],[Area Code]])</f>
        <v>28331</v>
      </c>
      <c r="AR1911" s="59">
        <f>SUMIFS(HIX_RatingAreas8[Silver Enrollments 2022],HIX_RatingAreas8[Area],HIX_SLCSP11[[#This Row],[Area Code]])</f>
        <v>34781</v>
      </c>
      <c r="AS1911" s="59">
        <f>SUMIFS(HIX_RatingAreas8[Silver Enrollments 2023],HIX_RatingAreas8[Area],HIX_SLCSP11[[#This Row],[Area Code]])</f>
        <v>34781</v>
      </c>
      <c r="AT1911" s="59">
        <v>58634</v>
      </c>
      <c r="AU1911">
        <f t="shared" si="95"/>
        <v>9.557652528130639E-2</v>
      </c>
      <c r="AV1911">
        <f>SUMIFS(HIX_RatingAreas8[QHP Enrollments 2018],HIX_RatingAreas8[Area],HIX_SLCSP11[[#This Row],[Area Code]])</f>
        <v>52909</v>
      </c>
      <c r="AW1911">
        <f t="shared" si="96"/>
        <v>0.10178663839954752</v>
      </c>
      <c r="AX1911">
        <f>SUMIFS(HIX_RatingAreas8[QHP Enrollments 2019],HIX_RatingAreas8[Area],HIX_SLCSP11[[#This Row],[Area Code]])</f>
        <v>51458</v>
      </c>
      <c r="AY1911">
        <f t="shared" si="97"/>
        <v>0.10265505086071207</v>
      </c>
      <c r="AZ1911">
        <f>SUMIFS(HIX_RatingAreas8[QHP Enrollments 2020],HIX_RatingAreas8[Area],HIX_SLCSP11[[#This Row],[Area Code]])</f>
        <v>52400</v>
      </c>
      <c r="BA1911">
        <f t="shared" si="98"/>
        <v>0.10370590272623818</v>
      </c>
      <c r="BB1911">
        <f>SUMIFS(HIX_RatingAreas8[QHP Enrollments 2021],HIX_RatingAreas8[Area],HIX_SLCSP11[[#This Row],[Area Code]])</f>
        <v>57241</v>
      </c>
      <c r="BC1911">
        <f t="shared" si="99"/>
        <v>0.10683217525844386</v>
      </c>
      <c r="BD1911">
        <f>SUMIFS(HIX_RatingAreas8[QHP Enrollments 2022],HIX_RatingAreas8[Area],HIX_SLCSP11[[#This Row],[Area Code]])</f>
        <v>70470</v>
      </c>
      <c r="BE1911">
        <f t="shared" si="100"/>
        <v>0.10514410875186318</v>
      </c>
      <c r="BF1911">
        <f>SUMIFS(HIX_RatingAreas8[QHP Enrollments 2023],HIX_RatingAreas8[Area],HIX_SLCSP11[[#This Row],[Area Code]])</f>
        <v>70470</v>
      </c>
      <c r="BG1911">
        <f>BF1911/BF$1910</f>
        <v>0.10514410875186318</v>
      </c>
      <c r="BH1911" s="53">
        <f>ROUND(HIX_SLCSP11[[#This Row],[Weighting Factor 2018]]*HIX_SLCSP11[[#This Row],[2018]],2)</f>
        <v>54.79</v>
      </c>
      <c r="BI1911" s="53">
        <f>ROUND(HIX_SLCSP11[[#This Row],[Weighting Factor 2019]]*HIX_SLCSP11[[#This Row],[2019]],2)</f>
        <v>57.63</v>
      </c>
      <c r="BJ1911" s="53">
        <f>ROUND(HIX_SLCSP11[[#This Row],[Weighting Factor 2020]]*HIX_SLCSP11[[#This Row],[2020]],2)</f>
        <v>59.86</v>
      </c>
      <c r="BK1911" s="53">
        <f>ROUND(HIX_SLCSP11[[#This Row],[Weighting Factor 2021]]*HIX_SLCSP11[[#This Row],[2021]],2)</f>
        <v>45.33</v>
      </c>
      <c r="BL1911" s="53">
        <f>ROUND(HIX_SLCSP11[[#This Row],[Weighting Factor 2022]]*HIX_SLCSP11[[#This Row],[2022]],2)</f>
        <v>44.51</v>
      </c>
      <c r="BM1911" s="53">
        <f>ROUND(HIX_SLCSP11[[#This Row],[Weighting Factor 2023]]*HIX_SLCSP11[[#This Row],[2023]],2)</f>
        <v>46.6</v>
      </c>
    </row>
    <row r="1912" spans="4:65" x14ac:dyDescent="0.35">
      <c r="D1912" t="s">
        <v>1471</v>
      </c>
      <c r="E1912" t="s">
        <v>235</v>
      </c>
      <c r="F1912" s="23">
        <v>2</v>
      </c>
      <c r="G1912" s="23" t="s">
        <v>1472</v>
      </c>
      <c r="H1912" s="23" t="s">
        <v>1501</v>
      </c>
      <c r="I1912" s="23">
        <v>8</v>
      </c>
      <c r="J1912" s="53">
        <v>473.59</v>
      </c>
      <c r="K1912" s="53">
        <v>526.77</v>
      </c>
      <c r="L1912" s="53">
        <v>897.72</v>
      </c>
      <c r="M1912" s="54">
        <f t="shared" si="101"/>
        <v>1.7041972777493024</v>
      </c>
      <c r="N1912" s="24">
        <v>8</v>
      </c>
      <c r="O1912" s="55">
        <v>460.01</v>
      </c>
      <c r="P1912" s="56">
        <v>622.74</v>
      </c>
      <c r="Q1912" s="56">
        <v>1061.28</v>
      </c>
      <c r="R1912" s="57">
        <f t="shared" si="102"/>
        <v>1.7042104248964254</v>
      </c>
      <c r="S1912" s="23">
        <v>8</v>
      </c>
      <c r="T1912" s="53">
        <v>474.7</v>
      </c>
      <c r="U1912" s="53">
        <v>588.82000000000005</v>
      </c>
      <c r="V1912" s="53">
        <v>1003.46</v>
      </c>
      <c r="W1912" s="57">
        <f t="shared" si="103"/>
        <v>1.7041880370911313</v>
      </c>
      <c r="X1912" s="47">
        <v>86</v>
      </c>
      <c r="Y1912" s="58">
        <v>453.7</v>
      </c>
      <c r="Z1912" s="58">
        <v>458.95</v>
      </c>
      <c r="AA1912" s="58">
        <v>782.15</v>
      </c>
      <c r="AB1912" s="57">
        <f t="shared" si="84"/>
        <v>1.7042161455496241</v>
      </c>
      <c r="AC1912" s="47">
        <v>158</v>
      </c>
      <c r="AD1912" s="57">
        <v>400.13</v>
      </c>
      <c r="AE1912" s="57">
        <v>437.56</v>
      </c>
      <c r="AF1912" s="57">
        <v>745.69</v>
      </c>
      <c r="AG1912" s="57">
        <f t="shared" si="104"/>
        <v>1.7042005667794131</v>
      </c>
      <c r="AH1912" s="47">
        <v>176</v>
      </c>
      <c r="AI1912">
        <v>381.25</v>
      </c>
      <c r="AJ1912">
        <v>399.47</v>
      </c>
      <c r="AK1912">
        <v>680.77</v>
      </c>
      <c r="AL1912" s="57">
        <f t="shared" si="93"/>
        <v>1.7041830425313538</v>
      </c>
      <c r="AM1912" s="59">
        <v>25189</v>
      </c>
      <c r="AN1912" s="59">
        <f>SUMIFS(HIX_RatingAreas8[Silver Enrollments 2018],HIX_RatingAreas8[Area],HIX_SLCSP11[[#This Row],[Area Code]])</f>
        <v>20780</v>
      </c>
      <c r="AO1912" s="59">
        <f>SUMIFS(HIX_RatingAreas8[Silver Enrollments 2019],HIX_RatingAreas8[Area],HIX_SLCSP11[[#This Row],[Area Code]])</f>
        <v>17613</v>
      </c>
      <c r="AP1912" s="59">
        <f>SUMIFS(HIX_RatingAreas8[Silver Enrollments 2020],HIX_RatingAreas8[Area],HIX_SLCSP11[[#This Row],[Area Code]])</f>
        <v>18326</v>
      </c>
      <c r="AQ1912" s="59">
        <f>SUMIFS(HIX_RatingAreas8[Silver Enrollments 2021],HIX_RatingAreas8[Area],HIX_SLCSP11[[#This Row],[Area Code]])</f>
        <v>18402</v>
      </c>
      <c r="AR1912" s="59">
        <f>SUMIFS(HIX_RatingAreas8[Silver Enrollments 2022],HIX_RatingAreas8[Area],HIX_SLCSP11[[#This Row],[Area Code]])</f>
        <v>21514</v>
      </c>
      <c r="AS1912" s="59">
        <f>SUMIFS(HIX_RatingAreas8[Silver Enrollments 2023],HIX_RatingAreas8[Area],HIX_SLCSP11[[#This Row],[Area Code]])</f>
        <v>21514</v>
      </c>
      <c r="AT1912" s="59">
        <v>32735</v>
      </c>
      <c r="AU1912">
        <f t="shared" si="95"/>
        <v>5.3359783659371093E-2</v>
      </c>
      <c r="AV1912">
        <f>SUMIFS(HIX_RatingAreas8[QHP Enrollments 2018],HIX_RatingAreas8[Area],HIX_SLCSP11[[#This Row],[Area Code]])</f>
        <v>28058</v>
      </c>
      <c r="AW1912">
        <f t="shared" si="96"/>
        <v>5.3978141719074342E-2</v>
      </c>
      <c r="AX1912">
        <f>SUMIFS(HIX_RatingAreas8[QHP Enrollments 2019],HIX_RatingAreas8[Area],HIX_SLCSP11[[#This Row],[Area Code]])</f>
        <v>27898</v>
      </c>
      <c r="AY1912">
        <f t="shared" si="97"/>
        <v>5.56545261944138E-2</v>
      </c>
      <c r="AZ1912">
        <f>SUMIFS(HIX_RatingAreas8[QHP Enrollments 2020],HIX_RatingAreas8[Area],HIX_SLCSP11[[#This Row],[Area Code]])</f>
        <v>30215</v>
      </c>
      <c r="BA1912">
        <f t="shared" si="98"/>
        <v>5.9799119291474939E-2</v>
      </c>
      <c r="BB1912">
        <f>SUMIFS(HIX_RatingAreas8[QHP Enrollments 2021],HIX_RatingAreas8[Area],HIX_SLCSP11[[#This Row],[Area Code]])</f>
        <v>33332</v>
      </c>
      <c r="BC1912">
        <f t="shared" si="99"/>
        <v>6.220943145148497E-2</v>
      </c>
      <c r="BD1912">
        <f>SUMIFS(HIX_RatingAreas8[QHP Enrollments 2022],HIX_RatingAreas8[Area],HIX_SLCSP11[[#This Row],[Area Code]])</f>
        <v>40341</v>
      </c>
      <c r="BE1912">
        <f t="shared" si="100"/>
        <v>6.0190414235261995E-2</v>
      </c>
      <c r="BF1912">
        <f>SUMIFS(HIX_RatingAreas8[QHP Enrollments 2023],HIX_RatingAreas8[Area],HIX_SLCSP11[[#This Row],[Area Code]])</f>
        <v>40341</v>
      </c>
      <c r="BG1912">
        <f t="shared" ref="BG1912:BG1926" si="105">BF1912/BF$1910</f>
        <v>6.0190414235261995E-2</v>
      </c>
      <c r="BH1912" s="53">
        <f>ROUND(HIX_SLCSP11[[#This Row],[Weighting Factor 2018]]*HIX_SLCSP11[[#This Row],[2018]],2)</f>
        <v>28.43</v>
      </c>
      <c r="BI1912" s="53">
        <f>ROUND(HIX_SLCSP11[[#This Row],[Weighting Factor 2019]]*HIX_SLCSP11[[#This Row],[2019]],2)</f>
        <v>34.659999999999997</v>
      </c>
      <c r="BJ1912" s="53">
        <f>ROUND(HIX_SLCSP11[[#This Row],[Weighting Factor 2020]]*HIX_SLCSP11[[#This Row],[2020]],2)</f>
        <v>35.21</v>
      </c>
      <c r="BK1912" s="53">
        <f>ROUND(HIX_SLCSP11[[#This Row],[Weighting Factor 2021]]*HIX_SLCSP11[[#This Row],[2021]],2)</f>
        <v>28.55</v>
      </c>
      <c r="BL1912" s="53">
        <f>ROUND(HIX_SLCSP11[[#This Row],[Weighting Factor 2022]]*HIX_SLCSP11[[#This Row],[2022]],2)</f>
        <v>26.34</v>
      </c>
      <c r="BM1912" s="53">
        <f>ROUND(HIX_SLCSP11[[#This Row],[Weighting Factor 2023]]*HIX_SLCSP11[[#This Row],[2023]],2)</f>
        <v>24.04</v>
      </c>
    </row>
    <row r="1913" spans="4:65" x14ac:dyDescent="0.35">
      <c r="D1913" t="s">
        <v>1471</v>
      </c>
      <c r="E1913" t="s">
        <v>239</v>
      </c>
      <c r="F1913" s="23">
        <v>3</v>
      </c>
      <c r="G1913" s="23" t="s">
        <v>1472</v>
      </c>
      <c r="H1913" s="23" t="s">
        <v>1511</v>
      </c>
      <c r="I1913" s="23">
        <v>16</v>
      </c>
      <c r="J1913" s="53">
        <v>526.77</v>
      </c>
      <c r="K1913" s="53">
        <v>567.19000000000005</v>
      </c>
      <c r="L1913" s="53">
        <v>966.6</v>
      </c>
      <c r="M1913" s="54">
        <f t="shared" si="101"/>
        <v>1.704190835522488</v>
      </c>
      <c r="N1913" s="24">
        <v>12</v>
      </c>
      <c r="O1913" s="55">
        <v>550.62</v>
      </c>
      <c r="P1913" s="56">
        <v>567.33000000000004</v>
      </c>
      <c r="Q1913" s="56">
        <v>966.85</v>
      </c>
      <c r="R1913" s="57">
        <f t="shared" si="102"/>
        <v>1.7042109530608287</v>
      </c>
      <c r="S1913" s="23">
        <v>16</v>
      </c>
      <c r="T1913" s="53">
        <v>383.6</v>
      </c>
      <c r="U1913" s="53">
        <v>408.86</v>
      </c>
      <c r="V1913" s="53">
        <v>696.77</v>
      </c>
      <c r="W1913" s="57">
        <f t="shared" si="103"/>
        <v>1.704177469060314</v>
      </c>
      <c r="X1913" s="47">
        <v>64</v>
      </c>
      <c r="Y1913" s="58">
        <v>353.79</v>
      </c>
      <c r="Z1913" s="58">
        <v>369.54</v>
      </c>
      <c r="AA1913" s="58">
        <v>629.76</v>
      </c>
      <c r="AB1913" s="57">
        <f t="shared" si="84"/>
        <v>1.7041727553174215</v>
      </c>
      <c r="AC1913" s="47">
        <v>142</v>
      </c>
      <c r="AD1913" s="57">
        <v>372.9</v>
      </c>
      <c r="AE1913" s="57">
        <v>372.9</v>
      </c>
      <c r="AF1913" s="57">
        <v>635.49</v>
      </c>
      <c r="AG1913" s="57">
        <f t="shared" si="104"/>
        <v>1.7041834271922769</v>
      </c>
      <c r="AH1913" s="47">
        <v>148</v>
      </c>
      <c r="AI1913">
        <v>380.72</v>
      </c>
      <c r="AJ1913">
        <v>387.82</v>
      </c>
      <c r="AK1913">
        <v>660.92</v>
      </c>
      <c r="AL1913" s="57">
        <f t="shared" si="93"/>
        <v>1.7041926667010467</v>
      </c>
      <c r="AM1913" s="59">
        <v>8854</v>
      </c>
      <c r="AN1913" s="59">
        <f>SUMIFS(HIX_RatingAreas8[Silver Enrollments 2018],HIX_RatingAreas8[Area],HIX_SLCSP11[[#This Row],[Area Code]])</f>
        <v>7237</v>
      </c>
      <c r="AO1913" s="59">
        <f>SUMIFS(HIX_RatingAreas8[Silver Enrollments 2019],HIX_RatingAreas8[Area],HIX_SLCSP11[[#This Row],[Area Code]])</f>
        <v>6165</v>
      </c>
      <c r="AP1913" s="59">
        <f>SUMIFS(HIX_RatingAreas8[Silver Enrollments 2020],HIX_RatingAreas8[Area],HIX_SLCSP11[[#This Row],[Area Code]])</f>
        <v>5308</v>
      </c>
      <c r="AQ1913" s="59">
        <f>SUMIFS(HIX_RatingAreas8[Silver Enrollments 2021],HIX_RatingAreas8[Area],HIX_SLCSP11[[#This Row],[Area Code]])</f>
        <v>4890</v>
      </c>
      <c r="AR1913" s="59">
        <f>SUMIFS(HIX_RatingAreas8[Silver Enrollments 2022],HIX_RatingAreas8[Area],HIX_SLCSP11[[#This Row],[Area Code]])</f>
        <v>5699</v>
      </c>
      <c r="AS1913" s="59">
        <f>SUMIFS(HIX_RatingAreas8[Silver Enrollments 2023],HIX_RatingAreas8[Area],HIX_SLCSP11[[#This Row],[Area Code]])</f>
        <v>5699</v>
      </c>
      <c r="AT1913" s="59">
        <v>10603</v>
      </c>
      <c r="AU1913">
        <f t="shared" si="95"/>
        <v>1.7283451539340512E-2</v>
      </c>
      <c r="AV1913">
        <f>SUMIFS(HIX_RatingAreas8[QHP Enrollments 2018],HIX_RatingAreas8[Area],HIX_SLCSP11[[#This Row],[Area Code]])</f>
        <v>9701</v>
      </c>
      <c r="AW1913">
        <f t="shared" si="96"/>
        <v>1.8662839575762355E-2</v>
      </c>
      <c r="AX1913">
        <f>SUMIFS(HIX_RatingAreas8[QHP Enrollments 2019],HIX_RatingAreas8[Area],HIX_SLCSP11[[#This Row],[Area Code]])</f>
        <v>9310</v>
      </c>
      <c r="AY1913">
        <f t="shared" si="97"/>
        <v>1.8572787972972703E-2</v>
      </c>
      <c r="AZ1913">
        <f>SUMIFS(HIX_RatingAreas8[QHP Enrollments 2020],HIX_RatingAreas8[Area],HIX_SLCSP11[[#This Row],[Area Code]])</f>
        <v>9005</v>
      </c>
      <c r="BA1913">
        <f t="shared" si="98"/>
        <v>1.7821978130720895E-2</v>
      </c>
      <c r="BB1913">
        <f>SUMIFS(HIX_RatingAreas8[QHP Enrollments 2021],HIX_RatingAreas8[Area],HIX_SLCSP11[[#This Row],[Area Code]])</f>
        <v>9193</v>
      </c>
      <c r="BC1913">
        <f t="shared" si="99"/>
        <v>1.715742539702092E-2</v>
      </c>
      <c r="BD1913">
        <f>SUMIFS(HIX_RatingAreas8[QHP Enrollments 2022],HIX_RatingAreas8[Area],HIX_SLCSP11[[#This Row],[Area Code]])</f>
        <v>10873</v>
      </c>
      <c r="BE1913">
        <f t="shared" si="100"/>
        <v>1.6222958627203184E-2</v>
      </c>
      <c r="BF1913">
        <f>SUMIFS(HIX_RatingAreas8[QHP Enrollments 2023],HIX_RatingAreas8[Area],HIX_SLCSP11[[#This Row],[Area Code]])</f>
        <v>10873</v>
      </c>
      <c r="BG1913">
        <f t="shared" si="105"/>
        <v>1.6222958627203184E-2</v>
      </c>
      <c r="BH1913" s="53">
        <f>ROUND(HIX_SLCSP11[[#This Row],[Weighting Factor 2018]]*HIX_SLCSP11[[#This Row],[2018]],2)</f>
        <v>10.59</v>
      </c>
      <c r="BI1913" s="53">
        <f>ROUND(HIX_SLCSP11[[#This Row],[Weighting Factor 2019]]*HIX_SLCSP11[[#This Row],[2019]],2)</f>
        <v>10.54</v>
      </c>
      <c r="BJ1913" s="53">
        <f>ROUND(HIX_SLCSP11[[#This Row],[Weighting Factor 2020]]*HIX_SLCSP11[[#This Row],[2020]],2)</f>
        <v>7.29</v>
      </c>
      <c r="BK1913" s="53">
        <f>ROUND(HIX_SLCSP11[[#This Row],[Weighting Factor 2021]]*HIX_SLCSP11[[#This Row],[2021]],2)</f>
        <v>6.34</v>
      </c>
      <c r="BL1913" s="53">
        <f>ROUND(HIX_SLCSP11[[#This Row],[Weighting Factor 2022]]*HIX_SLCSP11[[#This Row],[2022]],2)</f>
        <v>6.05</v>
      </c>
      <c r="BM1913" s="53">
        <f>ROUND(HIX_SLCSP11[[#This Row],[Weighting Factor 2023]]*HIX_SLCSP11[[#This Row],[2023]],2)</f>
        <v>6.29</v>
      </c>
    </row>
    <row r="1914" spans="4:65" x14ac:dyDescent="0.35">
      <c r="D1914" t="s">
        <v>1471</v>
      </c>
      <c r="E1914" t="s">
        <v>255</v>
      </c>
      <c r="F1914" s="23">
        <v>4</v>
      </c>
      <c r="G1914" s="23" t="s">
        <v>1472</v>
      </c>
      <c r="H1914" s="23" t="s">
        <v>1519</v>
      </c>
      <c r="I1914" s="23">
        <v>40</v>
      </c>
      <c r="J1914" s="53">
        <v>540.55999999999995</v>
      </c>
      <c r="K1914" s="53">
        <v>560.26</v>
      </c>
      <c r="L1914" s="53">
        <v>954.8</v>
      </c>
      <c r="M1914" s="54">
        <f t="shared" si="101"/>
        <v>1.7042087602184699</v>
      </c>
      <c r="N1914" s="24">
        <v>16</v>
      </c>
      <c r="O1914" s="55">
        <v>412.57</v>
      </c>
      <c r="P1914" s="56">
        <v>439.75</v>
      </c>
      <c r="Q1914" s="56">
        <v>749.42</v>
      </c>
      <c r="R1914" s="57">
        <f t="shared" si="102"/>
        <v>1.704195565662308</v>
      </c>
      <c r="S1914" s="23">
        <v>40</v>
      </c>
      <c r="T1914" s="53">
        <v>332.45</v>
      </c>
      <c r="U1914" s="53">
        <v>335.81</v>
      </c>
      <c r="V1914" s="53">
        <v>572.28</v>
      </c>
      <c r="W1914" s="57">
        <f t="shared" si="103"/>
        <v>1.704177957773741</v>
      </c>
      <c r="X1914" s="47">
        <v>42</v>
      </c>
      <c r="Y1914" s="58">
        <v>311.08</v>
      </c>
      <c r="Z1914" s="58">
        <v>327.97</v>
      </c>
      <c r="AA1914" s="58">
        <v>558.91999999999996</v>
      </c>
      <c r="AB1914" s="57">
        <f t="shared" si="84"/>
        <v>1.7041802603896694</v>
      </c>
      <c r="AC1914" s="47">
        <v>138</v>
      </c>
      <c r="AD1914" s="57">
        <v>313.45999999999998</v>
      </c>
      <c r="AE1914" s="57">
        <v>344.11</v>
      </c>
      <c r="AF1914" s="57">
        <v>586.41999999999996</v>
      </c>
      <c r="AG1914" s="57">
        <f t="shared" si="104"/>
        <v>1.7041643660457411</v>
      </c>
      <c r="AH1914" s="47">
        <v>136</v>
      </c>
      <c r="AI1914">
        <v>389.67</v>
      </c>
      <c r="AJ1914">
        <v>390.38</v>
      </c>
      <c r="AK1914">
        <v>665.28</v>
      </c>
      <c r="AL1914" s="57">
        <f t="shared" si="93"/>
        <v>1.7041856652492442</v>
      </c>
      <c r="AM1914" s="59">
        <v>89858</v>
      </c>
      <c r="AN1914" s="59">
        <f>SUMIFS(HIX_RatingAreas8[Silver Enrollments 2018],HIX_RatingAreas8[Area],HIX_SLCSP11[[#This Row],[Area Code]])</f>
        <v>66096</v>
      </c>
      <c r="AO1914" s="59">
        <f>SUMIFS(HIX_RatingAreas8[Silver Enrollments 2019],HIX_RatingAreas8[Area],HIX_SLCSP11[[#This Row],[Area Code]])</f>
        <v>57684</v>
      </c>
      <c r="AP1914" s="59">
        <f>SUMIFS(HIX_RatingAreas8[Silver Enrollments 2020],HIX_RatingAreas8[Area],HIX_SLCSP11[[#This Row],[Area Code]])</f>
        <v>50121</v>
      </c>
      <c r="AQ1914" s="59">
        <f>SUMIFS(HIX_RatingAreas8[Silver Enrollments 2021],HIX_RatingAreas8[Area],HIX_SLCSP11[[#This Row],[Area Code]])</f>
        <v>46973</v>
      </c>
      <c r="AR1914" s="59">
        <f>SUMIFS(HIX_RatingAreas8[Silver Enrollments 2022],HIX_RatingAreas8[Area],HIX_SLCSP11[[#This Row],[Area Code]])</f>
        <v>69562</v>
      </c>
      <c r="AS1914" s="59">
        <f>SUMIFS(HIX_RatingAreas8[Silver Enrollments 2023],HIX_RatingAreas8[Area],HIX_SLCSP11[[#This Row],[Area Code]])</f>
        <v>69562</v>
      </c>
      <c r="AT1914" s="59">
        <v>121767</v>
      </c>
      <c r="AU1914">
        <f t="shared" si="95"/>
        <v>0.19848665883154543</v>
      </c>
      <c r="AV1914">
        <f>SUMIFS(HIX_RatingAreas8[QHP Enrollments 2018],HIX_RatingAreas8[Area],HIX_SLCSP11[[#This Row],[Area Code]])</f>
        <v>97024</v>
      </c>
      <c r="AW1914">
        <f t="shared" si="96"/>
        <v>0.18665532903811635</v>
      </c>
      <c r="AX1914">
        <f>SUMIFS(HIX_RatingAreas8[QHP Enrollments 2019],HIX_RatingAreas8[Area],HIX_SLCSP11[[#This Row],[Area Code]])</f>
        <v>93333</v>
      </c>
      <c r="AY1914">
        <f t="shared" si="97"/>
        <v>0.18619269816127404</v>
      </c>
      <c r="AZ1914">
        <f>SUMIFS(HIX_RatingAreas8[QHP Enrollments 2020],HIX_RatingAreas8[Area],HIX_SLCSP11[[#This Row],[Area Code]])</f>
        <v>93439</v>
      </c>
      <c r="BA1914">
        <f t="shared" si="98"/>
        <v>0.18492701993963684</v>
      </c>
      <c r="BB1914">
        <f>SUMIFS(HIX_RatingAreas8[QHP Enrollments 2021],HIX_RatingAreas8[Area],HIX_SLCSP11[[#This Row],[Area Code]])</f>
        <v>97538</v>
      </c>
      <c r="BC1914">
        <f t="shared" si="99"/>
        <v>0.18204078737894339</v>
      </c>
      <c r="BD1914">
        <f>SUMIFS(HIX_RatingAreas8[QHP Enrollments 2022],HIX_RatingAreas8[Area],HIX_SLCSP11[[#This Row],[Area Code]])</f>
        <v>129724</v>
      </c>
      <c r="BE1914">
        <f t="shared" si="100"/>
        <v>0.19355348891339152</v>
      </c>
      <c r="BF1914">
        <f>SUMIFS(HIX_RatingAreas8[QHP Enrollments 2023],HIX_RatingAreas8[Area],HIX_SLCSP11[[#This Row],[Area Code]])</f>
        <v>129724</v>
      </c>
      <c r="BG1914">
        <f t="shared" si="105"/>
        <v>0.19355348891339152</v>
      </c>
      <c r="BH1914" s="53">
        <f>ROUND(HIX_SLCSP11[[#This Row],[Weighting Factor 2018]]*HIX_SLCSP11[[#This Row],[2018]],2)</f>
        <v>104.58</v>
      </c>
      <c r="BI1914" s="53">
        <f>ROUND(HIX_SLCSP11[[#This Row],[Weighting Factor 2019]]*HIX_SLCSP11[[#This Row],[2019]],2)</f>
        <v>81.88</v>
      </c>
      <c r="BJ1914" s="53">
        <f>ROUND(HIX_SLCSP11[[#This Row],[Weighting Factor 2020]]*HIX_SLCSP11[[#This Row],[2020]],2)</f>
        <v>62.1</v>
      </c>
      <c r="BK1914" s="53">
        <f>ROUND(HIX_SLCSP11[[#This Row],[Weighting Factor 2021]]*HIX_SLCSP11[[#This Row],[2021]],2)</f>
        <v>59.7</v>
      </c>
      <c r="BL1914" s="53">
        <f>ROUND(HIX_SLCSP11[[#This Row],[Weighting Factor 2022]]*HIX_SLCSP11[[#This Row],[2022]],2)</f>
        <v>66.599999999999994</v>
      </c>
      <c r="BM1914" s="53">
        <f>ROUND(HIX_SLCSP11[[#This Row],[Weighting Factor 2023]]*HIX_SLCSP11[[#This Row],[2023]],2)</f>
        <v>75.56</v>
      </c>
    </row>
    <row r="1915" spans="4:65" x14ac:dyDescent="0.35">
      <c r="D1915" t="s">
        <v>1471</v>
      </c>
      <c r="E1915" t="s">
        <v>259</v>
      </c>
      <c r="F1915" s="23">
        <v>5</v>
      </c>
      <c r="G1915" s="23" t="s">
        <v>1472</v>
      </c>
      <c r="H1915" s="23" t="s">
        <v>1531</v>
      </c>
      <c r="I1915" s="23">
        <v>40</v>
      </c>
      <c r="J1915" s="53">
        <v>511.85</v>
      </c>
      <c r="K1915" s="53">
        <v>530.52</v>
      </c>
      <c r="L1915" s="53">
        <v>904.11</v>
      </c>
      <c r="M1915" s="54">
        <f t="shared" si="101"/>
        <v>1.7041958832843249</v>
      </c>
      <c r="N1915" s="24">
        <v>16</v>
      </c>
      <c r="O1915" s="55">
        <v>412.57</v>
      </c>
      <c r="P1915" s="56">
        <v>439.75</v>
      </c>
      <c r="Q1915" s="56">
        <v>749.42</v>
      </c>
      <c r="R1915" s="57">
        <f t="shared" si="102"/>
        <v>1.704195565662308</v>
      </c>
      <c r="S1915" s="23">
        <v>40</v>
      </c>
      <c r="T1915" s="53">
        <v>332.45</v>
      </c>
      <c r="U1915" s="53">
        <v>335.81</v>
      </c>
      <c r="V1915" s="53">
        <v>572.28</v>
      </c>
      <c r="W1915" s="57">
        <f t="shared" si="103"/>
        <v>1.704177957773741</v>
      </c>
      <c r="X1915" s="47">
        <v>34</v>
      </c>
      <c r="Y1915" s="58">
        <v>336.18</v>
      </c>
      <c r="Z1915" s="58">
        <v>354.43</v>
      </c>
      <c r="AA1915" s="58">
        <v>604.02</v>
      </c>
      <c r="AB1915" s="57">
        <f t="shared" si="84"/>
        <v>1.7042011116440481</v>
      </c>
      <c r="AC1915" s="47">
        <v>110</v>
      </c>
      <c r="AD1915" s="57">
        <v>361.96</v>
      </c>
      <c r="AE1915" s="57">
        <v>371.98</v>
      </c>
      <c r="AF1915" s="57">
        <v>633.91999999999996</v>
      </c>
      <c r="AG1915" s="57">
        <f t="shared" si="104"/>
        <v>1.7041776439593526</v>
      </c>
      <c r="AH1915" s="47">
        <v>140</v>
      </c>
      <c r="AI1915">
        <v>355.36</v>
      </c>
      <c r="AJ1915">
        <v>372.33</v>
      </c>
      <c r="AK1915">
        <v>634.53</v>
      </c>
      <c r="AL1915" s="57">
        <f t="shared" si="93"/>
        <v>1.7042140037063895</v>
      </c>
      <c r="AM1915" s="59">
        <v>15129</v>
      </c>
      <c r="AN1915" s="59">
        <f>SUMIFS(HIX_RatingAreas8[Silver Enrollments 2018],HIX_RatingAreas8[Area],HIX_SLCSP11[[#This Row],[Area Code]])</f>
        <v>11221</v>
      </c>
      <c r="AO1915" s="59">
        <f>SUMIFS(HIX_RatingAreas8[Silver Enrollments 2019],HIX_RatingAreas8[Area],HIX_SLCSP11[[#This Row],[Area Code]])</f>
        <v>9553</v>
      </c>
      <c r="AP1915" s="59">
        <f>SUMIFS(HIX_RatingAreas8[Silver Enrollments 2020],HIX_RatingAreas8[Area],HIX_SLCSP11[[#This Row],[Area Code]])</f>
        <v>8299</v>
      </c>
      <c r="AQ1915" s="59">
        <f>SUMIFS(HIX_RatingAreas8[Silver Enrollments 2021],HIX_RatingAreas8[Area],HIX_SLCSP11[[#This Row],[Area Code]])</f>
        <v>7776</v>
      </c>
      <c r="AR1915" s="59">
        <f>SUMIFS(HIX_RatingAreas8[Silver Enrollments 2022],HIX_RatingAreas8[Area],HIX_SLCSP11[[#This Row],[Area Code]])</f>
        <v>11328</v>
      </c>
      <c r="AS1915" s="59">
        <f>SUMIFS(HIX_RatingAreas8[Silver Enrollments 2023],HIX_RatingAreas8[Area],HIX_SLCSP11[[#This Row],[Area Code]])</f>
        <v>11328</v>
      </c>
      <c r="AT1915" s="59">
        <v>20998</v>
      </c>
      <c r="AU1915">
        <f t="shared" si="95"/>
        <v>3.4227852062913525E-2</v>
      </c>
      <c r="AV1915">
        <f>SUMIFS(HIX_RatingAreas8[QHP Enrollments 2018],HIX_RatingAreas8[Area],HIX_SLCSP11[[#This Row],[Area Code]])</f>
        <v>16124</v>
      </c>
      <c r="AW1915">
        <f t="shared" si="96"/>
        <v>3.1019443904710054E-2</v>
      </c>
      <c r="AX1915">
        <f>SUMIFS(HIX_RatingAreas8[QHP Enrollments 2019],HIX_RatingAreas8[Area],HIX_SLCSP11[[#This Row],[Area Code]])</f>
        <v>15461</v>
      </c>
      <c r="AY1915">
        <f t="shared" si="97"/>
        <v>3.0843595580035549E-2</v>
      </c>
      <c r="AZ1915">
        <f>SUMIFS(HIX_RatingAreas8[QHP Enrollments 2020],HIX_RatingAreas8[Area],HIX_SLCSP11[[#This Row],[Area Code]])</f>
        <v>15169</v>
      </c>
      <c r="BA1915">
        <f t="shared" si="98"/>
        <v>3.0021275543021128E-2</v>
      </c>
      <c r="BB1915">
        <f>SUMIFS(HIX_RatingAreas8[QHP Enrollments 2021],HIX_RatingAreas8[Area],HIX_SLCSP11[[#This Row],[Area Code]])</f>
        <v>15454</v>
      </c>
      <c r="BC1915">
        <f t="shared" si="99"/>
        <v>2.8842690317150147E-2</v>
      </c>
      <c r="BD1915">
        <f>SUMIFS(HIX_RatingAreas8[QHP Enrollments 2022],HIX_RatingAreas8[Area],HIX_SLCSP11[[#This Row],[Area Code]])</f>
        <v>21464</v>
      </c>
      <c r="BE1915">
        <f t="shared" si="100"/>
        <v>3.2025161774513859E-2</v>
      </c>
      <c r="BF1915">
        <f>SUMIFS(HIX_RatingAreas8[QHP Enrollments 2023],HIX_RatingAreas8[Area],HIX_SLCSP11[[#This Row],[Area Code]])</f>
        <v>21464</v>
      </c>
      <c r="BG1915">
        <f t="shared" si="105"/>
        <v>3.2025161774513859E-2</v>
      </c>
      <c r="BH1915" s="53">
        <f>ROUND(HIX_SLCSP11[[#This Row],[Weighting Factor 2018]]*HIX_SLCSP11[[#This Row],[2018]],2)</f>
        <v>16.46</v>
      </c>
      <c r="BI1915" s="53">
        <f>ROUND(HIX_SLCSP11[[#This Row],[Weighting Factor 2019]]*HIX_SLCSP11[[#This Row],[2019]],2)</f>
        <v>13.56</v>
      </c>
      <c r="BJ1915" s="53">
        <f>ROUND(HIX_SLCSP11[[#This Row],[Weighting Factor 2020]]*HIX_SLCSP11[[#This Row],[2020]],2)</f>
        <v>10.08</v>
      </c>
      <c r="BK1915" s="53">
        <f>ROUND(HIX_SLCSP11[[#This Row],[Weighting Factor 2021]]*HIX_SLCSP11[[#This Row],[2021]],2)</f>
        <v>10.220000000000001</v>
      </c>
      <c r="BL1915" s="53">
        <f>ROUND(HIX_SLCSP11[[#This Row],[Weighting Factor 2022]]*HIX_SLCSP11[[#This Row],[2022]],2)</f>
        <v>11.91</v>
      </c>
      <c r="BM1915" s="53">
        <f>ROUND(HIX_SLCSP11[[#This Row],[Weighting Factor 2023]]*HIX_SLCSP11[[#This Row],[2023]],2)</f>
        <v>11.92</v>
      </c>
    </row>
    <row r="1916" spans="4:65" x14ac:dyDescent="0.35">
      <c r="D1916" t="s">
        <v>1471</v>
      </c>
      <c r="E1916" t="s">
        <v>265</v>
      </c>
      <c r="F1916" s="23">
        <v>6</v>
      </c>
      <c r="G1916" s="23" t="s">
        <v>1472</v>
      </c>
      <c r="H1916" s="23" t="s">
        <v>1536</v>
      </c>
      <c r="I1916" s="23">
        <v>36</v>
      </c>
      <c r="J1916" s="53">
        <v>487.94</v>
      </c>
      <c r="K1916" s="53">
        <v>542.73</v>
      </c>
      <c r="L1916" s="53">
        <v>924.92</v>
      </c>
      <c r="M1916" s="54">
        <f t="shared" si="101"/>
        <v>1.7041991413778488</v>
      </c>
      <c r="N1916" s="24">
        <v>20</v>
      </c>
      <c r="O1916" s="55">
        <v>460.01</v>
      </c>
      <c r="P1916" s="56">
        <v>490.35</v>
      </c>
      <c r="Q1916" s="56">
        <v>835.65</v>
      </c>
      <c r="R1916" s="57">
        <f t="shared" si="102"/>
        <v>1.7041908840624043</v>
      </c>
      <c r="S1916" s="23">
        <v>36</v>
      </c>
      <c r="T1916" s="53">
        <v>379.76</v>
      </c>
      <c r="U1916" s="53">
        <v>404.77</v>
      </c>
      <c r="V1916" s="53">
        <v>689.81</v>
      </c>
      <c r="W1916" s="57">
        <f t="shared" si="103"/>
        <v>1.7042023865405045</v>
      </c>
      <c r="X1916" s="47">
        <v>98</v>
      </c>
      <c r="Y1916" s="58">
        <v>350.16</v>
      </c>
      <c r="Z1916" s="58">
        <v>356.34</v>
      </c>
      <c r="AA1916" s="58">
        <v>607.27</v>
      </c>
      <c r="AB1916" s="57">
        <f t="shared" si="84"/>
        <v>1.704187012403884</v>
      </c>
      <c r="AC1916" s="47">
        <v>166</v>
      </c>
      <c r="AD1916" s="57">
        <v>313.60000000000002</v>
      </c>
      <c r="AE1916" s="57">
        <v>350.91</v>
      </c>
      <c r="AF1916" s="57">
        <v>598.02</v>
      </c>
      <c r="AG1916" s="57">
        <f t="shared" si="104"/>
        <v>1.7041976575190219</v>
      </c>
      <c r="AH1916" s="47">
        <v>164</v>
      </c>
      <c r="AI1916">
        <v>361.06</v>
      </c>
      <c r="AJ1916">
        <v>366.22</v>
      </c>
      <c r="AK1916">
        <v>624.1</v>
      </c>
      <c r="AL1916" s="57">
        <f t="shared" si="93"/>
        <v>1.7041668942165911</v>
      </c>
      <c r="AM1916" s="59">
        <v>34493</v>
      </c>
      <c r="AN1916" s="59">
        <f>SUMIFS(HIX_RatingAreas8[Silver Enrollments 2018],HIX_RatingAreas8[Area],HIX_SLCSP11[[#This Row],[Area Code]])</f>
        <v>27197</v>
      </c>
      <c r="AO1916" s="59">
        <f>SUMIFS(HIX_RatingAreas8[Silver Enrollments 2019],HIX_RatingAreas8[Area],HIX_SLCSP11[[#This Row],[Area Code]])</f>
        <v>24377</v>
      </c>
      <c r="AP1916" s="59">
        <f>SUMIFS(HIX_RatingAreas8[Silver Enrollments 2020],HIX_RatingAreas8[Area],HIX_SLCSP11[[#This Row],[Area Code]])</f>
        <v>21419</v>
      </c>
      <c r="AQ1916" s="59">
        <f>SUMIFS(HIX_RatingAreas8[Silver Enrollments 2021],HIX_RatingAreas8[Area],HIX_SLCSP11[[#This Row],[Area Code]])</f>
        <v>19474</v>
      </c>
      <c r="AR1916" s="59">
        <f>SUMIFS(HIX_RatingAreas8[Silver Enrollments 2022],HIX_RatingAreas8[Area],HIX_SLCSP11[[#This Row],[Area Code]])</f>
        <v>23957</v>
      </c>
      <c r="AS1916" s="59">
        <f>SUMIFS(HIX_RatingAreas8[Silver Enrollments 2023],HIX_RatingAreas8[Area],HIX_SLCSP11[[#This Row],[Area Code]])</f>
        <v>23957</v>
      </c>
      <c r="AT1916" s="59">
        <v>42428</v>
      </c>
      <c r="AU1916">
        <f t="shared" si="95"/>
        <v>6.915988700472879E-2</v>
      </c>
      <c r="AV1916">
        <f>SUMIFS(HIX_RatingAreas8[QHP Enrollments 2018],HIX_RatingAreas8[Area],HIX_SLCSP11[[#This Row],[Area Code]])</f>
        <v>36489</v>
      </c>
      <c r="AW1916">
        <f t="shared" si="96"/>
        <v>7.0197747992989654E-2</v>
      </c>
      <c r="AX1916">
        <f>SUMIFS(HIX_RatingAreas8[QHP Enrollments 2019],HIX_RatingAreas8[Area],HIX_SLCSP11[[#This Row],[Area Code]])</f>
        <v>35316</v>
      </c>
      <c r="AY1916">
        <f t="shared" si="97"/>
        <v>7.045290870606917E-2</v>
      </c>
      <c r="AZ1916">
        <f>SUMIFS(HIX_RatingAreas8[QHP Enrollments 2020],HIX_RatingAreas8[Area],HIX_SLCSP11[[#This Row],[Area Code]])</f>
        <v>35540</v>
      </c>
      <c r="BA1916">
        <f t="shared" si="98"/>
        <v>7.0337934787986736E-2</v>
      </c>
      <c r="BB1916">
        <f>SUMIFS(HIX_RatingAreas8[QHP Enrollments 2021],HIX_RatingAreas8[Area],HIX_SLCSP11[[#This Row],[Area Code]])</f>
        <v>36874</v>
      </c>
      <c r="BC1916">
        <f t="shared" si="99"/>
        <v>6.8820070063064218E-2</v>
      </c>
      <c r="BD1916">
        <f>SUMIFS(HIX_RatingAreas8[QHP Enrollments 2022],HIX_RatingAreas8[Area],HIX_SLCSP11[[#This Row],[Area Code]])</f>
        <v>45578</v>
      </c>
      <c r="BE1916">
        <f t="shared" si="100"/>
        <v>6.8004231427450268E-2</v>
      </c>
      <c r="BF1916">
        <f>SUMIFS(HIX_RatingAreas8[QHP Enrollments 2023],HIX_RatingAreas8[Area],HIX_SLCSP11[[#This Row],[Area Code]])</f>
        <v>45578</v>
      </c>
      <c r="BG1916">
        <f t="shared" si="105"/>
        <v>6.8004231427450268E-2</v>
      </c>
      <c r="BH1916" s="53">
        <f>ROUND(HIX_SLCSP11[[#This Row],[Weighting Factor 2018]]*HIX_SLCSP11[[#This Row],[2018]],2)</f>
        <v>38.1</v>
      </c>
      <c r="BI1916" s="53">
        <f>ROUND(HIX_SLCSP11[[#This Row],[Weighting Factor 2019]]*HIX_SLCSP11[[#This Row],[2019]],2)</f>
        <v>34.549999999999997</v>
      </c>
      <c r="BJ1916" s="53">
        <f>ROUND(HIX_SLCSP11[[#This Row],[Weighting Factor 2020]]*HIX_SLCSP11[[#This Row],[2020]],2)</f>
        <v>28.47</v>
      </c>
      <c r="BK1916" s="53">
        <f>ROUND(HIX_SLCSP11[[#This Row],[Weighting Factor 2021]]*HIX_SLCSP11[[#This Row],[2021]],2)</f>
        <v>24.52</v>
      </c>
      <c r="BL1916" s="53">
        <f>ROUND(HIX_SLCSP11[[#This Row],[Weighting Factor 2022]]*HIX_SLCSP11[[#This Row],[2022]],2)</f>
        <v>23.86</v>
      </c>
      <c r="BM1916" s="53">
        <f>ROUND(HIX_SLCSP11[[#This Row],[Weighting Factor 2023]]*HIX_SLCSP11[[#This Row],[2023]],2)</f>
        <v>24.9</v>
      </c>
    </row>
    <row r="1917" spans="4:65" x14ac:dyDescent="0.35">
      <c r="D1917" t="s">
        <v>1471</v>
      </c>
      <c r="E1917" t="s">
        <v>273</v>
      </c>
      <c r="F1917" s="23">
        <v>7</v>
      </c>
      <c r="G1917" s="23" t="s">
        <v>1472</v>
      </c>
      <c r="H1917" s="23" t="s">
        <v>1548</v>
      </c>
      <c r="I1917" s="23">
        <v>36</v>
      </c>
      <c r="J1917" s="53">
        <v>499.9</v>
      </c>
      <c r="K1917" s="53">
        <v>538.24</v>
      </c>
      <c r="L1917" s="53">
        <v>917.27</v>
      </c>
      <c r="M1917" s="54">
        <f t="shared" si="101"/>
        <v>1.7042025862068966</v>
      </c>
      <c r="N1917" s="24">
        <v>12</v>
      </c>
      <c r="O1917" s="55">
        <v>544.89</v>
      </c>
      <c r="P1917" s="56">
        <v>561.41999999999996</v>
      </c>
      <c r="Q1917" s="56">
        <v>956.78</v>
      </c>
      <c r="R1917" s="57">
        <f t="shared" si="102"/>
        <v>1.7042143137045349</v>
      </c>
      <c r="S1917" s="23">
        <v>36</v>
      </c>
      <c r="T1917" s="53">
        <v>360.59</v>
      </c>
      <c r="U1917" s="53">
        <v>384.32</v>
      </c>
      <c r="V1917" s="53">
        <v>654.96</v>
      </c>
      <c r="W1917" s="57">
        <f t="shared" si="103"/>
        <v>1.7042048293089094</v>
      </c>
      <c r="X1917" s="47">
        <v>94</v>
      </c>
      <c r="Y1917" s="58">
        <v>309.17</v>
      </c>
      <c r="Z1917" s="58">
        <v>325.95</v>
      </c>
      <c r="AA1917" s="58">
        <v>555.49</v>
      </c>
      <c r="AB1917" s="57">
        <f t="shared" si="84"/>
        <v>1.7042184384107992</v>
      </c>
      <c r="AC1917" s="47">
        <v>158</v>
      </c>
      <c r="AD1917" s="57">
        <v>312.89999999999998</v>
      </c>
      <c r="AE1917" s="57">
        <v>313.57</v>
      </c>
      <c r="AF1917" s="57">
        <v>534.39</v>
      </c>
      <c r="AG1917" s="57">
        <f t="shared" si="104"/>
        <v>1.7042127754568357</v>
      </c>
      <c r="AH1917" s="47">
        <v>198</v>
      </c>
      <c r="AI1917">
        <v>292.19</v>
      </c>
      <c r="AJ1917">
        <v>306.14999999999998</v>
      </c>
      <c r="AK1917">
        <v>521.74</v>
      </c>
      <c r="AL1917" s="57">
        <f t="shared" si="93"/>
        <v>1.7041972889106649</v>
      </c>
      <c r="AM1917" s="59">
        <v>37680</v>
      </c>
      <c r="AN1917" s="59">
        <f>SUMIFS(HIX_RatingAreas8[Silver Enrollments 2018],HIX_RatingAreas8[Area],HIX_SLCSP11[[#This Row],[Area Code]])</f>
        <v>31397</v>
      </c>
      <c r="AO1917" s="59">
        <f>SUMIFS(HIX_RatingAreas8[Silver Enrollments 2019],HIX_RatingAreas8[Area],HIX_SLCSP11[[#This Row],[Area Code]])</f>
        <v>27823</v>
      </c>
      <c r="AP1917" s="59">
        <f>SUMIFS(HIX_RatingAreas8[Silver Enrollments 2020],HIX_RatingAreas8[Area],HIX_SLCSP11[[#This Row],[Area Code]])</f>
        <v>24159</v>
      </c>
      <c r="AQ1917" s="59">
        <f>SUMIFS(HIX_RatingAreas8[Silver Enrollments 2021],HIX_RatingAreas8[Area],HIX_SLCSP11[[#This Row],[Area Code]])</f>
        <v>21664</v>
      </c>
      <c r="AR1917" s="59">
        <f>SUMIFS(HIX_RatingAreas8[Silver Enrollments 2022],HIX_RatingAreas8[Area],HIX_SLCSP11[[#This Row],[Area Code]])</f>
        <v>26348</v>
      </c>
      <c r="AS1917" s="59">
        <f>SUMIFS(HIX_RatingAreas8[Silver Enrollments 2023],HIX_RatingAreas8[Area],HIX_SLCSP11[[#This Row],[Area Code]])</f>
        <v>26348</v>
      </c>
      <c r="AT1917" s="59">
        <v>48713</v>
      </c>
      <c r="AU1917">
        <f t="shared" si="95"/>
        <v>7.9404769860972779E-2</v>
      </c>
      <c r="AV1917">
        <f>SUMIFS(HIX_RatingAreas8[QHP Enrollments 2018],HIX_RatingAreas8[Area],HIX_SLCSP11[[#This Row],[Area Code]])</f>
        <v>40998</v>
      </c>
      <c r="AW1917">
        <f t="shared" si="96"/>
        <v>7.8872188117421402E-2</v>
      </c>
      <c r="AX1917">
        <f>SUMIFS(HIX_RatingAreas8[QHP Enrollments 2019],HIX_RatingAreas8[Area],HIX_SLCSP11[[#This Row],[Area Code]])</f>
        <v>39555</v>
      </c>
      <c r="AY1917">
        <f t="shared" si="97"/>
        <v>7.8909412273999488E-2</v>
      </c>
      <c r="AZ1917">
        <f>SUMIFS(HIX_RatingAreas8[QHP Enrollments 2020],HIX_RatingAreas8[Area],HIX_SLCSP11[[#This Row],[Area Code]])</f>
        <v>38951</v>
      </c>
      <c r="BA1917">
        <f t="shared" si="98"/>
        <v>7.7088714066597397E-2</v>
      </c>
      <c r="BB1917">
        <f>SUMIFS(HIX_RatingAreas8[QHP Enrollments 2021],HIX_RatingAreas8[Area],HIX_SLCSP11[[#This Row],[Area Code]])</f>
        <v>39458</v>
      </c>
      <c r="BC1917">
        <f t="shared" si="99"/>
        <v>7.3642738095904645E-2</v>
      </c>
      <c r="BD1917">
        <f>SUMIFS(HIX_RatingAreas8[QHP Enrollments 2022],HIX_RatingAreas8[Area],HIX_SLCSP11[[#This Row],[Area Code]])</f>
        <v>48269</v>
      </c>
      <c r="BE1917">
        <f t="shared" si="100"/>
        <v>7.2019312974935204E-2</v>
      </c>
      <c r="BF1917">
        <f>SUMIFS(HIX_RatingAreas8[QHP Enrollments 2023],HIX_RatingAreas8[Area],HIX_SLCSP11[[#This Row],[Area Code]])</f>
        <v>48269</v>
      </c>
      <c r="BG1917">
        <f t="shared" si="105"/>
        <v>7.2019312974935204E-2</v>
      </c>
      <c r="BH1917" s="53">
        <f>ROUND(HIX_SLCSP11[[#This Row],[Weighting Factor 2018]]*HIX_SLCSP11[[#This Row],[2018]],2)</f>
        <v>42.45</v>
      </c>
      <c r="BI1917" s="53">
        <f>ROUND(HIX_SLCSP11[[#This Row],[Weighting Factor 2019]]*HIX_SLCSP11[[#This Row],[2019]],2)</f>
        <v>44.3</v>
      </c>
      <c r="BJ1917" s="53">
        <f>ROUND(HIX_SLCSP11[[#This Row],[Weighting Factor 2020]]*HIX_SLCSP11[[#This Row],[2020]],2)</f>
        <v>29.63</v>
      </c>
      <c r="BK1917" s="53">
        <f>ROUND(HIX_SLCSP11[[#This Row],[Weighting Factor 2021]]*HIX_SLCSP11[[#This Row],[2021]],2)</f>
        <v>24</v>
      </c>
      <c r="BL1917" s="53">
        <f>ROUND(HIX_SLCSP11[[#This Row],[Weighting Factor 2022]]*HIX_SLCSP11[[#This Row],[2022]],2)</f>
        <v>22.58</v>
      </c>
      <c r="BM1917" s="53">
        <f>ROUND(HIX_SLCSP11[[#This Row],[Weighting Factor 2023]]*HIX_SLCSP11[[#This Row],[2023]],2)</f>
        <v>22.05</v>
      </c>
    </row>
    <row r="1918" spans="4:65" x14ac:dyDescent="0.35">
      <c r="D1918" t="s">
        <v>1471</v>
      </c>
      <c r="E1918" t="s">
        <v>279</v>
      </c>
      <c r="F1918" s="23">
        <v>8</v>
      </c>
      <c r="G1918" s="23" t="s">
        <v>1472</v>
      </c>
      <c r="H1918" s="23" t="s">
        <v>1554</v>
      </c>
      <c r="I1918" s="23">
        <v>8</v>
      </c>
      <c r="J1918" s="53">
        <v>532.14</v>
      </c>
      <c r="K1918" s="53">
        <v>572.97</v>
      </c>
      <c r="L1918" s="53">
        <v>976.46</v>
      </c>
      <c r="M1918" s="54">
        <f t="shared" si="101"/>
        <v>1.7042078991919298</v>
      </c>
      <c r="N1918" s="24">
        <v>12</v>
      </c>
      <c r="O1918" s="55">
        <v>579.29</v>
      </c>
      <c r="P1918" s="56">
        <v>596.89</v>
      </c>
      <c r="Q1918" s="56">
        <v>1017.22</v>
      </c>
      <c r="R1918" s="57">
        <f t="shared" si="102"/>
        <v>1.7042001038717352</v>
      </c>
      <c r="S1918" s="23">
        <v>8</v>
      </c>
      <c r="T1918" s="53">
        <v>575.11</v>
      </c>
      <c r="U1918" s="53">
        <v>612.14</v>
      </c>
      <c r="V1918" s="53">
        <v>1043.2</v>
      </c>
      <c r="W1918" s="57">
        <f t="shared" si="103"/>
        <v>1.7041853170843273</v>
      </c>
      <c r="X1918" s="47">
        <v>74</v>
      </c>
      <c r="Y1918" s="58">
        <v>435.2</v>
      </c>
      <c r="Z1918" s="58">
        <v>438.86</v>
      </c>
      <c r="AA1918" s="58">
        <v>747.91</v>
      </c>
      <c r="AB1918" s="57">
        <f t="shared" si="84"/>
        <v>1.7042109100852207</v>
      </c>
      <c r="AC1918" s="47">
        <v>86</v>
      </c>
      <c r="AD1918" s="57">
        <v>417.88</v>
      </c>
      <c r="AE1918" s="57">
        <v>417.88</v>
      </c>
      <c r="AF1918" s="57">
        <v>712.14</v>
      </c>
      <c r="AG1918" s="57">
        <f t="shared" si="104"/>
        <v>1.7041734469225616</v>
      </c>
      <c r="AH1918" s="47">
        <v>98</v>
      </c>
      <c r="AI1918">
        <v>451.59</v>
      </c>
      <c r="AJ1918">
        <v>456.96</v>
      </c>
      <c r="AK1918">
        <v>778.75</v>
      </c>
      <c r="AL1918" s="57">
        <f t="shared" si="93"/>
        <v>1.7041973039215688</v>
      </c>
      <c r="AM1918" s="59">
        <v>5570</v>
      </c>
      <c r="AN1918" s="59">
        <f>SUMIFS(HIX_RatingAreas8[Silver Enrollments 2018],HIX_RatingAreas8[Area],HIX_SLCSP11[[#This Row],[Area Code]])</f>
        <v>4392</v>
      </c>
      <c r="AO1918" s="59">
        <f>SUMIFS(HIX_RatingAreas8[Silver Enrollments 2019],HIX_RatingAreas8[Area],HIX_SLCSP11[[#This Row],[Area Code]])</f>
        <v>3644</v>
      </c>
      <c r="AP1918" s="59">
        <f>SUMIFS(HIX_RatingAreas8[Silver Enrollments 2020],HIX_RatingAreas8[Area],HIX_SLCSP11[[#This Row],[Area Code]])</f>
        <v>3569</v>
      </c>
      <c r="AQ1918" s="59">
        <f>SUMIFS(HIX_RatingAreas8[Silver Enrollments 2021],HIX_RatingAreas8[Area],HIX_SLCSP11[[#This Row],[Area Code]])</f>
        <v>2634</v>
      </c>
      <c r="AR1918" s="59">
        <f>SUMIFS(HIX_RatingAreas8[Silver Enrollments 2022],HIX_RatingAreas8[Area],HIX_SLCSP11[[#This Row],[Area Code]])</f>
        <v>2908</v>
      </c>
      <c r="AS1918" s="59">
        <f>SUMIFS(HIX_RatingAreas8[Silver Enrollments 2023],HIX_RatingAreas8[Area],HIX_SLCSP11[[#This Row],[Area Code]])</f>
        <v>2908</v>
      </c>
      <c r="AT1918" s="59">
        <v>6771</v>
      </c>
      <c r="AU1918">
        <f t="shared" si="95"/>
        <v>1.1037088595008453E-2</v>
      </c>
      <c r="AV1918">
        <f>SUMIFS(HIX_RatingAreas8[QHP Enrollments 2018],HIX_RatingAreas8[Area],HIX_SLCSP11[[#This Row],[Area Code]])</f>
        <v>5958</v>
      </c>
      <c r="AW1918">
        <f t="shared" si="96"/>
        <v>1.1462034655436772E-2</v>
      </c>
      <c r="AX1918">
        <f>SUMIFS(HIX_RatingAreas8[QHP Enrollments 2019],HIX_RatingAreas8[Area],HIX_SLCSP11[[#This Row],[Area Code]])</f>
        <v>5728</v>
      </c>
      <c r="AY1918">
        <f t="shared" si="97"/>
        <v>1.1426952686271499E-2</v>
      </c>
      <c r="AZ1918">
        <f>SUMIFS(HIX_RatingAreas8[QHP Enrollments 2020],HIX_RatingAreas8[Area],HIX_SLCSP11[[#This Row],[Area Code]])</f>
        <v>5820</v>
      </c>
      <c r="BA1918">
        <f t="shared" si="98"/>
        <v>1.1518480035624164E-2</v>
      </c>
      <c r="BB1918">
        <f>SUMIFS(HIX_RatingAreas8[QHP Enrollments 2021],HIX_RatingAreas8[Area],HIX_SLCSP11[[#This Row],[Area Code]])</f>
        <v>5975</v>
      </c>
      <c r="BC1918">
        <f t="shared" si="99"/>
        <v>1.1151486647144566E-2</v>
      </c>
      <c r="BD1918">
        <f>SUMIFS(HIX_RatingAreas8[QHP Enrollments 2022],HIX_RatingAreas8[Area],HIX_SLCSP11[[#This Row],[Area Code]])</f>
        <v>6612</v>
      </c>
      <c r="BE1918">
        <f t="shared" si="100"/>
        <v>9.8653731668414835E-3</v>
      </c>
      <c r="BF1918">
        <f>SUMIFS(HIX_RatingAreas8[QHP Enrollments 2023],HIX_RatingAreas8[Area],HIX_SLCSP11[[#This Row],[Area Code]])</f>
        <v>6612</v>
      </c>
      <c r="BG1918">
        <f t="shared" si="105"/>
        <v>9.8653731668414835E-3</v>
      </c>
      <c r="BH1918" s="53">
        <f>ROUND(HIX_SLCSP11[[#This Row],[Weighting Factor 2018]]*HIX_SLCSP11[[#This Row],[2018]],2)</f>
        <v>6.57</v>
      </c>
      <c r="BI1918" s="53">
        <f>ROUND(HIX_SLCSP11[[#This Row],[Weighting Factor 2019]]*HIX_SLCSP11[[#This Row],[2019]],2)</f>
        <v>6.82</v>
      </c>
      <c r="BJ1918" s="53">
        <f>ROUND(HIX_SLCSP11[[#This Row],[Weighting Factor 2020]]*HIX_SLCSP11[[#This Row],[2020]],2)</f>
        <v>7.05</v>
      </c>
      <c r="BK1918" s="53">
        <f>ROUND(HIX_SLCSP11[[#This Row],[Weighting Factor 2021]]*HIX_SLCSP11[[#This Row],[2021]],2)</f>
        <v>4.8899999999999997</v>
      </c>
      <c r="BL1918" s="53">
        <f>ROUND(HIX_SLCSP11[[#This Row],[Weighting Factor 2022]]*HIX_SLCSP11[[#This Row],[2022]],2)</f>
        <v>4.12</v>
      </c>
      <c r="BM1918" s="53">
        <f>ROUND(HIX_SLCSP11[[#This Row],[Weighting Factor 2023]]*HIX_SLCSP11[[#This Row],[2023]],2)</f>
        <v>4.51</v>
      </c>
    </row>
    <row r="1919" spans="4:65" x14ac:dyDescent="0.35">
      <c r="D1919" t="s">
        <v>1471</v>
      </c>
      <c r="E1919" t="s">
        <v>283</v>
      </c>
      <c r="F1919" s="23">
        <v>9</v>
      </c>
      <c r="G1919" s="23" t="s">
        <v>1472</v>
      </c>
      <c r="H1919" s="23" t="s">
        <v>1558</v>
      </c>
      <c r="I1919" s="23">
        <v>8</v>
      </c>
      <c r="J1919" s="53">
        <v>542.9</v>
      </c>
      <c r="K1919" s="53">
        <v>584.54</v>
      </c>
      <c r="L1919" s="53">
        <v>996.18</v>
      </c>
      <c r="M1919" s="54">
        <f t="shared" si="101"/>
        <v>1.7042118588975947</v>
      </c>
      <c r="N1919" s="24">
        <v>12</v>
      </c>
      <c r="O1919" s="55">
        <v>573.55999999999995</v>
      </c>
      <c r="P1919" s="56">
        <v>590.98</v>
      </c>
      <c r="Q1919" s="56">
        <v>1007.14</v>
      </c>
      <c r="R1919" s="57">
        <f t="shared" si="102"/>
        <v>1.7041862668787437</v>
      </c>
      <c r="S1919" s="23">
        <v>8</v>
      </c>
      <c r="T1919" s="53">
        <v>553.21</v>
      </c>
      <c r="U1919" s="53">
        <v>588.82000000000005</v>
      </c>
      <c r="V1919" s="53">
        <v>1003.46</v>
      </c>
      <c r="W1919" s="57">
        <f t="shared" si="103"/>
        <v>1.7041880370911313</v>
      </c>
      <c r="X1919" s="47">
        <v>86</v>
      </c>
      <c r="Y1919" s="58">
        <v>458.6</v>
      </c>
      <c r="Z1919" s="58">
        <v>462.46</v>
      </c>
      <c r="AA1919" s="58">
        <v>788.12</v>
      </c>
      <c r="AB1919" s="57">
        <f t="shared" si="84"/>
        <v>1.7041906327033691</v>
      </c>
      <c r="AC1919" s="47">
        <v>112</v>
      </c>
      <c r="AD1919" s="57">
        <v>337.24</v>
      </c>
      <c r="AE1919" s="57">
        <v>387.84</v>
      </c>
      <c r="AF1919" s="57">
        <v>660.96</v>
      </c>
      <c r="AG1919" s="57">
        <f t="shared" si="104"/>
        <v>1.7042079207920795</v>
      </c>
      <c r="AH1919" s="47">
        <v>142</v>
      </c>
      <c r="AI1919">
        <v>435.34</v>
      </c>
      <c r="AJ1919">
        <v>445.76</v>
      </c>
      <c r="AK1919">
        <v>759.67</v>
      </c>
      <c r="AL1919" s="57">
        <f t="shared" si="93"/>
        <v>1.7042130294328786</v>
      </c>
      <c r="AM1919" s="59">
        <v>29949</v>
      </c>
      <c r="AN1919" s="59">
        <f>SUMIFS(HIX_RatingAreas8[Silver Enrollments 2018],HIX_RatingAreas8[Area],HIX_SLCSP11[[#This Row],[Area Code]])</f>
        <v>23012</v>
      </c>
      <c r="AO1919" s="59">
        <f>SUMIFS(HIX_RatingAreas8[Silver Enrollments 2019],HIX_RatingAreas8[Area],HIX_SLCSP11[[#This Row],[Area Code]])</f>
        <v>20911</v>
      </c>
      <c r="AP1919" s="59">
        <f>SUMIFS(HIX_RatingAreas8[Silver Enrollments 2020],HIX_RatingAreas8[Area],HIX_SLCSP11[[#This Row],[Area Code]])</f>
        <v>20744</v>
      </c>
      <c r="AQ1919" s="59">
        <f>SUMIFS(HIX_RatingAreas8[Silver Enrollments 2021],HIX_RatingAreas8[Area],HIX_SLCSP11[[#This Row],[Area Code]])</f>
        <v>17288</v>
      </c>
      <c r="AR1919" s="59">
        <f>SUMIFS(HIX_RatingAreas8[Silver Enrollments 2022],HIX_RatingAreas8[Area],HIX_SLCSP11[[#This Row],[Area Code]])</f>
        <v>21894</v>
      </c>
      <c r="AS1919" s="59">
        <f>SUMIFS(HIX_RatingAreas8[Silver Enrollments 2023],HIX_RatingAreas8[Area],HIX_SLCSP11[[#This Row],[Area Code]])</f>
        <v>21894</v>
      </c>
      <c r="AT1919" s="59">
        <v>35846</v>
      </c>
      <c r="AU1919">
        <f t="shared" si="95"/>
        <v>5.8430878419239843E-2</v>
      </c>
      <c r="AV1919">
        <f>SUMIFS(HIX_RatingAreas8[QHP Enrollments 2018],HIX_RatingAreas8[Area],HIX_SLCSP11[[#This Row],[Area Code]])</f>
        <v>28410</v>
      </c>
      <c r="AW1919">
        <f t="shared" si="96"/>
        <v>5.4655321342893366E-2</v>
      </c>
      <c r="AX1919">
        <f>SUMIFS(HIX_RatingAreas8[QHP Enrollments 2019],HIX_RatingAreas8[Area],HIX_SLCSP11[[#This Row],[Area Code]])</f>
        <v>27851</v>
      </c>
      <c r="AY1919">
        <f t="shared" si="97"/>
        <v>5.5560764536548096E-2</v>
      </c>
      <c r="AZ1919">
        <f>SUMIFS(HIX_RatingAreas8[QHP Enrollments 2020],HIX_RatingAreas8[Area],HIX_SLCSP11[[#This Row],[Area Code]])</f>
        <v>28666</v>
      </c>
      <c r="BA1919">
        <f t="shared" si="98"/>
        <v>5.6733461976151603E-2</v>
      </c>
      <c r="BB1919">
        <f>SUMIFS(HIX_RatingAreas8[QHP Enrollments 2021],HIX_RatingAreas8[Area],HIX_SLCSP11[[#This Row],[Area Code]])</f>
        <v>30445</v>
      </c>
      <c r="BC1919">
        <f t="shared" si="99"/>
        <v>5.6821257066496454E-2</v>
      </c>
      <c r="BD1919">
        <f>SUMIFS(HIX_RatingAreas8[QHP Enrollments 2022],HIX_RatingAreas8[Area],HIX_SLCSP11[[#This Row],[Area Code]])</f>
        <v>37756</v>
      </c>
      <c r="BE1919">
        <f t="shared" si="100"/>
        <v>5.6333489002913954E-2</v>
      </c>
      <c r="BF1919">
        <f>SUMIFS(HIX_RatingAreas8[QHP Enrollments 2023],HIX_RatingAreas8[Area],HIX_SLCSP11[[#This Row],[Area Code]])</f>
        <v>37756</v>
      </c>
      <c r="BG1919">
        <f t="shared" si="105"/>
        <v>5.6333489002913954E-2</v>
      </c>
      <c r="BH1919" s="53">
        <f>ROUND(HIX_SLCSP11[[#This Row],[Weighting Factor 2018]]*HIX_SLCSP11[[#This Row],[2018]],2)</f>
        <v>31.95</v>
      </c>
      <c r="BI1919" s="53">
        <f>ROUND(HIX_SLCSP11[[#This Row],[Weighting Factor 2019]]*HIX_SLCSP11[[#This Row],[2019]],2)</f>
        <v>32.840000000000003</v>
      </c>
      <c r="BJ1919" s="53">
        <f>ROUND(HIX_SLCSP11[[#This Row],[Weighting Factor 2020]]*HIX_SLCSP11[[#This Row],[2020]],2)</f>
        <v>33.409999999999997</v>
      </c>
      <c r="BK1919" s="53">
        <f>ROUND(HIX_SLCSP11[[#This Row],[Weighting Factor 2021]]*HIX_SLCSP11[[#This Row],[2021]],2)</f>
        <v>26.28</v>
      </c>
      <c r="BL1919" s="53">
        <f>ROUND(HIX_SLCSP11[[#This Row],[Weighting Factor 2022]]*HIX_SLCSP11[[#This Row],[2022]],2)</f>
        <v>21.85</v>
      </c>
      <c r="BM1919" s="53">
        <f>ROUND(HIX_SLCSP11[[#This Row],[Weighting Factor 2023]]*HIX_SLCSP11[[#This Row],[2023]],2)</f>
        <v>25.11</v>
      </c>
    </row>
    <row r="1920" spans="4:65" x14ac:dyDescent="0.35">
      <c r="D1920" t="s">
        <v>1471</v>
      </c>
      <c r="E1920" t="s">
        <v>289</v>
      </c>
      <c r="F1920" s="23">
        <v>10</v>
      </c>
      <c r="G1920" s="23" t="s">
        <v>1472</v>
      </c>
      <c r="H1920" s="23" t="s">
        <v>1574</v>
      </c>
      <c r="I1920" s="23">
        <v>28</v>
      </c>
      <c r="J1920" s="53">
        <v>482.29</v>
      </c>
      <c r="K1920" s="53">
        <v>548.27</v>
      </c>
      <c r="L1920" s="53">
        <v>934.36</v>
      </c>
      <c r="M1920" s="54">
        <f t="shared" si="101"/>
        <v>1.7041968373246759</v>
      </c>
      <c r="N1920" s="24">
        <v>12</v>
      </c>
      <c r="O1920" s="55">
        <v>550.62</v>
      </c>
      <c r="P1920" s="56">
        <v>567.33000000000004</v>
      </c>
      <c r="Q1920" s="56">
        <v>966.85</v>
      </c>
      <c r="R1920" s="57">
        <f t="shared" si="102"/>
        <v>1.7042109530608287</v>
      </c>
      <c r="S1920" s="23">
        <v>28</v>
      </c>
      <c r="T1920" s="53">
        <v>395.51</v>
      </c>
      <c r="U1920" s="53">
        <v>402.25</v>
      </c>
      <c r="V1920" s="53">
        <v>685.51</v>
      </c>
      <c r="W1920" s="57">
        <f t="shared" si="103"/>
        <v>1.7041889372280921</v>
      </c>
      <c r="X1920" s="47">
        <v>74</v>
      </c>
      <c r="Y1920" s="58">
        <v>397.48</v>
      </c>
      <c r="Z1920" s="58">
        <v>400.83</v>
      </c>
      <c r="AA1920" s="58">
        <v>683.09</v>
      </c>
      <c r="AB1920" s="57">
        <f t="shared" si="84"/>
        <v>1.7041888082229375</v>
      </c>
      <c r="AC1920" s="47">
        <v>124</v>
      </c>
      <c r="AD1920" s="57">
        <v>334.93</v>
      </c>
      <c r="AE1920" s="57">
        <v>385.19</v>
      </c>
      <c r="AF1920" s="57">
        <v>656.43</v>
      </c>
      <c r="AG1920" s="57">
        <f t="shared" si="104"/>
        <v>1.7041719670811806</v>
      </c>
      <c r="AH1920" s="47">
        <v>114</v>
      </c>
      <c r="AI1920">
        <v>417.05</v>
      </c>
      <c r="AJ1920">
        <v>427.04</v>
      </c>
      <c r="AK1920">
        <v>727.76</v>
      </c>
      <c r="AL1920" s="57">
        <f t="shared" si="93"/>
        <v>1.7041963282128136</v>
      </c>
      <c r="AM1920" s="59">
        <v>4206</v>
      </c>
      <c r="AN1920" s="59">
        <f>SUMIFS(HIX_RatingAreas8[Silver Enrollments 2018],HIX_RatingAreas8[Area],HIX_SLCSP11[[#This Row],[Area Code]])</f>
        <v>3429</v>
      </c>
      <c r="AO1920" s="59">
        <f>SUMIFS(HIX_RatingAreas8[Silver Enrollments 2019],HIX_RatingAreas8[Area],HIX_SLCSP11[[#This Row],[Area Code]])</f>
        <v>2953</v>
      </c>
      <c r="AP1920" s="59">
        <f>SUMIFS(HIX_RatingAreas8[Silver Enrollments 2020],HIX_RatingAreas8[Area],HIX_SLCSP11[[#This Row],[Area Code]])</f>
        <v>2267</v>
      </c>
      <c r="AQ1920" s="59">
        <f>SUMIFS(HIX_RatingAreas8[Silver Enrollments 2021],HIX_RatingAreas8[Area],HIX_SLCSP11[[#This Row],[Area Code]])</f>
        <v>2115</v>
      </c>
      <c r="AR1920" s="59">
        <f>SUMIFS(HIX_RatingAreas8[Silver Enrollments 2022],HIX_RatingAreas8[Area],HIX_SLCSP11[[#This Row],[Area Code]])</f>
        <v>2795</v>
      </c>
      <c r="AS1920" s="59">
        <f>SUMIFS(HIX_RatingAreas8[Silver Enrollments 2023],HIX_RatingAreas8[Area],HIX_SLCSP11[[#This Row],[Area Code]])</f>
        <v>2795</v>
      </c>
      <c r="AT1920" s="59">
        <v>5816</v>
      </c>
      <c r="AU1920">
        <f t="shared" si="95"/>
        <v>9.4803880178066981E-3</v>
      </c>
      <c r="AV1920">
        <f>SUMIFS(HIX_RatingAreas8[QHP Enrollments 2018],HIX_RatingAreas8[Area],HIX_SLCSP11[[#This Row],[Area Code]])</f>
        <v>4701</v>
      </c>
      <c r="AW1920">
        <f t="shared" si="96"/>
        <v>9.0438108283330421E-3</v>
      </c>
      <c r="AX1920">
        <f>SUMIFS(HIX_RatingAreas8[QHP Enrollments 2019],HIX_RatingAreas8[Area],HIX_SLCSP11[[#This Row],[Area Code]])</f>
        <v>4473</v>
      </c>
      <c r="AY1920">
        <f t="shared" si="97"/>
        <v>8.9233169283680878E-3</v>
      </c>
      <c r="AZ1920">
        <f>SUMIFS(HIX_RatingAreas8[QHP Enrollments 2020],HIX_RatingAreas8[Area],HIX_SLCSP11[[#This Row],[Area Code]])</f>
        <v>4004</v>
      </c>
      <c r="BA1920">
        <f t="shared" si="98"/>
        <v>7.9243976052644598E-3</v>
      </c>
      <c r="BB1920">
        <f>SUMIFS(HIX_RatingAreas8[QHP Enrollments 2021],HIX_RatingAreas8[Area],HIX_SLCSP11[[#This Row],[Area Code]])</f>
        <v>3841</v>
      </c>
      <c r="BC1920">
        <f t="shared" si="99"/>
        <v>7.1686795333359464E-3</v>
      </c>
      <c r="BD1920">
        <f>SUMIFS(HIX_RatingAreas8[QHP Enrollments 2022],HIX_RatingAreas8[Area],HIX_SLCSP11[[#This Row],[Area Code]])</f>
        <v>5199</v>
      </c>
      <c r="BE1920">
        <f t="shared" si="100"/>
        <v>7.7571196452524008E-3</v>
      </c>
      <c r="BF1920">
        <f>SUMIFS(HIX_RatingAreas8[QHP Enrollments 2023],HIX_RatingAreas8[Area],HIX_SLCSP11[[#This Row],[Area Code]])</f>
        <v>5199</v>
      </c>
      <c r="BG1920">
        <f t="shared" si="105"/>
        <v>7.7571196452524008E-3</v>
      </c>
      <c r="BH1920" s="53">
        <f>ROUND(HIX_SLCSP11[[#This Row],[Weighting Factor 2018]]*HIX_SLCSP11[[#This Row],[2018]],2)</f>
        <v>4.96</v>
      </c>
      <c r="BI1920" s="53">
        <f>ROUND(HIX_SLCSP11[[#This Row],[Weighting Factor 2019]]*HIX_SLCSP11[[#This Row],[2019]],2)</f>
        <v>5.0599999999999996</v>
      </c>
      <c r="BJ1920" s="53">
        <f>ROUND(HIX_SLCSP11[[#This Row],[Weighting Factor 2020]]*HIX_SLCSP11[[#This Row],[2020]],2)</f>
        <v>3.19</v>
      </c>
      <c r="BK1920" s="53">
        <f>ROUND(HIX_SLCSP11[[#This Row],[Weighting Factor 2021]]*HIX_SLCSP11[[#This Row],[2021]],2)</f>
        <v>2.87</v>
      </c>
      <c r="BL1920" s="53">
        <f>ROUND(HIX_SLCSP11[[#This Row],[Weighting Factor 2022]]*HIX_SLCSP11[[#This Row],[2022]],2)</f>
        <v>2.99</v>
      </c>
      <c r="BM1920" s="53">
        <f>ROUND(HIX_SLCSP11[[#This Row],[Weighting Factor 2023]]*HIX_SLCSP11[[#This Row],[2023]],2)</f>
        <v>3.31</v>
      </c>
    </row>
    <row r="1921" spans="4:65" x14ac:dyDescent="0.35">
      <c r="D1921" t="s">
        <v>1471</v>
      </c>
      <c r="E1921" t="s">
        <v>293</v>
      </c>
      <c r="F1921" s="23">
        <v>11</v>
      </c>
      <c r="G1921" s="23" t="s">
        <v>1472</v>
      </c>
      <c r="H1921" s="23" t="s">
        <v>1580</v>
      </c>
      <c r="I1921" s="23">
        <v>36</v>
      </c>
      <c r="J1921" s="53">
        <v>436.95</v>
      </c>
      <c r="K1921" s="53">
        <v>477.56</v>
      </c>
      <c r="L1921" s="53">
        <v>813.86</v>
      </c>
      <c r="M1921" s="54">
        <f t="shared" si="101"/>
        <v>1.7042047072619149</v>
      </c>
      <c r="N1921" s="24">
        <v>28</v>
      </c>
      <c r="O1921" s="55">
        <v>370.28</v>
      </c>
      <c r="P1921" s="56">
        <v>394.68</v>
      </c>
      <c r="Q1921" s="56">
        <v>672.61</v>
      </c>
      <c r="R1921" s="57">
        <f t="shared" si="102"/>
        <v>1.7041907367994324</v>
      </c>
      <c r="S1921" s="23">
        <v>36</v>
      </c>
      <c r="T1921" s="53">
        <v>358.38</v>
      </c>
      <c r="U1921" s="53">
        <v>381.98</v>
      </c>
      <c r="V1921" s="53">
        <v>650.96</v>
      </c>
      <c r="W1921" s="57">
        <f t="shared" si="103"/>
        <v>1.7041729933504373</v>
      </c>
      <c r="X1921" s="47">
        <v>122</v>
      </c>
      <c r="Y1921" s="58">
        <v>338.24</v>
      </c>
      <c r="Z1921" s="58">
        <v>356.6</v>
      </c>
      <c r="AA1921" s="58">
        <v>607.72</v>
      </c>
      <c r="AB1921" s="57">
        <f t="shared" si="84"/>
        <v>1.704206393718452</v>
      </c>
      <c r="AC1921" s="47">
        <v>173</v>
      </c>
      <c r="AD1921" s="57">
        <v>342.32</v>
      </c>
      <c r="AE1921" s="57">
        <v>344.96</v>
      </c>
      <c r="AF1921" s="57">
        <v>587.88</v>
      </c>
      <c r="AG1921" s="57">
        <f t="shared" si="104"/>
        <v>1.7041975881261597</v>
      </c>
      <c r="AH1921" s="47">
        <v>174</v>
      </c>
      <c r="AI1921">
        <v>317.13</v>
      </c>
      <c r="AJ1921">
        <v>332.28</v>
      </c>
      <c r="AK1921">
        <v>566.28</v>
      </c>
      <c r="AL1921" s="57">
        <f t="shared" si="93"/>
        <v>1.704225352112676</v>
      </c>
      <c r="AM1921" s="59">
        <v>30451</v>
      </c>
      <c r="AN1921" s="59">
        <f>SUMIFS(HIX_RatingAreas8[Silver Enrollments 2018],HIX_RatingAreas8[Area],HIX_SLCSP11[[#This Row],[Area Code]])</f>
        <v>23677</v>
      </c>
      <c r="AO1921" s="59">
        <f>SUMIFS(HIX_RatingAreas8[Silver Enrollments 2019],HIX_RatingAreas8[Area],HIX_SLCSP11[[#This Row],[Area Code]])</f>
        <v>19898</v>
      </c>
      <c r="AP1921" s="59">
        <f>SUMIFS(HIX_RatingAreas8[Silver Enrollments 2020],HIX_RatingAreas8[Area],HIX_SLCSP11[[#This Row],[Area Code]])</f>
        <v>18714</v>
      </c>
      <c r="AQ1921" s="59">
        <f>SUMIFS(HIX_RatingAreas8[Silver Enrollments 2021],HIX_RatingAreas8[Area],HIX_SLCSP11[[#This Row],[Area Code]])</f>
        <v>17395</v>
      </c>
      <c r="AR1921" s="59">
        <f>SUMIFS(HIX_RatingAreas8[Silver Enrollments 2022],HIX_RatingAreas8[Area],HIX_SLCSP11[[#This Row],[Area Code]])</f>
        <v>22174</v>
      </c>
      <c r="AS1921" s="59">
        <f>SUMIFS(HIX_RatingAreas8[Silver Enrollments 2023],HIX_RatingAreas8[Area],HIX_SLCSP11[[#This Row],[Area Code]])</f>
        <v>22174</v>
      </c>
      <c r="AT1921" s="59">
        <v>43613</v>
      </c>
      <c r="AU1921">
        <f t="shared" si="95"/>
        <v>7.109149976282729E-2</v>
      </c>
      <c r="AV1921">
        <f>SUMIFS(HIX_RatingAreas8[QHP Enrollments 2018],HIX_RatingAreas8[Area],HIX_SLCSP11[[#This Row],[Area Code]])</f>
        <v>36692</v>
      </c>
      <c r="AW1921">
        <f t="shared" si="96"/>
        <v>7.0588280560135289E-2</v>
      </c>
      <c r="AX1921">
        <f>SUMIFS(HIX_RatingAreas8[QHP Enrollments 2019],HIX_RatingAreas8[Area],HIX_SLCSP11[[#This Row],[Area Code]])</f>
        <v>33932</v>
      </c>
      <c r="AY1921">
        <f t="shared" si="97"/>
        <v>6.7691927121257767E-2</v>
      </c>
      <c r="AZ1921">
        <f>SUMIFS(HIX_RatingAreas8[QHP Enrollments 2020],HIX_RatingAreas8[Area],HIX_SLCSP11[[#This Row],[Area Code]])</f>
        <v>33171</v>
      </c>
      <c r="BA1921">
        <f t="shared" si="98"/>
        <v>6.5649398842214629E-2</v>
      </c>
      <c r="BB1921">
        <f>SUMIFS(HIX_RatingAreas8[QHP Enrollments 2021],HIX_RatingAreas8[Area],HIX_SLCSP11[[#This Row],[Area Code]])</f>
        <v>35218</v>
      </c>
      <c r="BC1921">
        <f t="shared" si="99"/>
        <v>6.5729381881027171E-2</v>
      </c>
      <c r="BD1921">
        <f>SUMIFS(HIX_RatingAreas8[QHP Enrollments 2022],HIX_RatingAreas8[Area],HIX_SLCSP11[[#This Row],[Area Code]])</f>
        <v>43214</v>
      </c>
      <c r="BE1921">
        <f t="shared" si="100"/>
        <v>6.4477047191755579E-2</v>
      </c>
      <c r="BF1921">
        <f>SUMIFS(HIX_RatingAreas8[QHP Enrollments 2023],HIX_RatingAreas8[Area],HIX_SLCSP11[[#This Row],[Area Code]])</f>
        <v>43214</v>
      </c>
      <c r="BG1921">
        <f t="shared" si="105"/>
        <v>6.4477047191755579E-2</v>
      </c>
      <c r="BH1921" s="53">
        <f>ROUND(HIX_SLCSP11[[#This Row],[Weighting Factor 2018]]*HIX_SLCSP11[[#This Row],[2018]],2)</f>
        <v>33.71</v>
      </c>
      <c r="BI1921" s="53">
        <f>ROUND(HIX_SLCSP11[[#This Row],[Weighting Factor 2019]]*HIX_SLCSP11[[#This Row],[2019]],2)</f>
        <v>26.72</v>
      </c>
      <c r="BJ1921" s="53">
        <f>ROUND(HIX_SLCSP11[[#This Row],[Weighting Factor 2020]]*HIX_SLCSP11[[#This Row],[2020]],2)</f>
        <v>25.08</v>
      </c>
      <c r="BK1921" s="53">
        <f>ROUND(HIX_SLCSP11[[#This Row],[Weighting Factor 2021]]*HIX_SLCSP11[[#This Row],[2021]],2)</f>
        <v>23.44</v>
      </c>
      <c r="BL1921" s="53">
        <f>ROUND(HIX_SLCSP11[[#This Row],[Weighting Factor 2022]]*HIX_SLCSP11[[#This Row],[2022]],2)</f>
        <v>22.24</v>
      </c>
      <c r="BM1921" s="53">
        <f>ROUND(HIX_SLCSP11[[#This Row],[Weighting Factor 2023]]*HIX_SLCSP11[[#This Row],[2023]],2)</f>
        <v>21.42</v>
      </c>
    </row>
    <row r="1922" spans="4:65" x14ac:dyDescent="0.35">
      <c r="D1922" t="s">
        <v>1471</v>
      </c>
      <c r="E1922" t="s">
        <v>303</v>
      </c>
      <c r="F1922" s="23">
        <v>12</v>
      </c>
      <c r="G1922" s="23" t="s">
        <v>1472</v>
      </c>
      <c r="H1922" s="23" t="s">
        <v>1592</v>
      </c>
      <c r="I1922" s="23">
        <v>8</v>
      </c>
      <c r="J1922" s="53">
        <v>521.39</v>
      </c>
      <c r="K1922" s="53">
        <v>561.39</v>
      </c>
      <c r="L1922" s="53">
        <v>956.72</v>
      </c>
      <c r="M1922" s="54">
        <f t="shared" si="101"/>
        <v>1.7041985072765815</v>
      </c>
      <c r="N1922" s="24">
        <v>12</v>
      </c>
      <c r="O1922" s="55">
        <v>550.62</v>
      </c>
      <c r="P1922" s="56">
        <v>567.33000000000004</v>
      </c>
      <c r="Q1922" s="56">
        <v>966.85</v>
      </c>
      <c r="R1922" s="57">
        <f t="shared" si="102"/>
        <v>1.7042109530608287</v>
      </c>
      <c r="S1922" s="23">
        <v>8</v>
      </c>
      <c r="T1922" s="53">
        <v>547.73</v>
      </c>
      <c r="U1922" s="53">
        <v>582.99</v>
      </c>
      <c r="V1922" s="53">
        <v>993.53</v>
      </c>
      <c r="W1922" s="57">
        <f t="shared" si="103"/>
        <v>1.7041973275699411</v>
      </c>
      <c r="X1922" s="47">
        <v>26</v>
      </c>
      <c r="Y1922" s="58">
        <v>531.51</v>
      </c>
      <c r="Z1922" s="58">
        <v>534.25</v>
      </c>
      <c r="AA1922" s="58">
        <v>910.47</v>
      </c>
      <c r="AB1922" s="57">
        <f t="shared" si="84"/>
        <v>1.7042021525503042</v>
      </c>
      <c r="AC1922" s="47">
        <v>84</v>
      </c>
      <c r="AD1922" s="57">
        <v>431.2</v>
      </c>
      <c r="AE1922" s="57">
        <v>495.9</v>
      </c>
      <c r="AF1922" s="57">
        <v>845.11</v>
      </c>
      <c r="AG1922" s="57">
        <f t="shared" si="104"/>
        <v>1.7041943940310547</v>
      </c>
      <c r="AH1922" s="47">
        <v>74</v>
      </c>
      <c r="AI1922">
        <v>519.38</v>
      </c>
      <c r="AJ1922">
        <v>531.80999999999995</v>
      </c>
      <c r="AK1922">
        <v>906.32</v>
      </c>
      <c r="AL1922" s="57">
        <f t="shared" si="93"/>
        <v>1.7042176717248645</v>
      </c>
      <c r="AM1922" s="59">
        <v>10801</v>
      </c>
      <c r="AN1922" s="59">
        <f>SUMIFS(HIX_RatingAreas8[Silver Enrollments 2018],HIX_RatingAreas8[Area],HIX_SLCSP11[[#This Row],[Area Code]])</f>
        <v>8914</v>
      </c>
      <c r="AO1922" s="59">
        <f>SUMIFS(HIX_RatingAreas8[Silver Enrollments 2019],HIX_RatingAreas8[Area],HIX_SLCSP11[[#This Row],[Area Code]])</f>
        <v>7593</v>
      </c>
      <c r="AP1922" s="59">
        <f>SUMIFS(HIX_RatingAreas8[Silver Enrollments 2020],HIX_RatingAreas8[Area],HIX_SLCSP11[[#This Row],[Area Code]])</f>
        <v>7109</v>
      </c>
      <c r="AQ1922" s="59">
        <f>SUMIFS(HIX_RatingAreas8[Silver Enrollments 2021],HIX_RatingAreas8[Area],HIX_SLCSP11[[#This Row],[Area Code]])</f>
        <v>6360</v>
      </c>
      <c r="AR1922" s="59">
        <f>SUMIFS(HIX_RatingAreas8[Silver Enrollments 2022],HIX_RatingAreas8[Area],HIX_SLCSP11[[#This Row],[Area Code]])</f>
        <v>8798</v>
      </c>
      <c r="AS1922" s="59">
        <f>SUMIFS(HIX_RatingAreas8[Silver Enrollments 2023],HIX_RatingAreas8[Area],HIX_SLCSP11[[#This Row],[Area Code]])</f>
        <v>8798</v>
      </c>
      <c r="AT1922" s="59">
        <v>12751</v>
      </c>
      <c r="AU1922">
        <f t="shared" si="95"/>
        <v>2.0784805298324143E-2</v>
      </c>
      <c r="AV1922">
        <f>SUMIFS(HIX_RatingAreas8[QHP Enrollments 2018],HIX_RatingAreas8[Area],HIX_SLCSP11[[#This Row],[Area Code]])</f>
        <v>11361</v>
      </c>
      <c r="AW1922">
        <f t="shared" si="96"/>
        <v>2.1856357119908888E-2</v>
      </c>
      <c r="AX1922">
        <f>SUMIFS(HIX_RatingAreas8[QHP Enrollments 2019],HIX_RatingAreas8[Area],HIX_SLCSP11[[#This Row],[Area Code]])</f>
        <v>10913</v>
      </c>
      <c r="AY1922">
        <f t="shared" si="97"/>
        <v>2.1770658984860483E-2</v>
      </c>
      <c r="AZ1922">
        <f>SUMIFS(HIX_RatingAreas8[QHP Enrollments 2020],HIX_RatingAreas8[Area],HIX_SLCSP11[[#This Row],[Area Code]])</f>
        <v>10840</v>
      </c>
      <c r="BA1922">
        <f t="shared" si="98"/>
        <v>2.1453663846420265E-2</v>
      </c>
      <c r="BB1922">
        <f>SUMIFS(HIX_RatingAreas8[QHP Enrollments 2021],HIX_RatingAreas8[Area],HIX_SLCSP11[[#This Row],[Area Code]])</f>
        <v>11615</v>
      </c>
      <c r="BC1922">
        <f t="shared" si="99"/>
        <v>2.1677743499009899E-2</v>
      </c>
      <c r="BD1922">
        <f>SUMIFS(HIX_RatingAreas8[QHP Enrollments 2022],HIX_RatingAreas8[Area],HIX_SLCSP11[[#This Row],[Area Code]])</f>
        <v>14477</v>
      </c>
      <c r="BE1922">
        <f t="shared" si="100"/>
        <v>2.1600273341857858E-2</v>
      </c>
      <c r="BF1922">
        <f>SUMIFS(HIX_RatingAreas8[QHP Enrollments 2023],HIX_RatingAreas8[Area],HIX_SLCSP11[[#This Row],[Area Code]])</f>
        <v>14477</v>
      </c>
      <c r="BG1922">
        <f t="shared" si="105"/>
        <v>2.1600273341857858E-2</v>
      </c>
      <c r="BH1922" s="53">
        <f>ROUND(HIX_SLCSP11[[#This Row],[Weighting Factor 2018]]*HIX_SLCSP11[[#This Row],[2018]],2)</f>
        <v>12.27</v>
      </c>
      <c r="BI1922" s="53">
        <f>ROUND(HIX_SLCSP11[[#This Row],[Weighting Factor 2019]]*HIX_SLCSP11[[#This Row],[2019]],2)</f>
        <v>12.35</v>
      </c>
      <c r="BJ1922" s="53">
        <f>ROUND(HIX_SLCSP11[[#This Row],[Weighting Factor 2020]]*HIX_SLCSP11[[#This Row],[2020]],2)</f>
        <v>12.51</v>
      </c>
      <c r="BK1922" s="53">
        <f>ROUND(HIX_SLCSP11[[#This Row],[Weighting Factor 2021]]*HIX_SLCSP11[[#This Row],[2021]],2)</f>
        <v>11.58</v>
      </c>
      <c r="BL1922" s="53">
        <f>ROUND(HIX_SLCSP11[[#This Row],[Weighting Factor 2022]]*HIX_SLCSP11[[#This Row],[2022]],2)</f>
        <v>10.71</v>
      </c>
      <c r="BM1922" s="53">
        <f>ROUND(HIX_SLCSP11[[#This Row],[Weighting Factor 2023]]*HIX_SLCSP11[[#This Row],[2023]],2)</f>
        <v>11.49</v>
      </c>
    </row>
    <row r="1923" spans="4:65" x14ac:dyDescent="0.35">
      <c r="D1923" t="s">
        <v>1471</v>
      </c>
      <c r="E1923" t="s">
        <v>311</v>
      </c>
      <c r="F1923" s="23">
        <v>13</v>
      </c>
      <c r="G1923" s="23" t="s">
        <v>1472</v>
      </c>
      <c r="H1923" s="23" t="s">
        <v>1613</v>
      </c>
      <c r="I1923" s="23">
        <v>36</v>
      </c>
      <c r="J1923" s="53">
        <v>443.28</v>
      </c>
      <c r="K1923" s="53">
        <v>468.11</v>
      </c>
      <c r="L1923" s="53">
        <v>797.75</v>
      </c>
      <c r="M1923" s="54">
        <f t="shared" si="101"/>
        <v>1.7041934588024181</v>
      </c>
      <c r="N1923" s="24">
        <v>28</v>
      </c>
      <c r="O1923" s="55">
        <v>370.28</v>
      </c>
      <c r="P1923" s="56">
        <v>385</v>
      </c>
      <c r="Q1923" s="56">
        <v>656.12</v>
      </c>
      <c r="R1923" s="57">
        <f t="shared" si="102"/>
        <v>1.7042077922077923</v>
      </c>
      <c r="S1923" s="23">
        <v>36</v>
      </c>
      <c r="T1923" s="53">
        <v>336.41</v>
      </c>
      <c r="U1923" s="53">
        <v>342.14</v>
      </c>
      <c r="V1923" s="53">
        <v>583.08000000000004</v>
      </c>
      <c r="W1923" s="57">
        <f t="shared" si="103"/>
        <v>1.7042146489741044</v>
      </c>
      <c r="X1923" s="47">
        <v>104</v>
      </c>
      <c r="Y1923" s="58">
        <v>313.81</v>
      </c>
      <c r="Z1923" s="58">
        <v>330.85</v>
      </c>
      <c r="AA1923" s="58">
        <v>563.84</v>
      </c>
      <c r="AB1923" s="57">
        <f t="shared" si="84"/>
        <v>1.7042164122714221</v>
      </c>
      <c r="AC1923" s="47">
        <v>140</v>
      </c>
      <c r="AD1923" s="57">
        <v>301.32</v>
      </c>
      <c r="AE1923" s="57">
        <v>317.60000000000002</v>
      </c>
      <c r="AF1923" s="57">
        <v>541.26</v>
      </c>
      <c r="AG1923" s="57">
        <f t="shared" si="104"/>
        <v>1.7042191435768261</v>
      </c>
      <c r="AH1923" s="47">
        <v>142</v>
      </c>
      <c r="AI1923">
        <v>355.3</v>
      </c>
      <c r="AJ1923">
        <v>363.81</v>
      </c>
      <c r="AK1923">
        <v>620.01</v>
      </c>
      <c r="AL1923" s="57">
        <f t="shared" si="93"/>
        <v>1.7042137379401336</v>
      </c>
      <c r="AM1923" s="59">
        <v>56561</v>
      </c>
      <c r="AN1923" s="59">
        <f>SUMIFS(HIX_RatingAreas8[Silver Enrollments 2018],HIX_RatingAreas8[Area],HIX_SLCSP11[[#This Row],[Area Code]])</f>
        <v>43811</v>
      </c>
      <c r="AO1923" s="59">
        <f>SUMIFS(HIX_RatingAreas8[Silver Enrollments 2019],HIX_RatingAreas8[Area],HIX_SLCSP11[[#This Row],[Area Code]])</f>
        <v>37477</v>
      </c>
      <c r="AP1923" s="59">
        <f>SUMIFS(HIX_RatingAreas8[Silver Enrollments 2020],HIX_RatingAreas8[Area],HIX_SLCSP11[[#This Row],[Area Code]])</f>
        <v>34258</v>
      </c>
      <c r="AQ1923" s="59">
        <f>SUMIFS(HIX_RatingAreas8[Silver Enrollments 2021],HIX_RatingAreas8[Area],HIX_SLCSP11[[#This Row],[Area Code]])</f>
        <v>32752</v>
      </c>
      <c r="AR1923" s="59">
        <f>SUMIFS(HIX_RatingAreas8[Silver Enrollments 2022],HIX_RatingAreas8[Area],HIX_SLCSP11[[#This Row],[Area Code]])</f>
        <v>43653</v>
      </c>
      <c r="AS1923" s="59">
        <f>SUMIFS(HIX_RatingAreas8[Silver Enrollments 2023],HIX_RatingAreas8[Area],HIX_SLCSP11[[#This Row],[Area Code]])</f>
        <v>43653</v>
      </c>
      <c r="AT1923" s="59">
        <v>79616</v>
      </c>
      <c r="AU1923">
        <f t="shared" si="95"/>
        <v>0.12977829649685318</v>
      </c>
      <c r="AV1923">
        <f>SUMIFS(HIX_RatingAreas8[QHP Enrollments 2018],HIX_RatingAreas8[Area],HIX_SLCSP11[[#This Row],[Area Code]])</f>
        <v>69220</v>
      </c>
      <c r="AW1923">
        <f t="shared" si="96"/>
        <v>0.13316583397941142</v>
      </c>
      <c r="AX1923">
        <f>SUMIFS(HIX_RatingAreas8[QHP Enrollments 2019],HIX_RatingAreas8[Area],HIX_SLCSP11[[#This Row],[Area Code]])</f>
        <v>64551</v>
      </c>
      <c r="AY1923">
        <f t="shared" si="97"/>
        <v>0.12877465482742867</v>
      </c>
      <c r="AZ1923">
        <f>SUMIFS(HIX_RatingAreas8[QHP Enrollments 2020],HIX_RatingAreas8[Area],HIX_SLCSP11[[#This Row],[Area Code]])</f>
        <v>63700</v>
      </c>
      <c r="BA1923">
        <f t="shared" si="98"/>
        <v>0.12606996190193459</v>
      </c>
      <c r="BB1923">
        <f>SUMIFS(HIX_RatingAreas8[QHP Enrollments 2021],HIX_RatingAreas8[Area],HIX_SLCSP11[[#This Row],[Area Code]])</f>
        <v>68410</v>
      </c>
      <c r="BC1923">
        <f t="shared" si="99"/>
        <v>0.12767752326881335</v>
      </c>
      <c r="BD1923">
        <f>SUMIFS(HIX_RatingAreas8[QHP Enrollments 2022],HIX_RatingAreas8[Area],HIX_SLCSP11[[#This Row],[Area Code]])</f>
        <v>85726</v>
      </c>
      <c r="BE1923">
        <f t="shared" si="100"/>
        <v>0.12790668180590639</v>
      </c>
      <c r="BF1923">
        <f>SUMIFS(HIX_RatingAreas8[QHP Enrollments 2023],HIX_RatingAreas8[Area],HIX_SLCSP11[[#This Row],[Area Code]])</f>
        <v>85726</v>
      </c>
      <c r="BG1923">
        <f t="shared" si="105"/>
        <v>0.12790668180590639</v>
      </c>
      <c r="BH1923" s="53">
        <f>ROUND(HIX_SLCSP11[[#This Row],[Weighting Factor 2018]]*HIX_SLCSP11[[#This Row],[2018]],2)</f>
        <v>62.34</v>
      </c>
      <c r="BI1923" s="53">
        <f>ROUND(HIX_SLCSP11[[#This Row],[Weighting Factor 2019]]*HIX_SLCSP11[[#This Row],[2019]],2)</f>
        <v>49.58</v>
      </c>
      <c r="BJ1923" s="53">
        <f>ROUND(HIX_SLCSP11[[#This Row],[Weighting Factor 2020]]*HIX_SLCSP11[[#This Row],[2020]],2)</f>
        <v>43.13</v>
      </c>
      <c r="BK1923" s="53">
        <f>ROUND(HIX_SLCSP11[[#This Row],[Weighting Factor 2021]]*HIX_SLCSP11[[#This Row],[2021]],2)</f>
        <v>42.24</v>
      </c>
      <c r="BL1923" s="53">
        <f>ROUND(HIX_SLCSP11[[#This Row],[Weighting Factor 2022]]*HIX_SLCSP11[[#This Row],[2022]],2)</f>
        <v>40.619999999999997</v>
      </c>
      <c r="BM1923" s="53">
        <f>ROUND(HIX_SLCSP11[[#This Row],[Weighting Factor 2023]]*HIX_SLCSP11[[#This Row],[2023]],2)</f>
        <v>46.53</v>
      </c>
    </row>
    <row r="1924" spans="4:65" x14ac:dyDescent="0.35">
      <c r="D1924" t="s">
        <v>1471</v>
      </c>
      <c r="E1924" t="s">
        <v>577</v>
      </c>
      <c r="F1924" s="23">
        <v>14</v>
      </c>
      <c r="G1924" s="23" t="s">
        <v>1472</v>
      </c>
      <c r="H1924" s="23" t="s">
        <v>1619</v>
      </c>
      <c r="I1924" s="23">
        <v>16</v>
      </c>
      <c r="J1924" s="53">
        <v>433.73</v>
      </c>
      <c r="K1924" s="53">
        <v>526.77</v>
      </c>
      <c r="L1924" s="53">
        <v>897.72</v>
      </c>
      <c r="M1924" s="54">
        <f t="shared" si="101"/>
        <v>1.7041972777493024</v>
      </c>
      <c r="N1924" s="24">
        <v>20</v>
      </c>
      <c r="O1924" s="55">
        <v>433.56</v>
      </c>
      <c r="P1924" s="56">
        <v>460.81</v>
      </c>
      <c r="Q1924" s="56">
        <v>785.31</v>
      </c>
      <c r="R1924" s="57">
        <f t="shared" si="102"/>
        <v>1.7041947874395085</v>
      </c>
      <c r="S1924" s="23">
        <v>16</v>
      </c>
      <c r="T1924" s="53">
        <v>427.9</v>
      </c>
      <c r="U1924" s="53">
        <v>432.68</v>
      </c>
      <c r="V1924" s="53">
        <v>737.37</v>
      </c>
      <c r="W1924" s="57">
        <f t="shared" si="103"/>
        <v>1.7041924748081723</v>
      </c>
      <c r="X1924" s="47">
        <v>34</v>
      </c>
      <c r="Y1924" s="58">
        <v>383.42</v>
      </c>
      <c r="Z1924" s="58">
        <v>400.4</v>
      </c>
      <c r="AA1924" s="58">
        <v>682.36</v>
      </c>
      <c r="AB1924" s="57">
        <f t="shared" si="84"/>
        <v>1.7041958041958043</v>
      </c>
      <c r="AC1924" s="47">
        <v>112</v>
      </c>
      <c r="AD1924" s="57">
        <v>348.04</v>
      </c>
      <c r="AE1924" s="57">
        <v>378.12</v>
      </c>
      <c r="AF1924" s="57">
        <v>644.4</v>
      </c>
      <c r="AG1924" s="57">
        <f t="shared" si="104"/>
        <v>1.7042208822596001</v>
      </c>
      <c r="AH1924" s="47">
        <v>130</v>
      </c>
      <c r="AI1924">
        <v>326.14</v>
      </c>
      <c r="AJ1924">
        <v>341.72</v>
      </c>
      <c r="AK1924">
        <v>582.36</v>
      </c>
      <c r="AL1924" s="57">
        <f t="shared" si="93"/>
        <v>1.7042022708650355</v>
      </c>
      <c r="AM1924" s="59">
        <v>22919</v>
      </c>
      <c r="AN1924" s="59">
        <f>SUMIFS(HIX_RatingAreas8[Silver Enrollments 2018],HIX_RatingAreas8[Area],HIX_SLCSP11[[#This Row],[Area Code]])</f>
        <v>18032</v>
      </c>
      <c r="AO1924" s="59">
        <f>SUMIFS(HIX_RatingAreas8[Silver Enrollments 2019],HIX_RatingAreas8[Area],HIX_SLCSP11[[#This Row],[Area Code]])</f>
        <v>15264</v>
      </c>
      <c r="AP1924" s="59">
        <f>SUMIFS(HIX_RatingAreas8[Silver Enrollments 2020],HIX_RatingAreas8[Area],HIX_SLCSP11[[#This Row],[Area Code]])</f>
        <v>14175</v>
      </c>
      <c r="AQ1924" s="59">
        <f>SUMIFS(HIX_RatingAreas8[Silver Enrollments 2021],HIX_RatingAreas8[Area],HIX_SLCSP11[[#This Row],[Area Code]])</f>
        <v>14202</v>
      </c>
      <c r="AR1924" s="59">
        <f>SUMIFS(HIX_RatingAreas8[Silver Enrollments 2022],HIX_RatingAreas8[Area],HIX_SLCSP11[[#This Row],[Area Code]])</f>
        <v>13604</v>
      </c>
      <c r="AS1924" s="59">
        <f>SUMIFS(HIX_RatingAreas8[Silver Enrollments 2023],HIX_RatingAreas8[Area],HIX_SLCSP11[[#This Row],[Area Code]])</f>
        <v>13604</v>
      </c>
      <c r="AT1924" s="59">
        <v>26879</v>
      </c>
      <c r="AU1924">
        <f t="shared" si="95"/>
        <v>4.3814193523147568E-2</v>
      </c>
      <c r="AV1924">
        <f>SUMIFS(HIX_RatingAreas8[QHP Enrollments 2018],HIX_RatingAreas8[Area],HIX_SLCSP11[[#This Row],[Area Code]])</f>
        <v>23097</v>
      </c>
      <c r="AW1924">
        <f t="shared" si="96"/>
        <v>4.4434141395874975E-2</v>
      </c>
      <c r="AX1924">
        <f>SUMIFS(HIX_RatingAreas8[QHP Enrollments 2019],HIX_RatingAreas8[Area],HIX_SLCSP11[[#This Row],[Area Code]])</f>
        <v>22083</v>
      </c>
      <c r="AY1924">
        <f t="shared" si="97"/>
        <v>4.4054014694646211E-2</v>
      </c>
      <c r="AZ1924">
        <f>SUMIFS(HIX_RatingAreas8[QHP Enrollments 2020],HIX_RatingAreas8[Area],HIX_SLCSP11[[#This Row],[Area Code]])</f>
        <v>21684</v>
      </c>
      <c r="BA1924">
        <f t="shared" si="98"/>
        <v>4.2915244173964674E-2</v>
      </c>
      <c r="BB1924">
        <f>SUMIFS(HIX_RatingAreas8[QHP Enrollments 2021],HIX_RatingAreas8[Area],HIX_SLCSP11[[#This Row],[Area Code]])</f>
        <v>23673</v>
      </c>
      <c r="BC1924">
        <f t="shared" si="99"/>
        <v>4.4182283413866666E-2</v>
      </c>
      <c r="BD1924">
        <f>SUMIFS(HIX_RatingAreas8[QHP Enrollments 2022],HIX_RatingAreas8[Area],HIX_SLCSP11[[#This Row],[Area Code]])</f>
        <v>27728</v>
      </c>
      <c r="BE1924">
        <f t="shared" si="100"/>
        <v>4.1371304774679471E-2</v>
      </c>
      <c r="BF1924">
        <f>SUMIFS(HIX_RatingAreas8[QHP Enrollments 2023],HIX_RatingAreas8[Area],HIX_SLCSP11[[#This Row],[Area Code]])</f>
        <v>27728</v>
      </c>
      <c r="BG1924">
        <f t="shared" si="105"/>
        <v>4.1371304774679471E-2</v>
      </c>
      <c r="BH1924" s="53">
        <f>ROUND(HIX_SLCSP11[[#This Row],[Weighting Factor 2018]]*HIX_SLCSP11[[#This Row],[2018]],2)</f>
        <v>23.41</v>
      </c>
      <c r="BI1924" s="53">
        <f>ROUND(HIX_SLCSP11[[#This Row],[Weighting Factor 2019]]*HIX_SLCSP11[[#This Row],[2019]],2)</f>
        <v>20.3</v>
      </c>
      <c r="BJ1924" s="53">
        <f>ROUND(HIX_SLCSP11[[#This Row],[Weighting Factor 2020]]*HIX_SLCSP11[[#This Row],[2020]],2)</f>
        <v>18.57</v>
      </c>
      <c r="BK1924" s="53">
        <f>ROUND(HIX_SLCSP11[[#This Row],[Weighting Factor 2021]]*HIX_SLCSP11[[#This Row],[2021]],2)</f>
        <v>17.690000000000001</v>
      </c>
      <c r="BL1924" s="53">
        <f>ROUND(HIX_SLCSP11[[#This Row],[Weighting Factor 2022]]*HIX_SLCSP11[[#This Row],[2022]],2)</f>
        <v>15.64</v>
      </c>
      <c r="BM1924" s="53">
        <f>ROUND(HIX_SLCSP11[[#This Row],[Weighting Factor 2023]]*HIX_SLCSP11[[#This Row],[2023]],2)</f>
        <v>14.14</v>
      </c>
    </row>
    <row r="1925" spans="4:65" x14ac:dyDescent="0.35">
      <c r="D1925" t="s">
        <v>1471</v>
      </c>
      <c r="E1925" t="s">
        <v>581</v>
      </c>
      <c r="F1925" s="23">
        <v>15</v>
      </c>
      <c r="G1925" s="23" t="s">
        <v>1472</v>
      </c>
      <c r="H1925" s="23" t="s">
        <v>1630</v>
      </c>
      <c r="I1925" s="23">
        <v>8</v>
      </c>
      <c r="J1925" s="53">
        <v>479.06</v>
      </c>
      <c r="K1925" s="53">
        <v>532.14</v>
      </c>
      <c r="L1925" s="53">
        <v>906.88</v>
      </c>
      <c r="M1925" s="54">
        <f t="shared" si="101"/>
        <v>1.7042131769835007</v>
      </c>
      <c r="N1925" s="24">
        <v>8</v>
      </c>
      <c r="O1925" s="55">
        <v>464.65</v>
      </c>
      <c r="P1925" s="56">
        <v>629.03</v>
      </c>
      <c r="Q1925" s="56">
        <v>1071.99</v>
      </c>
      <c r="R1925" s="57">
        <f t="shared" si="102"/>
        <v>1.7041953483935584</v>
      </c>
      <c r="S1925" s="23">
        <v>8</v>
      </c>
      <c r="T1925" s="53">
        <v>479.41</v>
      </c>
      <c r="U1925" s="53">
        <v>594.66</v>
      </c>
      <c r="V1925" s="53">
        <v>1013.41</v>
      </c>
      <c r="W1925" s="57">
        <f t="shared" si="103"/>
        <v>1.704183903406989</v>
      </c>
      <c r="X1925" s="47">
        <v>38</v>
      </c>
      <c r="Y1925" s="58">
        <v>459.46</v>
      </c>
      <c r="Z1925" s="58">
        <v>487.22</v>
      </c>
      <c r="AA1925" s="58">
        <v>830.31</v>
      </c>
      <c r="AB1925" s="57">
        <f t="shared" si="84"/>
        <v>1.7041788103936617</v>
      </c>
      <c r="AC1925" s="47">
        <v>158</v>
      </c>
      <c r="AD1925" s="57">
        <v>439.68</v>
      </c>
      <c r="AE1925" s="57">
        <v>439.68</v>
      </c>
      <c r="AF1925" s="57">
        <v>749.3</v>
      </c>
      <c r="AG1925" s="57">
        <f t="shared" si="104"/>
        <v>1.7041939592430857</v>
      </c>
      <c r="AH1925" s="47">
        <v>182</v>
      </c>
      <c r="AI1925">
        <v>409.57</v>
      </c>
      <c r="AJ1925">
        <v>429.13</v>
      </c>
      <c r="AK1925">
        <v>731.33</v>
      </c>
      <c r="AL1925" s="57">
        <f t="shared" si="93"/>
        <v>1.7042155057907862</v>
      </c>
      <c r="AM1925" s="59">
        <v>33808</v>
      </c>
      <c r="AN1925" s="59">
        <f>SUMIFS(HIX_RatingAreas8[Silver Enrollments 2018],HIX_RatingAreas8[Area],HIX_SLCSP11[[#This Row],[Area Code]])</f>
        <v>25593</v>
      </c>
      <c r="AO1925" s="59">
        <f>SUMIFS(HIX_RatingAreas8[Silver Enrollments 2019],HIX_RatingAreas8[Area],HIX_SLCSP11[[#This Row],[Area Code]])</f>
        <v>22007</v>
      </c>
      <c r="AP1925" s="59">
        <f>SUMIFS(HIX_RatingAreas8[Silver Enrollments 2020],HIX_RatingAreas8[Area],HIX_SLCSP11[[#This Row],[Area Code]])</f>
        <v>23290</v>
      </c>
      <c r="AQ1925" s="59">
        <f>SUMIFS(HIX_RatingAreas8[Silver Enrollments 2021],HIX_RatingAreas8[Area],HIX_SLCSP11[[#This Row],[Area Code]])</f>
        <v>22348</v>
      </c>
      <c r="AR1925" s="59">
        <f>SUMIFS(HIX_RatingAreas8[Silver Enrollments 2022],HIX_RatingAreas8[Area],HIX_SLCSP11[[#This Row],[Area Code]])</f>
        <v>27928</v>
      </c>
      <c r="AS1925" s="59">
        <f>SUMIFS(HIX_RatingAreas8[Silver Enrollments 2023],HIX_RatingAreas8[Area],HIX_SLCSP11[[#This Row],[Area Code]])</f>
        <v>27928</v>
      </c>
      <c r="AT1925" s="59">
        <v>42024</v>
      </c>
      <c r="AU1925">
        <f t="shared" si="95"/>
        <v>6.850134560871883E-2</v>
      </c>
      <c r="AV1925">
        <f>SUMIFS(HIX_RatingAreas8[QHP Enrollments 2018],HIX_RatingAreas8[Area],HIX_SLCSP11[[#This Row],[Area Code]])</f>
        <v>35979</v>
      </c>
      <c r="AW1925">
        <f t="shared" si="96"/>
        <v>6.9216607060751861E-2</v>
      </c>
      <c r="AX1925">
        <f>SUMIFS(HIX_RatingAreas8[QHP Enrollments 2019],HIX_RatingAreas8[Area],HIX_SLCSP11[[#This Row],[Area Code]])</f>
        <v>36692</v>
      </c>
      <c r="AY1925">
        <f t="shared" si="97"/>
        <v>7.3197930859754498E-2</v>
      </c>
      <c r="AZ1925">
        <f>SUMIFS(HIX_RatingAreas8[QHP Enrollments 2020],HIX_RatingAreas8[Area],HIX_SLCSP11[[#This Row],[Area Code]])</f>
        <v>39857</v>
      </c>
      <c r="BA1925">
        <f t="shared" si="98"/>
        <v>7.8881797041215174E-2</v>
      </c>
      <c r="BB1925">
        <f>SUMIFS(HIX_RatingAreas8[QHP Enrollments 2021],HIX_RatingAreas8[Area],HIX_SLCSP11[[#This Row],[Area Code]])</f>
        <v>43051</v>
      </c>
      <c r="BC1925">
        <f t="shared" si="99"/>
        <v>8.0348560944974182E-2</v>
      </c>
      <c r="BD1925">
        <f>SUMIFS(HIX_RatingAreas8[QHP Enrollments 2022],HIX_RatingAreas8[Area],HIX_SLCSP11[[#This Row],[Area Code]])</f>
        <v>52576</v>
      </c>
      <c r="BE1925">
        <f t="shared" si="100"/>
        <v>7.8445532307903493E-2</v>
      </c>
      <c r="BF1925">
        <f>SUMIFS(HIX_RatingAreas8[QHP Enrollments 2023],HIX_RatingAreas8[Area],HIX_SLCSP11[[#This Row],[Area Code]])</f>
        <v>52576</v>
      </c>
      <c r="BG1925">
        <f t="shared" si="105"/>
        <v>7.8445532307903493E-2</v>
      </c>
      <c r="BH1925" s="53">
        <f>ROUND(HIX_SLCSP11[[#This Row],[Weighting Factor 2018]]*HIX_SLCSP11[[#This Row],[2018]],2)</f>
        <v>36.83</v>
      </c>
      <c r="BI1925" s="53">
        <f>ROUND(HIX_SLCSP11[[#This Row],[Weighting Factor 2019]]*HIX_SLCSP11[[#This Row],[2019]],2)</f>
        <v>46.04</v>
      </c>
      <c r="BJ1925" s="53">
        <f>ROUND(HIX_SLCSP11[[#This Row],[Weighting Factor 2020]]*HIX_SLCSP11[[#This Row],[2020]],2)</f>
        <v>46.91</v>
      </c>
      <c r="BK1925" s="53">
        <f>ROUND(HIX_SLCSP11[[#This Row],[Weighting Factor 2021]]*HIX_SLCSP11[[#This Row],[2021]],2)</f>
        <v>39.15</v>
      </c>
      <c r="BL1925" s="53">
        <f>ROUND(HIX_SLCSP11[[#This Row],[Weighting Factor 2022]]*HIX_SLCSP11[[#This Row],[2022]],2)</f>
        <v>34.49</v>
      </c>
      <c r="BM1925" s="53">
        <f>ROUND(HIX_SLCSP11[[#This Row],[Weighting Factor 2023]]*HIX_SLCSP11[[#This Row],[2023]],2)</f>
        <v>33.659999999999997</v>
      </c>
    </row>
    <row r="1926" spans="4:65" x14ac:dyDescent="0.35">
      <c r="D1926" t="s">
        <v>1471</v>
      </c>
      <c r="E1926" t="s">
        <v>585</v>
      </c>
      <c r="F1926" s="23">
        <v>16</v>
      </c>
      <c r="G1926" s="23" t="s">
        <v>1472</v>
      </c>
      <c r="H1926" s="23" t="s">
        <v>1643</v>
      </c>
      <c r="I1926" s="23">
        <v>8</v>
      </c>
      <c r="J1926" s="53">
        <v>510.65</v>
      </c>
      <c r="K1926" s="53">
        <v>549.82000000000005</v>
      </c>
      <c r="L1926" s="53">
        <v>937.01</v>
      </c>
      <c r="M1926" s="54">
        <f t="shared" si="101"/>
        <v>1.7042122876577788</v>
      </c>
      <c r="N1926" s="24">
        <v>12</v>
      </c>
      <c r="O1926" s="55">
        <v>556.35</v>
      </c>
      <c r="P1926" s="56">
        <v>573.25</v>
      </c>
      <c r="Q1926" s="56">
        <v>976.92</v>
      </c>
      <c r="R1926" s="57">
        <f t="shared" si="102"/>
        <v>1.7041779328390754</v>
      </c>
      <c r="S1926" s="23">
        <v>8</v>
      </c>
      <c r="T1926" s="53">
        <v>553.21</v>
      </c>
      <c r="U1926" s="53">
        <v>588.82000000000005</v>
      </c>
      <c r="V1926" s="53">
        <v>1003.46</v>
      </c>
      <c r="W1926" s="57">
        <f t="shared" si="103"/>
        <v>1.7041880370911313</v>
      </c>
      <c r="X1926" s="47">
        <v>26</v>
      </c>
      <c r="Y1926" s="58">
        <v>540.41</v>
      </c>
      <c r="Z1926" s="58">
        <v>547.67999999999995</v>
      </c>
      <c r="AA1926" s="58">
        <v>933.36</v>
      </c>
      <c r="AB1926" s="57">
        <f t="shared" si="84"/>
        <v>1.7042068361086768</v>
      </c>
      <c r="AC1926" s="47">
        <v>92</v>
      </c>
      <c r="AD1926" s="57">
        <v>415.75</v>
      </c>
      <c r="AE1926" s="57">
        <v>466.33</v>
      </c>
      <c r="AF1926" s="57">
        <v>794.72</v>
      </c>
      <c r="AG1926" s="57">
        <f t="shared" si="104"/>
        <v>1.7042008877833295</v>
      </c>
      <c r="AH1926" s="47">
        <v>106</v>
      </c>
      <c r="AI1926">
        <v>462.73</v>
      </c>
      <c r="AJ1926">
        <v>484.84</v>
      </c>
      <c r="AK1926">
        <v>826.27</v>
      </c>
      <c r="AL1926" s="57">
        <f t="shared" si="93"/>
        <v>1.7042116987047273</v>
      </c>
      <c r="AM1926" s="59">
        <v>20806</v>
      </c>
      <c r="AN1926" s="59">
        <f>SUMIFS(HIX_RatingAreas8[Silver Enrollments 2018],HIX_RatingAreas8[Area],HIX_SLCSP11[[#This Row],[Area Code]])</f>
        <v>17778</v>
      </c>
      <c r="AO1926" s="59">
        <f>SUMIFS(HIX_RatingAreas8[Silver Enrollments 2019],HIX_RatingAreas8[Area],HIX_SLCSP11[[#This Row],[Area Code]])</f>
        <v>15495</v>
      </c>
      <c r="AP1926" s="59">
        <f>SUMIFS(HIX_RatingAreas8[Silver Enrollments 2020],HIX_RatingAreas8[Area],HIX_SLCSP11[[#This Row],[Area Code]])</f>
        <v>14562</v>
      </c>
      <c r="AQ1926" s="59">
        <f>SUMIFS(HIX_RatingAreas8[Silver Enrollments 2021],HIX_RatingAreas8[Area],HIX_SLCSP11[[#This Row],[Area Code]])</f>
        <v>13991</v>
      </c>
      <c r="AR1926" s="59">
        <f>SUMIFS(HIX_RatingAreas8[Silver Enrollments 2022],HIX_RatingAreas8[Area],HIX_SLCSP11[[#This Row],[Area Code]])</f>
        <v>18029</v>
      </c>
      <c r="AS1926" s="59">
        <f>SUMIFS(HIX_RatingAreas8[Silver Enrollments 2023],HIX_RatingAreas8[Area],HIX_SLCSP11[[#This Row],[Area Code]])</f>
        <v>18029</v>
      </c>
      <c r="AT1926" s="59">
        <v>24283</v>
      </c>
      <c r="AU1926">
        <f t="shared" si="95"/>
        <v>3.9582576037895473E-2</v>
      </c>
      <c r="AV1926">
        <f>SUMIFS(HIX_RatingAreas8[QHP Enrollments 2018],HIX_RatingAreas8[Area],HIX_SLCSP11[[#This Row],[Area Code]])</f>
        <v>23082</v>
      </c>
      <c r="AW1926">
        <f t="shared" si="96"/>
        <v>4.4405284309632691E-2</v>
      </c>
      <c r="AX1926">
        <f>SUMIFS(HIX_RatingAreas8[QHP Enrollments 2019],HIX_RatingAreas8[Area],HIX_SLCSP11[[#This Row],[Area Code]])</f>
        <v>22717</v>
      </c>
      <c r="AY1926">
        <f t="shared" si="97"/>
        <v>4.531879961138785E-2</v>
      </c>
      <c r="AZ1926">
        <f>SUMIFS(HIX_RatingAreas8[QHP Enrollments 2020],HIX_RatingAreas8[Area],HIX_SLCSP11[[#This Row],[Area Code]])</f>
        <v>22814</v>
      </c>
      <c r="BA1926">
        <f t="shared" si="98"/>
        <v>4.5151650091534316E-2</v>
      </c>
      <c r="BB1926">
        <f>SUMIFS(HIX_RatingAreas8[QHP Enrollments 2021],HIX_RatingAreas8[Area],HIX_SLCSP11[[#This Row],[Area Code]])</f>
        <v>24485</v>
      </c>
      <c r="BC1926">
        <f t="shared" si="99"/>
        <v>4.5697765783319619E-2</v>
      </c>
      <c r="BD1926">
        <f>SUMIFS(HIX_RatingAreas8[QHP Enrollments 2022],HIX_RatingAreas8[Area],HIX_SLCSP11[[#This Row],[Area Code]])</f>
        <v>30216</v>
      </c>
      <c r="BE1926">
        <f t="shared" si="100"/>
        <v>4.5083502058270157E-2</v>
      </c>
      <c r="BF1926">
        <f>SUMIFS(HIX_RatingAreas8[QHP Enrollments 2023],HIX_RatingAreas8[Area],HIX_SLCSP11[[#This Row],[Area Code]])</f>
        <v>30216</v>
      </c>
      <c r="BG1926">
        <f t="shared" si="105"/>
        <v>4.5083502058270157E-2</v>
      </c>
      <c r="BH1926" s="53">
        <f>ROUND(HIX_SLCSP11[[#This Row],[Weighting Factor 2018]]*HIX_SLCSP11[[#This Row],[2018]],2)</f>
        <v>24.41</v>
      </c>
      <c r="BI1926" s="53">
        <f>ROUND(HIX_SLCSP11[[#This Row],[Weighting Factor 2019]]*HIX_SLCSP11[[#This Row],[2019]],2)</f>
        <v>25.98</v>
      </c>
      <c r="BJ1926" s="53">
        <f>ROUND(HIX_SLCSP11[[#This Row],[Weighting Factor 2020]]*HIX_SLCSP11[[#This Row],[2020]],2)</f>
        <v>26.59</v>
      </c>
      <c r="BK1926" s="53">
        <f>ROUND(HIX_SLCSP11[[#This Row],[Weighting Factor 2021]]*HIX_SLCSP11[[#This Row],[2021]],2)</f>
        <v>25.03</v>
      </c>
      <c r="BL1926" s="53">
        <f>ROUND(HIX_SLCSP11[[#This Row],[Weighting Factor 2022]]*HIX_SLCSP11[[#This Row],[2022]],2)</f>
        <v>21.02</v>
      </c>
      <c r="BM1926" s="53">
        <f>ROUND(HIX_SLCSP11[[#This Row],[Weighting Factor 2023]]*HIX_SLCSP11[[#This Row],[2023]],2)</f>
        <v>21.86</v>
      </c>
    </row>
    <row r="1927" spans="4:65" x14ac:dyDescent="0.35">
      <c r="D1927" t="s">
        <v>1662</v>
      </c>
      <c r="E1927" t="s">
        <v>2597</v>
      </c>
      <c r="F1927" s="23"/>
      <c r="G1927" s="23"/>
      <c r="H1927" s="23"/>
      <c r="I1927" s="23"/>
      <c r="J1927" s="53"/>
      <c r="K1927" s="53">
        <f>SUM(BH1928:BH1973)</f>
        <v>344.74999999999989</v>
      </c>
      <c r="L1927" s="53"/>
      <c r="M1927" s="54">
        <f t="shared" si="101"/>
        <v>0</v>
      </c>
      <c r="O1927" s="55"/>
      <c r="P1927" s="56">
        <f>SUM(BI1928:BI1973)</f>
        <v>453.34</v>
      </c>
      <c r="Q1927" s="56"/>
      <c r="R1927" s="57"/>
      <c r="S1927" s="23"/>
      <c r="T1927" s="53"/>
      <c r="U1927" s="53">
        <f>SUM(BJ1928:BJ1973)</f>
        <v>414.21</v>
      </c>
      <c r="V1927" s="53"/>
      <c r="W1927" s="57"/>
      <c r="X1927" s="57"/>
      <c r="Y1927" s="58"/>
      <c r="Z1927" s="53">
        <f>SUM(BK1928:BK1973)</f>
        <v>322.2</v>
      </c>
      <c r="AA1927" s="58"/>
      <c r="AB1927" s="57"/>
      <c r="AC1927" s="47"/>
      <c r="AD1927" s="57"/>
      <c r="AE1927" s="53">
        <f>SUM(BL1928:BL1973)</f>
        <v>326.90999999999997</v>
      </c>
      <c r="AF1927" s="57"/>
      <c r="AG1927" s="57"/>
      <c r="AH1927" s="47"/>
      <c r="AI1927" s="57"/>
      <c r="AJ1927" s="53">
        <f>SUM(BM1928:BM1973)</f>
        <v>378.03</v>
      </c>
      <c r="AK1927" s="57"/>
      <c r="AL1927" s="57"/>
      <c r="AM1927" s="59">
        <f t="shared" ref="AM1927:AT1927" si="106">SUM(AM1928:AM1973)</f>
        <v>199167</v>
      </c>
      <c r="AN1927" s="59">
        <f t="shared" si="106"/>
        <v>152028</v>
      </c>
      <c r="AO1927" s="59">
        <f t="shared" si="106"/>
        <v>121373</v>
      </c>
      <c r="AP1927" s="59">
        <f t="shared" si="106"/>
        <v>100292</v>
      </c>
      <c r="AQ1927" s="59">
        <f t="shared" si="106"/>
        <v>94746</v>
      </c>
      <c r="AR1927" s="59">
        <f>SUM(AR1928:AR1973)</f>
        <v>118410</v>
      </c>
      <c r="AS1927" s="59">
        <f t="shared" si="106"/>
        <v>118410</v>
      </c>
      <c r="AT1927" s="59">
        <f t="shared" si="106"/>
        <v>231845</v>
      </c>
      <c r="AU1927">
        <f t="shared" ref="AU1927:AU1973" si="107">AT1927/AT$1927</f>
        <v>1</v>
      </c>
      <c r="AV1927" s="59">
        <f>SUM(AV1928:AV1973)</f>
        <v>215983</v>
      </c>
      <c r="AW1927">
        <f t="shared" ref="AW1927:AW1973" si="108">AV1927/AV$1927</f>
        <v>1</v>
      </c>
      <c r="AX1927" s="59">
        <f>SUM(AX1928:AX1973)</f>
        <v>214956</v>
      </c>
      <c r="AY1927">
        <f t="shared" ref="AY1927:AY1973" si="109">AX1927/AX$1927</f>
        <v>1</v>
      </c>
      <c r="AZ1927" s="59">
        <f>SUM(AZ1928:AZ1973)</f>
        <v>214030</v>
      </c>
      <c r="BA1927">
        <f t="shared" ref="BA1927:BA1973" si="110">AZ1927/AZ$1927</f>
        <v>1</v>
      </c>
      <c r="BB1927" s="59">
        <f>SUM(BB1928:BB1973)</f>
        <v>230050</v>
      </c>
      <c r="BC1927">
        <f t="shared" ref="BC1927:BC1973" si="111">BB1927/BB$1927</f>
        <v>1</v>
      </c>
      <c r="BD1927" s="59">
        <f>SUM(BD1928:BD1973)</f>
        <v>300392</v>
      </c>
      <c r="BE1927">
        <f t="shared" ref="BE1927:BE1973" si="112">BD1927/BD$1927</f>
        <v>1</v>
      </c>
      <c r="BF1927" s="59">
        <f>SUM(BF1928:BF1973)</f>
        <v>300392</v>
      </c>
      <c r="BG1927">
        <f>BF1927/BF$1927</f>
        <v>1</v>
      </c>
      <c r="BH1927" s="53"/>
      <c r="BI1927" s="53"/>
      <c r="BJ1927" s="53"/>
      <c r="BK1927" s="53"/>
      <c r="BL1927" s="53"/>
      <c r="BM1927" s="53"/>
    </row>
    <row r="1928" spans="4:65" x14ac:dyDescent="0.35">
      <c r="D1928" t="s">
        <v>1662</v>
      </c>
      <c r="E1928" t="s">
        <v>231</v>
      </c>
      <c r="F1928" s="23">
        <v>1</v>
      </c>
      <c r="G1928" s="23" t="s">
        <v>1663</v>
      </c>
      <c r="H1928" s="23" t="s">
        <v>1664</v>
      </c>
      <c r="I1928" s="23">
        <v>70</v>
      </c>
      <c r="J1928" s="53">
        <v>327.94</v>
      </c>
      <c r="K1928" s="53">
        <v>328.73</v>
      </c>
      <c r="L1928" s="53">
        <v>560.21</v>
      </c>
      <c r="M1928" s="54">
        <f t="shared" si="101"/>
        <v>1.7041645119094697</v>
      </c>
      <c r="N1928" s="24">
        <v>56</v>
      </c>
      <c r="O1928" s="55">
        <v>438.82</v>
      </c>
      <c r="P1928" s="56">
        <v>440.98</v>
      </c>
      <c r="Q1928" s="56">
        <v>751.52</v>
      </c>
      <c r="R1928" s="57">
        <f t="shared" ref="R1928:R1973" si="113">Q1928/P1928</f>
        <v>1.7042042723025987</v>
      </c>
      <c r="S1928" s="23">
        <v>104</v>
      </c>
      <c r="T1928" s="23">
        <v>406.45</v>
      </c>
      <c r="U1928" s="23">
        <v>411.62</v>
      </c>
      <c r="V1928" s="23">
        <v>701.48</v>
      </c>
      <c r="W1928" s="57">
        <f t="shared" ref="W1928:W1973" si="114">V1928/U1928</f>
        <v>1.7041931878917449</v>
      </c>
      <c r="X1928" s="23">
        <v>104</v>
      </c>
      <c r="Y1928" s="23">
        <v>277.02999999999997</v>
      </c>
      <c r="Z1928" s="23">
        <v>283.04000000000002</v>
      </c>
      <c r="AA1928" s="23">
        <v>482.36</v>
      </c>
      <c r="AB1928" s="57">
        <f t="shared" ref="AB1928:AB1982" si="115">AA1928/Z1928</f>
        <v>1.7042114188807236</v>
      </c>
      <c r="AC1928" s="47">
        <v>137</v>
      </c>
      <c r="AD1928" s="57">
        <v>260.02</v>
      </c>
      <c r="AE1928" s="57">
        <v>260.02</v>
      </c>
      <c r="AF1928" s="57">
        <v>443.12</v>
      </c>
      <c r="AG1928" s="57">
        <f t="shared" ref="AG1928:AG1973" si="116">AF1928/AE1928</f>
        <v>1.7041766017998616</v>
      </c>
      <c r="AH1928" s="47">
        <v>94</v>
      </c>
      <c r="AI1928">
        <v>315.7</v>
      </c>
      <c r="AJ1928">
        <v>319.36</v>
      </c>
      <c r="AK1928">
        <v>544.25</v>
      </c>
      <c r="AL1928" s="57">
        <f t="shared" si="93"/>
        <v>1.704189629258517</v>
      </c>
      <c r="AM1928" s="59">
        <v>863</v>
      </c>
      <c r="AN1928" s="59">
        <f>SUMIFS(HIX_RatingAreas8[Silver Enrollments 2018],HIX_RatingAreas8[Area],HIX_SLCSP11[[#This Row],[Area Code]])</f>
        <v>638</v>
      </c>
      <c r="AO1928" s="59">
        <f>SUMIFS(HIX_RatingAreas8[Silver Enrollments 2019],HIX_RatingAreas8[Area],HIX_SLCSP11[[#This Row],[Area Code]])</f>
        <v>512</v>
      </c>
      <c r="AP1928" s="59">
        <f>SUMIFS(HIX_RatingAreas8[Silver Enrollments 2020],HIX_RatingAreas8[Area],HIX_SLCSP11[[#This Row],[Area Code]])</f>
        <v>424</v>
      </c>
      <c r="AQ1928" s="59">
        <f>SUMIFS(HIX_RatingAreas8[Silver Enrollments 2021],HIX_RatingAreas8[Area],HIX_SLCSP11[[#This Row],[Area Code]])</f>
        <v>386</v>
      </c>
      <c r="AR1928" s="59">
        <f>SUMIFS(HIX_RatingAreas8[Silver Enrollments 2022],HIX_RatingAreas8[Area],HIX_SLCSP11[[#This Row],[Area Code]])</f>
        <v>492</v>
      </c>
      <c r="AS1928" s="59">
        <f>SUMIFS(HIX_RatingAreas8[Silver Enrollments 2023],HIX_RatingAreas8[Area],HIX_SLCSP11[[#This Row],[Area Code]])</f>
        <v>492</v>
      </c>
      <c r="AT1928" s="59">
        <v>956</v>
      </c>
      <c r="AU1928">
        <f t="shared" si="107"/>
        <v>4.1234445426901597E-3</v>
      </c>
      <c r="AV1928">
        <f>SUMIFS(HIX_RatingAreas8[QHP Enrollments 2018],HIX_RatingAreas8[Area],HIX_SLCSP11[[#This Row],[Area Code]])</f>
        <v>807</v>
      </c>
      <c r="AW1928">
        <f t="shared" si="108"/>
        <v>3.7364051800373179E-3</v>
      </c>
      <c r="AX1928">
        <f>SUMIFS(HIX_RatingAreas8[QHP Enrollments 2019],HIX_RatingAreas8[Area],HIX_SLCSP11[[#This Row],[Area Code]])</f>
        <v>760</v>
      </c>
      <c r="AY1928">
        <f t="shared" si="109"/>
        <v>3.5356072870727034E-3</v>
      </c>
      <c r="AZ1928">
        <f>SUMIFS(HIX_RatingAreas8[QHP Enrollments 2020],HIX_RatingAreas8[Area],HIX_SLCSP11[[#This Row],[Area Code]])</f>
        <v>758</v>
      </c>
      <c r="BA1928">
        <f t="shared" si="110"/>
        <v>3.5415595944493761E-3</v>
      </c>
      <c r="BB1928">
        <f>SUMIFS(HIX_RatingAreas8[QHP Enrollments 2021],HIX_RatingAreas8[Area],HIX_SLCSP11[[#This Row],[Area Code]])</f>
        <v>795</v>
      </c>
      <c r="BC1928">
        <f t="shared" si="111"/>
        <v>3.455770484677244E-3</v>
      </c>
      <c r="BD1928">
        <f>SUMIFS(HIX_RatingAreas8[QHP Enrollments 2022],HIX_RatingAreas8[Area],HIX_SLCSP11[[#This Row],[Area Code]])</f>
        <v>1167</v>
      </c>
      <c r="BE1928">
        <f t="shared" si="112"/>
        <v>3.8849236996990597E-3</v>
      </c>
      <c r="BF1928">
        <f>SUMIFS(HIX_RatingAreas8[QHP Enrollments 2023],HIX_RatingAreas8[Area],HIX_SLCSP11[[#This Row],[Area Code]])</f>
        <v>1167</v>
      </c>
      <c r="BG1928">
        <f>BF1928/BF$1927</f>
        <v>3.8849236996990597E-3</v>
      </c>
      <c r="BH1928" s="53">
        <f>ROUND(HIX_SLCSP11[[#This Row],[Weighting Factor 2018]]*HIX_SLCSP11[[#This Row],[2018]],2)</f>
        <v>1.23</v>
      </c>
      <c r="BI1928" s="53">
        <f>ROUND(HIX_SLCSP11[[#This Row],[Weighting Factor 2019]]*HIX_SLCSP11[[#This Row],[2019]],2)</f>
        <v>1.56</v>
      </c>
      <c r="BJ1928" s="53">
        <f>ROUND(HIX_SLCSP11[[#This Row],[Weighting Factor 2020]]*HIX_SLCSP11[[#This Row],[2020]],2)</f>
        <v>1.46</v>
      </c>
      <c r="BK1928" s="53">
        <f>ROUND(HIX_SLCSP11[[#This Row],[Weighting Factor 2021]]*HIX_SLCSP11[[#This Row],[2021]],2)</f>
        <v>0.98</v>
      </c>
      <c r="BL1928" s="53">
        <f>ROUND(HIX_SLCSP11[[#This Row],[Weighting Factor 2022]]*HIX_SLCSP11[[#This Row],[2022]],2)</f>
        <v>1.01</v>
      </c>
      <c r="BM1928" s="53">
        <f>ROUND(HIX_SLCSP11[[#This Row],[Weighting Factor 2023]]*HIX_SLCSP11[[#This Row],[2023]],2)</f>
        <v>1.24</v>
      </c>
    </row>
    <row r="1929" spans="4:65" x14ac:dyDescent="0.35">
      <c r="D1929" t="s">
        <v>1662</v>
      </c>
      <c r="E1929" t="s">
        <v>235</v>
      </c>
      <c r="F1929" s="23">
        <v>2</v>
      </c>
      <c r="G1929" s="23" t="s">
        <v>1663</v>
      </c>
      <c r="H1929" s="23" t="s">
        <v>1667</v>
      </c>
      <c r="I1929" s="23">
        <v>70</v>
      </c>
      <c r="J1929" s="53">
        <v>367.46</v>
      </c>
      <c r="K1929" s="53">
        <v>368.34</v>
      </c>
      <c r="L1929" s="53">
        <v>627.73</v>
      </c>
      <c r="M1929" s="54">
        <f t="shared" si="101"/>
        <v>1.7042134983982191</v>
      </c>
      <c r="N1929" s="24">
        <v>56</v>
      </c>
      <c r="O1929" s="55">
        <v>491.55</v>
      </c>
      <c r="P1929" s="56">
        <v>493.97</v>
      </c>
      <c r="Q1929" s="56">
        <v>841.82</v>
      </c>
      <c r="R1929" s="57">
        <f t="shared" si="113"/>
        <v>1.7041925623013543</v>
      </c>
      <c r="S1929" s="23">
        <v>120</v>
      </c>
      <c r="T1929" s="53">
        <v>391.87</v>
      </c>
      <c r="U1929" s="53">
        <v>404.6</v>
      </c>
      <c r="V1929" s="53">
        <v>689.51</v>
      </c>
      <c r="W1929" s="57">
        <f t="shared" si="114"/>
        <v>1.7041769649036085</v>
      </c>
      <c r="X1929" s="23">
        <v>120</v>
      </c>
      <c r="Y1929" s="53">
        <v>307.10000000000002</v>
      </c>
      <c r="Z1929" s="53">
        <v>313.76</v>
      </c>
      <c r="AA1929" s="53">
        <v>534.71</v>
      </c>
      <c r="AB1929" s="57">
        <f t="shared" si="115"/>
        <v>1.7042006629270783</v>
      </c>
      <c r="AC1929" s="47">
        <v>109</v>
      </c>
      <c r="AD1929" s="57">
        <v>298.20999999999998</v>
      </c>
      <c r="AE1929" s="57">
        <v>302.05</v>
      </c>
      <c r="AF1929" s="57">
        <v>514.76</v>
      </c>
      <c r="AG1929" s="57">
        <f t="shared" si="116"/>
        <v>1.7042211554378413</v>
      </c>
      <c r="AH1929" s="47">
        <v>98</v>
      </c>
      <c r="AI1929">
        <v>343.31</v>
      </c>
      <c r="AJ1929">
        <v>345.91</v>
      </c>
      <c r="AK1929">
        <v>589.5</v>
      </c>
      <c r="AL1929" s="57">
        <f t="shared" si="93"/>
        <v>1.7042005145847186</v>
      </c>
      <c r="AM1929" s="59">
        <v>5177</v>
      </c>
      <c r="AN1929" s="59">
        <f>SUMIFS(HIX_RatingAreas8[Silver Enrollments 2018],HIX_RatingAreas8[Area],HIX_SLCSP11[[#This Row],[Area Code]])</f>
        <v>3801</v>
      </c>
      <c r="AO1929" s="59">
        <f>SUMIFS(HIX_RatingAreas8[Silver Enrollments 2019],HIX_RatingAreas8[Area],HIX_SLCSP11[[#This Row],[Area Code]])</f>
        <v>3294</v>
      </c>
      <c r="AP1929" s="59">
        <f>SUMIFS(HIX_RatingAreas8[Silver Enrollments 2020],HIX_RatingAreas8[Area],HIX_SLCSP11[[#This Row],[Area Code]])</f>
        <v>2530</v>
      </c>
      <c r="AQ1929" s="59">
        <f>SUMIFS(HIX_RatingAreas8[Silver Enrollments 2021],HIX_RatingAreas8[Area],HIX_SLCSP11[[#This Row],[Area Code]])</f>
        <v>2092</v>
      </c>
      <c r="AR1929" s="59">
        <f>SUMIFS(HIX_RatingAreas8[Silver Enrollments 2022],HIX_RatingAreas8[Area],HIX_SLCSP11[[#This Row],[Area Code]])</f>
        <v>3084</v>
      </c>
      <c r="AS1929" s="59">
        <f>SUMIFS(HIX_RatingAreas8[Silver Enrollments 2023],HIX_RatingAreas8[Area],HIX_SLCSP11[[#This Row],[Area Code]])</f>
        <v>3084</v>
      </c>
      <c r="AT1929" s="59">
        <v>5861</v>
      </c>
      <c r="AU1929">
        <f t="shared" si="107"/>
        <v>2.5279820569777223E-2</v>
      </c>
      <c r="AV1929">
        <f>SUMIFS(HIX_RatingAreas8[QHP Enrollments 2018],HIX_RatingAreas8[Area],HIX_SLCSP11[[#This Row],[Area Code]])</f>
        <v>5136</v>
      </c>
      <c r="AW1929">
        <f t="shared" si="108"/>
        <v>2.3779649324252371E-2</v>
      </c>
      <c r="AX1929">
        <f>SUMIFS(HIX_RatingAreas8[QHP Enrollments 2019],HIX_RatingAreas8[Area],HIX_SLCSP11[[#This Row],[Area Code]])</f>
        <v>5287</v>
      </c>
      <c r="AY1929">
        <f t="shared" si="109"/>
        <v>2.4595731219412345E-2</v>
      </c>
      <c r="AZ1929">
        <f>SUMIFS(HIX_RatingAreas8[QHP Enrollments 2020],HIX_RatingAreas8[Area],HIX_SLCSP11[[#This Row],[Area Code]])</f>
        <v>5277</v>
      </c>
      <c r="BA1929">
        <f t="shared" si="110"/>
        <v>2.4655422137083587E-2</v>
      </c>
      <c r="BB1929">
        <f>SUMIFS(HIX_RatingAreas8[QHP Enrollments 2021],HIX_RatingAreas8[Area],HIX_SLCSP11[[#This Row],[Area Code]])</f>
        <v>5675</v>
      </c>
      <c r="BC1929">
        <f t="shared" si="111"/>
        <v>2.466855031514888E-2</v>
      </c>
      <c r="BD1929">
        <f>SUMIFS(HIX_RatingAreas8[QHP Enrollments 2022],HIX_RatingAreas8[Area],HIX_SLCSP11[[#This Row],[Area Code]])</f>
        <v>7670</v>
      </c>
      <c r="BE1929">
        <f t="shared" si="112"/>
        <v>2.5533303150549948E-2</v>
      </c>
      <c r="BF1929">
        <f>SUMIFS(HIX_RatingAreas8[QHP Enrollments 2023],HIX_RatingAreas8[Area],HIX_SLCSP11[[#This Row],[Area Code]])</f>
        <v>7670</v>
      </c>
      <c r="BG1929">
        <f t="shared" ref="BG1929:BG1973" si="117">BF1929/BF$1927</f>
        <v>2.5533303150549948E-2</v>
      </c>
      <c r="BH1929" s="53">
        <f>ROUND(HIX_SLCSP11[[#This Row],[Weighting Factor 2018]]*HIX_SLCSP11[[#This Row],[2018]],2)</f>
        <v>8.76</v>
      </c>
      <c r="BI1929" s="53">
        <f>ROUND(HIX_SLCSP11[[#This Row],[Weighting Factor 2019]]*HIX_SLCSP11[[#This Row],[2019]],2)</f>
        <v>12.15</v>
      </c>
      <c r="BJ1929" s="53">
        <f>ROUND(HIX_SLCSP11[[#This Row],[Weighting Factor 2020]]*HIX_SLCSP11[[#This Row],[2020]],2)</f>
        <v>9.98</v>
      </c>
      <c r="BK1929" s="53">
        <f>ROUND(HIX_SLCSP11[[#This Row],[Weighting Factor 2021]]*HIX_SLCSP11[[#This Row],[2021]],2)</f>
        <v>7.74</v>
      </c>
      <c r="BL1929" s="53">
        <f>ROUND(HIX_SLCSP11[[#This Row],[Weighting Factor 2022]]*HIX_SLCSP11[[#This Row],[2022]],2)</f>
        <v>7.71</v>
      </c>
      <c r="BM1929" s="53">
        <f>ROUND(HIX_SLCSP11[[#This Row],[Weighting Factor 2023]]*HIX_SLCSP11[[#This Row],[2023]],2)</f>
        <v>8.83</v>
      </c>
    </row>
    <row r="1930" spans="4:65" x14ac:dyDescent="0.35">
      <c r="D1930" t="s">
        <v>1662</v>
      </c>
      <c r="E1930" t="s">
        <v>239</v>
      </c>
      <c r="F1930" s="23">
        <v>3</v>
      </c>
      <c r="G1930" s="23" t="s">
        <v>1663</v>
      </c>
      <c r="H1930" s="23" t="s">
        <v>1670</v>
      </c>
      <c r="I1930" s="23">
        <v>70</v>
      </c>
      <c r="J1930" s="53">
        <v>337.48</v>
      </c>
      <c r="K1930" s="53">
        <v>338.29</v>
      </c>
      <c r="L1930" s="53">
        <v>576.51</v>
      </c>
      <c r="M1930" s="54">
        <f t="shared" si="101"/>
        <v>1.7041887138254159</v>
      </c>
      <c r="N1930" s="24">
        <v>56</v>
      </c>
      <c r="O1930" s="55">
        <v>451.49</v>
      </c>
      <c r="P1930" s="56">
        <v>453.72</v>
      </c>
      <c r="Q1930" s="56">
        <v>773.22</v>
      </c>
      <c r="R1930" s="57">
        <f t="shared" si="113"/>
        <v>1.7041787886802433</v>
      </c>
      <c r="S1930" s="23">
        <v>120</v>
      </c>
      <c r="T1930" s="53">
        <v>358.35</v>
      </c>
      <c r="U1930" s="53">
        <v>369.99</v>
      </c>
      <c r="V1930" s="53">
        <v>630.54</v>
      </c>
      <c r="W1930" s="57">
        <f t="shared" si="114"/>
        <v>1.7042082218438335</v>
      </c>
      <c r="X1930" s="23">
        <v>120</v>
      </c>
      <c r="Y1930" s="53">
        <v>306.94</v>
      </c>
      <c r="Z1930" s="53">
        <v>313.60000000000002</v>
      </c>
      <c r="AA1930" s="53">
        <v>534.44000000000005</v>
      </c>
      <c r="AB1930" s="57">
        <f t="shared" si="115"/>
        <v>1.7042091836734694</v>
      </c>
      <c r="AC1930" s="47">
        <v>105</v>
      </c>
      <c r="AD1930" s="57">
        <v>298.52</v>
      </c>
      <c r="AE1930" s="57">
        <v>302.36</v>
      </c>
      <c r="AF1930" s="57">
        <v>515.29</v>
      </c>
      <c r="AG1930" s="57">
        <f t="shared" si="116"/>
        <v>1.7042267495700487</v>
      </c>
      <c r="AH1930" s="47">
        <v>94</v>
      </c>
      <c r="AI1930">
        <v>356.16</v>
      </c>
      <c r="AJ1930">
        <v>356.55</v>
      </c>
      <c r="AK1930">
        <v>607.63</v>
      </c>
      <c r="AL1930" s="57">
        <f t="shared" si="93"/>
        <v>1.7041929603141215</v>
      </c>
      <c r="AM1930" s="59">
        <v>263</v>
      </c>
      <c r="AN1930" s="59">
        <f>SUMIFS(HIX_RatingAreas8[Silver Enrollments 2018],HIX_RatingAreas8[Area],HIX_SLCSP11[[#This Row],[Area Code]])</f>
        <v>166</v>
      </c>
      <c r="AO1930" s="59">
        <f>SUMIFS(HIX_RatingAreas8[Silver Enrollments 2019],HIX_RatingAreas8[Area],HIX_SLCSP11[[#This Row],[Area Code]])</f>
        <v>165</v>
      </c>
      <c r="AP1930" s="59">
        <f>SUMIFS(HIX_RatingAreas8[Silver Enrollments 2020],HIX_RatingAreas8[Area],HIX_SLCSP11[[#This Row],[Area Code]])</f>
        <v>104</v>
      </c>
      <c r="AQ1930" s="59">
        <f>SUMIFS(HIX_RatingAreas8[Silver Enrollments 2021],HIX_RatingAreas8[Area],HIX_SLCSP11[[#This Row],[Area Code]])</f>
        <v>87</v>
      </c>
      <c r="AR1930" s="59">
        <f>SUMIFS(HIX_RatingAreas8[Silver Enrollments 2022],HIX_RatingAreas8[Area],HIX_SLCSP11[[#This Row],[Area Code]])</f>
        <v>194</v>
      </c>
      <c r="AS1930" s="59">
        <f>SUMIFS(HIX_RatingAreas8[Silver Enrollments 2023],HIX_RatingAreas8[Area],HIX_SLCSP11[[#This Row],[Area Code]])</f>
        <v>194</v>
      </c>
      <c r="AT1930" s="59">
        <v>299</v>
      </c>
      <c r="AU1930">
        <f t="shared" si="107"/>
        <v>1.2896547262179474E-3</v>
      </c>
      <c r="AV1930">
        <f>SUMIFS(HIX_RatingAreas8[QHP Enrollments 2018],HIX_RatingAreas8[Area],HIX_SLCSP11[[#This Row],[Area Code]])</f>
        <v>206</v>
      </c>
      <c r="AW1930">
        <f t="shared" si="108"/>
        <v>9.5377876962538714E-4</v>
      </c>
      <c r="AX1930">
        <f>SUMIFS(HIX_RatingAreas8[QHP Enrollments 2019],HIX_RatingAreas8[Area],HIX_SLCSP11[[#This Row],[Area Code]])</f>
        <v>259</v>
      </c>
      <c r="AY1930">
        <f t="shared" si="109"/>
        <v>1.2048977465155661E-3</v>
      </c>
      <c r="AZ1930">
        <f>SUMIFS(HIX_RatingAreas8[QHP Enrollments 2020],HIX_RatingAreas8[Area],HIX_SLCSP11[[#This Row],[Area Code]])</f>
        <v>221</v>
      </c>
      <c r="BA1930">
        <f t="shared" si="110"/>
        <v>1.0325655281969816E-3</v>
      </c>
      <c r="BB1930">
        <f>SUMIFS(HIX_RatingAreas8[QHP Enrollments 2021],HIX_RatingAreas8[Area],HIX_SLCSP11[[#This Row],[Area Code]])</f>
        <v>232</v>
      </c>
      <c r="BC1930">
        <f t="shared" si="111"/>
        <v>1.008476418169963E-3</v>
      </c>
      <c r="BD1930">
        <f>SUMIFS(HIX_RatingAreas8[QHP Enrollments 2022],HIX_RatingAreas8[Area],HIX_SLCSP11[[#This Row],[Area Code]])</f>
        <v>384</v>
      </c>
      <c r="BE1930">
        <f t="shared" si="112"/>
        <v>1.2783296492583024E-3</v>
      </c>
      <c r="BF1930">
        <f>SUMIFS(HIX_RatingAreas8[QHP Enrollments 2023],HIX_RatingAreas8[Area],HIX_SLCSP11[[#This Row],[Area Code]])</f>
        <v>384</v>
      </c>
      <c r="BG1930">
        <f t="shared" si="117"/>
        <v>1.2783296492583024E-3</v>
      </c>
      <c r="BH1930" s="53">
        <f>ROUND(HIX_SLCSP11[[#This Row],[Weighting Factor 2018]]*HIX_SLCSP11[[#This Row],[2018]],2)</f>
        <v>0.32</v>
      </c>
      <c r="BI1930" s="53">
        <f>ROUND(HIX_SLCSP11[[#This Row],[Weighting Factor 2019]]*HIX_SLCSP11[[#This Row],[2019]],2)</f>
        <v>0.55000000000000004</v>
      </c>
      <c r="BJ1930" s="53">
        <f>ROUND(HIX_SLCSP11[[#This Row],[Weighting Factor 2020]]*HIX_SLCSP11[[#This Row],[2020]],2)</f>
        <v>0.38</v>
      </c>
      <c r="BK1930" s="53">
        <f>ROUND(HIX_SLCSP11[[#This Row],[Weighting Factor 2021]]*HIX_SLCSP11[[#This Row],[2021]],2)</f>
        <v>0.32</v>
      </c>
      <c r="BL1930" s="53">
        <f>ROUND(HIX_SLCSP11[[#This Row],[Weighting Factor 2022]]*HIX_SLCSP11[[#This Row],[2022]],2)</f>
        <v>0.39</v>
      </c>
      <c r="BM1930" s="53">
        <f>ROUND(HIX_SLCSP11[[#This Row],[Weighting Factor 2023]]*HIX_SLCSP11[[#This Row],[2023]],2)</f>
        <v>0.46</v>
      </c>
    </row>
    <row r="1931" spans="4:65" x14ac:dyDescent="0.35">
      <c r="D1931" t="s">
        <v>1662</v>
      </c>
      <c r="E1931" t="s">
        <v>255</v>
      </c>
      <c r="F1931" s="23">
        <v>4</v>
      </c>
      <c r="G1931" s="23" t="s">
        <v>1663</v>
      </c>
      <c r="H1931" s="23" t="s">
        <v>1673</v>
      </c>
      <c r="I1931" s="23">
        <v>70</v>
      </c>
      <c r="J1931" s="53">
        <v>371.72</v>
      </c>
      <c r="K1931" s="53">
        <v>372.61</v>
      </c>
      <c r="L1931" s="53">
        <v>635.01</v>
      </c>
      <c r="M1931" s="54">
        <f t="shared" si="101"/>
        <v>1.7042215721531895</v>
      </c>
      <c r="N1931" s="24">
        <v>56</v>
      </c>
      <c r="O1931" s="24">
        <v>497.43</v>
      </c>
      <c r="P1931" s="56">
        <v>499.88</v>
      </c>
      <c r="Q1931" s="56">
        <v>851.9</v>
      </c>
      <c r="R1931" s="57">
        <f t="shared" si="113"/>
        <v>1.704209010162439</v>
      </c>
      <c r="S1931" s="23">
        <v>78</v>
      </c>
      <c r="T1931" s="53">
        <v>426.17</v>
      </c>
      <c r="U1931" s="53">
        <v>462.19</v>
      </c>
      <c r="V1931" s="53">
        <v>787.66</v>
      </c>
      <c r="W1931" s="57">
        <f t="shared" si="114"/>
        <v>1.7041909171552825</v>
      </c>
      <c r="X1931" s="23">
        <v>78</v>
      </c>
      <c r="Y1931" s="53">
        <v>338.89</v>
      </c>
      <c r="Z1931" s="53">
        <v>346.25</v>
      </c>
      <c r="AA1931" s="53">
        <v>590.07000000000005</v>
      </c>
      <c r="AB1931" s="57">
        <f t="shared" si="115"/>
        <v>1.704173285198556</v>
      </c>
      <c r="AC1931" s="47">
        <v>65</v>
      </c>
      <c r="AD1931" s="57">
        <v>339.97</v>
      </c>
      <c r="AE1931" s="57">
        <v>344.35</v>
      </c>
      <c r="AF1931" s="57">
        <v>586.84</v>
      </c>
      <c r="AG1931" s="57">
        <f t="shared" si="116"/>
        <v>1.7041963118919703</v>
      </c>
      <c r="AH1931" s="47">
        <v>90</v>
      </c>
      <c r="AI1931">
        <v>428.34</v>
      </c>
      <c r="AJ1931">
        <v>431.58</v>
      </c>
      <c r="AK1931">
        <v>735.5</v>
      </c>
      <c r="AL1931" s="57">
        <f t="shared" si="93"/>
        <v>1.7042031604800965</v>
      </c>
      <c r="AM1931" s="59">
        <v>7816</v>
      </c>
      <c r="AN1931" s="59">
        <f>SUMIFS(HIX_RatingAreas8[Silver Enrollments 2018],HIX_RatingAreas8[Area],HIX_SLCSP11[[#This Row],[Area Code]])</f>
        <v>5861</v>
      </c>
      <c r="AO1931" s="59">
        <f>SUMIFS(HIX_RatingAreas8[Silver Enrollments 2019],HIX_RatingAreas8[Area],HIX_SLCSP11[[#This Row],[Area Code]])</f>
        <v>4543</v>
      </c>
      <c r="AP1931" s="59">
        <f>SUMIFS(HIX_RatingAreas8[Silver Enrollments 2020],HIX_RatingAreas8[Area],HIX_SLCSP11[[#This Row],[Area Code]])</f>
        <v>3944</v>
      </c>
      <c r="AQ1931" s="59">
        <f>SUMIFS(HIX_RatingAreas8[Silver Enrollments 2021],HIX_RatingAreas8[Area],HIX_SLCSP11[[#This Row],[Area Code]])</f>
        <v>3986</v>
      </c>
      <c r="AR1931" s="59">
        <f>SUMIFS(HIX_RatingAreas8[Silver Enrollments 2022],HIX_RatingAreas8[Area],HIX_SLCSP11[[#This Row],[Area Code]])</f>
        <v>4623</v>
      </c>
      <c r="AS1931" s="59">
        <f>SUMIFS(HIX_RatingAreas8[Silver Enrollments 2023],HIX_RatingAreas8[Area],HIX_SLCSP11[[#This Row],[Area Code]])</f>
        <v>4623</v>
      </c>
      <c r="AT1931" s="59">
        <v>8767</v>
      </c>
      <c r="AU1931">
        <f t="shared" si="107"/>
        <v>3.7814056805193126E-2</v>
      </c>
      <c r="AV1931">
        <f>SUMIFS(HIX_RatingAreas8[QHP Enrollments 2018],HIX_RatingAreas8[Area],HIX_SLCSP11[[#This Row],[Area Code]])</f>
        <v>8195</v>
      </c>
      <c r="AW1931">
        <f t="shared" si="108"/>
        <v>3.794280105378664E-2</v>
      </c>
      <c r="AX1931">
        <f>SUMIFS(HIX_RatingAreas8[QHP Enrollments 2019],HIX_RatingAreas8[Area],HIX_SLCSP11[[#This Row],[Area Code]])</f>
        <v>8109</v>
      </c>
      <c r="AY1931">
        <f t="shared" si="109"/>
        <v>3.7723999330095459E-2</v>
      </c>
      <c r="AZ1931">
        <f>SUMIFS(HIX_RatingAreas8[QHP Enrollments 2020],HIX_RatingAreas8[Area],HIX_SLCSP11[[#This Row],[Area Code]])</f>
        <v>8242</v>
      </c>
      <c r="BA1931">
        <f t="shared" si="110"/>
        <v>3.8508620286875669E-2</v>
      </c>
      <c r="BB1931">
        <f>SUMIFS(HIX_RatingAreas8[QHP Enrollments 2021],HIX_RatingAreas8[Area],HIX_SLCSP11[[#This Row],[Area Code]])</f>
        <v>8892</v>
      </c>
      <c r="BC1931">
        <f t="shared" si="111"/>
        <v>3.8652466855031514E-2</v>
      </c>
      <c r="BD1931">
        <f>SUMIFS(HIX_RatingAreas8[QHP Enrollments 2022],HIX_RatingAreas8[Area],HIX_SLCSP11[[#This Row],[Area Code]])</f>
        <v>11595</v>
      </c>
      <c r="BE1931">
        <f t="shared" si="112"/>
        <v>3.8599563237369836E-2</v>
      </c>
      <c r="BF1931">
        <f>SUMIFS(HIX_RatingAreas8[QHP Enrollments 2023],HIX_RatingAreas8[Area],HIX_SLCSP11[[#This Row],[Area Code]])</f>
        <v>11595</v>
      </c>
      <c r="BG1931">
        <f t="shared" si="117"/>
        <v>3.8599563237369836E-2</v>
      </c>
      <c r="BH1931" s="53">
        <f>ROUND(HIX_SLCSP11[[#This Row],[Weighting Factor 2018]]*HIX_SLCSP11[[#This Row],[2018]],2)</f>
        <v>14.14</v>
      </c>
      <c r="BI1931" s="53">
        <f>ROUND(HIX_SLCSP11[[#This Row],[Weighting Factor 2019]]*HIX_SLCSP11[[#This Row],[2019]],2)</f>
        <v>18.86</v>
      </c>
      <c r="BJ1931" s="53">
        <f>ROUND(HIX_SLCSP11[[#This Row],[Weighting Factor 2020]]*HIX_SLCSP11[[#This Row],[2020]],2)</f>
        <v>17.8</v>
      </c>
      <c r="BK1931" s="53">
        <f>ROUND(HIX_SLCSP11[[#This Row],[Weighting Factor 2021]]*HIX_SLCSP11[[#This Row],[2021]],2)</f>
        <v>13.38</v>
      </c>
      <c r="BL1931" s="53">
        <f>ROUND(HIX_SLCSP11[[#This Row],[Weighting Factor 2022]]*HIX_SLCSP11[[#This Row],[2022]],2)</f>
        <v>13.29</v>
      </c>
      <c r="BM1931" s="53">
        <f>ROUND(HIX_SLCSP11[[#This Row],[Weighting Factor 2023]]*HIX_SLCSP11[[#This Row],[2023]],2)</f>
        <v>16.66</v>
      </c>
    </row>
    <row r="1932" spans="4:65" x14ac:dyDescent="0.35">
      <c r="D1932" t="s">
        <v>1662</v>
      </c>
      <c r="E1932" t="s">
        <v>259</v>
      </c>
      <c r="F1932" s="23">
        <v>5</v>
      </c>
      <c r="G1932" s="23" t="s">
        <v>1663</v>
      </c>
      <c r="H1932" s="23" t="s">
        <v>1676</v>
      </c>
      <c r="I1932" s="23">
        <v>70</v>
      </c>
      <c r="J1932" s="53">
        <v>334.75</v>
      </c>
      <c r="K1932" s="53">
        <v>335.56</v>
      </c>
      <c r="L1932" s="53">
        <v>571.85</v>
      </c>
      <c r="M1932" s="54">
        <f t="shared" si="101"/>
        <v>1.7041661699845037</v>
      </c>
      <c r="N1932" s="24">
        <v>56</v>
      </c>
      <c r="O1932" s="55">
        <v>447.87</v>
      </c>
      <c r="P1932" s="56">
        <v>450.08</v>
      </c>
      <c r="Q1932" s="56">
        <v>767.02</v>
      </c>
      <c r="R1932" s="57">
        <f t="shared" si="113"/>
        <v>1.7041859225026663</v>
      </c>
      <c r="S1932" s="23">
        <v>120</v>
      </c>
      <c r="T1932" s="23">
        <v>365.39</v>
      </c>
      <c r="U1932" s="23">
        <v>377.25</v>
      </c>
      <c r="V1932" s="23">
        <v>642.91999999999996</v>
      </c>
      <c r="W1932" s="57">
        <f t="shared" si="114"/>
        <v>1.7042279655400927</v>
      </c>
      <c r="X1932" s="23">
        <v>120</v>
      </c>
      <c r="Y1932" s="23">
        <v>314.64999999999998</v>
      </c>
      <c r="Z1932" s="23">
        <v>321.48</v>
      </c>
      <c r="AA1932" s="23">
        <v>547.87</v>
      </c>
      <c r="AB1932" s="57">
        <f t="shared" si="115"/>
        <v>1.7042117705611546</v>
      </c>
      <c r="AC1932" s="47">
        <v>105</v>
      </c>
      <c r="AD1932" s="57">
        <v>299.76</v>
      </c>
      <c r="AE1932" s="57">
        <v>303.62</v>
      </c>
      <c r="AF1932" s="57">
        <v>517.41999999999996</v>
      </c>
      <c r="AG1932" s="57">
        <f t="shared" si="116"/>
        <v>1.7041696857914497</v>
      </c>
      <c r="AH1932" s="47">
        <v>94</v>
      </c>
      <c r="AI1932">
        <v>351.7</v>
      </c>
      <c r="AJ1932">
        <v>355.86</v>
      </c>
      <c r="AK1932">
        <v>606.45000000000005</v>
      </c>
      <c r="AL1932" s="57">
        <f t="shared" si="93"/>
        <v>1.7041814196594167</v>
      </c>
      <c r="AM1932" s="59">
        <v>469</v>
      </c>
      <c r="AN1932" s="59">
        <f>SUMIFS(HIX_RatingAreas8[Silver Enrollments 2018],HIX_RatingAreas8[Area],HIX_SLCSP11[[#This Row],[Area Code]])</f>
        <v>381</v>
      </c>
      <c r="AO1932" s="59">
        <f>SUMIFS(HIX_RatingAreas8[Silver Enrollments 2019],HIX_RatingAreas8[Area],HIX_SLCSP11[[#This Row],[Area Code]])</f>
        <v>348</v>
      </c>
      <c r="AP1932" s="59">
        <f>SUMIFS(HIX_RatingAreas8[Silver Enrollments 2020],HIX_RatingAreas8[Area],HIX_SLCSP11[[#This Row],[Area Code]])</f>
        <v>219</v>
      </c>
      <c r="AQ1932" s="59">
        <f>SUMIFS(HIX_RatingAreas8[Silver Enrollments 2021],HIX_RatingAreas8[Area],HIX_SLCSP11[[#This Row],[Area Code]])</f>
        <v>205</v>
      </c>
      <c r="AR1932" s="59">
        <f>SUMIFS(HIX_RatingAreas8[Silver Enrollments 2022],HIX_RatingAreas8[Area],HIX_SLCSP11[[#This Row],[Area Code]])</f>
        <v>250</v>
      </c>
      <c r="AS1932" s="59">
        <f>SUMIFS(HIX_RatingAreas8[Silver Enrollments 2023],HIX_RatingAreas8[Area],HIX_SLCSP11[[#This Row],[Area Code]])</f>
        <v>250</v>
      </c>
      <c r="AT1932" s="59">
        <v>518</v>
      </c>
      <c r="AU1932">
        <f t="shared" si="107"/>
        <v>2.2342513317086849E-3</v>
      </c>
      <c r="AV1932">
        <f>SUMIFS(HIX_RatingAreas8[QHP Enrollments 2018],HIX_RatingAreas8[Area],HIX_SLCSP11[[#This Row],[Area Code]])</f>
        <v>497</v>
      </c>
      <c r="AW1932">
        <f t="shared" si="108"/>
        <v>2.3011070315719293E-3</v>
      </c>
      <c r="AX1932">
        <f>SUMIFS(HIX_RatingAreas8[QHP Enrollments 2019],HIX_RatingAreas8[Area],HIX_SLCSP11[[#This Row],[Area Code]])</f>
        <v>556</v>
      </c>
      <c r="AY1932">
        <f t="shared" si="109"/>
        <v>2.5865758573847672E-3</v>
      </c>
      <c r="AZ1932">
        <f>SUMIFS(HIX_RatingAreas8[QHP Enrollments 2020],HIX_RatingAreas8[Area],HIX_SLCSP11[[#This Row],[Area Code]])</f>
        <v>484</v>
      </c>
      <c r="BA1932">
        <f t="shared" si="110"/>
        <v>2.2613652291734805E-3</v>
      </c>
      <c r="BB1932">
        <f>SUMIFS(HIX_RatingAreas8[QHP Enrollments 2021],HIX_RatingAreas8[Area],HIX_SLCSP11[[#This Row],[Area Code]])</f>
        <v>512</v>
      </c>
      <c r="BC1932">
        <f t="shared" si="111"/>
        <v>2.2256031297544013E-3</v>
      </c>
      <c r="BD1932">
        <f>SUMIFS(HIX_RatingAreas8[QHP Enrollments 2022],HIX_RatingAreas8[Area],HIX_SLCSP11[[#This Row],[Area Code]])</f>
        <v>629</v>
      </c>
      <c r="BE1932">
        <f t="shared" si="112"/>
        <v>2.0939305973527922E-3</v>
      </c>
      <c r="BF1932">
        <f>SUMIFS(HIX_RatingAreas8[QHP Enrollments 2023],HIX_RatingAreas8[Area],HIX_SLCSP11[[#This Row],[Area Code]])</f>
        <v>629</v>
      </c>
      <c r="BG1932">
        <f t="shared" si="117"/>
        <v>2.0939305973527922E-3</v>
      </c>
      <c r="BH1932" s="53">
        <f>ROUND(HIX_SLCSP11[[#This Row],[Weighting Factor 2018]]*HIX_SLCSP11[[#This Row],[2018]],2)</f>
        <v>0.77</v>
      </c>
      <c r="BI1932" s="53">
        <f>ROUND(HIX_SLCSP11[[#This Row],[Weighting Factor 2019]]*HIX_SLCSP11[[#This Row],[2019]],2)</f>
        <v>1.1599999999999999</v>
      </c>
      <c r="BJ1932" s="53">
        <f>ROUND(HIX_SLCSP11[[#This Row],[Weighting Factor 2020]]*HIX_SLCSP11[[#This Row],[2020]],2)</f>
        <v>0.85</v>
      </c>
      <c r="BK1932" s="53">
        <f>ROUND(HIX_SLCSP11[[#This Row],[Weighting Factor 2021]]*HIX_SLCSP11[[#This Row],[2021]],2)</f>
        <v>0.72</v>
      </c>
      <c r="BL1932" s="53">
        <f>ROUND(HIX_SLCSP11[[#This Row],[Weighting Factor 2022]]*HIX_SLCSP11[[#This Row],[2022]],2)</f>
        <v>0.64</v>
      </c>
      <c r="BM1932" s="53">
        <f>ROUND(HIX_SLCSP11[[#This Row],[Weighting Factor 2023]]*HIX_SLCSP11[[#This Row],[2023]],2)</f>
        <v>0.75</v>
      </c>
    </row>
    <row r="1933" spans="4:65" x14ac:dyDescent="0.35">
      <c r="D1933" t="s">
        <v>1662</v>
      </c>
      <c r="E1933" t="s">
        <v>265</v>
      </c>
      <c r="F1933" s="23">
        <v>6</v>
      </c>
      <c r="G1933" s="23" t="s">
        <v>1663</v>
      </c>
      <c r="H1933" s="23" t="s">
        <v>1679</v>
      </c>
      <c r="I1933" s="23">
        <v>70</v>
      </c>
      <c r="J1933" s="53">
        <v>372.06</v>
      </c>
      <c r="K1933" s="53">
        <v>372.95</v>
      </c>
      <c r="L1933" s="53">
        <v>635.59</v>
      </c>
      <c r="M1933" s="54">
        <f t="shared" si="101"/>
        <v>1.7042230862045853</v>
      </c>
      <c r="N1933" s="24">
        <v>56</v>
      </c>
      <c r="O1933" s="55">
        <v>497.88</v>
      </c>
      <c r="P1933" s="56">
        <v>500.34</v>
      </c>
      <c r="Q1933" s="56">
        <v>852.68</v>
      </c>
      <c r="R1933" s="57">
        <f t="shared" si="113"/>
        <v>1.7042011432226085</v>
      </c>
      <c r="S1933" s="23">
        <v>120</v>
      </c>
      <c r="T1933" s="53">
        <v>386.35</v>
      </c>
      <c r="U1933" s="53">
        <v>398.89</v>
      </c>
      <c r="V1933" s="53">
        <v>679.79</v>
      </c>
      <c r="W1933" s="57">
        <f t="shared" si="114"/>
        <v>1.7042041665622101</v>
      </c>
      <c r="X1933" s="23">
        <v>120</v>
      </c>
      <c r="Y1933" s="53">
        <v>307.10000000000002</v>
      </c>
      <c r="Z1933" s="53">
        <v>313.76</v>
      </c>
      <c r="AA1933" s="53">
        <v>534.71</v>
      </c>
      <c r="AB1933" s="57">
        <f t="shared" si="115"/>
        <v>1.7042006629270783</v>
      </c>
      <c r="AC1933" s="47">
        <v>57</v>
      </c>
      <c r="AD1933" s="57">
        <v>293.11</v>
      </c>
      <c r="AE1933" s="57">
        <v>296.88</v>
      </c>
      <c r="AF1933" s="57">
        <v>505.94</v>
      </c>
      <c r="AG1933" s="57">
        <f t="shared" si="116"/>
        <v>1.7041902452169226</v>
      </c>
      <c r="AH1933" s="47">
        <v>94</v>
      </c>
      <c r="AI1933">
        <v>362.05</v>
      </c>
      <c r="AJ1933">
        <v>362.39</v>
      </c>
      <c r="AK1933">
        <v>617.59</v>
      </c>
      <c r="AL1933" s="57">
        <f t="shared" si="93"/>
        <v>1.7042136924308067</v>
      </c>
      <c r="AM1933" s="59">
        <v>531</v>
      </c>
      <c r="AN1933" s="59">
        <f>SUMIFS(HIX_RatingAreas8[Silver Enrollments 2018],HIX_RatingAreas8[Area],HIX_SLCSP11[[#This Row],[Area Code]])</f>
        <v>421</v>
      </c>
      <c r="AO1933" s="59">
        <f>SUMIFS(HIX_RatingAreas8[Silver Enrollments 2019],HIX_RatingAreas8[Area],HIX_SLCSP11[[#This Row],[Area Code]])</f>
        <v>329</v>
      </c>
      <c r="AP1933" s="59">
        <f>SUMIFS(HIX_RatingAreas8[Silver Enrollments 2020],HIX_RatingAreas8[Area],HIX_SLCSP11[[#This Row],[Area Code]])</f>
        <v>243</v>
      </c>
      <c r="AQ1933" s="59">
        <f>SUMIFS(HIX_RatingAreas8[Silver Enrollments 2021],HIX_RatingAreas8[Area],HIX_SLCSP11[[#This Row],[Area Code]])</f>
        <v>203</v>
      </c>
      <c r="AR1933" s="59">
        <f>SUMIFS(HIX_RatingAreas8[Silver Enrollments 2022],HIX_RatingAreas8[Area],HIX_SLCSP11[[#This Row],[Area Code]])</f>
        <v>346</v>
      </c>
      <c r="AS1933" s="59">
        <f>SUMIFS(HIX_RatingAreas8[Silver Enrollments 2023],HIX_RatingAreas8[Area],HIX_SLCSP11[[#This Row],[Area Code]])</f>
        <v>346</v>
      </c>
      <c r="AT1933" s="59">
        <v>600</v>
      </c>
      <c r="AU1933">
        <f t="shared" si="107"/>
        <v>2.587935905454075E-3</v>
      </c>
      <c r="AV1933">
        <f>SUMIFS(HIX_RatingAreas8[QHP Enrollments 2018],HIX_RatingAreas8[Area],HIX_SLCSP11[[#This Row],[Area Code]])</f>
        <v>535</v>
      </c>
      <c r="AW1933">
        <f t="shared" si="108"/>
        <v>2.4770468046096221E-3</v>
      </c>
      <c r="AX1933">
        <f>SUMIFS(HIX_RatingAreas8[QHP Enrollments 2019],HIX_RatingAreas8[Area],HIX_SLCSP11[[#This Row],[Area Code]])</f>
        <v>520</v>
      </c>
      <c r="AY1933">
        <f t="shared" si="109"/>
        <v>2.4190997227339548E-3</v>
      </c>
      <c r="AZ1933">
        <f>SUMIFS(HIX_RatingAreas8[QHP Enrollments 2020],HIX_RatingAreas8[Area],HIX_SLCSP11[[#This Row],[Area Code]])</f>
        <v>545</v>
      </c>
      <c r="BA1933">
        <f t="shared" si="110"/>
        <v>2.5463720039246834E-3</v>
      </c>
      <c r="BB1933">
        <f>SUMIFS(HIX_RatingAreas8[QHP Enrollments 2021],HIX_RatingAreas8[Area],HIX_SLCSP11[[#This Row],[Area Code]])</f>
        <v>534</v>
      </c>
      <c r="BC1933">
        <f t="shared" si="111"/>
        <v>2.3212345142360358E-3</v>
      </c>
      <c r="BD1933">
        <f>SUMIFS(HIX_RatingAreas8[QHP Enrollments 2022],HIX_RatingAreas8[Area],HIX_SLCSP11[[#This Row],[Area Code]])</f>
        <v>745</v>
      </c>
      <c r="BE1933">
        <f t="shared" si="112"/>
        <v>2.4800926788995713E-3</v>
      </c>
      <c r="BF1933">
        <f>SUMIFS(HIX_RatingAreas8[QHP Enrollments 2023],HIX_RatingAreas8[Area],HIX_SLCSP11[[#This Row],[Area Code]])</f>
        <v>745</v>
      </c>
      <c r="BG1933">
        <f t="shared" si="117"/>
        <v>2.4800926788995713E-3</v>
      </c>
      <c r="BH1933" s="53">
        <f>ROUND(HIX_SLCSP11[[#This Row],[Weighting Factor 2018]]*HIX_SLCSP11[[#This Row],[2018]],2)</f>
        <v>0.92</v>
      </c>
      <c r="BI1933" s="53">
        <f>ROUND(HIX_SLCSP11[[#This Row],[Weighting Factor 2019]]*HIX_SLCSP11[[#This Row],[2019]],2)</f>
        <v>1.21</v>
      </c>
      <c r="BJ1933" s="53">
        <f>ROUND(HIX_SLCSP11[[#This Row],[Weighting Factor 2020]]*HIX_SLCSP11[[#This Row],[2020]],2)</f>
        <v>1.02</v>
      </c>
      <c r="BK1933" s="53">
        <f>ROUND(HIX_SLCSP11[[#This Row],[Weighting Factor 2021]]*HIX_SLCSP11[[#This Row],[2021]],2)</f>
        <v>0.73</v>
      </c>
      <c r="BL1933" s="53">
        <f>ROUND(HIX_SLCSP11[[#This Row],[Weighting Factor 2022]]*HIX_SLCSP11[[#This Row],[2022]],2)</f>
        <v>0.74</v>
      </c>
      <c r="BM1933" s="53">
        <f>ROUND(HIX_SLCSP11[[#This Row],[Weighting Factor 2023]]*HIX_SLCSP11[[#This Row],[2023]],2)</f>
        <v>0.9</v>
      </c>
    </row>
    <row r="1934" spans="4:65" x14ac:dyDescent="0.35">
      <c r="D1934" t="s">
        <v>1662</v>
      </c>
      <c r="E1934" t="s">
        <v>273</v>
      </c>
      <c r="F1934" s="23">
        <v>7</v>
      </c>
      <c r="G1934" s="23" t="s">
        <v>1663</v>
      </c>
      <c r="H1934" s="23" t="s">
        <v>1682</v>
      </c>
      <c r="I1934" s="23">
        <v>70</v>
      </c>
      <c r="J1934" s="53">
        <v>327.60000000000002</v>
      </c>
      <c r="K1934" s="53">
        <v>328.38</v>
      </c>
      <c r="L1934" s="53">
        <v>559.63</v>
      </c>
      <c r="M1934" s="54">
        <f t="shared" si="101"/>
        <v>1.7042146293927767</v>
      </c>
      <c r="N1934" s="24">
        <v>56</v>
      </c>
      <c r="O1934" s="55">
        <v>438.36</v>
      </c>
      <c r="P1934" s="56">
        <v>440.53</v>
      </c>
      <c r="Q1934" s="56">
        <v>750.74</v>
      </c>
      <c r="R1934" s="57">
        <f t="shared" si="113"/>
        <v>1.7041745170589973</v>
      </c>
      <c r="S1934" s="23">
        <v>104</v>
      </c>
      <c r="T1934" s="53">
        <v>409.96</v>
      </c>
      <c r="U1934" s="53">
        <v>416.77</v>
      </c>
      <c r="V1934" s="53">
        <v>710.27</v>
      </c>
      <c r="W1934" s="57">
        <f t="shared" si="114"/>
        <v>1.704225352112676</v>
      </c>
      <c r="X1934" s="23">
        <v>104</v>
      </c>
      <c r="Y1934" s="53">
        <v>311.19</v>
      </c>
      <c r="Z1934" s="53">
        <v>317.94</v>
      </c>
      <c r="AA1934" s="53">
        <v>541.84</v>
      </c>
      <c r="AB1934" s="57">
        <f t="shared" si="115"/>
        <v>1.7042209221865763</v>
      </c>
      <c r="AC1934" s="47">
        <v>57</v>
      </c>
      <c r="AD1934" s="57">
        <v>316.45999999999998</v>
      </c>
      <c r="AE1934" s="57">
        <v>320.54000000000002</v>
      </c>
      <c r="AF1934" s="57">
        <v>546.26</v>
      </c>
      <c r="AG1934" s="57">
        <f t="shared" si="116"/>
        <v>1.7041866849691145</v>
      </c>
      <c r="AH1934" s="47">
        <v>94</v>
      </c>
      <c r="AI1934">
        <v>389.98</v>
      </c>
      <c r="AJ1934">
        <v>392.93</v>
      </c>
      <c r="AK1934">
        <v>669.64</v>
      </c>
      <c r="AL1934" s="57">
        <f t="shared" si="93"/>
        <v>1.7042221260784363</v>
      </c>
      <c r="AM1934" s="59">
        <v>7647</v>
      </c>
      <c r="AN1934" s="59">
        <f>SUMIFS(HIX_RatingAreas8[Silver Enrollments 2018],HIX_RatingAreas8[Area],HIX_SLCSP11[[#This Row],[Area Code]])</f>
        <v>5897</v>
      </c>
      <c r="AO1934" s="59">
        <f>SUMIFS(HIX_RatingAreas8[Silver Enrollments 2019],HIX_RatingAreas8[Area],HIX_SLCSP11[[#This Row],[Area Code]])</f>
        <v>4531</v>
      </c>
      <c r="AP1934" s="59">
        <f>SUMIFS(HIX_RatingAreas8[Silver Enrollments 2020],HIX_RatingAreas8[Area],HIX_SLCSP11[[#This Row],[Area Code]])</f>
        <v>3743</v>
      </c>
      <c r="AQ1934" s="59">
        <f>SUMIFS(HIX_RatingAreas8[Silver Enrollments 2021],HIX_RatingAreas8[Area],HIX_SLCSP11[[#This Row],[Area Code]])</f>
        <v>3854</v>
      </c>
      <c r="AR1934" s="59">
        <f>SUMIFS(HIX_RatingAreas8[Silver Enrollments 2022],HIX_RatingAreas8[Area],HIX_SLCSP11[[#This Row],[Area Code]])</f>
        <v>3960</v>
      </c>
      <c r="AS1934" s="59">
        <f>SUMIFS(HIX_RatingAreas8[Silver Enrollments 2023],HIX_RatingAreas8[Area],HIX_SLCSP11[[#This Row],[Area Code]])</f>
        <v>3960</v>
      </c>
      <c r="AT1934" s="59">
        <v>8932</v>
      </c>
      <c r="AU1934">
        <f t="shared" si="107"/>
        <v>3.8525739179192997E-2</v>
      </c>
      <c r="AV1934">
        <f>SUMIFS(HIX_RatingAreas8[QHP Enrollments 2018],HIX_RatingAreas8[Area],HIX_SLCSP11[[#This Row],[Area Code]])</f>
        <v>8953</v>
      </c>
      <c r="AW1934">
        <f t="shared" si="108"/>
        <v>4.1452336526485882E-2</v>
      </c>
      <c r="AX1934">
        <f>SUMIFS(HIX_RatingAreas8[QHP Enrollments 2019],HIX_RatingAreas8[Area],HIX_SLCSP11[[#This Row],[Area Code]])</f>
        <v>8482</v>
      </c>
      <c r="AY1934">
        <f t="shared" si="109"/>
        <v>3.945923816967193E-2</v>
      </c>
      <c r="AZ1934">
        <f>SUMIFS(HIX_RatingAreas8[QHP Enrollments 2020],HIX_RatingAreas8[Area],HIX_SLCSP11[[#This Row],[Area Code]])</f>
        <v>8363</v>
      </c>
      <c r="BA1934">
        <f t="shared" si="110"/>
        <v>3.9073961594169045E-2</v>
      </c>
      <c r="BB1934">
        <f>SUMIFS(HIX_RatingAreas8[QHP Enrollments 2021],HIX_RatingAreas8[Area],HIX_SLCSP11[[#This Row],[Area Code]])</f>
        <v>8962</v>
      </c>
      <c r="BC1934">
        <f t="shared" si="111"/>
        <v>3.8956748532927625E-2</v>
      </c>
      <c r="BD1934">
        <f>SUMIFS(HIX_RatingAreas8[QHP Enrollments 2022],HIX_RatingAreas8[Area],HIX_SLCSP11[[#This Row],[Area Code]])</f>
        <v>12116</v>
      </c>
      <c r="BE1934">
        <f t="shared" si="112"/>
        <v>4.0333963620868732E-2</v>
      </c>
      <c r="BF1934">
        <f>SUMIFS(HIX_RatingAreas8[QHP Enrollments 2023],HIX_RatingAreas8[Area],HIX_SLCSP11[[#This Row],[Area Code]])</f>
        <v>12116</v>
      </c>
      <c r="BG1934">
        <f t="shared" si="117"/>
        <v>4.0333963620868732E-2</v>
      </c>
      <c r="BH1934" s="53">
        <f>ROUND(HIX_SLCSP11[[#This Row],[Weighting Factor 2018]]*HIX_SLCSP11[[#This Row],[2018]],2)</f>
        <v>13.61</v>
      </c>
      <c r="BI1934" s="53">
        <f>ROUND(HIX_SLCSP11[[#This Row],[Weighting Factor 2019]]*HIX_SLCSP11[[#This Row],[2019]],2)</f>
        <v>17.38</v>
      </c>
      <c r="BJ1934" s="53">
        <f>ROUND(HIX_SLCSP11[[#This Row],[Weighting Factor 2020]]*HIX_SLCSP11[[#This Row],[2020]],2)</f>
        <v>16.28</v>
      </c>
      <c r="BK1934" s="53">
        <f>ROUND(HIX_SLCSP11[[#This Row],[Weighting Factor 2021]]*HIX_SLCSP11[[#This Row],[2021]],2)</f>
        <v>12.39</v>
      </c>
      <c r="BL1934" s="53">
        <f>ROUND(HIX_SLCSP11[[#This Row],[Weighting Factor 2022]]*HIX_SLCSP11[[#This Row],[2022]],2)</f>
        <v>12.93</v>
      </c>
      <c r="BM1934" s="53">
        <f>ROUND(HIX_SLCSP11[[#This Row],[Weighting Factor 2023]]*HIX_SLCSP11[[#This Row],[2023]],2)</f>
        <v>15.85</v>
      </c>
    </row>
    <row r="1935" spans="4:65" x14ac:dyDescent="0.35">
      <c r="D1935" t="s">
        <v>1662</v>
      </c>
      <c r="E1935" t="s">
        <v>279</v>
      </c>
      <c r="F1935" s="23">
        <v>8</v>
      </c>
      <c r="G1935" s="23" t="s">
        <v>1663</v>
      </c>
      <c r="H1935" s="23" t="s">
        <v>1684</v>
      </c>
      <c r="I1935" s="23">
        <v>70</v>
      </c>
      <c r="J1935" s="53">
        <v>335.6</v>
      </c>
      <c r="K1935" s="53">
        <v>336.41</v>
      </c>
      <c r="L1935" s="53">
        <v>573.30999999999995</v>
      </c>
      <c r="M1935" s="54">
        <f t="shared" si="101"/>
        <v>1.7042002318599325</v>
      </c>
      <c r="N1935" s="24">
        <v>64</v>
      </c>
      <c r="O1935" s="55">
        <v>420.09</v>
      </c>
      <c r="P1935" s="56">
        <v>422.43</v>
      </c>
      <c r="Q1935" s="56">
        <v>719.9</v>
      </c>
      <c r="R1935" s="57">
        <f t="shared" si="113"/>
        <v>1.7041876760646733</v>
      </c>
      <c r="S1935" s="23">
        <v>128</v>
      </c>
      <c r="T1935" s="53">
        <v>398.68</v>
      </c>
      <c r="U1935" s="53">
        <v>405.31</v>
      </c>
      <c r="V1935" s="53">
        <v>690.73</v>
      </c>
      <c r="W1935" s="57">
        <f t="shared" si="114"/>
        <v>1.7042017221386101</v>
      </c>
      <c r="X1935" s="23">
        <v>128</v>
      </c>
      <c r="Y1935" s="53">
        <v>322.83999999999997</v>
      </c>
      <c r="Z1935" s="53">
        <v>329.84</v>
      </c>
      <c r="AA1935" s="53">
        <v>562.12</v>
      </c>
      <c r="AB1935" s="57">
        <f t="shared" si="115"/>
        <v>1.7042202279893284</v>
      </c>
      <c r="AC1935" s="47">
        <v>141</v>
      </c>
      <c r="AD1935" s="57">
        <v>324.2</v>
      </c>
      <c r="AE1935" s="57">
        <v>328.37</v>
      </c>
      <c r="AF1935" s="57">
        <v>559.61</v>
      </c>
      <c r="AG1935" s="57">
        <f t="shared" si="116"/>
        <v>1.7042056217072206</v>
      </c>
      <c r="AH1935" s="47">
        <v>136</v>
      </c>
      <c r="AI1935">
        <v>376.2</v>
      </c>
      <c r="AJ1935">
        <v>380.56</v>
      </c>
      <c r="AK1935">
        <v>648.54999999999995</v>
      </c>
      <c r="AL1935" s="57">
        <f t="shared" si="93"/>
        <v>1.7041990750472986</v>
      </c>
      <c r="AM1935" s="59">
        <v>7215</v>
      </c>
      <c r="AN1935" s="59">
        <f>SUMIFS(HIX_RatingAreas8[Silver Enrollments 2018],HIX_RatingAreas8[Area],HIX_SLCSP11[[#This Row],[Area Code]])</f>
        <v>5571</v>
      </c>
      <c r="AO1935" s="59">
        <f>SUMIFS(HIX_RatingAreas8[Silver Enrollments 2019],HIX_RatingAreas8[Area],HIX_SLCSP11[[#This Row],[Area Code]])</f>
        <v>4425</v>
      </c>
      <c r="AP1935" s="59">
        <f>SUMIFS(HIX_RatingAreas8[Silver Enrollments 2020],HIX_RatingAreas8[Area],HIX_SLCSP11[[#This Row],[Area Code]])</f>
        <v>3770</v>
      </c>
      <c r="AQ1935" s="59">
        <f>SUMIFS(HIX_RatingAreas8[Silver Enrollments 2021],HIX_RatingAreas8[Area],HIX_SLCSP11[[#This Row],[Area Code]])</f>
        <v>3360</v>
      </c>
      <c r="AR1935" s="59">
        <f>SUMIFS(HIX_RatingAreas8[Silver Enrollments 2022],HIX_RatingAreas8[Area],HIX_SLCSP11[[#This Row],[Area Code]])</f>
        <v>5264</v>
      </c>
      <c r="AS1935" s="59">
        <f>SUMIFS(HIX_RatingAreas8[Silver Enrollments 2023],HIX_RatingAreas8[Area],HIX_SLCSP11[[#This Row],[Area Code]])</f>
        <v>5264</v>
      </c>
      <c r="AT1935" s="59">
        <v>8398</v>
      </c>
      <c r="AU1935">
        <f t="shared" si="107"/>
        <v>3.6222476223338872E-2</v>
      </c>
      <c r="AV1935">
        <f>SUMIFS(HIX_RatingAreas8[QHP Enrollments 2018],HIX_RatingAreas8[Area],HIX_SLCSP11[[#This Row],[Area Code]])</f>
        <v>8086</v>
      </c>
      <c r="AW1935">
        <f t="shared" si="108"/>
        <v>3.7438131704810099E-2</v>
      </c>
      <c r="AX1935">
        <f>SUMIFS(HIX_RatingAreas8[QHP Enrollments 2019],HIX_RatingAreas8[Area],HIX_SLCSP11[[#This Row],[Area Code]])</f>
        <v>8180</v>
      </c>
      <c r="AY1935">
        <f t="shared" si="109"/>
        <v>3.8054299484545674E-2</v>
      </c>
      <c r="AZ1935">
        <f>SUMIFS(HIX_RatingAreas8[QHP Enrollments 2020],HIX_RatingAreas8[Area],HIX_SLCSP11[[#This Row],[Area Code]])</f>
        <v>8317</v>
      </c>
      <c r="BA1935">
        <f t="shared" si="110"/>
        <v>3.8859038452553382E-2</v>
      </c>
      <c r="BB1935">
        <f>SUMIFS(HIX_RatingAreas8[QHP Enrollments 2021],HIX_RatingAreas8[Area],HIX_SLCSP11[[#This Row],[Area Code]])</f>
        <v>8914</v>
      </c>
      <c r="BC1935">
        <f t="shared" si="111"/>
        <v>3.8748098239513147E-2</v>
      </c>
      <c r="BD1935">
        <f>SUMIFS(HIX_RatingAreas8[QHP Enrollments 2022],HIX_RatingAreas8[Area],HIX_SLCSP11[[#This Row],[Area Code]])</f>
        <v>12748</v>
      </c>
      <c r="BE1935">
        <f t="shared" si="112"/>
        <v>4.2437881168606355E-2</v>
      </c>
      <c r="BF1935">
        <f>SUMIFS(HIX_RatingAreas8[QHP Enrollments 2023],HIX_RatingAreas8[Area],HIX_SLCSP11[[#This Row],[Area Code]])</f>
        <v>12748</v>
      </c>
      <c r="BG1935">
        <f t="shared" si="117"/>
        <v>4.2437881168606355E-2</v>
      </c>
      <c r="BH1935" s="53">
        <f>ROUND(HIX_SLCSP11[[#This Row],[Weighting Factor 2018]]*HIX_SLCSP11[[#This Row],[2018]],2)</f>
        <v>12.59</v>
      </c>
      <c r="BI1935" s="53">
        <f>ROUND(HIX_SLCSP11[[#This Row],[Weighting Factor 2019]]*HIX_SLCSP11[[#This Row],[2019]],2)</f>
        <v>16.079999999999998</v>
      </c>
      <c r="BJ1935" s="53">
        <f>ROUND(HIX_SLCSP11[[#This Row],[Weighting Factor 2020]]*HIX_SLCSP11[[#This Row],[2020]],2)</f>
        <v>15.75</v>
      </c>
      <c r="BK1935" s="53">
        <f>ROUND(HIX_SLCSP11[[#This Row],[Weighting Factor 2021]]*HIX_SLCSP11[[#This Row],[2021]],2)</f>
        <v>12.78</v>
      </c>
      <c r="BL1935" s="53">
        <f>ROUND(HIX_SLCSP11[[#This Row],[Weighting Factor 2022]]*HIX_SLCSP11[[#This Row],[2022]],2)</f>
        <v>13.94</v>
      </c>
      <c r="BM1935" s="53">
        <f>ROUND(HIX_SLCSP11[[#This Row],[Weighting Factor 2023]]*HIX_SLCSP11[[#This Row],[2023]],2)</f>
        <v>16.149999999999999</v>
      </c>
    </row>
    <row r="1936" spans="4:65" x14ac:dyDescent="0.35">
      <c r="D1936" t="s">
        <v>1662</v>
      </c>
      <c r="E1936" t="s">
        <v>283</v>
      </c>
      <c r="F1936" s="23">
        <v>9</v>
      </c>
      <c r="G1936" s="23" t="s">
        <v>1663</v>
      </c>
      <c r="H1936" s="23" t="s">
        <v>1687</v>
      </c>
      <c r="I1936" s="23">
        <v>70</v>
      </c>
      <c r="J1936" s="53">
        <v>326.58</v>
      </c>
      <c r="K1936" s="53">
        <v>327.36</v>
      </c>
      <c r="L1936" s="53">
        <v>557.88</v>
      </c>
      <c r="M1936" s="54">
        <f t="shared" si="101"/>
        <v>1.7041788856304985</v>
      </c>
      <c r="N1936" s="24">
        <v>56</v>
      </c>
      <c r="O1936" s="55">
        <v>437.01</v>
      </c>
      <c r="P1936" s="56">
        <v>439.16</v>
      </c>
      <c r="Q1936" s="56">
        <v>748.42</v>
      </c>
      <c r="R1936" s="57">
        <f t="shared" si="113"/>
        <v>1.7042080335185352</v>
      </c>
      <c r="S1936" s="23">
        <v>120</v>
      </c>
      <c r="T1936" s="53">
        <v>359.97</v>
      </c>
      <c r="U1936" s="53">
        <v>371.66</v>
      </c>
      <c r="V1936" s="53">
        <v>633.39</v>
      </c>
      <c r="W1936" s="57">
        <f t="shared" si="114"/>
        <v>1.7042189097562286</v>
      </c>
      <c r="X1936" s="23">
        <v>120</v>
      </c>
      <c r="Y1936" s="53">
        <v>281.44</v>
      </c>
      <c r="Z1936" s="53">
        <v>287.55</v>
      </c>
      <c r="AA1936" s="53">
        <v>490.04</v>
      </c>
      <c r="AB1936" s="57">
        <f t="shared" si="115"/>
        <v>1.7041905755520779</v>
      </c>
      <c r="AC1936" s="47">
        <v>57</v>
      </c>
      <c r="AD1936" s="57">
        <v>272.85000000000002</v>
      </c>
      <c r="AE1936" s="57">
        <v>276.36</v>
      </c>
      <c r="AF1936" s="57">
        <v>470.97</v>
      </c>
      <c r="AG1936" s="57">
        <f t="shared" si="116"/>
        <v>1.7041901867129832</v>
      </c>
      <c r="AH1936" s="47">
        <v>98</v>
      </c>
      <c r="AI1936">
        <v>346.71</v>
      </c>
      <c r="AJ1936">
        <v>349.34</v>
      </c>
      <c r="AK1936">
        <v>595.34</v>
      </c>
      <c r="AL1936" s="57">
        <f t="shared" si="93"/>
        <v>1.7041850346367438</v>
      </c>
      <c r="AM1936" s="59">
        <v>579</v>
      </c>
      <c r="AN1936" s="59">
        <f>SUMIFS(HIX_RatingAreas8[Silver Enrollments 2018],HIX_RatingAreas8[Area],HIX_SLCSP11[[#This Row],[Area Code]])</f>
        <v>439</v>
      </c>
      <c r="AO1936" s="59">
        <f>SUMIFS(HIX_RatingAreas8[Silver Enrollments 2019],HIX_RatingAreas8[Area],HIX_SLCSP11[[#This Row],[Area Code]])</f>
        <v>359</v>
      </c>
      <c r="AP1936" s="59">
        <f>SUMIFS(HIX_RatingAreas8[Silver Enrollments 2020],HIX_RatingAreas8[Area],HIX_SLCSP11[[#This Row],[Area Code]])</f>
        <v>265</v>
      </c>
      <c r="AQ1936" s="59">
        <f>SUMIFS(HIX_RatingAreas8[Silver Enrollments 2021],HIX_RatingAreas8[Area],HIX_SLCSP11[[#This Row],[Area Code]])</f>
        <v>212</v>
      </c>
      <c r="AR1936" s="59">
        <f>SUMIFS(HIX_RatingAreas8[Silver Enrollments 2022],HIX_RatingAreas8[Area],HIX_SLCSP11[[#This Row],[Area Code]])</f>
        <v>296</v>
      </c>
      <c r="AS1936" s="59">
        <f>SUMIFS(HIX_RatingAreas8[Silver Enrollments 2023],HIX_RatingAreas8[Area],HIX_SLCSP11[[#This Row],[Area Code]])</f>
        <v>296</v>
      </c>
      <c r="AT1936" s="59">
        <v>660</v>
      </c>
      <c r="AU1936">
        <f t="shared" si="107"/>
        <v>2.8467294959994825E-3</v>
      </c>
      <c r="AV1936">
        <f>SUMIFS(HIX_RatingAreas8[QHP Enrollments 2018],HIX_RatingAreas8[Area],HIX_SLCSP11[[#This Row],[Area Code]])</f>
        <v>606</v>
      </c>
      <c r="AW1936">
        <f t="shared" si="108"/>
        <v>2.8057763805484689E-3</v>
      </c>
      <c r="AX1936">
        <f>SUMIFS(HIX_RatingAreas8[QHP Enrollments 2019],HIX_RatingAreas8[Area],HIX_SLCSP11[[#This Row],[Area Code]])</f>
        <v>629</v>
      </c>
      <c r="AY1936">
        <f t="shared" si="109"/>
        <v>2.9261802415378032E-3</v>
      </c>
      <c r="AZ1936">
        <f>SUMIFS(HIX_RatingAreas8[QHP Enrollments 2020],HIX_RatingAreas8[Area],HIX_SLCSP11[[#This Row],[Area Code]])</f>
        <v>587</v>
      </c>
      <c r="BA1936">
        <f t="shared" si="110"/>
        <v>2.7426061767042002E-3</v>
      </c>
      <c r="BB1936">
        <f>SUMIFS(HIX_RatingAreas8[QHP Enrollments 2021],HIX_RatingAreas8[Area],HIX_SLCSP11[[#This Row],[Area Code]])</f>
        <v>630</v>
      </c>
      <c r="BC1936">
        <f t="shared" si="111"/>
        <v>2.7385351010649861E-3</v>
      </c>
      <c r="BD1936">
        <f>SUMIFS(HIX_RatingAreas8[QHP Enrollments 2022],HIX_RatingAreas8[Area],HIX_SLCSP11[[#This Row],[Area Code]])</f>
        <v>924</v>
      </c>
      <c r="BE1936">
        <f t="shared" si="112"/>
        <v>3.0759807185277905E-3</v>
      </c>
      <c r="BF1936">
        <f>SUMIFS(HIX_RatingAreas8[QHP Enrollments 2023],HIX_RatingAreas8[Area],HIX_SLCSP11[[#This Row],[Area Code]])</f>
        <v>924</v>
      </c>
      <c r="BG1936">
        <f t="shared" si="117"/>
        <v>3.0759807185277905E-3</v>
      </c>
      <c r="BH1936" s="53">
        <f>ROUND(HIX_SLCSP11[[#This Row],[Weighting Factor 2018]]*HIX_SLCSP11[[#This Row],[2018]],2)</f>
        <v>0.92</v>
      </c>
      <c r="BI1936" s="53">
        <f>ROUND(HIX_SLCSP11[[#This Row],[Weighting Factor 2019]]*HIX_SLCSP11[[#This Row],[2019]],2)</f>
        <v>1.29</v>
      </c>
      <c r="BJ1936" s="53">
        <f>ROUND(HIX_SLCSP11[[#This Row],[Weighting Factor 2020]]*HIX_SLCSP11[[#This Row],[2020]],2)</f>
        <v>1.02</v>
      </c>
      <c r="BK1936" s="53">
        <f>ROUND(HIX_SLCSP11[[#This Row],[Weighting Factor 2021]]*HIX_SLCSP11[[#This Row],[2021]],2)</f>
        <v>0.79</v>
      </c>
      <c r="BL1936" s="53">
        <f>ROUND(HIX_SLCSP11[[#This Row],[Weighting Factor 2022]]*HIX_SLCSP11[[#This Row],[2022]],2)</f>
        <v>0.85</v>
      </c>
      <c r="BM1936" s="53">
        <f>ROUND(HIX_SLCSP11[[#This Row],[Weighting Factor 2023]]*HIX_SLCSP11[[#This Row],[2023]],2)</f>
        <v>1.07</v>
      </c>
    </row>
    <row r="1937" spans="4:65" x14ac:dyDescent="0.35">
      <c r="D1937" t="s">
        <v>1662</v>
      </c>
      <c r="E1937" t="s">
        <v>289</v>
      </c>
      <c r="F1937" s="23">
        <v>10</v>
      </c>
      <c r="G1937" s="23" t="s">
        <v>1663</v>
      </c>
      <c r="H1937" s="23" t="s">
        <v>1689</v>
      </c>
      <c r="I1937" s="23">
        <v>70</v>
      </c>
      <c r="J1937" s="53">
        <v>325.89</v>
      </c>
      <c r="K1937" s="53">
        <v>326.68</v>
      </c>
      <c r="L1937" s="53">
        <v>556.72</v>
      </c>
      <c r="M1937" s="54">
        <f t="shared" si="101"/>
        <v>1.7041753397820498</v>
      </c>
      <c r="N1937" s="24">
        <v>76</v>
      </c>
      <c r="O1937" s="55">
        <v>408</v>
      </c>
      <c r="P1937" s="56">
        <v>410.27</v>
      </c>
      <c r="Q1937" s="56">
        <v>699.18</v>
      </c>
      <c r="R1937" s="57">
        <f t="shared" si="113"/>
        <v>1.7041947985472981</v>
      </c>
      <c r="S1937" s="23">
        <v>128</v>
      </c>
      <c r="T1937" s="53">
        <v>344.5</v>
      </c>
      <c r="U1937" s="53">
        <v>355.69</v>
      </c>
      <c r="V1937" s="53">
        <v>606.16999999999996</v>
      </c>
      <c r="W1937" s="57">
        <f t="shared" si="114"/>
        <v>1.7042087210773424</v>
      </c>
      <c r="X1937" s="23">
        <v>128</v>
      </c>
      <c r="Y1937" s="53">
        <v>303.95</v>
      </c>
      <c r="Z1937" s="53">
        <v>310.55</v>
      </c>
      <c r="AA1937" s="53">
        <v>529.23</v>
      </c>
      <c r="AB1937" s="57">
        <f t="shared" si="115"/>
        <v>1.704170020930607</v>
      </c>
      <c r="AC1937" s="47">
        <v>117</v>
      </c>
      <c r="AD1937" s="57">
        <v>302.08</v>
      </c>
      <c r="AE1937" s="57">
        <v>305.97000000000003</v>
      </c>
      <c r="AF1937" s="57">
        <v>521.42999999999995</v>
      </c>
      <c r="AG1937" s="57">
        <f t="shared" si="116"/>
        <v>1.7041866849691143</v>
      </c>
      <c r="AH1937" s="47">
        <v>136</v>
      </c>
      <c r="AI1937">
        <v>358.65</v>
      </c>
      <c r="AJ1937">
        <v>362.81</v>
      </c>
      <c r="AK1937">
        <v>618.30999999999995</v>
      </c>
      <c r="AL1937" s="57">
        <f t="shared" si="93"/>
        <v>1.704225352112676</v>
      </c>
      <c r="AM1937" s="59">
        <v>18733</v>
      </c>
      <c r="AN1937" s="59">
        <f>SUMIFS(HIX_RatingAreas8[Silver Enrollments 2018],HIX_RatingAreas8[Area],HIX_SLCSP11[[#This Row],[Area Code]])</f>
        <v>13713</v>
      </c>
      <c r="AO1937" s="59">
        <f>SUMIFS(HIX_RatingAreas8[Silver Enrollments 2019],HIX_RatingAreas8[Area],HIX_SLCSP11[[#This Row],[Area Code]])</f>
        <v>10297</v>
      </c>
      <c r="AP1937" s="59">
        <f>SUMIFS(HIX_RatingAreas8[Silver Enrollments 2020],HIX_RatingAreas8[Area],HIX_SLCSP11[[#This Row],[Area Code]])</f>
        <v>7293</v>
      </c>
      <c r="AQ1937" s="59">
        <f>SUMIFS(HIX_RatingAreas8[Silver Enrollments 2021],HIX_RatingAreas8[Area],HIX_SLCSP11[[#This Row],[Area Code]])</f>
        <v>7294</v>
      </c>
      <c r="AR1937" s="59">
        <f>SUMIFS(HIX_RatingAreas8[Silver Enrollments 2022],HIX_RatingAreas8[Area],HIX_SLCSP11[[#This Row],[Area Code]])</f>
        <v>8837</v>
      </c>
      <c r="AS1937" s="59">
        <f>SUMIFS(HIX_RatingAreas8[Silver Enrollments 2023],HIX_RatingAreas8[Area],HIX_SLCSP11[[#This Row],[Area Code]])</f>
        <v>8837</v>
      </c>
      <c r="AT1937" s="59">
        <v>23015</v>
      </c>
      <c r="AU1937">
        <f t="shared" si="107"/>
        <v>9.9268908106709228E-2</v>
      </c>
      <c r="AV1937">
        <f>SUMIFS(HIX_RatingAreas8[QHP Enrollments 2018],HIX_RatingAreas8[Area],HIX_SLCSP11[[#This Row],[Area Code]])</f>
        <v>21879</v>
      </c>
      <c r="AW1937">
        <f t="shared" si="108"/>
        <v>0.10129963932346528</v>
      </c>
      <c r="AX1937">
        <f>SUMIFS(HIX_RatingAreas8[QHP Enrollments 2019],HIX_RatingAreas8[Area],HIX_SLCSP11[[#This Row],[Area Code]])</f>
        <v>21636</v>
      </c>
      <c r="AY1937">
        <f t="shared" si="109"/>
        <v>0.10065315692513817</v>
      </c>
      <c r="AZ1937">
        <f>SUMIFS(HIX_RatingAreas8[QHP Enrollments 2020],HIX_RatingAreas8[Area],HIX_SLCSP11[[#This Row],[Area Code]])</f>
        <v>20850</v>
      </c>
      <c r="BA1937">
        <f t="shared" si="110"/>
        <v>9.7416250058403028E-2</v>
      </c>
      <c r="BB1937">
        <f>SUMIFS(HIX_RatingAreas8[QHP Enrollments 2021],HIX_RatingAreas8[Area],HIX_SLCSP11[[#This Row],[Area Code]])</f>
        <v>22181</v>
      </c>
      <c r="BC1937">
        <f t="shared" si="111"/>
        <v>9.6418169963051512E-2</v>
      </c>
      <c r="BD1937">
        <f>SUMIFS(HIX_RatingAreas8[QHP Enrollments 2022],HIX_RatingAreas8[Area],HIX_SLCSP11[[#This Row],[Area Code]])</f>
        <v>27577</v>
      </c>
      <c r="BE1937">
        <f t="shared" si="112"/>
        <v>9.1803376920823451E-2</v>
      </c>
      <c r="BF1937">
        <f>SUMIFS(HIX_RatingAreas8[QHP Enrollments 2023],HIX_RatingAreas8[Area],HIX_SLCSP11[[#This Row],[Area Code]])</f>
        <v>27577</v>
      </c>
      <c r="BG1937">
        <f t="shared" si="117"/>
        <v>9.1803376920823451E-2</v>
      </c>
      <c r="BH1937" s="53">
        <f>ROUND(HIX_SLCSP11[[#This Row],[Weighting Factor 2018]]*HIX_SLCSP11[[#This Row],[2018]],2)</f>
        <v>33.090000000000003</v>
      </c>
      <c r="BI1937" s="53">
        <f>ROUND(HIX_SLCSP11[[#This Row],[Weighting Factor 2019]]*HIX_SLCSP11[[#This Row],[2019]],2)</f>
        <v>41.29</v>
      </c>
      <c r="BJ1937" s="53">
        <f>ROUND(HIX_SLCSP11[[#This Row],[Weighting Factor 2020]]*HIX_SLCSP11[[#This Row],[2020]],2)</f>
        <v>34.65</v>
      </c>
      <c r="BK1937" s="53">
        <f>ROUND(HIX_SLCSP11[[#This Row],[Weighting Factor 2021]]*HIX_SLCSP11[[#This Row],[2021]],2)</f>
        <v>29.94</v>
      </c>
      <c r="BL1937" s="53">
        <f>ROUND(HIX_SLCSP11[[#This Row],[Weighting Factor 2022]]*HIX_SLCSP11[[#This Row],[2022]],2)</f>
        <v>28.09</v>
      </c>
      <c r="BM1937" s="53">
        <f>ROUND(HIX_SLCSP11[[#This Row],[Weighting Factor 2023]]*HIX_SLCSP11[[#This Row],[2023]],2)</f>
        <v>33.31</v>
      </c>
    </row>
    <row r="1938" spans="4:65" x14ac:dyDescent="0.35">
      <c r="D1938" t="s">
        <v>1662</v>
      </c>
      <c r="E1938" t="s">
        <v>293</v>
      </c>
      <c r="F1938" s="23">
        <v>11</v>
      </c>
      <c r="G1938" s="23" t="s">
        <v>1663</v>
      </c>
      <c r="H1938" s="23" t="s">
        <v>1692</v>
      </c>
      <c r="I1938" s="23">
        <v>70</v>
      </c>
      <c r="J1938" s="53">
        <v>330.32</v>
      </c>
      <c r="K1938" s="53">
        <v>331.12</v>
      </c>
      <c r="L1938" s="53">
        <v>564.29</v>
      </c>
      <c r="M1938" s="54">
        <f t="shared" si="101"/>
        <v>1.7041857936699685</v>
      </c>
      <c r="N1938" s="24">
        <v>56</v>
      </c>
      <c r="O1938" s="55">
        <v>441.98</v>
      </c>
      <c r="P1938" s="56">
        <v>444.16</v>
      </c>
      <c r="Q1938" s="56">
        <v>756.94</v>
      </c>
      <c r="R1938" s="57">
        <f t="shared" si="113"/>
        <v>1.7042056916426513</v>
      </c>
      <c r="S1938" s="23">
        <v>78</v>
      </c>
      <c r="T1938" s="53">
        <v>445.26</v>
      </c>
      <c r="U1938" s="53">
        <v>450.92</v>
      </c>
      <c r="V1938" s="53">
        <v>768.46</v>
      </c>
      <c r="W1938" s="57">
        <f t="shared" si="114"/>
        <v>1.7042047369821698</v>
      </c>
      <c r="X1938" s="23">
        <v>78</v>
      </c>
      <c r="Y1938" s="53">
        <v>324.25</v>
      </c>
      <c r="Z1938" s="53">
        <v>331.29</v>
      </c>
      <c r="AA1938" s="53">
        <v>564.59</v>
      </c>
      <c r="AB1938" s="57">
        <f t="shared" si="115"/>
        <v>1.7042168492861238</v>
      </c>
      <c r="AC1938" s="47">
        <v>85</v>
      </c>
      <c r="AD1938" s="57">
        <v>332.86</v>
      </c>
      <c r="AE1938" s="57">
        <v>337.14</v>
      </c>
      <c r="AF1938" s="57">
        <v>574.55999999999995</v>
      </c>
      <c r="AG1938" s="57">
        <f t="shared" si="116"/>
        <v>1.7042178323545114</v>
      </c>
      <c r="AH1938" s="47">
        <v>94</v>
      </c>
      <c r="AI1938">
        <v>402.07</v>
      </c>
      <c r="AJ1938">
        <v>405.12</v>
      </c>
      <c r="AK1938">
        <v>690.4</v>
      </c>
      <c r="AL1938" s="57">
        <f t="shared" si="93"/>
        <v>1.7041864139020537</v>
      </c>
      <c r="AM1938" s="59">
        <v>1652</v>
      </c>
      <c r="AN1938" s="59">
        <f>SUMIFS(HIX_RatingAreas8[Silver Enrollments 2018],HIX_RatingAreas8[Area],HIX_SLCSP11[[#This Row],[Area Code]])</f>
        <v>1332</v>
      </c>
      <c r="AO1938" s="59">
        <f>SUMIFS(HIX_RatingAreas8[Silver Enrollments 2019],HIX_RatingAreas8[Area],HIX_SLCSP11[[#This Row],[Area Code]])</f>
        <v>1073</v>
      </c>
      <c r="AP1938" s="59">
        <f>SUMIFS(HIX_RatingAreas8[Silver Enrollments 2020],HIX_RatingAreas8[Area],HIX_SLCSP11[[#This Row],[Area Code]])</f>
        <v>957</v>
      </c>
      <c r="AQ1938" s="59">
        <f>SUMIFS(HIX_RatingAreas8[Silver Enrollments 2021],HIX_RatingAreas8[Area],HIX_SLCSP11[[#This Row],[Area Code]])</f>
        <v>1041</v>
      </c>
      <c r="AR1938" s="59">
        <f>SUMIFS(HIX_RatingAreas8[Silver Enrollments 2022],HIX_RatingAreas8[Area],HIX_SLCSP11[[#This Row],[Area Code]])</f>
        <v>1425</v>
      </c>
      <c r="AS1938" s="59">
        <f>SUMIFS(HIX_RatingAreas8[Silver Enrollments 2023],HIX_RatingAreas8[Area],HIX_SLCSP11[[#This Row],[Area Code]])</f>
        <v>1425</v>
      </c>
      <c r="AT1938" s="59">
        <v>1823</v>
      </c>
      <c r="AU1938">
        <f t="shared" si="107"/>
        <v>7.8630119260712974E-3</v>
      </c>
      <c r="AV1938">
        <f>SUMIFS(HIX_RatingAreas8[QHP Enrollments 2018],HIX_RatingAreas8[Area],HIX_SLCSP11[[#This Row],[Area Code]])</f>
        <v>1753</v>
      </c>
      <c r="AW1938">
        <f t="shared" si="108"/>
        <v>8.1163795298704062E-3</v>
      </c>
      <c r="AX1938">
        <f>SUMIFS(HIX_RatingAreas8[QHP Enrollments 2019],HIX_RatingAreas8[Area],HIX_SLCSP11[[#This Row],[Area Code]])</f>
        <v>1787</v>
      </c>
      <c r="AY1938">
        <f t="shared" si="109"/>
        <v>8.3133292394722644E-3</v>
      </c>
      <c r="AZ1938">
        <f>SUMIFS(HIX_RatingAreas8[QHP Enrollments 2020],HIX_RatingAreas8[Area],HIX_SLCSP11[[#This Row],[Area Code]])</f>
        <v>1847</v>
      </c>
      <c r="BA1938">
        <f t="shared" si="110"/>
        <v>8.6296313600897068E-3</v>
      </c>
      <c r="BB1938">
        <f>SUMIFS(HIX_RatingAreas8[QHP Enrollments 2021],HIX_RatingAreas8[Area],HIX_SLCSP11[[#This Row],[Area Code]])</f>
        <v>2159</v>
      </c>
      <c r="BC1938">
        <f t="shared" si="111"/>
        <v>9.3849163225385793E-3</v>
      </c>
      <c r="BD1938">
        <f>SUMIFS(HIX_RatingAreas8[QHP Enrollments 2022],HIX_RatingAreas8[Area],HIX_SLCSP11[[#This Row],[Area Code]])</f>
        <v>2940</v>
      </c>
      <c r="BE1938">
        <f t="shared" si="112"/>
        <v>9.7872113771338785E-3</v>
      </c>
      <c r="BF1938">
        <f>SUMIFS(HIX_RatingAreas8[QHP Enrollments 2023],HIX_RatingAreas8[Area],HIX_SLCSP11[[#This Row],[Area Code]])</f>
        <v>2940</v>
      </c>
      <c r="BG1938">
        <f t="shared" si="117"/>
        <v>9.7872113771338785E-3</v>
      </c>
      <c r="BH1938" s="53">
        <f>ROUND(HIX_SLCSP11[[#This Row],[Weighting Factor 2018]]*HIX_SLCSP11[[#This Row],[2018]],2)</f>
        <v>2.69</v>
      </c>
      <c r="BI1938" s="53">
        <f>ROUND(HIX_SLCSP11[[#This Row],[Weighting Factor 2019]]*HIX_SLCSP11[[#This Row],[2019]],2)</f>
        <v>3.69</v>
      </c>
      <c r="BJ1938" s="53">
        <f>ROUND(HIX_SLCSP11[[#This Row],[Weighting Factor 2020]]*HIX_SLCSP11[[#This Row],[2020]],2)</f>
        <v>3.89</v>
      </c>
      <c r="BK1938" s="53">
        <f>ROUND(HIX_SLCSP11[[#This Row],[Weighting Factor 2021]]*HIX_SLCSP11[[#This Row],[2021]],2)</f>
        <v>3.11</v>
      </c>
      <c r="BL1938" s="53">
        <f>ROUND(HIX_SLCSP11[[#This Row],[Weighting Factor 2022]]*HIX_SLCSP11[[#This Row],[2022]],2)</f>
        <v>3.3</v>
      </c>
      <c r="BM1938" s="53">
        <f>ROUND(HIX_SLCSP11[[#This Row],[Weighting Factor 2023]]*HIX_SLCSP11[[#This Row],[2023]],2)</f>
        <v>3.96</v>
      </c>
    </row>
    <row r="1939" spans="4:65" x14ac:dyDescent="0.35">
      <c r="D1939" t="s">
        <v>1662</v>
      </c>
      <c r="E1939" t="s">
        <v>303</v>
      </c>
      <c r="F1939" s="23">
        <v>12</v>
      </c>
      <c r="G1939" s="23" t="s">
        <v>1663</v>
      </c>
      <c r="H1939" s="23" t="s">
        <v>1694</v>
      </c>
      <c r="I1939" s="23">
        <v>70</v>
      </c>
      <c r="J1939" s="53">
        <v>343.44</v>
      </c>
      <c r="K1939" s="53">
        <v>344.26</v>
      </c>
      <c r="L1939" s="53">
        <v>586.70000000000005</v>
      </c>
      <c r="M1939" s="54">
        <f t="shared" si="101"/>
        <v>1.704235171091617</v>
      </c>
      <c r="N1939" s="24">
        <v>56</v>
      </c>
      <c r="O1939" s="55">
        <v>459.41</v>
      </c>
      <c r="P1939" s="56">
        <v>461.68</v>
      </c>
      <c r="Q1939" s="56">
        <v>786.79</v>
      </c>
      <c r="R1939" s="57">
        <f t="shared" si="113"/>
        <v>1.7041890486917344</v>
      </c>
      <c r="S1939" s="23">
        <v>104</v>
      </c>
      <c r="T1939" s="53">
        <v>416.97</v>
      </c>
      <c r="U1939" s="53">
        <v>423.9</v>
      </c>
      <c r="V1939" s="53">
        <v>722.41</v>
      </c>
      <c r="W1939" s="57">
        <f t="shared" si="114"/>
        <v>1.7041991035621609</v>
      </c>
      <c r="X1939" s="23">
        <v>104</v>
      </c>
      <c r="Y1939" s="53">
        <v>323.94</v>
      </c>
      <c r="Z1939" s="53">
        <v>330.97</v>
      </c>
      <c r="AA1939" s="53">
        <v>564.04</v>
      </c>
      <c r="AB1939" s="57">
        <f t="shared" si="115"/>
        <v>1.7042027978366616</v>
      </c>
      <c r="AC1939" s="47">
        <v>109</v>
      </c>
      <c r="AD1939" s="57">
        <v>329.3</v>
      </c>
      <c r="AE1939" s="57">
        <v>333.54</v>
      </c>
      <c r="AF1939" s="57">
        <v>568.41999999999996</v>
      </c>
      <c r="AG1939" s="57">
        <f t="shared" si="116"/>
        <v>1.7042033938957843</v>
      </c>
      <c r="AH1939" s="47">
        <v>98</v>
      </c>
      <c r="AI1939">
        <v>413.12</v>
      </c>
      <c r="AJ1939">
        <v>413.22</v>
      </c>
      <c r="AK1939">
        <v>704.21</v>
      </c>
      <c r="AL1939" s="57">
        <f t="shared" si="93"/>
        <v>1.7042011519287545</v>
      </c>
      <c r="AM1939" s="59">
        <v>1147</v>
      </c>
      <c r="AN1939" s="59">
        <f>SUMIFS(HIX_RatingAreas8[Silver Enrollments 2018],HIX_RatingAreas8[Area],HIX_SLCSP11[[#This Row],[Area Code]])</f>
        <v>908</v>
      </c>
      <c r="AO1939" s="59">
        <f>SUMIFS(HIX_RatingAreas8[Silver Enrollments 2019],HIX_RatingAreas8[Area],HIX_SLCSP11[[#This Row],[Area Code]])</f>
        <v>690</v>
      </c>
      <c r="AP1939" s="59">
        <f>SUMIFS(HIX_RatingAreas8[Silver Enrollments 2020],HIX_RatingAreas8[Area],HIX_SLCSP11[[#This Row],[Area Code]])</f>
        <v>557</v>
      </c>
      <c r="AQ1939" s="59">
        <f>SUMIFS(HIX_RatingAreas8[Silver Enrollments 2021],HIX_RatingAreas8[Area],HIX_SLCSP11[[#This Row],[Area Code]])</f>
        <v>552</v>
      </c>
      <c r="AR1939" s="59">
        <f>SUMIFS(HIX_RatingAreas8[Silver Enrollments 2022],HIX_RatingAreas8[Area],HIX_SLCSP11[[#This Row],[Area Code]])</f>
        <v>650</v>
      </c>
      <c r="AS1939" s="59">
        <f>SUMIFS(HIX_RatingAreas8[Silver Enrollments 2023],HIX_RatingAreas8[Area],HIX_SLCSP11[[#This Row],[Area Code]])</f>
        <v>650</v>
      </c>
      <c r="AT1939" s="59">
        <v>1282</v>
      </c>
      <c r="AU1939">
        <f t="shared" si="107"/>
        <v>5.5295563846535405E-3</v>
      </c>
      <c r="AV1939">
        <f>SUMIFS(HIX_RatingAreas8[QHP Enrollments 2018],HIX_RatingAreas8[Area],HIX_SLCSP11[[#This Row],[Area Code]])</f>
        <v>1184</v>
      </c>
      <c r="AW1939">
        <f t="shared" si="108"/>
        <v>5.4819129283323227E-3</v>
      </c>
      <c r="AX1939">
        <f>SUMIFS(HIX_RatingAreas8[QHP Enrollments 2019],HIX_RatingAreas8[Area],HIX_SLCSP11[[#This Row],[Area Code]])</f>
        <v>1121</v>
      </c>
      <c r="AY1939">
        <f t="shared" si="109"/>
        <v>5.2150207484322371E-3</v>
      </c>
      <c r="AZ1939">
        <f>SUMIFS(HIX_RatingAreas8[QHP Enrollments 2020],HIX_RatingAreas8[Area],HIX_SLCSP11[[#This Row],[Area Code]])</f>
        <v>1061</v>
      </c>
      <c r="BA1939">
        <f t="shared" si="110"/>
        <v>4.9572489837873199E-3</v>
      </c>
      <c r="BB1939">
        <f>SUMIFS(HIX_RatingAreas8[QHP Enrollments 2021],HIX_RatingAreas8[Area],HIX_SLCSP11[[#This Row],[Area Code]])</f>
        <v>1218</v>
      </c>
      <c r="BC1939">
        <f t="shared" si="111"/>
        <v>5.2945011953923057E-3</v>
      </c>
      <c r="BD1939">
        <f>SUMIFS(HIX_RatingAreas8[QHP Enrollments 2022],HIX_RatingAreas8[Area],HIX_SLCSP11[[#This Row],[Area Code]])</f>
        <v>1692</v>
      </c>
      <c r="BE1939">
        <f t="shared" si="112"/>
        <v>5.6326400170443949E-3</v>
      </c>
      <c r="BF1939">
        <f>SUMIFS(HIX_RatingAreas8[QHP Enrollments 2023],HIX_RatingAreas8[Area],HIX_SLCSP11[[#This Row],[Area Code]])</f>
        <v>1692</v>
      </c>
      <c r="BG1939">
        <f t="shared" si="117"/>
        <v>5.6326400170443949E-3</v>
      </c>
      <c r="BH1939" s="53">
        <f>ROUND(HIX_SLCSP11[[#This Row],[Weighting Factor 2018]]*HIX_SLCSP11[[#This Row],[2018]],2)</f>
        <v>1.89</v>
      </c>
      <c r="BI1939" s="53">
        <f>ROUND(HIX_SLCSP11[[#This Row],[Weighting Factor 2019]]*HIX_SLCSP11[[#This Row],[2019]],2)</f>
        <v>2.41</v>
      </c>
      <c r="BJ1939" s="53">
        <f>ROUND(HIX_SLCSP11[[#This Row],[Weighting Factor 2020]]*HIX_SLCSP11[[#This Row],[2020]],2)</f>
        <v>2.1</v>
      </c>
      <c r="BK1939" s="53">
        <f>ROUND(HIX_SLCSP11[[#This Row],[Weighting Factor 2021]]*HIX_SLCSP11[[#This Row],[2021]],2)</f>
        <v>1.75</v>
      </c>
      <c r="BL1939" s="53">
        <f>ROUND(HIX_SLCSP11[[#This Row],[Weighting Factor 2022]]*HIX_SLCSP11[[#This Row],[2022]],2)</f>
        <v>1.88</v>
      </c>
      <c r="BM1939" s="53">
        <f>ROUND(HIX_SLCSP11[[#This Row],[Weighting Factor 2023]]*HIX_SLCSP11[[#This Row],[2023]],2)</f>
        <v>2.33</v>
      </c>
    </row>
    <row r="1940" spans="4:65" x14ac:dyDescent="0.35">
      <c r="D1940" t="s">
        <v>1662</v>
      </c>
      <c r="E1940" t="s">
        <v>311</v>
      </c>
      <c r="F1940" s="23">
        <v>13</v>
      </c>
      <c r="G1940" s="23" t="s">
        <v>1663</v>
      </c>
      <c r="H1940" s="23" t="s">
        <v>1697</v>
      </c>
      <c r="I1940" s="23">
        <v>70</v>
      </c>
      <c r="J1940" s="53">
        <v>335.6</v>
      </c>
      <c r="K1940" s="53">
        <v>336.41</v>
      </c>
      <c r="L1940" s="53">
        <v>573.30999999999995</v>
      </c>
      <c r="M1940" s="54">
        <f t="shared" si="101"/>
        <v>1.7042002318599325</v>
      </c>
      <c r="N1940" s="24">
        <v>56</v>
      </c>
      <c r="O1940" s="55">
        <v>449</v>
      </c>
      <c r="P1940" s="56">
        <v>451.21</v>
      </c>
      <c r="Q1940" s="56">
        <v>768.96</v>
      </c>
      <c r="R1940" s="57">
        <f t="shared" si="113"/>
        <v>1.7042175483699387</v>
      </c>
      <c r="S1940" s="23">
        <v>104</v>
      </c>
      <c r="T1940" s="53">
        <v>426.51</v>
      </c>
      <c r="U1940" s="53">
        <v>431.93</v>
      </c>
      <c r="V1940" s="53">
        <v>736.1</v>
      </c>
      <c r="W1940" s="57">
        <f t="shared" si="114"/>
        <v>1.7042113305396709</v>
      </c>
      <c r="X1940" s="23">
        <v>104</v>
      </c>
      <c r="Y1940" s="53">
        <v>317.33</v>
      </c>
      <c r="Z1940" s="53">
        <v>324.20999999999998</v>
      </c>
      <c r="AA1940" s="53">
        <v>552.53</v>
      </c>
      <c r="AB1940" s="57">
        <f t="shared" si="115"/>
        <v>1.7042349094722558</v>
      </c>
      <c r="AC1940" s="47">
        <v>57</v>
      </c>
      <c r="AD1940" s="57">
        <v>327.29000000000002</v>
      </c>
      <c r="AE1940" s="57">
        <v>331.5</v>
      </c>
      <c r="AF1940" s="57">
        <v>564.95000000000005</v>
      </c>
      <c r="AG1940" s="57">
        <f t="shared" si="116"/>
        <v>1.7042232277526397</v>
      </c>
      <c r="AH1940" s="47">
        <v>94</v>
      </c>
      <c r="AI1940">
        <v>377.16</v>
      </c>
      <c r="AJ1940">
        <v>381.53</v>
      </c>
      <c r="AK1940">
        <v>650.20000000000005</v>
      </c>
      <c r="AL1940" s="57">
        <f t="shared" si="93"/>
        <v>1.7041910203653712</v>
      </c>
      <c r="AM1940" s="59">
        <v>1430</v>
      </c>
      <c r="AN1940" s="59">
        <f>SUMIFS(HIX_RatingAreas8[Silver Enrollments 2018],HIX_RatingAreas8[Area],HIX_SLCSP11[[#This Row],[Area Code]])</f>
        <v>1047</v>
      </c>
      <c r="AO1940" s="59">
        <f>SUMIFS(HIX_RatingAreas8[Silver Enrollments 2019],HIX_RatingAreas8[Area],HIX_SLCSP11[[#This Row],[Area Code]])</f>
        <v>860</v>
      </c>
      <c r="AP1940" s="59">
        <f>SUMIFS(HIX_RatingAreas8[Silver Enrollments 2020],HIX_RatingAreas8[Area],HIX_SLCSP11[[#This Row],[Area Code]])</f>
        <v>699</v>
      </c>
      <c r="AQ1940" s="59">
        <f>SUMIFS(HIX_RatingAreas8[Silver Enrollments 2021],HIX_RatingAreas8[Area],HIX_SLCSP11[[#This Row],[Area Code]])</f>
        <v>554</v>
      </c>
      <c r="AR1940" s="59">
        <f>SUMIFS(HIX_RatingAreas8[Silver Enrollments 2022],HIX_RatingAreas8[Area],HIX_SLCSP11[[#This Row],[Area Code]])</f>
        <v>688</v>
      </c>
      <c r="AS1940" s="59">
        <f>SUMIFS(HIX_RatingAreas8[Silver Enrollments 2023],HIX_RatingAreas8[Area],HIX_SLCSP11[[#This Row],[Area Code]])</f>
        <v>688</v>
      </c>
      <c r="AT1940" s="59">
        <v>1607</v>
      </c>
      <c r="AU1940">
        <f t="shared" si="107"/>
        <v>6.9313550001078306E-3</v>
      </c>
      <c r="AV1940">
        <f>SUMIFS(HIX_RatingAreas8[QHP Enrollments 2018],HIX_RatingAreas8[Area],HIX_SLCSP11[[#This Row],[Area Code]])</f>
        <v>1374</v>
      </c>
      <c r="AW1940">
        <f t="shared" si="108"/>
        <v>6.3616117935207861E-3</v>
      </c>
      <c r="AX1940">
        <f>SUMIFS(HIX_RatingAreas8[QHP Enrollments 2019],HIX_RatingAreas8[Area],HIX_SLCSP11[[#This Row],[Area Code]])</f>
        <v>1330</v>
      </c>
      <c r="AY1940">
        <f t="shared" si="109"/>
        <v>6.1873127523772303E-3</v>
      </c>
      <c r="AZ1940">
        <f>SUMIFS(HIX_RatingAreas8[QHP Enrollments 2020],HIX_RatingAreas8[Area],HIX_SLCSP11[[#This Row],[Area Code]])</f>
        <v>1231</v>
      </c>
      <c r="BA1940">
        <f t="shared" si="110"/>
        <v>5.7515301593234593E-3</v>
      </c>
      <c r="BB1940">
        <f>SUMIFS(HIX_RatingAreas8[QHP Enrollments 2021],HIX_RatingAreas8[Area],HIX_SLCSP11[[#This Row],[Area Code]])</f>
        <v>1301</v>
      </c>
      <c r="BC1940">
        <f t="shared" si="111"/>
        <v>5.6552923277548356E-3</v>
      </c>
      <c r="BD1940">
        <f>SUMIFS(HIX_RatingAreas8[QHP Enrollments 2022],HIX_RatingAreas8[Area],HIX_SLCSP11[[#This Row],[Area Code]])</f>
        <v>1710</v>
      </c>
      <c r="BE1940">
        <f t="shared" si="112"/>
        <v>5.6925617193533786E-3</v>
      </c>
      <c r="BF1940">
        <f>SUMIFS(HIX_RatingAreas8[QHP Enrollments 2023],HIX_RatingAreas8[Area],HIX_SLCSP11[[#This Row],[Area Code]])</f>
        <v>1710</v>
      </c>
      <c r="BG1940">
        <f t="shared" si="117"/>
        <v>5.6925617193533786E-3</v>
      </c>
      <c r="BH1940" s="53">
        <f>ROUND(HIX_SLCSP11[[#This Row],[Weighting Factor 2018]]*HIX_SLCSP11[[#This Row],[2018]],2)</f>
        <v>2.14</v>
      </c>
      <c r="BI1940" s="53">
        <f>ROUND(HIX_SLCSP11[[#This Row],[Weighting Factor 2019]]*HIX_SLCSP11[[#This Row],[2019]],2)</f>
        <v>2.79</v>
      </c>
      <c r="BJ1940" s="53">
        <f>ROUND(HIX_SLCSP11[[#This Row],[Weighting Factor 2020]]*HIX_SLCSP11[[#This Row],[2020]],2)</f>
        <v>2.48</v>
      </c>
      <c r="BK1940" s="53">
        <f>ROUND(HIX_SLCSP11[[#This Row],[Weighting Factor 2021]]*HIX_SLCSP11[[#This Row],[2021]],2)</f>
        <v>1.83</v>
      </c>
      <c r="BL1940" s="53">
        <f>ROUND(HIX_SLCSP11[[#This Row],[Weighting Factor 2022]]*HIX_SLCSP11[[#This Row],[2022]],2)</f>
        <v>1.89</v>
      </c>
      <c r="BM1940" s="53">
        <f>ROUND(HIX_SLCSP11[[#This Row],[Weighting Factor 2023]]*HIX_SLCSP11[[#This Row],[2023]],2)</f>
        <v>2.17</v>
      </c>
    </row>
    <row r="1941" spans="4:65" x14ac:dyDescent="0.35">
      <c r="D1941" t="s">
        <v>1662</v>
      </c>
      <c r="E1941" t="s">
        <v>577</v>
      </c>
      <c r="F1941" s="23">
        <v>14</v>
      </c>
      <c r="G1941" s="23" t="s">
        <v>1663</v>
      </c>
      <c r="H1941" s="23" t="s">
        <v>1700</v>
      </c>
      <c r="I1941" s="23">
        <v>70</v>
      </c>
      <c r="J1941" s="53">
        <v>325.38</v>
      </c>
      <c r="K1941" s="53">
        <v>326.16000000000003</v>
      </c>
      <c r="L1941" s="53">
        <v>555.85</v>
      </c>
      <c r="M1941" s="54">
        <f t="shared" si="101"/>
        <v>1.7042249202845228</v>
      </c>
      <c r="N1941" s="24">
        <v>56</v>
      </c>
      <c r="O1941" s="55">
        <v>435.42</v>
      </c>
      <c r="P1941" s="56">
        <v>437.57</v>
      </c>
      <c r="Q1941" s="56">
        <v>745.7</v>
      </c>
      <c r="R1941" s="57">
        <f t="shared" si="113"/>
        <v>1.7041844733414084</v>
      </c>
      <c r="S1941" s="23">
        <v>120</v>
      </c>
      <c r="T1941" s="53">
        <v>412.77</v>
      </c>
      <c r="U1941" s="53">
        <v>418.02</v>
      </c>
      <c r="V1941" s="53">
        <v>712.39</v>
      </c>
      <c r="W1941" s="57">
        <f t="shared" si="114"/>
        <v>1.7042007559446917</v>
      </c>
      <c r="X1941" s="23">
        <v>120</v>
      </c>
      <c r="Y1941" s="53">
        <v>288.20999999999998</v>
      </c>
      <c r="Z1941" s="53">
        <v>294.45999999999998</v>
      </c>
      <c r="AA1941" s="53">
        <v>501.82</v>
      </c>
      <c r="AB1941" s="57">
        <f t="shared" si="115"/>
        <v>1.7042043061875978</v>
      </c>
      <c r="AC1941" s="47">
        <v>57</v>
      </c>
      <c r="AD1941" s="57">
        <v>275.32</v>
      </c>
      <c r="AE1941" s="57">
        <v>278.86</v>
      </c>
      <c r="AF1941" s="57">
        <v>475.24</v>
      </c>
      <c r="AG1941" s="57">
        <f t="shared" si="116"/>
        <v>1.7042243419637093</v>
      </c>
      <c r="AH1941" s="47">
        <v>94</v>
      </c>
      <c r="AI1941">
        <v>377.16</v>
      </c>
      <c r="AJ1941">
        <v>381.53</v>
      </c>
      <c r="AK1941">
        <v>650.20000000000005</v>
      </c>
      <c r="AL1941" s="57">
        <f t="shared" si="93"/>
        <v>1.7041910203653712</v>
      </c>
      <c r="AM1941" s="59">
        <v>1264</v>
      </c>
      <c r="AN1941" s="59">
        <f>SUMIFS(HIX_RatingAreas8[Silver Enrollments 2018],HIX_RatingAreas8[Area],HIX_SLCSP11[[#This Row],[Area Code]])</f>
        <v>1054</v>
      </c>
      <c r="AO1941" s="59">
        <f>SUMIFS(HIX_RatingAreas8[Silver Enrollments 2019],HIX_RatingAreas8[Area],HIX_SLCSP11[[#This Row],[Area Code]])</f>
        <v>887</v>
      </c>
      <c r="AP1941" s="59">
        <f>SUMIFS(HIX_RatingAreas8[Silver Enrollments 2020],HIX_RatingAreas8[Area],HIX_SLCSP11[[#This Row],[Area Code]])</f>
        <v>809</v>
      </c>
      <c r="AQ1941" s="59">
        <f>SUMIFS(HIX_RatingAreas8[Silver Enrollments 2021],HIX_RatingAreas8[Area],HIX_SLCSP11[[#This Row],[Area Code]])</f>
        <v>758</v>
      </c>
      <c r="AR1941" s="59">
        <f>SUMIFS(HIX_RatingAreas8[Silver Enrollments 2022],HIX_RatingAreas8[Area],HIX_SLCSP11[[#This Row],[Area Code]])</f>
        <v>770</v>
      </c>
      <c r="AS1941" s="59">
        <f>SUMIFS(HIX_RatingAreas8[Silver Enrollments 2023],HIX_RatingAreas8[Area],HIX_SLCSP11[[#This Row],[Area Code]])</f>
        <v>770</v>
      </c>
      <c r="AT1941" s="59">
        <v>1372</v>
      </c>
      <c r="AU1941">
        <f t="shared" si="107"/>
        <v>5.9177467704716515E-3</v>
      </c>
      <c r="AV1941">
        <f>SUMIFS(HIX_RatingAreas8[QHP Enrollments 2018],HIX_RatingAreas8[Area],HIX_SLCSP11[[#This Row],[Area Code]])</f>
        <v>1379</v>
      </c>
      <c r="AW1941">
        <f t="shared" si="108"/>
        <v>6.384761763657325E-3</v>
      </c>
      <c r="AX1941">
        <f>SUMIFS(HIX_RatingAreas8[QHP Enrollments 2019],HIX_RatingAreas8[Area],HIX_SLCSP11[[#This Row],[Area Code]])</f>
        <v>1435</v>
      </c>
      <c r="AY1941">
        <f t="shared" si="109"/>
        <v>6.675784811775433E-3</v>
      </c>
      <c r="AZ1941">
        <f>SUMIFS(HIX_RatingAreas8[QHP Enrollments 2020],HIX_RatingAreas8[Area],HIX_SLCSP11[[#This Row],[Area Code]])</f>
        <v>1434</v>
      </c>
      <c r="BA1941">
        <f t="shared" si="110"/>
        <v>6.6999953277577908E-3</v>
      </c>
      <c r="BB1941">
        <f>SUMIFS(HIX_RatingAreas8[QHP Enrollments 2021],HIX_RatingAreas8[Area],HIX_SLCSP11[[#This Row],[Area Code]])</f>
        <v>1474</v>
      </c>
      <c r="BC1941">
        <f t="shared" si="111"/>
        <v>6.4073027602695063E-3</v>
      </c>
      <c r="BD1941">
        <f>SUMIFS(HIX_RatingAreas8[QHP Enrollments 2022],HIX_RatingAreas8[Area],HIX_SLCSP11[[#This Row],[Area Code]])</f>
        <v>1911</v>
      </c>
      <c r="BE1941">
        <f t="shared" si="112"/>
        <v>6.3616873951370207E-3</v>
      </c>
      <c r="BF1941">
        <f>SUMIFS(HIX_RatingAreas8[QHP Enrollments 2023],HIX_RatingAreas8[Area],HIX_SLCSP11[[#This Row],[Area Code]])</f>
        <v>1911</v>
      </c>
      <c r="BG1941">
        <f t="shared" si="117"/>
        <v>6.3616873951370207E-3</v>
      </c>
      <c r="BH1941" s="53">
        <f>ROUND(HIX_SLCSP11[[#This Row],[Weighting Factor 2018]]*HIX_SLCSP11[[#This Row],[2018]],2)</f>
        <v>2.08</v>
      </c>
      <c r="BI1941" s="53">
        <f>ROUND(HIX_SLCSP11[[#This Row],[Weighting Factor 2019]]*HIX_SLCSP11[[#This Row],[2019]],2)</f>
        <v>2.92</v>
      </c>
      <c r="BJ1941" s="53">
        <f>ROUND(HIX_SLCSP11[[#This Row],[Weighting Factor 2020]]*HIX_SLCSP11[[#This Row],[2020]],2)</f>
        <v>2.8</v>
      </c>
      <c r="BK1941" s="53">
        <f>ROUND(HIX_SLCSP11[[#This Row],[Weighting Factor 2021]]*HIX_SLCSP11[[#This Row],[2021]],2)</f>
        <v>1.89</v>
      </c>
      <c r="BL1941" s="53">
        <f>ROUND(HIX_SLCSP11[[#This Row],[Weighting Factor 2022]]*HIX_SLCSP11[[#This Row],[2022]],2)</f>
        <v>1.77</v>
      </c>
      <c r="BM1941" s="53">
        <f>ROUND(HIX_SLCSP11[[#This Row],[Weighting Factor 2023]]*HIX_SLCSP11[[#This Row],[2023]],2)</f>
        <v>2.4300000000000002</v>
      </c>
    </row>
    <row r="1942" spans="4:65" x14ac:dyDescent="0.35">
      <c r="D1942" t="s">
        <v>1662</v>
      </c>
      <c r="E1942" t="s">
        <v>581</v>
      </c>
      <c r="F1942" s="23">
        <v>15</v>
      </c>
      <c r="G1942" s="23" t="s">
        <v>1663</v>
      </c>
      <c r="H1942" s="23" t="s">
        <v>1703</v>
      </c>
      <c r="I1942" s="23">
        <v>70</v>
      </c>
      <c r="J1942" s="53">
        <v>438.13</v>
      </c>
      <c r="K1942" s="53">
        <v>444.99</v>
      </c>
      <c r="L1942" s="53">
        <v>758.36</v>
      </c>
      <c r="M1942" s="54">
        <f t="shared" si="101"/>
        <v>1.7042180723162319</v>
      </c>
      <c r="N1942" s="24">
        <v>64</v>
      </c>
      <c r="O1942" s="55">
        <v>436.58</v>
      </c>
      <c r="P1942" s="56">
        <v>439</v>
      </c>
      <c r="Q1942" s="56">
        <v>748.15</v>
      </c>
      <c r="R1942" s="57">
        <f t="shared" si="113"/>
        <v>1.7042141230068337</v>
      </c>
      <c r="S1942" s="23">
        <v>120</v>
      </c>
      <c r="T1942" s="53">
        <v>345.13</v>
      </c>
      <c r="U1942" s="53">
        <v>356.34</v>
      </c>
      <c r="V1942" s="53">
        <v>607.27</v>
      </c>
      <c r="W1942" s="57">
        <f t="shared" si="114"/>
        <v>1.704187012403884</v>
      </c>
      <c r="X1942" s="23">
        <v>120</v>
      </c>
      <c r="Y1942" s="53">
        <v>329.13</v>
      </c>
      <c r="Z1942" s="53">
        <v>336.28</v>
      </c>
      <c r="AA1942" s="53">
        <v>573.08000000000004</v>
      </c>
      <c r="AB1942" s="57">
        <f t="shared" si="115"/>
        <v>1.7041750921850842</v>
      </c>
      <c r="AC1942" s="47">
        <v>57</v>
      </c>
      <c r="AD1942" s="57">
        <v>320.95</v>
      </c>
      <c r="AE1942" s="57">
        <v>325.08</v>
      </c>
      <c r="AF1942" s="57">
        <v>554</v>
      </c>
      <c r="AG1942" s="57">
        <f t="shared" si="116"/>
        <v>1.7041958902424019</v>
      </c>
      <c r="AH1942" s="47">
        <v>94</v>
      </c>
      <c r="AI1942">
        <v>376.2</v>
      </c>
      <c r="AJ1942">
        <v>380.56</v>
      </c>
      <c r="AK1942">
        <v>648.54999999999995</v>
      </c>
      <c r="AL1942" s="57">
        <f t="shared" si="93"/>
        <v>1.7041990750472986</v>
      </c>
      <c r="AM1942" s="59">
        <v>2214</v>
      </c>
      <c r="AN1942" s="59">
        <f>SUMIFS(HIX_RatingAreas8[Silver Enrollments 2018],HIX_RatingAreas8[Area],HIX_SLCSP11[[#This Row],[Area Code]])</f>
        <v>1859</v>
      </c>
      <c r="AO1942" s="59">
        <f>SUMIFS(HIX_RatingAreas8[Silver Enrollments 2019],HIX_RatingAreas8[Area],HIX_SLCSP11[[#This Row],[Area Code]])</f>
        <v>1671</v>
      </c>
      <c r="AP1942" s="59">
        <f>SUMIFS(HIX_RatingAreas8[Silver Enrollments 2020],HIX_RatingAreas8[Area],HIX_SLCSP11[[#This Row],[Area Code]])</f>
        <v>732</v>
      </c>
      <c r="AQ1942" s="59">
        <f>SUMIFS(HIX_RatingAreas8[Silver Enrollments 2021],HIX_RatingAreas8[Area],HIX_SLCSP11[[#This Row],[Area Code]])</f>
        <v>723</v>
      </c>
      <c r="AR1942" s="59">
        <f>SUMIFS(HIX_RatingAreas8[Silver Enrollments 2022],HIX_RatingAreas8[Area],HIX_SLCSP11[[#This Row],[Area Code]])</f>
        <v>1086</v>
      </c>
      <c r="AS1942" s="59">
        <f>SUMIFS(HIX_RatingAreas8[Silver Enrollments 2023],HIX_RatingAreas8[Area],HIX_SLCSP11[[#This Row],[Area Code]])</f>
        <v>1086</v>
      </c>
      <c r="AT1942" s="59">
        <v>2405</v>
      </c>
      <c r="AU1942">
        <f t="shared" si="107"/>
        <v>1.0373309754361751E-2</v>
      </c>
      <c r="AV1942">
        <f>SUMIFS(HIX_RatingAreas8[QHP Enrollments 2018],HIX_RatingAreas8[Area],HIX_SLCSP11[[#This Row],[Area Code]])</f>
        <v>2341</v>
      </c>
      <c r="AW1942">
        <f t="shared" si="108"/>
        <v>1.0838816017927336E-2</v>
      </c>
      <c r="AX1942">
        <f>SUMIFS(HIX_RatingAreas8[QHP Enrollments 2019],HIX_RatingAreas8[Area],HIX_SLCSP11[[#This Row],[Area Code]])</f>
        <v>2521</v>
      </c>
      <c r="AY1942">
        <f t="shared" si="109"/>
        <v>1.172798154040827E-2</v>
      </c>
      <c r="AZ1942">
        <f>SUMIFS(HIX_RatingAreas8[QHP Enrollments 2020],HIX_RatingAreas8[Area],HIX_SLCSP11[[#This Row],[Area Code]])</f>
        <v>2182</v>
      </c>
      <c r="BA1942">
        <f t="shared" si="110"/>
        <v>1.0194832500116807E-2</v>
      </c>
      <c r="BB1942">
        <f>SUMIFS(HIX_RatingAreas8[QHP Enrollments 2021],HIX_RatingAreas8[Area],HIX_SLCSP11[[#This Row],[Area Code]])</f>
        <v>2154</v>
      </c>
      <c r="BC1942">
        <f t="shared" si="111"/>
        <v>9.3631819169745709E-3</v>
      </c>
      <c r="BD1942">
        <f>SUMIFS(HIX_RatingAreas8[QHP Enrollments 2022],HIX_RatingAreas8[Area],HIX_SLCSP11[[#This Row],[Area Code]])</f>
        <v>2706</v>
      </c>
      <c r="BE1942">
        <f t="shared" si="112"/>
        <v>9.0082292471171006E-3</v>
      </c>
      <c r="BF1942">
        <f>SUMIFS(HIX_RatingAreas8[QHP Enrollments 2023],HIX_RatingAreas8[Area],HIX_SLCSP11[[#This Row],[Area Code]])</f>
        <v>2706</v>
      </c>
      <c r="BG1942">
        <f t="shared" si="117"/>
        <v>9.0082292471171006E-3</v>
      </c>
      <c r="BH1942" s="53">
        <f>ROUND(HIX_SLCSP11[[#This Row],[Weighting Factor 2018]]*HIX_SLCSP11[[#This Row],[2018]],2)</f>
        <v>4.82</v>
      </c>
      <c r="BI1942" s="53">
        <f>ROUND(HIX_SLCSP11[[#This Row],[Weighting Factor 2019]]*HIX_SLCSP11[[#This Row],[2019]],2)</f>
        <v>5.15</v>
      </c>
      <c r="BJ1942" s="53">
        <f>ROUND(HIX_SLCSP11[[#This Row],[Weighting Factor 2020]]*HIX_SLCSP11[[#This Row],[2020]],2)</f>
        <v>3.63</v>
      </c>
      <c r="BK1942" s="53">
        <f>ROUND(HIX_SLCSP11[[#This Row],[Weighting Factor 2021]]*HIX_SLCSP11[[#This Row],[2021]],2)</f>
        <v>3.15</v>
      </c>
      <c r="BL1942" s="53">
        <f>ROUND(HIX_SLCSP11[[#This Row],[Weighting Factor 2022]]*HIX_SLCSP11[[#This Row],[2022]],2)</f>
        <v>2.93</v>
      </c>
      <c r="BM1942" s="53">
        <f>ROUND(HIX_SLCSP11[[#This Row],[Weighting Factor 2023]]*HIX_SLCSP11[[#This Row],[2023]],2)</f>
        <v>3.43</v>
      </c>
    </row>
    <row r="1943" spans="4:65" x14ac:dyDescent="0.35">
      <c r="D1943" t="s">
        <v>1662</v>
      </c>
      <c r="E1943" t="s">
        <v>585</v>
      </c>
      <c r="F1943" s="23">
        <v>16</v>
      </c>
      <c r="G1943" s="23" t="s">
        <v>1663</v>
      </c>
      <c r="H1943" s="23" t="s">
        <v>1706</v>
      </c>
      <c r="I1943" s="23">
        <v>70</v>
      </c>
      <c r="J1943" s="53">
        <v>336.12</v>
      </c>
      <c r="K1943" s="53">
        <v>336.92</v>
      </c>
      <c r="L1943" s="53">
        <v>574.17999999999995</v>
      </c>
      <c r="M1943" s="54">
        <f t="shared" si="101"/>
        <v>1.7042027781075624</v>
      </c>
      <c r="N1943" s="24">
        <v>56</v>
      </c>
      <c r="O1943" s="55">
        <v>449.68</v>
      </c>
      <c r="P1943" s="56">
        <v>451.9</v>
      </c>
      <c r="Q1943" s="56">
        <v>770.12</v>
      </c>
      <c r="R1943" s="57">
        <f t="shared" si="113"/>
        <v>1.7041823412259349</v>
      </c>
      <c r="S1943" s="23">
        <v>120</v>
      </c>
      <c r="T1943" s="53">
        <v>443.08</v>
      </c>
      <c r="U1943" s="53">
        <v>448.71</v>
      </c>
      <c r="V1943" s="53">
        <v>764.7</v>
      </c>
      <c r="W1943" s="57">
        <f t="shared" si="114"/>
        <v>1.7042187604466139</v>
      </c>
      <c r="X1943" s="23">
        <v>120</v>
      </c>
      <c r="Y1943" s="53">
        <v>317.33</v>
      </c>
      <c r="Z1943" s="53">
        <v>324.20999999999998</v>
      </c>
      <c r="AA1943" s="53">
        <v>552.53</v>
      </c>
      <c r="AB1943" s="57">
        <f t="shared" si="115"/>
        <v>1.7042349094722558</v>
      </c>
      <c r="AC1943" s="47">
        <v>57</v>
      </c>
      <c r="AD1943" s="57">
        <v>304.70999999999998</v>
      </c>
      <c r="AE1943" s="57">
        <v>308.63</v>
      </c>
      <c r="AF1943" s="57">
        <v>525.97</v>
      </c>
      <c r="AG1943" s="57">
        <f t="shared" si="116"/>
        <v>1.7042089233062243</v>
      </c>
      <c r="AH1943" s="47">
        <v>94</v>
      </c>
      <c r="AI1943">
        <v>377.16</v>
      </c>
      <c r="AJ1943">
        <v>379.4</v>
      </c>
      <c r="AK1943">
        <v>646.57000000000005</v>
      </c>
      <c r="AL1943" s="57">
        <f t="shared" si="93"/>
        <v>1.7041908276225621</v>
      </c>
      <c r="AM1943" s="59">
        <v>2746</v>
      </c>
      <c r="AN1943" s="59">
        <f>SUMIFS(HIX_RatingAreas8[Silver Enrollments 2018],HIX_RatingAreas8[Area],HIX_SLCSP11[[#This Row],[Area Code]])</f>
        <v>2043</v>
      </c>
      <c r="AO1943" s="59">
        <f>SUMIFS(HIX_RatingAreas8[Silver Enrollments 2019],HIX_RatingAreas8[Area],HIX_SLCSP11[[#This Row],[Area Code]])</f>
        <v>1652</v>
      </c>
      <c r="AP1943" s="59">
        <f>SUMIFS(HIX_RatingAreas8[Silver Enrollments 2020],HIX_RatingAreas8[Area],HIX_SLCSP11[[#This Row],[Area Code]])</f>
        <v>1482</v>
      </c>
      <c r="AQ1943" s="59">
        <f>SUMIFS(HIX_RatingAreas8[Silver Enrollments 2021],HIX_RatingAreas8[Area],HIX_SLCSP11[[#This Row],[Area Code]])</f>
        <v>1105</v>
      </c>
      <c r="AR1943" s="59">
        <f>SUMIFS(HIX_RatingAreas8[Silver Enrollments 2022],HIX_RatingAreas8[Area],HIX_SLCSP11[[#This Row],[Area Code]])</f>
        <v>1271</v>
      </c>
      <c r="AS1943" s="59">
        <f>SUMIFS(HIX_RatingAreas8[Silver Enrollments 2023],HIX_RatingAreas8[Area],HIX_SLCSP11[[#This Row],[Area Code]])</f>
        <v>1271</v>
      </c>
      <c r="AT1943" s="59">
        <v>3067</v>
      </c>
      <c r="AU1943">
        <f t="shared" si="107"/>
        <v>1.3228665703379413E-2</v>
      </c>
      <c r="AV1943">
        <f>SUMIFS(HIX_RatingAreas8[QHP Enrollments 2018],HIX_RatingAreas8[Area],HIX_SLCSP11[[#This Row],[Area Code]])</f>
        <v>2697</v>
      </c>
      <c r="AW1943">
        <f t="shared" si="108"/>
        <v>1.2487093891648879E-2</v>
      </c>
      <c r="AX1943">
        <f>SUMIFS(HIX_RatingAreas8[QHP Enrollments 2019],HIX_RatingAreas8[Area],HIX_SLCSP11[[#This Row],[Area Code]])</f>
        <v>2688</v>
      </c>
      <c r="AY1943">
        <f t="shared" si="109"/>
        <v>1.2504884720593983E-2</v>
      </c>
      <c r="AZ1943">
        <f>SUMIFS(HIX_RatingAreas8[QHP Enrollments 2020],HIX_RatingAreas8[Area],HIX_SLCSP11[[#This Row],[Area Code]])</f>
        <v>2772</v>
      </c>
      <c r="BA1943">
        <f t="shared" si="110"/>
        <v>1.2951455403448114E-2</v>
      </c>
      <c r="BB1943">
        <f>SUMIFS(HIX_RatingAreas8[QHP Enrollments 2021],HIX_RatingAreas8[Area],HIX_SLCSP11[[#This Row],[Area Code]])</f>
        <v>2790</v>
      </c>
      <c r="BC1943">
        <f t="shared" si="111"/>
        <v>1.2127798304716365E-2</v>
      </c>
      <c r="BD1943">
        <f>SUMIFS(HIX_RatingAreas8[QHP Enrollments 2022],HIX_RatingAreas8[Area],HIX_SLCSP11[[#This Row],[Area Code]])</f>
        <v>3303</v>
      </c>
      <c r="BE1943">
        <f t="shared" si="112"/>
        <v>1.0995632373698367E-2</v>
      </c>
      <c r="BF1943">
        <f>SUMIFS(HIX_RatingAreas8[QHP Enrollments 2023],HIX_RatingAreas8[Area],HIX_SLCSP11[[#This Row],[Area Code]])</f>
        <v>3303</v>
      </c>
      <c r="BG1943">
        <f t="shared" si="117"/>
        <v>1.0995632373698367E-2</v>
      </c>
      <c r="BH1943" s="53">
        <f>ROUND(HIX_SLCSP11[[#This Row],[Weighting Factor 2018]]*HIX_SLCSP11[[#This Row],[2018]],2)</f>
        <v>4.21</v>
      </c>
      <c r="BI1943" s="53">
        <f>ROUND(HIX_SLCSP11[[#This Row],[Weighting Factor 2019]]*HIX_SLCSP11[[#This Row],[2019]],2)</f>
        <v>5.65</v>
      </c>
      <c r="BJ1943" s="53">
        <f>ROUND(HIX_SLCSP11[[#This Row],[Weighting Factor 2020]]*HIX_SLCSP11[[#This Row],[2020]],2)</f>
        <v>5.81</v>
      </c>
      <c r="BK1943" s="53">
        <f>ROUND(HIX_SLCSP11[[#This Row],[Weighting Factor 2021]]*HIX_SLCSP11[[#This Row],[2021]],2)</f>
        <v>3.93</v>
      </c>
      <c r="BL1943" s="53">
        <f>ROUND(HIX_SLCSP11[[#This Row],[Weighting Factor 2022]]*HIX_SLCSP11[[#This Row],[2022]],2)</f>
        <v>3.39</v>
      </c>
      <c r="BM1943" s="53">
        <f>ROUND(HIX_SLCSP11[[#This Row],[Weighting Factor 2023]]*HIX_SLCSP11[[#This Row],[2023]],2)</f>
        <v>4.17</v>
      </c>
    </row>
    <row r="1944" spans="4:65" x14ac:dyDescent="0.35">
      <c r="D1944" t="s">
        <v>1662</v>
      </c>
      <c r="E1944" t="s">
        <v>588</v>
      </c>
      <c r="F1944" s="23">
        <v>17</v>
      </c>
      <c r="G1944" s="23" t="s">
        <v>1663</v>
      </c>
      <c r="H1944" s="23" t="s">
        <v>1709</v>
      </c>
      <c r="I1944" s="23">
        <v>70</v>
      </c>
      <c r="J1944" s="53">
        <v>348.21</v>
      </c>
      <c r="K1944" s="53">
        <v>349.05</v>
      </c>
      <c r="L1944" s="53">
        <v>594.84</v>
      </c>
      <c r="M1944" s="54">
        <f t="shared" si="101"/>
        <v>1.7041684572410829</v>
      </c>
      <c r="N1944" s="24">
        <v>56</v>
      </c>
      <c r="O1944" s="55">
        <v>465.97</v>
      </c>
      <c r="P1944" s="56">
        <v>468.27</v>
      </c>
      <c r="Q1944" s="56">
        <v>798.03</v>
      </c>
      <c r="R1944" s="57">
        <f t="shared" si="113"/>
        <v>1.704209110128772</v>
      </c>
      <c r="S1944" s="23">
        <v>120</v>
      </c>
      <c r="T1944" s="53">
        <v>464.89</v>
      </c>
      <c r="U1944" s="53">
        <v>470.8</v>
      </c>
      <c r="V1944" s="53">
        <v>802.33</v>
      </c>
      <c r="W1944" s="57">
        <f t="shared" si="114"/>
        <v>1.7041843670348344</v>
      </c>
      <c r="X1944" s="23">
        <v>120</v>
      </c>
      <c r="Y1944" s="53">
        <v>338.1</v>
      </c>
      <c r="Z1944" s="53">
        <v>345.44</v>
      </c>
      <c r="AA1944" s="53">
        <v>588.70000000000005</v>
      </c>
      <c r="AB1944" s="57">
        <f t="shared" si="115"/>
        <v>1.7042033348772581</v>
      </c>
      <c r="AC1944" s="47">
        <v>57</v>
      </c>
      <c r="AD1944" s="57">
        <v>331</v>
      </c>
      <c r="AE1944" s="57">
        <v>335.26</v>
      </c>
      <c r="AF1944" s="57">
        <v>571.36</v>
      </c>
      <c r="AG1944" s="57">
        <f t="shared" si="116"/>
        <v>1.7042295531826046</v>
      </c>
      <c r="AH1944" s="47">
        <v>98</v>
      </c>
      <c r="AI1944">
        <v>377.16</v>
      </c>
      <c r="AJ1944">
        <v>381.53</v>
      </c>
      <c r="AK1944">
        <v>650.20000000000005</v>
      </c>
      <c r="AL1944" s="57">
        <f t="shared" si="93"/>
        <v>1.7041910203653712</v>
      </c>
      <c r="AM1944" s="59">
        <v>1147</v>
      </c>
      <c r="AN1944" s="59">
        <f>SUMIFS(HIX_RatingAreas8[Silver Enrollments 2018],HIX_RatingAreas8[Area],HIX_SLCSP11[[#This Row],[Area Code]])</f>
        <v>787</v>
      </c>
      <c r="AO1944" s="59">
        <f>SUMIFS(HIX_RatingAreas8[Silver Enrollments 2019],HIX_RatingAreas8[Area],HIX_SLCSP11[[#This Row],[Area Code]])</f>
        <v>604</v>
      </c>
      <c r="AP1944" s="59">
        <f>SUMIFS(HIX_RatingAreas8[Silver Enrollments 2020],HIX_RatingAreas8[Area],HIX_SLCSP11[[#This Row],[Area Code]])</f>
        <v>554</v>
      </c>
      <c r="AQ1944" s="59">
        <f>SUMIFS(HIX_RatingAreas8[Silver Enrollments 2021],HIX_RatingAreas8[Area],HIX_SLCSP11[[#This Row],[Area Code]])</f>
        <v>355</v>
      </c>
      <c r="AR1944" s="59">
        <f>SUMIFS(HIX_RatingAreas8[Silver Enrollments 2022],HIX_RatingAreas8[Area],HIX_SLCSP11[[#This Row],[Area Code]])</f>
        <v>462</v>
      </c>
      <c r="AS1944" s="59">
        <f>SUMIFS(HIX_RatingAreas8[Silver Enrollments 2023],HIX_RatingAreas8[Area],HIX_SLCSP11[[#This Row],[Area Code]])</f>
        <v>462</v>
      </c>
      <c r="AT1944" s="59">
        <v>1237</v>
      </c>
      <c r="AU1944">
        <f t="shared" si="107"/>
        <v>5.3354611917444845E-3</v>
      </c>
      <c r="AV1944">
        <f>SUMIFS(HIX_RatingAreas8[QHP Enrollments 2018],HIX_RatingAreas8[Area],HIX_SLCSP11[[#This Row],[Area Code]])</f>
        <v>984</v>
      </c>
      <c r="AW1944">
        <f t="shared" si="108"/>
        <v>4.5559141228707816E-3</v>
      </c>
      <c r="AX1944">
        <f>SUMIFS(HIX_RatingAreas8[QHP Enrollments 2019],HIX_RatingAreas8[Area],HIX_SLCSP11[[#This Row],[Area Code]])</f>
        <v>952</v>
      </c>
      <c r="AY1944">
        <f t="shared" si="109"/>
        <v>4.4288133385437019E-3</v>
      </c>
      <c r="AZ1944">
        <f>SUMIFS(HIX_RatingAreas8[QHP Enrollments 2020],HIX_RatingAreas8[Area],HIX_SLCSP11[[#This Row],[Area Code]])</f>
        <v>950</v>
      </c>
      <c r="BA1944">
        <f t="shared" si="110"/>
        <v>4.4386300985843107E-3</v>
      </c>
      <c r="BB1944">
        <f>SUMIFS(HIX_RatingAreas8[QHP Enrollments 2021],HIX_RatingAreas8[Area],HIX_SLCSP11[[#This Row],[Area Code]])</f>
        <v>975</v>
      </c>
      <c r="BC1944">
        <f t="shared" si="111"/>
        <v>4.2382090849815259E-3</v>
      </c>
      <c r="BD1944">
        <f>SUMIFS(HIX_RatingAreas8[QHP Enrollments 2022],HIX_RatingAreas8[Area],HIX_SLCSP11[[#This Row],[Area Code]])</f>
        <v>1243</v>
      </c>
      <c r="BE1944">
        <f t="shared" si="112"/>
        <v>4.1379264427814323E-3</v>
      </c>
      <c r="BF1944">
        <f>SUMIFS(HIX_RatingAreas8[QHP Enrollments 2023],HIX_RatingAreas8[Area],HIX_SLCSP11[[#This Row],[Area Code]])</f>
        <v>1243</v>
      </c>
      <c r="BG1944">
        <f t="shared" si="117"/>
        <v>4.1379264427814323E-3</v>
      </c>
      <c r="BH1944" s="53">
        <f>ROUND(HIX_SLCSP11[[#This Row],[Weighting Factor 2018]]*HIX_SLCSP11[[#This Row],[2018]],2)</f>
        <v>1.59</v>
      </c>
      <c r="BI1944" s="53">
        <f>ROUND(HIX_SLCSP11[[#This Row],[Weighting Factor 2019]]*HIX_SLCSP11[[#This Row],[2019]],2)</f>
        <v>2.0699999999999998</v>
      </c>
      <c r="BJ1944" s="53">
        <f>ROUND(HIX_SLCSP11[[#This Row],[Weighting Factor 2020]]*HIX_SLCSP11[[#This Row],[2020]],2)</f>
        <v>2.09</v>
      </c>
      <c r="BK1944" s="53">
        <f>ROUND(HIX_SLCSP11[[#This Row],[Weighting Factor 2021]]*HIX_SLCSP11[[#This Row],[2021]],2)</f>
        <v>1.46</v>
      </c>
      <c r="BL1944" s="53">
        <f>ROUND(HIX_SLCSP11[[#This Row],[Weighting Factor 2022]]*HIX_SLCSP11[[#This Row],[2022]],2)</f>
        <v>1.39</v>
      </c>
      <c r="BM1944" s="53">
        <f>ROUND(HIX_SLCSP11[[#This Row],[Weighting Factor 2023]]*HIX_SLCSP11[[#This Row],[2023]],2)</f>
        <v>1.58</v>
      </c>
    </row>
    <row r="1945" spans="4:65" x14ac:dyDescent="0.35">
      <c r="D1945" t="s">
        <v>1662</v>
      </c>
      <c r="E1945" t="s">
        <v>592</v>
      </c>
      <c r="F1945" s="23">
        <v>18</v>
      </c>
      <c r="G1945" s="23" t="s">
        <v>1663</v>
      </c>
      <c r="H1945" s="23" t="s">
        <v>1712</v>
      </c>
      <c r="I1945" s="23">
        <v>70</v>
      </c>
      <c r="J1945" s="53">
        <v>335.6</v>
      </c>
      <c r="K1945" s="53">
        <v>336.41</v>
      </c>
      <c r="L1945" s="53">
        <v>573.30999999999995</v>
      </c>
      <c r="M1945" s="54">
        <f t="shared" si="101"/>
        <v>1.7042002318599325</v>
      </c>
      <c r="N1945" s="24">
        <v>64</v>
      </c>
      <c r="O1945" s="55">
        <v>420.09</v>
      </c>
      <c r="P1945" s="56">
        <v>422.43</v>
      </c>
      <c r="Q1945" s="56">
        <v>719.9</v>
      </c>
      <c r="R1945" s="57">
        <f t="shared" si="113"/>
        <v>1.7041876760646733</v>
      </c>
      <c r="S1945" s="23">
        <v>128</v>
      </c>
      <c r="T1945" s="53">
        <v>398.68</v>
      </c>
      <c r="U1945" s="53">
        <v>405.31</v>
      </c>
      <c r="V1945" s="53">
        <v>690.73</v>
      </c>
      <c r="W1945" s="57">
        <f t="shared" si="114"/>
        <v>1.7042017221386101</v>
      </c>
      <c r="X1945" s="23">
        <v>128</v>
      </c>
      <c r="Y1945" s="53">
        <v>313.55</v>
      </c>
      <c r="Z1945" s="53">
        <v>320.36</v>
      </c>
      <c r="AA1945" s="53">
        <v>545.95000000000005</v>
      </c>
      <c r="AB1945" s="57">
        <f t="shared" si="115"/>
        <v>1.7041765513796978</v>
      </c>
      <c r="AC1945" s="47">
        <v>93</v>
      </c>
      <c r="AD1945" s="57">
        <v>302.23</v>
      </c>
      <c r="AE1945" s="57">
        <v>306.12</v>
      </c>
      <c r="AF1945" s="57">
        <v>521.70000000000005</v>
      </c>
      <c r="AG1945" s="57">
        <f t="shared" si="116"/>
        <v>1.7042336338690711</v>
      </c>
      <c r="AH1945" s="47">
        <v>136</v>
      </c>
      <c r="AI1945">
        <v>362.77</v>
      </c>
      <c r="AJ1945">
        <v>365.52</v>
      </c>
      <c r="AK1945">
        <v>622.91999999999996</v>
      </c>
      <c r="AL1945" s="57">
        <f t="shared" si="93"/>
        <v>1.7042022324359816</v>
      </c>
      <c r="AM1945" s="59">
        <v>5681</v>
      </c>
      <c r="AN1945" s="59">
        <f>SUMIFS(HIX_RatingAreas8[Silver Enrollments 2018],HIX_RatingAreas8[Area],HIX_SLCSP11[[#This Row],[Area Code]])</f>
        <v>4420</v>
      </c>
      <c r="AO1945" s="59">
        <f>SUMIFS(HIX_RatingAreas8[Silver Enrollments 2019],HIX_RatingAreas8[Area],HIX_SLCSP11[[#This Row],[Area Code]])</f>
        <v>3506</v>
      </c>
      <c r="AP1945" s="59">
        <f>SUMIFS(HIX_RatingAreas8[Silver Enrollments 2020],HIX_RatingAreas8[Area],HIX_SLCSP11[[#This Row],[Area Code]])</f>
        <v>2994</v>
      </c>
      <c r="AQ1945" s="59">
        <f>SUMIFS(HIX_RatingAreas8[Silver Enrollments 2021],HIX_RatingAreas8[Area],HIX_SLCSP11[[#This Row],[Area Code]])</f>
        <v>2608</v>
      </c>
      <c r="AR1945" s="59">
        <f>SUMIFS(HIX_RatingAreas8[Silver Enrollments 2022],HIX_RatingAreas8[Area],HIX_SLCSP11[[#This Row],[Area Code]])</f>
        <v>3670</v>
      </c>
      <c r="AS1945" s="59">
        <f>SUMIFS(HIX_RatingAreas8[Silver Enrollments 2023],HIX_RatingAreas8[Area],HIX_SLCSP11[[#This Row],[Area Code]])</f>
        <v>3670</v>
      </c>
      <c r="AT1945" s="59">
        <v>6595</v>
      </c>
      <c r="AU1945">
        <f t="shared" si="107"/>
        <v>2.8445728827449373E-2</v>
      </c>
      <c r="AV1945">
        <f>SUMIFS(HIX_RatingAreas8[QHP Enrollments 2018],HIX_RatingAreas8[Area],HIX_SLCSP11[[#This Row],[Area Code]])</f>
        <v>6394</v>
      </c>
      <c r="AW1945">
        <f t="shared" si="108"/>
        <v>2.9604181810605465E-2</v>
      </c>
      <c r="AX1945">
        <f>SUMIFS(HIX_RatingAreas8[QHP Enrollments 2019],HIX_RatingAreas8[Area],HIX_SLCSP11[[#This Row],[Area Code]])</f>
        <v>6515</v>
      </c>
      <c r="AY1945">
        <f t="shared" si="109"/>
        <v>3.0308528256945608E-2</v>
      </c>
      <c r="AZ1945">
        <f>SUMIFS(HIX_RatingAreas8[QHP Enrollments 2020],HIX_RatingAreas8[Area],HIX_SLCSP11[[#This Row],[Area Code]])</f>
        <v>6474</v>
      </c>
      <c r="BA1945">
        <f t="shared" si="110"/>
        <v>3.0248096061299818E-2</v>
      </c>
      <c r="BB1945">
        <f>SUMIFS(HIX_RatingAreas8[QHP Enrollments 2021],HIX_RatingAreas8[Area],HIX_SLCSP11[[#This Row],[Area Code]])</f>
        <v>6597</v>
      </c>
      <c r="BC1945">
        <f t="shared" si="111"/>
        <v>2.8676374701151922E-2</v>
      </c>
      <c r="BD1945">
        <f>SUMIFS(HIX_RatingAreas8[QHP Enrollments 2022],HIX_RatingAreas8[Area],HIX_SLCSP11[[#This Row],[Area Code]])</f>
        <v>8629</v>
      </c>
      <c r="BE1945">
        <f t="shared" si="112"/>
        <v>2.8725798290234094E-2</v>
      </c>
      <c r="BF1945">
        <f>SUMIFS(HIX_RatingAreas8[QHP Enrollments 2023],HIX_RatingAreas8[Area],HIX_SLCSP11[[#This Row],[Area Code]])</f>
        <v>8629</v>
      </c>
      <c r="BG1945">
        <f t="shared" si="117"/>
        <v>2.8725798290234094E-2</v>
      </c>
      <c r="BH1945" s="53">
        <f>ROUND(HIX_SLCSP11[[#This Row],[Weighting Factor 2018]]*HIX_SLCSP11[[#This Row],[2018]],2)</f>
        <v>9.9600000000000009</v>
      </c>
      <c r="BI1945" s="53">
        <f>ROUND(HIX_SLCSP11[[#This Row],[Weighting Factor 2019]]*HIX_SLCSP11[[#This Row],[2019]],2)</f>
        <v>12.8</v>
      </c>
      <c r="BJ1945" s="53">
        <f>ROUND(HIX_SLCSP11[[#This Row],[Weighting Factor 2020]]*HIX_SLCSP11[[#This Row],[2020]],2)</f>
        <v>12.26</v>
      </c>
      <c r="BK1945" s="53">
        <f>ROUND(HIX_SLCSP11[[#This Row],[Weighting Factor 2021]]*HIX_SLCSP11[[#This Row],[2021]],2)</f>
        <v>9.19</v>
      </c>
      <c r="BL1945" s="53">
        <f>ROUND(HIX_SLCSP11[[#This Row],[Weighting Factor 2022]]*HIX_SLCSP11[[#This Row],[2022]],2)</f>
        <v>8.7899999999999991</v>
      </c>
      <c r="BM1945" s="53">
        <f>ROUND(HIX_SLCSP11[[#This Row],[Weighting Factor 2023]]*HIX_SLCSP11[[#This Row],[2023]],2)</f>
        <v>10.5</v>
      </c>
    </row>
    <row r="1946" spans="4:65" x14ac:dyDescent="0.35">
      <c r="D1946" t="s">
        <v>1662</v>
      </c>
      <c r="E1946" t="s">
        <v>595</v>
      </c>
      <c r="F1946" s="23">
        <v>19</v>
      </c>
      <c r="G1946" s="23" t="s">
        <v>1663</v>
      </c>
      <c r="H1946" s="23" t="s">
        <v>1715</v>
      </c>
      <c r="I1946" s="23">
        <v>70</v>
      </c>
      <c r="J1946" s="53">
        <v>359.28</v>
      </c>
      <c r="K1946" s="53">
        <v>360.15</v>
      </c>
      <c r="L1946" s="53">
        <v>613.76</v>
      </c>
      <c r="M1946" s="54">
        <f t="shared" si="101"/>
        <v>1.7041788143828962</v>
      </c>
      <c r="N1946" s="24">
        <v>56</v>
      </c>
      <c r="O1946" s="55">
        <v>480.68</v>
      </c>
      <c r="P1946" s="56">
        <v>483.05</v>
      </c>
      <c r="Q1946" s="56">
        <v>823.22</v>
      </c>
      <c r="R1946" s="57">
        <f t="shared" si="113"/>
        <v>1.7042128144084463</v>
      </c>
      <c r="S1946" s="23">
        <v>120</v>
      </c>
      <c r="T1946" s="53">
        <v>382.81</v>
      </c>
      <c r="U1946" s="53">
        <v>395.24</v>
      </c>
      <c r="V1946" s="53">
        <v>673.57</v>
      </c>
      <c r="W1946" s="57">
        <f t="shared" si="114"/>
        <v>1.7042050399757112</v>
      </c>
      <c r="X1946" s="23">
        <v>120</v>
      </c>
      <c r="Y1946" s="53">
        <v>302.22000000000003</v>
      </c>
      <c r="Z1946" s="53">
        <v>308.77999999999997</v>
      </c>
      <c r="AA1946" s="53">
        <v>526.22</v>
      </c>
      <c r="AB1946" s="57">
        <f t="shared" si="115"/>
        <v>1.7041906859252545</v>
      </c>
      <c r="AC1946" s="47">
        <v>57</v>
      </c>
      <c r="AD1946" s="57">
        <v>279.64999999999998</v>
      </c>
      <c r="AE1946" s="57">
        <v>283.25</v>
      </c>
      <c r="AF1946" s="57">
        <v>482.72</v>
      </c>
      <c r="AG1946" s="57">
        <f t="shared" si="116"/>
        <v>1.7042188879082083</v>
      </c>
      <c r="AH1946" s="47">
        <v>95</v>
      </c>
      <c r="AI1946">
        <v>321.2</v>
      </c>
      <c r="AJ1946">
        <v>323.64</v>
      </c>
      <c r="AK1946">
        <v>551.54</v>
      </c>
      <c r="AL1946" s="57">
        <f t="shared" si="93"/>
        <v>1.704177481151897</v>
      </c>
      <c r="AM1946" s="59">
        <v>788</v>
      </c>
      <c r="AN1946" s="59">
        <f>SUMIFS(HIX_RatingAreas8[Silver Enrollments 2018],HIX_RatingAreas8[Area],HIX_SLCSP11[[#This Row],[Area Code]])</f>
        <v>611</v>
      </c>
      <c r="AO1946" s="59">
        <f>SUMIFS(HIX_RatingAreas8[Silver Enrollments 2019],HIX_RatingAreas8[Area],HIX_SLCSP11[[#This Row],[Area Code]])</f>
        <v>525</v>
      </c>
      <c r="AP1946" s="59">
        <f>SUMIFS(HIX_RatingAreas8[Silver Enrollments 2020],HIX_RatingAreas8[Area],HIX_SLCSP11[[#This Row],[Area Code]])</f>
        <v>322</v>
      </c>
      <c r="AQ1946" s="59">
        <f>SUMIFS(HIX_RatingAreas8[Silver Enrollments 2021],HIX_RatingAreas8[Area],HIX_SLCSP11[[#This Row],[Area Code]])</f>
        <v>284</v>
      </c>
      <c r="AR1946" s="59">
        <f>SUMIFS(HIX_RatingAreas8[Silver Enrollments 2022],HIX_RatingAreas8[Area],HIX_SLCSP11[[#This Row],[Area Code]])</f>
        <v>488</v>
      </c>
      <c r="AS1946" s="59">
        <f>SUMIFS(HIX_RatingAreas8[Silver Enrollments 2023],HIX_RatingAreas8[Area],HIX_SLCSP11[[#This Row],[Area Code]])</f>
        <v>488</v>
      </c>
      <c r="AT1946" s="59">
        <v>873</v>
      </c>
      <c r="AU1946">
        <f t="shared" si="107"/>
        <v>3.7654467424356789E-3</v>
      </c>
      <c r="AV1946">
        <f>SUMIFS(HIX_RatingAreas8[QHP Enrollments 2018],HIX_RatingAreas8[Area],HIX_SLCSP11[[#This Row],[Area Code]])</f>
        <v>773</v>
      </c>
      <c r="AW1946">
        <f t="shared" si="108"/>
        <v>3.5789853831088556E-3</v>
      </c>
      <c r="AX1946">
        <f>SUMIFS(HIX_RatingAreas8[QHP Enrollments 2019],HIX_RatingAreas8[Area],HIX_SLCSP11[[#This Row],[Area Code]])</f>
        <v>805</v>
      </c>
      <c r="AY1946">
        <f t="shared" si="109"/>
        <v>3.7449524553862185E-3</v>
      </c>
      <c r="AZ1946">
        <f>SUMIFS(HIX_RatingAreas8[QHP Enrollments 2020],HIX_RatingAreas8[Area],HIX_SLCSP11[[#This Row],[Area Code]])</f>
        <v>772</v>
      </c>
      <c r="BA1946">
        <f t="shared" si="110"/>
        <v>3.6069709853758817E-3</v>
      </c>
      <c r="BB1946">
        <f>SUMIFS(HIX_RatingAreas8[QHP Enrollments 2021],HIX_RatingAreas8[Area],HIX_SLCSP11[[#This Row],[Area Code]])</f>
        <v>898</v>
      </c>
      <c r="BC1946">
        <f t="shared" si="111"/>
        <v>3.9034992392958053E-3</v>
      </c>
      <c r="BD1946">
        <f>SUMIFS(HIX_RatingAreas8[QHP Enrollments 2022],HIX_RatingAreas8[Area],HIX_SLCSP11[[#This Row],[Area Code]])</f>
        <v>1234</v>
      </c>
      <c r="BE1946">
        <f t="shared" si="112"/>
        <v>4.1079655916269409E-3</v>
      </c>
      <c r="BF1946">
        <f>SUMIFS(HIX_RatingAreas8[QHP Enrollments 2023],HIX_RatingAreas8[Area],HIX_SLCSP11[[#This Row],[Area Code]])</f>
        <v>1234</v>
      </c>
      <c r="BG1946">
        <f t="shared" si="117"/>
        <v>4.1079655916269409E-3</v>
      </c>
      <c r="BH1946" s="53">
        <f>ROUND(HIX_SLCSP11[[#This Row],[Weighting Factor 2018]]*HIX_SLCSP11[[#This Row],[2018]],2)</f>
        <v>1.29</v>
      </c>
      <c r="BI1946" s="53">
        <f>ROUND(HIX_SLCSP11[[#This Row],[Weighting Factor 2019]]*HIX_SLCSP11[[#This Row],[2019]],2)</f>
        <v>1.81</v>
      </c>
      <c r="BJ1946" s="53">
        <f>ROUND(HIX_SLCSP11[[#This Row],[Weighting Factor 2020]]*HIX_SLCSP11[[#This Row],[2020]],2)</f>
        <v>1.43</v>
      </c>
      <c r="BK1946" s="53">
        <f>ROUND(HIX_SLCSP11[[#This Row],[Weighting Factor 2021]]*HIX_SLCSP11[[#This Row],[2021]],2)</f>
        <v>1.21</v>
      </c>
      <c r="BL1946" s="53">
        <f>ROUND(HIX_SLCSP11[[#This Row],[Weighting Factor 2022]]*HIX_SLCSP11[[#This Row],[2022]],2)</f>
        <v>1.1599999999999999</v>
      </c>
      <c r="BM1946" s="53">
        <f>ROUND(HIX_SLCSP11[[#This Row],[Weighting Factor 2023]]*HIX_SLCSP11[[#This Row],[2023]],2)</f>
        <v>1.33</v>
      </c>
    </row>
    <row r="1947" spans="4:65" x14ac:dyDescent="0.35">
      <c r="D1947" t="s">
        <v>1662</v>
      </c>
      <c r="E1947" t="s">
        <v>599</v>
      </c>
      <c r="F1947" s="23">
        <v>20</v>
      </c>
      <c r="G1947" s="23" t="s">
        <v>1663</v>
      </c>
      <c r="H1947" s="23" t="s">
        <v>1718</v>
      </c>
      <c r="I1947" s="23">
        <v>70</v>
      </c>
      <c r="J1947" s="53">
        <v>331.18</v>
      </c>
      <c r="K1947" s="53">
        <v>331.97</v>
      </c>
      <c r="L1947" s="53">
        <v>565.74</v>
      </c>
      <c r="M1947" s="54">
        <f t="shared" si="101"/>
        <v>1.7041901376630417</v>
      </c>
      <c r="N1947" s="24">
        <v>56</v>
      </c>
      <c r="O1947" s="55">
        <v>443.12</v>
      </c>
      <c r="P1947" s="56">
        <v>445.3</v>
      </c>
      <c r="Q1947" s="56">
        <v>758.88</v>
      </c>
      <c r="R1947" s="57">
        <f t="shared" si="113"/>
        <v>1.7041994161239613</v>
      </c>
      <c r="S1947" s="23">
        <v>76</v>
      </c>
      <c r="T1947" s="53">
        <v>404.14</v>
      </c>
      <c r="U1947" s="53">
        <v>417.26</v>
      </c>
      <c r="V1947" s="53">
        <v>711.1</v>
      </c>
      <c r="W1947" s="57">
        <f t="shared" si="114"/>
        <v>1.7042132004026267</v>
      </c>
      <c r="X1947" s="23">
        <v>76</v>
      </c>
      <c r="Y1947" s="53">
        <v>335.9</v>
      </c>
      <c r="Z1947" s="53">
        <v>343.19</v>
      </c>
      <c r="AA1947" s="53">
        <v>584.87</v>
      </c>
      <c r="AB1947" s="57">
        <f t="shared" si="115"/>
        <v>1.7042163233194441</v>
      </c>
      <c r="AC1947" s="47">
        <v>72</v>
      </c>
      <c r="AD1947" s="57">
        <v>416.66</v>
      </c>
      <c r="AE1947" s="57">
        <v>416.66</v>
      </c>
      <c r="AF1947" s="57">
        <v>710.07</v>
      </c>
      <c r="AG1947" s="57">
        <f t="shared" si="116"/>
        <v>1.7041952671242739</v>
      </c>
      <c r="AH1947" s="47">
        <v>98</v>
      </c>
      <c r="AI1947">
        <v>384.19</v>
      </c>
      <c r="AJ1947">
        <v>390.83</v>
      </c>
      <c r="AK1947">
        <v>666.05</v>
      </c>
      <c r="AL1947" s="57">
        <f t="shared" si="93"/>
        <v>1.7041936391781594</v>
      </c>
      <c r="AM1947" s="59">
        <v>809</v>
      </c>
      <c r="AN1947" s="59">
        <f>SUMIFS(HIX_RatingAreas8[Silver Enrollments 2018],HIX_RatingAreas8[Area],HIX_SLCSP11[[#This Row],[Area Code]])</f>
        <v>669</v>
      </c>
      <c r="AO1947" s="59">
        <f>SUMIFS(HIX_RatingAreas8[Silver Enrollments 2019],HIX_RatingAreas8[Area],HIX_SLCSP11[[#This Row],[Area Code]])</f>
        <v>544</v>
      </c>
      <c r="AP1947" s="59">
        <f>SUMIFS(HIX_RatingAreas8[Silver Enrollments 2020],HIX_RatingAreas8[Area],HIX_SLCSP11[[#This Row],[Area Code]])</f>
        <v>429</v>
      </c>
      <c r="AQ1947" s="59">
        <f>SUMIFS(HIX_RatingAreas8[Silver Enrollments 2021],HIX_RatingAreas8[Area],HIX_SLCSP11[[#This Row],[Area Code]])</f>
        <v>450</v>
      </c>
      <c r="AR1947" s="59">
        <f>SUMIFS(HIX_RatingAreas8[Silver Enrollments 2022],HIX_RatingAreas8[Area],HIX_SLCSP11[[#This Row],[Area Code]])</f>
        <v>615</v>
      </c>
      <c r="AS1947" s="59">
        <f>SUMIFS(HIX_RatingAreas8[Silver Enrollments 2023],HIX_RatingAreas8[Area],HIX_SLCSP11[[#This Row],[Area Code]])</f>
        <v>615</v>
      </c>
      <c r="AT1947" s="59">
        <v>958</v>
      </c>
      <c r="AU1947">
        <f t="shared" si="107"/>
        <v>4.1320709957083394E-3</v>
      </c>
      <c r="AV1947">
        <f>SUMIFS(HIX_RatingAreas8[QHP Enrollments 2018],HIX_RatingAreas8[Area],HIX_SLCSP11[[#This Row],[Area Code]])</f>
        <v>932</v>
      </c>
      <c r="AW1947">
        <f t="shared" si="108"/>
        <v>4.3151544334507812E-3</v>
      </c>
      <c r="AX1947">
        <f>SUMIFS(HIX_RatingAreas8[QHP Enrollments 2019],HIX_RatingAreas8[Area],HIX_SLCSP11[[#This Row],[Area Code]])</f>
        <v>914</v>
      </c>
      <c r="AY1947">
        <f t="shared" si="109"/>
        <v>4.2520329741900665E-3</v>
      </c>
      <c r="AZ1947">
        <f>SUMIFS(HIX_RatingAreas8[QHP Enrollments 2020],HIX_RatingAreas8[Area],HIX_SLCSP11[[#This Row],[Area Code]])</f>
        <v>882</v>
      </c>
      <c r="BA1947">
        <f t="shared" si="110"/>
        <v>4.1209176283698544E-3</v>
      </c>
      <c r="BB1947">
        <f>SUMIFS(HIX_RatingAreas8[QHP Enrollments 2021],HIX_RatingAreas8[Area],HIX_SLCSP11[[#This Row],[Area Code]])</f>
        <v>949</v>
      </c>
      <c r="BC1947">
        <f t="shared" si="111"/>
        <v>4.1251901760486851E-3</v>
      </c>
      <c r="BD1947">
        <f>SUMIFS(HIX_RatingAreas8[QHP Enrollments 2022],HIX_RatingAreas8[Area],HIX_SLCSP11[[#This Row],[Area Code]])</f>
        <v>1274</v>
      </c>
      <c r="BE1947">
        <f t="shared" si="112"/>
        <v>4.2411249300913475E-3</v>
      </c>
      <c r="BF1947">
        <f>SUMIFS(HIX_RatingAreas8[QHP Enrollments 2023],HIX_RatingAreas8[Area],HIX_SLCSP11[[#This Row],[Area Code]])</f>
        <v>1274</v>
      </c>
      <c r="BG1947">
        <f t="shared" si="117"/>
        <v>4.2411249300913475E-3</v>
      </c>
      <c r="BH1947" s="53">
        <f>ROUND(HIX_SLCSP11[[#This Row],[Weighting Factor 2018]]*HIX_SLCSP11[[#This Row],[2018]],2)</f>
        <v>1.43</v>
      </c>
      <c r="BI1947" s="53">
        <f>ROUND(HIX_SLCSP11[[#This Row],[Weighting Factor 2019]]*HIX_SLCSP11[[#This Row],[2019]],2)</f>
        <v>1.89</v>
      </c>
      <c r="BJ1947" s="53">
        <f>ROUND(HIX_SLCSP11[[#This Row],[Weighting Factor 2020]]*HIX_SLCSP11[[#This Row],[2020]],2)</f>
        <v>1.72</v>
      </c>
      <c r="BK1947" s="53">
        <f>ROUND(HIX_SLCSP11[[#This Row],[Weighting Factor 2021]]*HIX_SLCSP11[[#This Row],[2021]],2)</f>
        <v>1.42</v>
      </c>
      <c r="BL1947" s="53">
        <f>ROUND(HIX_SLCSP11[[#This Row],[Weighting Factor 2022]]*HIX_SLCSP11[[#This Row],[2022]],2)</f>
        <v>1.77</v>
      </c>
      <c r="BM1947" s="53">
        <f>ROUND(HIX_SLCSP11[[#This Row],[Weighting Factor 2023]]*HIX_SLCSP11[[#This Row],[2023]],2)</f>
        <v>1.66</v>
      </c>
    </row>
    <row r="1948" spans="4:65" x14ac:dyDescent="0.35">
      <c r="D1948" t="s">
        <v>1662</v>
      </c>
      <c r="E1948" t="s">
        <v>603</v>
      </c>
      <c r="F1948" s="23">
        <v>21</v>
      </c>
      <c r="G1948" s="23" t="s">
        <v>1663</v>
      </c>
      <c r="H1948" s="23" t="s">
        <v>1721</v>
      </c>
      <c r="I1948" s="23">
        <v>70</v>
      </c>
      <c r="J1948" s="53">
        <v>336.12</v>
      </c>
      <c r="K1948" s="53">
        <v>336.92</v>
      </c>
      <c r="L1948" s="53">
        <v>574.17999999999995</v>
      </c>
      <c r="M1948" s="54">
        <f t="shared" si="101"/>
        <v>1.7042027781075624</v>
      </c>
      <c r="N1948" s="24">
        <v>56</v>
      </c>
      <c r="O1948" s="55">
        <v>449.68</v>
      </c>
      <c r="P1948" s="56">
        <v>451.9</v>
      </c>
      <c r="Q1948" s="56">
        <v>770.12</v>
      </c>
      <c r="R1948" s="57">
        <f t="shared" si="113"/>
        <v>1.7041823412259349</v>
      </c>
      <c r="S1948" s="23">
        <v>120</v>
      </c>
      <c r="T1948" s="53">
        <v>305.13</v>
      </c>
      <c r="U1948" s="53">
        <v>310.2</v>
      </c>
      <c r="V1948" s="53">
        <v>528.65</v>
      </c>
      <c r="W1948" s="57">
        <f t="shared" si="114"/>
        <v>1.7042230818826563</v>
      </c>
      <c r="X1948" s="23">
        <v>120</v>
      </c>
      <c r="Y1948" s="53">
        <v>335.74</v>
      </c>
      <c r="Z1948" s="53">
        <v>343.03</v>
      </c>
      <c r="AA1948" s="53">
        <v>584.59</v>
      </c>
      <c r="AB1948" s="57">
        <f t="shared" si="115"/>
        <v>1.7041949683701136</v>
      </c>
      <c r="AC1948" s="47">
        <v>57</v>
      </c>
      <c r="AD1948" s="57">
        <v>324.04000000000002</v>
      </c>
      <c r="AE1948" s="57">
        <v>328.21</v>
      </c>
      <c r="AF1948" s="57">
        <v>559.34</v>
      </c>
      <c r="AG1948" s="57">
        <f t="shared" si="116"/>
        <v>1.7042137655769174</v>
      </c>
      <c r="AH1948" s="47">
        <v>102</v>
      </c>
      <c r="AI1948">
        <v>377.16</v>
      </c>
      <c r="AJ1948">
        <v>381.53</v>
      </c>
      <c r="AK1948">
        <v>650.20000000000005</v>
      </c>
      <c r="AL1948" s="57">
        <f t="shared" si="93"/>
        <v>1.7041910203653712</v>
      </c>
      <c r="AM1948" s="59">
        <v>5951</v>
      </c>
      <c r="AN1948" s="59">
        <f>SUMIFS(HIX_RatingAreas8[Silver Enrollments 2018],HIX_RatingAreas8[Area],HIX_SLCSP11[[#This Row],[Area Code]])</f>
        <v>4266</v>
      </c>
      <c r="AO1948" s="59">
        <f>SUMIFS(HIX_RatingAreas8[Silver Enrollments 2019],HIX_RatingAreas8[Area],HIX_SLCSP11[[#This Row],[Area Code]])</f>
        <v>3502</v>
      </c>
      <c r="AP1948" s="59">
        <f>SUMIFS(HIX_RatingAreas8[Silver Enrollments 2020],HIX_RatingAreas8[Area],HIX_SLCSP11[[#This Row],[Area Code]])</f>
        <v>2049</v>
      </c>
      <c r="AQ1948" s="59">
        <f>SUMIFS(HIX_RatingAreas8[Silver Enrollments 2021],HIX_RatingAreas8[Area],HIX_SLCSP11[[#This Row],[Area Code]])</f>
        <v>2060</v>
      </c>
      <c r="AR1948" s="59">
        <f>SUMIFS(HIX_RatingAreas8[Silver Enrollments 2022],HIX_RatingAreas8[Area],HIX_SLCSP11[[#This Row],[Area Code]])</f>
        <v>2899</v>
      </c>
      <c r="AS1948" s="59">
        <f>SUMIFS(HIX_RatingAreas8[Silver Enrollments 2023],HIX_RatingAreas8[Area],HIX_SLCSP11[[#This Row],[Area Code]])</f>
        <v>2899</v>
      </c>
      <c r="AT1948" s="59">
        <v>6804</v>
      </c>
      <c r="AU1948">
        <f t="shared" si="107"/>
        <v>2.9347193167849211E-2</v>
      </c>
      <c r="AV1948">
        <f>SUMIFS(HIX_RatingAreas8[QHP Enrollments 2018],HIX_RatingAreas8[Area],HIX_SLCSP11[[#This Row],[Area Code]])</f>
        <v>5902</v>
      </c>
      <c r="AW1948">
        <f t="shared" si="108"/>
        <v>2.7326224749170073E-2</v>
      </c>
      <c r="AX1948">
        <f>SUMIFS(HIX_RatingAreas8[QHP Enrollments 2019],HIX_RatingAreas8[Area],HIX_SLCSP11[[#This Row],[Area Code]])</f>
        <v>5854</v>
      </c>
      <c r="AY1948">
        <f t="shared" si="109"/>
        <v>2.7233480340162639E-2</v>
      </c>
      <c r="AZ1948">
        <f>SUMIFS(HIX_RatingAreas8[QHP Enrollments 2020],HIX_RatingAreas8[Area],HIX_SLCSP11[[#This Row],[Area Code]])</f>
        <v>4889</v>
      </c>
      <c r="BA1948">
        <f t="shared" si="110"/>
        <v>2.2842592159977575E-2</v>
      </c>
      <c r="BB1948">
        <f>SUMIFS(HIX_RatingAreas8[QHP Enrollments 2021],HIX_RatingAreas8[Area],HIX_SLCSP11[[#This Row],[Area Code]])</f>
        <v>4741</v>
      </c>
      <c r="BC1948">
        <f t="shared" si="111"/>
        <v>2.0608563355792218E-2</v>
      </c>
      <c r="BD1948">
        <f>SUMIFS(HIX_RatingAreas8[QHP Enrollments 2022],HIX_RatingAreas8[Area],HIX_SLCSP11[[#This Row],[Area Code]])</f>
        <v>6470</v>
      </c>
      <c r="BE1948">
        <f t="shared" si="112"/>
        <v>2.1538522996617755E-2</v>
      </c>
      <c r="BF1948">
        <f>SUMIFS(HIX_RatingAreas8[QHP Enrollments 2023],HIX_RatingAreas8[Area],HIX_SLCSP11[[#This Row],[Area Code]])</f>
        <v>6470</v>
      </c>
      <c r="BG1948">
        <f t="shared" si="117"/>
        <v>2.1538522996617755E-2</v>
      </c>
      <c r="BH1948" s="53">
        <f>ROUND(HIX_SLCSP11[[#This Row],[Weighting Factor 2018]]*HIX_SLCSP11[[#This Row],[2018]],2)</f>
        <v>9.2100000000000009</v>
      </c>
      <c r="BI1948" s="53">
        <f>ROUND(HIX_SLCSP11[[#This Row],[Weighting Factor 2019]]*HIX_SLCSP11[[#This Row],[2019]],2)</f>
        <v>12.31</v>
      </c>
      <c r="BJ1948" s="53">
        <f>ROUND(HIX_SLCSP11[[#This Row],[Weighting Factor 2020]]*HIX_SLCSP11[[#This Row],[2020]],2)</f>
        <v>7.09</v>
      </c>
      <c r="BK1948" s="53">
        <f>ROUND(HIX_SLCSP11[[#This Row],[Weighting Factor 2021]]*HIX_SLCSP11[[#This Row],[2021]],2)</f>
        <v>7.07</v>
      </c>
      <c r="BL1948" s="53">
        <f>ROUND(HIX_SLCSP11[[#This Row],[Weighting Factor 2022]]*HIX_SLCSP11[[#This Row],[2022]],2)</f>
        <v>7.07</v>
      </c>
      <c r="BM1948" s="53">
        <f>ROUND(HIX_SLCSP11[[#This Row],[Weighting Factor 2023]]*HIX_SLCSP11[[#This Row],[2023]],2)</f>
        <v>8.2200000000000006</v>
      </c>
    </row>
    <row r="1949" spans="4:65" x14ac:dyDescent="0.35">
      <c r="D1949" t="s">
        <v>1662</v>
      </c>
      <c r="E1949" t="s">
        <v>607</v>
      </c>
      <c r="F1949" s="23">
        <v>22</v>
      </c>
      <c r="G1949" s="23" t="s">
        <v>1663</v>
      </c>
      <c r="H1949" s="23" t="s">
        <v>1724</v>
      </c>
      <c r="I1949" s="23">
        <v>70</v>
      </c>
      <c r="J1949" s="53">
        <v>341.23</v>
      </c>
      <c r="K1949" s="53">
        <v>342.05</v>
      </c>
      <c r="L1949" s="53">
        <v>582.91</v>
      </c>
      <c r="M1949" s="54">
        <f t="shared" si="101"/>
        <v>1.7041660575939188</v>
      </c>
      <c r="N1949" s="24">
        <v>56</v>
      </c>
      <c r="O1949" s="55">
        <v>456.47</v>
      </c>
      <c r="P1949" s="56">
        <v>458.72</v>
      </c>
      <c r="Q1949" s="56">
        <v>781.75</v>
      </c>
      <c r="R1949" s="57">
        <f t="shared" si="113"/>
        <v>1.7041986396930588</v>
      </c>
      <c r="S1949" s="23">
        <v>104</v>
      </c>
      <c r="T1949" s="53">
        <v>405.79</v>
      </c>
      <c r="U1949" s="53">
        <v>410.95</v>
      </c>
      <c r="V1949" s="53">
        <v>700.35</v>
      </c>
      <c r="W1949" s="57">
        <f t="shared" si="114"/>
        <v>1.704221924808371</v>
      </c>
      <c r="X1949" s="23">
        <v>104</v>
      </c>
      <c r="Y1949" s="53">
        <v>285.85000000000002</v>
      </c>
      <c r="Z1949" s="53">
        <v>292.05</v>
      </c>
      <c r="AA1949" s="53">
        <v>497.71</v>
      </c>
      <c r="AB1949" s="57">
        <f t="shared" si="115"/>
        <v>1.7041944872453345</v>
      </c>
      <c r="AC1949" s="47">
        <v>109</v>
      </c>
      <c r="AD1949" s="57">
        <v>275.17</v>
      </c>
      <c r="AE1949" s="57">
        <v>278.70999999999998</v>
      </c>
      <c r="AF1949" s="57">
        <v>474.97</v>
      </c>
      <c r="AG1949" s="57">
        <f t="shared" si="116"/>
        <v>1.7041727960963011</v>
      </c>
      <c r="AH1949" s="47">
        <v>106</v>
      </c>
      <c r="AI1949">
        <v>321.2</v>
      </c>
      <c r="AJ1949">
        <v>323.64</v>
      </c>
      <c r="AK1949">
        <v>551.54</v>
      </c>
      <c r="AL1949" s="57">
        <f t="shared" si="93"/>
        <v>1.704177481151897</v>
      </c>
      <c r="AM1949" s="59">
        <v>3116</v>
      </c>
      <c r="AN1949" s="59">
        <f>SUMIFS(HIX_RatingAreas8[Silver Enrollments 2018],HIX_RatingAreas8[Area],HIX_SLCSP11[[#This Row],[Area Code]])</f>
        <v>2369</v>
      </c>
      <c r="AO1949" s="59">
        <f>SUMIFS(HIX_RatingAreas8[Silver Enrollments 2019],HIX_RatingAreas8[Area],HIX_SLCSP11[[#This Row],[Area Code]])</f>
        <v>1910</v>
      </c>
      <c r="AP1949" s="59">
        <f>SUMIFS(HIX_RatingAreas8[Silver Enrollments 2020],HIX_RatingAreas8[Area],HIX_SLCSP11[[#This Row],[Area Code]])</f>
        <v>1585</v>
      </c>
      <c r="AQ1949" s="59">
        <f>SUMIFS(HIX_RatingAreas8[Silver Enrollments 2021],HIX_RatingAreas8[Area],HIX_SLCSP11[[#This Row],[Area Code]])</f>
        <v>1441</v>
      </c>
      <c r="AR1949" s="59">
        <f>SUMIFS(HIX_RatingAreas8[Silver Enrollments 2022],HIX_RatingAreas8[Area],HIX_SLCSP11[[#This Row],[Area Code]])</f>
        <v>1690</v>
      </c>
      <c r="AS1949" s="59">
        <f>SUMIFS(HIX_RatingAreas8[Silver Enrollments 2023],HIX_RatingAreas8[Area],HIX_SLCSP11[[#This Row],[Area Code]])</f>
        <v>1690</v>
      </c>
      <c r="AT1949" s="59">
        <v>3545</v>
      </c>
      <c r="AU1949">
        <f t="shared" si="107"/>
        <v>1.5290387974724493E-2</v>
      </c>
      <c r="AV1949">
        <f>SUMIFS(HIX_RatingAreas8[QHP Enrollments 2018],HIX_RatingAreas8[Area],HIX_SLCSP11[[#This Row],[Area Code]])</f>
        <v>3323</v>
      </c>
      <c r="AW1949">
        <f t="shared" si="108"/>
        <v>1.5385470152743504E-2</v>
      </c>
      <c r="AX1949">
        <f>SUMIFS(HIX_RatingAreas8[QHP Enrollments 2019],HIX_RatingAreas8[Area],HIX_SLCSP11[[#This Row],[Area Code]])</f>
        <v>3331</v>
      </c>
      <c r="AY1949">
        <f t="shared" si="109"/>
        <v>1.5496194570051545E-2</v>
      </c>
      <c r="AZ1949">
        <f>SUMIFS(HIX_RatingAreas8[QHP Enrollments 2020],HIX_RatingAreas8[Area],HIX_SLCSP11[[#This Row],[Area Code]])</f>
        <v>3309</v>
      </c>
      <c r="BA1949">
        <f t="shared" si="110"/>
        <v>1.5460449469700509E-2</v>
      </c>
      <c r="BB1949">
        <f>SUMIFS(HIX_RatingAreas8[QHP Enrollments 2021],HIX_RatingAreas8[Area],HIX_SLCSP11[[#This Row],[Area Code]])</f>
        <v>3441</v>
      </c>
      <c r="BC1949">
        <f t="shared" si="111"/>
        <v>1.4957617909150185E-2</v>
      </c>
      <c r="BD1949">
        <f>SUMIFS(HIX_RatingAreas8[QHP Enrollments 2022],HIX_RatingAreas8[Area],HIX_SLCSP11[[#This Row],[Area Code]])</f>
        <v>4468</v>
      </c>
      <c r="BE1949">
        <f t="shared" si="112"/>
        <v>1.4873898106474208E-2</v>
      </c>
      <c r="BF1949">
        <f>SUMIFS(HIX_RatingAreas8[QHP Enrollments 2023],HIX_RatingAreas8[Area],HIX_SLCSP11[[#This Row],[Area Code]])</f>
        <v>4468</v>
      </c>
      <c r="BG1949">
        <f t="shared" si="117"/>
        <v>1.4873898106474208E-2</v>
      </c>
      <c r="BH1949" s="53">
        <f>ROUND(HIX_SLCSP11[[#This Row],[Weighting Factor 2018]]*HIX_SLCSP11[[#This Row],[2018]],2)</f>
        <v>5.26</v>
      </c>
      <c r="BI1949" s="53">
        <f>ROUND(HIX_SLCSP11[[#This Row],[Weighting Factor 2019]]*HIX_SLCSP11[[#This Row],[2019]],2)</f>
        <v>7.11</v>
      </c>
      <c r="BJ1949" s="53">
        <f>ROUND(HIX_SLCSP11[[#This Row],[Weighting Factor 2020]]*HIX_SLCSP11[[#This Row],[2020]],2)</f>
        <v>6.35</v>
      </c>
      <c r="BK1949" s="53">
        <f>ROUND(HIX_SLCSP11[[#This Row],[Weighting Factor 2021]]*HIX_SLCSP11[[#This Row],[2021]],2)</f>
        <v>4.37</v>
      </c>
      <c r="BL1949" s="53">
        <f>ROUND(HIX_SLCSP11[[#This Row],[Weighting Factor 2022]]*HIX_SLCSP11[[#This Row],[2022]],2)</f>
        <v>4.1500000000000004</v>
      </c>
      <c r="BM1949" s="53">
        <f>ROUND(HIX_SLCSP11[[#This Row],[Weighting Factor 2023]]*HIX_SLCSP11[[#This Row],[2023]],2)</f>
        <v>4.8099999999999996</v>
      </c>
    </row>
    <row r="1950" spans="4:65" x14ac:dyDescent="0.35">
      <c r="D1950" t="s">
        <v>1662</v>
      </c>
      <c r="E1950" t="s">
        <v>611</v>
      </c>
      <c r="F1950" s="23">
        <v>23</v>
      </c>
      <c r="G1950" s="23" t="s">
        <v>1663</v>
      </c>
      <c r="H1950" s="23" t="s">
        <v>1727</v>
      </c>
      <c r="I1950" s="23">
        <v>70</v>
      </c>
      <c r="J1950" s="53">
        <v>326.75</v>
      </c>
      <c r="K1950" s="53">
        <v>327.52999999999997</v>
      </c>
      <c r="L1950" s="53">
        <v>558.17999999999995</v>
      </c>
      <c r="M1950" s="54">
        <f t="shared" si="101"/>
        <v>1.7042103013464416</v>
      </c>
      <c r="N1950" s="24">
        <v>56</v>
      </c>
      <c r="O1950" s="55">
        <v>437.23</v>
      </c>
      <c r="P1950" s="56">
        <v>439.39</v>
      </c>
      <c r="Q1950" s="56">
        <v>748.8</v>
      </c>
      <c r="R1950" s="57">
        <f t="shared" si="113"/>
        <v>1.7041807961036892</v>
      </c>
      <c r="S1950" s="23">
        <v>102</v>
      </c>
      <c r="T1950" s="53">
        <v>374.6</v>
      </c>
      <c r="U1950" s="53">
        <v>402.69</v>
      </c>
      <c r="V1950" s="53">
        <v>686.26</v>
      </c>
      <c r="W1950" s="57">
        <f t="shared" si="114"/>
        <v>1.7041893267774217</v>
      </c>
      <c r="X1950" s="23">
        <v>102</v>
      </c>
      <c r="Y1950" s="53">
        <v>305.68</v>
      </c>
      <c r="Z1950" s="53">
        <v>312.31</v>
      </c>
      <c r="AA1950" s="53">
        <v>532.25</v>
      </c>
      <c r="AB1950" s="57">
        <f t="shared" si="115"/>
        <v>1.7042361755947617</v>
      </c>
      <c r="AC1950" s="47">
        <v>145</v>
      </c>
      <c r="AD1950" s="57">
        <v>293.88</v>
      </c>
      <c r="AE1950" s="57">
        <v>297.66000000000003</v>
      </c>
      <c r="AF1950" s="57">
        <v>507.28</v>
      </c>
      <c r="AG1950" s="57">
        <f t="shared" si="116"/>
        <v>1.7042262984613314</v>
      </c>
      <c r="AH1950" s="47">
        <v>106</v>
      </c>
      <c r="AI1950">
        <v>365.98</v>
      </c>
      <c r="AJ1950">
        <v>368.76</v>
      </c>
      <c r="AK1950">
        <v>628.42999999999995</v>
      </c>
      <c r="AL1950" s="57">
        <f t="shared" si="93"/>
        <v>1.7041707343529666</v>
      </c>
      <c r="AM1950" s="59">
        <v>22845</v>
      </c>
      <c r="AN1950" s="59">
        <f>SUMIFS(HIX_RatingAreas8[Silver Enrollments 2018],HIX_RatingAreas8[Area],HIX_SLCSP11[[#This Row],[Area Code]])</f>
        <v>16827</v>
      </c>
      <c r="AO1950" s="59">
        <f>SUMIFS(HIX_RatingAreas8[Silver Enrollments 2019],HIX_RatingAreas8[Area],HIX_SLCSP11[[#This Row],[Area Code]])</f>
        <v>13503</v>
      </c>
      <c r="AP1950" s="59">
        <f>SUMIFS(HIX_RatingAreas8[Silver Enrollments 2020],HIX_RatingAreas8[Area],HIX_SLCSP11[[#This Row],[Area Code]])</f>
        <v>11557</v>
      </c>
      <c r="AQ1950" s="59">
        <f>SUMIFS(HIX_RatingAreas8[Silver Enrollments 2021],HIX_RatingAreas8[Area],HIX_SLCSP11[[#This Row],[Area Code]])</f>
        <v>10082</v>
      </c>
      <c r="AR1950" s="59">
        <f>SUMIFS(HIX_RatingAreas8[Silver Enrollments 2022],HIX_RatingAreas8[Area],HIX_SLCSP11[[#This Row],[Area Code]])</f>
        <v>12418</v>
      </c>
      <c r="AS1950" s="59">
        <f>SUMIFS(HIX_RatingAreas8[Silver Enrollments 2023],HIX_RatingAreas8[Area],HIX_SLCSP11[[#This Row],[Area Code]])</f>
        <v>12418</v>
      </c>
      <c r="AT1950" s="59">
        <v>27055</v>
      </c>
      <c r="AU1950">
        <f t="shared" si="107"/>
        <v>0.11669434320343333</v>
      </c>
      <c r="AV1950">
        <f>SUMIFS(HIX_RatingAreas8[QHP Enrollments 2018],HIX_RatingAreas8[Area],HIX_SLCSP11[[#This Row],[Area Code]])</f>
        <v>24805</v>
      </c>
      <c r="AW1950">
        <f t="shared" si="108"/>
        <v>0.11484700184736761</v>
      </c>
      <c r="AX1950">
        <f>SUMIFS(HIX_RatingAreas8[QHP Enrollments 2019],HIX_RatingAreas8[Area],HIX_SLCSP11[[#This Row],[Area Code]])</f>
        <v>24797</v>
      </c>
      <c r="AY1950">
        <f t="shared" si="109"/>
        <v>0.11535849197044977</v>
      </c>
      <c r="AZ1950">
        <f>SUMIFS(HIX_RatingAreas8[QHP Enrollments 2020],HIX_RatingAreas8[Area],HIX_SLCSP11[[#This Row],[Area Code]])</f>
        <v>25538</v>
      </c>
      <c r="BA1950">
        <f t="shared" si="110"/>
        <v>0.11931972153436435</v>
      </c>
      <c r="BB1950">
        <f>SUMIFS(HIX_RatingAreas8[QHP Enrollments 2021],HIX_RatingAreas8[Area],HIX_SLCSP11[[#This Row],[Area Code]])</f>
        <v>27336</v>
      </c>
      <c r="BC1950">
        <f t="shared" si="111"/>
        <v>0.11882634209954358</v>
      </c>
      <c r="BD1950">
        <f>SUMIFS(HIX_RatingAreas8[QHP Enrollments 2022],HIX_RatingAreas8[Area],HIX_SLCSP11[[#This Row],[Area Code]])</f>
        <v>33560</v>
      </c>
      <c r="BE1950">
        <f t="shared" si="112"/>
        <v>0.11172068497163706</v>
      </c>
      <c r="BF1950">
        <f>SUMIFS(HIX_RatingAreas8[QHP Enrollments 2023],HIX_RatingAreas8[Area],HIX_SLCSP11[[#This Row],[Area Code]])</f>
        <v>33560</v>
      </c>
      <c r="BG1950">
        <f t="shared" si="117"/>
        <v>0.11172068497163706</v>
      </c>
      <c r="BH1950" s="53">
        <f>ROUND(HIX_SLCSP11[[#This Row],[Weighting Factor 2018]]*HIX_SLCSP11[[#This Row],[2018]],2)</f>
        <v>37.619999999999997</v>
      </c>
      <c r="BI1950" s="53">
        <f>ROUND(HIX_SLCSP11[[#This Row],[Weighting Factor 2019]]*HIX_SLCSP11[[#This Row],[2019]],2)</f>
        <v>50.69</v>
      </c>
      <c r="BJ1950" s="53">
        <f>ROUND(HIX_SLCSP11[[#This Row],[Weighting Factor 2020]]*HIX_SLCSP11[[#This Row],[2020]],2)</f>
        <v>48.05</v>
      </c>
      <c r="BK1950" s="53">
        <f>ROUND(HIX_SLCSP11[[#This Row],[Weighting Factor 2021]]*HIX_SLCSP11[[#This Row],[2021]],2)</f>
        <v>37.11</v>
      </c>
      <c r="BL1950" s="53">
        <f>ROUND(HIX_SLCSP11[[#This Row],[Weighting Factor 2022]]*HIX_SLCSP11[[#This Row],[2022]],2)</f>
        <v>33.25</v>
      </c>
      <c r="BM1950" s="53">
        <f>ROUND(HIX_SLCSP11[[#This Row],[Weighting Factor 2023]]*HIX_SLCSP11[[#This Row],[2023]],2)</f>
        <v>41.2</v>
      </c>
    </row>
    <row r="1951" spans="4:65" x14ac:dyDescent="0.35">
      <c r="D1951" t="s">
        <v>1662</v>
      </c>
      <c r="E1951" t="s">
        <v>615</v>
      </c>
      <c r="F1951" s="23">
        <v>24</v>
      </c>
      <c r="G1951" s="23" t="s">
        <v>1663</v>
      </c>
      <c r="H1951" s="23" t="s">
        <v>1730</v>
      </c>
      <c r="I1951" s="23">
        <v>70</v>
      </c>
      <c r="J1951" s="53">
        <v>355.54</v>
      </c>
      <c r="K1951" s="53">
        <v>356.39</v>
      </c>
      <c r="L1951" s="53">
        <v>607.36</v>
      </c>
      <c r="M1951" s="54">
        <f t="shared" si="101"/>
        <v>1.7042004545582088</v>
      </c>
      <c r="N1951" s="24">
        <v>56</v>
      </c>
      <c r="O1951" s="55">
        <v>475.7</v>
      </c>
      <c r="P1951" s="56">
        <v>478.05</v>
      </c>
      <c r="Q1951" s="56">
        <v>814.69</v>
      </c>
      <c r="R1951" s="57">
        <f t="shared" si="113"/>
        <v>1.7041941219537706</v>
      </c>
      <c r="S1951" s="23">
        <v>120</v>
      </c>
      <c r="T1951" s="53">
        <v>423.46</v>
      </c>
      <c r="U1951" s="53">
        <v>428.84</v>
      </c>
      <c r="V1951" s="53">
        <v>730.83</v>
      </c>
      <c r="W1951" s="57">
        <f t="shared" si="114"/>
        <v>1.7042020333924077</v>
      </c>
      <c r="X1951" s="23">
        <v>120</v>
      </c>
      <c r="Y1951" s="53">
        <v>293.72000000000003</v>
      </c>
      <c r="Z1951" s="53">
        <v>300.08999999999997</v>
      </c>
      <c r="AA1951" s="53">
        <v>511.42</v>
      </c>
      <c r="AB1951" s="57">
        <f t="shared" si="115"/>
        <v>1.7042220667133194</v>
      </c>
      <c r="AC1951" s="47">
        <v>85</v>
      </c>
      <c r="AD1951" s="57">
        <v>272.07</v>
      </c>
      <c r="AE1951" s="57">
        <v>275.57</v>
      </c>
      <c r="AF1951" s="57">
        <v>469.63</v>
      </c>
      <c r="AG1951" s="57">
        <f t="shared" si="116"/>
        <v>1.7042130856043836</v>
      </c>
      <c r="AH1951" s="47">
        <v>94</v>
      </c>
      <c r="AI1951">
        <v>315.7</v>
      </c>
      <c r="AJ1951">
        <v>319.36</v>
      </c>
      <c r="AK1951">
        <v>544.25</v>
      </c>
      <c r="AL1951" s="57">
        <f t="shared" si="93"/>
        <v>1.704189629258517</v>
      </c>
      <c r="AM1951" s="59">
        <v>2367</v>
      </c>
      <c r="AN1951" s="59">
        <f>SUMIFS(HIX_RatingAreas8[Silver Enrollments 2018],HIX_RatingAreas8[Area],HIX_SLCSP11[[#This Row],[Area Code]])</f>
        <v>1732</v>
      </c>
      <c r="AO1951" s="59">
        <f>SUMIFS(HIX_RatingAreas8[Silver Enrollments 2019],HIX_RatingAreas8[Area],HIX_SLCSP11[[#This Row],[Area Code]])</f>
        <v>1338</v>
      </c>
      <c r="AP1951" s="59">
        <f>SUMIFS(HIX_RatingAreas8[Silver Enrollments 2020],HIX_RatingAreas8[Area],HIX_SLCSP11[[#This Row],[Area Code]])</f>
        <v>1159</v>
      </c>
      <c r="AQ1951" s="59">
        <f>SUMIFS(HIX_RatingAreas8[Silver Enrollments 2021],HIX_RatingAreas8[Area],HIX_SLCSP11[[#This Row],[Area Code]])</f>
        <v>980</v>
      </c>
      <c r="AR1951" s="59">
        <f>SUMIFS(HIX_RatingAreas8[Silver Enrollments 2022],HIX_RatingAreas8[Area],HIX_SLCSP11[[#This Row],[Area Code]])</f>
        <v>1256</v>
      </c>
      <c r="AS1951" s="59">
        <f>SUMIFS(HIX_RatingAreas8[Silver Enrollments 2023],HIX_RatingAreas8[Area],HIX_SLCSP11[[#This Row],[Area Code]])</f>
        <v>1256</v>
      </c>
      <c r="AT1951" s="59">
        <v>2661</v>
      </c>
      <c r="AU1951">
        <f t="shared" si="107"/>
        <v>1.1477495740688822E-2</v>
      </c>
      <c r="AV1951">
        <f>SUMIFS(HIX_RatingAreas8[QHP Enrollments 2018],HIX_RatingAreas8[Area],HIX_SLCSP11[[#This Row],[Area Code]])</f>
        <v>2316</v>
      </c>
      <c r="AW1951">
        <f t="shared" si="108"/>
        <v>1.0723066167244645E-2</v>
      </c>
      <c r="AX1951">
        <f>SUMIFS(HIX_RatingAreas8[QHP Enrollments 2019],HIX_RatingAreas8[Area],HIX_SLCSP11[[#This Row],[Area Code]])</f>
        <v>2203</v>
      </c>
      <c r="AY1951">
        <f t="shared" si="109"/>
        <v>1.0248609017659428E-2</v>
      </c>
      <c r="AZ1951">
        <f>SUMIFS(HIX_RatingAreas8[QHP Enrollments 2020],HIX_RatingAreas8[Area],HIX_SLCSP11[[#This Row],[Area Code]])</f>
        <v>2194</v>
      </c>
      <c r="BA1951">
        <f t="shared" si="110"/>
        <v>1.025089940662524E-2</v>
      </c>
      <c r="BB1951">
        <f>SUMIFS(HIX_RatingAreas8[QHP Enrollments 2021],HIX_RatingAreas8[Area],HIX_SLCSP11[[#This Row],[Area Code]])</f>
        <v>2242</v>
      </c>
      <c r="BC1951">
        <f t="shared" si="111"/>
        <v>9.7457074549011091E-3</v>
      </c>
      <c r="BD1951">
        <f>SUMIFS(HIX_RatingAreas8[QHP Enrollments 2022],HIX_RatingAreas8[Area],HIX_SLCSP11[[#This Row],[Area Code]])</f>
        <v>2639</v>
      </c>
      <c r="BE1951">
        <f t="shared" si="112"/>
        <v>8.7851873551892199E-3</v>
      </c>
      <c r="BF1951">
        <f>SUMIFS(HIX_RatingAreas8[QHP Enrollments 2023],HIX_RatingAreas8[Area],HIX_SLCSP11[[#This Row],[Area Code]])</f>
        <v>2639</v>
      </c>
      <c r="BG1951">
        <f t="shared" si="117"/>
        <v>8.7851873551892199E-3</v>
      </c>
      <c r="BH1951" s="53">
        <f>ROUND(HIX_SLCSP11[[#This Row],[Weighting Factor 2018]]*HIX_SLCSP11[[#This Row],[2018]],2)</f>
        <v>3.82</v>
      </c>
      <c r="BI1951" s="53">
        <f>ROUND(HIX_SLCSP11[[#This Row],[Weighting Factor 2019]]*HIX_SLCSP11[[#This Row],[2019]],2)</f>
        <v>4.9000000000000004</v>
      </c>
      <c r="BJ1951" s="53">
        <f>ROUND(HIX_SLCSP11[[#This Row],[Weighting Factor 2020]]*HIX_SLCSP11[[#This Row],[2020]],2)</f>
        <v>4.4000000000000004</v>
      </c>
      <c r="BK1951" s="53">
        <f>ROUND(HIX_SLCSP11[[#This Row],[Weighting Factor 2021]]*HIX_SLCSP11[[#This Row],[2021]],2)</f>
        <v>2.92</v>
      </c>
      <c r="BL1951" s="53">
        <f>ROUND(HIX_SLCSP11[[#This Row],[Weighting Factor 2022]]*HIX_SLCSP11[[#This Row],[2022]],2)</f>
        <v>2.42</v>
      </c>
      <c r="BM1951" s="53">
        <f>ROUND(HIX_SLCSP11[[#This Row],[Weighting Factor 2023]]*HIX_SLCSP11[[#This Row],[2023]],2)</f>
        <v>2.81</v>
      </c>
    </row>
    <row r="1952" spans="4:65" x14ac:dyDescent="0.35">
      <c r="D1952" t="s">
        <v>1662</v>
      </c>
      <c r="E1952" t="s">
        <v>619</v>
      </c>
      <c r="F1952" s="23">
        <v>25</v>
      </c>
      <c r="G1952" s="23" t="s">
        <v>1663</v>
      </c>
      <c r="H1952" s="23" t="s">
        <v>1733</v>
      </c>
      <c r="I1952" s="23">
        <v>70</v>
      </c>
      <c r="J1952" s="53">
        <v>305.62</v>
      </c>
      <c r="K1952" s="53">
        <v>306.35000000000002</v>
      </c>
      <c r="L1952" s="53">
        <v>522.09</v>
      </c>
      <c r="M1952" s="54">
        <f t="shared" si="101"/>
        <v>1.7042271911212665</v>
      </c>
      <c r="N1952" s="24">
        <v>56</v>
      </c>
      <c r="O1952" s="55">
        <v>408.94</v>
      </c>
      <c r="P1952" s="56">
        <v>410.96</v>
      </c>
      <c r="Q1952" s="56">
        <v>700.36</v>
      </c>
      <c r="R1952" s="57">
        <f t="shared" si="113"/>
        <v>1.70420478878723</v>
      </c>
      <c r="S1952" s="23">
        <v>104</v>
      </c>
      <c r="T1952" s="53">
        <v>408.19</v>
      </c>
      <c r="U1952" s="53">
        <v>413.38</v>
      </c>
      <c r="V1952" s="53">
        <v>704.49</v>
      </c>
      <c r="W1952" s="57">
        <f t="shared" si="114"/>
        <v>1.7042188785137162</v>
      </c>
      <c r="X1952" s="23">
        <v>104</v>
      </c>
      <c r="Y1952" s="53">
        <v>301.74</v>
      </c>
      <c r="Z1952" s="53">
        <v>308.29000000000002</v>
      </c>
      <c r="AA1952" s="53">
        <v>525.39</v>
      </c>
      <c r="AB1952" s="57">
        <f t="shared" si="115"/>
        <v>1.7042070777514675</v>
      </c>
      <c r="AC1952" s="47">
        <v>57</v>
      </c>
      <c r="AD1952" s="57">
        <v>298.83</v>
      </c>
      <c r="AE1952" s="57">
        <v>302.68</v>
      </c>
      <c r="AF1952" s="57">
        <v>515.82000000000005</v>
      </c>
      <c r="AG1952" s="57">
        <f t="shared" si="116"/>
        <v>1.704176027487776</v>
      </c>
      <c r="AH1952" s="47">
        <v>94</v>
      </c>
      <c r="AI1952">
        <v>345.39</v>
      </c>
      <c r="AJ1952">
        <v>348</v>
      </c>
      <c r="AK1952">
        <v>593.07000000000005</v>
      </c>
      <c r="AL1952" s="57">
        <f t="shared" si="93"/>
        <v>1.7042241379310346</v>
      </c>
      <c r="AM1952" s="59">
        <v>758</v>
      </c>
      <c r="AN1952" s="59">
        <f>SUMIFS(HIX_RatingAreas8[Silver Enrollments 2018],HIX_RatingAreas8[Area],HIX_SLCSP11[[#This Row],[Area Code]])</f>
        <v>548</v>
      </c>
      <c r="AO1952" s="59">
        <f>SUMIFS(HIX_RatingAreas8[Silver Enrollments 2019],HIX_RatingAreas8[Area],HIX_SLCSP11[[#This Row],[Area Code]])</f>
        <v>418</v>
      </c>
      <c r="AP1952" s="59">
        <f>SUMIFS(HIX_RatingAreas8[Silver Enrollments 2020],HIX_RatingAreas8[Area],HIX_SLCSP11[[#This Row],[Area Code]])</f>
        <v>411</v>
      </c>
      <c r="AQ1952" s="59">
        <f>SUMIFS(HIX_RatingAreas8[Silver Enrollments 2021],HIX_RatingAreas8[Area],HIX_SLCSP11[[#This Row],[Area Code]])</f>
        <v>424</v>
      </c>
      <c r="AR1952" s="59">
        <f>SUMIFS(HIX_RatingAreas8[Silver Enrollments 2022],HIX_RatingAreas8[Area],HIX_SLCSP11[[#This Row],[Area Code]])</f>
        <v>410</v>
      </c>
      <c r="AS1952" s="59">
        <f>SUMIFS(HIX_RatingAreas8[Silver Enrollments 2023],HIX_RatingAreas8[Area],HIX_SLCSP11[[#This Row],[Area Code]])</f>
        <v>410</v>
      </c>
      <c r="AT1952" s="59">
        <v>823</v>
      </c>
      <c r="AU1952">
        <f t="shared" si="107"/>
        <v>3.5497854169811729E-3</v>
      </c>
      <c r="AV1952">
        <f>SUMIFS(HIX_RatingAreas8[QHP Enrollments 2018],HIX_RatingAreas8[Area],HIX_SLCSP11[[#This Row],[Area Code]])</f>
        <v>765</v>
      </c>
      <c r="AW1952">
        <f t="shared" si="108"/>
        <v>3.541945430890394E-3</v>
      </c>
      <c r="AX1952">
        <f>SUMIFS(HIX_RatingAreas8[QHP Enrollments 2019],HIX_RatingAreas8[Area],HIX_SLCSP11[[#This Row],[Area Code]])</f>
        <v>772</v>
      </c>
      <c r="AY1952">
        <f t="shared" si="109"/>
        <v>3.5914326652896405E-3</v>
      </c>
      <c r="AZ1952">
        <f>SUMIFS(HIX_RatingAreas8[QHP Enrollments 2020],HIX_RatingAreas8[Area],HIX_SLCSP11[[#This Row],[Area Code]])</f>
        <v>814</v>
      </c>
      <c r="BA1952">
        <f t="shared" si="110"/>
        <v>3.803205158155399E-3</v>
      </c>
      <c r="BB1952">
        <f>SUMIFS(HIX_RatingAreas8[QHP Enrollments 2021],HIX_RatingAreas8[Area],HIX_SLCSP11[[#This Row],[Area Code]])</f>
        <v>836</v>
      </c>
      <c r="BC1952">
        <f t="shared" si="111"/>
        <v>3.6339926103021083E-3</v>
      </c>
      <c r="BD1952">
        <f>SUMIFS(HIX_RatingAreas8[QHP Enrollments 2022],HIX_RatingAreas8[Area],HIX_SLCSP11[[#This Row],[Area Code]])</f>
        <v>1132</v>
      </c>
      <c r="BE1952">
        <f t="shared" si="112"/>
        <v>3.768409278542704E-3</v>
      </c>
      <c r="BF1952">
        <f>SUMIFS(HIX_RatingAreas8[QHP Enrollments 2023],HIX_RatingAreas8[Area],HIX_SLCSP11[[#This Row],[Area Code]])</f>
        <v>1132</v>
      </c>
      <c r="BG1952">
        <f t="shared" si="117"/>
        <v>3.768409278542704E-3</v>
      </c>
      <c r="BH1952" s="53">
        <f>ROUND(HIX_SLCSP11[[#This Row],[Weighting Factor 2018]]*HIX_SLCSP11[[#This Row],[2018]],2)</f>
        <v>1.0900000000000001</v>
      </c>
      <c r="BI1952" s="53">
        <f>ROUND(HIX_SLCSP11[[#This Row],[Weighting Factor 2019]]*HIX_SLCSP11[[#This Row],[2019]],2)</f>
        <v>1.48</v>
      </c>
      <c r="BJ1952" s="53">
        <f>ROUND(HIX_SLCSP11[[#This Row],[Weighting Factor 2020]]*HIX_SLCSP11[[#This Row],[2020]],2)</f>
        <v>1.57</v>
      </c>
      <c r="BK1952" s="53">
        <f>ROUND(HIX_SLCSP11[[#This Row],[Weighting Factor 2021]]*HIX_SLCSP11[[#This Row],[2021]],2)</f>
        <v>1.1200000000000001</v>
      </c>
      <c r="BL1952" s="53">
        <f>ROUND(HIX_SLCSP11[[#This Row],[Weighting Factor 2022]]*HIX_SLCSP11[[#This Row],[2022]],2)</f>
        <v>1.1399999999999999</v>
      </c>
      <c r="BM1952" s="53">
        <f>ROUND(HIX_SLCSP11[[#This Row],[Weighting Factor 2023]]*HIX_SLCSP11[[#This Row],[2023]],2)</f>
        <v>1.31</v>
      </c>
    </row>
    <row r="1953" spans="4:65" x14ac:dyDescent="0.35">
      <c r="D1953" t="s">
        <v>1662</v>
      </c>
      <c r="E1953" t="s">
        <v>623</v>
      </c>
      <c r="F1953" s="23">
        <v>26</v>
      </c>
      <c r="G1953" s="23" t="s">
        <v>1663</v>
      </c>
      <c r="H1953" s="23" t="s">
        <v>1736</v>
      </c>
      <c r="I1953" s="23">
        <v>70</v>
      </c>
      <c r="J1953" s="53">
        <v>323.17</v>
      </c>
      <c r="K1953" s="53">
        <v>323.94</v>
      </c>
      <c r="L1953" s="53">
        <v>552.05999999999995</v>
      </c>
      <c r="M1953" s="54">
        <f t="shared" si="101"/>
        <v>1.704204482311539</v>
      </c>
      <c r="N1953" s="24">
        <v>56</v>
      </c>
      <c r="O1953" s="55">
        <v>432.25</v>
      </c>
      <c r="P1953" s="56">
        <v>434.38</v>
      </c>
      <c r="Q1953" s="56">
        <v>740.28</v>
      </c>
      <c r="R1953" s="57">
        <f t="shared" si="113"/>
        <v>1.7042221096735577</v>
      </c>
      <c r="S1953" s="23">
        <v>120</v>
      </c>
      <c r="T1953" s="53">
        <v>386.77</v>
      </c>
      <c r="U1953" s="53">
        <v>393.21</v>
      </c>
      <c r="V1953" s="53">
        <v>670.1</v>
      </c>
      <c r="W1953" s="57">
        <f t="shared" si="114"/>
        <v>1.7041784288293789</v>
      </c>
      <c r="X1953" s="23">
        <v>120</v>
      </c>
      <c r="Y1953" s="53">
        <v>291.83</v>
      </c>
      <c r="Z1953" s="53">
        <v>298.16000000000003</v>
      </c>
      <c r="AA1953" s="53">
        <v>508.13</v>
      </c>
      <c r="AB1953" s="57">
        <f t="shared" si="115"/>
        <v>1.7042192111617922</v>
      </c>
      <c r="AC1953" s="47">
        <v>85</v>
      </c>
      <c r="AD1953" s="57">
        <v>280.12</v>
      </c>
      <c r="AE1953" s="57">
        <v>283.72000000000003</v>
      </c>
      <c r="AF1953" s="57">
        <v>483.52</v>
      </c>
      <c r="AG1953" s="57">
        <f t="shared" si="116"/>
        <v>1.7042154236571265</v>
      </c>
      <c r="AH1953" s="47">
        <v>136</v>
      </c>
      <c r="AI1953">
        <v>339.34</v>
      </c>
      <c r="AJ1953">
        <v>341.91</v>
      </c>
      <c r="AK1953">
        <v>582.69000000000005</v>
      </c>
      <c r="AL1953" s="57">
        <f t="shared" si="93"/>
        <v>1.7042204088795296</v>
      </c>
      <c r="AM1953" s="59">
        <v>19771</v>
      </c>
      <c r="AN1953" s="59">
        <f>SUMIFS(HIX_RatingAreas8[Silver Enrollments 2018],HIX_RatingAreas8[Area],HIX_SLCSP11[[#This Row],[Area Code]])</f>
        <v>16200</v>
      </c>
      <c r="AO1953" s="59">
        <f>SUMIFS(HIX_RatingAreas8[Silver Enrollments 2019],HIX_RatingAreas8[Area],HIX_SLCSP11[[#This Row],[Area Code]])</f>
        <v>13352</v>
      </c>
      <c r="AP1953" s="59">
        <f>SUMIFS(HIX_RatingAreas8[Silver Enrollments 2020],HIX_RatingAreas8[Area],HIX_SLCSP11[[#This Row],[Area Code]])</f>
        <v>11374</v>
      </c>
      <c r="AQ1953" s="59">
        <f>SUMIFS(HIX_RatingAreas8[Silver Enrollments 2021],HIX_RatingAreas8[Area],HIX_SLCSP11[[#This Row],[Area Code]])</f>
        <v>10708</v>
      </c>
      <c r="AR1953" s="59">
        <f>SUMIFS(HIX_RatingAreas8[Silver Enrollments 2022],HIX_RatingAreas8[Area],HIX_SLCSP11[[#This Row],[Area Code]])</f>
        <v>14037</v>
      </c>
      <c r="AS1953" s="59">
        <f>SUMIFS(HIX_RatingAreas8[Silver Enrollments 2023],HIX_RatingAreas8[Area],HIX_SLCSP11[[#This Row],[Area Code]])</f>
        <v>14037</v>
      </c>
      <c r="AT1953" s="59">
        <v>22111</v>
      </c>
      <c r="AU1953">
        <f t="shared" si="107"/>
        <v>9.5369751342491746E-2</v>
      </c>
      <c r="AV1953">
        <f>SUMIFS(HIX_RatingAreas8[QHP Enrollments 2018],HIX_RatingAreas8[Area],HIX_SLCSP11[[#This Row],[Area Code]])</f>
        <v>22418</v>
      </c>
      <c r="AW1953">
        <f t="shared" si="108"/>
        <v>0.10379520610418412</v>
      </c>
      <c r="AX1953">
        <f>SUMIFS(HIX_RatingAreas8[QHP Enrollments 2019],HIX_RatingAreas8[Area],HIX_SLCSP11[[#This Row],[Area Code]])</f>
        <v>22576</v>
      </c>
      <c r="AY1953">
        <f t="shared" si="109"/>
        <v>0.10502614488546493</v>
      </c>
      <c r="AZ1953">
        <f>SUMIFS(HIX_RatingAreas8[QHP Enrollments 2020],HIX_RatingAreas8[Area],HIX_SLCSP11[[#This Row],[Area Code]])</f>
        <v>22769</v>
      </c>
      <c r="BA1953">
        <f t="shared" si="110"/>
        <v>0.10638228285754334</v>
      </c>
      <c r="BB1953">
        <f>SUMIFS(HIX_RatingAreas8[QHP Enrollments 2021],HIX_RatingAreas8[Area],HIX_SLCSP11[[#This Row],[Area Code]])</f>
        <v>24480</v>
      </c>
      <c r="BC1953">
        <f t="shared" si="111"/>
        <v>0.10641164964138231</v>
      </c>
      <c r="BD1953">
        <f>SUMIFS(HIX_RatingAreas8[QHP Enrollments 2022],HIX_RatingAreas8[Area],HIX_SLCSP11[[#This Row],[Area Code]])</f>
        <v>33363</v>
      </c>
      <c r="BE1953">
        <f t="shared" si="112"/>
        <v>0.11106487522969986</v>
      </c>
      <c r="BF1953">
        <f>SUMIFS(HIX_RatingAreas8[QHP Enrollments 2023],HIX_RatingAreas8[Area],HIX_SLCSP11[[#This Row],[Area Code]])</f>
        <v>33363</v>
      </c>
      <c r="BG1953">
        <f t="shared" si="117"/>
        <v>0.11106487522969986</v>
      </c>
      <c r="BH1953" s="53">
        <f>ROUND(HIX_SLCSP11[[#This Row],[Weighting Factor 2018]]*HIX_SLCSP11[[#This Row],[2018]],2)</f>
        <v>33.619999999999997</v>
      </c>
      <c r="BI1953" s="53">
        <f>ROUND(HIX_SLCSP11[[#This Row],[Weighting Factor 2019]]*HIX_SLCSP11[[#This Row],[2019]],2)</f>
        <v>45.62</v>
      </c>
      <c r="BJ1953" s="53">
        <f>ROUND(HIX_SLCSP11[[#This Row],[Weighting Factor 2020]]*HIX_SLCSP11[[#This Row],[2020]],2)</f>
        <v>41.83</v>
      </c>
      <c r="BK1953" s="53">
        <f>ROUND(HIX_SLCSP11[[#This Row],[Weighting Factor 2021]]*HIX_SLCSP11[[#This Row],[2021]],2)</f>
        <v>31.73</v>
      </c>
      <c r="BL1953" s="53">
        <f>ROUND(HIX_SLCSP11[[#This Row],[Weighting Factor 2022]]*HIX_SLCSP11[[#This Row],[2022]],2)</f>
        <v>31.51</v>
      </c>
      <c r="BM1953" s="53">
        <f>ROUND(HIX_SLCSP11[[#This Row],[Weighting Factor 2023]]*HIX_SLCSP11[[#This Row],[2023]],2)</f>
        <v>37.97</v>
      </c>
    </row>
    <row r="1954" spans="4:65" x14ac:dyDescent="0.35">
      <c r="D1954" t="s">
        <v>1662</v>
      </c>
      <c r="E1954" t="s">
        <v>627</v>
      </c>
      <c r="F1954" s="23">
        <v>27</v>
      </c>
      <c r="G1954" s="23" t="s">
        <v>1663</v>
      </c>
      <c r="H1954" s="23" t="s">
        <v>1739</v>
      </c>
      <c r="I1954" s="23">
        <v>70</v>
      </c>
      <c r="J1954" s="53">
        <v>299.14999999999998</v>
      </c>
      <c r="K1954" s="53">
        <v>299.87</v>
      </c>
      <c r="L1954" s="53">
        <v>511.03</v>
      </c>
      <c r="M1954" s="54">
        <f t="shared" si="101"/>
        <v>1.7041718077833727</v>
      </c>
      <c r="N1954" s="24">
        <v>56</v>
      </c>
      <c r="O1954" s="55">
        <v>400.12</v>
      </c>
      <c r="P1954" s="56">
        <v>402.09</v>
      </c>
      <c r="Q1954" s="56">
        <v>685.24</v>
      </c>
      <c r="R1954" s="57">
        <f t="shared" si="113"/>
        <v>1.7041955781044047</v>
      </c>
      <c r="S1954" s="23">
        <v>104</v>
      </c>
      <c r="T1954" s="53">
        <v>389.44</v>
      </c>
      <c r="U1954" s="53">
        <v>394.39</v>
      </c>
      <c r="V1954" s="53">
        <v>672.12</v>
      </c>
      <c r="W1954" s="57">
        <f t="shared" si="114"/>
        <v>1.7042014249854205</v>
      </c>
      <c r="X1954" s="23">
        <v>104</v>
      </c>
      <c r="Y1954" s="53">
        <v>279.86</v>
      </c>
      <c r="Z1954" s="53">
        <v>285.94</v>
      </c>
      <c r="AA1954" s="53">
        <v>487.3</v>
      </c>
      <c r="AB1954" s="57">
        <f t="shared" si="115"/>
        <v>1.7042036790935162</v>
      </c>
      <c r="AC1954" s="47">
        <v>57</v>
      </c>
      <c r="AD1954" s="57">
        <v>278.57</v>
      </c>
      <c r="AE1954" s="57">
        <v>282.14999999999998</v>
      </c>
      <c r="AF1954" s="57">
        <v>480.85</v>
      </c>
      <c r="AG1954" s="57">
        <f t="shared" si="116"/>
        <v>1.7042353358142834</v>
      </c>
      <c r="AH1954" s="47">
        <v>94</v>
      </c>
      <c r="AI1954">
        <v>350.87</v>
      </c>
      <c r="AJ1954">
        <v>353.53</v>
      </c>
      <c r="AK1954">
        <v>602.48</v>
      </c>
      <c r="AL1954" s="57">
        <f t="shared" si="93"/>
        <v>1.7041835204933105</v>
      </c>
      <c r="AM1954" s="59">
        <v>1232</v>
      </c>
      <c r="AN1954" s="59">
        <f>SUMIFS(HIX_RatingAreas8[Silver Enrollments 2018],HIX_RatingAreas8[Area],HIX_SLCSP11[[#This Row],[Area Code]])</f>
        <v>852</v>
      </c>
      <c r="AO1954" s="59">
        <f>SUMIFS(HIX_RatingAreas8[Silver Enrollments 2019],HIX_RatingAreas8[Area],HIX_SLCSP11[[#This Row],[Area Code]])</f>
        <v>651</v>
      </c>
      <c r="AP1954" s="59">
        <f>SUMIFS(HIX_RatingAreas8[Silver Enrollments 2020],HIX_RatingAreas8[Area],HIX_SLCSP11[[#This Row],[Area Code]])</f>
        <v>628</v>
      </c>
      <c r="AQ1954" s="59">
        <f>SUMIFS(HIX_RatingAreas8[Silver Enrollments 2021],HIX_RatingAreas8[Area],HIX_SLCSP11[[#This Row],[Area Code]])</f>
        <v>720</v>
      </c>
      <c r="AR1954" s="59">
        <f>SUMIFS(HIX_RatingAreas8[Silver Enrollments 2022],HIX_RatingAreas8[Area],HIX_SLCSP11[[#This Row],[Area Code]])</f>
        <v>727</v>
      </c>
      <c r="AS1954" s="59">
        <f>SUMIFS(HIX_RatingAreas8[Silver Enrollments 2023],HIX_RatingAreas8[Area],HIX_SLCSP11[[#This Row],[Area Code]])</f>
        <v>727</v>
      </c>
      <c r="AT1954" s="59">
        <v>1367</v>
      </c>
      <c r="AU1954">
        <f t="shared" si="107"/>
        <v>5.8961806379262006E-3</v>
      </c>
      <c r="AV1954">
        <f>SUMIFS(HIX_RatingAreas8[QHP Enrollments 2018],HIX_RatingAreas8[Area],HIX_SLCSP11[[#This Row],[Area Code]])</f>
        <v>1289</v>
      </c>
      <c r="AW1954">
        <f t="shared" si="108"/>
        <v>5.9680623011996317E-3</v>
      </c>
      <c r="AX1954">
        <f>SUMIFS(HIX_RatingAreas8[QHP Enrollments 2019],HIX_RatingAreas8[Area],HIX_SLCSP11[[#This Row],[Area Code]])</f>
        <v>1339</v>
      </c>
      <c r="AY1954">
        <f t="shared" si="109"/>
        <v>6.229181786039934E-3</v>
      </c>
      <c r="AZ1954">
        <f>SUMIFS(HIX_RatingAreas8[QHP Enrollments 2020],HIX_RatingAreas8[Area],HIX_SLCSP11[[#This Row],[Area Code]])</f>
        <v>1367</v>
      </c>
      <c r="BA1954">
        <f t="shared" si="110"/>
        <v>6.386955099752371E-3</v>
      </c>
      <c r="BB1954">
        <f>SUMIFS(HIX_RatingAreas8[QHP Enrollments 2021],HIX_RatingAreas8[Area],HIX_SLCSP11[[#This Row],[Area Code]])</f>
        <v>1503</v>
      </c>
      <c r="BC1954">
        <f t="shared" si="111"/>
        <v>6.533362312540752E-3</v>
      </c>
      <c r="BD1954">
        <f>SUMIFS(HIX_RatingAreas8[QHP Enrollments 2022],HIX_RatingAreas8[Area],HIX_SLCSP11[[#This Row],[Area Code]])</f>
        <v>2132</v>
      </c>
      <c r="BE1954">
        <f t="shared" si="112"/>
        <v>7.0973927401528671E-3</v>
      </c>
      <c r="BF1954">
        <f>SUMIFS(HIX_RatingAreas8[QHP Enrollments 2023],HIX_RatingAreas8[Area],HIX_SLCSP11[[#This Row],[Area Code]])</f>
        <v>2132</v>
      </c>
      <c r="BG1954">
        <f t="shared" si="117"/>
        <v>7.0973927401528671E-3</v>
      </c>
      <c r="BH1954" s="53">
        <f>ROUND(HIX_SLCSP11[[#This Row],[Weighting Factor 2018]]*HIX_SLCSP11[[#This Row],[2018]],2)</f>
        <v>1.79</v>
      </c>
      <c r="BI1954" s="53">
        <f>ROUND(HIX_SLCSP11[[#This Row],[Weighting Factor 2019]]*HIX_SLCSP11[[#This Row],[2019]],2)</f>
        <v>2.5</v>
      </c>
      <c r="BJ1954" s="53">
        <f>ROUND(HIX_SLCSP11[[#This Row],[Weighting Factor 2020]]*HIX_SLCSP11[[#This Row],[2020]],2)</f>
        <v>2.52</v>
      </c>
      <c r="BK1954" s="53">
        <f>ROUND(HIX_SLCSP11[[#This Row],[Weighting Factor 2021]]*HIX_SLCSP11[[#This Row],[2021]],2)</f>
        <v>1.87</v>
      </c>
      <c r="BL1954" s="53">
        <f>ROUND(HIX_SLCSP11[[#This Row],[Weighting Factor 2022]]*HIX_SLCSP11[[#This Row],[2022]],2)</f>
        <v>2</v>
      </c>
      <c r="BM1954" s="53">
        <f>ROUND(HIX_SLCSP11[[#This Row],[Weighting Factor 2023]]*HIX_SLCSP11[[#This Row],[2023]],2)</f>
        <v>2.5099999999999998</v>
      </c>
    </row>
    <row r="1955" spans="4:65" x14ac:dyDescent="0.35">
      <c r="D1955" t="s">
        <v>1662</v>
      </c>
      <c r="E1955" t="s">
        <v>631</v>
      </c>
      <c r="F1955" s="23">
        <v>28</v>
      </c>
      <c r="G1955" s="23" t="s">
        <v>1663</v>
      </c>
      <c r="H1955" s="23" t="s">
        <v>1741</v>
      </c>
      <c r="I1955" s="23">
        <v>70</v>
      </c>
      <c r="J1955" s="53">
        <v>344.29</v>
      </c>
      <c r="K1955" s="53">
        <v>345.12</v>
      </c>
      <c r="L1955" s="53">
        <v>588.15</v>
      </c>
      <c r="M1955" s="54">
        <f t="shared" si="101"/>
        <v>1.7041898470097356</v>
      </c>
      <c r="N1955" s="24">
        <v>56</v>
      </c>
      <c r="O1955" s="55">
        <v>460.54</v>
      </c>
      <c r="P1955" s="56">
        <v>462.81</v>
      </c>
      <c r="Q1955" s="56">
        <v>788.73</v>
      </c>
      <c r="R1955" s="57">
        <f t="shared" si="113"/>
        <v>1.7042198742464512</v>
      </c>
      <c r="S1955" s="23">
        <v>76</v>
      </c>
      <c r="T1955" s="53">
        <v>422</v>
      </c>
      <c r="U1955" s="53">
        <v>435.71</v>
      </c>
      <c r="V1955" s="53">
        <v>742.53</v>
      </c>
      <c r="W1955" s="57">
        <f t="shared" si="114"/>
        <v>1.7041839755800876</v>
      </c>
      <c r="X1955" s="23">
        <v>76</v>
      </c>
      <c r="Y1955" s="53">
        <v>330.71</v>
      </c>
      <c r="Z1955" s="53">
        <v>337.88</v>
      </c>
      <c r="AA1955" s="53">
        <v>575.82000000000005</v>
      </c>
      <c r="AB1955" s="57">
        <f t="shared" si="115"/>
        <v>1.7042145140286493</v>
      </c>
      <c r="AC1955" s="47">
        <v>57</v>
      </c>
      <c r="AD1955" s="57">
        <v>324.35000000000002</v>
      </c>
      <c r="AE1955" s="57">
        <v>328.53</v>
      </c>
      <c r="AF1955" s="57">
        <v>559.88</v>
      </c>
      <c r="AG1955" s="57">
        <f t="shared" si="116"/>
        <v>1.7041974857699451</v>
      </c>
      <c r="AH1955" s="47">
        <v>106</v>
      </c>
      <c r="AI1955">
        <v>373.22</v>
      </c>
      <c r="AJ1955">
        <v>379.67</v>
      </c>
      <c r="AK1955">
        <v>647.03</v>
      </c>
      <c r="AL1955" s="57">
        <f t="shared" si="93"/>
        <v>1.704190481207364</v>
      </c>
      <c r="AM1955" s="59">
        <v>2444</v>
      </c>
      <c r="AN1955" s="59">
        <f>SUMIFS(HIX_RatingAreas8[Silver Enrollments 2018],HIX_RatingAreas8[Area],HIX_SLCSP11[[#This Row],[Area Code]])</f>
        <v>2014</v>
      </c>
      <c r="AO1955" s="59">
        <f>SUMIFS(HIX_RatingAreas8[Silver Enrollments 2019],HIX_RatingAreas8[Area],HIX_SLCSP11[[#This Row],[Area Code]])</f>
        <v>1657</v>
      </c>
      <c r="AP1955" s="59">
        <f>SUMIFS(HIX_RatingAreas8[Silver Enrollments 2020],HIX_RatingAreas8[Area],HIX_SLCSP11[[#This Row],[Area Code]])</f>
        <v>1383</v>
      </c>
      <c r="AQ1955" s="59">
        <f>SUMIFS(HIX_RatingAreas8[Silver Enrollments 2021],HIX_RatingAreas8[Area],HIX_SLCSP11[[#This Row],[Area Code]])</f>
        <v>1323</v>
      </c>
      <c r="AR1955" s="59">
        <f>SUMIFS(HIX_RatingAreas8[Silver Enrollments 2022],HIX_RatingAreas8[Area],HIX_SLCSP11[[#This Row],[Area Code]])</f>
        <v>1569</v>
      </c>
      <c r="AS1955" s="59">
        <f>SUMIFS(HIX_RatingAreas8[Silver Enrollments 2023],HIX_RatingAreas8[Area],HIX_SLCSP11[[#This Row],[Area Code]])</f>
        <v>1569</v>
      </c>
      <c r="AT1955" s="59">
        <v>2920</v>
      </c>
      <c r="AU1955">
        <f t="shared" si="107"/>
        <v>1.2594621406543164E-2</v>
      </c>
      <c r="AV1955">
        <f>SUMIFS(HIX_RatingAreas8[QHP Enrollments 2018],HIX_RatingAreas8[Area],HIX_SLCSP11[[#This Row],[Area Code]])</f>
        <v>2741</v>
      </c>
      <c r="AW1955">
        <f t="shared" si="108"/>
        <v>1.2690813628850418E-2</v>
      </c>
      <c r="AX1955">
        <f>SUMIFS(HIX_RatingAreas8[QHP Enrollments 2019],HIX_RatingAreas8[Area],HIX_SLCSP11[[#This Row],[Area Code]])</f>
        <v>2788</v>
      </c>
      <c r="AY1955">
        <f t="shared" si="109"/>
        <v>1.2970096205735127E-2</v>
      </c>
      <c r="AZ1955">
        <f>SUMIFS(HIX_RatingAreas8[QHP Enrollments 2020],HIX_RatingAreas8[Area],HIX_SLCSP11[[#This Row],[Area Code]])</f>
        <v>2836</v>
      </c>
      <c r="BA1955">
        <f t="shared" si="110"/>
        <v>1.3250478904826427E-2</v>
      </c>
      <c r="BB1955">
        <f>SUMIFS(HIX_RatingAreas8[QHP Enrollments 2021],HIX_RatingAreas8[Area],HIX_SLCSP11[[#This Row],[Area Code]])</f>
        <v>3151</v>
      </c>
      <c r="BC1955">
        <f t="shared" si="111"/>
        <v>1.369702238643773E-2</v>
      </c>
      <c r="BD1955">
        <f>SUMIFS(HIX_RatingAreas8[QHP Enrollments 2022],HIX_RatingAreas8[Area],HIX_SLCSP11[[#This Row],[Area Code]])</f>
        <v>4133</v>
      </c>
      <c r="BE1955">
        <f t="shared" si="112"/>
        <v>1.3758688646834803E-2</v>
      </c>
      <c r="BF1955">
        <f>SUMIFS(HIX_RatingAreas8[QHP Enrollments 2023],HIX_RatingAreas8[Area],HIX_SLCSP11[[#This Row],[Area Code]])</f>
        <v>4133</v>
      </c>
      <c r="BG1955">
        <f t="shared" si="117"/>
        <v>1.3758688646834803E-2</v>
      </c>
      <c r="BH1955" s="53">
        <f>ROUND(HIX_SLCSP11[[#This Row],[Weighting Factor 2018]]*HIX_SLCSP11[[#This Row],[2018]],2)</f>
        <v>4.38</v>
      </c>
      <c r="BI1955" s="53">
        <f>ROUND(HIX_SLCSP11[[#This Row],[Weighting Factor 2019]]*HIX_SLCSP11[[#This Row],[2019]],2)</f>
        <v>6</v>
      </c>
      <c r="BJ1955" s="53">
        <f>ROUND(HIX_SLCSP11[[#This Row],[Weighting Factor 2020]]*HIX_SLCSP11[[#This Row],[2020]],2)</f>
        <v>5.77</v>
      </c>
      <c r="BK1955" s="53">
        <f>ROUND(HIX_SLCSP11[[#This Row],[Weighting Factor 2021]]*HIX_SLCSP11[[#This Row],[2021]],2)</f>
        <v>4.63</v>
      </c>
      <c r="BL1955" s="53">
        <f>ROUND(HIX_SLCSP11[[#This Row],[Weighting Factor 2022]]*HIX_SLCSP11[[#This Row],[2022]],2)</f>
        <v>4.5199999999999996</v>
      </c>
      <c r="BM1955" s="53">
        <f>ROUND(HIX_SLCSP11[[#This Row],[Weighting Factor 2023]]*HIX_SLCSP11[[#This Row],[2023]],2)</f>
        <v>5.22</v>
      </c>
    </row>
    <row r="1956" spans="4:65" x14ac:dyDescent="0.35">
      <c r="D1956" t="s">
        <v>1662</v>
      </c>
      <c r="E1956" t="s">
        <v>635</v>
      </c>
      <c r="F1956" s="23">
        <v>29</v>
      </c>
      <c r="G1956" s="23" t="s">
        <v>1663</v>
      </c>
      <c r="H1956" s="23" t="s">
        <v>1744</v>
      </c>
      <c r="I1956" s="23">
        <v>70</v>
      </c>
      <c r="J1956" s="53">
        <v>372.06</v>
      </c>
      <c r="K1956" s="53">
        <v>372.95</v>
      </c>
      <c r="L1956" s="53">
        <v>635.59</v>
      </c>
      <c r="M1956" s="54">
        <f t="shared" si="101"/>
        <v>1.7042230862045853</v>
      </c>
      <c r="N1956" s="24">
        <v>56</v>
      </c>
      <c r="O1956" s="55">
        <v>497.88</v>
      </c>
      <c r="P1956" s="56">
        <v>500.34</v>
      </c>
      <c r="Q1956" s="56">
        <v>852.68</v>
      </c>
      <c r="R1956" s="57">
        <f t="shared" si="113"/>
        <v>1.7042011432226085</v>
      </c>
      <c r="S1956" s="23">
        <v>104</v>
      </c>
      <c r="T1956" s="53">
        <v>416.97</v>
      </c>
      <c r="U1956" s="53">
        <v>423.9</v>
      </c>
      <c r="V1956" s="53">
        <v>722.41</v>
      </c>
      <c r="W1956" s="57">
        <f t="shared" si="114"/>
        <v>1.7041991035621609</v>
      </c>
      <c r="X1956" s="23">
        <v>104</v>
      </c>
      <c r="Y1956" s="53">
        <v>341.57</v>
      </c>
      <c r="Z1956" s="53">
        <v>348.98</v>
      </c>
      <c r="AA1956" s="53">
        <v>594.73</v>
      </c>
      <c r="AB1956" s="57">
        <f t="shared" si="115"/>
        <v>1.7041950828127685</v>
      </c>
      <c r="AC1956" s="47">
        <v>20</v>
      </c>
      <c r="AD1956" s="57">
        <v>404.73</v>
      </c>
      <c r="AE1956" s="57">
        <v>404.73</v>
      </c>
      <c r="AF1956" s="57">
        <v>689.75</v>
      </c>
      <c r="AG1956" s="57">
        <f t="shared" si="116"/>
        <v>1.7042225681318408</v>
      </c>
      <c r="AH1956" s="47">
        <v>98</v>
      </c>
      <c r="AI1956">
        <v>391.11</v>
      </c>
      <c r="AJ1956">
        <v>394.08</v>
      </c>
      <c r="AK1956">
        <v>671.58</v>
      </c>
      <c r="AL1956" s="57">
        <f t="shared" si="93"/>
        <v>1.7041717417783193</v>
      </c>
      <c r="AM1956" s="59">
        <v>3385</v>
      </c>
      <c r="AN1956" s="59">
        <f>SUMIFS(HIX_RatingAreas8[Silver Enrollments 2018],HIX_RatingAreas8[Area],HIX_SLCSP11[[#This Row],[Area Code]])</f>
        <v>2616</v>
      </c>
      <c r="AO1956" s="59">
        <f>SUMIFS(HIX_RatingAreas8[Silver Enrollments 2019],HIX_RatingAreas8[Area],HIX_SLCSP11[[#This Row],[Area Code]])</f>
        <v>2137</v>
      </c>
      <c r="AP1956" s="59">
        <f>SUMIFS(HIX_RatingAreas8[Silver Enrollments 2020],HIX_RatingAreas8[Area],HIX_SLCSP11[[#This Row],[Area Code]])</f>
        <v>1458</v>
      </c>
      <c r="AQ1956" s="59">
        <f>SUMIFS(HIX_RatingAreas8[Silver Enrollments 2021],HIX_RatingAreas8[Area],HIX_SLCSP11[[#This Row],[Area Code]])</f>
        <v>1565</v>
      </c>
      <c r="AR1956" s="59">
        <f>SUMIFS(HIX_RatingAreas8[Silver Enrollments 2022],HIX_RatingAreas8[Area],HIX_SLCSP11[[#This Row],[Area Code]])</f>
        <v>1865</v>
      </c>
      <c r="AS1956" s="59">
        <f>SUMIFS(HIX_RatingAreas8[Silver Enrollments 2023],HIX_RatingAreas8[Area],HIX_SLCSP11[[#This Row],[Area Code]])</f>
        <v>1865</v>
      </c>
      <c r="AT1956" s="59">
        <v>4097</v>
      </c>
      <c r="AU1956">
        <f t="shared" si="107"/>
        <v>1.7671289007742241E-2</v>
      </c>
      <c r="AV1956">
        <f>SUMIFS(HIX_RatingAreas8[QHP Enrollments 2018],HIX_RatingAreas8[Area],HIX_SLCSP11[[#This Row],[Area Code]])</f>
        <v>3749</v>
      </c>
      <c r="AW1956">
        <f t="shared" si="108"/>
        <v>1.7357847608376584E-2</v>
      </c>
      <c r="AX1956">
        <f>SUMIFS(HIX_RatingAreas8[QHP Enrollments 2019],HIX_RatingAreas8[Area],HIX_SLCSP11[[#This Row],[Area Code]])</f>
        <v>3690</v>
      </c>
      <c r="AY1956">
        <f t="shared" si="109"/>
        <v>1.7166303801708256E-2</v>
      </c>
      <c r="AZ1956">
        <f>SUMIFS(HIX_RatingAreas8[QHP Enrollments 2020],HIX_RatingAreas8[Area],HIX_SLCSP11[[#This Row],[Area Code]])</f>
        <v>3657</v>
      </c>
      <c r="BA1956">
        <f t="shared" si="110"/>
        <v>1.7086389758445078E-2</v>
      </c>
      <c r="BB1956">
        <f>SUMIFS(HIX_RatingAreas8[QHP Enrollments 2021],HIX_RatingAreas8[Area],HIX_SLCSP11[[#This Row],[Area Code]])</f>
        <v>3892</v>
      </c>
      <c r="BC1956">
        <f t="shared" si="111"/>
        <v>1.6918061291023689E-2</v>
      </c>
      <c r="BD1956">
        <f>SUMIFS(HIX_RatingAreas8[QHP Enrollments 2022],HIX_RatingAreas8[Area],HIX_SLCSP11[[#This Row],[Area Code]])</f>
        <v>5258</v>
      </c>
      <c r="BE1956">
        <f t="shared" si="112"/>
        <v>1.7503795041146235E-2</v>
      </c>
      <c r="BF1956">
        <f>SUMIFS(HIX_RatingAreas8[QHP Enrollments 2023],HIX_RatingAreas8[Area],HIX_SLCSP11[[#This Row],[Area Code]])</f>
        <v>5258</v>
      </c>
      <c r="BG1956">
        <f t="shared" si="117"/>
        <v>1.7503795041146235E-2</v>
      </c>
      <c r="BH1956" s="53">
        <f>ROUND(HIX_SLCSP11[[#This Row],[Weighting Factor 2018]]*HIX_SLCSP11[[#This Row],[2018]],2)</f>
        <v>6.47</v>
      </c>
      <c r="BI1956" s="53">
        <f>ROUND(HIX_SLCSP11[[#This Row],[Weighting Factor 2019]]*HIX_SLCSP11[[#This Row],[2019]],2)</f>
        <v>8.59</v>
      </c>
      <c r="BJ1956" s="53">
        <f>ROUND(HIX_SLCSP11[[#This Row],[Weighting Factor 2020]]*HIX_SLCSP11[[#This Row],[2020]],2)</f>
        <v>7.24</v>
      </c>
      <c r="BK1956" s="53">
        <f>ROUND(HIX_SLCSP11[[#This Row],[Weighting Factor 2021]]*HIX_SLCSP11[[#This Row],[2021]],2)</f>
        <v>5.9</v>
      </c>
      <c r="BL1956" s="53">
        <f>ROUND(HIX_SLCSP11[[#This Row],[Weighting Factor 2022]]*HIX_SLCSP11[[#This Row],[2022]],2)</f>
        <v>7.08</v>
      </c>
      <c r="BM1956" s="53">
        <f>ROUND(HIX_SLCSP11[[#This Row],[Weighting Factor 2023]]*HIX_SLCSP11[[#This Row],[2023]],2)</f>
        <v>6.9</v>
      </c>
    </row>
    <row r="1957" spans="4:65" x14ac:dyDescent="0.35">
      <c r="D1957" t="s">
        <v>1662</v>
      </c>
      <c r="E1957" t="s">
        <v>639</v>
      </c>
      <c r="F1957" s="23">
        <v>30</v>
      </c>
      <c r="G1957" s="23" t="s">
        <v>1663</v>
      </c>
      <c r="H1957" s="23" t="s">
        <v>1747</v>
      </c>
      <c r="I1957" s="23">
        <v>70</v>
      </c>
      <c r="J1957" s="53">
        <v>326.75</v>
      </c>
      <c r="K1957" s="53">
        <v>327.52999999999997</v>
      </c>
      <c r="L1957" s="53">
        <v>558.17999999999995</v>
      </c>
      <c r="M1957" s="54">
        <f t="shared" si="101"/>
        <v>1.7042103013464416</v>
      </c>
      <c r="N1957" s="24">
        <v>56</v>
      </c>
      <c r="O1957" s="55">
        <v>437.23</v>
      </c>
      <c r="P1957" s="56">
        <v>439.39</v>
      </c>
      <c r="Q1957" s="56">
        <v>748.8</v>
      </c>
      <c r="R1957" s="57">
        <f t="shared" si="113"/>
        <v>1.7041807961036892</v>
      </c>
      <c r="S1957" s="23">
        <v>76</v>
      </c>
      <c r="T1957" s="53">
        <v>436.76</v>
      </c>
      <c r="U1957" s="53">
        <v>442.31</v>
      </c>
      <c r="V1957" s="53">
        <v>753.79</v>
      </c>
      <c r="W1957" s="57">
        <f t="shared" si="114"/>
        <v>1.7042119780244624</v>
      </c>
      <c r="X1957" s="23">
        <v>76</v>
      </c>
      <c r="Y1957" s="53">
        <v>325.51</v>
      </c>
      <c r="Z1957" s="53">
        <v>332.58</v>
      </c>
      <c r="AA1957" s="53">
        <v>566.78</v>
      </c>
      <c r="AB1957" s="57">
        <f t="shared" si="115"/>
        <v>1.704191472728366</v>
      </c>
      <c r="AC1957" s="47">
        <v>93</v>
      </c>
      <c r="AD1957" s="57">
        <v>300.27</v>
      </c>
      <c r="AE1957" s="57">
        <v>303.57</v>
      </c>
      <c r="AF1957" s="57">
        <v>517.35</v>
      </c>
      <c r="AG1957" s="57">
        <f t="shared" si="116"/>
        <v>1.7042197845636922</v>
      </c>
      <c r="AH1957" s="47">
        <v>106</v>
      </c>
      <c r="AI1957">
        <v>369.76</v>
      </c>
      <c r="AJ1957">
        <v>372.56</v>
      </c>
      <c r="AK1957">
        <v>634.91999999999996</v>
      </c>
      <c r="AL1957" s="57">
        <f t="shared" si="93"/>
        <v>1.7042087180588361</v>
      </c>
      <c r="AM1957" s="59">
        <v>2217</v>
      </c>
      <c r="AN1957" s="59">
        <f>SUMIFS(HIX_RatingAreas8[Silver Enrollments 2018],HIX_RatingAreas8[Area],HIX_SLCSP11[[#This Row],[Area Code]])</f>
        <v>1580</v>
      </c>
      <c r="AO1957" s="59">
        <f>SUMIFS(HIX_RatingAreas8[Silver Enrollments 2019],HIX_RatingAreas8[Area],HIX_SLCSP11[[#This Row],[Area Code]])</f>
        <v>1320</v>
      </c>
      <c r="AP1957" s="59">
        <f>SUMIFS(HIX_RatingAreas8[Silver Enrollments 2020],HIX_RatingAreas8[Area],HIX_SLCSP11[[#This Row],[Area Code]])</f>
        <v>1154</v>
      </c>
      <c r="AQ1957" s="59">
        <f>SUMIFS(HIX_RatingAreas8[Silver Enrollments 2021],HIX_RatingAreas8[Area],HIX_SLCSP11[[#This Row],[Area Code]])</f>
        <v>816</v>
      </c>
      <c r="AR1957" s="59">
        <f>SUMIFS(HIX_RatingAreas8[Silver Enrollments 2022],HIX_RatingAreas8[Area],HIX_SLCSP11[[#This Row],[Area Code]])</f>
        <v>1180</v>
      </c>
      <c r="AS1957" s="59">
        <f>SUMIFS(HIX_RatingAreas8[Silver Enrollments 2023],HIX_RatingAreas8[Area],HIX_SLCSP11[[#This Row],[Area Code]])</f>
        <v>1180</v>
      </c>
      <c r="AT1957" s="59">
        <v>2466</v>
      </c>
      <c r="AU1957">
        <f t="shared" si="107"/>
        <v>1.0636416571416249E-2</v>
      </c>
      <c r="AV1957">
        <f>SUMIFS(HIX_RatingAreas8[QHP Enrollments 2018],HIX_RatingAreas8[Area],HIX_SLCSP11[[#This Row],[Area Code]])</f>
        <v>2085</v>
      </c>
      <c r="AW1957">
        <f t="shared" si="108"/>
        <v>9.653537546936564E-3</v>
      </c>
      <c r="AX1957">
        <f>SUMIFS(HIX_RatingAreas8[QHP Enrollments 2019],HIX_RatingAreas8[Area],HIX_SLCSP11[[#This Row],[Area Code]])</f>
        <v>2079</v>
      </c>
      <c r="AY1957">
        <f t="shared" si="109"/>
        <v>9.6717467760844087E-3</v>
      </c>
      <c r="AZ1957">
        <f>SUMIFS(HIX_RatingAreas8[QHP Enrollments 2020],HIX_RatingAreas8[Area],HIX_SLCSP11[[#This Row],[Area Code]])</f>
        <v>2102</v>
      </c>
      <c r="BA1957">
        <f t="shared" si="110"/>
        <v>9.8210531233939163E-3</v>
      </c>
      <c r="BB1957">
        <f>SUMIFS(HIX_RatingAreas8[QHP Enrollments 2021],HIX_RatingAreas8[Area],HIX_SLCSP11[[#This Row],[Area Code]])</f>
        <v>2124</v>
      </c>
      <c r="BC1957">
        <f t="shared" si="111"/>
        <v>9.2327754835905239E-3</v>
      </c>
      <c r="BD1957">
        <f>SUMIFS(HIX_RatingAreas8[QHP Enrollments 2022],HIX_RatingAreas8[Area],HIX_SLCSP11[[#This Row],[Area Code]])</f>
        <v>2783</v>
      </c>
      <c r="BE1957">
        <f t="shared" si="112"/>
        <v>9.2645609736610821E-3</v>
      </c>
      <c r="BF1957">
        <f>SUMIFS(HIX_RatingAreas8[QHP Enrollments 2023],HIX_RatingAreas8[Area],HIX_SLCSP11[[#This Row],[Area Code]])</f>
        <v>2783</v>
      </c>
      <c r="BG1957">
        <f t="shared" si="117"/>
        <v>9.2645609736610821E-3</v>
      </c>
      <c r="BH1957" s="53">
        <f>ROUND(HIX_SLCSP11[[#This Row],[Weighting Factor 2018]]*HIX_SLCSP11[[#This Row],[2018]],2)</f>
        <v>3.16</v>
      </c>
      <c r="BI1957" s="53">
        <f>ROUND(HIX_SLCSP11[[#This Row],[Weighting Factor 2019]]*HIX_SLCSP11[[#This Row],[2019]],2)</f>
        <v>4.25</v>
      </c>
      <c r="BJ1957" s="53">
        <f>ROUND(HIX_SLCSP11[[#This Row],[Weighting Factor 2020]]*HIX_SLCSP11[[#This Row],[2020]],2)</f>
        <v>4.34</v>
      </c>
      <c r="BK1957" s="53">
        <f>ROUND(HIX_SLCSP11[[#This Row],[Weighting Factor 2021]]*HIX_SLCSP11[[#This Row],[2021]],2)</f>
        <v>3.07</v>
      </c>
      <c r="BL1957" s="53">
        <f>ROUND(HIX_SLCSP11[[#This Row],[Weighting Factor 2022]]*HIX_SLCSP11[[#This Row],[2022]],2)</f>
        <v>2.81</v>
      </c>
      <c r="BM1957" s="53">
        <f>ROUND(HIX_SLCSP11[[#This Row],[Weighting Factor 2023]]*HIX_SLCSP11[[#This Row],[2023]],2)</f>
        <v>3.45</v>
      </c>
    </row>
    <row r="1958" spans="4:65" x14ac:dyDescent="0.35">
      <c r="D1958" t="s">
        <v>1662</v>
      </c>
      <c r="E1958" t="s">
        <v>643</v>
      </c>
      <c r="F1958" s="23">
        <v>31</v>
      </c>
      <c r="G1958" s="23" t="s">
        <v>1663</v>
      </c>
      <c r="H1958" s="23" t="s">
        <v>1749</v>
      </c>
      <c r="I1958" s="23">
        <v>70</v>
      </c>
      <c r="J1958" s="53">
        <v>336.12</v>
      </c>
      <c r="K1958" s="53">
        <v>336.92</v>
      </c>
      <c r="L1958" s="53">
        <v>574.17999999999995</v>
      </c>
      <c r="M1958" s="54">
        <f t="shared" si="101"/>
        <v>1.7042027781075624</v>
      </c>
      <c r="N1958" s="24">
        <v>56</v>
      </c>
      <c r="O1958" s="55">
        <v>449.68</v>
      </c>
      <c r="P1958" s="56">
        <v>451.9</v>
      </c>
      <c r="Q1958" s="56">
        <v>770.12</v>
      </c>
      <c r="R1958" s="57">
        <f t="shared" si="113"/>
        <v>1.7041823412259349</v>
      </c>
      <c r="S1958" s="23">
        <v>76</v>
      </c>
      <c r="T1958" s="53">
        <v>447.66</v>
      </c>
      <c r="U1958" s="53">
        <v>453.35</v>
      </c>
      <c r="V1958" s="53">
        <v>772.6</v>
      </c>
      <c r="W1958" s="57">
        <f t="shared" si="114"/>
        <v>1.7042020513951692</v>
      </c>
      <c r="X1958" s="23">
        <v>76</v>
      </c>
      <c r="Y1958" s="53">
        <v>331.18</v>
      </c>
      <c r="Z1958" s="53">
        <v>338.37</v>
      </c>
      <c r="AA1958" s="53">
        <v>576.64</v>
      </c>
      <c r="AB1958" s="57">
        <f t="shared" si="115"/>
        <v>1.7041699914295001</v>
      </c>
      <c r="AC1958" s="47">
        <v>57</v>
      </c>
      <c r="AD1958" s="57">
        <v>330.69</v>
      </c>
      <c r="AE1958" s="57">
        <v>334.95</v>
      </c>
      <c r="AF1958" s="57">
        <v>570.82000000000005</v>
      </c>
      <c r="AG1958" s="57">
        <f t="shared" si="116"/>
        <v>1.7041946559187942</v>
      </c>
      <c r="AH1958" s="47">
        <v>94</v>
      </c>
      <c r="AI1958">
        <v>377.16</v>
      </c>
      <c r="AJ1958">
        <v>381.53</v>
      </c>
      <c r="AK1958">
        <v>650.20000000000005</v>
      </c>
      <c r="AL1958" s="57">
        <f t="shared" si="93"/>
        <v>1.7041910203653712</v>
      </c>
      <c r="AM1958" s="59">
        <v>678</v>
      </c>
      <c r="AN1958" s="59">
        <f>SUMIFS(HIX_RatingAreas8[Silver Enrollments 2018],HIX_RatingAreas8[Area],HIX_SLCSP11[[#This Row],[Area Code]])</f>
        <v>458</v>
      </c>
      <c r="AO1958" s="59">
        <f>SUMIFS(HIX_RatingAreas8[Silver Enrollments 2019],HIX_RatingAreas8[Area],HIX_SLCSP11[[#This Row],[Area Code]])</f>
        <v>369</v>
      </c>
      <c r="AP1958" s="59">
        <f>SUMIFS(HIX_RatingAreas8[Silver Enrollments 2020],HIX_RatingAreas8[Area],HIX_SLCSP11[[#This Row],[Area Code]])</f>
        <v>320</v>
      </c>
      <c r="AQ1958" s="59">
        <f>SUMIFS(HIX_RatingAreas8[Silver Enrollments 2021],HIX_RatingAreas8[Area],HIX_SLCSP11[[#This Row],[Area Code]])</f>
        <v>281</v>
      </c>
      <c r="AR1958" s="59">
        <f>SUMIFS(HIX_RatingAreas8[Silver Enrollments 2022],HIX_RatingAreas8[Area],HIX_SLCSP11[[#This Row],[Area Code]])</f>
        <v>283</v>
      </c>
      <c r="AS1958" s="59">
        <f>SUMIFS(HIX_RatingAreas8[Silver Enrollments 2023],HIX_RatingAreas8[Area],HIX_SLCSP11[[#This Row],[Area Code]])</f>
        <v>283</v>
      </c>
      <c r="AT1958" s="59">
        <v>755</v>
      </c>
      <c r="AU1958">
        <f t="shared" si="107"/>
        <v>3.2564860143630445E-3</v>
      </c>
      <c r="AV1958">
        <f>SUMIFS(HIX_RatingAreas8[QHP Enrollments 2018],HIX_RatingAreas8[Area],HIX_SLCSP11[[#This Row],[Area Code]])</f>
        <v>667</v>
      </c>
      <c r="AW1958">
        <f t="shared" si="108"/>
        <v>3.0882060162142392E-3</v>
      </c>
      <c r="AX1958">
        <f>SUMIFS(HIX_RatingAreas8[QHP Enrollments 2019],HIX_RatingAreas8[Area],HIX_SLCSP11[[#This Row],[Area Code]])</f>
        <v>656</v>
      </c>
      <c r="AY1958">
        <f t="shared" si="109"/>
        <v>3.0517873425259124E-3</v>
      </c>
      <c r="AZ1958">
        <f>SUMIFS(HIX_RatingAreas8[QHP Enrollments 2020],HIX_RatingAreas8[Area],HIX_SLCSP11[[#This Row],[Area Code]])</f>
        <v>601</v>
      </c>
      <c r="BA1958">
        <f t="shared" si="110"/>
        <v>2.8080175676307058E-3</v>
      </c>
      <c r="BB1958">
        <f>SUMIFS(HIX_RatingAreas8[QHP Enrollments 2021],HIX_RatingAreas8[Area],HIX_SLCSP11[[#This Row],[Area Code]])</f>
        <v>668</v>
      </c>
      <c r="BC1958">
        <f t="shared" si="111"/>
        <v>2.9037165833514455E-3</v>
      </c>
      <c r="BD1958">
        <f>SUMIFS(HIX_RatingAreas8[QHP Enrollments 2022],HIX_RatingAreas8[Area],HIX_SLCSP11[[#This Row],[Area Code]])</f>
        <v>805</v>
      </c>
      <c r="BE1958">
        <f t="shared" si="112"/>
        <v>2.6798316865961811E-3</v>
      </c>
      <c r="BF1958">
        <f>SUMIFS(HIX_RatingAreas8[QHP Enrollments 2023],HIX_RatingAreas8[Area],HIX_SLCSP11[[#This Row],[Area Code]])</f>
        <v>805</v>
      </c>
      <c r="BG1958">
        <f t="shared" si="117"/>
        <v>2.6798316865961811E-3</v>
      </c>
      <c r="BH1958" s="53">
        <f>ROUND(HIX_SLCSP11[[#This Row],[Weighting Factor 2018]]*HIX_SLCSP11[[#This Row],[2018]],2)</f>
        <v>1.04</v>
      </c>
      <c r="BI1958" s="53">
        <f>ROUND(HIX_SLCSP11[[#This Row],[Weighting Factor 2019]]*HIX_SLCSP11[[#This Row],[2019]],2)</f>
        <v>1.38</v>
      </c>
      <c r="BJ1958" s="53">
        <f>ROUND(HIX_SLCSP11[[#This Row],[Weighting Factor 2020]]*HIX_SLCSP11[[#This Row],[2020]],2)</f>
        <v>1.27</v>
      </c>
      <c r="BK1958" s="53">
        <f>ROUND(HIX_SLCSP11[[#This Row],[Weighting Factor 2021]]*HIX_SLCSP11[[#This Row],[2021]],2)</f>
        <v>0.98</v>
      </c>
      <c r="BL1958" s="53">
        <f>ROUND(HIX_SLCSP11[[#This Row],[Weighting Factor 2022]]*HIX_SLCSP11[[#This Row],[2022]],2)</f>
        <v>0.9</v>
      </c>
      <c r="BM1958" s="53">
        <f>ROUND(HIX_SLCSP11[[#This Row],[Weighting Factor 2023]]*HIX_SLCSP11[[#This Row],[2023]],2)</f>
        <v>1.02</v>
      </c>
    </row>
    <row r="1959" spans="4:65" x14ac:dyDescent="0.35">
      <c r="D1959" t="s">
        <v>1662</v>
      </c>
      <c r="E1959" t="s">
        <v>646</v>
      </c>
      <c r="F1959" s="23">
        <v>32</v>
      </c>
      <c r="G1959" s="23" t="s">
        <v>1663</v>
      </c>
      <c r="H1959" s="23" t="s">
        <v>1751</v>
      </c>
      <c r="I1959" s="23">
        <v>70</v>
      </c>
      <c r="J1959" s="53">
        <v>365.93</v>
      </c>
      <c r="K1959" s="53">
        <v>366.81</v>
      </c>
      <c r="L1959" s="53">
        <v>625.11</v>
      </c>
      <c r="M1959" s="54">
        <f t="shared" si="101"/>
        <v>1.704179275374172</v>
      </c>
      <c r="N1959" s="24">
        <v>56</v>
      </c>
      <c r="O1959" s="55">
        <v>489.51</v>
      </c>
      <c r="P1959" s="56">
        <v>491.92</v>
      </c>
      <c r="Q1959" s="56">
        <v>838.34</v>
      </c>
      <c r="R1959" s="57">
        <f t="shared" si="113"/>
        <v>1.7042201984062448</v>
      </c>
      <c r="S1959" s="23">
        <v>76</v>
      </c>
      <c r="T1959" s="53">
        <v>476.88</v>
      </c>
      <c r="U1959" s="53">
        <v>482.94</v>
      </c>
      <c r="V1959" s="53">
        <v>823.03</v>
      </c>
      <c r="W1959" s="57">
        <f t="shared" si="114"/>
        <v>1.7042075620159853</v>
      </c>
      <c r="X1959" s="23">
        <v>76</v>
      </c>
      <c r="Y1959" s="53">
        <v>345.97</v>
      </c>
      <c r="Z1959" s="53">
        <v>353.48</v>
      </c>
      <c r="AA1959" s="53">
        <v>602.41</v>
      </c>
      <c r="AB1959" s="57">
        <f t="shared" si="115"/>
        <v>1.7042265474708609</v>
      </c>
      <c r="AC1959" s="47">
        <v>20</v>
      </c>
      <c r="AD1959" s="57">
        <v>502.37</v>
      </c>
      <c r="AE1959" s="57">
        <v>502.37</v>
      </c>
      <c r="AF1959" s="57">
        <v>856.13</v>
      </c>
      <c r="AG1959" s="57">
        <f t="shared" si="116"/>
        <v>1.7041821764834684</v>
      </c>
      <c r="AH1959" s="47">
        <v>102</v>
      </c>
      <c r="AI1959">
        <v>409.25</v>
      </c>
      <c r="AJ1959">
        <v>412.35</v>
      </c>
      <c r="AK1959">
        <v>702.73</v>
      </c>
      <c r="AL1959" s="57">
        <f t="shared" si="93"/>
        <v>1.7042075906390202</v>
      </c>
      <c r="AM1959" s="59">
        <v>10373</v>
      </c>
      <c r="AN1959" s="59">
        <f>SUMIFS(HIX_RatingAreas8[Silver Enrollments 2018],HIX_RatingAreas8[Area],HIX_SLCSP11[[#This Row],[Area Code]])</f>
        <v>7815</v>
      </c>
      <c r="AO1959" s="59">
        <f>SUMIFS(HIX_RatingAreas8[Silver Enrollments 2019],HIX_RatingAreas8[Area],HIX_SLCSP11[[#This Row],[Area Code]])</f>
        <v>6202</v>
      </c>
      <c r="AP1959" s="59">
        <f>SUMIFS(HIX_RatingAreas8[Silver Enrollments 2020],HIX_RatingAreas8[Area],HIX_SLCSP11[[#This Row],[Area Code]])</f>
        <v>5733</v>
      </c>
      <c r="AQ1959" s="59">
        <f>SUMIFS(HIX_RatingAreas8[Silver Enrollments 2021],HIX_RatingAreas8[Area],HIX_SLCSP11[[#This Row],[Area Code]])</f>
        <v>5943</v>
      </c>
      <c r="AR1959" s="59">
        <f>SUMIFS(HIX_RatingAreas8[Silver Enrollments 2022],HIX_RatingAreas8[Area],HIX_SLCSP11[[#This Row],[Area Code]])</f>
        <v>5948</v>
      </c>
      <c r="AS1959" s="59">
        <f>SUMIFS(HIX_RatingAreas8[Silver Enrollments 2023],HIX_RatingAreas8[Area],HIX_SLCSP11[[#This Row],[Area Code]])</f>
        <v>5948</v>
      </c>
      <c r="AT1959" s="59">
        <v>11746</v>
      </c>
      <c r="AU1959">
        <f t="shared" si="107"/>
        <v>5.066315857577261E-2</v>
      </c>
      <c r="AV1959">
        <f>SUMIFS(HIX_RatingAreas8[QHP Enrollments 2018],HIX_RatingAreas8[Area],HIX_SLCSP11[[#This Row],[Area Code]])</f>
        <v>11213</v>
      </c>
      <c r="AW1959">
        <f t="shared" si="108"/>
        <v>5.1916123028201297E-2</v>
      </c>
      <c r="AX1959">
        <f>SUMIFS(HIX_RatingAreas8[QHP Enrollments 2019],HIX_RatingAreas8[Area],HIX_SLCSP11[[#This Row],[Area Code]])</f>
        <v>11272</v>
      </c>
      <c r="AY1959">
        <f t="shared" si="109"/>
        <v>5.2438638605109882E-2</v>
      </c>
      <c r="AZ1959">
        <f>SUMIFS(HIX_RatingAreas8[QHP Enrollments 2020],HIX_RatingAreas8[Area],HIX_SLCSP11[[#This Row],[Area Code]])</f>
        <v>11760</v>
      </c>
      <c r="BA1959">
        <f t="shared" si="110"/>
        <v>5.4945568378264732E-2</v>
      </c>
      <c r="BB1959">
        <f>SUMIFS(HIX_RatingAreas8[QHP Enrollments 2021],HIX_RatingAreas8[Area],HIX_SLCSP11[[#This Row],[Area Code]])</f>
        <v>13555</v>
      </c>
      <c r="BC1959">
        <f t="shared" si="111"/>
        <v>5.8921973484025211E-2</v>
      </c>
      <c r="BD1959">
        <f>SUMIFS(HIX_RatingAreas8[QHP Enrollments 2022],HIX_RatingAreas8[Area],HIX_SLCSP11[[#This Row],[Area Code]])</f>
        <v>18145</v>
      </c>
      <c r="BE1959">
        <f t="shared" si="112"/>
        <v>6.04044049109164E-2</v>
      </c>
      <c r="BF1959">
        <f>SUMIFS(HIX_RatingAreas8[QHP Enrollments 2023],HIX_RatingAreas8[Area],HIX_SLCSP11[[#This Row],[Area Code]])</f>
        <v>18145</v>
      </c>
      <c r="BG1959">
        <f t="shared" si="117"/>
        <v>6.04044049109164E-2</v>
      </c>
      <c r="BH1959" s="53">
        <f>ROUND(HIX_SLCSP11[[#This Row],[Weighting Factor 2018]]*HIX_SLCSP11[[#This Row],[2018]],2)</f>
        <v>19.04</v>
      </c>
      <c r="BI1959" s="53">
        <f>ROUND(HIX_SLCSP11[[#This Row],[Weighting Factor 2019]]*HIX_SLCSP11[[#This Row],[2019]],2)</f>
        <v>25.8</v>
      </c>
      <c r="BJ1959" s="53">
        <f>ROUND(HIX_SLCSP11[[#This Row],[Weighting Factor 2020]]*HIX_SLCSP11[[#This Row],[2020]],2)</f>
        <v>26.54</v>
      </c>
      <c r="BK1959" s="53">
        <f>ROUND(HIX_SLCSP11[[#This Row],[Weighting Factor 2021]]*HIX_SLCSP11[[#This Row],[2021]],2)</f>
        <v>20.83</v>
      </c>
      <c r="BL1959" s="53">
        <f>ROUND(HIX_SLCSP11[[#This Row],[Weighting Factor 2022]]*HIX_SLCSP11[[#This Row],[2022]],2)</f>
        <v>30.35</v>
      </c>
      <c r="BM1959" s="53">
        <f>ROUND(HIX_SLCSP11[[#This Row],[Weighting Factor 2023]]*HIX_SLCSP11[[#This Row],[2023]],2)</f>
        <v>24.91</v>
      </c>
    </row>
    <row r="1960" spans="4:65" x14ac:dyDescent="0.35">
      <c r="D1960" t="s">
        <v>1662</v>
      </c>
      <c r="E1960" t="s">
        <v>649</v>
      </c>
      <c r="F1960" s="23">
        <v>33</v>
      </c>
      <c r="G1960" s="23" t="s">
        <v>1663</v>
      </c>
      <c r="H1960" s="23" t="s">
        <v>1754</v>
      </c>
      <c r="I1960" s="23">
        <v>70</v>
      </c>
      <c r="J1960" s="53">
        <v>346</v>
      </c>
      <c r="K1960" s="53">
        <v>346.83</v>
      </c>
      <c r="L1960" s="53">
        <v>591.05999999999995</v>
      </c>
      <c r="M1960" s="54">
        <f t="shared" si="101"/>
        <v>1.7041778392872589</v>
      </c>
      <c r="N1960" s="24">
        <v>56</v>
      </c>
      <c r="O1960" s="55">
        <v>462.8</v>
      </c>
      <c r="P1960" s="56">
        <v>465.09</v>
      </c>
      <c r="Q1960" s="56">
        <v>792.6</v>
      </c>
      <c r="R1960" s="57">
        <f t="shared" si="113"/>
        <v>1.7041862865251889</v>
      </c>
      <c r="S1960" s="23">
        <v>120</v>
      </c>
      <c r="T1960" s="53">
        <v>371.06</v>
      </c>
      <c r="U1960" s="53">
        <v>383.11</v>
      </c>
      <c r="V1960" s="53">
        <v>652.9</v>
      </c>
      <c r="W1960" s="57">
        <f t="shared" si="114"/>
        <v>1.7042102790321316</v>
      </c>
      <c r="X1960" s="23">
        <v>120</v>
      </c>
      <c r="Y1960" s="53">
        <v>309.14</v>
      </c>
      <c r="Z1960" s="53">
        <v>315.85000000000002</v>
      </c>
      <c r="AA1960" s="53">
        <v>538.27</v>
      </c>
      <c r="AB1960" s="57">
        <f t="shared" si="115"/>
        <v>1.7041950292860533</v>
      </c>
      <c r="AC1960" s="47">
        <v>57</v>
      </c>
      <c r="AD1960" s="57">
        <v>291.41000000000003</v>
      </c>
      <c r="AE1960" s="57">
        <v>295.16000000000003</v>
      </c>
      <c r="AF1960" s="57">
        <v>503.01</v>
      </c>
      <c r="AG1960" s="57">
        <f t="shared" si="116"/>
        <v>1.7041943352757825</v>
      </c>
      <c r="AH1960" s="47">
        <v>95</v>
      </c>
      <c r="AI1960">
        <v>315.7</v>
      </c>
      <c r="AJ1960">
        <v>319.36</v>
      </c>
      <c r="AK1960">
        <v>544.25</v>
      </c>
      <c r="AL1960" s="57">
        <f t="shared" si="93"/>
        <v>1.704189629258517</v>
      </c>
      <c r="AM1960" s="59">
        <v>288</v>
      </c>
      <c r="AN1960" s="59">
        <f>SUMIFS(HIX_RatingAreas8[Silver Enrollments 2018],HIX_RatingAreas8[Area],HIX_SLCSP11[[#This Row],[Area Code]])</f>
        <v>197</v>
      </c>
      <c r="AO1960" s="59">
        <f>SUMIFS(HIX_RatingAreas8[Silver Enrollments 2019],HIX_RatingAreas8[Area],HIX_SLCSP11[[#This Row],[Area Code]])</f>
        <v>153</v>
      </c>
      <c r="AP1960" s="59">
        <f>SUMIFS(HIX_RatingAreas8[Silver Enrollments 2020],HIX_RatingAreas8[Area],HIX_SLCSP11[[#This Row],[Area Code]])</f>
        <v>96</v>
      </c>
      <c r="AQ1960" s="59">
        <f>SUMIFS(HIX_RatingAreas8[Silver Enrollments 2021],HIX_RatingAreas8[Area],HIX_SLCSP11[[#This Row],[Area Code]])</f>
        <v>98</v>
      </c>
      <c r="AR1960" s="59">
        <f>SUMIFS(HIX_RatingAreas8[Silver Enrollments 2022],HIX_RatingAreas8[Area],HIX_SLCSP11[[#This Row],[Area Code]])</f>
        <v>136</v>
      </c>
      <c r="AS1960" s="59">
        <f>SUMIFS(HIX_RatingAreas8[Silver Enrollments 2023],HIX_RatingAreas8[Area],HIX_SLCSP11[[#This Row],[Area Code]])</f>
        <v>136</v>
      </c>
      <c r="AT1960" s="59">
        <v>318</v>
      </c>
      <c r="AU1960">
        <f t="shared" si="107"/>
        <v>1.3716060298906596E-3</v>
      </c>
      <c r="AV1960">
        <f>SUMIFS(HIX_RatingAreas8[QHP Enrollments 2018],HIX_RatingAreas8[Area],HIX_SLCSP11[[#This Row],[Area Code]])</f>
        <v>244</v>
      </c>
      <c r="AW1960">
        <f t="shared" si="108"/>
        <v>1.1297185426630799E-3</v>
      </c>
      <c r="AX1960">
        <f>SUMIFS(HIX_RatingAreas8[QHP Enrollments 2019],HIX_RatingAreas8[Area],HIX_SLCSP11[[#This Row],[Area Code]])</f>
        <v>234</v>
      </c>
      <c r="AY1960">
        <f t="shared" si="109"/>
        <v>1.0885948752302798E-3</v>
      </c>
      <c r="AZ1960">
        <f>SUMIFS(HIX_RatingAreas8[QHP Enrollments 2020],HIX_RatingAreas8[Area],HIX_SLCSP11[[#This Row],[Area Code]])</f>
        <v>225</v>
      </c>
      <c r="BA1960">
        <f t="shared" si="110"/>
        <v>1.0512544970331262E-3</v>
      </c>
      <c r="BB1960">
        <f>SUMIFS(HIX_RatingAreas8[QHP Enrollments 2021],HIX_RatingAreas8[Area],HIX_SLCSP11[[#This Row],[Area Code]])</f>
        <v>247</v>
      </c>
      <c r="BC1960">
        <f t="shared" si="111"/>
        <v>1.0736796348619865E-3</v>
      </c>
      <c r="BD1960">
        <f>SUMIFS(HIX_RatingAreas8[QHP Enrollments 2022],HIX_RatingAreas8[Area],HIX_SLCSP11[[#This Row],[Area Code]])</f>
        <v>303</v>
      </c>
      <c r="BE1960">
        <f t="shared" si="112"/>
        <v>1.0086819888678793E-3</v>
      </c>
      <c r="BF1960">
        <f>SUMIFS(HIX_RatingAreas8[QHP Enrollments 2023],HIX_RatingAreas8[Area],HIX_SLCSP11[[#This Row],[Area Code]])</f>
        <v>303</v>
      </c>
      <c r="BG1960">
        <f t="shared" si="117"/>
        <v>1.0086819888678793E-3</v>
      </c>
      <c r="BH1960" s="53">
        <f>ROUND(HIX_SLCSP11[[#This Row],[Weighting Factor 2018]]*HIX_SLCSP11[[#This Row],[2018]],2)</f>
        <v>0.39</v>
      </c>
      <c r="BI1960" s="53">
        <f>ROUND(HIX_SLCSP11[[#This Row],[Weighting Factor 2019]]*HIX_SLCSP11[[#This Row],[2019]],2)</f>
        <v>0.51</v>
      </c>
      <c r="BJ1960" s="53">
        <f>ROUND(HIX_SLCSP11[[#This Row],[Weighting Factor 2020]]*HIX_SLCSP11[[#This Row],[2020]],2)</f>
        <v>0.4</v>
      </c>
      <c r="BK1960" s="53">
        <f>ROUND(HIX_SLCSP11[[#This Row],[Weighting Factor 2021]]*HIX_SLCSP11[[#This Row],[2021]],2)</f>
        <v>0.34</v>
      </c>
      <c r="BL1960" s="53">
        <f>ROUND(HIX_SLCSP11[[#This Row],[Weighting Factor 2022]]*HIX_SLCSP11[[#This Row],[2022]],2)</f>
        <v>0.3</v>
      </c>
      <c r="BM1960" s="53">
        <f>ROUND(HIX_SLCSP11[[#This Row],[Weighting Factor 2023]]*HIX_SLCSP11[[#This Row],[2023]],2)</f>
        <v>0.32</v>
      </c>
    </row>
    <row r="1961" spans="4:65" x14ac:dyDescent="0.35">
      <c r="D1961" t="s">
        <v>1662</v>
      </c>
      <c r="E1961" t="s">
        <v>652</v>
      </c>
      <c r="F1961" s="23">
        <v>34</v>
      </c>
      <c r="G1961" s="23" t="s">
        <v>1663</v>
      </c>
      <c r="H1961" s="23" t="s">
        <v>1757</v>
      </c>
      <c r="I1961" s="23">
        <v>70</v>
      </c>
      <c r="J1961" s="53">
        <v>348.21</v>
      </c>
      <c r="K1961" s="53">
        <v>349.05</v>
      </c>
      <c r="L1961" s="53">
        <v>594.84</v>
      </c>
      <c r="M1961" s="54">
        <f t="shared" si="101"/>
        <v>1.7041684572410829</v>
      </c>
      <c r="N1961" s="24">
        <v>56</v>
      </c>
      <c r="O1961" s="55">
        <v>465.97</v>
      </c>
      <c r="P1961" s="56">
        <v>468.27</v>
      </c>
      <c r="Q1961" s="56">
        <v>798.03</v>
      </c>
      <c r="R1961" s="57">
        <f t="shared" si="113"/>
        <v>1.704209110128772</v>
      </c>
      <c r="S1961" s="23">
        <v>120</v>
      </c>
      <c r="T1961" s="53">
        <v>305.13</v>
      </c>
      <c r="U1961" s="53">
        <v>310.2</v>
      </c>
      <c r="V1961" s="53">
        <v>528.65</v>
      </c>
      <c r="W1961" s="57">
        <f t="shared" si="114"/>
        <v>1.7042230818826563</v>
      </c>
      <c r="X1961" s="23">
        <v>120</v>
      </c>
      <c r="Y1961" s="53">
        <v>325.98</v>
      </c>
      <c r="Z1961" s="53">
        <v>333.06</v>
      </c>
      <c r="AA1961" s="53">
        <v>567.6</v>
      </c>
      <c r="AB1961" s="57">
        <f t="shared" si="115"/>
        <v>1.70419744190236</v>
      </c>
      <c r="AC1961" s="47">
        <v>57</v>
      </c>
      <c r="AD1961" s="57">
        <v>313.52</v>
      </c>
      <c r="AE1961" s="57">
        <v>317.56</v>
      </c>
      <c r="AF1961" s="57">
        <v>541.19000000000005</v>
      </c>
      <c r="AG1961" s="57">
        <f t="shared" si="116"/>
        <v>1.7042133769996224</v>
      </c>
      <c r="AH1961" s="47">
        <v>107</v>
      </c>
      <c r="AI1961">
        <v>377.16</v>
      </c>
      <c r="AJ1961">
        <v>381.53</v>
      </c>
      <c r="AK1961">
        <v>650.20000000000005</v>
      </c>
      <c r="AL1961" s="57">
        <f t="shared" si="93"/>
        <v>1.7041910203653712</v>
      </c>
      <c r="AM1961" s="59">
        <v>1439</v>
      </c>
      <c r="AN1961" s="59">
        <f>SUMIFS(HIX_RatingAreas8[Silver Enrollments 2018],HIX_RatingAreas8[Area],HIX_SLCSP11[[#This Row],[Area Code]])</f>
        <v>1030</v>
      </c>
      <c r="AO1961" s="59">
        <f>SUMIFS(HIX_RatingAreas8[Silver Enrollments 2019],HIX_RatingAreas8[Area],HIX_SLCSP11[[#This Row],[Area Code]])</f>
        <v>781</v>
      </c>
      <c r="AP1961" s="59">
        <f>SUMIFS(HIX_RatingAreas8[Silver Enrollments 2020],HIX_RatingAreas8[Area],HIX_SLCSP11[[#This Row],[Area Code]])</f>
        <v>512</v>
      </c>
      <c r="AQ1961" s="59">
        <f>SUMIFS(HIX_RatingAreas8[Silver Enrollments 2021],HIX_RatingAreas8[Area],HIX_SLCSP11[[#This Row],[Area Code]])</f>
        <v>508</v>
      </c>
      <c r="AR1961" s="59">
        <f>SUMIFS(HIX_RatingAreas8[Silver Enrollments 2022],HIX_RatingAreas8[Area],HIX_SLCSP11[[#This Row],[Area Code]])</f>
        <v>700</v>
      </c>
      <c r="AS1961" s="59">
        <f>SUMIFS(HIX_RatingAreas8[Silver Enrollments 2023],HIX_RatingAreas8[Area],HIX_SLCSP11[[#This Row],[Area Code]])</f>
        <v>700</v>
      </c>
      <c r="AT1961" s="59">
        <v>1591</v>
      </c>
      <c r="AU1961">
        <f t="shared" si="107"/>
        <v>6.8623433759623887E-3</v>
      </c>
      <c r="AV1961">
        <f>SUMIFS(HIX_RatingAreas8[QHP Enrollments 2018],HIX_RatingAreas8[Area],HIX_SLCSP11[[#This Row],[Area Code]])</f>
        <v>1342</v>
      </c>
      <c r="AW1961">
        <f t="shared" si="108"/>
        <v>6.2134519846469395E-3</v>
      </c>
      <c r="AX1961">
        <f>SUMIFS(HIX_RatingAreas8[QHP Enrollments 2019],HIX_RatingAreas8[Area],HIX_SLCSP11[[#This Row],[Area Code]])</f>
        <v>1280</v>
      </c>
      <c r="AY1961">
        <f t="shared" si="109"/>
        <v>5.9547070098066581E-3</v>
      </c>
      <c r="AZ1961">
        <f>SUMIFS(HIX_RatingAreas8[QHP Enrollments 2020],HIX_RatingAreas8[Area],HIX_SLCSP11[[#This Row],[Area Code]])</f>
        <v>1048</v>
      </c>
      <c r="BA1961">
        <f t="shared" si="110"/>
        <v>4.8965098350698504E-3</v>
      </c>
      <c r="BB1961">
        <f>SUMIFS(HIX_RatingAreas8[QHP Enrollments 2021],HIX_RatingAreas8[Area],HIX_SLCSP11[[#This Row],[Area Code]])</f>
        <v>993</v>
      </c>
      <c r="BC1961">
        <f t="shared" si="111"/>
        <v>4.3164529450119542E-3</v>
      </c>
      <c r="BD1961">
        <f>SUMIFS(HIX_RatingAreas8[QHP Enrollments 2022],HIX_RatingAreas8[Area],HIX_SLCSP11[[#This Row],[Area Code]])</f>
        <v>1398</v>
      </c>
      <c r="BE1961">
        <f t="shared" si="112"/>
        <v>4.6539188793310073E-3</v>
      </c>
      <c r="BF1961">
        <f>SUMIFS(HIX_RatingAreas8[QHP Enrollments 2023],HIX_RatingAreas8[Area],HIX_SLCSP11[[#This Row],[Area Code]])</f>
        <v>1398</v>
      </c>
      <c r="BG1961">
        <f t="shared" si="117"/>
        <v>4.6539188793310073E-3</v>
      </c>
      <c r="BH1961" s="53">
        <f>ROUND(HIX_SLCSP11[[#This Row],[Weighting Factor 2018]]*HIX_SLCSP11[[#This Row],[2018]],2)</f>
        <v>2.17</v>
      </c>
      <c r="BI1961" s="53">
        <f>ROUND(HIX_SLCSP11[[#This Row],[Weighting Factor 2019]]*HIX_SLCSP11[[#This Row],[2019]],2)</f>
        <v>2.79</v>
      </c>
      <c r="BJ1961" s="53">
        <f>ROUND(HIX_SLCSP11[[#This Row],[Weighting Factor 2020]]*HIX_SLCSP11[[#This Row],[2020]],2)</f>
        <v>1.52</v>
      </c>
      <c r="BK1961" s="53">
        <f>ROUND(HIX_SLCSP11[[#This Row],[Weighting Factor 2021]]*HIX_SLCSP11[[#This Row],[2021]],2)</f>
        <v>1.44</v>
      </c>
      <c r="BL1961" s="53">
        <f>ROUND(HIX_SLCSP11[[#This Row],[Weighting Factor 2022]]*HIX_SLCSP11[[#This Row],[2022]],2)</f>
        <v>1.48</v>
      </c>
      <c r="BM1961" s="53">
        <f>ROUND(HIX_SLCSP11[[#This Row],[Weighting Factor 2023]]*HIX_SLCSP11[[#This Row],[2023]],2)</f>
        <v>1.78</v>
      </c>
    </row>
    <row r="1962" spans="4:65" x14ac:dyDescent="0.35">
      <c r="D1962" t="s">
        <v>1662</v>
      </c>
      <c r="E1962" t="s">
        <v>656</v>
      </c>
      <c r="F1962" s="23">
        <v>35</v>
      </c>
      <c r="G1962" s="23" t="s">
        <v>1663</v>
      </c>
      <c r="H1962" s="23" t="s">
        <v>1759</v>
      </c>
      <c r="I1962" s="23">
        <v>70</v>
      </c>
      <c r="J1962" s="53">
        <v>352.3</v>
      </c>
      <c r="K1962" s="53">
        <v>353.14</v>
      </c>
      <c r="L1962" s="53">
        <v>601.83000000000004</v>
      </c>
      <c r="M1962" s="54">
        <f t="shared" si="101"/>
        <v>1.7042249532763212</v>
      </c>
      <c r="N1962" s="24">
        <v>56</v>
      </c>
      <c r="O1962" s="55">
        <v>471.4</v>
      </c>
      <c r="P1962" s="56">
        <v>473.73</v>
      </c>
      <c r="Q1962" s="56">
        <v>807.33</v>
      </c>
      <c r="R1962" s="57">
        <f t="shared" si="113"/>
        <v>1.7041985941359001</v>
      </c>
      <c r="S1962" s="23">
        <v>120</v>
      </c>
      <c r="T1962" s="53">
        <v>458.35</v>
      </c>
      <c r="U1962" s="53">
        <v>464.17</v>
      </c>
      <c r="V1962" s="53">
        <v>791.04</v>
      </c>
      <c r="W1962" s="57">
        <f t="shared" si="114"/>
        <v>1.7042032014132751</v>
      </c>
      <c r="X1962" s="23">
        <v>120</v>
      </c>
      <c r="Y1962" s="53">
        <v>326.93</v>
      </c>
      <c r="Z1962" s="53">
        <v>334.02</v>
      </c>
      <c r="AA1962" s="53">
        <v>569.24</v>
      </c>
      <c r="AB1962" s="57">
        <f t="shared" si="115"/>
        <v>1.7042093287827078</v>
      </c>
      <c r="AC1962" s="47">
        <v>57</v>
      </c>
      <c r="AD1962" s="57">
        <v>313.99</v>
      </c>
      <c r="AE1962" s="57">
        <v>318.02999999999997</v>
      </c>
      <c r="AF1962" s="57">
        <v>541.99</v>
      </c>
      <c r="AG1962" s="57">
        <f t="shared" si="116"/>
        <v>1.7042102946262934</v>
      </c>
      <c r="AH1962" s="47">
        <v>94</v>
      </c>
      <c r="AI1962">
        <v>377.16</v>
      </c>
      <c r="AJ1962">
        <v>381.53</v>
      </c>
      <c r="AK1962">
        <v>650.20000000000005</v>
      </c>
      <c r="AL1962" s="57">
        <f t="shared" si="93"/>
        <v>1.7041910203653712</v>
      </c>
      <c r="AM1962" s="59">
        <v>817</v>
      </c>
      <c r="AN1962" s="59">
        <f>SUMIFS(HIX_RatingAreas8[Silver Enrollments 2018],HIX_RatingAreas8[Area],HIX_SLCSP11[[#This Row],[Area Code]])</f>
        <v>609</v>
      </c>
      <c r="AO1962" s="59">
        <f>SUMIFS(HIX_RatingAreas8[Silver Enrollments 2019],HIX_RatingAreas8[Area],HIX_SLCSP11[[#This Row],[Area Code]])</f>
        <v>431</v>
      </c>
      <c r="AP1962" s="59">
        <f>SUMIFS(HIX_RatingAreas8[Silver Enrollments 2020],HIX_RatingAreas8[Area],HIX_SLCSP11[[#This Row],[Area Code]])</f>
        <v>398</v>
      </c>
      <c r="AQ1962" s="59">
        <f>SUMIFS(HIX_RatingAreas8[Silver Enrollments 2021],HIX_RatingAreas8[Area],HIX_SLCSP11[[#This Row],[Area Code]])</f>
        <v>276</v>
      </c>
      <c r="AR1962" s="59">
        <f>SUMIFS(HIX_RatingAreas8[Silver Enrollments 2022],HIX_RatingAreas8[Area],HIX_SLCSP11[[#This Row],[Area Code]])</f>
        <v>360</v>
      </c>
      <c r="AS1962" s="59">
        <f>SUMIFS(HIX_RatingAreas8[Silver Enrollments 2023],HIX_RatingAreas8[Area],HIX_SLCSP11[[#This Row],[Area Code]])</f>
        <v>360</v>
      </c>
      <c r="AT1962" s="59">
        <v>922</v>
      </c>
      <c r="AU1962">
        <f t="shared" si="107"/>
        <v>3.9767948413810955E-3</v>
      </c>
      <c r="AV1962">
        <f>SUMIFS(HIX_RatingAreas8[QHP Enrollments 2018],HIX_RatingAreas8[Area],HIX_SLCSP11[[#This Row],[Area Code]])</f>
        <v>786</v>
      </c>
      <c r="AW1962">
        <f t="shared" si="108"/>
        <v>3.6391753054638562E-3</v>
      </c>
      <c r="AX1962">
        <f>SUMIFS(HIX_RatingAreas8[QHP Enrollments 2019],HIX_RatingAreas8[Area],HIX_SLCSP11[[#This Row],[Area Code]])</f>
        <v>694</v>
      </c>
      <c r="AY1962">
        <f t="shared" si="109"/>
        <v>3.2285677068795474E-3</v>
      </c>
      <c r="AZ1962">
        <f>SUMIFS(HIX_RatingAreas8[QHP Enrollments 2020],HIX_RatingAreas8[Area],HIX_SLCSP11[[#This Row],[Area Code]])</f>
        <v>722</v>
      </c>
      <c r="BA1962">
        <f t="shared" si="110"/>
        <v>3.3733588749240762E-3</v>
      </c>
      <c r="BB1962">
        <f>SUMIFS(HIX_RatingAreas8[QHP Enrollments 2021],HIX_RatingAreas8[Area],HIX_SLCSP11[[#This Row],[Area Code]])</f>
        <v>727</v>
      </c>
      <c r="BC1962">
        <f t="shared" si="111"/>
        <v>3.1601825690067377E-3</v>
      </c>
      <c r="BD1962">
        <f>SUMIFS(HIX_RatingAreas8[QHP Enrollments 2022],HIX_RatingAreas8[Area],HIX_SLCSP11[[#This Row],[Area Code]])</f>
        <v>880</v>
      </c>
      <c r="BE1962">
        <f t="shared" si="112"/>
        <v>2.9295054462169434E-3</v>
      </c>
      <c r="BF1962">
        <f>SUMIFS(HIX_RatingAreas8[QHP Enrollments 2023],HIX_RatingAreas8[Area],HIX_SLCSP11[[#This Row],[Area Code]])</f>
        <v>880</v>
      </c>
      <c r="BG1962">
        <f t="shared" si="117"/>
        <v>2.9295054462169434E-3</v>
      </c>
      <c r="BH1962" s="53">
        <f>ROUND(HIX_SLCSP11[[#This Row],[Weighting Factor 2018]]*HIX_SLCSP11[[#This Row],[2018]],2)</f>
        <v>1.29</v>
      </c>
      <c r="BI1962" s="53">
        <f>ROUND(HIX_SLCSP11[[#This Row],[Weighting Factor 2019]]*HIX_SLCSP11[[#This Row],[2019]],2)</f>
        <v>1.53</v>
      </c>
      <c r="BJ1962" s="53">
        <f>ROUND(HIX_SLCSP11[[#This Row],[Weighting Factor 2020]]*HIX_SLCSP11[[#This Row],[2020]],2)</f>
        <v>1.57</v>
      </c>
      <c r="BK1962" s="53">
        <f>ROUND(HIX_SLCSP11[[#This Row],[Weighting Factor 2021]]*HIX_SLCSP11[[#This Row],[2021]],2)</f>
        <v>1.06</v>
      </c>
      <c r="BL1962" s="53">
        <f>ROUND(HIX_SLCSP11[[#This Row],[Weighting Factor 2022]]*HIX_SLCSP11[[#This Row],[2022]],2)</f>
        <v>0.93</v>
      </c>
      <c r="BM1962" s="53">
        <f>ROUND(HIX_SLCSP11[[#This Row],[Weighting Factor 2023]]*HIX_SLCSP11[[#This Row],[2023]],2)</f>
        <v>1.1200000000000001</v>
      </c>
    </row>
    <row r="1963" spans="4:65" x14ac:dyDescent="0.35">
      <c r="D1963" t="s">
        <v>1662</v>
      </c>
      <c r="E1963" t="s">
        <v>659</v>
      </c>
      <c r="F1963" s="23">
        <v>36</v>
      </c>
      <c r="G1963" s="23" t="s">
        <v>1663</v>
      </c>
      <c r="H1963" s="23" t="s">
        <v>1762</v>
      </c>
      <c r="I1963" s="23">
        <v>70</v>
      </c>
      <c r="J1963" s="53">
        <v>331.18</v>
      </c>
      <c r="K1963" s="53">
        <v>331.97</v>
      </c>
      <c r="L1963" s="53">
        <v>565.74</v>
      </c>
      <c r="M1963" s="54">
        <f t="shared" si="101"/>
        <v>1.7041901376630417</v>
      </c>
      <c r="N1963" s="24">
        <v>56</v>
      </c>
      <c r="O1963" s="55">
        <v>443.12</v>
      </c>
      <c r="P1963" s="56">
        <v>445.3</v>
      </c>
      <c r="Q1963" s="56">
        <v>758.88</v>
      </c>
      <c r="R1963" s="57">
        <f t="shared" si="113"/>
        <v>1.7041994161239613</v>
      </c>
      <c r="S1963" s="23">
        <v>76</v>
      </c>
      <c r="T1963" s="53">
        <v>423.46</v>
      </c>
      <c r="U1963" s="53">
        <v>428.84</v>
      </c>
      <c r="V1963" s="53">
        <v>730.83</v>
      </c>
      <c r="W1963" s="57">
        <f t="shared" si="114"/>
        <v>1.7042020333924077</v>
      </c>
      <c r="X1963" s="23">
        <v>76</v>
      </c>
      <c r="Y1963" s="53">
        <v>311.19</v>
      </c>
      <c r="Z1963" s="53">
        <v>317.94</v>
      </c>
      <c r="AA1963" s="53">
        <v>541.84</v>
      </c>
      <c r="AB1963" s="57">
        <f t="shared" si="115"/>
        <v>1.7042209221865763</v>
      </c>
      <c r="AC1963" s="47">
        <v>57</v>
      </c>
      <c r="AD1963" s="57">
        <v>311.82</v>
      </c>
      <c r="AE1963" s="57">
        <v>315.83999999999997</v>
      </c>
      <c r="AF1963" s="57">
        <v>538.25</v>
      </c>
      <c r="AG1963" s="57">
        <f t="shared" si="116"/>
        <v>1.7041856636271531</v>
      </c>
      <c r="AH1963" s="47">
        <v>95</v>
      </c>
      <c r="AI1963">
        <v>369.71</v>
      </c>
      <c r="AJ1963">
        <v>376.1</v>
      </c>
      <c r="AK1963">
        <v>640.95000000000005</v>
      </c>
      <c r="AL1963" s="57">
        <f t="shared" si="93"/>
        <v>1.7042010103695826</v>
      </c>
      <c r="AM1963" s="59">
        <v>1124</v>
      </c>
      <c r="AN1963" s="59">
        <f>SUMIFS(HIX_RatingAreas8[Silver Enrollments 2018],HIX_RatingAreas8[Area],HIX_SLCSP11[[#This Row],[Area Code]])</f>
        <v>927</v>
      </c>
      <c r="AO1963" s="59">
        <f>SUMIFS(HIX_RatingAreas8[Silver Enrollments 2019],HIX_RatingAreas8[Area],HIX_SLCSP11[[#This Row],[Area Code]])</f>
        <v>696</v>
      </c>
      <c r="AP1963" s="59">
        <f>SUMIFS(HIX_RatingAreas8[Silver Enrollments 2020],HIX_RatingAreas8[Area],HIX_SLCSP11[[#This Row],[Area Code]])</f>
        <v>660</v>
      </c>
      <c r="AQ1963" s="59">
        <f>SUMIFS(HIX_RatingAreas8[Silver Enrollments 2021],HIX_RatingAreas8[Area],HIX_SLCSP11[[#This Row],[Area Code]])</f>
        <v>555</v>
      </c>
      <c r="AR1963" s="59">
        <f>SUMIFS(HIX_RatingAreas8[Silver Enrollments 2022],HIX_RatingAreas8[Area],HIX_SLCSP11[[#This Row],[Area Code]])</f>
        <v>718</v>
      </c>
      <c r="AS1963" s="59">
        <f>SUMIFS(HIX_RatingAreas8[Silver Enrollments 2023],HIX_RatingAreas8[Area],HIX_SLCSP11[[#This Row],[Area Code]])</f>
        <v>718</v>
      </c>
      <c r="AT1963" s="59">
        <v>1306</v>
      </c>
      <c r="AU1963">
        <f t="shared" si="107"/>
        <v>5.6330738208717028E-3</v>
      </c>
      <c r="AV1963">
        <f>SUMIFS(HIX_RatingAreas8[QHP Enrollments 2018],HIX_RatingAreas8[Area],HIX_SLCSP11[[#This Row],[Area Code]])</f>
        <v>1258</v>
      </c>
      <c r="AW1963">
        <f t="shared" si="108"/>
        <v>5.8245324863530927E-3</v>
      </c>
      <c r="AX1963">
        <f>SUMIFS(HIX_RatingAreas8[QHP Enrollments 2019],HIX_RatingAreas8[Area],HIX_SLCSP11[[#This Row],[Area Code]])</f>
        <v>1205</v>
      </c>
      <c r="AY1963">
        <f t="shared" si="109"/>
        <v>5.6057983959507994E-3</v>
      </c>
      <c r="AZ1963">
        <f>SUMIFS(HIX_RatingAreas8[QHP Enrollments 2020],HIX_RatingAreas8[Area],HIX_SLCSP11[[#This Row],[Area Code]])</f>
        <v>1332</v>
      </c>
      <c r="BA1963">
        <f t="shared" si="110"/>
        <v>6.2234266224361068E-3</v>
      </c>
      <c r="BB1963">
        <f>SUMIFS(HIX_RatingAreas8[QHP Enrollments 2021],HIX_RatingAreas8[Area],HIX_SLCSP11[[#This Row],[Area Code]])</f>
        <v>1449</v>
      </c>
      <c r="BC1963">
        <f t="shared" si="111"/>
        <v>6.2986307324494678E-3</v>
      </c>
      <c r="BD1963">
        <f>SUMIFS(HIX_RatingAreas8[QHP Enrollments 2022],HIX_RatingAreas8[Area],HIX_SLCSP11[[#This Row],[Area Code]])</f>
        <v>1815</v>
      </c>
      <c r="BE1963">
        <f t="shared" si="112"/>
        <v>6.0421049828224454E-3</v>
      </c>
      <c r="BF1963">
        <f>SUMIFS(HIX_RatingAreas8[QHP Enrollments 2023],HIX_RatingAreas8[Area],HIX_SLCSP11[[#This Row],[Area Code]])</f>
        <v>1815</v>
      </c>
      <c r="BG1963">
        <f t="shared" si="117"/>
        <v>6.0421049828224454E-3</v>
      </c>
      <c r="BH1963" s="53">
        <f>ROUND(HIX_SLCSP11[[#This Row],[Weighting Factor 2018]]*HIX_SLCSP11[[#This Row],[2018]],2)</f>
        <v>1.93</v>
      </c>
      <c r="BI1963" s="53">
        <f>ROUND(HIX_SLCSP11[[#This Row],[Weighting Factor 2019]]*HIX_SLCSP11[[#This Row],[2019]],2)</f>
        <v>2.5</v>
      </c>
      <c r="BJ1963" s="53">
        <f>ROUND(HIX_SLCSP11[[#This Row],[Weighting Factor 2020]]*HIX_SLCSP11[[#This Row],[2020]],2)</f>
        <v>2.67</v>
      </c>
      <c r="BK1963" s="53">
        <f>ROUND(HIX_SLCSP11[[#This Row],[Weighting Factor 2021]]*HIX_SLCSP11[[#This Row],[2021]],2)</f>
        <v>2</v>
      </c>
      <c r="BL1963" s="53">
        <f>ROUND(HIX_SLCSP11[[#This Row],[Weighting Factor 2022]]*HIX_SLCSP11[[#This Row],[2022]],2)</f>
        <v>1.91</v>
      </c>
      <c r="BM1963" s="53">
        <f>ROUND(HIX_SLCSP11[[#This Row],[Weighting Factor 2023]]*HIX_SLCSP11[[#This Row],[2023]],2)</f>
        <v>2.27</v>
      </c>
    </row>
    <row r="1964" spans="4:65" x14ac:dyDescent="0.35">
      <c r="D1964" t="s">
        <v>1662</v>
      </c>
      <c r="E1964" t="s">
        <v>663</v>
      </c>
      <c r="F1964" s="23">
        <v>37</v>
      </c>
      <c r="G1964" s="23" t="s">
        <v>1663</v>
      </c>
      <c r="H1964" s="23" t="s">
        <v>1765</v>
      </c>
      <c r="I1964" s="23">
        <v>70</v>
      </c>
      <c r="J1964" s="53">
        <v>358.77</v>
      </c>
      <c r="K1964" s="53">
        <v>359.63</v>
      </c>
      <c r="L1964" s="53">
        <v>612.89</v>
      </c>
      <c r="M1964" s="54">
        <f t="shared" si="101"/>
        <v>1.7042237855573783</v>
      </c>
      <c r="N1964" s="24">
        <v>56</v>
      </c>
      <c r="O1964" s="55">
        <v>480</v>
      </c>
      <c r="P1964" s="56">
        <v>482.37</v>
      </c>
      <c r="Q1964" s="56">
        <v>822.06</v>
      </c>
      <c r="R1964" s="57">
        <f t="shared" si="113"/>
        <v>1.7042104608495552</v>
      </c>
      <c r="S1964" s="23">
        <v>60</v>
      </c>
      <c r="T1964" s="53">
        <v>423.46</v>
      </c>
      <c r="U1964" s="53">
        <v>428.84</v>
      </c>
      <c r="V1964" s="53">
        <v>730.83</v>
      </c>
      <c r="W1964" s="57">
        <f t="shared" si="114"/>
        <v>1.7042020333924077</v>
      </c>
      <c r="X1964" s="23">
        <v>60</v>
      </c>
      <c r="Y1964" s="53">
        <v>298.75</v>
      </c>
      <c r="Z1964" s="53">
        <v>305.24</v>
      </c>
      <c r="AA1964" s="53">
        <v>520.19000000000005</v>
      </c>
      <c r="AB1964" s="57">
        <f t="shared" si="115"/>
        <v>1.7041999737911153</v>
      </c>
      <c r="AC1964" s="47">
        <v>8</v>
      </c>
      <c r="AD1964" s="57">
        <v>422.08</v>
      </c>
      <c r="AE1964" s="57">
        <v>422.08</v>
      </c>
      <c r="AF1964" s="57">
        <v>719.31</v>
      </c>
      <c r="AG1964" s="57">
        <f t="shared" si="116"/>
        <v>1.7042029946929491</v>
      </c>
      <c r="AH1964" s="47">
        <v>90</v>
      </c>
      <c r="AI1964">
        <v>361.45</v>
      </c>
      <c r="AJ1964">
        <v>364.19</v>
      </c>
      <c r="AK1964">
        <v>620.65</v>
      </c>
      <c r="AL1964" s="57">
        <f t="shared" si="93"/>
        <v>1.7041928663609653</v>
      </c>
      <c r="AM1964" s="59">
        <v>2603</v>
      </c>
      <c r="AN1964" s="59">
        <f>SUMIFS(HIX_RatingAreas8[Silver Enrollments 2018],HIX_RatingAreas8[Area],HIX_SLCSP11[[#This Row],[Area Code]])</f>
        <v>1984</v>
      </c>
      <c r="AO1964" s="59">
        <f>SUMIFS(HIX_RatingAreas8[Silver Enrollments 2019],HIX_RatingAreas8[Area],HIX_SLCSP11[[#This Row],[Area Code]])</f>
        <v>1563</v>
      </c>
      <c r="AP1964" s="59">
        <f>SUMIFS(HIX_RatingAreas8[Silver Enrollments 2020],HIX_RatingAreas8[Area],HIX_SLCSP11[[#This Row],[Area Code]])</f>
        <v>1459</v>
      </c>
      <c r="AQ1964" s="59">
        <f>SUMIFS(HIX_RatingAreas8[Silver Enrollments 2021],HIX_RatingAreas8[Area],HIX_SLCSP11[[#This Row],[Area Code]])</f>
        <v>1411</v>
      </c>
      <c r="AR1964" s="59">
        <f>SUMIFS(HIX_RatingAreas8[Silver Enrollments 2022],HIX_RatingAreas8[Area],HIX_SLCSP11[[#This Row],[Area Code]])</f>
        <v>1840</v>
      </c>
      <c r="AS1964" s="59">
        <f>SUMIFS(HIX_RatingAreas8[Silver Enrollments 2023],HIX_RatingAreas8[Area],HIX_SLCSP11[[#This Row],[Area Code]])</f>
        <v>1840</v>
      </c>
      <c r="AT1964" s="59">
        <v>2975</v>
      </c>
      <c r="AU1964">
        <f t="shared" si="107"/>
        <v>1.2831848864543121E-2</v>
      </c>
      <c r="AV1964">
        <f>SUMIFS(HIX_RatingAreas8[QHP Enrollments 2018],HIX_RatingAreas8[Area],HIX_SLCSP11[[#This Row],[Area Code]])</f>
        <v>2810</v>
      </c>
      <c r="AW1964">
        <f t="shared" si="108"/>
        <v>1.301028321673465E-2</v>
      </c>
      <c r="AX1964">
        <f>SUMIFS(HIX_RatingAreas8[QHP Enrollments 2019],HIX_RatingAreas8[Area],HIX_SLCSP11[[#This Row],[Area Code]])</f>
        <v>2821</v>
      </c>
      <c r="AY1964">
        <f t="shared" si="109"/>
        <v>1.3123615995831705E-2</v>
      </c>
      <c r="AZ1964">
        <f>SUMIFS(HIX_RatingAreas8[QHP Enrollments 2020],HIX_RatingAreas8[Area],HIX_SLCSP11[[#This Row],[Area Code]])</f>
        <v>2968</v>
      </c>
      <c r="BA1964">
        <f t="shared" si="110"/>
        <v>1.3867214876419193E-2</v>
      </c>
      <c r="BB1964">
        <f>SUMIFS(HIX_RatingAreas8[QHP Enrollments 2021],HIX_RatingAreas8[Area],HIX_SLCSP11[[#This Row],[Area Code]])</f>
        <v>3136</v>
      </c>
      <c r="BC1964">
        <f t="shared" si="111"/>
        <v>1.3631819169745707E-2</v>
      </c>
      <c r="BD1964">
        <f>SUMIFS(HIX_RatingAreas8[QHP Enrollments 2022],HIX_RatingAreas8[Area],HIX_SLCSP11[[#This Row],[Area Code]])</f>
        <v>4210</v>
      </c>
      <c r="BE1964">
        <f t="shared" si="112"/>
        <v>1.4015020373378786E-2</v>
      </c>
      <c r="BF1964">
        <f>SUMIFS(HIX_RatingAreas8[QHP Enrollments 2023],HIX_RatingAreas8[Area],HIX_SLCSP11[[#This Row],[Area Code]])</f>
        <v>4210</v>
      </c>
      <c r="BG1964">
        <f t="shared" si="117"/>
        <v>1.4015020373378786E-2</v>
      </c>
      <c r="BH1964" s="53">
        <f>ROUND(HIX_SLCSP11[[#This Row],[Weighting Factor 2018]]*HIX_SLCSP11[[#This Row],[2018]],2)</f>
        <v>4.68</v>
      </c>
      <c r="BI1964" s="53">
        <f>ROUND(HIX_SLCSP11[[#This Row],[Weighting Factor 2019]]*HIX_SLCSP11[[#This Row],[2019]],2)</f>
        <v>6.33</v>
      </c>
      <c r="BJ1964" s="53">
        <f>ROUND(HIX_SLCSP11[[#This Row],[Weighting Factor 2020]]*HIX_SLCSP11[[#This Row],[2020]],2)</f>
        <v>5.95</v>
      </c>
      <c r="BK1964" s="53">
        <f>ROUND(HIX_SLCSP11[[#This Row],[Weighting Factor 2021]]*HIX_SLCSP11[[#This Row],[2021]],2)</f>
        <v>4.16</v>
      </c>
      <c r="BL1964" s="53">
        <f>ROUND(HIX_SLCSP11[[#This Row],[Weighting Factor 2022]]*HIX_SLCSP11[[#This Row],[2022]],2)</f>
        <v>5.92</v>
      </c>
      <c r="BM1964" s="53">
        <f>ROUND(HIX_SLCSP11[[#This Row],[Weighting Factor 2023]]*HIX_SLCSP11[[#This Row],[2023]],2)</f>
        <v>5.0999999999999996</v>
      </c>
    </row>
    <row r="1965" spans="4:65" x14ac:dyDescent="0.35">
      <c r="D1965" t="s">
        <v>1662</v>
      </c>
      <c r="E1965" t="s">
        <v>667</v>
      </c>
      <c r="F1965" s="23">
        <v>38</v>
      </c>
      <c r="G1965" s="23" t="s">
        <v>1663</v>
      </c>
      <c r="H1965" s="23" t="s">
        <v>1767</v>
      </c>
      <c r="I1965" s="23">
        <v>70</v>
      </c>
      <c r="J1965" s="53">
        <v>320.10000000000002</v>
      </c>
      <c r="K1965" s="53">
        <v>320.87</v>
      </c>
      <c r="L1965" s="53">
        <v>546.83000000000004</v>
      </c>
      <c r="M1965" s="54">
        <f t="shared" si="101"/>
        <v>1.7042104278991492</v>
      </c>
      <c r="N1965" s="24">
        <v>56</v>
      </c>
      <c r="O1965" s="55">
        <v>428.18</v>
      </c>
      <c r="P1965" s="56">
        <v>430.29</v>
      </c>
      <c r="Q1965" s="56">
        <v>733.3</v>
      </c>
      <c r="R1965" s="57">
        <f t="shared" si="113"/>
        <v>1.7041994933649398</v>
      </c>
      <c r="S1965" s="23">
        <v>120</v>
      </c>
      <c r="T1965" s="53">
        <v>354.59</v>
      </c>
      <c r="U1965" s="53">
        <v>366.11</v>
      </c>
      <c r="V1965" s="53">
        <v>623.92999999999995</v>
      </c>
      <c r="W1965" s="57">
        <f t="shared" si="114"/>
        <v>1.7042145803173907</v>
      </c>
      <c r="X1965" s="23">
        <v>120</v>
      </c>
      <c r="Y1965" s="53">
        <v>277.02999999999997</v>
      </c>
      <c r="Z1965" s="53">
        <v>283.04000000000002</v>
      </c>
      <c r="AA1965" s="53">
        <v>482.36</v>
      </c>
      <c r="AB1965" s="57">
        <f t="shared" si="115"/>
        <v>1.7042114188807236</v>
      </c>
      <c r="AC1965" s="47">
        <v>28</v>
      </c>
      <c r="AD1965" s="57">
        <v>339.76</v>
      </c>
      <c r="AE1965" s="57">
        <v>339.76</v>
      </c>
      <c r="AF1965" s="57">
        <v>579.02</v>
      </c>
      <c r="AG1965" s="57">
        <f t="shared" si="116"/>
        <v>1.7042029668000942</v>
      </c>
      <c r="AH1965" s="47">
        <v>102</v>
      </c>
      <c r="AI1965">
        <v>338.21</v>
      </c>
      <c r="AJ1965">
        <v>340.77</v>
      </c>
      <c r="AK1965">
        <v>580.74</v>
      </c>
      <c r="AL1965" s="57">
        <f t="shared" si="93"/>
        <v>1.7041993133198345</v>
      </c>
      <c r="AM1965" s="59">
        <v>3526</v>
      </c>
      <c r="AN1965" s="59">
        <f>SUMIFS(HIX_RatingAreas8[Silver Enrollments 2018],HIX_RatingAreas8[Area],HIX_SLCSP11[[#This Row],[Area Code]])</f>
        <v>2802</v>
      </c>
      <c r="AO1965" s="59">
        <f>SUMIFS(HIX_RatingAreas8[Silver Enrollments 2019],HIX_RatingAreas8[Area],HIX_SLCSP11[[#This Row],[Area Code]])</f>
        <v>2348</v>
      </c>
      <c r="AP1965" s="59">
        <f>SUMIFS(HIX_RatingAreas8[Silver Enrollments 2020],HIX_RatingAreas8[Area],HIX_SLCSP11[[#This Row],[Area Code]])</f>
        <v>1735</v>
      </c>
      <c r="AQ1965" s="59">
        <f>SUMIFS(HIX_RatingAreas8[Silver Enrollments 2021],HIX_RatingAreas8[Area],HIX_SLCSP11[[#This Row],[Area Code]])</f>
        <v>1521</v>
      </c>
      <c r="AR1965" s="59">
        <f>SUMIFS(HIX_RatingAreas8[Silver Enrollments 2022],HIX_RatingAreas8[Area],HIX_SLCSP11[[#This Row],[Area Code]])</f>
        <v>1958</v>
      </c>
      <c r="AS1965" s="59">
        <f>SUMIFS(HIX_RatingAreas8[Silver Enrollments 2023],HIX_RatingAreas8[Area],HIX_SLCSP11[[#This Row],[Area Code]])</f>
        <v>1958</v>
      </c>
      <c r="AT1965" s="59">
        <v>3997</v>
      </c>
      <c r="AU1965">
        <f t="shared" si="107"/>
        <v>1.7239966356833229E-2</v>
      </c>
      <c r="AV1965">
        <f>SUMIFS(HIX_RatingAreas8[QHP Enrollments 2018],HIX_RatingAreas8[Area],HIX_SLCSP11[[#This Row],[Area Code]])</f>
        <v>3723</v>
      </c>
      <c r="AW1965">
        <f t="shared" si="108"/>
        <v>1.7237467763666584E-2</v>
      </c>
      <c r="AX1965">
        <f>SUMIFS(HIX_RatingAreas8[QHP Enrollments 2019],HIX_RatingAreas8[Area],HIX_SLCSP11[[#This Row],[Area Code]])</f>
        <v>3608</v>
      </c>
      <c r="AY1965">
        <f t="shared" si="109"/>
        <v>1.6784830383892519E-2</v>
      </c>
      <c r="AZ1965">
        <f>SUMIFS(HIX_RatingAreas8[QHP Enrollments 2020],HIX_RatingAreas8[Area],HIX_SLCSP11[[#This Row],[Area Code]])</f>
        <v>3288</v>
      </c>
      <c r="BA1965">
        <f t="shared" si="110"/>
        <v>1.5362332383310751E-2</v>
      </c>
      <c r="BB1965">
        <f>SUMIFS(HIX_RatingAreas8[QHP Enrollments 2021],HIX_RatingAreas8[Area],HIX_SLCSP11[[#This Row],[Area Code]])</f>
        <v>3365</v>
      </c>
      <c r="BC1965">
        <f t="shared" si="111"/>
        <v>1.4627254944577266E-2</v>
      </c>
      <c r="BD1965">
        <f>SUMIFS(HIX_RatingAreas8[QHP Enrollments 2022],HIX_RatingAreas8[Area],HIX_SLCSP11[[#This Row],[Area Code]])</f>
        <v>4508</v>
      </c>
      <c r="BE1965">
        <f t="shared" si="112"/>
        <v>1.5007057444938613E-2</v>
      </c>
      <c r="BF1965">
        <f>SUMIFS(HIX_RatingAreas8[QHP Enrollments 2023],HIX_RatingAreas8[Area],HIX_SLCSP11[[#This Row],[Area Code]])</f>
        <v>4508</v>
      </c>
      <c r="BG1965">
        <f t="shared" si="117"/>
        <v>1.5007057444938613E-2</v>
      </c>
      <c r="BH1965" s="53">
        <f>ROUND(HIX_SLCSP11[[#This Row],[Weighting Factor 2018]]*HIX_SLCSP11[[#This Row],[2018]],2)</f>
        <v>5.53</v>
      </c>
      <c r="BI1965" s="53">
        <f>ROUND(HIX_SLCSP11[[#This Row],[Weighting Factor 2019]]*HIX_SLCSP11[[#This Row],[2019]],2)</f>
        <v>7.22</v>
      </c>
      <c r="BJ1965" s="53">
        <f>ROUND(HIX_SLCSP11[[#This Row],[Weighting Factor 2020]]*HIX_SLCSP11[[#This Row],[2020]],2)</f>
        <v>5.62</v>
      </c>
      <c r="BK1965" s="53">
        <f>ROUND(HIX_SLCSP11[[#This Row],[Weighting Factor 2021]]*HIX_SLCSP11[[#This Row],[2021]],2)</f>
        <v>4.1399999999999997</v>
      </c>
      <c r="BL1965" s="53">
        <f>ROUND(HIX_SLCSP11[[#This Row],[Weighting Factor 2022]]*HIX_SLCSP11[[#This Row],[2022]],2)</f>
        <v>5.0999999999999996</v>
      </c>
      <c r="BM1965" s="53">
        <f>ROUND(HIX_SLCSP11[[#This Row],[Weighting Factor 2023]]*HIX_SLCSP11[[#This Row],[2023]],2)</f>
        <v>5.1100000000000003</v>
      </c>
    </row>
    <row r="1966" spans="4:65" x14ac:dyDescent="0.35">
      <c r="D1966" t="s">
        <v>1662</v>
      </c>
      <c r="E1966" t="s">
        <v>671</v>
      </c>
      <c r="F1966" s="23">
        <v>39</v>
      </c>
      <c r="G1966" s="23" t="s">
        <v>1663</v>
      </c>
      <c r="H1966" s="23" t="s">
        <v>1770</v>
      </c>
      <c r="I1966" s="23">
        <v>70</v>
      </c>
      <c r="J1966" s="53">
        <v>352.3</v>
      </c>
      <c r="K1966" s="53">
        <v>353.14</v>
      </c>
      <c r="L1966" s="53">
        <v>601.83000000000004</v>
      </c>
      <c r="M1966" s="54">
        <f t="shared" si="101"/>
        <v>1.7042249532763212</v>
      </c>
      <c r="N1966" s="24">
        <v>56</v>
      </c>
      <c r="O1966" s="55">
        <v>471.4</v>
      </c>
      <c r="P1966" s="56">
        <v>473.73</v>
      </c>
      <c r="Q1966" s="56">
        <v>807.33</v>
      </c>
      <c r="R1966" s="57">
        <f t="shared" si="113"/>
        <v>1.7041985941359001</v>
      </c>
      <c r="S1966" s="23">
        <v>78</v>
      </c>
      <c r="T1966" s="53">
        <v>403.87</v>
      </c>
      <c r="U1966" s="53">
        <v>434.15</v>
      </c>
      <c r="V1966" s="53">
        <v>739.88</v>
      </c>
      <c r="W1966" s="57">
        <f t="shared" si="114"/>
        <v>1.7042036162616607</v>
      </c>
      <c r="X1966" s="23">
        <v>78</v>
      </c>
      <c r="Y1966" s="53">
        <v>316.7</v>
      </c>
      <c r="Z1966" s="53">
        <v>323.57</v>
      </c>
      <c r="AA1966" s="53">
        <v>551.42999999999995</v>
      </c>
      <c r="AB1966" s="57">
        <f t="shared" si="115"/>
        <v>1.7042061995858699</v>
      </c>
      <c r="AC1966" s="47">
        <v>73</v>
      </c>
      <c r="AD1966" s="57">
        <v>318.47000000000003</v>
      </c>
      <c r="AE1966" s="57">
        <v>322.57</v>
      </c>
      <c r="AF1966" s="57">
        <v>549.73</v>
      </c>
      <c r="AG1966" s="57">
        <f t="shared" si="116"/>
        <v>1.7042192392348949</v>
      </c>
      <c r="AH1966" s="47">
        <v>94</v>
      </c>
      <c r="AI1966">
        <v>392.44</v>
      </c>
      <c r="AJ1966">
        <v>395.41</v>
      </c>
      <c r="AK1966">
        <v>673.85</v>
      </c>
      <c r="AL1966" s="57">
        <f t="shared" si="93"/>
        <v>1.704180470903619</v>
      </c>
      <c r="AM1966" s="59">
        <v>4809</v>
      </c>
      <c r="AN1966" s="59">
        <f>SUMIFS(HIX_RatingAreas8[Silver Enrollments 2018],HIX_RatingAreas8[Area],HIX_SLCSP11[[#This Row],[Area Code]])</f>
        <v>3756</v>
      </c>
      <c r="AO1966" s="59">
        <f>SUMIFS(HIX_RatingAreas8[Silver Enrollments 2019],HIX_RatingAreas8[Area],HIX_SLCSP11[[#This Row],[Area Code]])</f>
        <v>2968</v>
      </c>
      <c r="AP1966" s="59">
        <f>SUMIFS(HIX_RatingAreas8[Silver Enrollments 2020],HIX_RatingAreas8[Area],HIX_SLCSP11[[#This Row],[Area Code]])</f>
        <v>2546</v>
      </c>
      <c r="AQ1966" s="59">
        <f>SUMIFS(HIX_RatingAreas8[Silver Enrollments 2021],HIX_RatingAreas8[Area],HIX_SLCSP11[[#This Row],[Area Code]])</f>
        <v>2542</v>
      </c>
      <c r="AR1966" s="59">
        <f>SUMIFS(HIX_RatingAreas8[Silver Enrollments 2022],HIX_RatingAreas8[Area],HIX_SLCSP11[[#This Row],[Area Code]])</f>
        <v>2963</v>
      </c>
      <c r="AS1966" s="59">
        <f>SUMIFS(HIX_RatingAreas8[Silver Enrollments 2023],HIX_RatingAreas8[Area],HIX_SLCSP11[[#This Row],[Area Code]])</f>
        <v>2963</v>
      </c>
      <c r="AT1966" s="59">
        <v>5388</v>
      </c>
      <c r="AU1966">
        <f t="shared" si="107"/>
        <v>2.3239664430977594E-2</v>
      </c>
      <c r="AV1966">
        <f>SUMIFS(HIX_RatingAreas8[QHP Enrollments 2018],HIX_RatingAreas8[Area],HIX_SLCSP11[[#This Row],[Area Code]])</f>
        <v>5057</v>
      </c>
      <c r="AW1966">
        <f t="shared" si="108"/>
        <v>2.3413879796095063E-2</v>
      </c>
      <c r="AX1966">
        <f>SUMIFS(HIX_RatingAreas8[QHP Enrollments 2019],HIX_RatingAreas8[Area],HIX_SLCSP11[[#This Row],[Area Code]])</f>
        <v>4929</v>
      </c>
      <c r="AY1966">
        <f t="shared" si="109"/>
        <v>2.2930274102607045E-2</v>
      </c>
      <c r="AZ1966">
        <f>SUMIFS(HIX_RatingAreas8[QHP Enrollments 2020],HIX_RatingAreas8[Area],HIX_SLCSP11[[#This Row],[Area Code]])</f>
        <v>5021</v>
      </c>
      <c r="BA1966">
        <f t="shared" si="110"/>
        <v>2.3459328131570339E-2</v>
      </c>
      <c r="BB1966">
        <f>SUMIFS(HIX_RatingAreas8[QHP Enrollments 2021],HIX_RatingAreas8[Area],HIX_SLCSP11[[#This Row],[Area Code]])</f>
        <v>5458</v>
      </c>
      <c r="BC1966">
        <f t="shared" si="111"/>
        <v>2.372527711367094E-2</v>
      </c>
      <c r="BD1966">
        <f>SUMIFS(HIX_RatingAreas8[QHP Enrollments 2022],HIX_RatingAreas8[Area],HIX_SLCSP11[[#This Row],[Area Code]])</f>
        <v>7048</v>
      </c>
      <c r="BE1966">
        <f t="shared" si="112"/>
        <v>2.3462675437428426E-2</v>
      </c>
      <c r="BF1966">
        <f>SUMIFS(HIX_RatingAreas8[QHP Enrollments 2023],HIX_RatingAreas8[Area],HIX_SLCSP11[[#This Row],[Area Code]])</f>
        <v>7048</v>
      </c>
      <c r="BG1966">
        <f t="shared" si="117"/>
        <v>2.3462675437428426E-2</v>
      </c>
      <c r="BH1966" s="53">
        <f>ROUND(HIX_SLCSP11[[#This Row],[Weighting Factor 2018]]*HIX_SLCSP11[[#This Row],[2018]],2)</f>
        <v>8.27</v>
      </c>
      <c r="BI1966" s="53">
        <f>ROUND(HIX_SLCSP11[[#This Row],[Weighting Factor 2019]]*HIX_SLCSP11[[#This Row],[2019]],2)</f>
        <v>10.86</v>
      </c>
      <c r="BJ1966" s="53">
        <f>ROUND(HIX_SLCSP11[[#This Row],[Weighting Factor 2020]]*HIX_SLCSP11[[#This Row],[2020]],2)</f>
        <v>10.18</v>
      </c>
      <c r="BK1966" s="53">
        <f>ROUND(HIX_SLCSP11[[#This Row],[Weighting Factor 2021]]*HIX_SLCSP11[[#This Row],[2021]],2)</f>
        <v>7.68</v>
      </c>
      <c r="BL1966" s="53">
        <f>ROUND(HIX_SLCSP11[[#This Row],[Weighting Factor 2022]]*HIX_SLCSP11[[#This Row],[2022]],2)</f>
        <v>7.57</v>
      </c>
      <c r="BM1966" s="53">
        <f>ROUND(HIX_SLCSP11[[#This Row],[Weighting Factor 2023]]*HIX_SLCSP11[[#This Row],[2023]],2)</f>
        <v>9.2799999999999994</v>
      </c>
    </row>
    <row r="1967" spans="4:65" x14ac:dyDescent="0.35">
      <c r="D1967" t="s">
        <v>1662</v>
      </c>
      <c r="E1967" t="s">
        <v>674</v>
      </c>
      <c r="F1967" s="23">
        <v>40</v>
      </c>
      <c r="G1967" s="23" t="s">
        <v>1663</v>
      </c>
      <c r="H1967" s="23" t="s">
        <v>1772</v>
      </c>
      <c r="I1967" s="23">
        <v>70</v>
      </c>
      <c r="J1967" s="53">
        <v>367.97</v>
      </c>
      <c r="K1967" s="53">
        <v>368.86</v>
      </c>
      <c r="L1967" s="53">
        <v>628.6</v>
      </c>
      <c r="M1967" s="54">
        <f t="shared" si="101"/>
        <v>1.7041696036436589</v>
      </c>
      <c r="N1967" s="24">
        <v>56</v>
      </c>
      <c r="O1967" s="55">
        <v>492.23</v>
      </c>
      <c r="P1967" s="56">
        <v>494.65</v>
      </c>
      <c r="Q1967" s="56">
        <v>842.99</v>
      </c>
      <c r="R1967" s="57">
        <f t="shared" si="113"/>
        <v>1.7042151015869809</v>
      </c>
      <c r="S1967" s="23">
        <v>78</v>
      </c>
      <c r="T1967" s="53">
        <v>468.81</v>
      </c>
      <c r="U1967" s="53">
        <v>474.77</v>
      </c>
      <c r="V1967" s="53">
        <v>809.11</v>
      </c>
      <c r="W1967" s="57">
        <f t="shared" si="114"/>
        <v>1.7042146723676728</v>
      </c>
      <c r="X1967" s="23">
        <v>78</v>
      </c>
      <c r="Y1967" s="53">
        <v>339.84</v>
      </c>
      <c r="Z1967" s="53">
        <v>347.21</v>
      </c>
      <c r="AA1967" s="53">
        <v>591.72</v>
      </c>
      <c r="AB1967" s="57">
        <f t="shared" si="115"/>
        <v>1.7042135883183089</v>
      </c>
      <c r="AC1967" s="47">
        <v>57</v>
      </c>
      <c r="AD1967" s="57">
        <v>333.63</v>
      </c>
      <c r="AE1967" s="57">
        <v>337.93</v>
      </c>
      <c r="AF1967" s="57">
        <v>575.9</v>
      </c>
      <c r="AG1967" s="57">
        <f t="shared" si="116"/>
        <v>1.7041990944870238</v>
      </c>
      <c r="AH1967" s="47">
        <v>106</v>
      </c>
      <c r="AI1967">
        <v>398.48</v>
      </c>
      <c r="AJ1967">
        <v>401.5</v>
      </c>
      <c r="AK1967">
        <v>684.24</v>
      </c>
      <c r="AL1967" s="57">
        <f t="shared" si="93"/>
        <v>1.7042092154420923</v>
      </c>
      <c r="AM1967" s="59">
        <v>14579</v>
      </c>
      <c r="AN1967" s="59">
        <f>SUMIFS(HIX_RatingAreas8[Silver Enrollments 2018],HIX_RatingAreas8[Area],HIX_SLCSP11[[#This Row],[Area Code]])</f>
        <v>11146</v>
      </c>
      <c r="AO1967" s="59">
        <f>SUMIFS(HIX_RatingAreas8[Silver Enrollments 2019],HIX_RatingAreas8[Area],HIX_SLCSP11[[#This Row],[Area Code]])</f>
        <v>8888</v>
      </c>
      <c r="AP1967" s="59">
        <f>SUMIFS(HIX_RatingAreas8[Silver Enrollments 2020],HIX_RatingAreas8[Area],HIX_SLCSP11[[#This Row],[Area Code]])</f>
        <v>8095</v>
      </c>
      <c r="AQ1967" s="59">
        <f>SUMIFS(HIX_RatingAreas8[Silver Enrollments 2021],HIX_RatingAreas8[Area],HIX_SLCSP11[[#This Row],[Area Code]])</f>
        <v>8451</v>
      </c>
      <c r="AR1967" s="59">
        <f>SUMIFS(HIX_RatingAreas8[Silver Enrollments 2022],HIX_RatingAreas8[Area],HIX_SLCSP11[[#This Row],[Area Code]])</f>
        <v>9732</v>
      </c>
      <c r="AS1967" s="59">
        <f>SUMIFS(HIX_RatingAreas8[Silver Enrollments 2023],HIX_RatingAreas8[Area],HIX_SLCSP11[[#This Row],[Area Code]])</f>
        <v>9732</v>
      </c>
      <c r="AT1967" s="59">
        <v>18171</v>
      </c>
      <c r="AU1967">
        <f t="shared" si="107"/>
        <v>7.8375638896676661E-2</v>
      </c>
      <c r="AV1967">
        <f>SUMIFS(HIX_RatingAreas8[QHP Enrollments 2018],HIX_RatingAreas8[Area],HIX_SLCSP11[[#This Row],[Area Code]])</f>
        <v>15951</v>
      </c>
      <c r="AW1967">
        <f t="shared" si="108"/>
        <v>7.3853034729585196E-2</v>
      </c>
      <c r="AX1967">
        <f>SUMIFS(HIX_RatingAreas8[QHP Enrollments 2019],HIX_RatingAreas8[Area],HIX_SLCSP11[[#This Row],[Area Code]])</f>
        <v>15599</v>
      </c>
      <c r="AY1967">
        <f t="shared" si="109"/>
        <v>7.2568339567167239E-2</v>
      </c>
      <c r="AZ1967">
        <f>SUMIFS(HIX_RatingAreas8[QHP Enrollments 2020],HIX_RatingAreas8[Area],HIX_SLCSP11[[#This Row],[Area Code]])</f>
        <v>15627</v>
      </c>
      <c r="BA1967">
        <f t="shared" si="110"/>
        <v>7.3013129000607385E-2</v>
      </c>
      <c r="BB1967">
        <f>SUMIFS(HIX_RatingAreas8[QHP Enrollments 2021],HIX_RatingAreas8[Area],HIX_SLCSP11[[#This Row],[Area Code]])</f>
        <v>17706</v>
      </c>
      <c r="BC1967">
        <f t="shared" si="111"/>
        <v>7.6965876983264514E-2</v>
      </c>
      <c r="BD1967">
        <f>SUMIFS(HIX_RatingAreas8[QHP Enrollments 2022],HIX_RatingAreas8[Area],HIX_SLCSP11[[#This Row],[Area Code]])</f>
        <v>22898</v>
      </c>
      <c r="BE1967">
        <f t="shared" si="112"/>
        <v>7.6227063303949502E-2</v>
      </c>
      <c r="BF1967">
        <f>SUMIFS(HIX_RatingAreas8[QHP Enrollments 2023],HIX_RatingAreas8[Area],HIX_SLCSP11[[#This Row],[Area Code]])</f>
        <v>22898</v>
      </c>
      <c r="BG1967">
        <f t="shared" si="117"/>
        <v>7.6227063303949502E-2</v>
      </c>
      <c r="BH1967" s="53">
        <f>ROUND(HIX_SLCSP11[[#This Row],[Weighting Factor 2018]]*HIX_SLCSP11[[#This Row],[2018]],2)</f>
        <v>27.24</v>
      </c>
      <c r="BI1967" s="53">
        <f>ROUND(HIX_SLCSP11[[#This Row],[Weighting Factor 2019]]*HIX_SLCSP11[[#This Row],[2019]],2)</f>
        <v>35.9</v>
      </c>
      <c r="BJ1967" s="53">
        <f>ROUND(HIX_SLCSP11[[#This Row],[Weighting Factor 2020]]*HIX_SLCSP11[[#This Row],[2020]],2)</f>
        <v>34.659999999999997</v>
      </c>
      <c r="BK1967" s="53">
        <f>ROUND(HIX_SLCSP11[[#This Row],[Weighting Factor 2021]]*HIX_SLCSP11[[#This Row],[2021]],2)</f>
        <v>26.72</v>
      </c>
      <c r="BL1967" s="53">
        <f>ROUND(HIX_SLCSP11[[#This Row],[Weighting Factor 2022]]*HIX_SLCSP11[[#This Row],[2022]],2)</f>
        <v>25.76</v>
      </c>
      <c r="BM1967" s="53">
        <f>ROUND(HIX_SLCSP11[[#This Row],[Weighting Factor 2023]]*HIX_SLCSP11[[#This Row],[2023]],2)</f>
        <v>30.61</v>
      </c>
    </row>
    <row r="1968" spans="4:65" x14ac:dyDescent="0.35">
      <c r="D1968" t="s">
        <v>1662</v>
      </c>
      <c r="E1968" t="s">
        <v>678</v>
      </c>
      <c r="F1968" s="23">
        <v>41</v>
      </c>
      <c r="G1968" s="23" t="s">
        <v>1663</v>
      </c>
      <c r="H1968" s="23" t="s">
        <v>1775</v>
      </c>
      <c r="I1968" s="23">
        <v>70</v>
      </c>
      <c r="J1968" s="53">
        <v>327.94</v>
      </c>
      <c r="K1968" s="53">
        <v>328.73</v>
      </c>
      <c r="L1968" s="53">
        <v>560.21</v>
      </c>
      <c r="M1968" s="54">
        <f t="shared" si="101"/>
        <v>1.7041645119094697</v>
      </c>
      <c r="N1968" s="24">
        <v>56</v>
      </c>
      <c r="O1968" s="55">
        <v>438.82</v>
      </c>
      <c r="P1968" s="56">
        <v>440.98</v>
      </c>
      <c r="Q1968" s="56">
        <v>751.52</v>
      </c>
      <c r="R1968" s="57">
        <f t="shared" si="113"/>
        <v>1.7042042723025987</v>
      </c>
      <c r="S1968" s="23">
        <v>76</v>
      </c>
      <c r="T1968" s="53">
        <v>381.11</v>
      </c>
      <c r="U1968" s="53">
        <v>393.49</v>
      </c>
      <c r="V1968" s="53">
        <v>670.59</v>
      </c>
      <c r="W1968" s="57">
        <f t="shared" si="114"/>
        <v>1.7042110345879184</v>
      </c>
      <c r="X1968" s="23">
        <v>76</v>
      </c>
      <c r="Y1968" s="53">
        <v>287.58</v>
      </c>
      <c r="Z1968" s="53">
        <v>293.82</v>
      </c>
      <c r="AA1968" s="53">
        <v>500.73</v>
      </c>
      <c r="AB1968" s="57">
        <f t="shared" si="115"/>
        <v>1.7042066571370227</v>
      </c>
      <c r="AC1968" s="47">
        <v>57</v>
      </c>
      <c r="AD1968" s="57">
        <v>284.91000000000003</v>
      </c>
      <c r="AE1968" s="57">
        <v>288.58</v>
      </c>
      <c r="AF1968" s="57">
        <v>491.79</v>
      </c>
      <c r="AG1968" s="57">
        <f t="shared" si="116"/>
        <v>1.7041721533023773</v>
      </c>
      <c r="AH1968" s="47">
        <v>94</v>
      </c>
      <c r="AI1968">
        <v>358.8</v>
      </c>
      <c r="AJ1968">
        <v>361.52</v>
      </c>
      <c r="AK1968">
        <v>616.1</v>
      </c>
      <c r="AL1968" s="57">
        <f t="shared" si="93"/>
        <v>1.7041934056207126</v>
      </c>
      <c r="AM1968" s="59">
        <v>604</v>
      </c>
      <c r="AN1968" s="59">
        <f>SUMIFS(HIX_RatingAreas8[Silver Enrollments 2018],HIX_RatingAreas8[Area],HIX_SLCSP11[[#This Row],[Area Code]])</f>
        <v>470</v>
      </c>
      <c r="AO1968" s="59">
        <f>SUMIFS(HIX_RatingAreas8[Silver Enrollments 2019],HIX_RatingAreas8[Area],HIX_SLCSP11[[#This Row],[Area Code]])</f>
        <v>416</v>
      </c>
      <c r="AP1968" s="59">
        <f>SUMIFS(HIX_RatingAreas8[Silver Enrollments 2020],HIX_RatingAreas8[Area],HIX_SLCSP11[[#This Row],[Area Code]])</f>
        <v>307</v>
      </c>
      <c r="AQ1968" s="59">
        <f>SUMIFS(HIX_RatingAreas8[Silver Enrollments 2021],HIX_RatingAreas8[Area],HIX_SLCSP11[[#This Row],[Area Code]])</f>
        <v>289</v>
      </c>
      <c r="AR1968" s="59">
        <f>SUMIFS(HIX_RatingAreas8[Silver Enrollments 2022],HIX_RatingAreas8[Area],HIX_SLCSP11[[#This Row],[Area Code]])</f>
        <v>428</v>
      </c>
      <c r="AS1968" s="59">
        <f>SUMIFS(HIX_RatingAreas8[Silver Enrollments 2023],HIX_RatingAreas8[Area],HIX_SLCSP11[[#This Row],[Area Code]])</f>
        <v>428</v>
      </c>
      <c r="AT1968" s="59">
        <v>683</v>
      </c>
      <c r="AU1968">
        <f t="shared" si="107"/>
        <v>2.9459337057085554E-3</v>
      </c>
      <c r="AV1968">
        <f>SUMIFS(HIX_RatingAreas8[QHP Enrollments 2018],HIX_RatingAreas8[Area],HIX_SLCSP11[[#This Row],[Area Code]])</f>
        <v>595</v>
      </c>
      <c r="AW1968">
        <f t="shared" si="108"/>
        <v>2.7548464462480845E-3</v>
      </c>
      <c r="AX1968">
        <f>SUMIFS(HIX_RatingAreas8[QHP Enrollments 2019],HIX_RatingAreas8[Area],HIX_SLCSP11[[#This Row],[Area Code]])</f>
        <v>611</v>
      </c>
      <c r="AY1968">
        <f t="shared" si="109"/>
        <v>2.8424421742123968E-3</v>
      </c>
      <c r="AZ1968">
        <f>SUMIFS(HIX_RatingAreas8[QHP Enrollments 2020],HIX_RatingAreas8[Area],HIX_SLCSP11[[#This Row],[Area Code]])</f>
        <v>545</v>
      </c>
      <c r="BA1968">
        <f t="shared" si="110"/>
        <v>2.5463720039246834E-3</v>
      </c>
      <c r="BB1968">
        <f>SUMIFS(HIX_RatingAreas8[QHP Enrollments 2021],HIX_RatingAreas8[Area],HIX_SLCSP11[[#This Row],[Area Code]])</f>
        <v>563</v>
      </c>
      <c r="BC1968">
        <f t="shared" si="111"/>
        <v>2.4472940665072811E-3</v>
      </c>
      <c r="BD1968">
        <f>SUMIFS(HIX_RatingAreas8[QHP Enrollments 2022],HIX_RatingAreas8[Area],HIX_SLCSP11[[#This Row],[Area Code]])</f>
        <v>789</v>
      </c>
      <c r="BE1968">
        <f t="shared" si="112"/>
        <v>2.6265679512104184E-3</v>
      </c>
      <c r="BF1968">
        <f>SUMIFS(HIX_RatingAreas8[QHP Enrollments 2023],HIX_RatingAreas8[Area],HIX_SLCSP11[[#This Row],[Area Code]])</f>
        <v>789</v>
      </c>
      <c r="BG1968">
        <f t="shared" si="117"/>
        <v>2.6265679512104184E-3</v>
      </c>
      <c r="BH1968" s="53">
        <f>ROUND(HIX_SLCSP11[[#This Row],[Weighting Factor 2018]]*HIX_SLCSP11[[#This Row],[2018]],2)</f>
        <v>0.91</v>
      </c>
      <c r="BI1968" s="53">
        <f>ROUND(HIX_SLCSP11[[#This Row],[Weighting Factor 2019]]*HIX_SLCSP11[[#This Row],[2019]],2)</f>
        <v>1.25</v>
      </c>
      <c r="BJ1968" s="53">
        <f>ROUND(HIX_SLCSP11[[#This Row],[Weighting Factor 2020]]*HIX_SLCSP11[[#This Row],[2020]],2)</f>
        <v>1</v>
      </c>
      <c r="BK1968" s="53">
        <f>ROUND(HIX_SLCSP11[[#This Row],[Weighting Factor 2021]]*HIX_SLCSP11[[#This Row],[2021]],2)</f>
        <v>0.72</v>
      </c>
      <c r="BL1968" s="53">
        <f>ROUND(HIX_SLCSP11[[#This Row],[Weighting Factor 2022]]*HIX_SLCSP11[[#This Row],[2022]],2)</f>
        <v>0.76</v>
      </c>
      <c r="BM1968" s="53">
        <f>ROUND(HIX_SLCSP11[[#This Row],[Weighting Factor 2023]]*HIX_SLCSP11[[#This Row],[2023]],2)</f>
        <v>0.95</v>
      </c>
    </row>
    <row r="1969" spans="4:65" x14ac:dyDescent="0.35">
      <c r="D1969" t="s">
        <v>1662</v>
      </c>
      <c r="E1969" t="s">
        <v>681</v>
      </c>
      <c r="F1969" s="23">
        <v>42</v>
      </c>
      <c r="G1969" s="23" t="s">
        <v>1663</v>
      </c>
      <c r="H1969" s="23" t="s">
        <v>1778</v>
      </c>
      <c r="I1969" s="23">
        <v>70</v>
      </c>
      <c r="J1969" s="53">
        <v>319.25</v>
      </c>
      <c r="K1969" s="53">
        <v>320.02</v>
      </c>
      <c r="L1969" s="53">
        <v>545.37</v>
      </c>
      <c r="M1969" s="54">
        <f t="shared" si="101"/>
        <v>1.7041747390788078</v>
      </c>
      <c r="N1969" s="24">
        <v>56</v>
      </c>
      <c r="O1969" s="55">
        <v>427.05</v>
      </c>
      <c r="P1969" s="56">
        <v>429.15</v>
      </c>
      <c r="Q1969" s="56">
        <v>731.36</v>
      </c>
      <c r="R1969" s="57">
        <f t="shared" si="113"/>
        <v>1.7042059885820811</v>
      </c>
      <c r="S1969" s="23">
        <v>94</v>
      </c>
      <c r="T1969" s="53">
        <v>416.04</v>
      </c>
      <c r="U1969" s="53">
        <v>421.33</v>
      </c>
      <c r="V1969" s="53">
        <v>718.03</v>
      </c>
      <c r="W1969" s="57">
        <f t="shared" si="114"/>
        <v>1.7041986091662118</v>
      </c>
      <c r="X1969" s="23">
        <v>94</v>
      </c>
      <c r="Y1969" s="53">
        <v>321.89</v>
      </c>
      <c r="Z1969" s="53">
        <v>328.88</v>
      </c>
      <c r="AA1969" s="53">
        <v>560.47</v>
      </c>
      <c r="AB1969" s="57">
        <f t="shared" si="115"/>
        <v>1.7041778156166385</v>
      </c>
      <c r="AC1969" s="47">
        <v>85</v>
      </c>
      <c r="AD1969" s="57">
        <v>316</v>
      </c>
      <c r="AE1969" s="57">
        <v>320.07</v>
      </c>
      <c r="AF1969" s="57">
        <v>545.46</v>
      </c>
      <c r="AG1969" s="57">
        <f t="shared" si="116"/>
        <v>1.7041897085012654</v>
      </c>
      <c r="AH1969" s="47">
        <v>98</v>
      </c>
      <c r="AI1969">
        <v>403.58</v>
      </c>
      <c r="AJ1969">
        <v>406.64</v>
      </c>
      <c r="AK1969">
        <v>692.99</v>
      </c>
      <c r="AL1969" s="57">
        <f t="shared" ref="AL1969:AL2031" si="118">AK1969/AJ1969</f>
        <v>1.7041855203619911</v>
      </c>
      <c r="AM1969" s="59">
        <v>10988</v>
      </c>
      <c r="AN1969" s="59">
        <f>SUMIFS(HIX_RatingAreas8[Silver Enrollments 2018],HIX_RatingAreas8[Area],HIX_SLCSP11[[#This Row],[Area Code]])</f>
        <v>8307</v>
      </c>
      <c r="AO1969" s="59">
        <f>SUMIFS(HIX_RatingAreas8[Silver Enrollments 2019],HIX_RatingAreas8[Area],HIX_SLCSP11[[#This Row],[Area Code]])</f>
        <v>6841</v>
      </c>
      <c r="AP1969" s="59">
        <f>SUMIFS(HIX_RatingAreas8[Silver Enrollments 2020],HIX_RatingAreas8[Area],HIX_SLCSP11[[#This Row],[Area Code]])</f>
        <v>6404</v>
      </c>
      <c r="AQ1969" s="59">
        <f>SUMIFS(HIX_RatingAreas8[Silver Enrollments 2021],HIX_RatingAreas8[Area],HIX_SLCSP11[[#This Row],[Area Code]])</f>
        <v>5568</v>
      </c>
      <c r="AR1969" s="59">
        <f>SUMIFS(HIX_RatingAreas8[Silver Enrollments 2022],HIX_RatingAreas8[Area],HIX_SLCSP11[[#This Row],[Area Code]])</f>
        <v>8895</v>
      </c>
      <c r="AS1969" s="59">
        <f>SUMIFS(HIX_RatingAreas8[Silver Enrollments 2023],HIX_RatingAreas8[Area],HIX_SLCSP11[[#This Row],[Area Code]])</f>
        <v>8895</v>
      </c>
      <c r="AT1969" s="59">
        <v>12261</v>
      </c>
      <c r="AU1969">
        <f t="shared" si="107"/>
        <v>5.288447022795402E-2</v>
      </c>
      <c r="AV1969">
        <f>SUMIFS(HIX_RatingAreas8[QHP Enrollments 2018],HIX_RatingAreas8[Area],HIX_SLCSP11[[#This Row],[Area Code]])</f>
        <v>11310</v>
      </c>
      <c r="AW1969">
        <f t="shared" si="108"/>
        <v>5.2365232448850142E-2</v>
      </c>
      <c r="AX1969">
        <f>SUMIFS(HIX_RatingAreas8[QHP Enrollments 2019],HIX_RatingAreas8[Area],HIX_SLCSP11[[#This Row],[Area Code]])</f>
        <v>11772</v>
      </c>
      <c r="AY1969">
        <f t="shared" si="109"/>
        <v>5.4764696030815609E-2</v>
      </c>
      <c r="AZ1969">
        <f>SUMIFS(HIX_RatingAreas8[QHP Enrollments 2020],HIX_RatingAreas8[Area],HIX_SLCSP11[[#This Row],[Area Code]])</f>
        <v>12119</v>
      </c>
      <c r="BA1969">
        <f t="shared" si="110"/>
        <v>5.6622903331308698E-2</v>
      </c>
      <c r="BB1969">
        <f>SUMIFS(HIX_RatingAreas8[QHP Enrollments 2021],HIX_RatingAreas8[Area],HIX_SLCSP11[[#This Row],[Area Code]])</f>
        <v>13544</v>
      </c>
      <c r="BC1969">
        <f t="shared" si="111"/>
        <v>5.8874157791784391E-2</v>
      </c>
      <c r="BD1969">
        <f>SUMIFS(HIX_RatingAreas8[QHP Enrollments 2022],HIX_RatingAreas8[Area],HIX_SLCSP11[[#This Row],[Area Code]])</f>
        <v>17962</v>
      </c>
      <c r="BE1969">
        <f t="shared" si="112"/>
        <v>5.9795200937441742E-2</v>
      </c>
      <c r="BF1969">
        <f>SUMIFS(HIX_RatingAreas8[QHP Enrollments 2023],HIX_RatingAreas8[Area],HIX_SLCSP11[[#This Row],[Area Code]])</f>
        <v>17962</v>
      </c>
      <c r="BG1969">
        <f t="shared" si="117"/>
        <v>5.9795200937441742E-2</v>
      </c>
      <c r="BH1969" s="53">
        <f>ROUND(HIX_SLCSP11[[#This Row],[Weighting Factor 2018]]*HIX_SLCSP11[[#This Row],[2018]],2)</f>
        <v>16.760000000000002</v>
      </c>
      <c r="BI1969" s="53">
        <f>ROUND(HIX_SLCSP11[[#This Row],[Weighting Factor 2019]]*HIX_SLCSP11[[#This Row],[2019]],2)</f>
        <v>23.5</v>
      </c>
      <c r="BJ1969" s="53">
        <f>ROUND(HIX_SLCSP11[[#This Row],[Weighting Factor 2020]]*HIX_SLCSP11[[#This Row],[2020]],2)</f>
        <v>23.86</v>
      </c>
      <c r="BK1969" s="53">
        <f>ROUND(HIX_SLCSP11[[#This Row],[Weighting Factor 2021]]*HIX_SLCSP11[[#This Row],[2021]],2)</f>
        <v>19.36</v>
      </c>
      <c r="BL1969" s="53">
        <f>ROUND(HIX_SLCSP11[[#This Row],[Weighting Factor 2022]]*HIX_SLCSP11[[#This Row],[2022]],2)</f>
        <v>19.14</v>
      </c>
      <c r="BM1969" s="53">
        <f>ROUND(HIX_SLCSP11[[#This Row],[Weighting Factor 2023]]*HIX_SLCSP11[[#This Row],[2023]],2)</f>
        <v>24.32</v>
      </c>
    </row>
    <row r="1970" spans="4:65" x14ac:dyDescent="0.35">
      <c r="D1970" t="s">
        <v>1662</v>
      </c>
      <c r="E1970" t="s">
        <v>685</v>
      </c>
      <c r="F1970" s="23">
        <v>43</v>
      </c>
      <c r="G1970" s="23" t="s">
        <v>1663</v>
      </c>
      <c r="H1970" s="23" t="s">
        <v>1781</v>
      </c>
      <c r="I1970" s="23">
        <v>70</v>
      </c>
      <c r="J1970" s="53">
        <v>459.09</v>
      </c>
      <c r="K1970" s="53">
        <v>466.29</v>
      </c>
      <c r="L1970" s="53">
        <v>794.65</v>
      </c>
      <c r="M1970" s="54">
        <f t="shared" si="101"/>
        <v>1.7041969589740289</v>
      </c>
      <c r="N1970" s="24">
        <v>56</v>
      </c>
      <c r="O1970" s="55">
        <v>489.06</v>
      </c>
      <c r="P1970" s="56">
        <v>491.47</v>
      </c>
      <c r="Q1970" s="56">
        <v>837.56</v>
      </c>
      <c r="R1970" s="57">
        <f t="shared" si="113"/>
        <v>1.7041935418235088</v>
      </c>
      <c r="S1970" s="23">
        <v>76</v>
      </c>
      <c r="T1970" s="53">
        <v>449.19</v>
      </c>
      <c r="U1970" s="53">
        <v>454.9</v>
      </c>
      <c r="V1970" s="53">
        <v>775.24</v>
      </c>
      <c r="W1970" s="57">
        <f t="shared" si="114"/>
        <v>1.7041987249945043</v>
      </c>
      <c r="X1970" s="23">
        <v>76</v>
      </c>
      <c r="Y1970" s="53">
        <v>314.97000000000003</v>
      </c>
      <c r="Z1970" s="53">
        <v>321.8</v>
      </c>
      <c r="AA1970" s="53">
        <v>548.41999999999996</v>
      </c>
      <c r="AB1970" s="57">
        <f t="shared" si="115"/>
        <v>1.7042262274704785</v>
      </c>
      <c r="AC1970" s="47">
        <v>57</v>
      </c>
      <c r="AD1970" s="57">
        <v>303.32</v>
      </c>
      <c r="AE1970" s="57">
        <v>307.22000000000003</v>
      </c>
      <c r="AF1970" s="57">
        <v>523.57000000000005</v>
      </c>
      <c r="AG1970" s="57">
        <f t="shared" si="116"/>
        <v>1.7042184753596772</v>
      </c>
      <c r="AH1970" s="47">
        <v>94</v>
      </c>
      <c r="AI1970">
        <v>349.74</v>
      </c>
      <c r="AJ1970">
        <v>352.38</v>
      </c>
      <c r="AK1970">
        <v>600.53</v>
      </c>
      <c r="AL1970" s="57">
        <f t="shared" si="118"/>
        <v>1.7042113627334128</v>
      </c>
      <c r="AM1970" s="59">
        <v>3243</v>
      </c>
      <c r="AN1970" s="59">
        <f>SUMIFS(HIX_RatingAreas8[Silver Enrollments 2018],HIX_RatingAreas8[Area],HIX_SLCSP11[[#This Row],[Area Code]])</f>
        <v>2795</v>
      </c>
      <c r="AO1970" s="59">
        <f>SUMIFS(HIX_RatingAreas8[Silver Enrollments 2019],HIX_RatingAreas8[Area],HIX_SLCSP11[[#This Row],[Area Code]])</f>
        <v>2227</v>
      </c>
      <c r="AP1970" s="59">
        <f>SUMIFS(HIX_RatingAreas8[Silver Enrollments 2020],HIX_RatingAreas8[Area],HIX_SLCSP11[[#This Row],[Area Code]])</f>
        <v>1970</v>
      </c>
      <c r="AQ1970" s="59">
        <f>SUMIFS(HIX_RatingAreas8[Silver Enrollments 2021],HIX_RatingAreas8[Area],HIX_SLCSP11[[#This Row],[Area Code]])</f>
        <v>1816</v>
      </c>
      <c r="AR1970" s="59">
        <f>SUMIFS(HIX_RatingAreas8[Silver Enrollments 2022],HIX_RatingAreas8[Area],HIX_SLCSP11[[#This Row],[Area Code]])</f>
        <v>2079</v>
      </c>
      <c r="AS1970" s="59">
        <f>SUMIFS(HIX_RatingAreas8[Silver Enrollments 2023],HIX_RatingAreas8[Area],HIX_SLCSP11[[#This Row],[Area Code]])</f>
        <v>2079</v>
      </c>
      <c r="AT1970" s="59">
        <v>3996</v>
      </c>
      <c r="AU1970">
        <f t="shared" si="107"/>
        <v>1.723565313032414E-2</v>
      </c>
      <c r="AV1970">
        <f>SUMIFS(HIX_RatingAreas8[QHP Enrollments 2018],HIX_RatingAreas8[Area],HIX_SLCSP11[[#This Row],[Area Code]])</f>
        <v>3850</v>
      </c>
      <c r="AW1970">
        <f t="shared" si="108"/>
        <v>1.7825477005134663E-2</v>
      </c>
      <c r="AX1970">
        <f>SUMIFS(HIX_RatingAreas8[QHP Enrollments 2019],HIX_RatingAreas8[Area],HIX_SLCSP11[[#This Row],[Area Code]])</f>
        <v>3739</v>
      </c>
      <c r="AY1970">
        <f t="shared" si="109"/>
        <v>1.7394257429427417E-2</v>
      </c>
      <c r="AZ1970">
        <f>SUMIFS(HIX_RatingAreas8[QHP Enrollments 2020],HIX_RatingAreas8[Area],HIX_SLCSP11[[#This Row],[Area Code]])</f>
        <v>3677</v>
      </c>
      <c r="BA1970">
        <f t="shared" si="110"/>
        <v>1.7179834602625801E-2</v>
      </c>
      <c r="BB1970">
        <f>SUMIFS(HIX_RatingAreas8[QHP Enrollments 2021],HIX_RatingAreas8[Area],HIX_SLCSP11[[#This Row],[Area Code]])</f>
        <v>3881</v>
      </c>
      <c r="BC1970">
        <f t="shared" si="111"/>
        <v>1.6870245598782873E-2</v>
      </c>
      <c r="BD1970">
        <f>SUMIFS(HIX_RatingAreas8[QHP Enrollments 2022],HIX_RatingAreas8[Area],HIX_SLCSP11[[#This Row],[Area Code]])</f>
        <v>4886</v>
      </c>
      <c r="BE1970">
        <f t="shared" si="112"/>
        <v>1.6265413193427256E-2</v>
      </c>
      <c r="BF1970">
        <f>SUMIFS(HIX_RatingAreas8[QHP Enrollments 2023],HIX_RatingAreas8[Area],HIX_SLCSP11[[#This Row],[Area Code]])</f>
        <v>4886</v>
      </c>
      <c r="BG1970">
        <f t="shared" si="117"/>
        <v>1.6265413193427256E-2</v>
      </c>
      <c r="BH1970" s="53">
        <f>ROUND(HIX_SLCSP11[[#This Row],[Weighting Factor 2018]]*HIX_SLCSP11[[#This Row],[2018]],2)</f>
        <v>8.31</v>
      </c>
      <c r="BI1970" s="53">
        <f>ROUND(HIX_SLCSP11[[#This Row],[Weighting Factor 2019]]*HIX_SLCSP11[[#This Row],[2019]],2)</f>
        <v>8.5500000000000007</v>
      </c>
      <c r="BJ1970" s="53">
        <f>ROUND(HIX_SLCSP11[[#This Row],[Weighting Factor 2020]]*HIX_SLCSP11[[#This Row],[2020]],2)</f>
        <v>7.82</v>
      </c>
      <c r="BK1970" s="53">
        <f>ROUND(HIX_SLCSP11[[#This Row],[Weighting Factor 2021]]*HIX_SLCSP11[[#This Row],[2021]],2)</f>
        <v>5.43</v>
      </c>
      <c r="BL1970" s="53">
        <f>ROUND(HIX_SLCSP11[[#This Row],[Weighting Factor 2022]]*HIX_SLCSP11[[#This Row],[2022]],2)</f>
        <v>5</v>
      </c>
      <c r="BM1970" s="53">
        <f>ROUND(HIX_SLCSP11[[#This Row],[Weighting Factor 2023]]*HIX_SLCSP11[[#This Row],[2023]],2)</f>
        <v>5.73</v>
      </c>
    </row>
    <row r="1971" spans="4:65" x14ac:dyDescent="0.35">
      <c r="D1971" t="s">
        <v>1662</v>
      </c>
      <c r="E1971" t="s">
        <v>689</v>
      </c>
      <c r="F1971" s="23">
        <v>44</v>
      </c>
      <c r="G1971" s="23" t="s">
        <v>1663</v>
      </c>
      <c r="H1971" s="23" t="s">
        <v>1783</v>
      </c>
      <c r="I1971" s="23">
        <v>70</v>
      </c>
      <c r="J1971" s="53">
        <v>323.51</v>
      </c>
      <c r="K1971" s="53">
        <v>324.29000000000002</v>
      </c>
      <c r="L1971" s="53">
        <v>552.65</v>
      </c>
      <c r="M1971" s="54">
        <f t="shared" si="101"/>
        <v>1.7041845261956889</v>
      </c>
      <c r="N1971" s="24">
        <v>56</v>
      </c>
      <c r="O1971" s="55">
        <v>432.93</v>
      </c>
      <c r="P1971" s="56">
        <v>435.07</v>
      </c>
      <c r="Q1971" s="56">
        <v>741.44</v>
      </c>
      <c r="R1971" s="57">
        <f t="shared" si="113"/>
        <v>1.7041855333624476</v>
      </c>
      <c r="S1971" s="23">
        <v>94</v>
      </c>
      <c r="T1971" s="53">
        <v>418.01</v>
      </c>
      <c r="U1971" s="53">
        <v>423.32</v>
      </c>
      <c r="V1971" s="53">
        <v>721.42</v>
      </c>
      <c r="W1971" s="57">
        <f t="shared" si="114"/>
        <v>1.7041954077293773</v>
      </c>
      <c r="X1971" s="23">
        <v>94</v>
      </c>
      <c r="Y1971" s="53">
        <v>295.92</v>
      </c>
      <c r="Z1971" s="53">
        <v>302.33999999999997</v>
      </c>
      <c r="AA1971" s="53">
        <v>515.25</v>
      </c>
      <c r="AB1971" s="57">
        <f t="shared" si="115"/>
        <v>1.7042071839650725</v>
      </c>
      <c r="AC1971" s="47">
        <v>85</v>
      </c>
      <c r="AD1971" s="57">
        <v>297.89999999999998</v>
      </c>
      <c r="AE1971" s="57">
        <v>301.74</v>
      </c>
      <c r="AF1971" s="57">
        <v>514.22</v>
      </c>
      <c r="AG1971" s="57">
        <f t="shared" si="116"/>
        <v>1.7041824086962285</v>
      </c>
      <c r="AH1971" s="47">
        <v>94</v>
      </c>
      <c r="AI1971">
        <v>372.41</v>
      </c>
      <c r="AJ1971">
        <v>375.23</v>
      </c>
      <c r="AK1971">
        <v>639.46</v>
      </c>
      <c r="AL1971" s="57">
        <f t="shared" si="118"/>
        <v>1.7041814353862965</v>
      </c>
      <c r="AM1971" s="59">
        <v>674</v>
      </c>
      <c r="AN1971" s="59">
        <f>SUMIFS(HIX_RatingAreas8[Silver Enrollments 2018],HIX_RatingAreas8[Area],HIX_SLCSP11[[#This Row],[Area Code]])</f>
        <v>570</v>
      </c>
      <c r="AO1971" s="59">
        <f>SUMIFS(HIX_RatingAreas8[Silver Enrollments 2019],HIX_RatingAreas8[Area],HIX_SLCSP11[[#This Row],[Area Code]])</f>
        <v>412</v>
      </c>
      <c r="AP1971" s="59">
        <f>SUMIFS(HIX_RatingAreas8[Silver Enrollments 2020],HIX_RatingAreas8[Area],HIX_SLCSP11[[#This Row],[Area Code]])</f>
        <v>401</v>
      </c>
      <c r="AQ1971" s="59">
        <f>SUMIFS(HIX_RatingAreas8[Silver Enrollments 2021],HIX_RatingAreas8[Area],HIX_SLCSP11[[#This Row],[Area Code]])</f>
        <v>375</v>
      </c>
      <c r="AR1971" s="59">
        <f>SUMIFS(HIX_RatingAreas8[Silver Enrollments 2022],HIX_RatingAreas8[Area],HIX_SLCSP11[[#This Row],[Area Code]])</f>
        <v>588</v>
      </c>
      <c r="AS1971" s="59">
        <f>SUMIFS(HIX_RatingAreas8[Silver Enrollments 2023],HIX_RatingAreas8[Area],HIX_SLCSP11[[#This Row],[Area Code]])</f>
        <v>588</v>
      </c>
      <c r="AT1971" s="59">
        <v>746</v>
      </c>
      <c r="AU1971">
        <f t="shared" si="107"/>
        <v>3.2176669757812333E-3</v>
      </c>
      <c r="AV1971">
        <f>SUMIFS(HIX_RatingAreas8[QHP Enrollments 2018],HIX_RatingAreas8[Area],HIX_SLCSP11[[#This Row],[Area Code]])</f>
        <v>723</v>
      </c>
      <c r="AW1971">
        <f t="shared" si="108"/>
        <v>3.3474856817434706E-3</v>
      </c>
      <c r="AX1971">
        <f>SUMIFS(HIX_RatingAreas8[QHP Enrollments 2019],HIX_RatingAreas8[Area],HIX_SLCSP11[[#This Row],[Area Code]])</f>
        <v>652</v>
      </c>
      <c r="AY1971">
        <f t="shared" si="109"/>
        <v>3.0331788831202667E-3</v>
      </c>
      <c r="AZ1971">
        <f>SUMIFS(HIX_RatingAreas8[QHP Enrollments 2020],HIX_RatingAreas8[Area],HIX_SLCSP11[[#This Row],[Area Code]])</f>
        <v>658</v>
      </c>
      <c r="BA1971">
        <f t="shared" si="110"/>
        <v>3.0743353735457647E-3</v>
      </c>
      <c r="BB1971">
        <f>SUMIFS(HIX_RatingAreas8[QHP Enrollments 2021],HIX_RatingAreas8[Area],HIX_SLCSP11[[#This Row],[Area Code]])</f>
        <v>754</v>
      </c>
      <c r="BC1971">
        <f t="shared" si="111"/>
        <v>3.2775483590523798E-3</v>
      </c>
      <c r="BD1971">
        <f>SUMIFS(HIX_RatingAreas8[QHP Enrollments 2022],HIX_RatingAreas8[Area],HIX_SLCSP11[[#This Row],[Area Code]])</f>
        <v>1040</v>
      </c>
      <c r="BE1971">
        <f t="shared" si="112"/>
        <v>3.4621428000745692E-3</v>
      </c>
      <c r="BF1971">
        <f>SUMIFS(HIX_RatingAreas8[QHP Enrollments 2023],HIX_RatingAreas8[Area],HIX_SLCSP11[[#This Row],[Area Code]])</f>
        <v>1040</v>
      </c>
      <c r="BG1971">
        <f t="shared" si="117"/>
        <v>3.4621428000745692E-3</v>
      </c>
      <c r="BH1971" s="53">
        <f>ROUND(HIX_SLCSP11[[#This Row],[Weighting Factor 2018]]*HIX_SLCSP11[[#This Row],[2018]],2)</f>
        <v>1.0900000000000001</v>
      </c>
      <c r="BI1971" s="53">
        <f>ROUND(HIX_SLCSP11[[#This Row],[Weighting Factor 2019]]*HIX_SLCSP11[[#This Row],[2019]],2)</f>
        <v>1.32</v>
      </c>
      <c r="BJ1971" s="53">
        <f>ROUND(HIX_SLCSP11[[#This Row],[Weighting Factor 2020]]*HIX_SLCSP11[[#This Row],[2020]],2)</f>
        <v>1.3</v>
      </c>
      <c r="BK1971" s="53">
        <f>ROUND(HIX_SLCSP11[[#This Row],[Weighting Factor 2021]]*HIX_SLCSP11[[#This Row],[2021]],2)</f>
        <v>0.99</v>
      </c>
      <c r="BL1971" s="53">
        <f>ROUND(HIX_SLCSP11[[#This Row],[Weighting Factor 2022]]*HIX_SLCSP11[[#This Row],[2022]],2)</f>
        <v>1.04</v>
      </c>
      <c r="BM1971" s="53">
        <f>ROUND(HIX_SLCSP11[[#This Row],[Weighting Factor 2023]]*HIX_SLCSP11[[#This Row],[2023]],2)</f>
        <v>1.3</v>
      </c>
    </row>
    <row r="1972" spans="4:65" x14ac:dyDescent="0.35">
      <c r="D1972" t="s">
        <v>1662</v>
      </c>
      <c r="E1972" t="s">
        <v>692</v>
      </c>
      <c r="F1972" s="23">
        <v>45</v>
      </c>
      <c r="G1972" s="23" t="s">
        <v>1663</v>
      </c>
      <c r="H1972" s="23" t="s">
        <v>1785</v>
      </c>
      <c r="I1972" s="23">
        <v>70</v>
      </c>
      <c r="J1972" s="53">
        <v>353.66</v>
      </c>
      <c r="K1972" s="53">
        <v>354.51</v>
      </c>
      <c r="L1972" s="53">
        <v>604.16</v>
      </c>
      <c r="M1972" s="54">
        <f t="shared" si="101"/>
        <v>1.7042114467857041</v>
      </c>
      <c r="N1972" s="24">
        <v>56</v>
      </c>
      <c r="O1972" s="55">
        <v>473.21</v>
      </c>
      <c r="P1972" s="56">
        <v>475.55</v>
      </c>
      <c r="Q1972" s="56">
        <v>810.43</v>
      </c>
      <c r="R1972" s="57">
        <f t="shared" si="113"/>
        <v>1.7041951424666175</v>
      </c>
      <c r="S1972" s="23">
        <v>120</v>
      </c>
      <c r="T1972" s="53">
        <v>426.53</v>
      </c>
      <c r="U1972" s="53">
        <v>440.38</v>
      </c>
      <c r="V1972" s="53">
        <v>750.5</v>
      </c>
      <c r="W1972" s="57">
        <f t="shared" si="114"/>
        <v>1.7042100004541532</v>
      </c>
      <c r="X1972" s="23">
        <v>120</v>
      </c>
      <c r="Y1972" s="53">
        <v>314.33999999999997</v>
      </c>
      <c r="Z1972" s="53">
        <v>321.16000000000003</v>
      </c>
      <c r="AA1972" s="53">
        <v>547.32000000000005</v>
      </c>
      <c r="AB1972" s="57">
        <f t="shared" si="115"/>
        <v>1.7041972848424463</v>
      </c>
      <c r="AC1972" s="47">
        <v>65</v>
      </c>
      <c r="AD1972" s="57">
        <v>309.35000000000002</v>
      </c>
      <c r="AE1972" s="57">
        <v>313.33</v>
      </c>
      <c r="AF1972" s="57">
        <v>533.98</v>
      </c>
      <c r="AG1972" s="57">
        <f t="shared" si="116"/>
        <v>1.7042096192512688</v>
      </c>
      <c r="AH1972" s="47">
        <v>102</v>
      </c>
      <c r="AI1972">
        <v>377.16</v>
      </c>
      <c r="AJ1972">
        <v>377.58</v>
      </c>
      <c r="AK1972">
        <v>643.47</v>
      </c>
      <c r="AL1972" s="57">
        <f t="shared" si="118"/>
        <v>1.7041951374543145</v>
      </c>
      <c r="AM1972" s="59">
        <v>1362</v>
      </c>
      <c r="AN1972" s="59">
        <f>SUMIFS(HIX_RatingAreas8[Silver Enrollments 2018],HIX_RatingAreas8[Area],HIX_SLCSP11[[#This Row],[Area Code]])</f>
        <v>1023</v>
      </c>
      <c r="AO1972" s="59">
        <f>SUMIFS(HIX_RatingAreas8[Silver Enrollments 2019],HIX_RatingAreas8[Area],HIX_SLCSP11[[#This Row],[Area Code]])</f>
        <v>767</v>
      </c>
      <c r="AP1972" s="59">
        <f>SUMIFS(HIX_RatingAreas8[Silver Enrollments 2020],HIX_RatingAreas8[Area],HIX_SLCSP11[[#This Row],[Area Code]])</f>
        <v>707</v>
      </c>
      <c r="AQ1972" s="59">
        <f>SUMIFS(HIX_RatingAreas8[Silver Enrollments 2021],HIX_RatingAreas8[Area],HIX_SLCSP11[[#This Row],[Area Code]])</f>
        <v>530</v>
      </c>
      <c r="AR1972" s="59">
        <f>SUMIFS(HIX_RatingAreas8[Silver Enrollments 2022],HIX_RatingAreas8[Area],HIX_SLCSP11[[#This Row],[Area Code]])</f>
        <v>693</v>
      </c>
      <c r="AS1972" s="59">
        <f>SUMIFS(HIX_RatingAreas8[Silver Enrollments 2023],HIX_RatingAreas8[Area],HIX_SLCSP11[[#This Row],[Area Code]])</f>
        <v>693</v>
      </c>
      <c r="AT1972" s="59">
        <v>1506</v>
      </c>
      <c r="AU1972">
        <f t="shared" si="107"/>
        <v>6.4957191226897278E-3</v>
      </c>
      <c r="AV1972">
        <f>SUMIFS(HIX_RatingAreas8[QHP Enrollments 2018],HIX_RatingAreas8[Area],HIX_SLCSP11[[#This Row],[Area Code]])</f>
        <v>1303</v>
      </c>
      <c r="AW1972">
        <f t="shared" si="108"/>
        <v>6.0328822175819393E-3</v>
      </c>
      <c r="AX1972">
        <f>SUMIFS(HIX_RatingAreas8[QHP Enrollments 2019],HIX_RatingAreas8[Area],HIX_SLCSP11[[#This Row],[Area Code]])</f>
        <v>1246</v>
      </c>
      <c r="AY1972">
        <f t="shared" si="109"/>
        <v>5.7965351048586689E-3</v>
      </c>
      <c r="AZ1972">
        <f>SUMIFS(HIX_RatingAreas8[QHP Enrollments 2020],HIX_RatingAreas8[Area],HIX_SLCSP11[[#This Row],[Area Code]])</f>
        <v>1217</v>
      </c>
      <c r="BA1972">
        <f t="shared" si="110"/>
        <v>5.6861187683969541E-3</v>
      </c>
      <c r="BB1972">
        <f>SUMIFS(HIX_RatingAreas8[QHP Enrollments 2021],HIX_RatingAreas8[Area],HIX_SLCSP11[[#This Row],[Area Code]])</f>
        <v>1186</v>
      </c>
      <c r="BC1972">
        <f t="shared" si="111"/>
        <v>5.1554009997826561E-3</v>
      </c>
      <c r="BD1972">
        <f>SUMIFS(HIX_RatingAreas8[QHP Enrollments 2022],HIX_RatingAreas8[Area],HIX_SLCSP11[[#This Row],[Area Code]])</f>
        <v>1347</v>
      </c>
      <c r="BE1972">
        <f t="shared" si="112"/>
        <v>4.4841407227888888E-3</v>
      </c>
      <c r="BF1972">
        <f>SUMIFS(HIX_RatingAreas8[QHP Enrollments 2023],HIX_RatingAreas8[Area],HIX_SLCSP11[[#This Row],[Area Code]])</f>
        <v>1347</v>
      </c>
      <c r="BG1972">
        <f t="shared" si="117"/>
        <v>4.4841407227888888E-3</v>
      </c>
      <c r="BH1972" s="53">
        <f>ROUND(HIX_SLCSP11[[#This Row],[Weighting Factor 2018]]*HIX_SLCSP11[[#This Row],[2018]],2)</f>
        <v>2.14</v>
      </c>
      <c r="BI1972" s="53">
        <f>ROUND(HIX_SLCSP11[[#This Row],[Weighting Factor 2019]]*HIX_SLCSP11[[#This Row],[2019]],2)</f>
        <v>2.76</v>
      </c>
      <c r="BJ1972" s="53">
        <f>ROUND(HIX_SLCSP11[[#This Row],[Weighting Factor 2020]]*HIX_SLCSP11[[#This Row],[2020]],2)</f>
        <v>2.5</v>
      </c>
      <c r="BK1972" s="53">
        <f>ROUND(HIX_SLCSP11[[#This Row],[Weighting Factor 2021]]*HIX_SLCSP11[[#This Row],[2021]],2)</f>
        <v>1.66</v>
      </c>
      <c r="BL1972" s="53">
        <f>ROUND(HIX_SLCSP11[[#This Row],[Weighting Factor 2022]]*HIX_SLCSP11[[#This Row],[2022]],2)</f>
        <v>1.41</v>
      </c>
      <c r="BM1972" s="53">
        <f>ROUND(HIX_SLCSP11[[#This Row],[Weighting Factor 2023]]*HIX_SLCSP11[[#This Row],[2023]],2)</f>
        <v>1.69</v>
      </c>
    </row>
    <row r="1973" spans="4:65" x14ac:dyDescent="0.35">
      <c r="D1973" t="s">
        <v>1662</v>
      </c>
      <c r="E1973" t="s">
        <v>696</v>
      </c>
      <c r="F1973" s="23">
        <v>46</v>
      </c>
      <c r="G1973" s="23" t="s">
        <v>1663</v>
      </c>
      <c r="H1973" s="23" t="s">
        <v>1788</v>
      </c>
      <c r="I1973" s="23">
        <v>70</v>
      </c>
      <c r="J1973" s="53">
        <v>372.4</v>
      </c>
      <c r="K1973" s="53">
        <v>373.3</v>
      </c>
      <c r="L1973" s="53">
        <v>636.16999999999996</v>
      </c>
      <c r="M1973" s="54">
        <f t="shared" si="101"/>
        <v>1.7041789445486202</v>
      </c>
      <c r="N1973" s="24">
        <v>56</v>
      </c>
      <c r="O1973" s="55">
        <v>498.34</v>
      </c>
      <c r="P1973" s="56">
        <v>500.79</v>
      </c>
      <c r="Q1973" s="56">
        <v>853.45</v>
      </c>
      <c r="R1973" s="57">
        <f t="shared" si="113"/>
        <v>1.7042073523832346</v>
      </c>
      <c r="S1973" s="23">
        <v>104</v>
      </c>
      <c r="T1973" s="53">
        <v>416.97</v>
      </c>
      <c r="U1973" s="53">
        <v>423.9</v>
      </c>
      <c r="V1973" s="53">
        <v>722.41</v>
      </c>
      <c r="W1973" s="57">
        <f t="shared" si="114"/>
        <v>1.7041991035621609</v>
      </c>
      <c r="X1973" s="23">
        <v>104</v>
      </c>
      <c r="Y1973" s="53">
        <v>324.57</v>
      </c>
      <c r="Z1973" s="53">
        <v>331.61</v>
      </c>
      <c r="AA1973" s="53">
        <v>565.13</v>
      </c>
      <c r="AB1973" s="57">
        <f t="shared" si="115"/>
        <v>1.7042007177105636</v>
      </c>
      <c r="AC1973" s="47">
        <v>57</v>
      </c>
      <c r="AD1973" s="57">
        <v>323.89</v>
      </c>
      <c r="AE1973" s="57">
        <v>328.06</v>
      </c>
      <c r="AF1973" s="57">
        <v>559.08000000000004</v>
      </c>
      <c r="AG1973" s="57">
        <f t="shared" si="116"/>
        <v>1.7042004511369873</v>
      </c>
      <c r="AH1973" s="47">
        <v>98</v>
      </c>
      <c r="AI1973">
        <v>405.47</v>
      </c>
      <c r="AJ1973">
        <v>408.54</v>
      </c>
      <c r="AK1973">
        <v>696.24</v>
      </c>
      <c r="AL1973" s="57">
        <f t="shared" si="118"/>
        <v>1.7042150095461888</v>
      </c>
      <c r="AM1973" s="59">
        <v>9803</v>
      </c>
      <c r="AN1973" s="59">
        <f>SUMIFS(HIX_RatingAreas8[Silver Enrollments 2018],HIX_RatingAreas8[Area],HIX_SLCSP11[[#This Row],[Area Code]])</f>
        <v>7517</v>
      </c>
      <c r="AO1973" s="59">
        <f>SUMIFS(HIX_RatingAreas8[Silver Enrollments 2019],HIX_RatingAreas8[Area],HIX_SLCSP11[[#This Row],[Area Code]])</f>
        <v>5708</v>
      </c>
      <c r="AP1973" s="59">
        <f>SUMIFS(HIX_RatingAreas8[Silver Enrollments 2020],HIX_RatingAreas8[Area],HIX_SLCSP11[[#This Row],[Area Code]])</f>
        <v>4121</v>
      </c>
      <c r="AQ1973" s="59">
        <f>SUMIFS(HIX_RatingAreas8[Silver Enrollments 2021],HIX_RatingAreas8[Area],HIX_SLCSP11[[#This Row],[Area Code]])</f>
        <v>4354</v>
      </c>
      <c r="AR1973" s="59">
        <f>SUMIFS(HIX_RatingAreas8[Silver Enrollments 2022],HIX_RatingAreas8[Area],HIX_SLCSP11[[#This Row],[Area Code]])</f>
        <v>4567</v>
      </c>
      <c r="AS1973" s="59">
        <f>SUMIFS(HIX_RatingAreas8[Silver Enrollments 2023],HIX_RatingAreas8[Area],HIX_SLCSP11[[#This Row],[Area Code]])</f>
        <v>4567</v>
      </c>
      <c r="AT1973" s="59">
        <v>12410</v>
      </c>
      <c r="AU1973">
        <f t="shared" si="107"/>
        <v>5.3527140977808446E-2</v>
      </c>
      <c r="AV1973">
        <f>SUMIFS(HIX_RatingAreas8[QHP Enrollments 2018],HIX_RatingAreas8[Area],HIX_SLCSP11[[#This Row],[Area Code]])</f>
        <v>11047</v>
      </c>
      <c r="AW1973">
        <f t="shared" si="108"/>
        <v>5.1147544019668215E-2</v>
      </c>
      <c r="AX1973">
        <f>SUMIFS(HIX_RatingAreas8[QHP Enrollments 2019],HIX_RatingAreas8[Area],HIX_SLCSP11[[#This Row],[Area Code]])</f>
        <v>10723</v>
      </c>
      <c r="AY1973">
        <f t="shared" si="109"/>
        <v>4.9884627551684997E-2</v>
      </c>
      <c r="AZ1973">
        <f>SUMIFS(HIX_RatingAreas8[QHP Enrollments 2020],HIX_RatingAreas8[Area],HIX_SLCSP11[[#This Row],[Area Code]])</f>
        <v>10498</v>
      </c>
      <c r="BA1973">
        <f t="shared" si="110"/>
        <v>4.904919871046115E-2</v>
      </c>
      <c r="BB1973">
        <f>SUMIFS(HIX_RatingAreas8[QHP Enrollments 2021],HIX_RatingAreas8[Area],HIX_SLCSP11[[#This Row],[Area Code]])</f>
        <v>11230</v>
      </c>
      <c r="BC1973">
        <f t="shared" si="111"/>
        <v>4.8815474896761572E-2</v>
      </c>
      <c r="BD1973">
        <f>SUMIFS(HIX_RatingAreas8[QHP Enrollments 2022],HIX_RatingAreas8[Area],HIX_SLCSP11[[#This Row],[Area Code]])</f>
        <v>14223</v>
      </c>
      <c r="BE1973">
        <f t="shared" si="112"/>
        <v>4.7348131774481342E-2</v>
      </c>
      <c r="BF1973">
        <f>SUMIFS(HIX_RatingAreas8[QHP Enrollments 2023],HIX_RatingAreas8[Area],HIX_SLCSP11[[#This Row],[Area Code]])</f>
        <v>14223</v>
      </c>
      <c r="BG1973">
        <f t="shared" si="117"/>
        <v>4.7348131774481342E-2</v>
      </c>
      <c r="BH1973" s="53">
        <f>ROUND(HIX_SLCSP11[[#This Row],[Weighting Factor 2018]]*HIX_SLCSP11[[#This Row],[2018]],2)</f>
        <v>19.09</v>
      </c>
      <c r="BI1973" s="53">
        <f>ROUND(HIX_SLCSP11[[#This Row],[Weighting Factor 2019]]*HIX_SLCSP11[[#This Row],[2019]],2)</f>
        <v>24.98</v>
      </c>
      <c r="BJ1973" s="53">
        <f>ROUND(HIX_SLCSP11[[#This Row],[Weighting Factor 2020]]*HIX_SLCSP11[[#This Row],[2020]],2)</f>
        <v>20.79</v>
      </c>
      <c r="BK1973" s="53">
        <f>ROUND(HIX_SLCSP11[[#This Row],[Weighting Factor 2021]]*HIX_SLCSP11[[#This Row],[2021]],2)</f>
        <v>16.190000000000001</v>
      </c>
      <c r="BL1973" s="53">
        <f>ROUND(HIX_SLCSP11[[#This Row],[Weighting Factor 2022]]*HIX_SLCSP11[[#This Row],[2022]],2)</f>
        <v>15.53</v>
      </c>
      <c r="BM1973" s="53">
        <f>ROUND(HIX_SLCSP11[[#This Row],[Weighting Factor 2023]]*HIX_SLCSP11[[#This Row],[2023]],2)</f>
        <v>19.34</v>
      </c>
    </row>
    <row r="1974" spans="4:65" x14ac:dyDescent="0.35">
      <c r="D1974" t="s">
        <v>1791</v>
      </c>
      <c r="E1974" t="s">
        <v>2597</v>
      </c>
      <c r="F1974" s="23"/>
      <c r="G1974" s="23"/>
      <c r="H1974" s="23"/>
      <c r="I1974" s="23"/>
      <c r="J1974" s="53"/>
      <c r="K1974" s="53">
        <f>SUM(BH1975:BH1982)</f>
        <v>391.52</v>
      </c>
      <c r="L1974" s="53"/>
      <c r="M1974" s="54"/>
      <c r="O1974" s="55"/>
      <c r="P1974" s="56">
        <f>SUM(BI1975:BI1982)</f>
        <v>415.74</v>
      </c>
      <c r="Q1974" s="56"/>
      <c r="R1974" s="57"/>
      <c r="S1974" s="23"/>
      <c r="T1974" s="53"/>
      <c r="U1974" s="53">
        <f>SUM(BJ1975:BJ1982)</f>
        <v>380.22999999999996</v>
      </c>
      <c r="V1974" s="53"/>
      <c r="W1974" s="57"/>
      <c r="X1974" s="47"/>
      <c r="Y1974" s="58"/>
      <c r="Z1974" s="53">
        <f>SUM(BK1975:BK1982)</f>
        <v>358.47</v>
      </c>
      <c r="AA1974" s="58"/>
      <c r="AB1974" s="57">
        <f t="shared" si="115"/>
        <v>0</v>
      </c>
      <c r="AC1974" s="47"/>
      <c r="AD1974" s="57"/>
      <c r="AE1974" s="53">
        <f>SUM(BL1975:BL1982)</f>
        <v>235.71</v>
      </c>
      <c r="AF1974" s="57"/>
      <c r="AG1974" s="57"/>
      <c r="AH1974" s="47"/>
      <c r="AI1974" s="57"/>
      <c r="AJ1974" s="53">
        <f>SUM(BM1975:BM1982)</f>
        <v>333.87000000000006</v>
      </c>
      <c r="AK1974" s="57"/>
      <c r="AL1974" s="57"/>
      <c r="AM1974" s="59">
        <f t="shared" ref="AM1974:AT1974" si="119">SUM(AM1975:AM1982)</f>
        <v>185799</v>
      </c>
      <c r="AN1974" s="59">
        <f t="shared" si="119"/>
        <v>167291</v>
      </c>
      <c r="AO1974" s="59">
        <f t="shared" si="119"/>
        <v>144003</v>
      </c>
      <c r="AP1974" s="59">
        <f t="shared" si="119"/>
        <v>117881</v>
      </c>
      <c r="AQ1974" s="59">
        <f t="shared" si="119"/>
        <v>117442</v>
      </c>
      <c r="AR1974" s="59">
        <f t="shared" si="119"/>
        <v>152259</v>
      </c>
      <c r="AS1974" s="59">
        <f t="shared" si="119"/>
        <v>152259</v>
      </c>
      <c r="AT1974" s="59">
        <f t="shared" si="119"/>
        <v>268860</v>
      </c>
      <c r="AU1974">
        <f t="shared" ref="AU1974:AU1982" si="120">AT1974/AT$1974</f>
        <v>1</v>
      </c>
      <c r="AV1974" s="59">
        <f>SUM(AV1975:AV1982)</f>
        <v>228646</v>
      </c>
      <c r="AW1974">
        <f t="shared" ref="AW1974:AW1982" si="121">AV1974/AV$1974</f>
        <v>1</v>
      </c>
      <c r="AX1974" s="59">
        <f>SUM(AX1975:AX1982)</f>
        <v>221533</v>
      </c>
      <c r="AY1974">
        <f t="shared" ref="AY1974:AY1982" si="122">AX1974/AX$1974</f>
        <v>1</v>
      </c>
      <c r="AZ1974" s="59">
        <f>SUM(AZ1975:AZ1982)</f>
        <v>200445</v>
      </c>
      <c r="BA1974">
        <f t="shared" ref="BA1974:BA1982" si="123">AZ1974/AZ$1974</f>
        <v>1</v>
      </c>
      <c r="BB1974" s="59">
        <f>SUM(BB1975:BB1982)</f>
        <v>212052</v>
      </c>
      <c r="BC1974">
        <f t="shared" ref="BC1974:BC1982" si="124">BB1974/BB$1974</f>
        <v>1</v>
      </c>
      <c r="BD1974" s="59">
        <f>SUM(BD1975:BD1982)</f>
        <v>273680</v>
      </c>
      <c r="BE1974">
        <f t="shared" ref="BE1974:BE1982" si="125">BD1974/BD$1974</f>
        <v>1</v>
      </c>
      <c r="BF1974" s="59">
        <f>SUM(BF1975:BF1982)</f>
        <v>273680</v>
      </c>
      <c r="BG1974">
        <f>BF1974/BF$1974</f>
        <v>1</v>
      </c>
      <c r="BH1974" s="53"/>
      <c r="BI1974" s="53"/>
      <c r="BJ1974" s="53"/>
      <c r="BK1974" s="53"/>
      <c r="BL1974" s="53"/>
      <c r="BM1974" s="53"/>
    </row>
    <row r="1975" spans="4:65" x14ac:dyDescent="0.35">
      <c r="D1975" t="s">
        <v>1791</v>
      </c>
      <c r="E1975" t="s">
        <v>231</v>
      </c>
      <c r="F1975" s="23">
        <v>1</v>
      </c>
      <c r="G1975" s="23" t="s">
        <v>1792</v>
      </c>
      <c r="H1975" s="23" t="s">
        <v>1793</v>
      </c>
      <c r="I1975" s="23">
        <v>17</v>
      </c>
      <c r="J1975" s="53">
        <v>430.02</v>
      </c>
      <c r="K1975" s="53">
        <v>513.21</v>
      </c>
      <c r="L1975" s="53">
        <v>874.62</v>
      </c>
      <c r="M1975" s="54">
        <f t="shared" ref="M1975:M1982" si="126">L1975/K1975</f>
        <v>1.7042146489741041</v>
      </c>
      <c r="N1975" s="24">
        <v>17</v>
      </c>
      <c r="O1975" s="55">
        <v>317.20999999999998</v>
      </c>
      <c r="P1975" s="56">
        <v>405.76</v>
      </c>
      <c r="Q1975" s="56">
        <v>691.5</v>
      </c>
      <c r="R1975" s="57">
        <f t="shared" ref="R1975:R1982" si="127">Q1975/P1975</f>
        <v>1.7042093848580442</v>
      </c>
      <c r="S1975" s="23">
        <v>17</v>
      </c>
      <c r="T1975" s="53">
        <v>315.64999999999998</v>
      </c>
      <c r="U1975" s="53">
        <v>386.54</v>
      </c>
      <c r="V1975" s="53">
        <v>658.74</v>
      </c>
      <c r="W1975" s="57">
        <f t="shared" ref="W1975:W1982" si="128">V1975/U1975</f>
        <v>1.7041962022041703</v>
      </c>
      <c r="X1975" s="47">
        <v>83</v>
      </c>
      <c r="Y1975" s="58">
        <v>339.23</v>
      </c>
      <c r="Z1975" s="58">
        <v>350.43</v>
      </c>
      <c r="AA1975" s="58">
        <v>597.21</v>
      </c>
      <c r="AB1975" s="57">
        <f t="shared" si="115"/>
        <v>1.7042205290642924</v>
      </c>
      <c r="AC1975" s="47">
        <v>87</v>
      </c>
      <c r="AD1975" s="57">
        <v>362.92</v>
      </c>
      <c r="AE1975" s="57">
        <v>374.88</v>
      </c>
      <c r="AF1975" s="57">
        <v>638.87</v>
      </c>
      <c r="AG1975" s="57">
        <f t="shared" ref="AG1975:AG1982" si="129">AF1975/AE1975</f>
        <v>1.7041986769099446</v>
      </c>
      <c r="AH1975" s="47">
        <v>102</v>
      </c>
      <c r="AI1975">
        <v>345.52</v>
      </c>
      <c r="AJ1975">
        <v>346.61</v>
      </c>
      <c r="AK1975">
        <v>590.69000000000005</v>
      </c>
      <c r="AL1975" s="57">
        <f t="shared" si="118"/>
        <v>1.7041920313897465</v>
      </c>
      <c r="AM1975" s="59">
        <v>14518</v>
      </c>
      <c r="AN1975" s="59">
        <f>SUMIFS(HIX_RatingAreas8[Silver Enrollments 2018],HIX_RatingAreas8[Area],HIX_SLCSP11[[#This Row],[Area Code]])</f>
        <v>10190</v>
      </c>
      <c r="AO1975" s="59">
        <f>SUMIFS(HIX_RatingAreas8[Silver Enrollments 2019],HIX_RatingAreas8[Area],HIX_SLCSP11[[#This Row],[Area Code]])</f>
        <v>9371</v>
      </c>
      <c r="AP1975" s="59">
        <f>SUMIFS(HIX_RatingAreas8[Silver Enrollments 2020],HIX_RatingAreas8[Area],HIX_SLCSP11[[#This Row],[Area Code]])</f>
        <v>7810</v>
      </c>
      <c r="AQ1975" s="59">
        <f>SUMIFS(HIX_RatingAreas8[Silver Enrollments 2021],HIX_RatingAreas8[Area],HIX_SLCSP11[[#This Row],[Area Code]])</f>
        <v>7378</v>
      </c>
      <c r="AR1975" s="59">
        <f>SUMIFS(HIX_RatingAreas8[Silver Enrollments 2022],HIX_RatingAreas8[Area],HIX_SLCSP11[[#This Row],[Area Code]])</f>
        <v>11227</v>
      </c>
      <c r="AS1975" s="59">
        <f>SUMIFS(HIX_RatingAreas8[Silver Enrollments 2023],HIX_RatingAreas8[Area],HIX_SLCSP11[[#This Row],[Area Code]])</f>
        <v>11227</v>
      </c>
      <c r="AT1975" s="59">
        <v>19932</v>
      </c>
      <c r="AU1975">
        <f t="shared" si="120"/>
        <v>7.4135237670162904E-2</v>
      </c>
      <c r="AV1975">
        <f>SUMIFS(HIX_RatingAreas8[QHP Enrollments 2018],HIX_RatingAreas8[Area],HIX_SLCSP11[[#This Row],[Area Code]])</f>
        <v>14868</v>
      </c>
      <c r="AW1975">
        <f t="shared" si="121"/>
        <v>6.5026285174461837E-2</v>
      </c>
      <c r="AX1975">
        <f>SUMIFS(HIX_RatingAreas8[QHP Enrollments 2019],HIX_RatingAreas8[Area],HIX_SLCSP11[[#This Row],[Area Code]])</f>
        <v>14416</v>
      </c>
      <c r="AY1975">
        <f t="shared" si="122"/>
        <v>6.5073826472805407E-2</v>
      </c>
      <c r="AZ1975">
        <f>SUMIFS(HIX_RatingAreas8[QHP Enrollments 2020],HIX_RatingAreas8[Area],HIX_SLCSP11[[#This Row],[Area Code]])</f>
        <v>13469</v>
      </c>
      <c r="BA1975">
        <f t="shared" si="123"/>
        <v>6.7195490034672858E-2</v>
      </c>
      <c r="BB1975">
        <f>SUMIFS(HIX_RatingAreas8[QHP Enrollments 2021],HIX_RatingAreas8[Area],HIX_SLCSP11[[#This Row],[Area Code]])</f>
        <v>13755</v>
      </c>
      <c r="BC1975">
        <f t="shared" si="124"/>
        <v>6.4866164902948331E-2</v>
      </c>
      <c r="BD1975">
        <f>SUMIFS(HIX_RatingAreas8[QHP Enrollments 2022],HIX_RatingAreas8[Area],HIX_SLCSP11[[#This Row],[Area Code]])</f>
        <v>18586</v>
      </c>
      <c r="BE1975">
        <f t="shared" si="125"/>
        <v>6.7911429406606258E-2</v>
      </c>
      <c r="BF1975">
        <f>SUMIFS(HIX_RatingAreas8[QHP Enrollments 2023],HIX_RatingAreas8[Area],HIX_SLCSP11[[#This Row],[Area Code]])</f>
        <v>18586</v>
      </c>
      <c r="BG1975">
        <f>BF1975/BF$1974</f>
        <v>6.7911429406606258E-2</v>
      </c>
      <c r="BH1975" s="53">
        <f>ROUND(HIX_SLCSP11[[#This Row],[Weighting Factor 2018]]*HIX_SLCSP11[[#This Row],[2018]],2)</f>
        <v>33.369999999999997</v>
      </c>
      <c r="BI1975" s="53">
        <f>ROUND(HIX_SLCSP11[[#This Row],[Weighting Factor 2019]]*HIX_SLCSP11[[#This Row],[2019]],2)</f>
        <v>26.4</v>
      </c>
      <c r="BJ1975" s="53">
        <f>ROUND(HIX_SLCSP11[[#This Row],[Weighting Factor 2020]]*HIX_SLCSP11[[#This Row],[2020]],2)</f>
        <v>25.97</v>
      </c>
      <c r="BK1975" s="53">
        <f>ROUND(HIX_SLCSP11[[#This Row],[Weighting Factor 2021]]*HIX_SLCSP11[[#This Row],[2021]],2)</f>
        <v>22.73</v>
      </c>
      <c r="BL1975" s="53">
        <f>ROUND(HIX_SLCSP11[[#This Row],[Weighting Factor 2022]]*HIX_SLCSP11[[#This Row],[2022]],2)</f>
        <v>25.46</v>
      </c>
      <c r="BM1975" s="53">
        <f>ROUND(HIX_SLCSP11[[#This Row],[Weighting Factor 2023]]*HIX_SLCSP11[[#This Row],[2023]],2)</f>
        <v>23.54</v>
      </c>
    </row>
    <row r="1976" spans="4:65" x14ac:dyDescent="0.35">
      <c r="D1976" t="s">
        <v>1791</v>
      </c>
      <c r="E1976" t="s">
        <v>235</v>
      </c>
      <c r="F1976" s="23">
        <v>2</v>
      </c>
      <c r="G1976" s="23" t="s">
        <v>1792</v>
      </c>
      <c r="H1976" s="23" t="s">
        <v>1806</v>
      </c>
      <c r="I1976" s="23">
        <v>62</v>
      </c>
      <c r="J1976" s="53">
        <v>513.04999999999995</v>
      </c>
      <c r="K1976" s="53">
        <v>355.97</v>
      </c>
      <c r="L1976" s="53">
        <v>606.65</v>
      </c>
      <c r="M1976" s="54">
        <f t="shared" si="126"/>
        <v>1.7042166474702922</v>
      </c>
      <c r="N1976" s="24">
        <v>25</v>
      </c>
      <c r="O1976" s="55">
        <v>294.36</v>
      </c>
      <c r="P1976" s="56">
        <v>392.93</v>
      </c>
      <c r="Q1976" s="56">
        <v>669.62</v>
      </c>
      <c r="R1976" s="57">
        <f t="shared" si="127"/>
        <v>1.704171226427099</v>
      </c>
      <c r="S1976" s="23">
        <v>62</v>
      </c>
      <c r="T1976" s="53">
        <v>287.29000000000002</v>
      </c>
      <c r="U1976" s="53">
        <v>359.47</v>
      </c>
      <c r="V1976" s="53">
        <v>612.6</v>
      </c>
      <c r="W1976" s="57">
        <f t="shared" si="128"/>
        <v>1.7041755918435473</v>
      </c>
      <c r="X1976" s="47">
        <v>101</v>
      </c>
      <c r="Y1976" s="58">
        <v>306.39999999999998</v>
      </c>
      <c r="Z1976" s="58">
        <v>325.69</v>
      </c>
      <c r="AA1976" s="58">
        <v>555.04999999999995</v>
      </c>
      <c r="AB1976" s="57">
        <f t="shared" si="115"/>
        <v>1.7042279468205961</v>
      </c>
      <c r="AC1976" s="47">
        <v>139</v>
      </c>
      <c r="AD1976" s="57">
        <v>199.23</v>
      </c>
      <c r="AE1976" s="57">
        <v>203.15</v>
      </c>
      <c r="AF1976" s="57">
        <v>346.21</v>
      </c>
      <c r="AG1976" s="57">
        <f t="shared" si="129"/>
        <v>1.7042087127738124</v>
      </c>
      <c r="AH1976" s="47">
        <v>155</v>
      </c>
      <c r="AI1976">
        <v>312.70999999999998</v>
      </c>
      <c r="AJ1976">
        <v>313.69</v>
      </c>
      <c r="AK1976">
        <v>534.6</v>
      </c>
      <c r="AL1976" s="57">
        <f t="shared" si="118"/>
        <v>1.7042302910516753</v>
      </c>
      <c r="AM1976" s="59">
        <v>35949</v>
      </c>
      <c r="AN1976" s="59">
        <f>SUMIFS(HIX_RatingAreas8[Silver Enrollments 2018],HIX_RatingAreas8[Area],HIX_SLCSP11[[#This Row],[Area Code]])</f>
        <v>33769</v>
      </c>
      <c r="AO1976" s="59">
        <f>SUMIFS(HIX_RatingAreas8[Silver Enrollments 2019],HIX_RatingAreas8[Area],HIX_SLCSP11[[#This Row],[Area Code]])</f>
        <v>26595</v>
      </c>
      <c r="AP1976" s="59">
        <f>SUMIFS(HIX_RatingAreas8[Silver Enrollments 2020],HIX_RatingAreas8[Area],HIX_SLCSP11[[#This Row],[Area Code]])</f>
        <v>20616</v>
      </c>
      <c r="AQ1976" s="59">
        <f>SUMIFS(HIX_RatingAreas8[Silver Enrollments 2021],HIX_RatingAreas8[Area],HIX_SLCSP11[[#This Row],[Area Code]])</f>
        <v>20314</v>
      </c>
      <c r="AR1976" s="59">
        <f>SUMIFS(HIX_RatingAreas8[Silver Enrollments 2022],HIX_RatingAreas8[Area],HIX_SLCSP11[[#This Row],[Area Code]])</f>
        <v>29466</v>
      </c>
      <c r="AS1976" s="59">
        <f>SUMIFS(HIX_RatingAreas8[Silver Enrollments 2023],HIX_RatingAreas8[Area],HIX_SLCSP11[[#This Row],[Area Code]])</f>
        <v>29466</v>
      </c>
      <c r="AT1976" s="59">
        <v>49401</v>
      </c>
      <c r="AU1976">
        <f t="shared" si="120"/>
        <v>0.1837424681990627</v>
      </c>
      <c r="AV1976">
        <f>SUMIFS(HIX_RatingAreas8[QHP Enrollments 2018],HIX_RatingAreas8[Area],HIX_SLCSP11[[#This Row],[Area Code]])</f>
        <v>43449</v>
      </c>
      <c r="AW1976">
        <f t="shared" si="121"/>
        <v>0.19002737856774227</v>
      </c>
      <c r="AX1976">
        <f>SUMIFS(HIX_RatingAreas8[QHP Enrollments 2019],HIX_RatingAreas8[Area],HIX_SLCSP11[[#This Row],[Area Code]])</f>
        <v>42369</v>
      </c>
      <c r="AY1976">
        <f t="shared" si="122"/>
        <v>0.19125367326763959</v>
      </c>
      <c r="AZ1976">
        <f>SUMIFS(HIX_RatingAreas8[QHP Enrollments 2020],HIX_RatingAreas8[Area],HIX_SLCSP11[[#This Row],[Area Code]])</f>
        <v>37479</v>
      </c>
      <c r="BA1976">
        <f t="shared" si="123"/>
        <v>0.1869789717877722</v>
      </c>
      <c r="BB1976">
        <f>SUMIFS(HIX_RatingAreas8[QHP Enrollments 2021],HIX_RatingAreas8[Area],HIX_SLCSP11[[#This Row],[Area Code]])</f>
        <v>39054</v>
      </c>
      <c r="BC1976">
        <f t="shared" si="124"/>
        <v>0.18417180691528492</v>
      </c>
      <c r="BD1976">
        <f>SUMIFS(HIX_RatingAreas8[QHP Enrollments 2022],HIX_RatingAreas8[Area],HIX_SLCSP11[[#This Row],[Area Code]])</f>
        <v>50967</v>
      </c>
      <c r="BE1976">
        <f t="shared" si="125"/>
        <v>0.18622844197603039</v>
      </c>
      <c r="BF1976">
        <f>SUMIFS(HIX_RatingAreas8[QHP Enrollments 2023],HIX_RatingAreas8[Area],HIX_SLCSP11[[#This Row],[Area Code]])</f>
        <v>50967</v>
      </c>
      <c r="BG1976">
        <f t="shared" ref="BG1976:BG1982" si="130">BF1976/BF$1974</f>
        <v>0.18622844197603039</v>
      </c>
      <c r="BH1976" s="53">
        <f>ROUND(HIX_SLCSP11[[#This Row],[Weighting Factor 2018]]*HIX_SLCSP11[[#This Row],[2018]],2)</f>
        <v>67.64</v>
      </c>
      <c r="BI1976" s="53">
        <f>ROUND(HIX_SLCSP11[[#This Row],[Weighting Factor 2019]]*HIX_SLCSP11[[#This Row],[2019]],2)</f>
        <v>75.150000000000006</v>
      </c>
      <c r="BJ1976" s="53">
        <f>ROUND(HIX_SLCSP11[[#This Row],[Weighting Factor 2020]]*HIX_SLCSP11[[#This Row],[2020]],2)</f>
        <v>67.209999999999994</v>
      </c>
      <c r="BK1976" s="53">
        <f>ROUND(HIX_SLCSP11[[#This Row],[Weighting Factor 2021]]*HIX_SLCSP11[[#This Row],[2021]],2)</f>
        <v>59.98</v>
      </c>
      <c r="BL1976" s="53">
        <f>ROUND(HIX_SLCSP11[[#This Row],[Weighting Factor 2022]]*HIX_SLCSP11[[#This Row],[2022]],2)</f>
        <v>37.83</v>
      </c>
      <c r="BM1976" s="53">
        <f>ROUND(HIX_SLCSP11[[#This Row],[Weighting Factor 2023]]*HIX_SLCSP11[[#This Row],[2023]],2)</f>
        <v>58.42</v>
      </c>
    </row>
    <row r="1977" spans="4:65" x14ac:dyDescent="0.35">
      <c r="D1977" t="s">
        <v>1791</v>
      </c>
      <c r="E1977" t="s">
        <v>239</v>
      </c>
      <c r="F1977" s="23">
        <v>3</v>
      </c>
      <c r="G1977" s="23" t="s">
        <v>1792</v>
      </c>
      <c r="H1977" s="23" t="s">
        <v>1830</v>
      </c>
      <c r="I1977" s="23">
        <v>45</v>
      </c>
      <c r="J1977" s="53">
        <v>510.46</v>
      </c>
      <c r="K1977" s="53">
        <v>288.05</v>
      </c>
      <c r="L1977" s="53">
        <v>490.9</v>
      </c>
      <c r="M1977" s="54">
        <f t="shared" si="126"/>
        <v>1.7042180177052593</v>
      </c>
      <c r="N1977" s="24">
        <v>21</v>
      </c>
      <c r="O1977" s="55">
        <v>337.07</v>
      </c>
      <c r="P1977" s="56">
        <v>423.59</v>
      </c>
      <c r="Q1977" s="56">
        <v>721.88</v>
      </c>
      <c r="R1977" s="57">
        <f t="shared" si="127"/>
        <v>1.704195094312897</v>
      </c>
      <c r="S1977" s="23">
        <v>45</v>
      </c>
      <c r="T1977" s="53">
        <v>325.73</v>
      </c>
      <c r="U1977" s="53">
        <v>394.9</v>
      </c>
      <c r="V1977" s="53">
        <v>672.99</v>
      </c>
      <c r="W1977" s="57">
        <f t="shared" si="128"/>
        <v>1.7042035958470501</v>
      </c>
      <c r="X1977" s="47">
        <v>95</v>
      </c>
      <c r="Y1977" s="58">
        <v>347.78</v>
      </c>
      <c r="Z1977" s="58">
        <v>359.26</v>
      </c>
      <c r="AA1977" s="58">
        <v>612.25</v>
      </c>
      <c r="AB1977" s="57">
        <f t="shared" si="115"/>
        <v>1.7041975171185215</v>
      </c>
      <c r="AC1977" s="47">
        <v>127</v>
      </c>
      <c r="AD1977" s="57">
        <v>216.98</v>
      </c>
      <c r="AE1977" s="57">
        <v>221.25</v>
      </c>
      <c r="AF1977" s="57">
        <v>377.05</v>
      </c>
      <c r="AG1977" s="57">
        <f t="shared" si="129"/>
        <v>1.7041807909604521</v>
      </c>
      <c r="AH1977" s="47">
        <v>127</v>
      </c>
      <c r="AI1977">
        <v>331.48</v>
      </c>
      <c r="AJ1977">
        <v>332.53</v>
      </c>
      <c r="AK1977">
        <v>566.69000000000005</v>
      </c>
      <c r="AL1977" s="57">
        <f t="shared" si="118"/>
        <v>1.7041770667308216</v>
      </c>
      <c r="AM1977" s="59">
        <v>19437</v>
      </c>
      <c r="AN1977" s="59">
        <f>SUMIFS(HIX_RatingAreas8[Silver Enrollments 2018],HIX_RatingAreas8[Area],HIX_SLCSP11[[#This Row],[Area Code]])</f>
        <v>20322</v>
      </c>
      <c r="AO1977" s="59">
        <f>SUMIFS(HIX_RatingAreas8[Silver Enrollments 2019],HIX_RatingAreas8[Area],HIX_SLCSP11[[#This Row],[Area Code]])</f>
        <v>14170</v>
      </c>
      <c r="AP1977" s="59">
        <f>SUMIFS(HIX_RatingAreas8[Silver Enrollments 2020],HIX_RatingAreas8[Area],HIX_SLCSP11[[#This Row],[Area Code]])</f>
        <v>10158</v>
      </c>
      <c r="AQ1977" s="59">
        <f>SUMIFS(HIX_RatingAreas8[Silver Enrollments 2021],HIX_RatingAreas8[Area],HIX_SLCSP11[[#This Row],[Area Code]])</f>
        <v>10567</v>
      </c>
      <c r="AR1977" s="59">
        <f>SUMIFS(HIX_RatingAreas8[Silver Enrollments 2022],HIX_RatingAreas8[Area],HIX_SLCSP11[[#This Row],[Area Code]])</f>
        <v>13905</v>
      </c>
      <c r="AS1977" s="59">
        <f>SUMIFS(HIX_RatingAreas8[Silver Enrollments 2023],HIX_RatingAreas8[Area],HIX_SLCSP11[[#This Row],[Area Code]])</f>
        <v>13905</v>
      </c>
      <c r="AT1977" s="59">
        <v>27160</v>
      </c>
      <c r="AU1977">
        <f t="shared" si="120"/>
        <v>0.10101911775645317</v>
      </c>
      <c r="AV1977">
        <f>SUMIFS(HIX_RatingAreas8[QHP Enrollments 2018],HIX_RatingAreas8[Area],HIX_SLCSP11[[#This Row],[Area Code]])</f>
        <v>24690</v>
      </c>
      <c r="AW1977">
        <f t="shared" si="121"/>
        <v>0.10798352037647717</v>
      </c>
      <c r="AX1977">
        <f>SUMIFS(HIX_RatingAreas8[QHP Enrollments 2019],HIX_RatingAreas8[Area],HIX_SLCSP11[[#This Row],[Area Code]])</f>
        <v>23639</v>
      </c>
      <c r="AY1977">
        <f t="shared" si="122"/>
        <v>0.10670645005484511</v>
      </c>
      <c r="AZ1977">
        <f>SUMIFS(HIX_RatingAreas8[QHP Enrollments 2020],HIX_RatingAreas8[Area],HIX_SLCSP11[[#This Row],[Area Code]])</f>
        <v>20145</v>
      </c>
      <c r="BA1977">
        <f t="shared" si="123"/>
        <v>0.10050138441966625</v>
      </c>
      <c r="BB1977">
        <f>SUMIFS(HIX_RatingAreas8[QHP Enrollments 2021],HIX_RatingAreas8[Area],HIX_SLCSP11[[#This Row],[Area Code]])</f>
        <v>20820</v>
      </c>
      <c r="BC1977">
        <f t="shared" si="124"/>
        <v>9.8183464433252224E-2</v>
      </c>
      <c r="BD1977">
        <f>SUMIFS(HIX_RatingAreas8[QHP Enrollments 2022],HIX_RatingAreas8[Area],HIX_SLCSP11[[#This Row],[Area Code]])</f>
        <v>26681</v>
      </c>
      <c r="BE1977">
        <f t="shared" si="125"/>
        <v>9.7489769073370355E-2</v>
      </c>
      <c r="BF1977">
        <f>SUMIFS(HIX_RatingAreas8[QHP Enrollments 2023],HIX_RatingAreas8[Area],HIX_SLCSP11[[#This Row],[Area Code]])</f>
        <v>26681</v>
      </c>
      <c r="BG1977">
        <f t="shared" si="130"/>
        <v>9.7489769073370355E-2</v>
      </c>
      <c r="BH1977" s="53">
        <f>ROUND(HIX_SLCSP11[[#This Row],[Weighting Factor 2018]]*HIX_SLCSP11[[#This Row],[2018]],2)</f>
        <v>31.1</v>
      </c>
      <c r="BI1977" s="53">
        <f>ROUND(HIX_SLCSP11[[#This Row],[Weighting Factor 2019]]*HIX_SLCSP11[[#This Row],[2019]],2)</f>
        <v>45.2</v>
      </c>
      <c r="BJ1977" s="53">
        <f>ROUND(HIX_SLCSP11[[#This Row],[Weighting Factor 2020]]*HIX_SLCSP11[[#This Row],[2020]],2)</f>
        <v>39.69</v>
      </c>
      <c r="BK1977" s="53">
        <f>ROUND(HIX_SLCSP11[[#This Row],[Weighting Factor 2021]]*HIX_SLCSP11[[#This Row],[2021]],2)</f>
        <v>35.270000000000003</v>
      </c>
      <c r="BL1977" s="53">
        <f>ROUND(HIX_SLCSP11[[#This Row],[Weighting Factor 2022]]*HIX_SLCSP11[[#This Row],[2022]],2)</f>
        <v>21.57</v>
      </c>
      <c r="BM1977" s="53">
        <f>ROUND(HIX_SLCSP11[[#This Row],[Weighting Factor 2023]]*HIX_SLCSP11[[#This Row],[2023]],2)</f>
        <v>32.42</v>
      </c>
    </row>
    <row r="1978" spans="4:65" x14ac:dyDescent="0.35">
      <c r="D1978" t="s">
        <v>1791</v>
      </c>
      <c r="E1978" t="s">
        <v>255</v>
      </c>
      <c r="F1978" s="23">
        <v>4</v>
      </c>
      <c r="G1978" s="23" t="s">
        <v>1792</v>
      </c>
      <c r="H1978" s="23" t="s">
        <v>1848</v>
      </c>
      <c r="I1978" s="23">
        <v>79</v>
      </c>
      <c r="J1978" s="53">
        <v>435.87</v>
      </c>
      <c r="K1978" s="53">
        <v>484.57</v>
      </c>
      <c r="L1978" s="53">
        <v>825.8</v>
      </c>
      <c r="M1978" s="54">
        <f t="shared" si="126"/>
        <v>1.7041913449037289</v>
      </c>
      <c r="N1978" s="24">
        <v>29</v>
      </c>
      <c r="O1978" s="55">
        <v>397.8</v>
      </c>
      <c r="P1978" s="56">
        <v>398.67</v>
      </c>
      <c r="Q1978" s="56">
        <v>679.41</v>
      </c>
      <c r="R1978" s="57">
        <f t="shared" si="127"/>
        <v>1.7041914365264503</v>
      </c>
      <c r="S1978" s="23">
        <v>79</v>
      </c>
      <c r="T1978" s="53">
        <v>339.49</v>
      </c>
      <c r="U1978" s="53">
        <v>354.05</v>
      </c>
      <c r="V1978" s="53">
        <v>603.38</v>
      </c>
      <c r="W1978" s="57">
        <f t="shared" si="128"/>
        <v>1.7042225674339782</v>
      </c>
      <c r="X1978" s="47">
        <v>141</v>
      </c>
      <c r="Y1978" s="58">
        <v>337.36</v>
      </c>
      <c r="Z1978" s="58">
        <v>349.16</v>
      </c>
      <c r="AA1978" s="58">
        <v>595.04</v>
      </c>
      <c r="AB1978" s="57">
        <f t="shared" si="115"/>
        <v>1.7042043762172068</v>
      </c>
      <c r="AC1978" s="47">
        <v>163</v>
      </c>
      <c r="AD1978" s="57">
        <v>220.13</v>
      </c>
      <c r="AE1978" s="57">
        <v>224.47</v>
      </c>
      <c r="AF1978" s="57">
        <v>382.53</v>
      </c>
      <c r="AG1978" s="57">
        <f t="shared" si="129"/>
        <v>1.7041475475564662</v>
      </c>
      <c r="AH1978" s="47">
        <v>221</v>
      </c>
      <c r="AI1978">
        <v>341.69</v>
      </c>
      <c r="AJ1978">
        <v>342.77</v>
      </c>
      <c r="AK1978">
        <v>584.14</v>
      </c>
      <c r="AL1978" s="57">
        <f t="shared" si="118"/>
        <v>1.7041748110978208</v>
      </c>
      <c r="AM1978" s="59">
        <v>47757</v>
      </c>
      <c r="AN1978" s="59">
        <f>SUMIFS(HIX_RatingAreas8[Silver Enrollments 2018],HIX_RatingAreas8[Area],HIX_SLCSP11[[#This Row],[Area Code]])</f>
        <v>37714</v>
      </c>
      <c r="AO1978" s="59">
        <f>SUMIFS(HIX_RatingAreas8[Silver Enrollments 2019],HIX_RatingAreas8[Area],HIX_SLCSP11[[#This Row],[Area Code]])</f>
        <v>33932</v>
      </c>
      <c r="AP1978" s="59">
        <f>SUMIFS(HIX_RatingAreas8[Silver Enrollments 2020],HIX_RatingAreas8[Area],HIX_SLCSP11[[#This Row],[Area Code]])</f>
        <v>30272</v>
      </c>
      <c r="AQ1978" s="59">
        <f>SUMIFS(HIX_RatingAreas8[Silver Enrollments 2021],HIX_RatingAreas8[Area],HIX_SLCSP11[[#This Row],[Area Code]])</f>
        <v>34300</v>
      </c>
      <c r="AR1978" s="59">
        <f>SUMIFS(HIX_RatingAreas8[Silver Enrollments 2022],HIX_RatingAreas8[Area],HIX_SLCSP11[[#This Row],[Area Code]])</f>
        <v>46493</v>
      </c>
      <c r="AS1978" s="59">
        <f>SUMIFS(HIX_RatingAreas8[Silver Enrollments 2023],HIX_RatingAreas8[Area],HIX_SLCSP11[[#This Row],[Area Code]])</f>
        <v>46493</v>
      </c>
      <c r="AT1978" s="59">
        <v>76002</v>
      </c>
      <c r="AU1978">
        <f t="shared" si="120"/>
        <v>0.28268243695603662</v>
      </c>
      <c r="AV1978">
        <f>SUMIFS(HIX_RatingAreas8[QHP Enrollments 2018],HIX_RatingAreas8[Area],HIX_SLCSP11[[#This Row],[Area Code]])</f>
        <v>65335</v>
      </c>
      <c r="AW1978">
        <f t="shared" si="121"/>
        <v>0.28574739991077913</v>
      </c>
      <c r="AX1978">
        <f>SUMIFS(HIX_RatingAreas8[QHP Enrollments 2019],HIX_RatingAreas8[Area],HIX_SLCSP11[[#This Row],[Area Code]])</f>
        <v>62724</v>
      </c>
      <c r="AY1978">
        <f t="shared" si="122"/>
        <v>0.28313614675917359</v>
      </c>
      <c r="AZ1978">
        <f>SUMIFS(HIX_RatingAreas8[QHP Enrollments 2020],HIX_RatingAreas8[Area],HIX_SLCSP11[[#This Row],[Area Code]])</f>
        <v>57686</v>
      </c>
      <c r="BA1978">
        <f t="shared" si="123"/>
        <v>0.28778966798872507</v>
      </c>
      <c r="BB1978">
        <f>SUMIFS(HIX_RatingAreas8[QHP Enrollments 2021],HIX_RatingAreas8[Area],HIX_SLCSP11[[#This Row],[Area Code]])</f>
        <v>63364</v>
      </c>
      <c r="BC1978">
        <f t="shared" si="124"/>
        <v>0.29881349857582101</v>
      </c>
      <c r="BD1978">
        <f>SUMIFS(HIX_RatingAreas8[QHP Enrollments 2022],HIX_RatingAreas8[Area],HIX_SLCSP11[[#This Row],[Area Code]])</f>
        <v>83010</v>
      </c>
      <c r="BE1978">
        <f t="shared" si="125"/>
        <v>0.30331043554516224</v>
      </c>
      <c r="BF1978">
        <f>SUMIFS(HIX_RatingAreas8[QHP Enrollments 2023],HIX_RatingAreas8[Area],HIX_SLCSP11[[#This Row],[Area Code]])</f>
        <v>83010</v>
      </c>
      <c r="BG1978">
        <f t="shared" si="130"/>
        <v>0.30331043554516224</v>
      </c>
      <c r="BH1978" s="53">
        <f>ROUND(HIX_SLCSP11[[#This Row],[Weighting Factor 2018]]*HIX_SLCSP11[[#This Row],[2018]],2)</f>
        <v>138.46</v>
      </c>
      <c r="BI1978" s="53">
        <f>ROUND(HIX_SLCSP11[[#This Row],[Weighting Factor 2019]]*HIX_SLCSP11[[#This Row],[2019]],2)</f>
        <v>112.88</v>
      </c>
      <c r="BJ1978" s="53">
        <f>ROUND(HIX_SLCSP11[[#This Row],[Weighting Factor 2020]]*HIX_SLCSP11[[#This Row],[2020]],2)</f>
        <v>101.89</v>
      </c>
      <c r="BK1978" s="53">
        <f>ROUND(HIX_SLCSP11[[#This Row],[Weighting Factor 2021]]*HIX_SLCSP11[[#This Row],[2021]],2)</f>
        <v>104.33</v>
      </c>
      <c r="BL1978" s="53">
        <f>ROUND(HIX_SLCSP11[[#This Row],[Weighting Factor 2022]]*HIX_SLCSP11[[#This Row],[2022]],2)</f>
        <v>68.08</v>
      </c>
      <c r="BM1978" s="53">
        <f>ROUND(HIX_SLCSP11[[#This Row],[Weighting Factor 2023]]*HIX_SLCSP11[[#This Row],[2023]],2)</f>
        <v>103.97</v>
      </c>
    </row>
    <row r="1979" spans="4:65" x14ac:dyDescent="0.35">
      <c r="D1979" t="s">
        <v>1791</v>
      </c>
      <c r="E1979" t="s">
        <v>259</v>
      </c>
      <c r="F1979" s="23">
        <v>5</v>
      </c>
      <c r="G1979" s="23" t="s">
        <v>1792</v>
      </c>
      <c r="H1979" s="23" t="s">
        <v>1863</v>
      </c>
      <c r="I1979" s="23">
        <v>17</v>
      </c>
      <c r="J1979" s="53">
        <v>540.9</v>
      </c>
      <c r="K1979" s="53">
        <v>357.79</v>
      </c>
      <c r="L1979" s="53">
        <v>609.75</v>
      </c>
      <c r="M1979" s="54">
        <f t="shared" si="126"/>
        <v>1.7042119679141394</v>
      </c>
      <c r="N1979" s="24">
        <v>9</v>
      </c>
      <c r="O1979" s="55">
        <v>357.17</v>
      </c>
      <c r="P1979" s="56">
        <v>476.76</v>
      </c>
      <c r="Q1979" s="56">
        <v>812.49</v>
      </c>
      <c r="R1979" s="57">
        <f t="shared" si="127"/>
        <v>1.70419078781777</v>
      </c>
      <c r="S1979" s="23">
        <v>17</v>
      </c>
      <c r="T1979" s="53">
        <v>328.08</v>
      </c>
      <c r="U1979" s="53">
        <v>412.89</v>
      </c>
      <c r="V1979" s="53">
        <v>703.65</v>
      </c>
      <c r="W1979" s="57">
        <f t="shared" si="128"/>
        <v>1.7042069316282786</v>
      </c>
      <c r="X1979" s="47">
        <v>95</v>
      </c>
      <c r="Y1979" s="58">
        <v>353.99</v>
      </c>
      <c r="Z1979" s="58">
        <v>357.13</v>
      </c>
      <c r="AA1979" s="58">
        <v>608.62</v>
      </c>
      <c r="AB1979" s="57">
        <f t="shared" si="115"/>
        <v>1.7041973511046398</v>
      </c>
      <c r="AC1979" s="47">
        <v>103</v>
      </c>
      <c r="AD1979" s="57">
        <v>371.08</v>
      </c>
      <c r="AE1979" s="57">
        <v>371.08</v>
      </c>
      <c r="AF1979" s="57">
        <v>632.39</v>
      </c>
      <c r="AG1979" s="57">
        <f t="shared" si="129"/>
        <v>1.7041877762207611</v>
      </c>
      <c r="AH1979" s="47">
        <v>126</v>
      </c>
      <c r="AI1979">
        <v>342.86</v>
      </c>
      <c r="AJ1979">
        <v>343.95</v>
      </c>
      <c r="AK1979">
        <v>586.15</v>
      </c>
      <c r="AL1979" s="57">
        <f t="shared" si="118"/>
        <v>1.7041721180404128</v>
      </c>
      <c r="AM1979" s="59">
        <v>12860</v>
      </c>
      <c r="AN1979" s="59">
        <f>SUMIFS(HIX_RatingAreas8[Silver Enrollments 2018],HIX_RatingAreas8[Area],HIX_SLCSP11[[#This Row],[Area Code]])</f>
        <v>13793</v>
      </c>
      <c r="AO1979" s="59">
        <f>SUMIFS(HIX_RatingAreas8[Silver Enrollments 2019],HIX_RatingAreas8[Area],HIX_SLCSP11[[#This Row],[Area Code]])</f>
        <v>13258</v>
      </c>
      <c r="AP1979" s="59">
        <f>SUMIFS(HIX_RatingAreas8[Silver Enrollments 2020],HIX_RatingAreas8[Area],HIX_SLCSP11[[#This Row],[Area Code]])</f>
        <v>8385</v>
      </c>
      <c r="AQ1979" s="59">
        <f>SUMIFS(HIX_RatingAreas8[Silver Enrollments 2021],HIX_RatingAreas8[Area],HIX_SLCSP11[[#This Row],[Area Code]])</f>
        <v>7648</v>
      </c>
      <c r="AR1979" s="59">
        <f>SUMIFS(HIX_RatingAreas8[Silver Enrollments 2022],HIX_RatingAreas8[Area],HIX_SLCSP11[[#This Row],[Area Code]])</f>
        <v>7973</v>
      </c>
      <c r="AS1979" s="59">
        <f>SUMIFS(HIX_RatingAreas8[Silver Enrollments 2023],HIX_RatingAreas8[Area],HIX_SLCSP11[[#This Row],[Area Code]])</f>
        <v>7973</v>
      </c>
      <c r="AT1979" s="59">
        <v>18577</v>
      </c>
      <c r="AU1979">
        <f t="shared" si="120"/>
        <v>6.9095440005951053E-2</v>
      </c>
      <c r="AV1979">
        <f>SUMIFS(HIX_RatingAreas8[QHP Enrollments 2018],HIX_RatingAreas8[Area],HIX_SLCSP11[[#This Row],[Area Code]])</f>
        <v>16073</v>
      </c>
      <c r="AW1979">
        <f t="shared" si="121"/>
        <v>7.0296440786193501E-2</v>
      </c>
      <c r="AX1979">
        <f>SUMIFS(HIX_RatingAreas8[QHP Enrollments 2019],HIX_RatingAreas8[Area],HIX_SLCSP11[[#This Row],[Area Code]])</f>
        <v>15685</v>
      </c>
      <c r="AY1979">
        <f t="shared" si="122"/>
        <v>7.0802092690479518E-2</v>
      </c>
      <c r="AZ1979">
        <f>SUMIFS(HIX_RatingAreas8[QHP Enrollments 2020],HIX_RatingAreas8[Area],HIX_SLCSP11[[#This Row],[Area Code]])</f>
        <v>14400</v>
      </c>
      <c r="BA1979">
        <f t="shared" si="123"/>
        <v>7.1840155653670579E-2</v>
      </c>
      <c r="BB1979">
        <f>SUMIFS(HIX_RatingAreas8[QHP Enrollments 2021],HIX_RatingAreas8[Area],HIX_SLCSP11[[#This Row],[Area Code]])</f>
        <v>13170</v>
      </c>
      <c r="BC1979">
        <f t="shared" si="124"/>
        <v>6.2107407616999601E-2</v>
      </c>
      <c r="BD1979">
        <f>SUMIFS(HIX_RatingAreas8[QHP Enrollments 2022],HIX_RatingAreas8[Area],HIX_SLCSP11[[#This Row],[Area Code]])</f>
        <v>16712</v>
      </c>
      <c r="BE1979">
        <f t="shared" si="125"/>
        <v>6.106401636948261E-2</v>
      </c>
      <c r="BF1979">
        <f>SUMIFS(HIX_RatingAreas8[QHP Enrollments 2023],HIX_RatingAreas8[Area],HIX_SLCSP11[[#This Row],[Area Code]])</f>
        <v>16712</v>
      </c>
      <c r="BG1979">
        <f t="shared" si="130"/>
        <v>6.106401636948261E-2</v>
      </c>
      <c r="BH1979" s="53">
        <f>ROUND(HIX_SLCSP11[[#This Row],[Weighting Factor 2018]]*HIX_SLCSP11[[#This Row],[2018]],2)</f>
        <v>25.15</v>
      </c>
      <c r="BI1979" s="53">
        <f>ROUND(HIX_SLCSP11[[#This Row],[Weighting Factor 2019]]*HIX_SLCSP11[[#This Row],[2019]],2)</f>
        <v>33.76</v>
      </c>
      <c r="BJ1979" s="53">
        <f>ROUND(HIX_SLCSP11[[#This Row],[Weighting Factor 2020]]*HIX_SLCSP11[[#This Row],[2020]],2)</f>
        <v>29.66</v>
      </c>
      <c r="BK1979" s="53">
        <f>ROUND(HIX_SLCSP11[[#This Row],[Weighting Factor 2021]]*HIX_SLCSP11[[#This Row],[2021]],2)</f>
        <v>22.18</v>
      </c>
      <c r="BL1979" s="53">
        <f>ROUND(HIX_SLCSP11[[#This Row],[Weighting Factor 2022]]*HIX_SLCSP11[[#This Row],[2022]],2)</f>
        <v>22.66</v>
      </c>
      <c r="BM1979" s="53">
        <f>ROUND(HIX_SLCSP11[[#This Row],[Weighting Factor 2023]]*HIX_SLCSP11[[#This Row],[2023]],2)</f>
        <v>21</v>
      </c>
    </row>
    <row r="1980" spans="4:65" x14ac:dyDescent="0.35">
      <c r="D1980" t="s">
        <v>1791</v>
      </c>
      <c r="E1980" t="s">
        <v>265</v>
      </c>
      <c r="F1980" s="23">
        <v>6</v>
      </c>
      <c r="G1980" s="23" t="s">
        <v>1792</v>
      </c>
      <c r="H1980" s="23" t="s">
        <v>1888</v>
      </c>
      <c r="I1980" s="23">
        <v>79</v>
      </c>
      <c r="J1980" s="53">
        <v>492.89</v>
      </c>
      <c r="K1980" s="53">
        <v>337.09</v>
      </c>
      <c r="L1980" s="53">
        <v>574.47</v>
      </c>
      <c r="M1980" s="54">
        <f t="shared" si="126"/>
        <v>1.7042036251446204</v>
      </c>
      <c r="N1980" s="24">
        <v>41</v>
      </c>
      <c r="O1980" s="55">
        <v>380.58</v>
      </c>
      <c r="P1980" s="56">
        <v>408.65</v>
      </c>
      <c r="Q1980" s="56">
        <v>696.43</v>
      </c>
      <c r="R1980" s="57">
        <f t="shared" si="127"/>
        <v>1.7042212161996819</v>
      </c>
      <c r="S1980" s="23">
        <v>79</v>
      </c>
      <c r="T1980" s="53">
        <v>300.81</v>
      </c>
      <c r="U1980" s="53">
        <v>349.81</v>
      </c>
      <c r="V1980" s="53">
        <v>596.15</v>
      </c>
      <c r="W1980" s="57">
        <f t="shared" si="128"/>
        <v>1.7042108573225465</v>
      </c>
      <c r="X1980" s="47">
        <v>141</v>
      </c>
      <c r="Y1980" s="58">
        <v>327.77</v>
      </c>
      <c r="Z1980" s="58">
        <v>334.49</v>
      </c>
      <c r="AA1980" s="58">
        <v>570.04</v>
      </c>
      <c r="AB1980" s="57">
        <f t="shared" si="115"/>
        <v>1.7042064037788871</v>
      </c>
      <c r="AC1980" s="47">
        <v>152</v>
      </c>
      <c r="AD1980" s="57">
        <v>195.37</v>
      </c>
      <c r="AE1980" s="57">
        <v>199.22</v>
      </c>
      <c r="AF1980" s="57">
        <v>339.51</v>
      </c>
      <c r="AG1980" s="57">
        <f t="shared" si="129"/>
        <v>1.7041963658267243</v>
      </c>
      <c r="AH1980" s="47">
        <v>189</v>
      </c>
      <c r="AI1980">
        <v>313.08</v>
      </c>
      <c r="AJ1980">
        <v>314.07</v>
      </c>
      <c r="AK1980">
        <v>535.23</v>
      </c>
      <c r="AL1980" s="57">
        <f t="shared" si="118"/>
        <v>1.7041742286751362</v>
      </c>
      <c r="AM1980" s="59">
        <v>31044</v>
      </c>
      <c r="AN1980" s="59">
        <f>SUMIFS(HIX_RatingAreas8[Silver Enrollments 2018],HIX_RatingAreas8[Area],HIX_SLCSP11[[#This Row],[Area Code]])</f>
        <v>26364</v>
      </c>
      <c r="AO1980" s="59">
        <f>SUMIFS(HIX_RatingAreas8[Silver Enrollments 2019],HIX_RatingAreas8[Area],HIX_SLCSP11[[#This Row],[Area Code]])</f>
        <v>21852</v>
      </c>
      <c r="AP1980" s="59">
        <f>SUMIFS(HIX_RatingAreas8[Silver Enrollments 2020],HIX_RatingAreas8[Area],HIX_SLCSP11[[#This Row],[Area Code]])</f>
        <v>17103</v>
      </c>
      <c r="AQ1980" s="59">
        <f>SUMIFS(HIX_RatingAreas8[Silver Enrollments 2021],HIX_RatingAreas8[Area],HIX_SLCSP11[[#This Row],[Area Code]])</f>
        <v>18961</v>
      </c>
      <c r="AR1980" s="59">
        <f>SUMIFS(HIX_RatingAreas8[Silver Enrollments 2022],HIX_RatingAreas8[Area],HIX_SLCSP11[[#This Row],[Area Code]])</f>
        <v>28226</v>
      </c>
      <c r="AS1980" s="59">
        <f>SUMIFS(HIX_RatingAreas8[Silver Enrollments 2023],HIX_RatingAreas8[Area],HIX_SLCSP11[[#This Row],[Area Code]])</f>
        <v>28226</v>
      </c>
      <c r="AT1980" s="59">
        <v>44722</v>
      </c>
      <c r="AU1980">
        <f t="shared" si="120"/>
        <v>0.16633935877408318</v>
      </c>
      <c r="AV1980">
        <f>SUMIFS(HIX_RatingAreas8[QHP Enrollments 2018],HIX_RatingAreas8[Area],HIX_SLCSP11[[#This Row],[Area Code]])</f>
        <v>34212</v>
      </c>
      <c r="AW1980">
        <f t="shared" si="121"/>
        <v>0.1496286836419618</v>
      </c>
      <c r="AX1980">
        <f>SUMIFS(HIX_RatingAreas8[QHP Enrollments 2019],HIX_RatingAreas8[Area],HIX_SLCSP11[[#This Row],[Area Code]])</f>
        <v>32625</v>
      </c>
      <c r="AY1980">
        <f t="shared" si="122"/>
        <v>0.14726925559623172</v>
      </c>
      <c r="AZ1980">
        <f>SUMIFS(HIX_RatingAreas8[QHP Enrollments 2020],HIX_RatingAreas8[Area],HIX_SLCSP11[[#This Row],[Area Code]])</f>
        <v>27733</v>
      </c>
      <c r="BA1980">
        <f t="shared" si="123"/>
        <v>0.13835715532939211</v>
      </c>
      <c r="BB1980">
        <f>SUMIFS(HIX_RatingAreas8[QHP Enrollments 2021],HIX_RatingAreas8[Area],HIX_SLCSP11[[#This Row],[Area Code]])</f>
        <v>31580</v>
      </c>
      <c r="BC1980">
        <f t="shared" si="124"/>
        <v>0.14892573519702715</v>
      </c>
      <c r="BD1980">
        <f>SUMIFS(HIX_RatingAreas8[QHP Enrollments 2022],HIX_RatingAreas8[Area],HIX_SLCSP11[[#This Row],[Area Code]])</f>
        <v>43609</v>
      </c>
      <c r="BE1980">
        <f t="shared" si="125"/>
        <v>0.15934302835428238</v>
      </c>
      <c r="BF1980">
        <f>SUMIFS(HIX_RatingAreas8[QHP Enrollments 2023],HIX_RatingAreas8[Area],HIX_SLCSP11[[#This Row],[Area Code]])</f>
        <v>43609</v>
      </c>
      <c r="BG1980">
        <f t="shared" si="130"/>
        <v>0.15934302835428238</v>
      </c>
      <c r="BH1980" s="53">
        <f>ROUND(HIX_SLCSP11[[#This Row],[Weighting Factor 2018]]*HIX_SLCSP11[[#This Row],[2018]],2)</f>
        <v>50.44</v>
      </c>
      <c r="BI1980" s="53">
        <f>ROUND(HIX_SLCSP11[[#This Row],[Weighting Factor 2019]]*HIX_SLCSP11[[#This Row],[2019]],2)</f>
        <v>60.18</v>
      </c>
      <c r="BJ1980" s="53">
        <f>ROUND(HIX_SLCSP11[[#This Row],[Weighting Factor 2020]]*HIX_SLCSP11[[#This Row],[2020]],2)</f>
        <v>48.4</v>
      </c>
      <c r="BK1980" s="53">
        <f>ROUND(HIX_SLCSP11[[#This Row],[Weighting Factor 2021]]*HIX_SLCSP11[[#This Row],[2021]],2)</f>
        <v>49.81</v>
      </c>
      <c r="BL1980" s="53">
        <f>ROUND(HIX_SLCSP11[[#This Row],[Weighting Factor 2022]]*HIX_SLCSP11[[#This Row],[2022]],2)</f>
        <v>31.74</v>
      </c>
      <c r="BM1980" s="53">
        <f>ROUND(HIX_SLCSP11[[#This Row],[Weighting Factor 2023]]*HIX_SLCSP11[[#This Row],[2023]],2)</f>
        <v>50.04</v>
      </c>
    </row>
    <row r="1981" spans="4:65" x14ac:dyDescent="0.35">
      <c r="D1981" t="s">
        <v>1791</v>
      </c>
      <c r="E1981" t="s">
        <v>273</v>
      </c>
      <c r="F1981" s="23">
        <v>7</v>
      </c>
      <c r="G1981" s="23" t="s">
        <v>1792</v>
      </c>
      <c r="H1981" s="23" t="s">
        <v>1895</v>
      </c>
      <c r="I1981" s="23">
        <v>9</v>
      </c>
      <c r="J1981" s="53">
        <v>483.38</v>
      </c>
      <c r="K1981" s="53">
        <v>382.31</v>
      </c>
      <c r="L1981" s="53">
        <v>651.53</v>
      </c>
      <c r="M1981" s="54">
        <f t="shared" si="126"/>
        <v>1.7041929324370275</v>
      </c>
      <c r="N1981" s="24">
        <v>9</v>
      </c>
      <c r="O1981" s="55">
        <v>319.18</v>
      </c>
      <c r="P1981" s="56">
        <v>426.05</v>
      </c>
      <c r="Q1981" s="56">
        <v>726.08</v>
      </c>
      <c r="R1981" s="57">
        <f t="shared" si="127"/>
        <v>1.70421312052576</v>
      </c>
      <c r="S1981" s="23">
        <v>9</v>
      </c>
      <c r="T1981" s="53">
        <v>305.39999999999998</v>
      </c>
      <c r="U1981" s="53">
        <v>425.76</v>
      </c>
      <c r="V1981" s="53">
        <v>725.58</v>
      </c>
      <c r="W1981" s="57">
        <f t="shared" si="128"/>
        <v>1.7041995490417137</v>
      </c>
      <c r="X1981" s="47">
        <v>9</v>
      </c>
      <c r="Y1981" s="58">
        <v>363.51</v>
      </c>
      <c r="Z1981" s="58">
        <v>485.84</v>
      </c>
      <c r="AA1981" s="58">
        <v>827.97</v>
      </c>
      <c r="AB1981" s="57">
        <f t="shared" si="115"/>
        <v>1.7042030298040509</v>
      </c>
      <c r="AC1981" s="47">
        <v>41</v>
      </c>
      <c r="AD1981" s="57">
        <v>206.38</v>
      </c>
      <c r="AE1981" s="57">
        <v>210.45</v>
      </c>
      <c r="AF1981" s="57">
        <v>358.64</v>
      </c>
      <c r="AG1981" s="57">
        <f t="shared" si="129"/>
        <v>1.7041577571869804</v>
      </c>
      <c r="AH1981" s="47">
        <v>72</v>
      </c>
      <c r="AI1981">
        <v>344.38</v>
      </c>
      <c r="AJ1981">
        <v>345.46</v>
      </c>
      <c r="AK1981">
        <v>588.74</v>
      </c>
      <c r="AL1981" s="57">
        <f t="shared" si="118"/>
        <v>1.7042204596769526</v>
      </c>
      <c r="AM1981" s="59">
        <v>10269</v>
      </c>
      <c r="AN1981" s="59">
        <f>SUMIFS(HIX_RatingAreas8[Silver Enrollments 2018],HIX_RatingAreas8[Area],HIX_SLCSP11[[#This Row],[Area Code]])</f>
        <v>10963</v>
      </c>
      <c r="AO1981" s="59">
        <f>SUMIFS(HIX_RatingAreas8[Silver Enrollments 2019],HIX_RatingAreas8[Area],HIX_SLCSP11[[#This Row],[Area Code]])</f>
        <v>10947</v>
      </c>
      <c r="AP1981" s="59">
        <f>SUMIFS(HIX_RatingAreas8[Silver Enrollments 2020],HIX_RatingAreas8[Area],HIX_SLCSP11[[#This Row],[Area Code]])</f>
        <v>10456</v>
      </c>
      <c r="AQ1981" s="59">
        <f>SUMIFS(HIX_RatingAreas8[Silver Enrollments 2021],HIX_RatingAreas8[Area],HIX_SLCSP11[[#This Row],[Area Code]])</f>
        <v>10217</v>
      </c>
      <c r="AR1981" s="59">
        <f>SUMIFS(HIX_RatingAreas8[Silver Enrollments 2022],HIX_RatingAreas8[Area],HIX_SLCSP11[[#This Row],[Area Code]])</f>
        <v>7498</v>
      </c>
      <c r="AS1981" s="59">
        <f>SUMIFS(HIX_RatingAreas8[Silver Enrollments 2023],HIX_RatingAreas8[Area],HIX_SLCSP11[[#This Row],[Area Code]])</f>
        <v>7498</v>
      </c>
      <c r="AT1981" s="59">
        <v>13960</v>
      </c>
      <c r="AU1981">
        <f t="shared" si="120"/>
        <v>5.1922933868928066E-2</v>
      </c>
      <c r="AV1981">
        <f>SUMIFS(HIX_RatingAreas8[QHP Enrollments 2018],HIX_RatingAreas8[Area],HIX_SLCSP11[[#This Row],[Area Code]])</f>
        <v>13009</v>
      </c>
      <c r="AW1981">
        <f t="shared" si="121"/>
        <v>5.6895812741093219E-2</v>
      </c>
      <c r="AX1981">
        <f>SUMIFS(HIX_RatingAreas8[QHP Enrollments 2019],HIX_RatingAreas8[Area],HIX_SLCSP11[[#This Row],[Area Code]])</f>
        <v>13281</v>
      </c>
      <c r="AY1981">
        <f t="shared" si="122"/>
        <v>5.9950436278116581E-2</v>
      </c>
      <c r="AZ1981">
        <f>SUMIFS(HIX_RatingAreas8[QHP Enrollments 2020],HIX_RatingAreas8[Area],HIX_SLCSP11[[#This Row],[Area Code]])</f>
        <v>13106</v>
      </c>
      <c r="BA1981">
        <f t="shared" si="123"/>
        <v>6.538451944423658E-2</v>
      </c>
      <c r="BB1981">
        <f>SUMIFS(HIX_RatingAreas8[QHP Enrollments 2021],HIX_RatingAreas8[Area],HIX_SLCSP11[[#This Row],[Area Code]])</f>
        <v>13695</v>
      </c>
      <c r="BC1981">
        <f t="shared" si="124"/>
        <v>6.458321543772283E-2</v>
      </c>
      <c r="BD1981">
        <f>SUMIFS(HIX_RatingAreas8[QHP Enrollments 2022],HIX_RatingAreas8[Area],HIX_SLCSP11[[#This Row],[Area Code]])</f>
        <v>15885</v>
      </c>
      <c r="BE1981">
        <f t="shared" si="125"/>
        <v>5.8042239111370943E-2</v>
      </c>
      <c r="BF1981">
        <f>SUMIFS(HIX_RatingAreas8[QHP Enrollments 2023],HIX_RatingAreas8[Area],HIX_SLCSP11[[#This Row],[Area Code]])</f>
        <v>15885</v>
      </c>
      <c r="BG1981">
        <f t="shared" si="130"/>
        <v>5.8042239111370943E-2</v>
      </c>
      <c r="BH1981" s="53">
        <f>ROUND(HIX_SLCSP11[[#This Row],[Weighting Factor 2018]]*HIX_SLCSP11[[#This Row],[2018]],2)</f>
        <v>21.75</v>
      </c>
      <c r="BI1981" s="53">
        <f>ROUND(HIX_SLCSP11[[#This Row],[Weighting Factor 2019]]*HIX_SLCSP11[[#This Row],[2019]],2)</f>
        <v>25.54</v>
      </c>
      <c r="BJ1981" s="53">
        <f>ROUND(HIX_SLCSP11[[#This Row],[Weighting Factor 2020]]*HIX_SLCSP11[[#This Row],[2020]],2)</f>
        <v>27.84</v>
      </c>
      <c r="BK1981" s="53">
        <f>ROUND(HIX_SLCSP11[[#This Row],[Weighting Factor 2021]]*HIX_SLCSP11[[#This Row],[2021]],2)</f>
        <v>31.38</v>
      </c>
      <c r="BL1981" s="53">
        <f>ROUND(HIX_SLCSP11[[#This Row],[Weighting Factor 2022]]*HIX_SLCSP11[[#This Row],[2022]],2)</f>
        <v>12.21</v>
      </c>
      <c r="BM1981" s="53">
        <f>ROUND(HIX_SLCSP11[[#This Row],[Weighting Factor 2023]]*HIX_SLCSP11[[#This Row],[2023]],2)</f>
        <v>20.05</v>
      </c>
    </row>
    <row r="1982" spans="4:65" x14ac:dyDescent="0.35">
      <c r="D1982" t="s">
        <v>1791</v>
      </c>
      <c r="E1982" t="s">
        <v>279</v>
      </c>
      <c r="F1982" s="23">
        <v>8</v>
      </c>
      <c r="G1982" s="23" t="s">
        <v>1792</v>
      </c>
      <c r="H1982" s="23" t="s">
        <v>1914</v>
      </c>
      <c r="I1982" s="23">
        <v>9</v>
      </c>
      <c r="J1982" s="53">
        <v>548.24</v>
      </c>
      <c r="K1982" s="53">
        <v>317.35000000000002</v>
      </c>
      <c r="L1982" s="53">
        <v>540.83000000000004</v>
      </c>
      <c r="M1982" s="54">
        <f t="shared" si="126"/>
        <v>1.7042067118323618</v>
      </c>
      <c r="N1982" s="24">
        <v>9</v>
      </c>
      <c r="O1982" s="55">
        <v>362.01</v>
      </c>
      <c r="P1982" s="56">
        <v>483.22</v>
      </c>
      <c r="Q1982" s="56">
        <v>823.51</v>
      </c>
      <c r="R1982" s="57">
        <f t="shared" si="127"/>
        <v>1.704213401763172</v>
      </c>
      <c r="S1982" s="23">
        <v>9</v>
      </c>
      <c r="T1982" s="53">
        <v>346.37</v>
      </c>
      <c r="U1982" s="53">
        <v>482.89</v>
      </c>
      <c r="V1982" s="53">
        <v>822.94</v>
      </c>
      <c r="W1982" s="57">
        <f t="shared" si="128"/>
        <v>1.7041976433556298</v>
      </c>
      <c r="X1982" s="47">
        <v>77</v>
      </c>
      <c r="Y1982" s="58">
        <v>408.18</v>
      </c>
      <c r="Z1982" s="58">
        <v>418.49</v>
      </c>
      <c r="AA1982" s="58">
        <v>713.19</v>
      </c>
      <c r="AB1982" s="57">
        <f t="shared" si="115"/>
        <v>1.7041984276804703</v>
      </c>
      <c r="AC1982" s="47">
        <v>105</v>
      </c>
      <c r="AD1982" s="57">
        <v>237.91</v>
      </c>
      <c r="AE1982" s="57">
        <v>242.59</v>
      </c>
      <c r="AF1982" s="57">
        <v>413.43</v>
      </c>
      <c r="AG1982" s="57">
        <f t="shared" si="129"/>
        <v>1.7042334803578054</v>
      </c>
      <c r="AH1982" s="47">
        <v>112</v>
      </c>
      <c r="AI1982">
        <v>365.56</v>
      </c>
      <c r="AJ1982">
        <v>366.72</v>
      </c>
      <c r="AK1982">
        <v>624.96</v>
      </c>
      <c r="AL1982" s="57">
        <f t="shared" si="118"/>
        <v>1.7041884816753927</v>
      </c>
      <c r="AM1982" s="59">
        <v>13965</v>
      </c>
      <c r="AN1982" s="59">
        <f>SUMIFS(HIX_RatingAreas8[Silver Enrollments 2018],HIX_RatingAreas8[Area],HIX_SLCSP11[[#This Row],[Area Code]])</f>
        <v>14176</v>
      </c>
      <c r="AO1982" s="59">
        <f>SUMIFS(HIX_RatingAreas8[Silver Enrollments 2019],HIX_RatingAreas8[Area],HIX_SLCSP11[[#This Row],[Area Code]])</f>
        <v>13878</v>
      </c>
      <c r="AP1982" s="59">
        <f>SUMIFS(HIX_RatingAreas8[Silver Enrollments 2020],HIX_RatingAreas8[Area],HIX_SLCSP11[[#This Row],[Area Code]])</f>
        <v>13081</v>
      </c>
      <c r="AQ1982" s="59">
        <f>SUMIFS(HIX_RatingAreas8[Silver Enrollments 2021],HIX_RatingAreas8[Area],HIX_SLCSP11[[#This Row],[Area Code]])</f>
        <v>8057</v>
      </c>
      <c r="AR1982" s="59">
        <f>SUMIFS(HIX_RatingAreas8[Silver Enrollments 2022],HIX_RatingAreas8[Area],HIX_SLCSP11[[#This Row],[Area Code]])</f>
        <v>7471</v>
      </c>
      <c r="AS1982" s="59">
        <f>SUMIFS(HIX_RatingAreas8[Silver Enrollments 2023],HIX_RatingAreas8[Area],HIX_SLCSP11[[#This Row],[Area Code]])</f>
        <v>7471</v>
      </c>
      <c r="AT1982" s="59">
        <v>19106</v>
      </c>
      <c r="AU1982">
        <f t="shared" si="120"/>
        <v>7.1063006769322326E-2</v>
      </c>
      <c r="AV1982">
        <f>SUMIFS(HIX_RatingAreas8[QHP Enrollments 2018],HIX_RatingAreas8[Area],HIX_SLCSP11[[#This Row],[Area Code]])</f>
        <v>17010</v>
      </c>
      <c r="AW1982">
        <f t="shared" si="121"/>
        <v>7.4394478801291075E-2</v>
      </c>
      <c r="AX1982">
        <f>SUMIFS(HIX_RatingAreas8[QHP Enrollments 2019],HIX_RatingAreas8[Area],HIX_SLCSP11[[#This Row],[Area Code]])</f>
        <v>16794</v>
      </c>
      <c r="AY1982">
        <f t="shared" si="122"/>
        <v>7.5808118880708514E-2</v>
      </c>
      <c r="AZ1982">
        <f>SUMIFS(HIX_RatingAreas8[QHP Enrollments 2020],HIX_RatingAreas8[Area],HIX_SLCSP11[[#This Row],[Area Code]])</f>
        <v>16427</v>
      </c>
      <c r="BA1982">
        <f t="shared" si="123"/>
        <v>8.1952655341864356E-2</v>
      </c>
      <c r="BB1982">
        <f>SUMIFS(HIX_RatingAreas8[QHP Enrollments 2021],HIX_RatingAreas8[Area],HIX_SLCSP11[[#This Row],[Area Code]])</f>
        <v>16614</v>
      </c>
      <c r="BC1982">
        <f t="shared" si="124"/>
        <v>7.8348706920943922E-2</v>
      </c>
      <c r="BD1982">
        <f>SUMIFS(HIX_RatingAreas8[QHP Enrollments 2022],HIX_RatingAreas8[Area],HIX_SLCSP11[[#This Row],[Area Code]])</f>
        <v>18230</v>
      </c>
      <c r="BE1982">
        <f t="shared" si="125"/>
        <v>6.661064016369482E-2</v>
      </c>
      <c r="BF1982">
        <f>SUMIFS(HIX_RatingAreas8[QHP Enrollments 2023],HIX_RatingAreas8[Area],HIX_SLCSP11[[#This Row],[Area Code]])</f>
        <v>18230</v>
      </c>
      <c r="BG1982">
        <f t="shared" si="130"/>
        <v>6.661064016369482E-2</v>
      </c>
      <c r="BH1982" s="53">
        <f>ROUND(HIX_SLCSP11[[#This Row],[Weighting Factor 2018]]*HIX_SLCSP11[[#This Row],[2018]],2)</f>
        <v>23.61</v>
      </c>
      <c r="BI1982" s="53">
        <f>ROUND(HIX_SLCSP11[[#This Row],[Weighting Factor 2019]]*HIX_SLCSP11[[#This Row],[2019]],2)</f>
        <v>36.630000000000003</v>
      </c>
      <c r="BJ1982" s="53">
        <f>ROUND(HIX_SLCSP11[[#This Row],[Weighting Factor 2020]]*HIX_SLCSP11[[#This Row],[2020]],2)</f>
        <v>39.57</v>
      </c>
      <c r="BK1982" s="53">
        <f>ROUND(HIX_SLCSP11[[#This Row],[Weighting Factor 2021]]*HIX_SLCSP11[[#This Row],[2021]],2)</f>
        <v>32.79</v>
      </c>
      <c r="BL1982" s="53">
        <f>ROUND(HIX_SLCSP11[[#This Row],[Weighting Factor 2022]]*HIX_SLCSP11[[#This Row],[2022]],2)</f>
        <v>16.16</v>
      </c>
      <c r="BM1982" s="53">
        <f>ROUND(HIX_SLCSP11[[#This Row],[Weighting Factor 2023]]*HIX_SLCSP11[[#This Row],[2023]],2)</f>
        <v>24.43</v>
      </c>
    </row>
    <row r="1983" spans="4:65" x14ac:dyDescent="0.35">
      <c r="D1983" t="s">
        <v>1460</v>
      </c>
      <c r="E1983" t="s">
        <v>2597</v>
      </c>
      <c r="F1983" s="23"/>
      <c r="G1983" s="23"/>
      <c r="H1983" s="23"/>
      <c r="I1983" s="23"/>
      <c r="J1983" s="53"/>
      <c r="K1983" s="53">
        <f>SUM(BH1984:BH2009)</f>
        <v>390.25</v>
      </c>
      <c r="L1983" s="53"/>
      <c r="M1983" s="54"/>
      <c r="O1983" s="55"/>
      <c r="P1983" s="56">
        <f>SUM(BI1984:BI2009)</f>
        <v>344.61000000000013</v>
      </c>
      <c r="Q1983" s="56"/>
      <c r="R1983" s="57"/>
      <c r="S1983" s="23"/>
      <c r="T1983" s="53"/>
      <c r="U1983" s="53">
        <f>SUM(BJ1984:BJ2009)</f>
        <v>342.54999999999995</v>
      </c>
      <c r="V1983" s="53"/>
      <c r="W1983" s="57"/>
      <c r="X1983" s="47"/>
      <c r="Y1983" s="58"/>
      <c r="Z1983" s="53">
        <f>SUM(BK1984:BK2009)</f>
        <v>307.46999999999997</v>
      </c>
      <c r="AA1983" s="58"/>
      <c r="AB1983" s="57"/>
      <c r="AC1983" s="47"/>
      <c r="AD1983" s="53"/>
      <c r="AE1983" s="53">
        <f>SUM(BL1984:BL2009)</f>
        <v>329.3</v>
      </c>
      <c r="AF1983" s="57"/>
      <c r="AG1983" s="57"/>
      <c r="AH1983" s="47"/>
      <c r="AI1983" s="57"/>
      <c r="AJ1983" s="53">
        <f>SUM(BM1984:BM2010)</f>
        <v>326.16000000000003</v>
      </c>
      <c r="AK1983" s="57"/>
      <c r="AL1983" s="57"/>
      <c r="AM1983" s="59">
        <f t="shared" ref="AM1983:AT1983" si="131">SUM(AM1984:AM2009)</f>
        <v>869334</v>
      </c>
      <c r="AN1983" s="59">
        <f t="shared" si="131"/>
        <v>708871</v>
      </c>
      <c r="AO1983" s="59">
        <f t="shared" si="131"/>
        <v>656511</v>
      </c>
      <c r="AP1983" s="59">
        <f t="shared" si="131"/>
        <v>671535</v>
      </c>
      <c r="AQ1983" s="59">
        <f t="shared" si="131"/>
        <v>739926</v>
      </c>
      <c r="AR1983" s="59">
        <f t="shared" si="131"/>
        <v>1148143</v>
      </c>
      <c r="AS1983" s="59">
        <f t="shared" si="131"/>
        <v>1148143</v>
      </c>
      <c r="AT1983" s="59">
        <f t="shared" si="131"/>
        <v>1306631</v>
      </c>
      <c r="AU1983">
        <f t="shared" ref="AU1983:AU2010" si="132">AT1983/AT$1983</f>
        <v>1</v>
      </c>
      <c r="AV1983" s="59">
        <f>SUM(AV1984:AV2009)</f>
        <v>1100301</v>
      </c>
      <c r="AW1983">
        <f t="shared" ref="AW1983:AW2010" si="133">AV1983/AV$1983</f>
        <v>1</v>
      </c>
      <c r="AX1983" s="59">
        <f>SUM(AX1984:AX2009)</f>
        <v>1071862</v>
      </c>
      <c r="AY1983">
        <f t="shared" ref="AY1983:AY2009" si="134">AX1983/AX$1983</f>
        <v>1</v>
      </c>
      <c r="AZ1983" s="59">
        <f>SUM(AZ1984:AZ2009)</f>
        <v>1091960</v>
      </c>
      <c r="BA1983">
        <f t="shared" ref="BA1983:BA2010" si="135">AZ1983/AZ$1983</f>
        <v>1</v>
      </c>
      <c r="BB1983" s="59">
        <f>SUM(BB1984:BB2009)</f>
        <v>1261554</v>
      </c>
      <c r="BC1983">
        <f t="shared" ref="BC1983:BC2010" si="136">BB1983/BB$1983</f>
        <v>1</v>
      </c>
      <c r="BD1983" s="59">
        <f>SUM(BD1984:BD2009)</f>
        <v>1792689</v>
      </c>
      <c r="BE1983">
        <f t="shared" ref="BE1983:BG2010" si="137">BD1983/BD$1983</f>
        <v>1</v>
      </c>
      <c r="BF1983" s="59">
        <f>SUM(BF1984:BF2010)</f>
        <v>1840940</v>
      </c>
      <c r="BG1983">
        <f t="shared" si="137"/>
        <v>1</v>
      </c>
      <c r="BH1983" s="53"/>
      <c r="BI1983" s="53"/>
      <c r="BJ1983" s="53"/>
      <c r="BK1983" s="53"/>
      <c r="BL1983" s="53"/>
      <c r="BM1983" s="53"/>
    </row>
    <row r="1984" spans="4:65" x14ac:dyDescent="0.35">
      <c r="D1984" t="s">
        <v>1460</v>
      </c>
      <c r="E1984" t="s">
        <v>231</v>
      </c>
      <c r="F1984" s="23">
        <v>1</v>
      </c>
      <c r="G1984" s="23" t="s">
        <v>1937</v>
      </c>
      <c r="H1984" s="23" t="s">
        <v>1938</v>
      </c>
      <c r="I1984" s="23">
        <v>18</v>
      </c>
      <c r="J1984" s="53">
        <v>426.68</v>
      </c>
      <c r="K1984" s="53">
        <v>440.94</v>
      </c>
      <c r="L1984" s="53">
        <v>751.45</v>
      </c>
      <c r="M1984" s="54">
        <f t="shared" ref="M1984:M2009" si="138">L1984/K1984</f>
        <v>1.7042001179298771</v>
      </c>
      <c r="N1984" s="24">
        <v>18</v>
      </c>
      <c r="O1984" s="55">
        <v>332.87</v>
      </c>
      <c r="P1984" s="56">
        <v>370.28</v>
      </c>
      <c r="Q1984" s="56">
        <v>631.02</v>
      </c>
      <c r="R1984" s="57">
        <f t="shared" ref="R1984:R2009" si="139">Q1984/P1984</f>
        <v>1.7041698174354543</v>
      </c>
      <c r="S1984" s="23">
        <v>18</v>
      </c>
      <c r="T1984" s="53">
        <v>336.64</v>
      </c>
      <c r="U1984" s="53">
        <v>358.04</v>
      </c>
      <c r="V1984" s="53">
        <v>610.16999999999996</v>
      </c>
      <c r="W1984" s="57">
        <f t="shared" ref="W1984:W2009" si="140">V1984/U1984</f>
        <v>1.7041950620042452</v>
      </c>
      <c r="X1984" s="47">
        <v>22</v>
      </c>
      <c r="Y1984" s="58">
        <v>353.01</v>
      </c>
      <c r="Z1984" s="58">
        <v>378.28</v>
      </c>
      <c r="AA1984" s="58">
        <v>644.66</v>
      </c>
      <c r="AB1984" s="57">
        <f t="shared" ref="AB1984:AB2009" si="141">AA1984/Z1984</f>
        <v>1.704187374431638</v>
      </c>
      <c r="AC1984" s="47">
        <v>27</v>
      </c>
      <c r="AD1984" s="57">
        <v>401.03</v>
      </c>
      <c r="AE1984" s="57">
        <v>413.55</v>
      </c>
      <c r="AF1984" s="57">
        <v>704.76</v>
      </c>
      <c r="AG1984" s="57">
        <f t="shared" ref="AG1984:AG2009" si="142">AF1984/AE1984</f>
        <v>1.7041712005803409</v>
      </c>
      <c r="AH1984" s="47">
        <v>90</v>
      </c>
      <c r="AI1984">
        <v>348.62</v>
      </c>
      <c r="AJ1984">
        <v>354.61</v>
      </c>
      <c r="AK1984">
        <v>604.33000000000004</v>
      </c>
      <c r="AL1984" s="57">
        <f t="shared" si="118"/>
        <v>1.7042102591579482</v>
      </c>
      <c r="AM1984" s="59">
        <v>3405</v>
      </c>
      <c r="AN1984" s="59">
        <f>SUMIFS(HIX_RatingAreas8[Silver Enrollments 2018],HIX_RatingAreas8[Area],HIX_SLCSP11[[#This Row],[Area Code]])</f>
        <v>4819</v>
      </c>
      <c r="AO1984" s="59">
        <f>SUMIFS(HIX_RatingAreas8[Silver Enrollments 2019],HIX_RatingAreas8[Area],HIX_SLCSP11[[#This Row],[Area Code]])</f>
        <v>4104</v>
      </c>
      <c r="AP1984" s="59">
        <f>SUMIFS(HIX_RatingAreas8[Silver Enrollments 2020],HIX_RatingAreas8[Area],HIX_SLCSP11[[#This Row],[Area Code]])</f>
        <v>4599</v>
      </c>
      <c r="AQ1984" s="59">
        <f>SUMIFS(HIX_RatingAreas8[Silver Enrollments 2021],HIX_RatingAreas8[Area],HIX_SLCSP11[[#This Row],[Area Code]])</f>
        <v>6281</v>
      </c>
      <c r="AR1984" s="59">
        <f>SUMIFS(HIX_RatingAreas8[Silver Enrollments 2022],HIX_RatingAreas8[Area],HIX_SLCSP11[[#This Row],[Area Code]])</f>
        <v>8426</v>
      </c>
      <c r="AS1984" s="59">
        <f>SUMIFS(HIX_RatingAreas8[Silver Enrollments 2023],HIX_RatingAreas8[Area],HIX_SLCSP11[[#This Row],[Area Code]])</f>
        <v>8426</v>
      </c>
      <c r="AT1984" s="59">
        <v>5182</v>
      </c>
      <c r="AU1984">
        <f t="shared" si="132"/>
        <v>3.9659245800842012E-3</v>
      </c>
      <c r="AV1984">
        <f>SUMIFS(HIX_RatingAreas8[QHP Enrollments 2018],HIX_RatingAreas8[Area],HIX_SLCSP11[[#This Row],[Area Code]])</f>
        <v>9333</v>
      </c>
      <c r="AW1984">
        <f t="shared" si="133"/>
        <v>8.482224409502491E-3</v>
      </c>
      <c r="AX1984">
        <f>SUMIFS(HIX_RatingAreas8[QHP Enrollments 2019],HIX_RatingAreas8[Area],HIX_SLCSP11[[#This Row],[Area Code]])</f>
        <v>17622</v>
      </c>
      <c r="AY1984">
        <f t="shared" si="134"/>
        <v>1.6440549249810144E-2</v>
      </c>
      <c r="AZ1984">
        <f>SUMIFS(HIX_RatingAreas8[QHP Enrollments 2020],HIX_RatingAreas8[Area],HIX_SLCSP11[[#This Row],[Area Code]])</f>
        <v>9103</v>
      </c>
      <c r="BA1984">
        <f t="shared" si="135"/>
        <v>8.3363859482032312E-3</v>
      </c>
      <c r="BB1984">
        <f>SUMIFS(HIX_RatingAreas8[QHP Enrollments 2021],HIX_RatingAreas8[Area],HIX_SLCSP11[[#This Row],[Area Code]])</f>
        <v>10795</v>
      </c>
      <c r="BC1984">
        <f t="shared" si="136"/>
        <v>8.556906799074792E-3</v>
      </c>
      <c r="BD1984">
        <f>SUMIFS(HIX_RatingAreas8[QHP Enrollments 2022],HIX_RatingAreas8[Area],HIX_SLCSP11[[#This Row],[Area Code]])</f>
        <v>14507</v>
      </c>
      <c r="BE1984">
        <f t="shared" si="137"/>
        <v>8.0923127212807131E-3</v>
      </c>
      <c r="BF1984">
        <f>SUMIFS(HIX_RatingAreas8[QHP Enrollments 2023],HIX_RatingAreas8[Area],HIX_SLCSP11[[#This Row],[Area Code]])</f>
        <v>14507</v>
      </c>
      <c r="BG1984">
        <f t="shared" si="137"/>
        <v>7.8802133692570091E-3</v>
      </c>
      <c r="BH1984" s="53">
        <f>ROUND(HIX_SLCSP11[[#This Row],[Weighting Factor 2018]]*HIX_SLCSP11[[#This Row],[2018]],2)</f>
        <v>3.74</v>
      </c>
      <c r="BI1984" s="53">
        <f>ROUND(HIX_SLCSP11[[#This Row],[Weighting Factor 2019]]*HIX_SLCSP11[[#This Row],[2019]],2)</f>
        <v>6.09</v>
      </c>
      <c r="BJ1984" s="53">
        <f>ROUND(HIX_SLCSP11[[#This Row],[Weighting Factor 2020]]*HIX_SLCSP11[[#This Row],[2020]],2)</f>
        <v>2.98</v>
      </c>
      <c r="BK1984" s="53">
        <f>ROUND(HIX_SLCSP11[[#This Row],[Weighting Factor 2021]]*HIX_SLCSP11[[#This Row],[2021]],2)</f>
        <v>3.24</v>
      </c>
      <c r="BL1984" s="53">
        <f>ROUND(HIX_SLCSP11[[#This Row],[Weighting Factor 2022]]*HIX_SLCSP11[[#This Row],[2022]],2)</f>
        <v>3.35</v>
      </c>
      <c r="BM1984" s="53">
        <f>ROUND(HIX_SLCSP11[[#This Row],[Weighting Factor 2023]]*HIX_SLCSP11[[#This Row],[2023]],2)</f>
        <v>2.79</v>
      </c>
    </row>
    <row r="1985" spans="4:65" x14ac:dyDescent="0.35">
      <c r="D1985" t="s">
        <v>1460</v>
      </c>
      <c r="E1985" t="s">
        <v>235</v>
      </c>
      <c r="F1985" s="23">
        <v>2</v>
      </c>
      <c r="G1985" s="23" t="s">
        <v>1937</v>
      </c>
      <c r="H1985" s="23" t="s">
        <v>1971</v>
      </c>
      <c r="I1985" s="23">
        <v>94</v>
      </c>
      <c r="J1985" s="53">
        <v>411.21</v>
      </c>
      <c r="K1985" s="53">
        <v>454.38</v>
      </c>
      <c r="L1985" s="53">
        <v>774.36</v>
      </c>
      <c r="M1985" s="54">
        <f t="shared" si="138"/>
        <v>1.7042123332893173</v>
      </c>
      <c r="N1985" s="24">
        <v>18</v>
      </c>
      <c r="O1985" s="55">
        <v>357.28</v>
      </c>
      <c r="P1985" s="56">
        <v>373.39</v>
      </c>
      <c r="Q1985" s="56">
        <v>636.33000000000004</v>
      </c>
      <c r="R1985" s="57">
        <f t="shared" si="139"/>
        <v>1.7041966844318275</v>
      </c>
      <c r="S1985" s="23">
        <v>94</v>
      </c>
      <c r="T1985" s="53">
        <v>323.52999999999997</v>
      </c>
      <c r="U1985" s="53">
        <v>330.69</v>
      </c>
      <c r="V1985" s="53">
        <v>563.54999999999995</v>
      </c>
      <c r="W1985" s="57">
        <f t="shared" si="140"/>
        <v>1.7041640206840243</v>
      </c>
      <c r="X1985" s="47">
        <v>118</v>
      </c>
      <c r="Y1985" s="58">
        <v>277.74</v>
      </c>
      <c r="Z1985" s="58">
        <v>285.57</v>
      </c>
      <c r="AA1985" s="58">
        <v>486.66</v>
      </c>
      <c r="AB1985" s="57">
        <f t="shared" si="141"/>
        <v>1.704170606156109</v>
      </c>
      <c r="AC1985" s="47">
        <v>120</v>
      </c>
      <c r="AD1985" s="57">
        <v>350.55</v>
      </c>
      <c r="AE1985" s="57">
        <v>367.94</v>
      </c>
      <c r="AF1985" s="57">
        <v>627.04999999999995</v>
      </c>
      <c r="AG1985" s="57">
        <f t="shared" si="142"/>
        <v>1.7042180790346251</v>
      </c>
      <c r="AH1985" s="47">
        <v>90</v>
      </c>
      <c r="AI1985">
        <v>342.51</v>
      </c>
      <c r="AJ1985">
        <v>347.21</v>
      </c>
      <c r="AK1985">
        <v>591.71</v>
      </c>
      <c r="AL1985" s="57">
        <f t="shared" si="118"/>
        <v>1.7041847873045133</v>
      </c>
      <c r="AM1985" s="59">
        <v>4947</v>
      </c>
      <c r="AN1985" s="59">
        <f>SUMIFS(HIX_RatingAreas8[Silver Enrollments 2018],HIX_RatingAreas8[Area],HIX_SLCSP11[[#This Row],[Area Code]])</f>
        <v>6320</v>
      </c>
      <c r="AO1985" s="59">
        <f>SUMIFS(HIX_RatingAreas8[Silver Enrollments 2019],HIX_RatingAreas8[Area],HIX_SLCSP11[[#This Row],[Area Code]])</f>
        <v>5498</v>
      </c>
      <c r="AP1985" s="59">
        <f>SUMIFS(HIX_RatingAreas8[Silver Enrollments 2020],HIX_RatingAreas8[Area],HIX_SLCSP11[[#This Row],[Area Code]])</f>
        <v>4714</v>
      </c>
      <c r="AQ1985" s="59">
        <f>SUMIFS(HIX_RatingAreas8[Silver Enrollments 2021],HIX_RatingAreas8[Area],HIX_SLCSP11[[#This Row],[Area Code]])</f>
        <v>5221</v>
      </c>
      <c r="AR1985" s="59">
        <f>SUMIFS(HIX_RatingAreas8[Silver Enrollments 2022],HIX_RatingAreas8[Area],HIX_SLCSP11[[#This Row],[Area Code]])</f>
        <v>9534</v>
      </c>
      <c r="AS1985" s="59">
        <f>SUMIFS(HIX_RatingAreas8[Silver Enrollments 2023],HIX_RatingAreas8[Area],HIX_SLCSP11[[#This Row],[Area Code]])</f>
        <v>9534</v>
      </c>
      <c r="AT1985" s="59">
        <v>7445</v>
      </c>
      <c r="AU1985">
        <f t="shared" si="132"/>
        <v>5.6978596099434347E-3</v>
      </c>
      <c r="AV1985">
        <f>SUMIFS(HIX_RatingAreas8[QHP Enrollments 2018],HIX_RatingAreas8[Area],HIX_SLCSP11[[#This Row],[Area Code]])</f>
        <v>10726</v>
      </c>
      <c r="AW1985">
        <f t="shared" si="133"/>
        <v>9.7482416175210234E-3</v>
      </c>
      <c r="AX1985">
        <f>SUMIFS(HIX_RatingAreas8[QHP Enrollments 2019],HIX_RatingAreas8[Area],HIX_SLCSP11[[#This Row],[Area Code]])</f>
        <v>10891</v>
      </c>
      <c r="AY1985">
        <f t="shared" si="134"/>
        <v>1.0160822941759294E-2</v>
      </c>
      <c r="AZ1985">
        <f>SUMIFS(HIX_RatingAreas8[QHP Enrollments 2020],HIX_RatingAreas8[Area],HIX_SLCSP11[[#This Row],[Area Code]])</f>
        <v>10690</v>
      </c>
      <c r="BA1985">
        <f t="shared" si="135"/>
        <v>9.7897358877614572E-3</v>
      </c>
      <c r="BB1985">
        <f>SUMIFS(HIX_RatingAreas8[QHP Enrollments 2021],HIX_RatingAreas8[Area],HIX_SLCSP11[[#This Row],[Area Code]])</f>
        <v>10992</v>
      </c>
      <c r="BC1985">
        <f t="shared" si="136"/>
        <v>8.713063412267727E-3</v>
      </c>
      <c r="BD1985">
        <f>SUMIFS(HIX_RatingAreas8[QHP Enrollments 2022],HIX_RatingAreas8[Area],HIX_SLCSP11[[#This Row],[Area Code]])</f>
        <v>16450</v>
      </c>
      <c r="BE1985">
        <f t="shared" si="137"/>
        <v>9.1761593896096862E-3</v>
      </c>
      <c r="BF1985">
        <f>SUMIFS(HIX_RatingAreas8[QHP Enrollments 2023],HIX_RatingAreas8[Area],HIX_SLCSP11[[#This Row],[Area Code]])</f>
        <v>16450</v>
      </c>
      <c r="BG1985">
        <f t="shared" si="137"/>
        <v>8.9356524384281936E-3</v>
      </c>
      <c r="BH1985" s="53">
        <f>ROUND(HIX_SLCSP11[[#This Row],[Weighting Factor 2018]]*HIX_SLCSP11[[#This Row],[2018]],2)</f>
        <v>4.43</v>
      </c>
      <c r="BI1985" s="53">
        <f>ROUND(HIX_SLCSP11[[#This Row],[Weighting Factor 2019]]*HIX_SLCSP11[[#This Row],[2019]],2)</f>
        <v>3.79</v>
      </c>
      <c r="BJ1985" s="53">
        <f>ROUND(HIX_SLCSP11[[#This Row],[Weighting Factor 2020]]*HIX_SLCSP11[[#This Row],[2020]],2)</f>
        <v>3.24</v>
      </c>
      <c r="BK1985" s="53">
        <f>ROUND(HIX_SLCSP11[[#This Row],[Weighting Factor 2021]]*HIX_SLCSP11[[#This Row],[2021]],2)</f>
        <v>2.4900000000000002</v>
      </c>
      <c r="BL1985" s="53">
        <f>ROUND(HIX_SLCSP11[[#This Row],[Weighting Factor 2022]]*HIX_SLCSP11[[#This Row],[2022]],2)</f>
        <v>3.38</v>
      </c>
      <c r="BM1985" s="53">
        <f>ROUND(HIX_SLCSP11[[#This Row],[Weighting Factor 2023]]*HIX_SLCSP11[[#This Row],[2023]],2)</f>
        <v>3.1</v>
      </c>
    </row>
    <row r="1986" spans="4:65" x14ac:dyDescent="0.35">
      <c r="D1986" t="s">
        <v>1460</v>
      </c>
      <c r="E1986" t="s">
        <v>239</v>
      </c>
      <c r="F1986" s="23">
        <v>3</v>
      </c>
      <c r="G1986" s="23" t="s">
        <v>1937</v>
      </c>
      <c r="H1986" s="23" t="s">
        <v>2021</v>
      </c>
      <c r="I1986" s="23">
        <v>168</v>
      </c>
      <c r="J1986" s="53">
        <v>279.87</v>
      </c>
      <c r="K1986" s="53">
        <v>333.99</v>
      </c>
      <c r="L1986" s="53">
        <v>569.19000000000005</v>
      </c>
      <c r="M1986" s="54">
        <f t="shared" si="138"/>
        <v>1.7042127009790713</v>
      </c>
      <c r="N1986" s="24">
        <v>69</v>
      </c>
      <c r="O1986" s="55">
        <v>310.44</v>
      </c>
      <c r="P1986" s="56">
        <v>347.09</v>
      </c>
      <c r="Q1986" s="56">
        <v>591.51</v>
      </c>
      <c r="R1986" s="57">
        <f t="shared" si="139"/>
        <v>1.7041977585064394</v>
      </c>
      <c r="S1986" s="23">
        <v>168</v>
      </c>
      <c r="T1986" s="53">
        <v>320.51</v>
      </c>
      <c r="U1986" s="53">
        <v>328.59</v>
      </c>
      <c r="V1986" s="53">
        <v>559.98</v>
      </c>
      <c r="W1986" s="57">
        <f t="shared" si="140"/>
        <v>1.7041906327033691</v>
      </c>
      <c r="X1986" s="47">
        <v>233</v>
      </c>
      <c r="Y1986" s="58">
        <v>299.61</v>
      </c>
      <c r="Z1986" s="58">
        <v>308.05</v>
      </c>
      <c r="AA1986" s="58">
        <v>524.98</v>
      </c>
      <c r="AB1986" s="57">
        <f t="shared" si="141"/>
        <v>1.7042038630092518</v>
      </c>
      <c r="AC1986" s="47">
        <v>296</v>
      </c>
      <c r="AD1986" s="57">
        <v>307.58999999999997</v>
      </c>
      <c r="AE1986" s="57">
        <v>308.11</v>
      </c>
      <c r="AF1986" s="57">
        <v>525.07000000000005</v>
      </c>
      <c r="AG1986" s="57">
        <f t="shared" si="142"/>
        <v>1.7041640972379994</v>
      </c>
      <c r="AH1986" s="47">
        <v>266</v>
      </c>
      <c r="AI1986">
        <v>371.91</v>
      </c>
      <c r="AJ1986">
        <v>375.2</v>
      </c>
      <c r="AK1986">
        <v>639.41</v>
      </c>
      <c r="AL1986" s="57">
        <f t="shared" si="118"/>
        <v>1.7041844349680171</v>
      </c>
      <c r="AM1986" s="59">
        <v>72801</v>
      </c>
      <c r="AN1986" s="59">
        <f>SUMIFS(HIX_RatingAreas8[Silver Enrollments 2018],HIX_RatingAreas8[Area],HIX_SLCSP11[[#This Row],[Area Code]])</f>
        <v>49705</v>
      </c>
      <c r="AO1986" s="59">
        <f>SUMIFS(HIX_RatingAreas8[Silver Enrollments 2019],HIX_RatingAreas8[Area],HIX_SLCSP11[[#This Row],[Area Code]])</f>
        <v>43671</v>
      </c>
      <c r="AP1986" s="59">
        <f>SUMIFS(HIX_RatingAreas8[Silver Enrollments 2020],HIX_RatingAreas8[Area],HIX_SLCSP11[[#This Row],[Area Code]])</f>
        <v>43143</v>
      </c>
      <c r="AQ1986" s="59">
        <f>SUMIFS(HIX_RatingAreas8[Silver Enrollments 2021],HIX_RatingAreas8[Area],HIX_SLCSP11[[#This Row],[Area Code]])</f>
        <v>45588</v>
      </c>
      <c r="AR1986" s="59">
        <f>SUMIFS(HIX_RatingAreas8[Silver Enrollments 2022],HIX_RatingAreas8[Area],HIX_SLCSP11[[#This Row],[Area Code]])</f>
        <v>62340</v>
      </c>
      <c r="AS1986" s="59">
        <f>SUMIFS(HIX_RatingAreas8[Silver Enrollments 2023],HIX_RatingAreas8[Area],HIX_SLCSP11[[#This Row],[Area Code]])</f>
        <v>62340</v>
      </c>
      <c r="AT1986" s="59">
        <v>113735</v>
      </c>
      <c r="AU1986">
        <f t="shared" si="132"/>
        <v>8.7044467795421965E-2</v>
      </c>
      <c r="AV1986">
        <f>SUMIFS(HIX_RatingAreas8[QHP Enrollments 2018],HIX_RatingAreas8[Area],HIX_SLCSP11[[#This Row],[Area Code]])</f>
        <v>95498</v>
      </c>
      <c r="AW1986">
        <f t="shared" si="133"/>
        <v>8.6792614021072412E-2</v>
      </c>
      <c r="AX1986">
        <f>SUMIFS(HIX_RatingAreas8[QHP Enrollments 2019],HIX_RatingAreas8[Area],HIX_SLCSP11[[#This Row],[Area Code]])</f>
        <v>87800</v>
      </c>
      <c r="AY1986">
        <f t="shared" si="134"/>
        <v>8.1913529913365715E-2</v>
      </c>
      <c r="AZ1986">
        <f>SUMIFS(HIX_RatingAreas8[QHP Enrollments 2020],HIX_RatingAreas8[Area],HIX_SLCSP11[[#This Row],[Area Code]])</f>
        <v>86535</v>
      </c>
      <c r="BA1986">
        <f t="shared" si="135"/>
        <v>7.9247408329975455E-2</v>
      </c>
      <c r="BB1986">
        <f>SUMIFS(HIX_RatingAreas8[QHP Enrollments 2021],HIX_RatingAreas8[Area],HIX_SLCSP11[[#This Row],[Area Code]])</f>
        <v>97529</v>
      </c>
      <c r="BC1986">
        <f t="shared" si="136"/>
        <v>7.7308620954790686E-2</v>
      </c>
      <c r="BD1986">
        <f>SUMIFS(HIX_RatingAreas8[QHP Enrollments 2022],HIX_RatingAreas8[Area],HIX_SLCSP11[[#This Row],[Area Code]])</f>
        <v>131626</v>
      </c>
      <c r="BE1986">
        <f t="shared" si="137"/>
        <v>7.3423778469104237E-2</v>
      </c>
      <c r="BF1986">
        <f>SUMIFS(HIX_RatingAreas8[QHP Enrollments 2023],HIX_RatingAreas8[Area],HIX_SLCSP11[[#This Row],[Area Code]])</f>
        <v>131626</v>
      </c>
      <c r="BG1986">
        <f t="shared" si="137"/>
        <v>7.149934272708508E-2</v>
      </c>
      <c r="BH1986" s="53">
        <f>ROUND(HIX_SLCSP11[[#This Row],[Weighting Factor 2018]]*HIX_SLCSP11[[#This Row],[2018]],2)</f>
        <v>28.99</v>
      </c>
      <c r="BI1986" s="53">
        <f>ROUND(HIX_SLCSP11[[#This Row],[Weighting Factor 2019]]*HIX_SLCSP11[[#This Row],[2019]],2)</f>
        <v>28.43</v>
      </c>
      <c r="BJ1986" s="53">
        <f>ROUND(HIX_SLCSP11[[#This Row],[Weighting Factor 2020]]*HIX_SLCSP11[[#This Row],[2020]],2)</f>
        <v>26.04</v>
      </c>
      <c r="BK1986" s="53">
        <f>ROUND(HIX_SLCSP11[[#This Row],[Weighting Factor 2021]]*HIX_SLCSP11[[#This Row],[2021]],2)</f>
        <v>23.81</v>
      </c>
      <c r="BL1986" s="53">
        <f>ROUND(HIX_SLCSP11[[#This Row],[Weighting Factor 2022]]*HIX_SLCSP11[[#This Row],[2022]],2)</f>
        <v>22.62</v>
      </c>
      <c r="BM1986" s="53">
        <f>ROUND(HIX_SLCSP11[[#This Row],[Weighting Factor 2023]]*HIX_SLCSP11[[#This Row],[2023]],2)</f>
        <v>26.83</v>
      </c>
    </row>
    <row r="1987" spans="4:65" x14ac:dyDescent="0.35">
      <c r="D1987" t="s">
        <v>1460</v>
      </c>
      <c r="E1987" t="s">
        <v>255</v>
      </c>
      <c r="F1987" s="23">
        <v>4</v>
      </c>
      <c r="G1987" s="23" t="s">
        <v>1937</v>
      </c>
      <c r="H1987" s="23" t="s">
        <v>2038</v>
      </c>
      <c r="I1987" s="23">
        <v>42</v>
      </c>
      <c r="J1987" s="53">
        <v>333.99</v>
      </c>
      <c r="K1987" s="53">
        <v>342.99</v>
      </c>
      <c r="L1987" s="53">
        <v>584.53</v>
      </c>
      <c r="M1987" s="54">
        <f t="shared" si="138"/>
        <v>1.7042187818886847</v>
      </c>
      <c r="N1987" s="24">
        <v>38</v>
      </c>
      <c r="O1987" s="55">
        <v>346.17</v>
      </c>
      <c r="P1987" s="56">
        <v>358.46</v>
      </c>
      <c r="Q1987" s="56">
        <v>610.89</v>
      </c>
      <c r="R1987" s="57">
        <f t="shared" si="139"/>
        <v>1.7042068850080903</v>
      </c>
      <c r="S1987" s="23">
        <v>42</v>
      </c>
      <c r="T1987" s="53">
        <v>331.03</v>
      </c>
      <c r="U1987" s="53">
        <v>340.59</v>
      </c>
      <c r="V1987" s="53">
        <v>580.42999999999995</v>
      </c>
      <c r="W1987" s="57">
        <f t="shared" si="140"/>
        <v>1.7041897883085235</v>
      </c>
      <c r="X1987" s="47">
        <v>158</v>
      </c>
      <c r="Y1987" s="58">
        <v>304</v>
      </c>
      <c r="Z1987" s="58">
        <v>312.56</v>
      </c>
      <c r="AA1987" s="58">
        <v>532.66999999999996</v>
      </c>
      <c r="AB1987" s="57">
        <f t="shared" si="141"/>
        <v>1.7042167903762475</v>
      </c>
      <c r="AC1987" s="47">
        <v>160</v>
      </c>
      <c r="AD1987" s="57">
        <v>321.62</v>
      </c>
      <c r="AE1987" s="57">
        <v>337.58</v>
      </c>
      <c r="AF1987" s="57">
        <v>575.29999999999995</v>
      </c>
      <c r="AG1987" s="57">
        <f t="shared" si="142"/>
        <v>1.7041886367675809</v>
      </c>
      <c r="AH1987" s="47">
        <v>146</v>
      </c>
      <c r="AI1987">
        <v>302.27999999999997</v>
      </c>
      <c r="AJ1987">
        <v>307.48</v>
      </c>
      <c r="AK1987">
        <v>524</v>
      </c>
      <c r="AL1987" s="57">
        <f t="shared" si="118"/>
        <v>1.7041758813581369</v>
      </c>
      <c r="AM1987" s="59">
        <v>8367</v>
      </c>
      <c r="AN1987" s="59">
        <f>SUMIFS(HIX_RatingAreas8[Silver Enrollments 2018],HIX_RatingAreas8[Area],HIX_SLCSP11[[#This Row],[Area Code]])</f>
        <v>15460</v>
      </c>
      <c r="AO1987" s="59">
        <f>SUMIFS(HIX_RatingAreas8[Silver Enrollments 2019],HIX_RatingAreas8[Area],HIX_SLCSP11[[#This Row],[Area Code]])</f>
        <v>15426</v>
      </c>
      <c r="AP1987" s="59">
        <f>SUMIFS(HIX_RatingAreas8[Silver Enrollments 2020],HIX_RatingAreas8[Area],HIX_SLCSP11[[#This Row],[Area Code]])</f>
        <v>16371</v>
      </c>
      <c r="AQ1987" s="59">
        <f>SUMIFS(HIX_RatingAreas8[Silver Enrollments 2021],HIX_RatingAreas8[Area],HIX_SLCSP11[[#This Row],[Area Code]])</f>
        <v>15879</v>
      </c>
      <c r="AR1987" s="59">
        <f>SUMIFS(HIX_RatingAreas8[Silver Enrollments 2022],HIX_RatingAreas8[Area],HIX_SLCSP11[[#This Row],[Area Code]])</f>
        <v>28935</v>
      </c>
      <c r="AS1987" s="59">
        <f>SUMIFS(HIX_RatingAreas8[Silver Enrollments 2023],HIX_RatingAreas8[Area],HIX_SLCSP11[[#This Row],[Area Code]])</f>
        <v>28935</v>
      </c>
      <c r="AT1987" s="59">
        <v>12557</v>
      </c>
      <c r="AU1987">
        <f t="shared" si="132"/>
        <v>9.6102112991349516E-3</v>
      </c>
      <c r="AV1987">
        <f>SUMIFS(HIX_RatingAreas8[QHP Enrollments 2018],HIX_RatingAreas8[Area],HIX_SLCSP11[[#This Row],[Area Code]])</f>
        <v>24660</v>
      </c>
      <c r="AW1987">
        <f t="shared" si="133"/>
        <v>2.2412049066573601E-2</v>
      </c>
      <c r="AX1987">
        <f>SUMIFS(HIX_RatingAreas8[QHP Enrollments 2019],HIX_RatingAreas8[Area],HIX_SLCSP11[[#This Row],[Area Code]])</f>
        <v>25288</v>
      </c>
      <c r="AY1987">
        <f t="shared" si="134"/>
        <v>2.359258934452383E-2</v>
      </c>
      <c r="AZ1987">
        <f>SUMIFS(HIX_RatingAreas8[QHP Enrollments 2020],HIX_RatingAreas8[Area],HIX_SLCSP11[[#This Row],[Area Code]])</f>
        <v>25996</v>
      </c>
      <c r="BA1987">
        <f t="shared" si="135"/>
        <v>2.3806732847357046E-2</v>
      </c>
      <c r="BB1987">
        <f>SUMIFS(HIX_RatingAreas8[QHP Enrollments 2021],HIX_RatingAreas8[Area],HIX_SLCSP11[[#This Row],[Area Code]])</f>
        <v>28134</v>
      </c>
      <c r="BC1987">
        <f t="shared" si="136"/>
        <v>2.2301066779543324E-2</v>
      </c>
      <c r="BD1987">
        <f>SUMIFS(HIX_RatingAreas8[QHP Enrollments 2022],HIX_RatingAreas8[Area],HIX_SLCSP11[[#This Row],[Area Code]])</f>
        <v>40323</v>
      </c>
      <c r="BE1987">
        <f t="shared" si="137"/>
        <v>2.2493025839953277E-2</v>
      </c>
      <c r="BF1987">
        <f>SUMIFS(HIX_RatingAreas8[QHP Enrollments 2023],HIX_RatingAreas8[Area],HIX_SLCSP11[[#This Row],[Area Code]])</f>
        <v>40323</v>
      </c>
      <c r="BG1987">
        <f t="shared" si="137"/>
        <v>2.1903484089649854E-2</v>
      </c>
      <c r="BH1987" s="53">
        <f>ROUND(HIX_SLCSP11[[#This Row],[Weighting Factor 2018]]*HIX_SLCSP11[[#This Row],[2018]],2)</f>
        <v>7.69</v>
      </c>
      <c r="BI1987" s="53">
        <f>ROUND(HIX_SLCSP11[[#This Row],[Weighting Factor 2019]]*HIX_SLCSP11[[#This Row],[2019]],2)</f>
        <v>8.4600000000000009</v>
      </c>
      <c r="BJ1987" s="53">
        <f>ROUND(HIX_SLCSP11[[#This Row],[Weighting Factor 2020]]*HIX_SLCSP11[[#This Row],[2020]],2)</f>
        <v>8.11</v>
      </c>
      <c r="BK1987" s="53">
        <f>ROUND(HIX_SLCSP11[[#This Row],[Weighting Factor 2021]]*HIX_SLCSP11[[#This Row],[2021]],2)</f>
        <v>6.97</v>
      </c>
      <c r="BL1987" s="53">
        <f>ROUND(HIX_SLCSP11[[#This Row],[Weighting Factor 2022]]*HIX_SLCSP11[[#This Row],[2022]],2)</f>
        <v>7.59</v>
      </c>
      <c r="BM1987" s="53">
        <f>ROUND(HIX_SLCSP11[[#This Row],[Weighting Factor 2023]]*HIX_SLCSP11[[#This Row],[2023]],2)</f>
        <v>6.73</v>
      </c>
    </row>
    <row r="1988" spans="4:65" x14ac:dyDescent="0.35">
      <c r="D1988" t="s">
        <v>1460</v>
      </c>
      <c r="E1988" t="s">
        <v>259</v>
      </c>
      <c r="F1988" s="23">
        <v>5</v>
      </c>
      <c r="G1988" s="23" t="s">
        <v>1937</v>
      </c>
      <c r="H1988" s="23" t="s">
        <v>2061</v>
      </c>
      <c r="I1988" s="23">
        <v>86</v>
      </c>
      <c r="J1988" s="53">
        <v>284.27999999999997</v>
      </c>
      <c r="K1988" s="53">
        <v>299.88</v>
      </c>
      <c r="L1988" s="53">
        <v>511.05</v>
      </c>
      <c r="M1988" s="54">
        <f t="shared" si="138"/>
        <v>1.7041816726690677</v>
      </c>
      <c r="N1988" s="24">
        <v>54</v>
      </c>
      <c r="O1988" s="55">
        <v>274.73</v>
      </c>
      <c r="P1988" s="56">
        <v>279.92</v>
      </c>
      <c r="Q1988" s="56">
        <v>477.04</v>
      </c>
      <c r="R1988" s="57">
        <f t="shared" si="139"/>
        <v>1.7042012003429552</v>
      </c>
      <c r="S1988" s="23">
        <v>86</v>
      </c>
      <c r="T1988" s="53">
        <v>278.36</v>
      </c>
      <c r="U1988" s="53">
        <v>299.17</v>
      </c>
      <c r="V1988" s="53">
        <v>509.85</v>
      </c>
      <c r="W1988" s="57">
        <f t="shared" si="140"/>
        <v>1.7042149948189993</v>
      </c>
      <c r="X1988" s="47">
        <v>126</v>
      </c>
      <c r="Y1988" s="58">
        <v>262</v>
      </c>
      <c r="Z1988" s="58">
        <v>269.38</v>
      </c>
      <c r="AA1988" s="58">
        <v>459.08</v>
      </c>
      <c r="AB1988" s="57">
        <f t="shared" si="141"/>
        <v>1.7042096666419184</v>
      </c>
      <c r="AC1988" s="47">
        <v>144</v>
      </c>
      <c r="AD1988" s="57">
        <v>294.16000000000003</v>
      </c>
      <c r="AE1988" s="57">
        <v>308.75</v>
      </c>
      <c r="AF1988" s="57">
        <v>526.17999999999995</v>
      </c>
      <c r="AG1988" s="57">
        <f t="shared" si="142"/>
        <v>1.704226720647773</v>
      </c>
      <c r="AH1988" s="47">
        <v>166</v>
      </c>
      <c r="AI1988">
        <v>284.25</v>
      </c>
      <c r="AJ1988">
        <v>290.83999999999997</v>
      </c>
      <c r="AK1988">
        <v>495.64</v>
      </c>
      <c r="AL1988" s="57">
        <f t="shared" si="118"/>
        <v>1.7041672397194334</v>
      </c>
      <c r="AM1988" s="59">
        <v>14371</v>
      </c>
      <c r="AN1988" s="59">
        <f>SUMIFS(HIX_RatingAreas8[Silver Enrollments 2018],HIX_RatingAreas8[Area],HIX_SLCSP11[[#This Row],[Area Code]])</f>
        <v>13673</v>
      </c>
      <c r="AO1988" s="59">
        <f>SUMIFS(HIX_RatingAreas8[Silver Enrollments 2019],HIX_RatingAreas8[Area],HIX_SLCSP11[[#This Row],[Area Code]])</f>
        <v>13061</v>
      </c>
      <c r="AP1988" s="59">
        <f>SUMIFS(HIX_RatingAreas8[Silver Enrollments 2020],HIX_RatingAreas8[Area],HIX_SLCSP11[[#This Row],[Area Code]])</f>
        <v>13183</v>
      </c>
      <c r="AQ1988" s="59">
        <f>SUMIFS(HIX_RatingAreas8[Silver Enrollments 2021],HIX_RatingAreas8[Area],HIX_SLCSP11[[#This Row],[Area Code]])</f>
        <v>16280</v>
      </c>
      <c r="AR1988" s="59">
        <f>SUMIFS(HIX_RatingAreas8[Silver Enrollments 2022],HIX_RatingAreas8[Area],HIX_SLCSP11[[#This Row],[Area Code]])</f>
        <v>29499</v>
      </c>
      <c r="AS1988" s="59">
        <f>SUMIFS(HIX_RatingAreas8[Silver Enrollments 2023],HIX_RatingAreas8[Area],HIX_SLCSP11[[#This Row],[Area Code]])</f>
        <v>29499</v>
      </c>
      <c r="AT1988" s="59">
        <v>20406</v>
      </c>
      <c r="AU1988">
        <f t="shared" si="132"/>
        <v>1.5617263022230453E-2</v>
      </c>
      <c r="AV1988">
        <f>SUMIFS(HIX_RatingAreas8[QHP Enrollments 2018],HIX_RatingAreas8[Area],HIX_SLCSP11[[#This Row],[Area Code]])</f>
        <v>17090</v>
      </c>
      <c r="AW1988">
        <f t="shared" si="133"/>
        <v>1.553211348530993E-2</v>
      </c>
      <c r="AX1988">
        <f>SUMIFS(HIX_RatingAreas8[QHP Enrollments 2019],HIX_RatingAreas8[Area],HIX_SLCSP11[[#This Row],[Area Code]])</f>
        <v>16216</v>
      </c>
      <c r="AY1988">
        <f t="shared" si="134"/>
        <v>1.5128813224090414E-2</v>
      </c>
      <c r="AZ1988">
        <f>SUMIFS(HIX_RatingAreas8[QHP Enrollments 2020],HIX_RatingAreas8[Area],HIX_SLCSP11[[#This Row],[Area Code]])</f>
        <v>16179</v>
      </c>
      <c r="BA1988">
        <f t="shared" si="135"/>
        <v>1.4816476794021758E-2</v>
      </c>
      <c r="BB1988">
        <f>SUMIFS(HIX_RatingAreas8[QHP Enrollments 2021],HIX_RatingAreas8[Area],HIX_SLCSP11[[#This Row],[Area Code]])</f>
        <v>21216</v>
      </c>
      <c r="BC1988">
        <f t="shared" si="136"/>
        <v>1.6817353835032033E-2</v>
      </c>
      <c r="BD1988">
        <f>SUMIFS(HIX_RatingAreas8[QHP Enrollments 2022],HIX_RatingAreas8[Area],HIX_SLCSP11[[#This Row],[Area Code]])</f>
        <v>35914</v>
      </c>
      <c r="BE1988">
        <f t="shared" si="137"/>
        <v>2.0033591995042083E-2</v>
      </c>
      <c r="BF1988">
        <f>SUMIFS(HIX_RatingAreas8[QHP Enrollments 2023],HIX_RatingAreas8[Area],HIX_SLCSP11[[#This Row],[Area Code]])</f>
        <v>35914</v>
      </c>
      <c r="BG1988">
        <f t="shared" si="137"/>
        <v>1.9508511955848643E-2</v>
      </c>
      <c r="BH1988" s="53">
        <f>ROUND(HIX_SLCSP11[[#This Row],[Weighting Factor 2018]]*HIX_SLCSP11[[#This Row],[2018]],2)</f>
        <v>4.66</v>
      </c>
      <c r="BI1988" s="53">
        <f>ROUND(HIX_SLCSP11[[#This Row],[Weighting Factor 2019]]*HIX_SLCSP11[[#This Row],[2019]],2)</f>
        <v>4.2300000000000004</v>
      </c>
      <c r="BJ1988" s="53">
        <f>ROUND(HIX_SLCSP11[[#This Row],[Weighting Factor 2020]]*HIX_SLCSP11[[#This Row],[2020]],2)</f>
        <v>4.43</v>
      </c>
      <c r="BK1988" s="53">
        <f>ROUND(HIX_SLCSP11[[#This Row],[Weighting Factor 2021]]*HIX_SLCSP11[[#This Row],[2021]],2)</f>
        <v>4.53</v>
      </c>
      <c r="BL1988" s="53">
        <f>ROUND(HIX_SLCSP11[[#This Row],[Weighting Factor 2022]]*HIX_SLCSP11[[#This Row],[2022]],2)</f>
        <v>6.19</v>
      </c>
      <c r="BM1988" s="53">
        <f>ROUND(HIX_SLCSP11[[#This Row],[Weighting Factor 2023]]*HIX_SLCSP11[[#This Row],[2023]],2)</f>
        <v>5.67</v>
      </c>
    </row>
    <row r="1989" spans="4:65" x14ac:dyDescent="0.35">
      <c r="D1989" t="s">
        <v>1460</v>
      </c>
      <c r="E1989" t="s">
        <v>265</v>
      </c>
      <c r="F1989" s="23">
        <v>6</v>
      </c>
      <c r="G1989" s="23" t="s">
        <v>1937</v>
      </c>
      <c r="H1989" s="23" t="s">
        <v>2068</v>
      </c>
      <c r="I1989" s="23">
        <v>70</v>
      </c>
      <c r="J1989" s="53">
        <v>330.15</v>
      </c>
      <c r="K1989" s="53">
        <v>348.26</v>
      </c>
      <c r="L1989" s="53">
        <v>593.51</v>
      </c>
      <c r="M1989" s="54">
        <f t="shared" si="138"/>
        <v>1.7042152414862459</v>
      </c>
      <c r="N1989" s="24">
        <v>37</v>
      </c>
      <c r="O1989" s="55">
        <v>336.93</v>
      </c>
      <c r="P1989" s="56">
        <v>356.08</v>
      </c>
      <c r="Q1989" s="56">
        <v>606.84</v>
      </c>
      <c r="R1989" s="57">
        <f t="shared" si="139"/>
        <v>1.7042237699393397</v>
      </c>
      <c r="S1989" s="23">
        <v>70</v>
      </c>
      <c r="T1989" s="53">
        <v>344.28</v>
      </c>
      <c r="U1989" s="53">
        <v>357.23</v>
      </c>
      <c r="V1989" s="53">
        <v>608.79999999999995</v>
      </c>
      <c r="W1989" s="57">
        <f t="shared" si="140"/>
        <v>1.7042241693026898</v>
      </c>
      <c r="X1989" s="47">
        <v>118</v>
      </c>
      <c r="Y1989" s="58">
        <v>297.25</v>
      </c>
      <c r="Z1989" s="58">
        <v>305.62</v>
      </c>
      <c r="AA1989" s="58">
        <v>520.84</v>
      </c>
      <c r="AB1989" s="57">
        <f t="shared" si="141"/>
        <v>1.7042078398010603</v>
      </c>
      <c r="AC1989" s="47">
        <v>120</v>
      </c>
      <c r="AD1989" s="57">
        <v>318.23</v>
      </c>
      <c r="AE1989" s="57">
        <v>334.02</v>
      </c>
      <c r="AF1989" s="57">
        <v>569.24</v>
      </c>
      <c r="AG1989" s="57">
        <f t="shared" si="142"/>
        <v>1.7042093287827078</v>
      </c>
      <c r="AH1989" s="47">
        <v>106</v>
      </c>
      <c r="AI1989">
        <v>320.08</v>
      </c>
      <c r="AJ1989">
        <v>325.58</v>
      </c>
      <c r="AK1989">
        <v>554.86</v>
      </c>
      <c r="AL1989" s="57">
        <f t="shared" si="118"/>
        <v>1.704220160943547</v>
      </c>
      <c r="AM1989" s="59">
        <v>4966</v>
      </c>
      <c r="AN1989" s="59">
        <f>SUMIFS(HIX_RatingAreas8[Silver Enrollments 2018],HIX_RatingAreas8[Area],HIX_SLCSP11[[#This Row],[Area Code]])</f>
        <v>6247</v>
      </c>
      <c r="AO1989" s="59">
        <f>SUMIFS(HIX_RatingAreas8[Silver Enrollments 2019],HIX_RatingAreas8[Area],HIX_SLCSP11[[#This Row],[Area Code]])</f>
        <v>5117</v>
      </c>
      <c r="AP1989" s="59">
        <f>SUMIFS(HIX_RatingAreas8[Silver Enrollments 2020],HIX_RatingAreas8[Area],HIX_SLCSP11[[#This Row],[Area Code]])</f>
        <v>5616</v>
      </c>
      <c r="AQ1989" s="59">
        <f>SUMIFS(HIX_RatingAreas8[Silver Enrollments 2021],HIX_RatingAreas8[Area],HIX_SLCSP11[[#This Row],[Area Code]])</f>
        <v>5159</v>
      </c>
      <c r="AR1989" s="59">
        <f>SUMIFS(HIX_RatingAreas8[Silver Enrollments 2022],HIX_RatingAreas8[Area],HIX_SLCSP11[[#This Row],[Area Code]])</f>
        <v>8775</v>
      </c>
      <c r="AS1989" s="59">
        <f>SUMIFS(HIX_RatingAreas8[Silver Enrollments 2023],HIX_RatingAreas8[Area],HIX_SLCSP11[[#This Row],[Area Code]])</f>
        <v>8775</v>
      </c>
      <c r="AT1989" s="59">
        <v>7111</v>
      </c>
      <c r="AU1989">
        <f t="shared" si="132"/>
        <v>5.4422403876840516E-3</v>
      </c>
      <c r="AV1989">
        <f>SUMIFS(HIX_RatingAreas8[QHP Enrollments 2018],HIX_RatingAreas8[Area],HIX_SLCSP11[[#This Row],[Area Code]])</f>
        <v>9813</v>
      </c>
      <c r="AW1989">
        <f t="shared" si="133"/>
        <v>8.9184686735720494E-3</v>
      </c>
      <c r="AX1989">
        <f>SUMIFS(HIX_RatingAreas8[QHP Enrollments 2019],HIX_RatingAreas8[Area],HIX_SLCSP11[[#This Row],[Area Code]])</f>
        <v>8494</v>
      </c>
      <c r="AY1989">
        <f t="shared" si="134"/>
        <v>7.9245275977691161E-3</v>
      </c>
      <c r="AZ1989">
        <f>SUMIFS(HIX_RatingAreas8[QHP Enrollments 2020],HIX_RatingAreas8[Area],HIX_SLCSP11[[#This Row],[Area Code]])</f>
        <v>9310</v>
      </c>
      <c r="BA1989">
        <f t="shared" si="135"/>
        <v>8.5259533316238683E-3</v>
      </c>
      <c r="BB1989">
        <f>SUMIFS(HIX_RatingAreas8[QHP Enrollments 2021],HIX_RatingAreas8[Area],HIX_SLCSP11[[#This Row],[Area Code]])</f>
        <v>10139</v>
      </c>
      <c r="BC1989">
        <f t="shared" si="136"/>
        <v>8.0369132038739521E-3</v>
      </c>
      <c r="BD1989">
        <f>SUMIFS(HIX_RatingAreas8[QHP Enrollments 2022],HIX_RatingAreas8[Area],HIX_SLCSP11[[#This Row],[Area Code]])</f>
        <v>14333</v>
      </c>
      <c r="BE1989">
        <f t="shared" si="137"/>
        <v>7.9952518256094611E-3</v>
      </c>
      <c r="BF1989">
        <f>SUMIFS(HIX_RatingAreas8[QHP Enrollments 2023],HIX_RatingAreas8[Area],HIX_SLCSP11[[#This Row],[Area Code]])</f>
        <v>14333</v>
      </c>
      <c r="BG1989">
        <f t="shared" si="137"/>
        <v>7.7856964376894411E-3</v>
      </c>
      <c r="BH1989" s="53">
        <f>ROUND(HIX_SLCSP11[[#This Row],[Weighting Factor 2018]]*HIX_SLCSP11[[#This Row],[2018]],2)</f>
        <v>3.11</v>
      </c>
      <c r="BI1989" s="53">
        <f>ROUND(HIX_SLCSP11[[#This Row],[Weighting Factor 2019]]*HIX_SLCSP11[[#This Row],[2019]],2)</f>
        <v>2.82</v>
      </c>
      <c r="BJ1989" s="53">
        <f>ROUND(HIX_SLCSP11[[#This Row],[Weighting Factor 2020]]*HIX_SLCSP11[[#This Row],[2020]],2)</f>
        <v>3.05</v>
      </c>
      <c r="BK1989" s="53">
        <f>ROUND(HIX_SLCSP11[[#This Row],[Weighting Factor 2021]]*HIX_SLCSP11[[#This Row],[2021]],2)</f>
        <v>2.46</v>
      </c>
      <c r="BL1989" s="53">
        <f>ROUND(HIX_SLCSP11[[#This Row],[Weighting Factor 2022]]*HIX_SLCSP11[[#This Row],[2022]],2)</f>
        <v>2.67</v>
      </c>
      <c r="BM1989" s="53">
        <f>ROUND(HIX_SLCSP11[[#This Row],[Weighting Factor 2023]]*HIX_SLCSP11[[#This Row],[2023]],2)</f>
        <v>2.5299999999999998</v>
      </c>
    </row>
    <row r="1990" spans="4:65" x14ac:dyDescent="0.35">
      <c r="D1990" t="s">
        <v>1460</v>
      </c>
      <c r="E1990" t="s">
        <v>273</v>
      </c>
      <c r="F1990" s="23">
        <v>7</v>
      </c>
      <c r="G1990" s="23" t="s">
        <v>1937</v>
      </c>
      <c r="H1990" s="23" t="s">
        <v>2081</v>
      </c>
      <c r="I1990" s="23">
        <v>94</v>
      </c>
      <c r="J1990" s="53">
        <v>391.72</v>
      </c>
      <c r="K1990" s="53">
        <v>427.96</v>
      </c>
      <c r="L1990" s="53">
        <v>729.33</v>
      </c>
      <c r="M1990" s="54">
        <f t="shared" si="138"/>
        <v>1.7042013272268437</v>
      </c>
      <c r="N1990" s="24">
        <v>18</v>
      </c>
      <c r="O1990" s="55">
        <v>338.68</v>
      </c>
      <c r="P1990" s="56">
        <v>354.76</v>
      </c>
      <c r="Q1990" s="56">
        <v>604.58000000000004</v>
      </c>
      <c r="R1990" s="57">
        <f t="shared" si="139"/>
        <v>1.704194384936295</v>
      </c>
      <c r="S1990" s="23">
        <v>94</v>
      </c>
      <c r="T1990" s="53">
        <v>363</v>
      </c>
      <c r="U1990" s="53">
        <v>365.17</v>
      </c>
      <c r="V1990" s="53">
        <v>622.30999999999995</v>
      </c>
      <c r="W1990" s="57">
        <f t="shared" si="140"/>
        <v>1.7041651833392664</v>
      </c>
      <c r="X1990" s="47">
        <v>122</v>
      </c>
      <c r="Y1990" s="58">
        <v>295.58</v>
      </c>
      <c r="Z1990" s="58">
        <v>303.89999999999998</v>
      </c>
      <c r="AA1990" s="58">
        <v>517.91</v>
      </c>
      <c r="AB1990" s="57">
        <f t="shared" si="141"/>
        <v>1.7042119118130965</v>
      </c>
      <c r="AC1990" s="47">
        <v>136</v>
      </c>
      <c r="AD1990" s="57">
        <v>338.95</v>
      </c>
      <c r="AE1990" s="57">
        <v>355.77</v>
      </c>
      <c r="AF1990" s="57">
        <v>606.29999999999995</v>
      </c>
      <c r="AG1990" s="57">
        <f t="shared" si="142"/>
        <v>1.7041909098574921</v>
      </c>
      <c r="AH1990" s="47">
        <v>166</v>
      </c>
      <c r="AI1990">
        <v>347.89</v>
      </c>
      <c r="AJ1990">
        <v>353.87</v>
      </c>
      <c r="AK1990">
        <v>603.05999999999995</v>
      </c>
      <c r="AL1990" s="57">
        <f t="shared" si="118"/>
        <v>1.7041851527397065</v>
      </c>
      <c r="AM1990" s="59">
        <v>10736</v>
      </c>
      <c r="AN1990" s="59">
        <f>SUMIFS(HIX_RatingAreas8[Silver Enrollments 2018],HIX_RatingAreas8[Area],HIX_SLCSP11[[#This Row],[Area Code]])</f>
        <v>10582</v>
      </c>
      <c r="AO1990" s="59">
        <f>SUMIFS(HIX_RatingAreas8[Silver Enrollments 2019],HIX_RatingAreas8[Area],HIX_SLCSP11[[#This Row],[Area Code]])</f>
        <v>9276</v>
      </c>
      <c r="AP1990" s="59">
        <f>SUMIFS(HIX_RatingAreas8[Silver Enrollments 2020],HIX_RatingAreas8[Area],HIX_SLCSP11[[#This Row],[Area Code]])</f>
        <v>8150</v>
      </c>
      <c r="AQ1990" s="59">
        <f>SUMIFS(HIX_RatingAreas8[Silver Enrollments 2021],HIX_RatingAreas8[Area],HIX_SLCSP11[[#This Row],[Area Code]])</f>
        <v>9140</v>
      </c>
      <c r="AR1990" s="59">
        <f>SUMIFS(HIX_RatingAreas8[Silver Enrollments 2022],HIX_RatingAreas8[Area],HIX_SLCSP11[[#This Row],[Area Code]])</f>
        <v>13718</v>
      </c>
      <c r="AS1990" s="59">
        <f>SUMIFS(HIX_RatingAreas8[Silver Enrollments 2023],HIX_RatingAreas8[Area],HIX_SLCSP11[[#This Row],[Area Code]])</f>
        <v>13718</v>
      </c>
      <c r="AT1990" s="59">
        <v>16663</v>
      </c>
      <c r="AU1990">
        <f t="shared" si="132"/>
        <v>1.2752644013497308E-2</v>
      </c>
      <c r="AV1990">
        <f>SUMIFS(HIX_RatingAreas8[QHP Enrollments 2018],HIX_RatingAreas8[Area],HIX_SLCSP11[[#This Row],[Area Code]])</f>
        <v>17662</v>
      </c>
      <c r="AW1990">
        <f t="shared" si="133"/>
        <v>1.6051971233326152E-2</v>
      </c>
      <c r="AX1990">
        <f>SUMIFS(HIX_RatingAreas8[QHP Enrollments 2019],HIX_RatingAreas8[Area],HIX_SLCSP11[[#This Row],[Area Code]])</f>
        <v>17251</v>
      </c>
      <c r="AY1990">
        <f t="shared" si="134"/>
        <v>1.6094422602909702E-2</v>
      </c>
      <c r="AZ1990">
        <f>SUMIFS(HIX_RatingAreas8[QHP Enrollments 2020],HIX_RatingAreas8[Area],HIX_SLCSP11[[#This Row],[Area Code]])</f>
        <v>16847</v>
      </c>
      <c r="BA1990">
        <f t="shared" si="135"/>
        <v>1.5428220813949229E-2</v>
      </c>
      <c r="BB1990">
        <f>SUMIFS(HIX_RatingAreas8[QHP Enrollments 2021],HIX_RatingAreas8[Area],HIX_SLCSP11[[#This Row],[Area Code]])</f>
        <v>18017</v>
      </c>
      <c r="BC1990">
        <f t="shared" si="136"/>
        <v>1.4281592385264523E-2</v>
      </c>
      <c r="BD1990">
        <f>SUMIFS(HIX_RatingAreas8[QHP Enrollments 2022],HIX_RatingAreas8[Area],HIX_SLCSP11[[#This Row],[Area Code]])</f>
        <v>24769</v>
      </c>
      <c r="BE1990">
        <f t="shared" si="137"/>
        <v>1.3816674280926585E-2</v>
      </c>
      <c r="BF1990">
        <f>SUMIFS(HIX_RatingAreas8[QHP Enrollments 2023],HIX_RatingAreas8[Area],HIX_SLCSP11[[#This Row],[Area Code]])</f>
        <v>24769</v>
      </c>
      <c r="BG1990">
        <f t="shared" si="137"/>
        <v>1.3454539528719023E-2</v>
      </c>
      <c r="BH1990" s="53">
        <f>ROUND(HIX_SLCSP11[[#This Row],[Weighting Factor 2018]]*HIX_SLCSP11[[#This Row],[2018]],2)</f>
        <v>6.87</v>
      </c>
      <c r="BI1990" s="53">
        <f>ROUND(HIX_SLCSP11[[#This Row],[Weighting Factor 2019]]*HIX_SLCSP11[[#This Row],[2019]],2)</f>
        <v>5.71</v>
      </c>
      <c r="BJ1990" s="53">
        <f>ROUND(HIX_SLCSP11[[#This Row],[Weighting Factor 2020]]*HIX_SLCSP11[[#This Row],[2020]],2)</f>
        <v>5.63</v>
      </c>
      <c r="BK1990" s="53">
        <f>ROUND(HIX_SLCSP11[[#This Row],[Weighting Factor 2021]]*HIX_SLCSP11[[#This Row],[2021]],2)</f>
        <v>4.34</v>
      </c>
      <c r="BL1990" s="53">
        <f>ROUND(HIX_SLCSP11[[#This Row],[Weighting Factor 2022]]*HIX_SLCSP11[[#This Row],[2022]],2)</f>
        <v>4.92</v>
      </c>
      <c r="BM1990" s="53">
        <f>ROUND(HIX_SLCSP11[[#This Row],[Weighting Factor 2023]]*HIX_SLCSP11[[#This Row],[2023]],2)</f>
        <v>4.76</v>
      </c>
    </row>
    <row r="1991" spans="4:65" x14ac:dyDescent="0.35">
      <c r="D1991" t="s">
        <v>1460</v>
      </c>
      <c r="E1991" t="s">
        <v>279</v>
      </c>
      <c r="F1991" s="23">
        <v>8</v>
      </c>
      <c r="G1991" s="23" t="s">
        <v>1937</v>
      </c>
      <c r="H1991" s="23" t="s">
        <v>2098</v>
      </c>
      <c r="I1991" s="23">
        <v>259</v>
      </c>
      <c r="J1991" s="53">
        <v>337.27</v>
      </c>
      <c r="K1991" s="53">
        <v>344.77</v>
      </c>
      <c r="L1991" s="53">
        <v>587.54999999999995</v>
      </c>
      <c r="M1991" s="54">
        <f t="shared" si="138"/>
        <v>1.7041795979928647</v>
      </c>
      <c r="N1991" s="24">
        <v>81</v>
      </c>
      <c r="O1991" s="55">
        <v>336.6</v>
      </c>
      <c r="P1991" s="56">
        <v>342.96</v>
      </c>
      <c r="Q1991" s="56">
        <v>584.48</v>
      </c>
      <c r="R1991" s="57">
        <f t="shared" si="139"/>
        <v>1.7042220667133194</v>
      </c>
      <c r="S1991" s="23">
        <v>259</v>
      </c>
      <c r="T1991" s="53">
        <v>285.92</v>
      </c>
      <c r="U1991" s="53">
        <v>334.41</v>
      </c>
      <c r="V1991" s="53">
        <v>569.9</v>
      </c>
      <c r="W1991" s="57">
        <f t="shared" si="140"/>
        <v>1.7041954487006965</v>
      </c>
      <c r="X1991" s="47">
        <v>253</v>
      </c>
      <c r="Y1991" s="58">
        <v>274.97000000000003</v>
      </c>
      <c r="Z1991" s="58">
        <v>282.72000000000003</v>
      </c>
      <c r="AA1991" s="58">
        <v>481.81</v>
      </c>
      <c r="AB1991" s="57">
        <f t="shared" si="141"/>
        <v>1.7041949632144877</v>
      </c>
      <c r="AC1991" s="47">
        <v>307</v>
      </c>
      <c r="AD1991" s="57">
        <v>266.02999999999997</v>
      </c>
      <c r="AE1991" s="57">
        <v>266.48</v>
      </c>
      <c r="AF1991" s="57">
        <v>454.13</v>
      </c>
      <c r="AG1991" s="57">
        <f t="shared" si="142"/>
        <v>1.7041804262984088</v>
      </c>
      <c r="AH1991" s="47">
        <v>266</v>
      </c>
      <c r="AI1991">
        <v>318.26</v>
      </c>
      <c r="AJ1991">
        <v>331.02</v>
      </c>
      <c r="AK1991">
        <v>564.12</v>
      </c>
      <c r="AL1991" s="57">
        <f t="shared" si="118"/>
        <v>1.7041870581837957</v>
      </c>
      <c r="AM1991" s="59">
        <v>225576</v>
      </c>
      <c r="AN1991" s="59">
        <f>SUMIFS(HIX_RatingAreas8[Silver Enrollments 2018],HIX_RatingAreas8[Area],HIX_SLCSP11[[#This Row],[Area Code]])</f>
        <v>107105</v>
      </c>
      <c r="AO1991" s="59">
        <f>SUMIFS(HIX_RatingAreas8[Silver Enrollments 2019],HIX_RatingAreas8[Area],HIX_SLCSP11[[#This Row],[Area Code]])</f>
        <v>96208</v>
      </c>
      <c r="AP1991" s="59">
        <f>SUMIFS(HIX_RatingAreas8[Silver Enrollments 2020],HIX_RatingAreas8[Area],HIX_SLCSP11[[#This Row],[Area Code]])</f>
        <v>100526</v>
      </c>
      <c r="AQ1991" s="59">
        <f>SUMIFS(HIX_RatingAreas8[Silver Enrollments 2021],HIX_RatingAreas8[Area],HIX_SLCSP11[[#This Row],[Area Code]])</f>
        <v>112299</v>
      </c>
      <c r="AR1991" s="59">
        <f>SUMIFS(HIX_RatingAreas8[Silver Enrollments 2022],HIX_RatingAreas8[Area],HIX_SLCSP11[[#This Row],[Area Code]])</f>
        <v>162135</v>
      </c>
      <c r="AS1991" s="59">
        <f>SUMIFS(HIX_RatingAreas8[Silver Enrollments 2023],HIX_RatingAreas8[Area],HIX_SLCSP11[[#This Row],[Area Code]])</f>
        <v>162135</v>
      </c>
      <c r="AT1991" s="59">
        <v>357388</v>
      </c>
      <c r="AU1991">
        <f t="shared" si="132"/>
        <v>0.27351869043364196</v>
      </c>
      <c r="AV1991">
        <f>SUMIFS(HIX_RatingAreas8[QHP Enrollments 2018],HIX_RatingAreas8[Area],HIX_SLCSP11[[#This Row],[Area Code]])</f>
        <v>171308</v>
      </c>
      <c r="AW1991">
        <f t="shared" si="133"/>
        <v>0.15569194247755841</v>
      </c>
      <c r="AX1991">
        <f>SUMIFS(HIX_RatingAreas8[QHP Enrollments 2019],HIX_RatingAreas8[Area],HIX_SLCSP11[[#This Row],[Area Code]])</f>
        <v>164749</v>
      </c>
      <c r="AY1991">
        <f t="shared" si="134"/>
        <v>0.1537035551218347</v>
      </c>
      <c r="AZ1991">
        <f>SUMIFS(HIX_RatingAreas8[QHP Enrollments 2020],HIX_RatingAreas8[Area],HIX_SLCSP11[[#This Row],[Area Code]])</f>
        <v>170828</v>
      </c>
      <c r="BA1991">
        <f t="shared" si="135"/>
        <v>0.15644162789845781</v>
      </c>
      <c r="BB1991">
        <f>SUMIFS(HIX_RatingAreas8[QHP Enrollments 2021],HIX_RatingAreas8[Area],HIX_SLCSP11[[#This Row],[Area Code]])</f>
        <v>195855</v>
      </c>
      <c r="BC1991">
        <f t="shared" si="136"/>
        <v>0.15524900242082385</v>
      </c>
      <c r="BD1991">
        <f>SUMIFS(HIX_RatingAreas8[QHP Enrollments 2022],HIX_RatingAreas8[Area],HIX_SLCSP11[[#This Row],[Area Code]])</f>
        <v>267611</v>
      </c>
      <c r="BE1991">
        <f t="shared" si="137"/>
        <v>0.14927909972114517</v>
      </c>
      <c r="BF1991">
        <f>SUMIFS(HIX_RatingAreas8[QHP Enrollments 2023],HIX_RatingAreas8[Area],HIX_SLCSP11[[#This Row],[Area Code]])</f>
        <v>267611</v>
      </c>
      <c r="BG1991">
        <f t="shared" si="137"/>
        <v>0.14536649755016459</v>
      </c>
      <c r="BH1991" s="53">
        <f>ROUND(HIX_SLCSP11[[#This Row],[Weighting Factor 2018]]*HIX_SLCSP11[[#This Row],[2018]],2)</f>
        <v>53.68</v>
      </c>
      <c r="BI1991" s="53">
        <f>ROUND(HIX_SLCSP11[[#This Row],[Weighting Factor 2019]]*HIX_SLCSP11[[#This Row],[2019]],2)</f>
        <v>52.71</v>
      </c>
      <c r="BJ1991" s="53">
        <f>ROUND(HIX_SLCSP11[[#This Row],[Weighting Factor 2020]]*HIX_SLCSP11[[#This Row],[2020]],2)</f>
        <v>52.32</v>
      </c>
      <c r="BK1991" s="53">
        <f>ROUND(HIX_SLCSP11[[#This Row],[Weighting Factor 2021]]*HIX_SLCSP11[[#This Row],[2021]],2)</f>
        <v>43.89</v>
      </c>
      <c r="BL1991" s="53">
        <f>ROUND(HIX_SLCSP11[[#This Row],[Weighting Factor 2022]]*HIX_SLCSP11[[#This Row],[2022]],2)</f>
        <v>39.78</v>
      </c>
      <c r="BM1991" s="53">
        <f>ROUND(HIX_SLCSP11[[#This Row],[Weighting Factor 2023]]*HIX_SLCSP11[[#This Row],[2023]],2)</f>
        <v>48.12</v>
      </c>
    </row>
    <row r="1992" spans="4:65" x14ac:dyDescent="0.35">
      <c r="D1992" t="s">
        <v>1460</v>
      </c>
      <c r="E1992" t="s">
        <v>283</v>
      </c>
      <c r="F1992" s="23">
        <v>9</v>
      </c>
      <c r="G1992" s="23" t="s">
        <v>1937</v>
      </c>
      <c r="H1992" s="23" t="s">
        <v>2112</v>
      </c>
      <c r="I1992" s="23">
        <v>119</v>
      </c>
      <c r="J1992" s="53">
        <v>311.42</v>
      </c>
      <c r="K1992" s="53">
        <v>324.17</v>
      </c>
      <c r="L1992" s="53">
        <v>552.45000000000005</v>
      </c>
      <c r="M1992" s="54">
        <f t="shared" si="138"/>
        <v>1.7041984144121911</v>
      </c>
      <c r="N1992" s="24">
        <v>67</v>
      </c>
      <c r="O1992" s="55">
        <v>258.32</v>
      </c>
      <c r="P1992" s="56">
        <v>305.5</v>
      </c>
      <c r="Q1992" s="56">
        <v>520.64</v>
      </c>
      <c r="R1992" s="57">
        <f t="shared" si="139"/>
        <v>1.7042225859247135</v>
      </c>
      <c r="S1992" s="23">
        <v>119</v>
      </c>
      <c r="T1992" s="53">
        <v>276.83999999999997</v>
      </c>
      <c r="U1992" s="53">
        <v>323.66000000000003</v>
      </c>
      <c r="V1992" s="53">
        <v>551.58000000000004</v>
      </c>
      <c r="W1992" s="57">
        <f t="shared" si="140"/>
        <v>1.7041957609837484</v>
      </c>
      <c r="X1992" s="47">
        <v>153</v>
      </c>
      <c r="Y1992" s="58">
        <v>267.45999999999998</v>
      </c>
      <c r="Z1992" s="58">
        <v>275</v>
      </c>
      <c r="AA1992" s="58">
        <v>468.65</v>
      </c>
      <c r="AB1992" s="57">
        <f t="shared" si="141"/>
        <v>1.704181818181818</v>
      </c>
      <c r="AC1992" s="47">
        <v>223</v>
      </c>
      <c r="AD1992" s="57">
        <v>291.99</v>
      </c>
      <c r="AE1992" s="57">
        <v>295.13</v>
      </c>
      <c r="AF1992" s="57">
        <v>502.96</v>
      </c>
      <c r="AG1992" s="57">
        <f t="shared" si="142"/>
        <v>1.7041981499678107</v>
      </c>
      <c r="AH1992" s="47">
        <v>258</v>
      </c>
      <c r="AI1992">
        <v>322.14</v>
      </c>
      <c r="AJ1992">
        <v>327.68</v>
      </c>
      <c r="AK1992">
        <v>558.42999999999995</v>
      </c>
      <c r="AL1992" s="57">
        <f t="shared" si="118"/>
        <v>1.7041931152343748</v>
      </c>
      <c r="AM1992" s="59">
        <v>39279</v>
      </c>
      <c r="AN1992" s="59">
        <f>SUMIFS(HIX_RatingAreas8[Silver Enrollments 2018],HIX_RatingAreas8[Area],HIX_SLCSP11[[#This Row],[Area Code]])</f>
        <v>34039</v>
      </c>
      <c r="AO1992" s="59">
        <f>SUMIFS(HIX_RatingAreas8[Silver Enrollments 2019],HIX_RatingAreas8[Area],HIX_SLCSP11[[#This Row],[Area Code]])</f>
        <v>29784</v>
      </c>
      <c r="AP1992" s="59">
        <f>SUMIFS(HIX_RatingAreas8[Silver Enrollments 2020],HIX_RatingAreas8[Area],HIX_SLCSP11[[#This Row],[Area Code]])</f>
        <v>27963</v>
      </c>
      <c r="AQ1992" s="59">
        <f>SUMIFS(HIX_RatingAreas8[Silver Enrollments 2021],HIX_RatingAreas8[Area],HIX_SLCSP11[[#This Row],[Area Code]])</f>
        <v>32121</v>
      </c>
      <c r="AR1992" s="59">
        <f>SUMIFS(HIX_RatingAreas8[Silver Enrollments 2022],HIX_RatingAreas8[Area],HIX_SLCSP11[[#This Row],[Area Code]])</f>
        <v>46911</v>
      </c>
      <c r="AS1992" s="59">
        <f>SUMIFS(HIX_RatingAreas8[Silver Enrollments 2023],HIX_RatingAreas8[Area],HIX_SLCSP11[[#This Row],[Area Code]])</f>
        <v>46911</v>
      </c>
      <c r="AT1992" s="59">
        <v>62922</v>
      </c>
      <c r="AU1992">
        <f t="shared" si="132"/>
        <v>4.8155906296421865E-2</v>
      </c>
      <c r="AV1992">
        <f>SUMIFS(HIX_RatingAreas8[QHP Enrollments 2018],HIX_RatingAreas8[Area],HIX_SLCSP11[[#This Row],[Area Code]])</f>
        <v>49900</v>
      </c>
      <c r="AW1992">
        <f t="shared" si="133"/>
        <v>4.535122661889792E-2</v>
      </c>
      <c r="AX1992">
        <f>SUMIFS(HIX_RatingAreas8[QHP Enrollments 2019],HIX_RatingAreas8[Area],HIX_SLCSP11[[#This Row],[Area Code]])</f>
        <v>45436</v>
      </c>
      <c r="AY1992">
        <f t="shared" si="134"/>
        <v>4.2389785252205978E-2</v>
      </c>
      <c r="AZ1992">
        <f>SUMIFS(HIX_RatingAreas8[QHP Enrollments 2020],HIX_RatingAreas8[Area],HIX_SLCSP11[[#This Row],[Area Code]])</f>
        <v>43111</v>
      </c>
      <c r="BA1992">
        <f t="shared" si="135"/>
        <v>3.9480383896846036E-2</v>
      </c>
      <c r="BB1992">
        <f>SUMIFS(HIX_RatingAreas8[QHP Enrollments 2021],HIX_RatingAreas8[Area],HIX_SLCSP11[[#This Row],[Area Code]])</f>
        <v>50829</v>
      </c>
      <c r="BC1992">
        <f t="shared" si="136"/>
        <v>4.0290784223267491E-2</v>
      </c>
      <c r="BD1992">
        <f>SUMIFS(HIX_RatingAreas8[QHP Enrollments 2022],HIX_RatingAreas8[Area],HIX_SLCSP11[[#This Row],[Area Code]])</f>
        <v>70936</v>
      </c>
      <c r="BE1992">
        <f t="shared" si="137"/>
        <v>3.9569607444459136E-2</v>
      </c>
      <c r="BF1992">
        <f>SUMIFS(HIX_RatingAreas8[QHP Enrollments 2023],HIX_RatingAreas8[Area],HIX_SLCSP11[[#This Row],[Area Code]])</f>
        <v>70936</v>
      </c>
      <c r="BG1992">
        <f t="shared" si="137"/>
        <v>3.853248883722446E-2</v>
      </c>
      <c r="BH1992" s="53">
        <f>ROUND(HIX_SLCSP11[[#This Row],[Weighting Factor 2018]]*HIX_SLCSP11[[#This Row],[2018]],2)</f>
        <v>14.7</v>
      </c>
      <c r="BI1992" s="53">
        <f>ROUND(HIX_SLCSP11[[#This Row],[Weighting Factor 2019]]*HIX_SLCSP11[[#This Row],[2019]],2)</f>
        <v>12.95</v>
      </c>
      <c r="BJ1992" s="53">
        <f>ROUND(HIX_SLCSP11[[#This Row],[Weighting Factor 2020]]*HIX_SLCSP11[[#This Row],[2020]],2)</f>
        <v>12.78</v>
      </c>
      <c r="BK1992" s="53">
        <f>ROUND(HIX_SLCSP11[[#This Row],[Weighting Factor 2021]]*HIX_SLCSP11[[#This Row],[2021]],2)</f>
        <v>11.08</v>
      </c>
      <c r="BL1992" s="53">
        <f>ROUND(HIX_SLCSP11[[#This Row],[Weighting Factor 2022]]*HIX_SLCSP11[[#This Row],[2022]],2)</f>
        <v>11.68</v>
      </c>
      <c r="BM1992" s="53">
        <f>ROUND(HIX_SLCSP11[[#This Row],[Weighting Factor 2023]]*HIX_SLCSP11[[#This Row],[2023]],2)</f>
        <v>12.63</v>
      </c>
    </row>
    <row r="1993" spans="4:65" x14ac:dyDescent="0.35">
      <c r="D1993" t="s">
        <v>1460</v>
      </c>
      <c r="E1993" t="s">
        <v>289</v>
      </c>
      <c r="F1993" s="23">
        <v>10</v>
      </c>
      <c r="G1993" s="23" t="s">
        <v>1937</v>
      </c>
      <c r="H1993" s="23" t="s">
        <v>2124</v>
      </c>
      <c r="I1993" s="23">
        <v>191</v>
      </c>
      <c r="J1993" s="53">
        <v>319.49</v>
      </c>
      <c r="K1993" s="53">
        <v>329.27</v>
      </c>
      <c r="L1993" s="53">
        <v>561.14</v>
      </c>
      <c r="M1993" s="54">
        <f t="shared" si="138"/>
        <v>1.704194126400826</v>
      </c>
      <c r="N1993" s="24">
        <v>70</v>
      </c>
      <c r="O1993" s="55">
        <v>316.08</v>
      </c>
      <c r="P1993" s="56">
        <v>322.06</v>
      </c>
      <c r="Q1993" s="56">
        <v>548.85</v>
      </c>
      <c r="R1993" s="57">
        <f t="shared" si="139"/>
        <v>1.7041855554865553</v>
      </c>
      <c r="S1993" s="23">
        <v>191</v>
      </c>
      <c r="T1993" s="53">
        <v>289.14</v>
      </c>
      <c r="U1993" s="53">
        <v>312.48</v>
      </c>
      <c r="V1993" s="53">
        <v>532.53</v>
      </c>
      <c r="W1993" s="57">
        <f t="shared" si="140"/>
        <v>1.7042050691244237</v>
      </c>
      <c r="X1993" s="47">
        <v>257</v>
      </c>
      <c r="Y1993" s="58">
        <v>253.58</v>
      </c>
      <c r="Z1993" s="58">
        <v>260.73</v>
      </c>
      <c r="AA1993" s="58">
        <v>444.33</v>
      </c>
      <c r="AB1993" s="57">
        <f t="shared" si="141"/>
        <v>1.7041767345529857</v>
      </c>
      <c r="AC1993" s="47">
        <v>371</v>
      </c>
      <c r="AD1993" s="57">
        <v>251.77</v>
      </c>
      <c r="AE1993" s="57">
        <v>258.25</v>
      </c>
      <c r="AF1993" s="57">
        <v>440.1</v>
      </c>
      <c r="AG1993" s="57">
        <f t="shared" si="142"/>
        <v>1.7041626331074542</v>
      </c>
      <c r="AH1993" s="47">
        <v>259</v>
      </c>
      <c r="AI1993">
        <v>300.55</v>
      </c>
      <c r="AJ1993">
        <v>312.60000000000002</v>
      </c>
      <c r="AK1993">
        <v>532.73</v>
      </c>
      <c r="AL1993" s="57">
        <f t="shared" si="118"/>
        <v>1.7041906589891234</v>
      </c>
      <c r="AM1993" s="59">
        <v>233006</v>
      </c>
      <c r="AN1993" s="59">
        <f>SUMIFS(HIX_RatingAreas8[Silver Enrollments 2018],HIX_RatingAreas8[Area],HIX_SLCSP11[[#This Row],[Area Code]])</f>
        <v>164548</v>
      </c>
      <c r="AO1993" s="59">
        <f>SUMIFS(HIX_RatingAreas8[Silver Enrollments 2019],HIX_RatingAreas8[Area],HIX_SLCSP11[[#This Row],[Area Code]])</f>
        <v>154246</v>
      </c>
      <c r="AP1993" s="59">
        <f>SUMIFS(HIX_RatingAreas8[Silver Enrollments 2020],HIX_RatingAreas8[Area],HIX_SLCSP11[[#This Row],[Area Code]])</f>
        <v>163505</v>
      </c>
      <c r="AQ1993" s="59">
        <f>SUMIFS(HIX_RatingAreas8[Silver Enrollments 2021],HIX_RatingAreas8[Area],HIX_SLCSP11[[#This Row],[Area Code]])</f>
        <v>177883</v>
      </c>
      <c r="AR1993" s="59">
        <f>SUMIFS(HIX_RatingAreas8[Silver Enrollments 2022],HIX_RatingAreas8[Area],HIX_SLCSP11[[#This Row],[Area Code]])</f>
        <v>274980</v>
      </c>
      <c r="AS1993" s="59">
        <f>SUMIFS(HIX_RatingAreas8[Silver Enrollments 2023],HIX_RatingAreas8[Area],HIX_SLCSP11[[#This Row],[Area Code]])</f>
        <v>274980</v>
      </c>
      <c r="AT1993" s="59">
        <v>345765</v>
      </c>
      <c r="AU1993">
        <f t="shared" si="132"/>
        <v>0.26462329456441797</v>
      </c>
      <c r="AV1993">
        <f>SUMIFS(HIX_RatingAreas8[QHP Enrollments 2018],HIX_RatingAreas8[Area],HIX_SLCSP11[[#This Row],[Area Code]])</f>
        <v>241880</v>
      </c>
      <c r="AW1993">
        <f t="shared" si="133"/>
        <v>0.21983075540238534</v>
      </c>
      <c r="AX1993">
        <f>SUMIFS(HIX_RatingAreas8[QHP Enrollments 2019],HIX_RatingAreas8[Area],HIX_SLCSP11[[#This Row],[Area Code]])</f>
        <v>239098</v>
      </c>
      <c r="AY1993">
        <f t="shared" si="134"/>
        <v>0.22306789493423593</v>
      </c>
      <c r="AZ1993">
        <f>SUMIFS(HIX_RatingAreas8[QHP Enrollments 2020],HIX_RatingAreas8[Area],HIX_SLCSP11[[#This Row],[Area Code]])</f>
        <v>246776</v>
      </c>
      <c r="BA1993">
        <f t="shared" si="135"/>
        <v>0.22599362614015164</v>
      </c>
      <c r="BB1993">
        <f>SUMIFS(HIX_RatingAreas8[QHP Enrollments 2021],HIX_RatingAreas8[Area],HIX_SLCSP11[[#This Row],[Area Code]])</f>
        <v>287175</v>
      </c>
      <c r="BC1993">
        <f t="shared" si="136"/>
        <v>0.2276359157039651</v>
      </c>
      <c r="BD1993">
        <f>SUMIFS(HIX_RatingAreas8[QHP Enrollments 2022],HIX_RatingAreas8[Area],HIX_SLCSP11[[#This Row],[Area Code]])</f>
        <v>403222</v>
      </c>
      <c r="BE1993">
        <f t="shared" si="137"/>
        <v>0.22492579582961686</v>
      </c>
      <c r="BF1993">
        <f>SUMIFS(HIX_RatingAreas8[QHP Enrollments 2023],HIX_RatingAreas8[Area],HIX_SLCSP11[[#This Row],[Area Code]])</f>
        <v>403222</v>
      </c>
      <c r="BG1993">
        <f t="shared" si="137"/>
        <v>0.21903049529044943</v>
      </c>
      <c r="BH1993" s="53">
        <f>ROUND(HIX_SLCSP11[[#This Row],[Weighting Factor 2018]]*HIX_SLCSP11[[#This Row],[2018]],2)</f>
        <v>72.38</v>
      </c>
      <c r="BI1993" s="53">
        <f>ROUND(HIX_SLCSP11[[#This Row],[Weighting Factor 2019]]*HIX_SLCSP11[[#This Row],[2019]],2)</f>
        <v>71.84</v>
      </c>
      <c r="BJ1993" s="53">
        <f>ROUND(HIX_SLCSP11[[#This Row],[Weighting Factor 2020]]*HIX_SLCSP11[[#This Row],[2020]],2)</f>
        <v>70.62</v>
      </c>
      <c r="BK1993" s="53">
        <f>ROUND(HIX_SLCSP11[[#This Row],[Weighting Factor 2021]]*HIX_SLCSP11[[#This Row],[2021]],2)</f>
        <v>59.35</v>
      </c>
      <c r="BL1993" s="53">
        <f>ROUND(HIX_SLCSP11[[#This Row],[Weighting Factor 2022]]*HIX_SLCSP11[[#This Row],[2022]],2)</f>
        <v>58.09</v>
      </c>
      <c r="BM1993" s="53">
        <f>ROUND(HIX_SLCSP11[[#This Row],[Weighting Factor 2023]]*HIX_SLCSP11[[#This Row],[2023]],2)</f>
        <v>68.47</v>
      </c>
    </row>
    <row r="1994" spans="4:65" x14ac:dyDescent="0.35">
      <c r="D1994" t="s">
        <v>1460</v>
      </c>
      <c r="E1994" t="s">
        <v>293</v>
      </c>
      <c r="F1994" s="23">
        <v>11</v>
      </c>
      <c r="G1994" s="23" t="s">
        <v>1937</v>
      </c>
      <c r="H1994" s="23" t="s">
        <v>2129</v>
      </c>
      <c r="I1994" s="23">
        <v>94</v>
      </c>
      <c r="J1994" s="53">
        <v>354.71</v>
      </c>
      <c r="K1994" s="53">
        <v>374.16</v>
      </c>
      <c r="L1994" s="53">
        <v>637.65</v>
      </c>
      <c r="M1994" s="54">
        <f t="shared" si="138"/>
        <v>1.7042174470814624</v>
      </c>
      <c r="N1994" s="24">
        <v>37</v>
      </c>
      <c r="O1994" s="55">
        <v>328.36</v>
      </c>
      <c r="P1994" s="56">
        <v>348.44</v>
      </c>
      <c r="Q1994" s="56">
        <v>593.80999999999995</v>
      </c>
      <c r="R1994" s="57">
        <f t="shared" si="139"/>
        <v>1.7041958443347491</v>
      </c>
      <c r="S1994" s="23">
        <v>94</v>
      </c>
      <c r="T1994" s="53">
        <v>325.74</v>
      </c>
      <c r="U1994" s="53">
        <v>346.79</v>
      </c>
      <c r="V1994" s="53">
        <v>590.99</v>
      </c>
      <c r="W1994" s="57">
        <f t="shared" si="140"/>
        <v>1.7041725539952131</v>
      </c>
      <c r="X1994" s="47">
        <v>130</v>
      </c>
      <c r="Y1994" s="58">
        <v>307.39</v>
      </c>
      <c r="Z1994" s="58">
        <v>316.05</v>
      </c>
      <c r="AA1994" s="58">
        <v>538.61</v>
      </c>
      <c r="AB1994" s="57">
        <f t="shared" si="141"/>
        <v>1.7041923746242682</v>
      </c>
      <c r="AC1994" s="47">
        <v>123</v>
      </c>
      <c r="AD1994" s="57">
        <v>316.02</v>
      </c>
      <c r="AE1994" s="57">
        <v>331.7</v>
      </c>
      <c r="AF1994" s="57">
        <v>565.28</v>
      </c>
      <c r="AG1994" s="57">
        <f t="shared" si="142"/>
        <v>1.7041905336147121</v>
      </c>
      <c r="AH1994" s="47">
        <v>106</v>
      </c>
      <c r="AI1994">
        <v>312.32</v>
      </c>
      <c r="AJ1994">
        <v>317.69</v>
      </c>
      <c r="AK1994">
        <v>541.41</v>
      </c>
      <c r="AL1994" s="57">
        <f t="shared" si="118"/>
        <v>1.7042085051465263</v>
      </c>
      <c r="AM1994" s="59">
        <v>7429</v>
      </c>
      <c r="AN1994" s="59">
        <f>SUMIFS(HIX_RatingAreas8[Silver Enrollments 2018],HIX_RatingAreas8[Area],HIX_SLCSP11[[#This Row],[Area Code]])</f>
        <v>5205</v>
      </c>
      <c r="AO1994" s="59">
        <f>SUMIFS(HIX_RatingAreas8[Silver Enrollments 2019],HIX_RatingAreas8[Area],HIX_SLCSP11[[#This Row],[Area Code]])</f>
        <v>4641</v>
      </c>
      <c r="AP1994" s="59">
        <f>SUMIFS(HIX_RatingAreas8[Silver Enrollments 2020],HIX_RatingAreas8[Area],HIX_SLCSP11[[#This Row],[Area Code]])</f>
        <v>4997</v>
      </c>
      <c r="AQ1994" s="59">
        <f>SUMIFS(HIX_RatingAreas8[Silver Enrollments 2021],HIX_RatingAreas8[Area],HIX_SLCSP11[[#This Row],[Area Code]])</f>
        <v>5301</v>
      </c>
      <c r="AR1994" s="59">
        <f>SUMIFS(HIX_RatingAreas8[Silver Enrollments 2022],HIX_RatingAreas8[Area],HIX_SLCSP11[[#This Row],[Area Code]])</f>
        <v>9904</v>
      </c>
      <c r="AS1994" s="59">
        <f>SUMIFS(HIX_RatingAreas8[Silver Enrollments 2023],HIX_RatingAreas8[Area],HIX_SLCSP11[[#This Row],[Area Code]])</f>
        <v>9904</v>
      </c>
      <c r="AT1994" s="59">
        <v>10589</v>
      </c>
      <c r="AU1994">
        <f t="shared" si="132"/>
        <v>8.1040477380377469E-3</v>
      </c>
      <c r="AV1994">
        <f>SUMIFS(HIX_RatingAreas8[QHP Enrollments 2018],HIX_RatingAreas8[Area],HIX_SLCSP11[[#This Row],[Area Code]])</f>
        <v>8384</v>
      </c>
      <c r="AW1994">
        <f t="shared" si="133"/>
        <v>7.6197331457482998E-3</v>
      </c>
      <c r="AX1994">
        <f>SUMIFS(HIX_RatingAreas8[QHP Enrollments 2019],HIX_RatingAreas8[Area],HIX_SLCSP11[[#This Row],[Area Code]])</f>
        <v>8369</v>
      </c>
      <c r="AY1994">
        <f t="shared" si="134"/>
        <v>7.8079081075735496E-3</v>
      </c>
      <c r="AZ1994">
        <f>SUMIFS(HIX_RatingAreas8[QHP Enrollments 2020],HIX_RatingAreas8[Area],HIX_SLCSP11[[#This Row],[Area Code]])</f>
        <v>9179</v>
      </c>
      <c r="BA1994">
        <f t="shared" si="135"/>
        <v>8.4059855672368958E-3</v>
      </c>
      <c r="BB1994">
        <f>SUMIFS(HIX_RatingAreas8[QHP Enrollments 2021],HIX_RatingAreas8[Area],HIX_SLCSP11[[#This Row],[Area Code]])</f>
        <v>10474</v>
      </c>
      <c r="BC1994">
        <f t="shared" si="136"/>
        <v>8.3024587136182829E-3</v>
      </c>
      <c r="BD1994">
        <f>SUMIFS(HIX_RatingAreas8[QHP Enrollments 2022],HIX_RatingAreas8[Area],HIX_SLCSP11[[#This Row],[Area Code]])</f>
        <v>16665</v>
      </c>
      <c r="BE1994">
        <f t="shared" si="137"/>
        <v>9.2960909561000254E-3</v>
      </c>
      <c r="BF1994">
        <f>SUMIFS(HIX_RatingAreas8[QHP Enrollments 2023],HIX_RatingAreas8[Area],HIX_SLCSP11[[#This Row],[Area Code]])</f>
        <v>16665</v>
      </c>
      <c r="BG1994">
        <f t="shared" si="137"/>
        <v>9.0524406009973163E-3</v>
      </c>
      <c r="BH1994" s="53">
        <f>ROUND(HIX_SLCSP11[[#This Row],[Weighting Factor 2018]]*HIX_SLCSP11[[#This Row],[2018]],2)</f>
        <v>2.85</v>
      </c>
      <c r="BI1994" s="53">
        <f>ROUND(HIX_SLCSP11[[#This Row],[Weighting Factor 2019]]*HIX_SLCSP11[[#This Row],[2019]],2)</f>
        <v>2.72</v>
      </c>
      <c r="BJ1994" s="53">
        <f>ROUND(HIX_SLCSP11[[#This Row],[Weighting Factor 2020]]*HIX_SLCSP11[[#This Row],[2020]],2)</f>
        <v>2.92</v>
      </c>
      <c r="BK1994" s="53">
        <f>ROUND(HIX_SLCSP11[[#This Row],[Weighting Factor 2021]]*HIX_SLCSP11[[#This Row],[2021]],2)</f>
        <v>2.62</v>
      </c>
      <c r="BL1994" s="53">
        <f>ROUND(HIX_SLCSP11[[#This Row],[Weighting Factor 2022]]*HIX_SLCSP11[[#This Row],[2022]],2)</f>
        <v>3.08</v>
      </c>
      <c r="BM1994" s="53">
        <f>ROUND(HIX_SLCSP11[[#This Row],[Weighting Factor 2023]]*HIX_SLCSP11[[#This Row],[2023]],2)</f>
        <v>2.88</v>
      </c>
    </row>
    <row r="1995" spans="4:65" x14ac:dyDescent="0.35">
      <c r="D1995" t="s">
        <v>1460</v>
      </c>
      <c r="E1995" t="s">
        <v>303</v>
      </c>
      <c r="F1995" s="23">
        <v>12</v>
      </c>
      <c r="G1995" s="23" t="s">
        <v>1937</v>
      </c>
      <c r="H1995" s="23" t="s">
        <v>2142</v>
      </c>
      <c r="I1995" s="23">
        <v>102</v>
      </c>
      <c r="J1995" s="53">
        <v>317.62</v>
      </c>
      <c r="K1995" s="53">
        <v>326.18</v>
      </c>
      <c r="L1995" s="53">
        <v>555.87</v>
      </c>
      <c r="M1995" s="54">
        <f t="shared" si="138"/>
        <v>1.7041817401434791</v>
      </c>
      <c r="N1995" s="24">
        <v>18</v>
      </c>
      <c r="O1995" s="55">
        <v>335.57</v>
      </c>
      <c r="P1995" s="56">
        <v>344.81</v>
      </c>
      <c r="Q1995" s="56">
        <v>587.63</v>
      </c>
      <c r="R1995" s="57">
        <f t="shared" si="139"/>
        <v>1.7042139149096605</v>
      </c>
      <c r="S1995" s="23">
        <v>102</v>
      </c>
      <c r="T1995" s="53">
        <v>276.64999999999998</v>
      </c>
      <c r="U1995" s="53">
        <v>282.77</v>
      </c>
      <c r="V1995" s="53">
        <v>481.9</v>
      </c>
      <c r="W1995" s="57">
        <f t="shared" si="140"/>
        <v>1.7042119036672914</v>
      </c>
      <c r="X1995" s="47">
        <v>126</v>
      </c>
      <c r="Y1995" s="58">
        <v>265.31</v>
      </c>
      <c r="Z1995" s="58">
        <v>272.79000000000002</v>
      </c>
      <c r="AA1995" s="58">
        <v>464.88</v>
      </c>
      <c r="AB1995" s="57">
        <f t="shared" si="141"/>
        <v>1.7041680413504892</v>
      </c>
      <c r="AC1995" s="47">
        <v>144</v>
      </c>
      <c r="AD1995" s="57">
        <v>289.73</v>
      </c>
      <c r="AE1995" s="57">
        <v>304.10000000000002</v>
      </c>
      <c r="AF1995" s="57">
        <v>518.25</v>
      </c>
      <c r="AG1995" s="57">
        <f t="shared" si="142"/>
        <v>1.7042091417296941</v>
      </c>
      <c r="AH1995" s="47">
        <v>163</v>
      </c>
      <c r="AI1995">
        <v>283.02999999999997</v>
      </c>
      <c r="AJ1995">
        <v>287.89</v>
      </c>
      <c r="AK1995">
        <v>490.62</v>
      </c>
      <c r="AL1995" s="57">
        <f t="shared" si="118"/>
        <v>1.7041925735523986</v>
      </c>
      <c r="AM1995" s="59">
        <v>11110</v>
      </c>
      <c r="AN1995" s="59">
        <f>SUMIFS(HIX_RatingAreas8[Silver Enrollments 2018],HIX_RatingAreas8[Area],HIX_SLCSP11[[#This Row],[Area Code]])</f>
        <v>9314</v>
      </c>
      <c r="AO1995" s="59">
        <f>SUMIFS(HIX_RatingAreas8[Silver Enrollments 2019],HIX_RatingAreas8[Area],HIX_SLCSP11[[#This Row],[Area Code]])</f>
        <v>8803</v>
      </c>
      <c r="AP1995" s="59">
        <f>SUMIFS(HIX_RatingAreas8[Silver Enrollments 2020],HIX_RatingAreas8[Area],HIX_SLCSP11[[#This Row],[Area Code]])</f>
        <v>8875</v>
      </c>
      <c r="AQ1995" s="59">
        <f>SUMIFS(HIX_RatingAreas8[Silver Enrollments 2021],HIX_RatingAreas8[Area],HIX_SLCSP11[[#This Row],[Area Code]])</f>
        <v>10879</v>
      </c>
      <c r="AR1995" s="59">
        <f>SUMIFS(HIX_RatingAreas8[Silver Enrollments 2022],HIX_RatingAreas8[Area],HIX_SLCSP11[[#This Row],[Area Code]])</f>
        <v>23400</v>
      </c>
      <c r="AS1995" s="59">
        <f>SUMIFS(HIX_RatingAreas8[Silver Enrollments 2023],HIX_RatingAreas8[Area],HIX_SLCSP11[[#This Row],[Area Code]])</f>
        <v>23400</v>
      </c>
      <c r="AT1995" s="59">
        <v>15805</v>
      </c>
      <c r="AU1995">
        <f t="shared" si="132"/>
        <v>1.2095993436555539E-2</v>
      </c>
      <c r="AV1995">
        <f>SUMIFS(HIX_RatingAreas8[QHP Enrollments 2018],HIX_RatingAreas8[Area],HIX_SLCSP11[[#This Row],[Area Code]])</f>
        <v>13699</v>
      </c>
      <c r="AW1995">
        <f t="shared" si="133"/>
        <v>1.2450229528101856E-2</v>
      </c>
      <c r="AX1995">
        <f>SUMIFS(HIX_RatingAreas8[QHP Enrollments 2019],HIX_RatingAreas8[Area],HIX_SLCSP11[[#This Row],[Area Code]])</f>
        <v>13159</v>
      </c>
      <c r="AY1995">
        <f t="shared" si="134"/>
        <v>1.2276766971867647E-2</v>
      </c>
      <c r="AZ1995">
        <f>SUMIFS(HIX_RatingAreas8[QHP Enrollments 2020],HIX_RatingAreas8[Area],HIX_SLCSP11[[#This Row],[Area Code]])</f>
        <v>14015</v>
      </c>
      <c r="BA1995">
        <f t="shared" si="135"/>
        <v>1.2834719220484268E-2</v>
      </c>
      <c r="BB1995">
        <f>SUMIFS(HIX_RatingAreas8[QHP Enrollments 2021],HIX_RatingAreas8[Area],HIX_SLCSP11[[#This Row],[Area Code]])</f>
        <v>17436</v>
      </c>
      <c r="BC1995">
        <f t="shared" si="136"/>
        <v>1.3821049277319877E-2</v>
      </c>
      <c r="BD1995">
        <f>SUMIFS(HIX_RatingAreas8[QHP Enrollments 2022],HIX_RatingAreas8[Area],HIX_SLCSP11[[#This Row],[Area Code]])</f>
        <v>27997</v>
      </c>
      <c r="BE1995">
        <f t="shared" si="137"/>
        <v>1.5617321242000146E-2</v>
      </c>
      <c r="BF1995">
        <f>SUMIFS(HIX_RatingAreas8[QHP Enrollments 2023],HIX_RatingAreas8[Area],HIX_SLCSP11[[#This Row],[Area Code]])</f>
        <v>27997</v>
      </c>
      <c r="BG1995">
        <f t="shared" si="137"/>
        <v>1.5207991569524265E-2</v>
      </c>
      <c r="BH1995" s="53">
        <f>ROUND(HIX_SLCSP11[[#This Row],[Weighting Factor 2018]]*HIX_SLCSP11[[#This Row],[2018]],2)</f>
        <v>4.0599999999999996</v>
      </c>
      <c r="BI1995" s="53">
        <f>ROUND(HIX_SLCSP11[[#This Row],[Weighting Factor 2019]]*HIX_SLCSP11[[#This Row],[2019]],2)</f>
        <v>4.2300000000000004</v>
      </c>
      <c r="BJ1995" s="53">
        <f>ROUND(HIX_SLCSP11[[#This Row],[Weighting Factor 2020]]*HIX_SLCSP11[[#This Row],[2020]],2)</f>
        <v>3.63</v>
      </c>
      <c r="BK1995" s="53">
        <f>ROUND(HIX_SLCSP11[[#This Row],[Weighting Factor 2021]]*HIX_SLCSP11[[#This Row],[2021]],2)</f>
        <v>3.77</v>
      </c>
      <c r="BL1995" s="53">
        <f>ROUND(HIX_SLCSP11[[#This Row],[Weighting Factor 2022]]*HIX_SLCSP11[[#This Row],[2022]],2)</f>
        <v>4.75</v>
      </c>
      <c r="BM1995" s="53">
        <f>ROUND(HIX_SLCSP11[[#This Row],[Weighting Factor 2023]]*HIX_SLCSP11[[#This Row],[2023]],2)</f>
        <v>4.38</v>
      </c>
    </row>
    <row r="1996" spans="4:65" x14ac:dyDescent="0.35">
      <c r="D1996" t="s">
        <v>1460</v>
      </c>
      <c r="E1996" t="s">
        <v>311</v>
      </c>
      <c r="F1996" s="23">
        <v>13</v>
      </c>
      <c r="G1996" s="23" t="s">
        <v>1937</v>
      </c>
      <c r="H1996" s="23" t="s">
        <v>2153</v>
      </c>
      <c r="I1996" s="23">
        <v>18</v>
      </c>
      <c r="J1996" s="53">
        <v>432.89</v>
      </c>
      <c r="K1996" s="53">
        <v>507.11</v>
      </c>
      <c r="L1996" s="53">
        <v>864.22</v>
      </c>
      <c r="M1996" s="54">
        <f t="shared" si="138"/>
        <v>1.7042061880065469</v>
      </c>
      <c r="N1996" s="24">
        <v>18</v>
      </c>
      <c r="O1996" s="55">
        <v>332.05</v>
      </c>
      <c r="P1996" s="56">
        <v>359.18</v>
      </c>
      <c r="Q1996" s="56">
        <v>612.11</v>
      </c>
      <c r="R1996" s="57">
        <f t="shared" si="139"/>
        <v>1.7041873155520908</v>
      </c>
      <c r="S1996" s="23">
        <v>18</v>
      </c>
      <c r="T1996" s="53">
        <v>314.35000000000002</v>
      </c>
      <c r="U1996" s="53">
        <v>347.93</v>
      </c>
      <c r="V1996" s="53">
        <v>592.95000000000005</v>
      </c>
      <c r="W1996" s="57">
        <f t="shared" si="140"/>
        <v>1.7042221136435491</v>
      </c>
      <c r="X1996" s="47">
        <v>122</v>
      </c>
      <c r="Y1996" s="58">
        <v>262.3</v>
      </c>
      <c r="Z1996" s="58">
        <v>269.69</v>
      </c>
      <c r="AA1996" s="58">
        <v>459.6</v>
      </c>
      <c r="AB1996" s="57">
        <f t="shared" si="141"/>
        <v>1.7041788720382662</v>
      </c>
      <c r="AC1996" s="47">
        <v>128</v>
      </c>
      <c r="AD1996" s="57">
        <v>312.56</v>
      </c>
      <c r="AE1996" s="57">
        <v>328.07</v>
      </c>
      <c r="AF1996" s="57">
        <v>559.1</v>
      </c>
      <c r="AG1996" s="57">
        <f t="shared" si="142"/>
        <v>1.7042094674916939</v>
      </c>
      <c r="AH1996" s="47">
        <v>87</v>
      </c>
      <c r="AI1996">
        <v>289.04000000000002</v>
      </c>
      <c r="AJ1996">
        <v>295.74</v>
      </c>
      <c r="AK1996">
        <v>504</v>
      </c>
      <c r="AL1996" s="57">
        <f t="shared" si="118"/>
        <v>1.704199634814364</v>
      </c>
      <c r="AM1996" s="59">
        <v>5518</v>
      </c>
      <c r="AN1996" s="59">
        <f>SUMIFS(HIX_RatingAreas8[Silver Enrollments 2018],HIX_RatingAreas8[Area],HIX_SLCSP11[[#This Row],[Area Code]])</f>
        <v>7438</v>
      </c>
      <c r="AO1996" s="59">
        <f>SUMIFS(HIX_RatingAreas8[Silver Enrollments 2019],HIX_RatingAreas8[Area],HIX_SLCSP11[[#This Row],[Area Code]])</f>
        <v>5905</v>
      </c>
      <c r="AP1996" s="59">
        <f>SUMIFS(HIX_RatingAreas8[Silver Enrollments 2020],HIX_RatingAreas8[Area],HIX_SLCSP11[[#This Row],[Area Code]])</f>
        <v>5883</v>
      </c>
      <c r="AQ1996" s="59">
        <f>SUMIFS(HIX_RatingAreas8[Silver Enrollments 2021],HIX_RatingAreas8[Area],HIX_SLCSP11[[#This Row],[Area Code]])</f>
        <v>6336</v>
      </c>
      <c r="AR1996" s="59">
        <f>SUMIFS(HIX_RatingAreas8[Silver Enrollments 2022],HIX_RatingAreas8[Area],HIX_SLCSP11[[#This Row],[Area Code]])</f>
        <v>11614</v>
      </c>
      <c r="AS1996" s="59">
        <f>SUMIFS(HIX_RatingAreas8[Silver Enrollments 2023],HIX_RatingAreas8[Area],HIX_SLCSP11[[#This Row],[Area Code]])</f>
        <v>11614</v>
      </c>
      <c r="AT1996" s="59">
        <v>8208</v>
      </c>
      <c r="AU1996">
        <f t="shared" si="132"/>
        <v>6.2818041206737021E-3</v>
      </c>
      <c r="AV1996">
        <f>SUMIFS(HIX_RatingAreas8[QHP Enrollments 2018],HIX_RatingAreas8[Area],HIX_SLCSP11[[#This Row],[Area Code]])</f>
        <v>12667</v>
      </c>
      <c r="AW1996">
        <f t="shared" si="133"/>
        <v>1.1512304360352303E-2</v>
      </c>
      <c r="AX1996">
        <f>SUMIFS(HIX_RatingAreas8[QHP Enrollments 2019],HIX_RatingAreas8[Area],HIX_SLCSP11[[#This Row],[Area Code]])</f>
        <v>12450</v>
      </c>
      <c r="AY1996">
        <f t="shared" si="134"/>
        <v>1.1615301223478395E-2</v>
      </c>
      <c r="AZ1996">
        <f>SUMIFS(HIX_RatingAreas8[QHP Enrollments 2020],HIX_RatingAreas8[Area],HIX_SLCSP11[[#This Row],[Area Code]])</f>
        <v>12285</v>
      </c>
      <c r="BA1996">
        <f t="shared" si="135"/>
        <v>1.1250412103007435E-2</v>
      </c>
      <c r="BB1996">
        <f>SUMIFS(HIX_RatingAreas8[QHP Enrollments 2021],HIX_RatingAreas8[Area],HIX_SLCSP11[[#This Row],[Area Code]])</f>
        <v>13344</v>
      </c>
      <c r="BC1996">
        <f t="shared" si="136"/>
        <v>1.0577430692621957E-2</v>
      </c>
      <c r="BD1996">
        <f>SUMIFS(HIX_RatingAreas8[QHP Enrollments 2022],HIX_RatingAreas8[Area],HIX_SLCSP11[[#This Row],[Area Code]])</f>
        <v>19195</v>
      </c>
      <c r="BE1996">
        <f t="shared" si="137"/>
        <v>1.0707378692009601E-2</v>
      </c>
      <c r="BF1996">
        <f>SUMIFS(HIX_RatingAreas8[QHP Enrollments 2023],HIX_RatingAreas8[Area],HIX_SLCSP11[[#This Row],[Area Code]])</f>
        <v>19195</v>
      </c>
      <c r="BG1996">
        <f t="shared" si="137"/>
        <v>1.0426738514020012E-2</v>
      </c>
      <c r="BH1996" s="53">
        <f>ROUND(HIX_SLCSP11[[#This Row],[Weighting Factor 2018]]*HIX_SLCSP11[[#This Row],[2018]],2)</f>
        <v>5.84</v>
      </c>
      <c r="BI1996" s="53">
        <f>ROUND(HIX_SLCSP11[[#This Row],[Weighting Factor 2019]]*HIX_SLCSP11[[#This Row],[2019]],2)</f>
        <v>4.17</v>
      </c>
      <c r="BJ1996" s="53">
        <f>ROUND(HIX_SLCSP11[[#This Row],[Weighting Factor 2020]]*HIX_SLCSP11[[#This Row],[2020]],2)</f>
        <v>3.91</v>
      </c>
      <c r="BK1996" s="53">
        <f>ROUND(HIX_SLCSP11[[#This Row],[Weighting Factor 2021]]*HIX_SLCSP11[[#This Row],[2021]],2)</f>
        <v>2.85</v>
      </c>
      <c r="BL1996" s="53">
        <f>ROUND(HIX_SLCSP11[[#This Row],[Weighting Factor 2022]]*HIX_SLCSP11[[#This Row],[2022]],2)</f>
        <v>3.51</v>
      </c>
      <c r="BM1996" s="53">
        <f>ROUND(HIX_SLCSP11[[#This Row],[Weighting Factor 2023]]*HIX_SLCSP11[[#This Row],[2023]],2)</f>
        <v>3.08</v>
      </c>
    </row>
    <row r="1997" spans="4:65" x14ac:dyDescent="0.35">
      <c r="D1997" t="s">
        <v>1460</v>
      </c>
      <c r="E1997" t="s">
        <v>577</v>
      </c>
      <c r="F1997" s="23">
        <v>14</v>
      </c>
      <c r="G1997" s="23" t="s">
        <v>1937</v>
      </c>
      <c r="H1997" s="23" t="s">
        <v>2164</v>
      </c>
      <c r="I1997" s="23">
        <v>18</v>
      </c>
      <c r="J1997" s="53">
        <v>426.84</v>
      </c>
      <c r="K1997" s="53">
        <v>449.24</v>
      </c>
      <c r="L1997" s="53">
        <v>765.59</v>
      </c>
      <c r="M1997" s="54">
        <f t="shared" si="138"/>
        <v>1.7041892974801889</v>
      </c>
      <c r="N1997" s="24">
        <v>18</v>
      </c>
      <c r="O1997" s="55">
        <v>355.43</v>
      </c>
      <c r="P1997" s="56">
        <v>371.54</v>
      </c>
      <c r="Q1997" s="56">
        <v>633.17999999999995</v>
      </c>
      <c r="R1997" s="57">
        <f t="shared" si="139"/>
        <v>1.7042041233783709</v>
      </c>
      <c r="S1997" s="23">
        <v>18</v>
      </c>
      <c r="T1997" s="53">
        <v>365.6</v>
      </c>
      <c r="U1997" s="53">
        <v>381.4</v>
      </c>
      <c r="V1997" s="53">
        <v>649.98</v>
      </c>
      <c r="W1997" s="57">
        <f t="shared" si="140"/>
        <v>1.7041950707918199</v>
      </c>
      <c r="X1997" s="47">
        <v>26</v>
      </c>
      <c r="Y1997" s="58">
        <v>392.46</v>
      </c>
      <c r="Z1997" s="58">
        <v>412.25</v>
      </c>
      <c r="AA1997" s="58">
        <v>702.55</v>
      </c>
      <c r="AB1997" s="57">
        <f t="shared" si="141"/>
        <v>1.7041843541540327</v>
      </c>
      <c r="AC1997" s="47">
        <v>35</v>
      </c>
      <c r="AD1997" s="57">
        <v>415.95</v>
      </c>
      <c r="AE1997" s="57">
        <v>434.14</v>
      </c>
      <c r="AF1997" s="57">
        <v>739.86</v>
      </c>
      <c r="AG1997" s="57">
        <f t="shared" si="142"/>
        <v>1.7041968028746488</v>
      </c>
      <c r="AH1997" s="47">
        <v>110</v>
      </c>
      <c r="AI1997">
        <v>375.02</v>
      </c>
      <c r="AJ1997">
        <v>383.71</v>
      </c>
      <c r="AK1997">
        <v>653.91999999999996</v>
      </c>
      <c r="AL1997" s="57">
        <f t="shared" si="118"/>
        <v>1.704203695499205</v>
      </c>
      <c r="AM1997" s="59">
        <v>6272</v>
      </c>
      <c r="AN1997" s="59">
        <f>SUMIFS(HIX_RatingAreas8[Silver Enrollments 2018],HIX_RatingAreas8[Area],HIX_SLCSP11[[#This Row],[Area Code]])</f>
        <v>6216</v>
      </c>
      <c r="AO1997" s="59">
        <f>SUMIFS(HIX_RatingAreas8[Silver Enrollments 2019],HIX_RatingAreas8[Area],HIX_SLCSP11[[#This Row],[Area Code]])</f>
        <v>5142</v>
      </c>
      <c r="AP1997" s="59">
        <f>SUMIFS(HIX_RatingAreas8[Silver Enrollments 2020],HIX_RatingAreas8[Area],HIX_SLCSP11[[#This Row],[Area Code]])</f>
        <v>5699</v>
      </c>
      <c r="AQ1997" s="59">
        <f>SUMIFS(HIX_RatingAreas8[Silver Enrollments 2021],HIX_RatingAreas8[Area],HIX_SLCSP11[[#This Row],[Area Code]])</f>
        <v>7293</v>
      </c>
      <c r="AR1997" s="59">
        <f>SUMIFS(HIX_RatingAreas8[Silver Enrollments 2022],HIX_RatingAreas8[Area],HIX_SLCSP11[[#This Row],[Area Code]])</f>
        <v>12425</v>
      </c>
      <c r="AS1997" s="59">
        <f>SUMIFS(HIX_RatingAreas8[Silver Enrollments 2023],HIX_RatingAreas8[Area],HIX_SLCSP11[[#This Row],[Area Code]])</f>
        <v>12425</v>
      </c>
      <c r="AT1997" s="59">
        <v>9618</v>
      </c>
      <c r="AU1997">
        <f t="shared" si="132"/>
        <v>7.3609152086549301E-3</v>
      </c>
      <c r="AV1997">
        <f>SUMIFS(HIX_RatingAreas8[QHP Enrollments 2018],HIX_RatingAreas8[Area],HIX_SLCSP11[[#This Row],[Area Code]])</f>
        <v>11889</v>
      </c>
      <c r="AW1997">
        <f t="shared" si="133"/>
        <v>1.0805225115672893E-2</v>
      </c>
      <c r="AX1997">
        <f>SUMIFS(HIX_RatingAreas8[QHP Enrollments 2019],HIX_RatingAreas8[Area],HIX_SLCSP11[[#This Row],[Area Code]])</f>
        <v>11249</v>
      </c>
      <c r="AY1997">
        <f t="shared" si="134"/>
        <v>1.0494821161679395E-2</v>
      </c>
      <c r="AZ1997">
        <f>SUMIFS(HIX_RatingAreas8[QHP Enrollments 2020],HIX_RatingAreas8[Area],HIX_SLCSP11[[#This Row],[Area Code]])</f>
        <v>11859</v>
      </c>
      <c r="BA1997">
        <f t="shared" si="135"/>
        <v>1.0860287922634529E-2</v>
      </c>
      <c r="BB1997">
        <f>SUMIFS(HIX_RatingAreas8[QHP Enrollments 2021],HIX_RatingAreas8[Area],HIX_SLCSP11[[#This Row],[Area Code]])</f>
        <v>14301</v>
      </c>
      <c r="BC1997">
        <f t="shared" si="136"/>
        <v>1.1336018910010986E-2</v>
      </c>
      <c r="BD1997">
        <f>SUMIFS(HIX_RatingAreas8[QHP Enrollments 2022],HIX_RatingAreas8[Area],HIX_SLCSP11[[#This Row],[Area Code]])</f>
        <v>20945</v>
      </c>
      <c r="BE1997">
        <f t="shared" si="137"/>
        <v>1.1683565861117014E-2</v>
      </c>
      <c r="BF1997">
        <f>SUMIFS(HIX_RatingAreas8[QHP Enrollments 2023],HIX_RatingAreas8[Area],HIX_SLCSP11[[#This Row],[Area Code]])</f>
        <v>20945</v>
      </c>
      <c r="BG1997">
        <f t="shared" si="137"/>
        <v>1.1377339837257054E-2</v>
      </c>
      <c r="BH1997" s="53">
        <f>ROUND(HIX_SLCSP11[[#This Row],[Weighting Factor 2018]]*HIX_SLCSP11[[#This Row],[2018]],2)</f>
        <v>4.8499999999999996</v>
      </c>
      <c r="BI1997" s="53">
        <f>ROUND(HIX_SLCSP11[[#This Row],[Weighting Factor 2019]]*HIX_SLCSP11[[#This Row],[2019]],2)</f>
        <v>3.9</v>
      </c>
      <c r="BJ1997" s="53">
        <f>ROUND(HIX_SLCSP11[[#This Row],[Weighting Factor 2020]]*HIX_SLCSP11[[#This Row],[2020]],2)</f>
        <v>4.1399999999999997</v>
      </c>
      <c r="BK1997" s="53">
        <f>ROUND(HIX_SLCSP11[[#This Row],[Weighting Factor 2021]]*HIX_SLCSP11[[#This Row],[2021]],2)</f>
        <v>4.67</v>
      </c>
      <c r="BL1997" s="53">
        <f>ROUND(HIX_SLCSP11[[#This Row],[Weighting Factor 2022]]*HIX_SLCSP11[[#This Row],[2022]],2)</f>
        <v>5.07</v>
      </c>
      <c r="BM1997" s="53">
        <f>ROUND(HIX_SLCSP11[[#This Row],[Weighting Factor 2023]]*HIX_SLCSP11[[#This Row],[2023]],2)</f>
        <v>4.37</v>
      </c>
    </row>
    <row r="1998" spans="4:65" x14ac:dyDescent="0.35">
      <c r="D1998" t="s">
        <v>1460</v>
      </c>
      <c r="E1998" t="s">
        <v>581</v>
      </c>
      <c r="F1998" s="23">
        <v>15</v>
      </c>
      <c r="G1998" s="23" t="s">
        <v>1937</v>
      </c>
      <c r="H1998" s="23" t="s">
        <v>2192</v>
      </c>
      <c r="I1998" s="23">
        <v>86</v>
      </c>
      <c r="J1998" s="53">
        <v>261.67</v>
      </c>
      <c r="K1998" s="53">
        <v>276.02</v>
      </c>
      <c r="L1998" s="53">
        <v>470.4</v>
      </c>
      <c r="M1998" s="54">
        <f t="shared" si="138"/>
        <v>1.7042243315701762</v>
      </c>
      <c r="N1998" s="24">
        <v>45</v>
      </c>
      <c r="O1998" s="55">
        <v>287.23</v>
      </c>
      <c r="P1998" s="56">
        <v>292.66000000000003</v>
      </c>
      <c r="Q1998" s="56">
        <v>498.75</v>
      </c>
      <c r="R1998" s="57">
        <f t="shared" si="139"/>
        <v>1.7041959953529691</v>
      </c>
      <c r="S1998" s="23">
        <v>86</v>
      </c>
      <c r="T1998" s="53">
        <v>295.99</v>
      </c>
      <c r="U1998" s="53">
        <v>314.45999999999998</v>
      </c>
      <c r="V1998" s="53">
        <v>535.9</v>
      </c>
      <c r="W1998" s="57">
        <f t="shared" si="140"/>
        <v>1.7041913120905681</v>
      </c>
      <c r="X1998" s="47">
        <v>126</v>
      </c>
      <c r="Y1998" s="58">
        <v>266.68</v>
      </c>
      <c r="Z1998" s="58">
        <v>274.2</v>
      </c>
      <c r="AA1998" s="58">
        <v>467.29</v>
      </c>
      <c r="AB1998" s="57">
        <f t="shared" si="141"/>
        <v>1.7041940189642597</v>
      </c>
      <c r="AC1998" s="47">
        <v>120</v>
      </c>
      <c r="AD1998" s="57">
        <v>285.88</v>
      </c>
      <c r="AE1998" s="57">
        <v>300.07</v>
      </c>
      <c r="AF1998" s="57">
        <v>511.38</v>
      </c>
      <c r="AG1998" s="57">
        <f t="shared" si="142"/>
        <v>1.7042023527843504</v>
      </c>
      <c r="AH1998" s="47">
        <v>166</v>
      </c>
      <c r="AI1998">
        <v>283.08999999999997</v>
      </c>
      <c r="AJ1998">
        <v>287.95</v>
      </c>
      <c r="AK1998">
        <v>490.73</v>
      </c>
      <c r="AL1998" s="57">
        <f t="shared" si="118"/>
        <v>1.7042194825490538</v>
      </c>
      <c r="AM1998" s="59">
        <v>29528</v>
      </c>
      <c r="AN1998" s="59">
        <f>SUMIFS(HIX_RatingAreas8[Silver Enrollments 2018],HIX_RatingAreas8[Area],HIX_SLCSP11[[#This Row],[Area Code]])</f>
        <v>31996</v>
      </c>
      <c r="AO1998" s="59">
        <f>SUMIFS(HIX_RatingAreas8[Silver Enrollments 2019],HIX_RatingAreas8[Area],HIX_SLCSP11[[#This Row],[Area Code]])</f>
        <v>33735</v>
      </c>
      <c r="AP1998" s="59">
        <f>SUMIFS(HIX_RatingAreas8[Silver Enrollments 2020],HIX_RatingAreas8[Area],HIX_SLCSP11[[#This Row],[Area Code]])</f>
        <v>38496</v>
      </c>
      <c r="AQ1998" s="59">
        <f>SUMIFS(HIX_RatingAreas8[Silver Enrollments 2021],HIX_RatingAreas8[Area],HIX_SLCSP11[[#This Row],[Area Code]])</f>
        <v>45866</v>
      </c>
      <c r="AR1998" s="59">
        <f>SUMIFS(HIX_RatingAreas8[Silver Enrollments 2022],HIX_RatingAreas8[Area],HIX_SLCSP11[[#This Row],[Area Code]])</f>
        <v>94212</v>
      </c>
      <c r="AS1998" s="59">
        <f>SUMIFS(HIX_RatingAreas8[Silver Enrollments 2023],HIX_RatingAreas8[Area],HIX_SLCSP11[[#This Row],[Area Code]])</f>
        <v>94212</v>
      </c>
      <c r="AT1998" s="59">
        <v>38134</v>
      </c>
      <c r="AU1998">
        <f t="shared" si="132"/>
        <v>2.9184980304309327E-2</v>
      </c>
      <c r="AV1998">
        <f>SUMIFS(HIX_RatingAreas8[QHP Enrollments 2018],HIX_RatingAreas8[Area],HIX_SLCSP11[[#This Row],[Area Code]])</f>
        <v>37057</v>
      </c>
      <c r="AW1998">
        <f t="shared" si="133"/>
        <v>3.3678966028386777E-2</v>
      </c>
      <c r="AX1998">
        <f>SUMIFS(HIX_RatingAreas8[QHP Enrollments 2019],HIX_RatingAreas8[Area],HIX_SLCSP11[[#This Row],[Area Code]])</f>
        <v>38101</v>
      </c>
      <c r="AY1998">
        <f t="shared" si="134"/>
        <v>3.5546553567530149E-2</v>
      </c>
      <c r="AZ1998">
        <f>SUMIFS(HIX_RatingAreas8[QHP Enrollments 2020],HIX_RatingAreas8[Area],HIX_SLCSP11[[#This Row],[Area Code]])</f>
        <v>45322</v>
      </c>
      <c r="BA1998">
        <f t="shared" si="135"/>
        <v>4.1505183340049087E-2</v>
      </c>
      <c r="BB1998">
        <f>SUMIFS(HIX_RatingAreas8[QHP Enrollments 2021],HIX_RatingAreas8[Area],HIX_SLCSP11[[#This Row],[Area Code]])</f>
        <v>58412</v>
      </c>
      <c r="BC1998">
        <f t="shared" si="136"/>
        <v>4.6301624821450373E-2</v>
      </c>
      <c r="BD1998">
        <f>SUMIFS(HIX_RatingAreas8[QHP Enrollments 2022],HIX_RatingAreas8[Area],HIX_SLCSP11[[#This Row],[Area Code]])</f>
        <v>108054</v>
      </c>
      <c r="BE1998">
        <f t="shared" si="137"/>
        <v>6.0274816211847118E-2</v>
      </c>
      <c r="BF1998">
        <f>SUMIFS(HIX_RatingAreas8[QHP Enrollments 2023],HIX_RatingAreas8[Area],HIX_SLCSP11[[#This Row],[Area Code]])</f>
        <v>108054</v>
      </c>
      <c r="BG1998">
        <f t="shared" si="137"/>
        <v>5.8695014503460187E-2</v>
      </c>
      <c r="BH1998" s="53">
        <f>ROUND(HIX_SLCSP11[[#This Row],[Weighting Factor 2018]]*HIX_SLCSP11[[#This Row],[2018]],2)</f>
        <v>9.3000000000000007</v>
      </c>
      <c r="BI1998" s="53">
        <f>ROUND(HIX_SLCSP11[[#This Row],[Weighting Factor 2019]]*HIX_SLCSP11[[#This Row],[2019]],2)</f>
        <v>10.4</v>
      </c>
      <c r="BJ1998" s="53">
        <f>ROUND(HIX_SLCSP11[[#This Row],[Weighting Factor 2020]]*HIX_SLCSP11[[#This Row],[2020]],2)</f>
        <v>13.05</v>
      </c>
      <c r="BK1998" s="53">
        <f>ROUND(HIX_SLCSP11[[#This Row],[Weighting Factor 2021]]*HIX_SLCSP11[[#This Row],[2021]],2)</f>
        <v>12.7</v>
      </c>
      <c r="BL1998" s="53">
        <f>ROUND(HIX_SLCSP11[[#This Row],[Weighting Factor 2022]]*HIX_SLCSP11[[#This Row],[2022]],2)</f>
        <v>18.09</v>
      </c>
      <c r="BM1998" s="53">
        <f>ROUND(HIX_SLCSP11[[#This Row],[Weighting Factor 2023]]*HIX_SLCSP11[[#This Row],[2023]],2)</f>
        <v>16.899999999999999</v>
      </c>
    </row>
    <row r="1999" spans="4:65" x14ac:dyDescent="0.35">
      <c r="D1999" t="s">
        <v>1460</v>
      </c>
      <c r="E1999" t="s">
        <v>585</v>
      </c>
      <c r="F1999" s="23">
        <v>16</v>
      </c>
      <c r="G1999" s="23" t="s">
        <v>1937</v>
      </c>
      <c r="H1999" s="23" t="s">
        <v>2199</v>
      </c>
      <c r="I1999" s="23">
        <v>18</v>
      </c>
      <c r="J1999" s="53">
        <v>413.91</v>
      </c>
      <c r="K1999" s="53">
        <v>437.06</v>
      </c>
      <c r="L1999" s="53">
        <v>744.84</v>
      </c>
      <c r="M1999" s="54">
        <f t="shared" si="138"/>
        <v>1.7042053722601016</v>
      </c>
      <c r="N1999" s="24">
        <v>18</v>
      </c>
      <c r="O1999" s="55">
        <v>324.95</v>
      </c>
      <c r="P1999" s="56">
        <v>346.3</v>
      </c>
      <c r="Q1999" s="56">
        <v>590.16</v>
      </c>
      <c r="R1999" s="57">
        <f t="shared" si="139"/>
        <v>1.7041871209933581</v>
      </c>
      <c r="S1999" s="23">
        <v>18</v>
      </c>
      <c r="T1999" s="53">
        <v>313.45999999999998</v>
      </c>
      <c r="U1999" s="53">
        <v>328.26</v>
      </c>
      <c r="V1999" s="53">
        <v>559.41999999999996</v>
      </c>
      <c r="W1999" s="57">
        <f t="shared" si="140"/>
        <v>1.7041978919149454</v>
      </c>
      <c r="X1999" s="47">
        <v>22</v>
      </c>
      <c r="Y1999" s="58">
        <v>327.51</v>
      </c>
      <c r="Z1999" s="58">
        <v>345.9</v>
      </c>
      <c r="AA1999" s="58">
        <v>589.49</v>
      </c>
      <c r="AB1999" s="57">
        <f t="shared" si="141"/>
        <v>1.7042208730847066</v>
      </c>
      <c r="AC1999" s="47">
        <v>27</v>
      </c>
      <c r="AD1999" s="57">
        <v>340.14</v>
      </c>
      <c r="AE1999" s="57">
        <v>356.56</v>
      </c>
      <c r="AF1999" s="57">
        <v>607.65</v>
      </c>
      <c r="AG1999" s="57">
        <f t="shared" si="142"/>
        <v>1.7042012564505271</v>
      </c>
      <c r="AH1999" s="47">
        <v>90</v>
      </c>
      <c r="AI1999">
        <v>287.33</v>
      </c>
      <c r="AJ1999">
        <v>292.27</v>
      </c>
      <c r="AK1999">
        <v>498.09</v>
      </c>
      <c r="AL1999" s="57">
        <f t="shared" si="118"/>
        <v>1.7042118588975947</v>
      </c>
      <c r="AM1999" s="59">
        <v>2927</v>
      </c>
      <c r="AN1999" s="59">
        <f>SUMIFS(HIX_RatingAreas8[Silver Enrollments 2018],HIX_RatingAreas8[Area],HIX_SLCSP11[[#This Row],[Area Code]])</f>
        <v>7296</v>
      </c>
      <c r="AO1999" s="59">
        <f>SUMIFS(HIX_RatingAreas8[Silver Enrollments 2019],HIX_RatingAreas8[Area],HIX_SLCSP11[[#This Row],[Area Code]])</f>
        <v>4933</v>
      </c>
      <c r="AP1999" s="59">
        <f>SUMIFS(HIX_RatingAreas8[Silver Enrollments 2020],HIX_RatingAreas8[Area],HIX_SLCSP11[[#This Row],[Area Code]])</f>
        <v>5761</v>
      </c>
      <c r="AQ1999" s="59">
        <f>SUMIFS(HIX_RatingAreas8[Silver Enrollments 2021],HIX_RatingAreas8[Area],HIX_SLCSP11[[#This Row],[Area Code]])</f>
        <v>9787</v>
      </c>
      <c r="AR1999" s="59">
        <f>SUMIFS(HIX_RatingAreas8[Silver Enrollments 2022],HIX_RatingAreas8[Area],HIX_SLCSP11[[#This Row],[Area Code]])</f>
        <v>17952</v>
      </c>
      <c r="AS1999" s="59">
        <f>SUMIFS(HIX_RatingAreas8[Silver Enrollments 2023],HIX_RatingAreas8[Area],HIX_SLCSP11[[#This Row],[Area Code]])</f>
        <v>17952</v>
      </c>
      <c r="AT1999" s="59">
        <v>4654</v>
      </c>
      <c r="AU1999">
        <f t="shared" si="132"/>
        <v>3.5618319173508052E-3</v>
      </c>
      <c r="AV1999">
        <f>SUMIFS(HIX_RatingAreas8[QHP Enrollments 2018],HIX_RatingAreas8[Area],HIX_SLCSP11[[#This Row],[Area Code]])</f>
        <v>12941</v>
      </c>
      <c r="AW1999">
        <f t="shared" si="133"/>
        <v>1.1761327127758677E-2</v>
      </c>
      <c r="AX1999">
        <f>SUMIFS(HIX_RatingAreas8[QHP Enrollments 2019],HIX_RatingAreas8[Area],HIX_SLCSP11[[#This Row],[Area Code]])</f>
        <v>11001</v>
      </c>
      <c r="AY1999">
        <f t="shared" si="134"/>
        <v>1.0263448093131391E-2</v>
      </c>
      <c r="AZ1999">
        <f>SUMIFS(HIX_RatingAreas8[QHP Enrollments 2020],HIX_RatingAreas8[Area],HIX_SLCSP11[[#This Row],[Area Code]])</f>
        <v>11521</v>
      </c>
      <c r="BA1999">
        <f t="shared" si="135"/>
        <v>1.0550752774826916E-2</v>
      </c>
      <c r="BB1999">
        <f>SUMIFS(HIX_RatingAreas8[QHP Enrollments 2021],HIX_RatingAreas8[Area],HIX_SLCSP11[[#This Row],[Area Code]])</f>
        <v>15650</v>
      </c>
      <c r="BC1999">
        <f t="shared" si="136"/>
        <v>1.2405335007459054E-2</v>
      </c>
      <c r="BD1999">
        <f>SUMIFS(HIX_RatingAreas8[QHP Enrollments 2022],HIX_RatingAreas8[Area],HIX_SLCSP11[[#This Row],[Area Code]])</f>
        <v>27762</v>
      </c>
      <c r="BE1999">
        <f t="shared" si="137"/>
        <v>1.5486233250720008E-2</v>
      </c>
      <c r="BF1999">
        <f>SUMIFS(HIX_RatingAreas8[QHP Enrollments 2023],HIX_RatingAreas8[Area],HIX_SLCSP11[[#This Row],[Area Code]])</f>
        <v>27762</v>
      </c>
      <c r="BG1999">
        <f t="shared" si="137"/>
        <v>1.5080339391832433E-2</v>
      </c>
      <c r="BH1999" s="53">
        <f>ROUND(HIX_SLCSP11[[#This Row],[Weighting Factor 2018]]*HIX_SLCSP11[[#This Row],[2018]],2)</f>
        <v>5.14</v>
      </c>
      <c r="BI1999" s="53">
        <f>ROUND(HIX_SLCSP11[[#This Row],[Weighting Factor 2019]]*HIX_SLCSP11[[#This Row],[2019]],2)</f>
        <v>3.55</v>
      </c>
      <c r="BJ1999" s="53">
        <f>ROUND(HIX_SLCSP11[[#This Row],[Weighting Factor 2020]]*HIX_SLCSP11[[#This Row],[2020]],2)</f>
        <v>3.46</v>
      </c>
      <c r="BK1999" s="53">
        <f>ROUND(HIX_SLCSP11[[#This Row],[Weighting Factor 2021]]*HIX_SLCSP11[[#This Row],[2021]],2)</f>
        <v>4.29</v>
      </c>
      <c r="BL1999" s="53">
        <f>ROUND(HIX_SLCSP11[[#This Row],[Weighting Factor 2022]]*HIX_SLCSP11[[#This Row],[2022]],2)</f>
        <v>5.52</v>
      </c>
      <c r="BM1999" s="53">
        <f>ROUND(HIX_SLCSP11[[#This Row],[Weighting Factor 2023]]*HIX_SLCSP11[[#This Row],[2023]],2)</f>
        <v>4.41</v>
      </c>
    </row>
    <row r="2000" spans="4:65" x14ac:dyDescent="0.35">
      <c r="D2000" t="s">
        <v>1460</v>
      </c>
      <c r="E2000" t="s">
        <v>588</v>
      </c>
      <c r="F2000" s="23">
        <v>17</v>
      </c>
      <c r="G2000" s="23" t="s">
        <v>1937</v>
      </c>
      <c r="H2000" s="23" t="s">
        <v>2231</v>
      </c>
      <c r="I2000" s="23">
        <v>18</v>
      </c>
      <c r="J2000" s="53">
        <v>400.16</v>
      </c>
      <c r="K2000" s="53">
        <v>442.16</v>
      </c>
      <c r="L2000" s="53">
        <v>753.53</v>
      </c>
      <c r="M2000" s="54">
        <f t="shared" si="138"/>
        <v>1.7042020987877691</v>
      </c>
      <c r="N2000" s="24">
        <v>18</v>
      </c>
      <c r="O2000" s="55">
        <v>345.93</v>
      </c>
      <c r="P2000" s="56">
        <v>362.03</v>
      </c>
      <c r="Q2000" s="56">
        <v>616.97</v>
      </c>
      <c r="R2000" s="57">
        <f t="shared" si="139"/>
        <v>1.7041957848797062</v>
      </c>
      <c r="S2000" s="23">
        <v>18</v>
      </c>
      <c r="T2000" s="53">
        <v>327.10000000000002</v>
      </c>
      <c r="U2000" s="53">
        <v>350.57</v>
      </c>
      <c r="V2000" s="53">
        <v>597.44000000000005</v>
      </c>
      <c r="W2000" s="57">
        <f t="shared" si="140"/>
        <v>1.7041960236186784</v>
      </c>
      <c r="X2000" s="47">
        <v>22</v>
      </c>
      <c r="Y2000" s="58">
        <v>341.91</v>
      </c>
      <c r="Z2000" s="58">
        <v>369.53</v>
      </c>
      <c r="AA2000" s="58">
        <v>629.76</v>
      </c>
      <c r="AB2000" s="57">
        <f t="shared" si="141"/>
        <v>1.7042188726219794</v>
      </c>
      <c r="AC2000" s="47">
        <v>124</v>
      </c>
      <c r="AD2000" s="57">
        <v>312.14</v>
      </c>
      <c r="AE2000" s="57">
        <v>327.63</v>
      </c>
      <c r="AF2000" s="57">
        <v>558.34</v>
      </c>
      <c r="AG2000" s="57">
        <f t="shared" si="142"/>
        <v>1.704178494032903</v>
      </c>
      <c r="AH2000" s="47">
        <v>90</v>
      </c>
      <c r="AI2000">
        <v>353.85</v>
      </c>
      <c r="AJ2000">
        <v>359.93</v>
      </c>
      <c r="AK2000">
        <v>613.38</v>
      </c>
      <c r="AL2000" s="57">
        <f t="shared" si="118"/>
        <v>1.7041646986914121</v>
      </c>
      <c r="AM2000" s="59">
        <v>3181</v>
      </c>
      <c r="AN2000" s="59">
        <f>SUMIFS(HIX_RatingAreas8[Silver Enrollments 2018],HIX_RatingAreas8[Area],HIX_SLCSP11[[#This Row],[Area Code]])</f>
        <v>3160</v>
      </c>
      <c r="AO2000" s="59">
        <f>SUMIFS(HIX_RatingAreas8[Silver Enrollments 2019],HIX_RatingAreas8[Area],HIX_SLCSP11[[#This Row],[Area Code]])</f>
        <v>2820</v>
      </c>
      <c r="AP2000" s="59">
        <f>SUMIFS(HIX_RatingAreas8[Silver Enrollments 2020],HIX_RatingAreas8[Area],HIX_SLCSP11[[#This Row],[Area Code]])</f>
        <v>3078</v>
      </c>
      <c r="AQ2000" s="59">
        <f>SUMIFS(HIX_RatingAreas8[Silver Enrollments 2021],HIX_RatingAreas8[Area],HIX_SLCSP11[[#This Row],[Area Code]])</f>
        <v>3547</v>
      </c>
      <c r="AR2000" s="59">
        <f>SUMIFS(HIX_RatingAreas8[Silver Enrollments 2022],HIX_RatingAreas8[Area],HIX_SLCSP11[[#This Row],[Area Code]])</f>
        <v>4652</v>
      </c>
      <c r="AS2000" s="59">
        <f>SUMIFS(HIX_RatingAreas8[Silver Enrollments 2023],HIX_RatingAreas8[Area],HIX_SLCSP11[[#This Row],[Area Code]])</f>
        <v>4652</v>
      </c>
      <c r="AT2000" s="59">
        <v>4760</v>
      </c>
      <c r="AU2000">
        <f t="shared" si="132"/>
        <v>3.6429565807025856E-3</v>
      </c>
      <c r="AV2000">
        <f>SUMIFS(HIX_RatingAreas8[QHP Enrollments 2018],HIX_RatingAreas8[Area],HIX_SLCSP11[[#This Row],[Area Code]])</f>
        <v>5144</v>
      </c>
      <c r="AW2000">
        <f t="shared" si="133"/>
        <v>4.6750843632787755E-3</v>
      </c>
      <c r="AX2000">
        <f>SUMIFS(HIX_RatingAreas8[QHP Enrollments 2019],HIX_RatingAreas8[Area],HIX_SLCSP11[[#This Row],[Area Code]])</f>
        <v>5104</v>
      </c>
      <c r="AY2000">
        <f t="shared" si="134"/>
        <v>4.7618070236653603E-3</v>
      </c>
      <c r="AZ2000">
        <f>SUMIFS(HIX_RatingAreas8[QHP Enrollments 2020],HIX_RatingAreas8[Area],HIX_SLCSP11[[#This Row],[Area Code]])</f>
        <v>5267</v>
      </c>
      <c r="BA2000">
        <f t="shared" si="135"/>
        <v>4.8234367559251258E-3</v>
      </c>
      <c r="BB2000">
        <f>SUMIFS(HIX_RatingAreas8[QHP Enrollments 2021],HIX_RatingAreas8[Area],HIX_SLCSP11[[#This Row],[Area Code]])</f>
        <v>5752</v>
      </c>
      <c r="BC2000">
        <f t="shared" si="136"/>
        <v>4.5594560359683376E-3</v>
      </c>
      <c r="BD2000">
        <f>SUMIFS(HIX_RatingAreas8[QHP Enrollments 2022],HIX_RatingAreas8[Area],HIX_SLCSP11[[#This Row],[Area Code]])</f>
        <v>7918</v>
      </c>
      <c r="BE2000">
        <f t="shared" si="137"/>
        <v>4.4168285742814282E-3</v>
      </c>
      <c r="BF2000">
        <f>SUMIFS(HIX_RatingAreas8[QHP Enrollments 2023],HIX_RatingAreas8[Area],HIX_SLCSP11[[#This Row],[Area Code]])</f>
        <v>7918</v>
      </c>
      <c r="BG2000">
        <f t="shared" si="137"/>
        <v>4.3010635870805135E-3</v>
      </c>
      <c r="BH2000" s="53">
        <f>ROUND(HIX_SLCSP11[[#This Row],[Weighting Factor 2018]]*HIX_SLCSP11[[#This Row],[2018]],2)</f>
        <v>2.0699999999999998</v>
      </c>
      <c r="BI2000" s="53">
        <f>ROUND(HIX_SLCSP11[[#This Row],[Weighting Factor 2019]]*HIX_SLCSP11[[#This Row],[2019]],2)</f>
        <v>1.72</v>
      </c>
      <c r="BJ2000" s="53">
        <f>ROUND(HIX_SLCSP11[[#This Row],[Weighting Factor 2020]]*HIX_SLCSP11[[#This Row],[2020]],2)</f>
        <v>1.69</v>
      </c>
      <c r="BK2000" s="53">
        <f>ROUND(HIX_SLCSP11[[#This Row],[Weighting Factor 2021]]*HIX_SLCSP11[[#This Row],[2021]],2)</f>
        <v>1.68</v>
      </c>
      <c r="BL2000" s="53">
        <f>ROUND(HIX_SLCSP11[[#This Row],[Weighting Factor 2022]]*HIX_SLCSP11[[#This Row],[2022]],2)</f>
        <v>1.45</v>
      </c>
      <c r="BM2000" s="53">
        <f>ROUND(HIX_SLCSP11[[#This Row],[Weighting Factor 2023]]*HIX_SLCSP11[[#This Row],[2023]],2)</f>
        <v>1.55</v>
      </c>
    </row>
    <row r="2001" spans="4:65" x14ac:dyDescent="0.35">
      <c r="D2001" t="s">
        <v>1460</v>
      </c>
      <c r="E2001" t="s">
        <v>592</v>
      </c>
      <c r="F2001" s="23">
        <v>18</v>
      </c>
      <c r="G2001" s="23" t="s">
        <v>1937</v>
      </c>
      <c r="H2001" s="23" t="s">
        <v>2258</v>
      </c>
      <c r="I2001" s="23">
        <v>10</v>
      </c>
      <c r="J2001" s="53">
        <v>484.07</v>
      </c>
      <c r="K2001" s="53">
        <v>567.07000000000005</v>
      </c>
      <c r="L2001" s="53">
        <v>966.39</v>
      </c>
      <c r="M2001" s="54">
        <f t="shared" si="138"/>
        <v>1.7041811416579962</v>
      </c>
      <c r="N2001" s="24">
        <v>10</v>
      </c>
      <c r="O2001" s="55">
        <v>376.53</v>
      </c>
      <c r="P2001" s="56">
        <v>392.67</v>
      </c>
      <c r="Q2001" s="56">
        <v>669.19</v>
      </c>
      <c r="R2001" s="57">
        <f t="shared" si="139"/>
        <v>1.704204548348486</v>
      </c>
      <c r="S2001" s="23">
        <v>10</v>
      </c>
      <c r="T2001" s="53">
        <v>373</v>
      </c>
      <c r="U2001" s="53">
        <v>390.32</v>
      </c>
      <c r="V2001" s="53">
        <v>665.18</v>
      </c>
      <c r="W2001" s="57">
        <f t="shared" si="140"/>
        <v>1.7041914326706291</v>
      </c>
      <c r="X2001" s="47">
        <v>106</v>
      </c>
      <c r="Y2001" s="58">
        <v>321.54000000000002</v>
      </c>
      <c r="Z2001" s="58">
        <v>330.6</v>
      </c>
      <c r="AA2001" s="58">
        <v>563.4</v>
      </c>
      <c r="AB2001" s="57">
        <f t="shared" si="141"/>
        <v>1.704174228675136</v>
      </c>
      <c r="AC2001" s="47">
        <v>112</v>
      </c>
      <c r="AD2001" s="57">
        <v>390</v>
      </c>
      <c r="AE2001" s="57">
        <v>409.35</v>
      </c>
      <c r="AF2001" s="57">
        <v>697.61</v>
      </c>
      <c r="AG2001" s="57">
        <f t="shared" si="142"/>
        <v>1.7041895688286306</v>
      </c>
      <c r="AH2001" s="47">
        <v>238</v>
      </c>
      <c r="AI2001">
        <v>321.18</v>
      </c>
      <c r="AJ2001">
        <v>325.39</v>
      </c>
      <c r="AK2001">
        <v>554.52</v>
      </c>
      <c r="AL2001" s="57">
        <f t="shared" si="118"/>
        <v>1.7041703801591936</v>
      </c>
      <c r="AM2001" s="59">
        <v>2933</v>
      </c>
      <c r="AN2001" s="59">
        <f>SUMIFS(HIX_RatingAreas8[Silver Enrollments 2018],HIX_RatingAreas8[Area],HIX_SLCSP11[[#This Row],[Area Code]])</f>
        <v>74654</v>
      </c>
      <c r="AO2001" s="59">
        <f>SUMIFS(HIX_RatingAreas8[Silver Enrollments 2019],HIX_RatingAreas8[Area],HIX_SLCSP11[[#This Row],[Area Code]])</f>
        <v>65727</v>
      </c>
      <c r="AP2001" s="59">
        <f>SUMIFS(HIX_RatingAreas8[Silver Enrollments 2020],HIX_RatingAreas8[Area],HIX_SLCSP11[[#This Row],[Area Code]])</f>
        <v>63152</v>
      </c>
      <c r="AQ2001" s="59">
        <f>SUMIFS(HIX_RatingAreas8[Silver Enrollments 2021],HIX_RatingAreas8[Area],HIX_SLCSP11[[#This Row],[Area Code]])</f>
        <v>64070</v>
      </c>
      <c r="AR2001" s="59">
        <f>SUMIFS(HIX_RatingAreas8[Silver Enrollments 2022],HIX_RatingAreas8[Area],HIX_SLCSP11[[#This Row],[Area Code]])</f>
        <v>94783</v>
      </c>
      <c r="AS2001" s="59">
        <f>SUMIFS(HIX_RatingAreas8[Silver Enrollments 2023],HIX_RatingAreas8[Area],HIX_SLCSP11[[#This Row],[Area Code]])</f>
        <v>94783</v>
      </c>
      <c r="AT2001" s="59">
        <v>4133</v>
      </c>
      <c r="AU2001">
        <f t="shared" si="132"/>
        <v>3.1630965437066776E-3</v>
      </c>
      <c r="AV2001">
        <f>SUMIFS(HIX_RatingAreas8[QHP Enrollments 2018],HIX_RatingAreas8[Area],HIX_SLCSP11[[#This Row],[Area Code]])</f>
        <v>105367</v>
      </c>
      <c r="AW2001">
        <f t="shared" si="133"/>
        <v>9.5761977858785916E-2</v>
      </c>
      <c r="AX2001">
        <f>SUMIFS(HIX_RatingAreas8[QHP Enrollments 2019],HIX_RatingAreas8[Area],HIX_SLCSP11[[#This Row],[Area Code]])</f>
        <v>96378</v>
      </c>
      <c r="AY2001">
        <f t="shared" si="134"/>
        <v>8.9916425808546252E-2</v>
      </c>
      <c r="AZ2001">
        <f>SUMIFS(HIX_RatingAreas8[QHP Enrollments 2020],HIX_RatingAreas8[Area],HIX_SLCSP11[[#This Row],[Area Code]])</f>
        <v>96764</v>
      </c>
      <c r="BA2001">
        <f t="shared" si="135"/>
        <v>8.8614967581230081E-2</v>
      </c>
      <c r="BB2001">
        <f>SUMIFS(HIX_RatingAreas8[QHP Enrollments 2021],HIX_RatingAreas8[Area],HIX_SLCSP11[[#This Row],[Area Code]])</f>
        <v>109070</v>
      </c>
      <c r="BC2001">
        <f t="shared" si="136"/>
        <v>8.6456861933773749E-2</v>
      </c>
      <c r="BD2001">
        <f>SUMIFS(HIX_RatingAreas8[QHP Enrollments 2022],HIX_RatingAreas8[Area],HIX_SLCSP11[[#This Row],[Area Code]])</f>
        <v>154460</v>
      </c>
      <c r="BE2001">
        <f t="shared" si="137"/>
        <v>8.6161068651617767E-2</v>
      </c>
      <c r="BF2001">
        <f>SUMIFS(HIX_RatingAreas8[QHP Enrollments 2023],HIX_RatingAreas8[Area],HIX_SLCSP11[[#This Row],[Area Code]])</f>
        <v>154460</v>
      </c>
      <c r="BG2001">
        <f t="shared" si="137"/>
        <v>8.3902788792681995E-2</v>
      </c>
      <c r="BH2001" s="53">
        <f>ROUND(HIX_SLCSP11[[#This Row],[Weighting Factor 2018]]*HIX_SLCSP11[[#This Row],[2018]],2)</f>
        <v>54.3</v>
      </c>
      <c r="BI2001" s="53">
        <f>ROUND(HIX_SLCSP11[[#This Row],[Weighting Factor 2019]]*HIX_SLCSP11[[#This Row],[2019]],2)</f>
        <v>35.31</v>
      </c>
      <c r="BJ2001" s="53">
        <f>ROUND(HIX_SLCSP11[[#This Row],[Weighting Factor 2020]]*HIX_SLCSP11[[#This Row],[2020]],2)</f>
        <v>34.590000000000003</v>
      </c>
      <c r="BK2001" s="53">
        <f>ROUND(HIX_SLCSP11[[#This Row],[Weighting Factor 2021]]*HIX_SLCSP11[[#This Row],[2021]],2)</f>
        <v>28.58</v>
      </c>
      <c r="BL2001" s="53">
        <f>ROUND(HIX_SLCSP11[[#This Row],[Weighting Factor 2022]]*HIX_SLCSP11[[#This Row],[2022]],2)</f>
        <v>35.270000000000003</v>
      </c>
      <c r="BM2001" s="53">
        <f>ROUND(HIX_SLCSP11[[#This Row],[Weighting Factor 2023]]*HIX_SLCSP11[[#This Row],[2023]],2)</f>
        <v>27.3</v>
      </c>
    </row>
    <row r="2002" spans="4:65" x14ac:dyDescent="0.35">
      <c r="D2002" t="s">
        <v>1460</v>
      </c>
      <c r="E2002" t="s">
        <v>595</v>
      </c>
      <c r="F2002" s="23">
        <v>19</v>
      </c>
      <c r="G2002" s="23" t="s">
        <v>1937</v>
      </c>
      <c r="H2002" s="23" t="s">
        <v>2301</v>
      </c>
      <c r="I2002" s="23">
        <v>171</v>
      </c>
      <c r="J2002" s="53">
        <v>255.59</v>
      </c>
      <c r="K2002" s="53">
        <v>305.02</v>
      </c>
      <c r="L2002" s="53">
        <v>519.80999999999995</v>
      </c>
      <c r="M2002" s="54">
        <f t="shared" si="138"/>
        <v>1.7041833322405087</v>
      </c>
      <c r="N2002" s="24">
        <v>86</v>
      </c>
      <c r="O2002" s="55">
        <v>276.17</v>
      </c>
      <c r="P2002" s="56">
        <v>322.49</v>
      </c>
      <c r="Q2002" s="56">
        <v>549.59</v>
      </c>
      <c r="R2002" s="57">
        <f t="shared" si="139"/>
        <v>1.7042078824149587</v>
      </c>
      <c r="S2002" s="23">
        <v>171</v>
      </c>
      <c r="T2002" s="53">
        <v>283.14</v>
      </c>
      <c r="U2002" s="53">
        <v>324.73</v>
      </c>
      <c r="V2002" s="53">
        <v>553.41</v>
      </c>
      <c r="W2002" s="57">
        <f t="shared" si="140"/>
        <v>1.7042158100575862</v>
      </c>
      <c r="X2002" s="47">
        <v>253</v>
      </c>
      <c r="Y2002" s="58">
        <v>267.06</v>
      </c>
      <c r="Z2002" s="58">
        <v>274.58</v>
      </c>
      <c r="AA2002" s="58">
        <v>467.95</v>
      </c>
      <c r="AB2002" s="57">
        <f t="shared" si="141"/>
        <v>1.7042392016898535</v>
      </c>
      <c r="AC2002" s="47">
        <v>266</v>
      </c>
      <c r="AD2002" s="57">
        <v>307.66000000000003</v>
      </c>
      <c r="AE2002" s="57">
        <v>310.98</v>
      </c>
      <c r="AF2002" s="57">
        <v>529.97</v>
      </c>
      <c r="AG2002" s="57">
        <f t="shared" si="142"/>
        <v>1.7041931957039038</v>
      </c>
      <c r="AH2002" s="47">
        <v>98</v>
      </c>
      <c r="AI2002">
        <v>336.2</v>
      </c>
      <c r="AJ2002">
        <v>341.98</v>
      </c>
      <c r="AK2002">
        <v>582.79999999999995</v>
      </c>
      <c r="AL2002" s="57">
        <f t="shared" si="118"/>
        <v>1.7041932276741327</v>
      </c>
      <c r="AM2002" s="59">
        <v>82020</v>
      </c>
      <c r="AN2002" s="59">
        <f>SUMIFS(HIX_RatingAreas8[Silver Enrollments 2018],HIX_RatingAreas8[Area],HIX_SLCSP11[[#This Row],[Area Code]])</f>
        <v>3427</v>
      </c>
      <c r="AO2002" s="59">
        <f>SUMIFS(HIX_RatingAreas8[Silver Enrollments 2019],HIX_RatingAreas8[Area],HIX_SLCSP11[[#This Row],[Area Code]])</f>
        <v>3394</v>
      </c>
      <c r="AP2002" s="59">
        <f>SUMIFS(HIX_RatingAreas8[Silver Enrollments 2020],HIX_RatingAreas8[Area],HIX_SLCSP11[[#This Row],[Area Code]])</f>
        <v>3946</v>
      </c>
      <c r="AQ2002" s="59">
        <f>SUMIFS(HIX_RatingAreas8[Silver Enrollments 2021],HIX_RatingAreas8[Area],HIX_SLCSP11[[#This Row],[Area Code]])</f>
        <v>3322</v>
      </c>
      <c r="AR2002" s="59">
        <f>SUMIFS(HIX_RatingAreas8[Silver Enrollments 2022],HIX_RatingAreas8[Area],HIX_SLCSP11[[#This Row],[Area Code]])</f>
        <v>5043</v>
      </c>
      <c r="AS2002" s="59">
        <f>SUMIFS(HIX_RatingAreas8[Silver Enrollments 2023],HIX_RatingAreas8[Area],HIX_SLCSP11[[#This Row],[Area Code]])</f>
        <v>5043</v>
      </c>
      <c r="AT2002" s="59">
        <v>111787</v>
      </c>
      <c r="AU2002">
        <f t="shared" si="132"/>
        <v>8.5553610774579819E-2</v>
      </c>
      <c r="AV2002">
        <f>SUMIFS(HIX_RatingAreas8[QHP Enrollments 2018],HIX_RatingAreas8[Area],HIX_SLCSP11[[#This Row],[Area Code]])</f>
        <v>6120</v>
      </c>
      <c r="AW2002">
        <f t="shared" si="133"/>
        <v>5.5621143668868793E-3</v>
      </c>
      <c r="AX2002">
        <f>SUMIFS(HIX_RatingAreas8[QHP Enrollments 2019],HIX_RatingAreas8[Area],HIX_SLCSP11[[#This Row],[Area Code]])</f>
        <v>6552</v>
      </c>
      <c r="AY2002">
        <f t="shared" si="134"/>
        <v>6.1127271980907991E-3</v>
      </c>
      <c r="AZ2002">
        <f>SUMIFS(HIX_RatingAreas8[QHP Enrollments 2020],HIX_RatingAreas8[Area],HIX_SLCSP11[[#This Row],[Area Code]])</f>
        <v>7029</v>
      </c>
      <c r="BA2002">
        <f t="shared" si="135"/>
        <v>6.4370489761529726E-3</v>
      </c>
      <c r="BB2002">
        <f>SUMIFS(HIX_RatingAreas8[QHP Enrollments 2021],HIX_RatingAreas8[Area],HIX_SLCSP11[[#This Row],[Area Code]])</f>
        <v>7418</v>
      </c>
      <c r="BC2002">
        <f t="shared" si="136"/>
        <v>5.8800495262192505E-3</v>
      </c>
      <c r="BD2002">
        <f>SUMIFS(HIX_RatingAreas8[QHP Enrollments 2022],HIX_RatingAreas8[Area],HIX_SLCSP11[[#This Row],[Area Code]])</f>
        <v>10093</v>
      </c>
      <c r="BE2002">
        <f t="shared" si="137"/>
        <v>5.6300897701720715E-3</v>
      </c>
      <c r="BF2002">
        <f>SUMIFS(HIX_RatingAreas8[QHP Enrollments 2023],HIX_RatingAreas8[Area],HIX_SLCSP11[[#This Row],[Area Code]])</f>
        <v>10093</v>
      </c>
      <c r="BG2002">
        <f t="shared" si="137"/>
        <v>5.4825252316751229E-3</v>
      </c>
      <c r="BH2002" s="53">
        <f>ROUND(HIX_SLCSP11[[#This Row],[Weighting Factor 2018]]*HIX_SLCSP11[[#This Row],[2018]],2)</f>
        <v>1.7</v>
      </c>
      <c r="BI2002" s="53">
        <f>ROUND(HIX_SLCSP11[[#This Row],[Weighting Factor 2019]]*HIX_SLCSP11[[#This Row],[2019]],2)</f>
        <v>1.97</v>
      </c>
      <c r="BJ2002" s="53">
        <f>ROUND(HIX_SLCSP11[[#This Row],[Weighting Factor 2020]]*HIX_SLCSP11[[#This Row],[2020]],2)</f>
        <v>2.09</v>
      </c>
      <c r="BK2002" s="53">
        <f>ROUND(HIX_SLCSP11[[#This Row],[Weighting Factor 2021]]*HIX_SLCSP11[[#This Row],[2021]],2)</f>
        <v>1.61</v>
      </c>
      <c r="BL2002" s="53">
        <f>ROUND(HIX_SLCSP11[[#This Row],[Weighting Factor 2022]]*HIX_SLCSP11[[#This Row],[2022]],2)</f>
        <v>1.75</v>
      </c>
      <c r="BM2002" s="53">
        <f>ROUND(HIX_SLCSP11[[#This Row],[Weighting Factor 2023]]*HIX_SLCSP11[[#This Row],[2023]],2)</f>
        <v>1.87</v>
      </c>
    </row>
    <row r="2003" spans="4:65" x14ac:dyDescent="0.35">
      <c r="D2003" t="s">
        <v>1460</v>
      </c>
      <c r="E2003" t="s">
        <v>599</v>
      </c>
      <c r="F2003" s="23">
        <v>20</v>
      </c>
      <c r="G2003" s="23" t="s">
        <v>1937</v>
      </c>
      <c r="H2003" s="23" t="s">
        <v>2308</v>
      </c>
      <c r="I2003" s="23">
        <v>10</v>
      </c>
      <c r="J2003" s="53">
        <v>452</v>
      </c>
      <c r="K2003" s="53">
        <v>529.51</v>
      </c>
      <c r="L2003" s="53">
        <v>902.38</v>
      </c>
      <c r="M2003" s="54">
        <f t="shared" si="138"/>
        <v>1.7041793356121697</v>
      </c>
      <c r="N2003" s="24">
        <v>10</v>
      </c>
      <c r="O2003" s="55">
        <v>370.47</v>
      </c>
      <c r="P2003" s="56">
        <v>387.37</v>
      </c>
      <c r="Q2003" s="56">
        <v>660.16</v>
      </c>
      <c r="R2003" s="57">
        <f t="shared" si="139"/>
        <v>1.7042104447943824</v>
      </c>
      <c r="S2003" s="23">
        <v>10</v>
      </c>
      <c r="T2003" s="53">
        <v>368.27</v>
      </c>
      <c r="U2003" s="53">
        <v>385.39</v>
      </c>
      <c r="V2003" s="53">
        <v>656.79</v>
      </c>
      <c r="W2003" s="57">
        <f t="shared" si="140"/>
        <v>1.7042216975012325</v>
      </c>
      <c r="X2003" s="47">
        <v>106</v>
      </c>
      <c r="Y2003" s="58">
        <v>317.75</v>
      </c>
      <c r="Z2003" s="58">
        <v>326.7</v>
      </c>
      <c r="AA2003" s="58">
        <v>556.76</v>
      </c>
      <c r="AB2003" s="57">
        <f t="shared" si="141"/>
        <v>1.7041934496479951</v>
      </c>
      <c r="AC2003" s="47">
        <v>119</v>
      </c>
      <c r="AD2003" s="57">
        <v>358.66</v>
      </c>
      <c r="AE2003" s="57">
        <v>376.46</v>
      </c>
      <c r="AF2003" s="57">
        <v>641.54999999999995</v>
      </c>
      <c r="AG2003" s="57">
        <f t="shared" si="142"/>
        <v>1.7041651171439196</v>
      </c>
      <c r="AH2003" s="47">
        <v>86</v>
      </c>
      <c r="AI2003">
        <v>349.82</v>
      </c>
      <c r="AJ2003">
        <v>355.83</v>
      </c>
      <c r="AK2003">
        <v>606.41</v>
      </c>
      <c r="AL2003" s="57">
        <f t="shared" si="118"/>
        <v>1.7042126858331226</v>
      </c>
      <c r="AM2003" s="59">
        <v>2910</v>
      </c>
      <c r="AN2003" s="59">
        <f>SUMIFS(HIX_RatingAreas8[Silver Enrollments 2018],HIX_RatingAreas8[Area],HIX_SLCSP11[[#This Row],[Area Code]])</f>
        <v>5307</v>
      </c>
      <c r="AO2003" s="59">
        <f>SUMIFS(HIX_RatingAreas8[Silver Enrollments 2019],HIX_RatingAreas8[Area],HIX_SLCSP11[[#This Row],[Area Code]])</f>
        <v>4852</v>
      </c>
      <c r="AP2003" s="59">
        <f>SUMIFS(HIX_RatingAreas8[Silver Enrollments 2020],HIX_RatingAreas8[Area],HIX_SLCSP11[[#This Row],[Area Code]])</f>
        <v>5223</v>
      </c>
      <c r="AQ2003" s="59">
        <f>SUMIFS(HIX_RatingAreas8[Silver Enrollments 2021],HIX_RatingAreas8[Area],HIX_SLCSP11[[#This Row],[Area Code]])</f>
        <v>5936</v>
      </c>
      <c r="AR2003" s="59">
        <f>SUMIFS(HIX_RatingAreas8[Silver Enrollments 2022],HIX_RatingAreas8[Area],HIX_SLCSP11[[#This Row],[Area Code]])</f>
        <v>9743</v>
      </c>
      <c r="AS2003" s="59">
        <f>SUMIFS(HIX_RatingAreas8[Silver Enrollments 2023],HIX_RatingAreas8[Area],HIX_SLCSP11[[#This Row],[Area Code]])</f>
        <v>9743</v>
      </c>
      <c r="AT2003" s="59">
        <v>4366</v>
      </c>
      <c r="AU2003">
        <f t="shared" si="132"/>
        <v>3.3414177376780438E-3</v>
      </c>
      <c r="AV2003">
        <f>SUMIFS(HIX_RatingAreas8[QHP Enrollments 2018],HIX_RatingAreas8[Area],HIX_SLCSP11[[#This Row],[Area Code]])</f>
        <v>9031</v>
      </c>
      <c r="AW2003">
        <f t="shared" si="133"/>
        <v>8.2077540600253938E-3</v>
      </c>
      <c r="AX2003">
        <f>SUMIFS(HIX_RatingAreas8[QHP Enrollments 2019],HIX_RatingAreas8[Area],HIX_SLCSP11[[#This Row],[Area Code]])</f>
        <v>9301</v>
      </c>
      <c r="AY2003">
        <f t="shared" si="134"/>
        <v>8.6774230264716912E-3</v>
      </c>
      <c r="AZ2003">
        <f>SUMIFS(HIX_RatingAreas8[QHP Enrollments 2020],HIX_RatingAreas8[Area],HIX_SLCSP11[[#This Row],[Area Code]])</f>
        <v>9529</v>
      </c>
      <c r="BA2003">
        <f t="shared" si="135"/>
        <v>8.7265101285761391E-3</v>
      </c>
      <c r="BB2003">
        <f>SUMIFS(HIX_RatingAreas8[QHP Enrollments 2021],HIX_RatingAreas8[Area],HIX_SLCSP11[[#This Row],[Area Code]])</f>
        <v>11125</v>
      </c>
      <c r="BC2003">
        <f t="shared" si="136"/>
        <v>8.8184889430020438E-3</v>
      </c>
      <c r="BD2003">
        <f>SUMIFS(HIX_RatingAreas8[QHP Enrollments 2022],HIX_RatingAreas8[Area],HIX_SLCSP11[[#This Row],[Area Code]])</f>
        <v>15685</v>
      </c>
      <c r="BE2003">
        <f t="shared" si="137"/>
        <v>8.7494261413998756E-3</v>
      </c>
      <c r="BF2003">
        <f>SUMIFS(HIX_RatingAreas8[QHP Enrollments 2023],HIX_RatingAreas8[Area],HIX_SLCSP11[[#This Row],[Area Code]])</f>
        <v>15685</v>
      </c>
      <c r="BG2003">
        <f t="shared" si="137"/>
        <v>8.5201038599845725E-3</v>
      </c>
      <c r="BH2003" s="53">
        <f>ROUND(HIX_SLCSP11[[#This Row],[Weighting Factor 2018]]*HIX_SLCSP11[[#This Row],[2018]],2)</f>
        <v>4.3499999999999996</v>
      </c>
      <c r="BI2003" s="53">
        <f>ROUND(HIX_SLCSP11[[#This Row],[Weighting Factor 2019]]*HIX_SLCSP11[[#This Row],[2019]],2)</f>
        <v>3.36</v>
      </c>
      <c r="BJ2003" s="53">
        <f>ROUND(HIX_SLCSP11[[#This Row],[Weighting Factor 2020]]*HIX_SLCSP11[[#This Row],[2020]],2)</f>
        <v>3.36</v>
      </c>
      <c r="BK2003" s="53">
        <f>ROUND(HIX_SLCSP11[[#This Row],[Weighting Factor 2021]]*HIX_SLCSP11[[#This Row],[2021]],2)</f>
        <v>2.88</v>
      </c>
      <c r="BL2003" s="53">
        <f>ROUND(HIX_SLCSP11[[#This Row],[Weighting Factor 2022]]*HIX_SLCSP11[[#This Row],[2022]],2)</f>
        <v>3.29</v>
      </c>
      <c r="BM2003" s="53">
        <f>ROUND(HIX_SLCSP11[[#This Row],[Weighting Factor 2023]]*HIX_SLCSP11[[#This Row],[2023]],2)</f>
        <v>3.03</v>
      </c>
    </row>
    <row r="2004" spans="4:65" x14ac:dyDescent="0.35">
      <c r="D2004" t="s">
        <v>1460</v>
      </c>
      <c r="E2004" t="s">
        <v>603</v>
      </c>
      <c r="F2004" s="23">
        <v>21</v>
      </c>
      <c r="G2004" s="23" t="s">
        <v>1937</v>
      </c>
      <c r="H2004" s="23" t="s">
        <v>2328</v>
      </c>
      <c r="I2004" s="23">
        <v>18</v>
      </c>
      <c r="J2004" s="53">
        <v>374.84</v>
      </c>
      <c r="K2004" s="53">
        <v>421.12</v>
      </c>
      <c r="L2004" s="53">
        <v>717.68</v>
      </c>
      <c r="M2004" s="54">
        <f t="shared" si="138"/>
        <v>1.7042173252279633</v>
      </c>
      <c r="N2004" s="24">
        <v>18</v>
      </c>
      <c r="O2004" s="55">
        <v>344.8</v>
      </c>
      <c r="P2004" s="56">
        <v>361</v>
      </c>
      <c r="Q2004" s="56">
        <v>615.22</v>
      </c>
      <c r="R2004" s="57">
        <f t="shared" si="139"/>
        <v>1.7042105263157896</v>
      </c>
      <c r="S2004" s="23">
        <v>18</v>
      </c>
      <c r="T2004" s="53">
        <v>359.44</v>
      </c>
      <c r="U2004" s="53">
        <v>378.38</v>
      </c>
      <c r="V2004" s="53">
        <v>644.83000000000004</v>
      </c>
      <c r="W2004" s="57">
        <f t="shared" si="140"/>
        <v>1.7041862677731383</v>
      </c>
      <c r="X2004" s="47">
        <v>22</v>
      </c>
      <c r="Y2004" s="58">
        <v>391.6</v>
      </c>
      <c r="Z2004" s="58">
        <v>415.16</v>
      </c>
      <c r="AA2004" s="58">
        <v>707.52</v>
      </c>
      <c r="AB2004" s="57">
        <f t="shared" si="141"/>
        <v>1.7042104248964254</v>
      </c>
      <c r="AC2004" s="47">
        <v>31</v>
      </c>
      <c r="AD2004" s="57">
        <v>397.78</v>
      </c>
      <c r="AE2004" s="57">
        <v>397.78</v>
      </c>
      <c r="AF2004" s="57">
        <v>677.9</v>
      </c>
      <c r="AG2004" s="57">
        <f t="shared" si="142"/>
        <v>1.7042083563778974</v>
      </c>
      <c r="AH2004" s="47">
        <v>86</v>
      </c>
      <c r="AI2004">
        <v>324.17</v>
      </c>
      <c r="AJ2004">
        <v>329.74</v>
      </c>
      <c r="AK2004">
        <v>561.94000000000005</v>
      </c>
      <c r="AL2004" s="57">
        <f t="shared" si="118"/>
        <v>1.7041911809304302</v>
      </c>
      <c r="AM2004" s="59">
        <v>1852</v>
      </c>
      <c r="AN2004" s="59">
        <f>SUMIFS(HIX_RatingAreas8[Silver Enrollments 2018],HIX_RatingAreas8[Area],HIX_SLCSP11[[#This Row],[Area Code]])</f>
        <v>10919</v>
      </c>
      <c r="AO2004" s="59">
        <f>SUMIFS(HIX_RatingAreas8[Silver Enrollments 2019],HIX_RatingAreas8[Area],HIX_SLCSP11[[#This Row],[Area Code]])</f>
        <v>9709</v>
      </c>
      <c r="AP2004" s="59">
        <f>SUMIFS(HIX_RatingAreas8[Silver Enrollments 2020],HIX_RatingAreas8[Area],HIX_SLCSP11[[#This Row],[Area Code]])</f>
        <v>9768</v>
      </c>
      <c r="AQ2004" s="59">
        <f>SUMIFS(HIX_RatingAreas8[Silver Enrollments 2021],HIX_RatingAreas8[Area],HIX_SLCSP11[[#This Row],[Area Code]])</f>
        <v>10621</v>
      </c>
      <c r="AR2004" s="59">
        <f>SUMIFS(HIX_RatingAreas8[Silver Enrollments 2022],HIX_RatingAreas8[Area],HIX_SLCSP11[[#This Row],[Area Code]])</f>
        <v>17363</v>
      </c>
      <c r="AS2004" s="59">
        <f>SUMIFS(HIX_RatingAreas8[Silver Enrollments 2023],HIX_RatingAreas8[Area],HIX_SLCSP11[[#This Row],[Area Code]])</f>
        <v>17363</v>
      </c>
      <c r="AT2004" s="59">
        <v>2834</v>
      </c>
      <c r="AU2004">
        <f t="shared" si="132"/>
        <v>2.1689367541409929E-3</v>
      </c>
      <c r="AV2004">
        <f>SUMIFS(HIX_RatingAreas8[QHP Enrollments 2018],HIX_RatingAreas8[Area],HIX_SLCSP11[[#This Row],[Area Code]])</f>
        <v>20171</v>
      </c>
      <c r="AW2004">
        <f t="shared" si="133"/>
        <v>1.8332256355306411E-2</v>
      </c>
      <c r="AX2004">
        <f>SUMIFS(HIX_RatingAreas8[QHP Enrollments 2019],HIX_RatingAreas8[Area],HIX_SLCSP11[[#This Row],[Area Code]])</f>
        <v>19988</v>
      </c>
      <c r="AY2004">
        <f t="shared" si="134"/>
        <v>1.8647922960231822E-2</v>
      </c>
      <c r="AZ2004">
        <f>SUMIFS(HIX_RatingAreas8[QHP Enrollments 2020],HIX_RatingAreas8[Area],HIX_SLCSP11[[#This Row],[Area Code]])</f>
        <v>19788</v>
      </c>
      <c r="BA2004">
        <f t="shared" si="135"/>
        <v>1.812154291365984E-2</v>
      </c>
      <c r="BB2004">
        <f>SUMIFS(HIX_RatingAreas8[QHP Enrollments 2021],HIX_RatingAreas8[Area],HIX_SLCSP11[[#This Row],[Area Code]])</f>
        <v>21218</v>
      </c>
      <c r="BC2004">
        <f t="shared" si="136"/>
        <v>1.6818939181358863E-2</v>
      </c>
      <c r="BD2004">
        <f>SUMIFS(HIX_RatingAreas8[QHP Enrollments 2022],HIX_RatingAreas8[Area],HIX_SLCSP11[[#This Row],[Area Code]])</f>
        <v>29760</v>
      </c>
      <c r="BE2004">
        <f t="shared" si="137"/>
        <v>1.6600760087220928E-2</v>
      </c>
      <c r="BF2004">
        <f>SUMIFS(HIX_RatingAreas8[QHP Enrollments 2023],HIX_RatingAreas8[Area],HIX_SLCSP11[[#This Row],[Area Code]])</f>
        <v>29760</v>
      </c>
      <c r="BG2004">
        <f t="shared" si="137"/>
        <v>1.6165654502591068E-2</v>
      </c>
      <c r="BH2004" s="53">
        <f>ROUND(HIX_SLCSP11[[#This Row],[Weighting Factor 2018]]*HIX_SLCSP11[[#This Row],[2018]],2)</f>
        <v>7.72</v>
      </c>
      <c r="BI2004" s="53">
        <f>ROUND(HIX_SLCSP11[[#This Row],[Weighting Factor 2019]]*HIX_SLCSP11[[#This Row],[2019]],2)</f>
        <v>6.73</v>
      </c>
      <c r="BJ2004" s="53">
        <f>ROUND(HIX_SLCSP11[[#This Row],[Weighting Factor 2020]]*HIX_SLCSP11[[#This Row],[2020]],2)</f>
        <v>6.86</v>
      </c>
      <c r="BK2004" s="53">
        <f>ROUND(HIX_SLCSP11[[#This Row],[Weighting Factor 2021]]*HIX_SLCSP11[[#This Row],[2021]],2)</f>
        <v>6.98</v>
      </c>
      <c r="BL2004" s="53">
        <f>ROUND(HIX_SLCSP11[[#This Row],[Weighting Factor 2022]]*HIX_SLCSP11[[#This Row],[2022]],2)</f>
        <v>6.6</v>
      </c>
      <c r="BM2004" s="53">
        <f>ROUND(HIX_SLCSP11[[#This Row],[Weighting Factor 2023]]*HIX_SLCSP11[[#This Row],[2023]],2)</f>
        <v>5.33</v>
      </c>
    </row>
    <row r="2005" spans="4:65" x14ac:dyDescent="0.35">
      <c r="D2005" t="s">
        <v>1460</v>
      </c>
      <c r="E2005" t="s">
        <v>607</v>
      </c>
      <c r="F2005" s="23">
        <v>22</v>
      </c>
      <c r="G2005" s="23" t="s">
        <v>1937</v>
      </c>
      <c r="H2005" s="23" t="s">
        <v>2340</v>
      </c>
      <c r="I2005" s="23">
        <v>18</v>
      </c>
      <c r="J2005" s="53">
        <v>427.62</v>
      </c>
      <c r="K2005" s="53">
        <v>456.8</v>
      </c>
      <c r="L2005" s="53">
        <v>778.48</v>
      </c>
      <c r="M2005" s="54">
        <f t="shared" si="138"/>
        <v>1.7042031523642731</v>
      </c>
      <c r="N2005" s="24">
        <v>18</v>
      </c>
      <c r="O2005" s="55">
        <v>336.59</v>
      </c>
      <c r="P2005" s="56">
        <v>358.5</v>
      </c>
      <c r="Q2005" s="56">
        <v>610.95000000000005</v>
      </c>
      <c r="R2005" s="57">
        <f t="shared" si="139"/>
        <v>1.7041841004184102</v>
      </c>
      <c r="S2005" s="23">
        <v>18</v>
      </c>
      <c r="T2005" s="53">
        <v>321.32</v>
      </c>
      <c r="U2005" s="53">
        <v>348.71</v>
      </c>
      <c r="V2005" s="53">
        <v>594.28</v>
      </c>
      <c r="W2005" s="57">
        <f t="shared" si="140"/>
        <v>1.7042241404032004</v>
      </c>
      <c r="X2005" s="47">
        <v>122</v>
      </c>
      <c r="Y2005" s="58">
        <v>273.81</v>
      </c>
      <c r="Z2005" s="58">
        <v>281.52999999999997</v>
      </c>
      <c r="AA2005" s="58">
        <v>479.78</v>
      </c>
      <c r="AB2005" s="57">
        <f t="shared" si="141"/>
        <v>1.7041878307817995</v>
      </c>
      <c r="AC2005" s="47">
        <v>124</v>
      </c>
      <c r="AD2005" s="57">
        <v>331.91</v>
      </c>
      <c r="AE2005" s="57">
        <v>348.38</v>
      </c>
      <c r="AF2005" s="57">
        <v>593.71</v>
      </c>
      <c r="AG2005" s="57">
        <f t="shared" si="142"/>
        <v>1.7042023078247892</v>
      </c>
      <c r="AH2005" s="47">
        <v>86</v>
      </c>
      <c r="AI2005">
        <v>346.05</v>
      </c>
      <c r="AJ2005">
        <v>352</v>
      </c>
      <c r="AK2005">
        <v>599.88</v>
      </c>
      <c r="AL2005" s="57">
        <f t="shared" si="118"/>
        <v>1.7042045454545454</v>
      </c>
      <c r="AM2005" s="59">
        <v>6261</v>
      </c>
      <c r="AN2005" s="59">
        <f>SUMIFS(HIX_RatingAreas8[Silver Enrollments 2018],HIX_RatingAreas8[Area],HIX_SLCSP11[[#This Row],[Area Code]])</f>
        <v>3157</v>
      </c>
      <c r="AO2005" s="59">
        <f>SUMIFS(HIX_RatingAreas8[Silver Enrollments 2019],HIX_RatingAreas8[Area],HIX_SLCSP11[[#This Row],[Area Code]])</f>
        <v>2922</v>
      </c>
      <c r="AP2005" s="59">
        <f>SUMIFS(HIX_RatingAreas8[Silver Enrollments 2020],HIX_RatingAreas8[Area],HIX_SLCSP11[[#This Row],[Area Code]])</f>
        <v>3200</v>
      </c>
      <c r="AQ2005" s="59">
        <f>SUMIFS(HIX_RatingAreas8[Silver Enrollments 2021],HIX_RatingAreas8[Area],HIX_SLCSP11[[#This Row],[Area Code]])</f>
        <v>3214</v>
      </c>
      <c r="AR2005" s="59">
        <f>SUMIFS(HIX_RatingAreas8[Silver Enrollments 2022],HIX_RatingAreas8[Area],HIX_SLCSP11[[#This Row],[Area Code]])</f>
        <v>4827</v>
      </c>
      <c r="AS2005" s="59">
        <f>SUMIFS(HIX_RatingAreas8[Silver Enrollments 2023],HIX_RatingAreas8[Area],HIX_SLCSP11[[#This Row],[Area Code]])</f>
        <v>4827</v>
      </c>
      <c r="AT2005" s="59">
        <v>9261</v>
      </c>
      <c r="AU2005">
        <f t="shared" si="132"/>
        <v>7.0876934651022362E-3</v>
      </c>
      <c r="AV2005">
        <f>SUMIFS(HIX_RatingAreas8[QHP Enrollments 2018],HIX_RatingAreas8[Area],HIX_SLCSP11[[#This Row],[Area Code]])</f>
        <v>5576</v>
      </c>
      <c r="AW2005">
        <f t="shared" si="133"/>
        <v>5.0677042009413791E-3</v>
      </c>
      <c r="AX2005">
        <f>SUMIFS(HIX_RatingAreas8[QHP Enrollments 2019],HIX_RatingAreas8[Area],HIX_SLCSP11[[#This Row],[Area Code]])</f>
        <v>5629</v>
      </c>
      <c r="AY2005">
        <f t="shared" si="134"/>
        <v>5.2516088824867378E-3</v>
      </c>
      <c r="AZ2005">
        <f>SUMIFS(HIX_RatingAreas8[QHP Enrollments 2020],HIX_RatingAreas8[Area],HIX_SLCSP11[[#This Row],[Area Code]])</f>
        <v>5756</v>
      </c>
      <c r="BA2005">
        <f t="shared" si="135"/>
        <v>5.2712553573390965E-3</v>
      </c>
      <c r="BB2005">
        <f>SUMIFS(HIX_RatingAreas8[QHP Enrollments 2021],HIX_RatingAreas8[Area],HIX_SLCSP11[[#This Row],[Area Code]])</f>
        <v>6247</v>
      </c>
      <c r="BC2005">
        <f t="shared" si="136"/>
        <v>4.9518292518592145E-3</v>
      </c>
      <c r="BD2005">
        <f>SUMIFS(HIX_RatingAreas8[QHP Enrollments 2022],HIX_RatingAreas8[Area],HIX_SLCSP11[[#This Row],[Area Code]])</f>
        <v>8364</v>
      </c>
      <c r="BE2005">
        <f t="shared" si="137"/>
        <v>4.6656168470939462E-3</v>
      </c>
      <c r="BF2005">
        <f>SUMIFS(HIX_RatingAreas8[QHP Enrollments 2023],HIX_RatingAreas8[Area],HIX_SLCSP11[[#This Row],[Area Code]])</f>
        <v>8364</v>
      </c>
      <c r="BG2005">
        <f t="shared" si="137"/>
        <v>4.5433311243169251E-3</v>
      </c>
      <c r="BH2005" s="53">
        <f>ROUND(HIX_SLCSP11[[#This Row],[Weighting Factor 2018]]*HIX_SLCSP11[[#This Row],[2018]],2)</f>
        <v>2.31</v>
      </c>
      <c r="BI2005" s="53">
        <f>ROUND(HIX_SLCSP11[[#This Row],[Weighting Factor 2019]]*HIX_SLCSP11[[#This Row],[2019]],2)</f>
        <v>1.88</v>
      </c>
      <c r="BJ2005" s="53">
        <f>ROUND(HIX_SLCSP11[[#This Row],[Weighting Factor 2020]]*HIX_SLCSP11[[#This Row],[2020]],2)</f>
        <v>1.84</v>
      </c>
      <c r="BK2005" s="53">
        <f>ROUND(HIX_SLCSP11[[#This Row],[Weighting Factor 2021]]*HIX_SLCSP11[[#This Row],[2021]],2)</f>
        <v>1.39</v>
      </c>
      <c r="BL2005" s="53">
        <f>ROUND(HIX_SLCSP11[[#This Row],[Weighting Factor 2022]]*HIX_SLCSP11[[#This Row],[2022]],2)</f>
        <v>1.63</v>
      </c>
      <c r="BM2005" s="53">
        <f>ROUND(HIX_SLCSP11[[#This Row],[Weighting Factor 2023]]*HIX_SLCSP11[[#This Row],[2023]],2)</f>
        <v>1.6</v>
      </c>
    </row>
    <row r="2006" spans="4:65" x14ac:dyDescent="0.35">
      <c r="D2006" t="s">
        <v>1460</v>
      </c>
      <c r="E2006" t="s">
        <v>611</v>
      </c>
      <c r="F2006" s="23">
        <v>23</v>
      </c>
      <c r="G2006" s="23" t="s">
        <v>1937</v>
      </c>
      <c r="H2006" s="23" t="s">
        <v>2354</v>
      </c>
      <c r="I2006" s="23">
        <v>10</v>
      </c>
      <c r="J2006" s="53">
        <v>321.81</v>
      </c>
      <c r="K2006" s="53">
        <v>491.45</v>
      </c>
      <c r="L2006" s="53">
        <v>837.53</v>
      </c>
      <c r="M2006" s="54">
        <f t="shared" si="138"/>
        <v>1.704201851663445</v>
      </c>
      <c r="N2006" s="24">
        <v>10</v>
      </c>
      <c r="O2006" s="55">
        <v>354.82</v>
      </c>
      <c r="P2006" s="56">
        <v>371.36</v>
      </c>
      <c r="Q2006" s="56">
        <v>632.87</v>
      </c>
      <c r="R2006" s="57">
        <f t="shared" si="139"/>
        <v>1.7041953899181388</v>
      </c>
      <c r="S2006" s="23">
        <v>10</v>
      </c>
      <c r="T2006" s="53">
        <v>362.91</v>
      </c>
      <c r="U2006" s="53">
        <v>378.55</v>
      </c>
      <c r="V2006" s="53">
        <v>645.12</v>
      </c>
      <c r="W2006" s="57">
        <f t="shared" si="140"/>
        <v>1.7041870294544974</v>
      </c>
      <c r="X2006" s="47">
        <v>106</v>
      </c>
      <c r="Y2006" s="58">
        <v>312.88</v>
      </c>
      <c r="Z2006" s="58">
        <v>321.69</v>
      </c>
      <c r="AA2006" s="58">
        <v>548.22</v>
      </c>
      <c r="AB2006" s="57">
        <f t="shared" si="141"/>
        <v>1.7041872610276976</v>
      </c>
      <c r="AC2006" s="47">
        <v>112</v>
      </c>
      <c r="AD2006" s="57">
        <v>367.85</v>
      </c>
      <c r="AE2006" s="57">
        <v>386.1</v>
      </c>
      <c r="AF2006" s="57">
        <v>657.99</v>
      </c>
      <c r="AG2006" s="57">
        <f t="shared" si="142"/>
        <v>1.7041958041958041</v>
      </c>
      <c r="AH2006" s="47">
        <v>106</v>
      </c>
      <c r="AI2006">
        <v>316.47000000000003</v>
      </c>
      <c r="AJ2006">
        <v>321.91000000000003</v>
      </c>
      <c r="AK2006">
        <v>548.6</v>
      </c>
      <c r="AL2006" s="57">
        <f t="shared" si="118"/>
        <v>1.7042030381162436</v>
      </c>
      <c r="AM2006" s="59">
        <v>2546</v>
      </c>
      <c r="AN2006" s="59">
        <f>SUMIFS(HIX_RatingAreas8[Silver Enrollments 2018],HIX_RatingAreas8[Area],HIX_SLCSP11[[#This Row],[Area Code]])</f>
        <v>5732</v>
      </c>
      <c r="AO2006" s="59">
        <f>SUMIFS(HIX_RatingAreas8[Silver Enrollments 2019],HIX_RatingAreas8[Area],HIX_SLCSP11[[#This Row],[Area Code]])</f>
        <v>4873</v>
      </c>
      <c r="AP2006" s="59">
        <f>SUMIFS(HIX_RatingAreas8[Silver Enrollments 2020],HIX_RatingAreas8[Area],HIX_SLCSP11[[#This Row],[Area Code]])</f>
        <v>5238</v>
      </c>
      <c r="AQ2006" s="59">
        <f>SUMIFS(HIX_RatingAreas8[Silver Enrollments 2021],HIX_RatingAreas8[Area],HIX_SLCSP11[[#This Row],[Area Code]])</f>
        <v>4882</v>
      </c>
      <c r="AR2006" s="59">
        <f>SUMIFS(HIX_RatingAreas8[Silver Enrollments 2022],HIX_RatingAreas8[Area],HIX_SLCSP11[[#This Row],[Area Code]])</f>
        <v>8394</v>
      </c>
      <c r="AS2006" s="59">
        <f>SUMIFS(HIX_RatingAreas8[Silver Enrollments 2023],HIX_RatingAreas8[Area],HIX_SLCSP11[[#This Row],[Area Code]])</f>
        <v>8394</v>
      </c>
      <c r="AT2006" s="59">
        <v>3951</v>
      </c>
      <c r="AU2006">
        <f t="shared" si="132"/>
        <v>3.0238070273856965E-3</v>
      </c>
      <c r="AV2006">
        <f>SUMIFS(HIX_RatingAreas8[QHP Enrollments 2018],HIX_RatingAreas8[Area],HIX_SLCSP11[[#This Row],[Area Code]])</f>
        <v>8916</v>
      </c>
      <c r="AW2006">
        <f t="shared" si="133"/>
        <v>8.1032372050920606E-3</v>
      </c>
      <c r="AX2006">
        <f>SUMIFS(HIX_RatingAreas8[QHP Enrollments 2019],HIX_RatingAreas8[Area],HIX_SLCSP11[[#This Row],[Area Code]])</f>
        <v>8296</v>
      </c>
      <c r="AY2006">
        <f t="shared" si="134"/>
        <v>7.7398023252993392E-3</v>
      </c>
      <c r="AZ2006">
        <f>SUMIFS(HIX_RatingAreas8[QHP Enrollments 2020],HIX_RatingAreas8[Area],HIX_SLCSP11[[#This Row],[Area Code]])</f>
        <v>8947</v>
      </c>
      <c r="BA2006">
        <f t="shared" si="135"/>
        <v>8.1935235722920257E-3</v>
      </c>
      <c r="BB2006">
        <f>SUMIFS(HIX_RatingAreas8[QHP Enrollments 2021],HIX_RatingAreas8[Area],HIX_SLCSP11[[#This Row],[Area Code]])</f>
        <v>9769</v>
      </c>
      <c r="BC2006">
        <f t="shared" si="136"/>
        <v>7.7436241334100644E-3</v>
      </c>
      <c r="BD2006">
        <f>SUMIFS(HIX_RatingAreas8[QHP Enrollments 2022],HIX_RatingAreas8[Area],HIX_SLCSP11[[#This Row],[Area Code]])</f>
        <v>13936</v>
      </c>
      <c r="BE2006">
        <f t="shared" si="137"/>
        <v>7.7737967935319514E-3</v>
      </c>
      <c r="BF2006">
        <f>SUMIFS(HIX_RatingAreas8[QHP Enrollments 2023],HIX_RatingAreas8[Area],HIX_SLCSP11[[#This Row],[Area Code]])</f>
        <v>13936</v>
      </c>
      <c r="BG2006">
        <f t="shared" si="137"/>
        <v>7.5700457375036667E-3</v>
      </c>
      <c r="BH2006" s="53">
        <f>ROUND(HIX_SLCSP11[[#This Row],[Weighting Factor 2018]]*HIX_SLCSP11[[#This Row],[2018]],2)</f>
        <v>3.98</v>
      </c>
      <c r="BI2006" s="53">
        <f>ROUND(HIX_SLCSP11[[#This Row],[Weighting Factor 2019]]*HIX_SLCSP11[[#This Row],[2019]],2)</f>
        <v>2.87</v>
      </c>
      <c r="BJ2006" s="53">
        <f>ROUND(HIX_SLCSP11[[#This Row],[Weighting Factor 2020]]*HIX_SLCSP11[[#This Row],[2020]],2)</f>
        <v>3.1</v>
      </c>
      <c r="BK2006" s="53">
        <f>ROUND(HIX_SLCSP11[[#This Row],[Weighting Factor 2021]]*HIX_SLCSP11[[#This Row],[2021]],2)</f>
        <v>2.4900000000000002</v>
      </c>
      <c r="BL2006" s="53">
        <f>ROUND(HIX_SLCSP11[[#This Row],[Weighting Factor 2022]]*HIX_SLCSP11[[#This Row],[2022]],2)</f>
        <v>3</v>
      </c>
      <c r="BM2006" s="53">
        <f>ROUND(HIX_SLCSP11[[#This Row],[Weighting Factor 2023]]*HIX_SLCSP11[[#This Row],[2023]],2)</f>
        <v>2.44</v>
      </c>
    </row>
    <row r="2007" spans="4:65" x14ac:dyDescent="0.35">
      <c r="D2007" t="s">
        <v>1460</v>
      </c>
      <c r="E2007" t="s">
        <v>615</v>
      </c>
      <c r="F2007" s="23">
        <v>24</v>
      </c>
      <c r="G2007" s="23" t="s">
        <v>1937</v>
      </c>
      <c r="H2007" s="23" t="s">
        <v>2367</v>
      </c>
      <c r="I2007" s="23">
        <v>78</v>
      </c>
      <c r="J2007" s="53">
        <v>274.58999999999997</v>
      </c>
      <c r="K2007" s="53">
        <v>289.64999999999998</v>
      </c>
      <c r="L2007" s="53">
        <v>493.63</v>
      </c>
      <c r="M2007" s="54">
        <f t="shared" si="138"/>
        <v>1.7042292421888487</v>
      </c>
      <c r="N2007" s="24">
        <v>45</v>
      </c>
      <c r="O2007" s="55">
        <v>306.14</v>
      </c>
      <c r="P2007" s="56">
        <v>311.93</v>
      </c>
      <c r="Q2007" s="56">
        <v>531.59</v>
      </c>
      <c r="R2007" s="57">
        <f t="shared" si="139"/>
        <v>1.7041964543327028</v>
      </c>
      <c r="S2007" s="23">
        <v>78</v>
      </c>
      <c r="T2007" s="53">
        <v>341.85</v>
      </c>
      <c r="U2007" s="53">
        <v>342.25</v>
      </c>
      <c r="V2007" s="53">
        <v>583.26</v>
      </c>
      <c r="W2007" s="57">
        <f t="shared" si="140"/>
        <v>1.7041928414901388</v>
      </c>
      <c r="X2007" s="47">
        <v>130</v>
      </c>
      <c r="Y2007" s="58">
        <v>293.08</v>
      </c>
      <c r="Z2007">
        <v>301.33</v>
      </c>
      <c r="AA2007" s="23">
        <v>513.53</v>
      </c>
      <c r="AB2007" s="57">
        <f t="shared" si="141"/>
        <v>1.704211329771347</v>
      </c>
      <c r="AC2007" s="47">
        <v>112</v>
      </c>
      <c r="AD2007" s="57">
        <v>304.16000000000003</v>
      </c>
      <c r="AE2007" s="57">
        <v>319.25</v>
      </c>
      <c r="AF2007" s="57">
        <v>544.07000000000005</v>
      </c>
      <c r="AG2007" s="57">
        <f t="shared" si="142"/>
        <v>1.7042129992169148</v>
      </c>
      <c r="AH2007" s="47">
        <v>90</v>
      </c>
      <c r="AI2007">
        <v>349.44</v>
      </c>
      <c r="AJ2007">
        <v>355.45</v>
      </c>
      <c r="AK2007">
        <v>605.75</v>
      </c>
      <c r="AL2007" s="57">
        <f t="shared" si="118"/>
        <v>1.7041778027852019</v>
      </c>
      <c r="AM2007" s="59">
        <v>5441</v>
      </c>
      <c r="AN2007" s="59">
        <f>SUMIFS(HIX_RatingAreas8[Silver Enrollments 2018],HIX_RatingAreas8[Area],HIX_SLCSP11[[#This Row],[Area Code]])</f>
        <v>3595</v>
      </c>
      <c r="AO2007" s="59">
        <f>SUMIFS(HIX_RatingAreas8[Silver Enrollments 2019],HIX_RatingAreas8[Area],HIX_SLCSP11[[#This Row],[Area Code]])</f>
        <v>3651</v>
      </c>
      <c r="AP2007" s="59">
        <f>SUMIFS(HIX_RatingAreas8[Silver Enrollments 2020],HIX_RatingAreas8[Area],HIX_SLCSP11[[#This Row],[Area Code]])</f>
        <v>3989</v>
      </c>
      <c r="AQ2007" s="59">
        <f>SUMIFS(HIX_RatingAreas8[Silver Enrollments 2021],HIX_RatingAreas8[Area],HIX_SLCSP11[[#This Row],[Area Code]])</f>
        <v>4948</v>
      </c>
      <c r="AR2007" s="59">
        <f>SUMIFS(HIX_RatingAreas8[Silver Enrollments 2022],HIX_RatingAreas8[Area],HIX_SLCSP11[[#This Row],[Area Code]])</f>
        <v>6956</v>
      </c>
      <c r="AS2007" s="59">
        <f>SUMIFS(HIX_RatingAreas8[Silver Enrollments 2023],HIX_RatingAreas8[Area],HIX_SLCSP11[[#This Row],[Area Code]])</f>
        <v>6956</v>
      </c>
      <c r="AT2007" s="59">
        <v>7858</v>
      </c>
      <c r="AU2007">
        <f t="shared" si="132"/>
        <v>6.0139396662102764E-3</v>
      </c>
      <c r="AV2007">
        <f>SUMIFS(HIX_RatingAreas8[QHP Enrollments 2018],HIX_RatingAreas8[Area],HIX_SLCSP11[[#This Row],[Area Code]])</f>
        <v>6302</v>
      </c>
      <c r="AW2007">
        <f t="shared" si="133"/>
        <v>5.7275236503465873E-3</v>
      </c>
      <c r="AX2007">
        <f>SUMIFS(HIX_RatingAreas8[QHP Enrollments 2019],HIX_RatingAreas8[Area],HIX_SLCSP11[[#This Row],[Area Code]])</f>
        <v>6797</v>
      </c>
      <c r="AY2007">
        <f t="shared" si="134"/>
        <v>6.3413013988741088E-3</v>
      </c>
      <c r="AZ2007">
        <f>SUMIFS(HIX_RatingAreas8[QHP Enrollments 2020],HIX_RatingAreas8[Area],HIX_SLCSP11[[#This Row],[Area Code]])</f>
        <v>7197</v>
      </c>
      <c r="BA2007">
        <f t="shared" si="135"/>
        <v>6.5909007655958092E-3</v>
      </c>
      <c r="BB2007">
        <f>SUMIFS(HIX_RatingAreas8[QHP Enrollments 2021],HIX_RatingAreas8[Area],HIX_SLCSP11[[#This Row],[Area Code]])</f>
        <v>8280</v>
      </c>
      <c r="BC2007">
        <f t="shared" si="136"/>
        <v>6.5633337930837681E-3</v>
      </c>
      <c r="BD2007">
        <f>SUMIFS(HIX_RatingAreas8[QHP Enrollments 2022],HIX_RatingAreas8[Area],HIX_SLCSP11[[#This Row],[Area Code]])</f>
        <v>11246</v>
      </c>
      <c r="BE2007">
        <f t="shared" si="137"/>
        <v>6.2732576593039838E-3</v>
      </c>
      <c r="BF2007">
        <f>SUMIFS(HIX_RatingAreas8[QHP Enrollments 2023],HIX_RatingAreas8[Area],HIX_SLCSP11[[#This Row],[Area Code]])</f>
        <v>11246</v>
      </c>
      <c r="BG2007">
        <f t="shared" si="137"/>
        <v>6.1088357034992996E-3</v>
      </c>
      <c r="BH2007" s="53">
        <f>ROUND(HIX_SLCSP11[[#This Row],[Weighting Factor 2018]]*HIX_SLCSP11[[#This Row],[2018]],2)</f>
        <v>1.66</v>
      </c>
      <c r="BI2007" s="53">
        <f>ROUND(HIX_SLCSP11[[#This Row],[Weighting Factor 2019]]*HIX_SLCSP11[[#This Row],[2019]],2)</f>
        <v>1.98</v>
      </c>
      <c r="BJ2007" s="53">
        <f>ROUND(HIX_SLCSP11[[#This Row],[Weighting Factor 2020]]*HIX_SLCSP11[[#This Row],[2020]],2)</f>
        <v>2.2599999999999998</v>
      </c>
      <c r="BK2007" s="53">
        <f>ROUND(HIX_SLCSP11[[#This Row],[Weighting Factor 2021]]*HIX_SLCSP11[[#This Row],[2021]],2)</f>
        <v>1.98</v>
      </c>
      <c r="BL2007" s="53">
        <f>ROUND(HIX_SLCSP11[[#This Row],[Weighting Factor 2022]]*HIX_SLCSP11[[#This Row],[2022]],2)</f>
        <v>2</v>
      </c>
      <c r="BM2007" s="53">
        <f>ROUND(HIX_SLCSP11[[#This Row],[Weighting Factor 2023]]*HIX_SLCSP11[[#This Row],[2023]],2)</f>
        <v>2.17</v>
      </c>
    </row>
    <row r="2008" spans="4:65" x14ac:dyDescent="0.35">
      <c r="D2008" t="s">
        <v>1460</v>
      </c>
      <c r="E2008" t="s">
        <v>619</v>
      </c>
      <c r="F2008" s="23">
        <v>25</v>
      </c>
      <c r="G2008" s="23" t="s">
        <v>1937</v>
      </c>
      <c r="H2008" s="23" t="s">
        <v>2392</v>
      </c>
      <c r="I2008" s="23">
        <v>10</v>
      </c>
      <c r="J2008" s="53">
        <v>501.92</v>
      </c>
      <c r="K2008" s="53">
        <v>587.97</v>
      </c>
      <c r="L2008" s="53">
        <v>1002.03</v>
      </c>
      <c r="M2008" s="54">
        <f t="shared" si="138"/>
        <v>1.7042196030409713</v>
      </c>
      <c r="N2008" s="24">
        <v>10</v>
      </c>
      <c r="O2008" s="55">
        <v>370.45</v>
      </c>
      <c r="P2008" s="56">
        <v>406.32</v>
      </c>
      <c r="Q2008" s="56">
        <v>692.45</v>
      </c>
      <c r="R2008" s="57">
        <f t="shared" si="139"/>
        <v>1.7041986611537705</v>
      </c>
      <c r="S2008" s="23">
        <v>10</v>
      </c>
      <c r="T2008" s="53">
        <v>398.85</v>
      </c>
      <c r="U2008" s="53">
        <v>415.14</v>
      </c>
      <c r="V2008" s="53">
        <v>707.48</v>
      </c>
      <c r="W2008" s="57">
        <f t="shared" si="140"/>
        <v>1.7041961747844101</v>
      </c>
      <c r="X2008" s="47">
        <v>10</v>
      </c>
      <c r="Y2008" s="58">
        <v>416.63</v>
      </c>
      <c r="Z2008" s="58">
        <v>435</v>
      </c>
      <c r="AA2008" s="58">
        <v>741.33</v>
      </c>
      <c r="AB2008" s="57">
        <f t="shared" si="141"/>
        <v>1.7042068965517243</v>
      </c>
      <c r="AC2008" s="47">
        <v>15</v>
      </c>
      <c r="AD2008" s="57">
        <v>466.77</v>
      </c>
      <c r="AE2008" s="57">
        <v>484.89</v>
      </c>
      <c r="AF2008" s="57">
        <v>826.35</v>
      </c>
      <c r="AG2008" s="57">
        <f t="shared" si="142"/>
        <v>1.7042009527934172</v>
      </c>
      <c r="AH2008" s="47">
        <v>266</v>
      </c>
      <c r="AI2008">
        <v>343.27</v>
      </c>
      <c r="AJ2008">
        <v>349.17</v>
      </c>
      <c r="AK2008">
        <v>595.04999999999995</v>
      </c>
      <c r="AL2008" s="57">
        <f t="shared" si="118"/>
        <v>1.7041842082653147</v>
      </c>
      <c r="AM2008" s="59">
        <v>2417</v>
      </c>
      <c r="AN2008" s="59">
        <f>SUMIFS(HIX_RatingAreas8[Silver Enrollments 2018],HIX_RatingAreas8[Area],HIX_SLCSP11[[#This Row],[Area Code]])</f>
        <v>75729</v>
      </c>
      <c r="AO2008" s="59">
        <f>SUMIFS(HIX_RatingAreas8[Silver Enrollments 2019],HIX_RatingAreas8[Area],HIX_SLCSP11[[#This Row],[Area Code]])</f>
        <v>77000</v>
      </c>
      <c r="AP2008" s="59">
        <f>SUMIFS(HIX_RatingAreas8[Silver Enrollments 2020],HIX_RatingAreas8[Area],HIX_SLCSP11[[#This Row],[Area Code]])</f>
        <v>72835</v>
      </c>
      <c r="AQ2008" s="59">
        <f>SUMIFS(HIX_RatingAreas8[Silver Enrollments 2021],HIX_RatingAreas8[Area],HIX_SLCSP11[[#This Row],[Area Code]])</f>
        <v>71393</v>
      </c>
      <c r="AR2008" s="59">
        <f>SUMIFS(HIX_RatingAreas8[Silver Enrollments 2022],HIX_RatingAreas8[Area],HIX_SLCSP11[[#This Row],[Area Code]])</f>
        <v>102181</v>
      </c>
      <c r="AS2008" s="59">
        <f>SUMIFS(HIX_RatingAreas8[Silver Enrollments 2023],HIX_RatingAreas8[Area],HIX_SLCSP11[[#This Row],[Area Code]])</f>
        <v>102181</v>
      </c>
      <c r="AT2008" s="59">
        <v>3893</v>
      </c>
      <c r="AU2008">
        <f t="shared" si="132"/>
        <v>2.979418060646043E-3</v>
      </c>
      <c r="AV2008">
        <f>SUMIFS(HIX_RatingAreas8[QHP Enrollments 2018],HIX_RatingAreas8[Area],HIX_SLCSP11[[#This Row],[Area Code]])</f>
        <v>119003</v>
      </c>
      <c r="AW2008">
        <f t="shared" si="133"/>
        <v>0.10815495032722865</v>
      </c>
      <c r="AX2008">
        <f>SUMIFS(HIX_RatingAreas8[QHP Enrollments 2019],HIX_RatingAreas8[Area],HIX_SLCSP11[[#This Row],[Area Code]])</f>
        <v>118237</v>
      </c>
      <c r="AY2008">
        <f t="shared" si="134"/>
        <v>0.11030990929802531</v>
      </c>
      <c r="AZ2008">
        <f>SUMIFS(HIX_RatingAreas8[QHP Enrollments 2020],HIX_RatingAreas8[Area],HIX_SLCSP11[[#This Row],[Area Code]])</f>
        <v>122193</v>
      </c>
      <c r="BA2008">
        <f t="shared" si="135"/>
        <v>0.11190245063921755</v>
      </c>
      <c r="BB2008">
        <f>SUMIFS(HIX_RatingAreas8[QHP Enrollments 2021],HIX_RatingAreas8[Area],HIX_SLCSP11[[#This Row],[Area Code]])</f>
        <v>132434</v>
      </c>
      <c r="BC2008">
        <f t="shared" si="136"/>
        <v>0.10497687772382316</v>
      </c>
      <c r="BD2008">
        <f>SUMIFS(HIX_RatingAreas8[QHP Enrollments 2022],HIX_RatingAreas8[Area],HIX_SLCSP11[[#This Row],[Area Code]])</f>
        <v>181228</v>
      </c>
      <c r="BE2008">
        <f t="shared" si="137"/>
        <v>0.10109282759028476</v>
      </c>
      <c r="BF2008">
        <f>SUMIFS(HIX_RatingAreas8[QHP Enrollments 2023],HIX_RatingAreas8[Area],HIX_SLCSP11[[#This Row],[Area Code]])</f>
        <v>181228</v>
      </c>
      <c r="BG2008">
        <f t="shared" si="137"/>
        <v>9.8443186632915791E-2</v>
      </c>
      <c r="BH2008" s="53">
        <f>ROUND(HIX_SLCSP11[[#This Row],[Weighting Factor 2018]]*HIX_SLCSP11[[#This Row],[2018]],2)</f>
        <v>63.59</v>
      </c>
      <c r="BI2008" s="53">
        <f>ROUND(HIX_SLCSP11[[#This Row],[Weighting Factor 2019]]*HIX_SLCSP11[[#This Row],[2019]],2)</f>
        <v>44.82</v>
      </c>
      <c r="BJ2008" s="53">
        <f>ROUND(HIX_SLCSP11[[#This Row],[Weighting Factor 2020]]*HIX_SLCSP11[[#This Row],[2020]],2)</f>
        <v>46.46</v>
      </c>
      <c r="BK2008" s="53">
        <f>ROUND(HIX_SLCSP11[[#This Row],[Weighting Factor 2021]]*HIX_SLCSP11[[#This Row],[2021]],2)</f>
        <v>45.66</v>
      </c>
      <c r="BL2008" s="53">
        <f>ROUND(HIX_SLCSP11[[#This Row],[Weighting Factor 2022]]*HIX_SLCSP11[[#This Row],[2022]],2)</f>
        <v>49.02</v>
      </c>
      <c r="BM2008" s="53">
        <f>ROUND(HIX_SLCSP11[[#This Row],[Weighting Factor 2023]]*HIX_SLCSP11[[#This Row],[2023]],2)</f>
        <v>34.369999999999997</v>
      </c>
    </row>
    <row r="2009" spans="4:65" x14ac:dyDescent="0.35">
      <c r="D2009" t="s">
        <v>1460</v>
      </c>
      <c r="E2009" t="s">
        <v>623</v>
      </c>
      <c r="F2009" s="23">
        <v>26</v>
      </c>
      <c r="G2009" s="23" t="s">
        <v>1937</v>
      </c>
      <c r="H2009" s="23" t="s">
        <v>2411</v>
      </c>
      <c r="I2009" s="23">
        <v>115</v>
      </c>
      <c r="J2009" s="53">
        <v>241.96</v>
      </c>
      <c r="K2009" s="53">
        <v>255.23</v>
      </c>
      <c r="L2009" s="53">
        <v>434.97</v>
      </c>
      <c r="M2009" s="54">
        <f t="shared" si="138"/>
        <v>1.7042275594561769</v>
      </c>
      <c r="N2009" s="24">
        <v>71</v>
      </c>
      <c r="O2009" s="55">
        <v>276.33</v>
      </c>
      <c r="P2009" s="56">
        <v>281.56</v>
      </c>
      <c r="Q2009" s="56">
        <v>479.83</v>
      </c>
      <c r="R2009" s="57">
        <f t="shared" si="139"/>
        <v>1.7041838329308139</v>
      </c>
      <c r="S2009" s="23">
        <v>115</v>
      </c>
      <c r="T2009" s="53">
        <v>308.54000000000002</v>
      </c>
      <c r="U2009" s="53">
        <v>312.08</v>
      </c>
      <c r="V2009" s="53">
        <v>531.85</v>
      </c>
      <c r="W2009" s="57">
        <f t="shared" si="140"/>
        <v>1.7042104588567035</v>
      </c>
      <c r="X2009" s="47">
        <v>186</v>
      </c>
      <c r="Y2009" s="58">
        <v>288.72000000000003</v>
      </c>
      <c r="Z2009" s="58">
        <v>296.85000000000002</v>
      </c>
      <c r="AA2009" s="58">
        <v>505.89</v>
      </c>
      <c r="AB2009" s="57">
        <f t="shared" si="141"/>
        <v>1.7041940373926223</v>
      </c>
      <c r="AC2009" s="47">
        <v>160</v>
      </c>
      <c r="AD2009" s="57">
        <v>356.67</v>
      </c>
      <c r="AE2009" s="57">
        <v>374.37</v>
      </c>
      <c r="AF2009" s="57">
        <v>638</v>
      </c>
      <c r="AG2009" s="57">
        <f t="shared" si="142"/>
        <v>1.7041963832572053</v>
      </c>
      <c r="AH2009" s="47">
        <v>222</v>
      </c>
      <c r="AI2009">
        <v>303.83999999999997</v>
      </c>
      <c r="AJ2009">
        <v>309.06</v>
      </c>
      <c r="AK2009">
        <v>526.69000000000005</v>
      </c>
      <c r="AL2009" s="57">
        <f t="shared" si="118"/>
        <v>1.7041674755710867</v>
      </c>
      <c r="AM2009" s="59">
        <v>79535</v>
      </c>
      <c r="AN2009" s="59">
        <f>SUMIFS(HIX_RatingAreas8[Silver Enrollments 2018],HIX_RatingAreas8[Area],HIX_SLCSP11[[#This Row],[Area Code]])</f>
        <v>43228</v>
      </c>
      <c r="AO2009" s="59">
        <f>SUMIFS(HIX_RatingAreas8[Silver Enrollments 2019],HIX_RatingAreas8[Area],HIX_SLCSP11[[#This Row],[Area Code]])</f>
        <v>42013</v>
      </c>
      <c r="AP2009" s="59">
        <f>SUMIFS(HIX_RatingAreas8[Silver Enrollments 2020],HIX_RatingAreas8[Area],HIX_SLCSP11[[#This Row],[Area Code]])</f>
        <v>43625</v>
      </c>
      <c r="AQ2009" s="59">
        <f>SUMIFS(HIX_RatingAreas8[Silver Enrollments 2021],HIX_RatingAreas8[Area],HIX_SLCSP11[[#This Row],[Area Code]])</f>
        <v>56680</v>
      </c>
      <c r="AR2009" s="59">
        <f>SUMIFS(HIX_RatingAreas8[Silver Enrollments 2022],HIX_RatingAreas8[Area],HIX_SLCSP11[[#This Row],[Area Code]])</f>
        <v>79441</v>
      </c>
      <c r="AS2009" s="59">
        <f>SUMIFS(HIX_RatingAreas8[Silver Enrollments 2023],HIX_RatingAreas8[Area],HIX_SLCSP11[[#This Row],[Area Code]])</f>
        <v>79441</v>
      </c>
      <c r="AT2009" s="59">
        <v>117606</v>
      </c>
      <c r="AU2009">
        <f t="shared" si="132"/>
        <v>9.000704866178745E-2</v>
      </c>
      <c r="AV2009">
        <f>SUMIFS(HIX_RatingAreas8[QHP Enrollments 2018],HIX_RatingAreas8[Area],HIX_SLCSP11[[#This Row],[Area Code]])</f>
        <v>70164</v>
      </c>
      <c r="AW2009">
        <f t="shared" si="133"/>
        <v>6.3768005300367803E-2</v>
      </c>
      <c r="AX2009">
        <f>SUMIFS(HIX_RatingAreas8[QHP Enrollments 2019],HIX_RatingAreas8[Area],HIX_SLCSP11[[#This Row],[Area Code]])</f>
        <v>68406</v>
      </c>
      <c r="AY2009">
        <f t="shared" si="134"/>
        <v>6.3819782770543218E-2</v>
      </c>
      <c r="AZ2009">
        <f>SUMIFS(HIX_RatingAreas8[QHP Enrollments 2020],HIX_RatingAreas8[Area],HIX_SLCSP11[[#This Row],[Area Code]])</f>
        <v>69934</v>
      </c>
      <c r="BA2009">
        <f t="shared" si="135"/>
        <v>6.4044470493424668E-2</v>
      </c>
      <c r="BB2009">
        <f>SUMIFS(HIX_RatingAreas8[QHP Enrollments 2021],HIX_RatingAreas8[Area],HIX_SLCSP11[[#This Row],[Area Code]])</f>
        <v>89943</v>
      </c>
      <c r="BC2009">
        <f t="shared" si="136"/>
        <v>7.129540233711755E-2</v>
      </c>
      <c r="BD2009">
        <f>SUMIFS(HIX_RatingAreas8[QHP Enrollments 2022],HIX_RatingAreas8[Area],HIX_SLCSP11[[#This Row],[Area Code]])</f>
        <v>119690</v>
      </c>
      <c r="BE2009">
        <f t="shared" si="137"/>
        <v>6.6765624154552186E-2</v>
      </c>
      <c r="BF2009">
        <f>SUMIFS(HIX_RatingAreas8[QHP Enrollments 2023],HIX_RatingAreas8[Area],HIX_SLCSP11[[#This Row],[Area Code]])</f>
        <v>119690</v>
      </c>
      <c r="BG2009">
        <f t="shared" si="137"/>
        <v>6.501569850185232E-2</v>
      </c>
      <c r="BH2009" s="53">
        <f>ROUND(HIX_SLCSP11[[#This Row],[Weighting Factor 2018]]*HIX_SLCSP11[[#This Row],[2018]],2)</f>
        <v>16.28</v>
      </c>
      <c r="BI2009" s="53">
        <f>ROUND(HIX_SLCSP11[[#This Row],[Weighting Factor 2019]]*HIX_SLCSP11[[#This Row],[2019]],2)</f>
        <v>17.97</v>
      </c>
      <c r="BJ2009" s="53">
        <f>ROUND(HIX_SLCSP11[[#This Row],[Weighting Factor 2020]]*HIX_SLCSP11[[#This Row],[2020]],2)</f>
        <v>19.989999999999998</v>
      </c>
      <c r="BK2009" s="53">
        <f>ROUND(HIX_SLCSP11[[#This Row],[Weighting Factor 2021]]*HIX_SLCSP11[[#This Row],[2021]],2)</f>
        <v>21.16</v>
      </c>
      <c r="BL2009" s="53">
        <f>ROUND(HIX_SLCSP11[[#This Row],[Weighting Factor 2022]]*HIX_SLCSP11[[#This Row],[2022]],2)</f>
        <v>25</v>
      </c>
      <c r="BM2009" s="53">
        <f>ROUND(HIX_SLCSP11[[#This Row],[Weighting Factor 2023]]*HIX_SLCSP11[[#This Row],[2023]],2)</f>
        <v>20.09</v>
      </c>
    </row>
    <row r="2010" spans="4:65" x14ac:dyDescent="0.35">
      <c r="D2010" t="s">
        <v>1460</v>
      </c>
      <c r="E2010" t="s">
        <v>627</v>
      </c>
      <c r="F2010" s="23">
        <v>27</v>
      </c>
      <c r="G2010" s="23" t="s">
        <v>1937</v>
      </c>
      <c r="H2010" s="23" t="s">
        <v>2427</v>
      </c>
      <c r="I2010" s="23">
        <v>222</v>
      </c>
      <c r="J2010" s="53">
        <v>328.44</v>
      </c>
      <c r="K2010" s="53">
        <v>334.09</v>
      </c>
      <c r="L2010" s="53">
        <v>569.35</v>
      </c>
      <c r="M2010" s="54">
        <f>L2010/K2010</f>
        <v>1.7041815079768927</v>
      </c>
      <c r="N2010" s="24">
        <v>222</v>
      </c>
      <c r="O2010" s="55">
        <v>328.44</v>
      </c>
      <c r="P2010" s="55">
        <v>334.09</v>
      </c>
      <c r="Q2010" s="55">
        <v>569.35</v>
      </c>
      <c r="R2010" s="57">
        <f>Q2010/P2010</f>
        <v>1.7041815079768927</v>
      </c>
      <c r="S2010" s="23">
        <v>222</v>
      </c>
      <c r="T2010" s="53">
        <v>328.44</v>
      </c>
      <c r="U2010" s="53">
        <v>334.09</v>
      </c>
      <c r="V2010" s="53">
        <v>569.35</v>
      </c>
      <c r="W2010" s="57">
        <f>V2010/U2010</f>
        <v>1.7041815079768927</v>
      </c>
      <c r="X2010" s="23">
        <v>222</v>
      </c>
      <c r="Y2010" s="53">
        <v>328.44</v>
      </c>
      <c r="Z2010" s="53">
        <v>334.09</v>
      </c>
      <c r="AA2010" s="53">
        <v>569.35</v>
      </c>
      <c r="AB2010" s="57">
        <f>AA2010/Z2010</f>
        <v>1.7041815079768927</v>
      </c>
      <c r="AC2010" s="23">
        <v>222</v>
      </c>
      <c r="AD2010" s="53">
        <v>328.44</v>
      </c>
      <c r="AE2010" s="53">
        <v>334.09</v>
      </c>
      <c r="AF2010" s="53">
        <v>569.35</v>
      </c>
      <c r="AG2010" s="57">
        <f>AF2010/AE2010</f>
        <v>1.7041815079768927</v>
      </c>
      <c r="AH2010" s="47">
        <v>222</v>
      </c>
      <c r="AI2010">
        <v>328.44</v>
      </c>
      <c r="AJ2010">
        <v>334.09</v>
      </c>
      <c r="AK2010">
        <v>569.35</v>
      </c>
      <c r="AL2010" s="57">
        <f>AK2010/AJ2010</f>
        <v>1.7041815079768927</v>
      </c>
      <c r="AM2010" s="59">
        <v>15761</v>
      </c>
      <c r="AN2010" s="59">
        <f>SUMIFS(HIX_RatingAreas8[Silver Enrollments 2018],HIX_RatingAreas8[Area],HIX_SLCSP11[[#This Row],[Area Code]])</f>
        <v>15761</v>
      </c>
      <c r="AO2010" s="59">
        <f>SUMIFS(HIX_RatingAreas8[Silver Enrollments 2019],HIX_RatingAreas8[Area],HIX_SLCSP11[[#This Row],[Area Code]])</f>
        <v>14183</v>
      </c>
      <c r="AP2010" s="59">
        <f>SUMIFS(HIX_RatingAreas8[Silver Enrollments 2020],HIX_RatingAreas8[Area],HIX_SLCSP11[[#This Row],[Area Code]])</f>
        <v>14302</v>
      </c>
      <c r="AQ2010" s="59">
        <f>SUMIFS(HIX_RatingAreas8[Silver Enrollments 2021],HIX_RatingAreas8[Area],HIX_SLCSP11[[#This Row],[Area Code]])</f>
        <v>17715</v>
      </c>
      <c r="AR2010" s="59">
        <f>SUMIFS(HIX_RatingAreas8[Silver Enrollments 2022],HIX_RatingAreas8[Area],HIX_SLCSP11[[#This Row],[Area Code]])</f>
        <v>29723</v>
      </c>
      <c r="AS2010" s="59">
        <f>SUMIFS(HIX_RatingAreas8[Silver Enrollments 2023],HIX_RatingAreas8[Area],HIX_SLCSP11[[#This Row],[Area Code]])</f>
        <v>29723</v>
      </c>
      <c r="AT2010" s="59">
        <v>26138</v>
      </c>
      <c r="AU2010">
        <f t="shared" si="132"/>
        <v>2.0004117459328608E-2</v>
      </c>
      <c r="AV2010">
        <f>SUMIFS(HIX_RatingAreas8[QHP Enrollments 2018],HIX_RatingAreas8[Area],HIX_SLCSP11[[#This Row],[Area Code]])</f>
        <v>26138</v>
      </c>
      <c r="AW2010">
        <f t="shared" si="133"/>
        <v>2.3755317863021118E-2</v>
      </c>
      <c r="AX2010">
        <f>SUMIFS(HIX_RatingAreas8[QHP Enrollments 2019],HIX_RatingAreas8[Area],HIX_SLCSP11[[#This Row],[Area Code]])</f>
        <v>24061</v>
      </c>
      <c r="AY2010">
        <f>AX2010/AX$1776</f>
        <v>0.14483410382355774</v>
      </c>
      <c r="AZ2010">
        <f>SUMIFS(HIX_RatingAreas8[QHP Enrollments 2020],HIX_RatingAreas8[Area],HIX_SLCSP11[[#This Row],[Area Code]])</f>
        <v>24324</v>
      </c>
      <c r="BA2010">
        <f t="shared" si="135"/>
        <v>2.2275541228616434E-2</v>
      </c>
      <c r="BB2010">
        <f>SUMIFS(HIX_RatingAreas8[QHP Enrollments 2021],HIX_RatingAreas8[Area],HIX_SLCSP11[[#This Row],[Area Code]])</f>
        <v>30411</v>
      </c>
      <c r="BC2010">
        <f t="shared" si="136"/>
        <v>2.4105983572641362E-2</v>
      </c>
      <c r="BD2010">
        <f>SUMIFS(HIX_RatingAreas8[QHP Enrollments 2022],HIX_RatingAreas8[Area],HIX_SLCSP11[[#This Row],[Area Code]])</f>
        <v>48251</v>
      </c>
      <c r="BE2010">
        <f t="shared" si="137"/>
        <v>2.6915432626629605E-2</v>
      </c>
      <c r="BF2010">
        <f>SUMIFS(HIX_RatingAreas8[QHP Enrollments 2023],HIX_RatingAreas8[Area],HIX_SLCSP11[[#This Row],[Area Code]])</f>
        <v>48251</v>
      </c>
      <c r="BG2010">
        <f t="shared" si="137"/>
        <v>2.6209979684291722E-2</v>
      </c>
      <c r="BH2010" s="53">
        <f>ROUND(HIX_SLCSP11[[#This Row],[Weighting Factor 2018]]*HIX_SLCSP11[[#This Row],[2018]],2)</f>
        <v>7.94</v>
      </c>
      <c r="BI2010" s="53">
        <f>ROUND(HIX_SLCSP11[[#This Row],[Weighting Factor 2019]]*HIX_SLCSP11[[#This Row],[2019]],2)</f>
        <v>48.39</v>
      </c>
      <c r="BJ2010" s="53">
        <f>ROUND(HIX_SLCSP11[[#This Row],[Weighting Factor 2020]]*HIX_SLCSP11[[#This Row],[2020]],2)</f>
        <v>7.44</v>
      </c>
      <c r="BK2010" s="53">
        <f>ROUND(HIX_SLCSP11[[#This Row],[Weighting Factor 2021]]*HIX_SLCSP11[[#This Row],[2021]],2)</f>
        <v>8.0500000000000007</v>
      </c>
      <c r="BL2010" s="53">
        <f>ROUND(HIX_SLCSP11[[#This Row],[Weighting Factor 2022]]*HIX_SLCSP11[[#This Row],[2022]],2)</f>
        <v>8.99</v>
      </c>
      <c r="BM2010" s="53">
        <f>ROUND(HIX_SLCSP11[[#This Row],[Weighting Factor 2023]]*HIX_SLCSP11[[#This Row],[2023]],2)</f>
        <v>8.76</v>
      </c>
    </row>
    <row r="2011" spans="4:65" x14ac:dyDescent="0.35">
      <c r="D2011" t="s">
        <v>2432</v>
      </c>
      <c r="E2011" t="s">
        <v>2597</v>
      </c>
      <c r="F2011" s="23"/>
      <c r="G2011" s="23"/>
      <c r="H2011" s="23"/>
      <c r="I2011" s="23"/>
      <c r="J2011" s="53"/>
      <c r="K2011" s="53">
        <f>SUM(BH2012:BH2017)</f>
        <v>419.03999999999996</v>
      </c>
      <c r="L2011" s="53"/>
      <c r="M2011" s="54"/>
      <c r="O2011" s="55"/>
      <c r="P2011" s="56">
        <f>SUM(BI2012:BI2017)</f>
        <v>442.67</v>
      </c>
      <c r="Q2011" s="56"/>
      <c r="R2011" s="57"/>
      <c r="S2011" s="23"/>
      <c r="T2011" s="53"/>
      <c r="U2011" s="53">
        <f>SUM(BJ2012:BJ2017)</f>
        <v>436.50000000000006</v>
      </c>
      <c r="V2011" s="53"/>
      <c r="W2011" s="57"/>
      <c r="X2011" s="47"/>
      <c r="Y2011" s="58"/>
      <c r="Z2011" s="53">
        <f>SUM(BK2012:BK2017)</f>
        <v>435.78</v>
      </c>
      <c r="AA2011" s="58"/>
      <c r="AB2011" s="57"/>
      <c r="AC2011" s="47"/>
      <c r="AD2011" s="57"/>
      <c r="AE2011" s="53">
        <f>SUM(BL2012:BL2017)</f>
        <v>379.71999999999997</v>
      </c>
      <c r="AF2011" s="57"/>
      <c r="AG2011" s="57"/>
      <c r="AH2011" s="47"/>
      <c r="AI2011" s="57"/>
      <c r="AJ2011" s="53">
        <f>SUM(BM2012:BM2017)</f>
        <v>396.98999999999995</v>
      </c>
      <c r="AK2011" s="57"/>
      <c r="AL2011" s="57"/>
      <c r="AM2011" s="59"/>
      <c r="AN2011" s="59">
        <f t="shared" ref="AN2011:AT2011" si="143">SUM(AN2012:AN2017)</f>
        <v>107537</v>
      </c>
      <c r="AO2011" s="59">
        <f t="shared" si="143"/>
        <v>107537</v>
      </c>
      <c r="AP2011" s="59">
        <f t="shared" si="143"/>
        <v>100585</v>
      </c>
      <c r="AQ2011" s="59">
        <f t="shared" si="143"/>
        <v>95775</v>
      </c>
      <c r="AR2011" s="59">
        <f t="shared" si="143"/>
        <v>131124</v>
      </c>
      <c r="AS2011" s="59">
        <f t="shared" si="143"/>
        <v>131124</v>
      </c>
      <c r="AT2011" s="59">
        <f t="shared" si="143"/>
        <v>235794</v>
      </c>
      <c r="AU2011">
        <f>AT2011/AT$2011</f>
        <v>1</v>
      </c>
      <c r="AV2011" s="59">
        <f>SUM(AV2012:AV2017)</f>
        <v>194570</v>
      </c>
      <c r="AW2011">
        <f>AV2011/AV$2011</f>
        <v>1</v>
      </c>
      <c r="AX2011" s="59">
        <f>SUM(AX2012:AX2017)</f>
        <v>194570</v>
      </c>
      <c r="AY2011">
        <f>AX2011/AX$2011</f>
        <v>1</v>
      </c>
      <c r="AZ2011" s="59">
        <f>SUM(AZ2012:AZ2017)</f>
        <v>200261</v>
      </c>
      <c r="BA2011">
        <f>AZ2011/AZ$2011</f>
        <v>1</v>
      </c>
      <c r="BB2011" s="59">
        <f>SUM(BB2012:BB2017)</f>
        <v>207911</v>
      </c>
      <c r="BC2011">
        <f>BB2011/BB$2011</f>
        <v>1</v>
      </c>
      <c r="BD2011" s="59">
        <f>SUM(BD2012:BD2017)</f>
        <v>256932</v>
      </c>
      <c r="BE2011">
        <f>BD2011/BD$2011</f>
        <v>1</v>
      </c>
      <c r="BF2011" s="59">
        <f>SUM(BF2012:BF2017)</f>
        <v>256932</v>
      </c>
      <c r="BG2011">
        <f t="shared" ref="BG2011:BG2017" si="144">BF2011/BF$2011</f>
        <v>1</v>
      </c>
      <c r="BH2011" s="53"/>
      <c r="BI2011" s="53"/>
      <c r="BJ2011" s="53"/>
      <c r="BK2011" s="53"/>
      <c r="BL2011" s="53"/>
      <c r="BM2011" s="53"/>
    </row>
    <row r="2012" spans="4:65" x14ac:dyDescent="0.35">
      <c r="D2012" t="s">
        <v>2432</v>
      </c>
      <c r="E2012" t="s">
        <v>231</v>
      </c>
      <c r="F2012" s="23">
        <v>1</v>
      </c>
      <c r="G2012" s="23" t="s">
        <v>2433</v>
      </c>
      <c r="H2012" s="23" t="s">
        <v>2438</v>
      </c>
      <c r="I2012" s="23">
        <v>25</v>
      </c>
      <c r="J2012" s="53">
        <v>466.17</v>
      </c>
      <c r="K2012" s="53">
        <v>472.5</v>
      </c>
      <c r="L2012" s="53">
        <v>723.03</v>
      </c>
      <c r="M2012" s="54">
        <f t="shared" ref="M2012:M2017" si="145">L2012/K2012</f>
        <v>1.5302222222222222</v>
      </c>
      <c r="N2012" s="24">
        <v>33</v>
      </c>
      <c r="O2012" s="55">
        <v>461.97</v>
      </c>
      <c r="P2012" s="56">
        <v>508.39</v>
      </c>
      <c r="Q2012" s="56">
        <v>777.94</v>
      </c>
      <c r="R2012" s="57">
        <f t="shared" ref="R2012:R2017" si="146">Q2012/P2012</f>
        <v>1.5302031904640141</v>
      </c>
      <c r="S2012" s="23">
        <v>46</v>
      </c>
      <c r="T2012" s="53">
        <v>448.7</v>
      </c>
      <c r="U2012" s="53">
        <v>508.4</v>
      </c>
      <c r="V2012" s="53">
        <v>777.96</v>
      </c>
      <c r="W2012" s="57">
        <f t="shared" ref="W2012:W2017" si="147">V2012/U2012</f>
        <v>1.5302124311565697</v>
      </c>
      <c r="X2012" s="47">
        <v>61</v>
      </c>
      <c r="Y2012" s="58">
        <v>448.84</v>
      </c>
      <c r="Z2012" s="58">
        <v>481.77</v>
      </c>
      <c r="AA2012" s="58">
        <v>737.21</v>
      </c>
      <c r="AB2012" s="57">
        <f t="shared" ref="AB2012:AB2017" si="148">AA2012/Z2012</f>
        <v>1.5302115117172095</v>
      </c>
      <c r="AC2012" s="47">
        <v>100</v>
      </c>
      <c r="AD2012" s="57">
        <v>430.8</v>
      </c>
      <c r="AE2012" s="57">
        <v>431.24</v>
      </c>
      <c r="AF2012" s="57">
        <v>659.89</v>
      </c>
      <c r="AG2012" s="57">
        <f t="shared" ref="AG2012:AG2017" si="149">AF2012/AE2012</f>
        <v>1.5302151933957888</v>
      </c>
      <c r="AH2012" s="47">
        <v>53</v>
      </c>
      <c r="AI2012">
        <v>425.7</v>
      </c>
      <c r="AJ2012">
        <v>490.72</v>
      </c>
      <c r="AK2012">
        <v>750.91</v>
      </c>
      <c r="AL2012" s="57">
        <f t="shared" si="118"/>
        <v>1.5302208999021845</v>
      </c>
      <c r="AM2012" s="59"/>
      <c r="AN2012" s="59">
        <f>SUMIFS(HIX_RatingAreas8[Silver Enrollments 2018],HIX_RatingAreas8[Area],HIX_SLCSP11[[#This Row],[Area Code]])</f>
        <v>4583</v>
      </c>
      <c r="AO2012" s="59">
        <f>SUMIFS(HIX_RatingAreas8[Silver Enrollments 2019],HIX_RatingAreas8[Area],HIX_SLCSP11[[#This Row],[Area Code]])</f>
        <v>4583</v>
      </c>
      <c r="AP2012" s="59">
        <f>SUMIFS(HIX_RatingAreas8[Silver Enrollments 2020],HIX_RatingAreas8[Area],HIX_SLCSP11[[#This Row],[Area Code]])</f>
        <v>4064</v>
      </c>
      <c r="AQ2012" s="59">
        <f>SUMIFS(HIX_RatingAreas8[Silver Enrollments 2021],HIX_RatingAreas8[Area],HIX_SLCSP11[[#This Row],[Area Code]])</f>
        <v>3353</v>
      </c>
      <c r="AR2012" s="59">
        <f>SUMIFS(HIX_RatingAreas8[Silver Enrollments 2022],HIX_RatingAreas8[Area],HIX_SLCSP11[[#This Row],[Area Code]])</f>
        <v>4045</v>
      </c>
      <c r="AS2012" s="59">
        <f>SUMIFS(HIX_RatingAreas8[Silver Enrollments 2023],HIX_RatingAreas8[Area],HIX_SLCSP11[[#This Row],[Area Code]])</f>
        <v>4045</v>
      </c>
      <c r="AT2012" s="59">
        <v>19932</v>
      </c>
      <c r="AU2012">
        <f t="shared" ref="AU2012:AU2017" si="150">AT2012/AT$2011</f>
        <v>8.4531413013053766E-2</v>
      </c>
      <c r="AV2012">
        <f>SUMIFS(HIX_RatingAreas8[QHP Enrollments 2018],HIX_RatingAreas8[Area],HIX_SLCSP11[[#This Row],[Area Code]])</f>
        <v>9035</v>
      </c>
      <c r="AW2012">
        <f t="shared" ref="AW2012:AW2017" si="151">AV2012/AV$2011</f>
        <v>4.6435730071439585E-2</v>
      </c>
      <c r="AX2012">
        <f>SUMIFS(HIX_RatingAreas8[QHP Enrollments 2019],HIX_RatingAreas8[Area],HIX_SLCSP11[[#This Row],[Area Code]])</f>
        <v>9035</v>
      </c>
      <c r="AY2012">
        <f t="shared" ref="AY2012:AY2017" si="152">AX2012/AX$2011</f>
        <v>4.6435730071439585E-2</v>
      </c>
      <c r="AZ2012">
        <f>SUMIFS(HIX_RatingAreas8[QHP Enrollments 2020],HIX_RatingAreas8[Area],HIX_SLCSP11[[#This Row],[Area Code]])</f>
        <v>9405</v>
      </c>
      <c r="BA2012">
        <f t="shared" ref="BA2012:BA2017" si="153">AZ2012/AZ$2011</f>
        <v>4.6963712355376233E-2</v>
      </c>
      <c r="BB2012">
        <f>SUMIFS(HIX_RatingAreas8[QHP Enrollments 2021],HIX_RatingAreas8[Area],HIX_SLCSP11[[#This Row],[Area Code]])</f>
        <v>9306</v>
      </c>
      <c r="BC2012">
        <f t="shared" ref="BC2012:BC2017" si="154">BB2012/BB$2011</f>
        <v>4.4759536532458601E-2</v>
      </c>
      <c r="BD2012">
        <f>SUMIFS(HIX_RatingAreas8[QHP Enrollments 2022],HIX_RatingAreas8[Area],HIX_SLCSP11[[#This Row],[Area Code]])</f>
        <v>10767</v>
      </c>
      <c r="BE2012">
        <f t="shared" ref="BE2012:BE2017" si="155">BD2012/BD$2011</f>
        <v>4.1906029610947644E-2</v>
      </c>
      <c r="BF2012">
        <f>SUMIFS(HIX_RatingAreas8[QHP Enrollments 2023],HIX_RatingAreas8[Area],HIX_SLCSP11[[#This Row],[Area Code]])</f>
        <v>10767</v>
      </c>
      <c r="BG2012">
        <f t="shared" si="144"/>
        <v>4.1906029610947644E-2</v>
      </c>
      <c r="BH2012" s="53">
        <f>ROUND(HIX_SLCSP11[[#This Row],[Weighting Factor 2018]]*HIX_SLCSP11[[#This Row],[2018]],2)</f>
        <v>21.94</v>
      </c>
      <c r="BI2012" s="53">
        <f>ROUND(HIX_SLCSP11[[#This Row],[Weighting Factor 2019]]*HIX_SLCSP11[[#This Row],[2019]],2)</f>
        <v>23.61</v>
      </c>
      <c r="BJ2012" s="53">
        <f>ROUND(HIX_SLCSP11[[#This Row],[Weighting Factor 2020]]*HIX_SLCSP11[[#This Row],[2020]],2)</f>
        <v>23.88</v>
      </c>
      <c r="BK2012" s="53">
        <f>ROUND(HIX_SLCSP11[[#This Row],[Weighting Factor 2021]]*HIX_SLCSP11[[#This Row],[2021]],2)</f>
        <v>21.56</v>
      </c>
      <c r="BL2012" s="53">
        <f>ROUND(HIX_SLCSP11[[#This Row],[Weighting Factor 2022]]*HIX_SLCSP11[[#This Row],[2022]],2)</f>
        <v>18.07</v>
      </c>
      <c r="BM2012" s="53">
        <f>ROUND(HIX_SLCSP11[[#This Row],[Weighting Factor 2023]]*HIX_SLCSP11[[#This Row],[2023]],2)</f>
        <v>20.56</v>
      </c>
    </row>
    <row r="2013" spans="4:65" x14ac:dyDescent="0.35">
      <c r="D2013" t="s">
        <v>2432</v>
      </c>
      <c r="E2013" t="s">
        <v>235</v>
      </c>
      <c r="F2013" s="23">
        <v>2</v>
      </c>
      <c r="G2013" s="23" t="s">
        <v>2433</v>
      </c>
      <c r="H2013" s="23" t="s">
        <v>2436</v>
      </c>
      <c r="I2013" s="23">
        <v>42</v>
      </c>
      <c r="J2013" s="53">
        <v>412.56</v>
      </c>
      <c r="K2013" s="53">
        <v>443.08</v>
      </c>
      <c r="L2013" s="53">
        <v>678.02</v>
      </c>
      <c r="M2013" s="54">
        <f t="shared" si="145"/>
        <v>1.5302428455357948</v>
      </c>
      <c r="N2013" s="24">
        <v>50</v>
      </c>
      <c r="O2013" s="55">
        <v>408.85</v>
      </c>
      <c r="P2013" s="56">
        <v>430.64</v>
      </c>
      <c r="Q2013" s="56">
        <v>658.97</v>
      </c>
      <c r="R2013" s="57">
        <f t="shared" si="146"/>
        <v>1.5302108489689765</v>
      </c>
      <c r="S2013" s="23">
        <v>83</v>
      </c>
      <c r="T2013" s="53">
        <v>397.07</v>
      </c>
      <c r="U2013" s="53">
        <v>430.73</v>
      </c>
      <c r="V2013" s="53">
        <v>659.11</v>
      </c>
      <c r="W2013" s="57">
        <f t="shared" si="147"/>
        <v>1.5302161446846052</v>
      </c>
      <c r="X2013" s="47">
        <v>92</v>
      </c>
      <c r="Y2013" s="58">
        <v>397.23</v>
      </c>
      <c r="Z2013" s="58">
        <v>426.72</v>
      </c>
      <c r="AA2013" s="58">
        <v>652.97</v>
      </c>
      <c r="AB2013" s="57">
        <f t="shared" si="148"/>
        <v>1.5302071616047994</v>
      </c>
      <c r="AC2013" s="47">
        <v>151</v>
      </c>
      <c r="AD2013" s="57">
        <v>366.97</v>
      </c>
      <c r="AE2013" s="57">
        <v>367.34</v>
      </c>
      <c r="AF2013" s="57">
        <v>562.11</v>
      </c>
      <c r="AG2013" s="57">
        <f t="shared" si="149"/>
        <v>1.5302172374367073</v>
      </c>
      <c r="AH2013" s="47">
        <v>132</v>
      </c>
      <c r="AI2013">
        <v>366.73</v>
      </c>
      <c r="AJ2013">
        <v>376.09</v>
      </c>
      <c r="AK2013">
        <v>575.5</v>
      </c>
      <c r="AL2013" s="57">
        <f t="shared" si="118"/>
        <v>1.5302188305990589</v>
      </c>
      <c r="AM2013" s="59"/>
      <c r="AN2013" s="59">
        <f>SUMIFS(HIX_RatingAreas8[Silver Enrollments 2018],HIX_RatingAreas8[Area],HIX_SLCSP11[[#This Row],[Area Code]])</f>
        <v>7940</v>
      </c>
      <c r="AO2013" s="59">
        <f>SUMIFS(HIX_RatingAreas8[Silver Enrollments 2019],HIX_RatingAreas8[Area],HIX_SLCSP11[[#This Row],[Area Code]])</f>
        <v>7940</v>
      </c>
      <c r="AP2013" s="59">
        <f>SUMIFS(HIX_RatingAreas8[Silver Enrollments 2020],HIX_RatingAreas8[Area],HIX_SLCSP11[[#This Row],[Area Code]])</f>
        <v>6931</v>
      </c>
      <c r="AQ2013" s="59">
        <f>SUMIFS(HIX_RatingAreas8[Silver Enrollments 2021],HIX_RatingAreas8[Area],HIX_SLCSP11[[#This Row],[Area Code]])</f>
        <v>6073</v>
      </c>
      <c r="AR2013" s="59">
        <f>SUMIFS(HIX_RatingAreas8[Silver Enrollments 2022],HIX_RatingAreas8[Area],HIX_SLCSP11[[#This Row],[Area Code]])</f>
        <v>8215</v>
      </c>
      <c r="AS2013" s="59">
        <f>SUMIFS(HIX_RatingAreas8[Silver Enrollments 2023],HIX_RatingAreas8[Area],HIX_SLCSP11[[#This Row],[Area Code]])</f>
        <v>8215</v>
      </c>
      <c r="AT2013" s="59">
        <v>49401</v>
      </c>
      <c r="AU2013">
        <f t="shared" si="150"/>
        <v>0.20950914781546603</v>
      </c>
      <c r="AV2013">
        <f>SUMIFS(HIX_RatingAreas8[QHP Enrollments 2018],HIX_RatingAreas8[Area],HIX_SLCSP11[[#This Row],[Area Code]])</f>
        <v>15163</v>
      </c>
      <c r="AW2013">
        <f t="shared" si="151"/>
        <v>7.7930821812201262E-2</v>
      </c>
      <c r="AX2013">
        <f>SUMIFS(HIX_RatingAreas8[QHP Enrollments 2019],HIX_RatingAreas8[Area],HIX_SLCSP11[[#This Row],[Area Code]])</f>
        <v>15163</v>
      </c>
      <c r="AY2013">
        <f t="shared" si="152"/>
        <v>7.7930821812201262E-2</v>
      </c>
      <c r="AZ2013">
        <f>SUMIFS(HIX_RatingAreas8[QHP Enrollments 2020],HIX_RatingAreas8[Area],HIX_SLCSP11[[#This Row],[Area Code]])</f>
        <v>15141</v>
      </c>
      <c r="BA2013">
        <f t="shared" si="153"/>
        <v>7.5606333734476505E-2</v>
      </c>
      <c r="BB2013">
        <f>SUMIFS(HIX_RatingAreas8[QHP Enrollments 2021],HIX_RatingAreas8[Area],HIX_SLCSP11[[#This Row],[Area Code]])</f>
        <v>15376</v>
      </c>
      <c r="BC2013">
        <f t="shared" si="154"/>
        <v>7.395472101043235E-2</v>
      </c>
      <c r="BD2013">
        <f>SUMIFS(HIX_RatingAreas8[QHP Enrollments 2022],HIX_RatingAreas8[Area],HIX_SLCSP11[[#This Row],[Area Code]])</f>
        <v>18381</v>
      </c>
      <c r="BE2013">
        <f t="shared" si="155"/>
        <v>7.1540329737051045E-2</v>
      </c>
      <c r="BF2013">
        <f>SUMIFS(HIX_RatingAreas8[QHP Enrollments 2023],HIX_RatingAreas8[Area],HIX_SLCSP11[[#This Row],[Area Code]])</f>
        <v>18381</v>
      </c>
      <c r="BG2013">
        <f t="shared" si="144"/>
        <v>7.1540329737051045E-2</v>
      </c>
      <c r="BH2013" s="53">
        <f>ROUND(HIX_SLCSP11[[#This Row],[Weighting Factor 2018]]*HIX_SLCSP11[[#This Row],[2018]],2)</f>
        <v>34.53</v>
      </c>
      <c r="BI2013" s="53">
        <f>ROUND(HIX_SLCSP11[[#This Row],[Weighting Factor 2019]]*HIX_SLCSP11[[#This Row],[2019]],2)</f>
        <v>33.56</v>
      </c>
      <c r="BJ2013" s="53">
        <f>ROUND(HIX_SLCSP11[[#This Row],[Weighting Factor 2020]]*HIX_SLCSP11[[#This Row],[2020]],2)</f>
        <v>32.57</v>
      </c>
      <c r="BK2013" s="53">
        <f>ROUND(HIX_SLCSP11[[#This Row],[Weighting Factor 2021]]*HIX_SLCSP11[[#This Row],[2021]],2)</f>
        <v>31.56</v>
      </c>
      <c r="BL2013" s="53">
        <f>ROUND(HIX_SLCSP11[[#This Row],[Weighting Factor 2022]]*HIX_SLCSP11[[#This Row],[2022]],2)</f>
        <v>26.28</v>
      </c>
      <c r="BM2013" s="53">
        <f>ROUND(HIX_SLCSP11[[#This Row],[Weighting Factor 2023]]*HIX_SLCSP11[[#This Row],[2023]],2)</f>
        <v>26.91</v>
      </c>
    </row>
    <row r="2014" spans="4:65" x14ac:dyDescent="0.35">
      <c r="D2014" t="s">
        <v>2432</v>
      </c>
      <c r="E2014" t="s">
        <v>239</v>
      </c>
      <c r="F2014" s="23">
        <v>3</v>
      </c>
      <c r="G2014" s="23" t="s">
        <v>2433</v>
      </c>
      <c r="H2014" s="23" t="s">
        <v>2442</v>
      </c>
      <c r="I2014" s="23">
        <v>47</v>
      </c>
      <c r="J2014" s="53">
        <v>371.29</v>
      </c>
      <c r="K2014" s="53">
        <v>385.57</v>
      </c>
      <c r="L2014" s="53">
        <v>590</v>
      </c>
      <c r="M2014" s="54">
        <f t="shared" si="145"/>
        <v>1.530202038540343</v>
      </c>
      <c r="N2014" s="24">
        <v>50</v>
      </c>
      <c r="O2014" s="55">
        <v>382.1</v>
      </c>
      <c r="P2014" s="56">
        <v>407.77</v>
      </c>
      <c r="Q2014" s="56">
        <v>623.97</v>
      </c>
      <c r="R2014" s="57">
        <f t="shared" si="146"/>
        <v>1.5302008485175469</v>
      </c>
      <c r="S2014" s="23">
        <v>83</v>
      </c>
      <c r="T2014" s="53">
        <v>371.09</v>
      </c>
      <c r="U2014" s="53">
        <v>407.78</v>
      </c>
      <c r="V2014" s="53">
        <v>623.99</v>
      </c>
      <c r="W2014" s="57">
        <f t="shared" si="147"/>
        <v>1.5302123694148806</v>
      </c>
      <c r="X2014" s="47">
        <v>92</v>
      </c>
      <c r="Y2014" s="58">
        <v>371.25</v>
      </c>
      <c r="Z2014" s="58">
        <v>414.14</v>
      </c>
      <c r="AA2014" s="58">
        <v>633.72</v>
      </c>
      <c r="AB2014" s="57">
        <f t="shared" si="148"/>
        <v>1.5302071763171876</v>
      </c>
      <c r="AC2014" s="47">
        <v>159</v>
      </c>
      <c r="AD2014" s="57">
        <v>346.49</v>
      </c>
      <c r="AE2014" s="57">
        <v>346.84</v>
      </c>
      <c r="AF2014" s="57">
        <v>530.74</v>
      </c>
      <c r="AG2014" s="57">
        <f t="shared" si="149"/>
        <v>1.5302156614000693</v>
      </c>
      <c r="AH2014" s="47">
        <v>144</v>
      </c>
      <c r="AI2014">
        <v>349.27</v>
      </c>
      <c r="AJ2014">
        <v>358.18</v>
      </c>
      <c r="AK2014">
        <v>548.1</v>
      </c>
      <c r="AL2014" s="57">
        <f t="shared" si="118"/>
        <v>1.5302361940923559</v>
      </c>
      <c r="AM2014" s="59"/>
      <c r="AN2014" s="59">
        <f>SUMIFS(HIX_RatingAreas8[Silver Enrollments 2018],HIX_RatingAreas8[Area],HIX_SLCSP11[[#This Row],[Area Code]])</f>
        <v>51072</v>
      </c>
      <c r="AO2014" s="59">
        <f>SUMIFS(HIX_RatingAreas8[Silver Enrollments 2019],HIX_RatingAreas8[Area],HIX_SLCSP11[[#This Row],[Area Code]])</f>
        <v>51072</v>
      </c>
      <c r="AP2014" s="59">
        <f>SUMIFS(HIX_RatingAreas8[Silver Enrollments 2020],HIX_RatingAreas8[Area],HIX_SLCSP11[[#This Row],[Area Code]])</f>
        <v>47491</v>
      </c>
      <c r="AQ2014" s="59">
        <f>SUMIFS(HIX_RatingAreas8[Silver Enrollments 2021],HIX_RatingAreas8[Area],HIX_SLCSP11[[#This Row],[Area Code]])</f>
        <v>45335</v>
      </c>
      <c r="AR2014" s="59">
        <f>SUMIFS(HIX_RatingAreas8[Silver Enrollments 2022],HIX_RatingAreas8[Area],HIX_SLCSP11[[#This Row],[Area Code]])</f>
        <v>62859</v>
      </c>
      <c r="AS2014" s="59">
        <f>SUMIFS(HIX_RatingAreas8[Silver Enrollments 2023],HIX_RatingAreas8[Area],HIX_SLCSP11[[#This Row],[Area Code]])</f>
        <v>62859</v>
      </c>
      <c r="AT2014" s="59">
        <v>27160</v>
      </c>
      <c r="AU2014">
        <f t="shared" si="150"/>
        <v>0.11518528885383003</v>
      </c>
      <c r="AV2014">
        <f>SUMIFS(HIX_RatingAreas8[QHP Enrollments 2018],HIX_RatingAreas8[Area],HIX_SLCSP11[[#This Row],[Area Code]])</f>
        <v>92412</v>
      </c>
      <c r="AW2014">
        <f t="shared" si="151"/>
        <v>0.47495502903839237</v>
      </c>
      <c r="AX2014">
        <f>SUMIFS(HIX_RatingAreas8[QHP Enrollments 2019],HIX_RatingAreas8[Area],HIX_SLCSP11[[#This Row],[Area Code]])</f>
        <v>92412</v>
      </c>
      <c r="AY2014">
        <f t="shared" si="152"/>
        <v>0.47495502903839237</v>
      </c>
      <c r="AZ2014">
        <f>SUMIFS(HIX_RatingAreas8[QHP Enrollments 2020],HIX_RatingAreas8[Area],HIX_SLCSP11[[#This Row],[Area Code]])</f>
        <v>93961</v>
      </c>
      <c r="BA2014">
        <f t="shared" si="153"/>
        <v>0.4691927035219039</v>
      </c>
      <c r="BB2014">
        <f>SUMIFS(HIX_RatingAreas8[QHP Enrollments 2021],HIX_RatingAreas8[Area],HIX_SLCSP11[[#This Row],[Area Code]])</f>
        <v>97284</v>
      </c>
      <c r="BC2014">
        <f t="shared" si="154"/>
        <v>0.46791175070102109</v>
      </c>
      <c r="BD2014">
        <f>SUMIFS(HIX_RatingAreas8[QHP Enrollments 2022],HIX_RatingAreas8[Area],HIX_SLCSP11[[#This Row],[Area Code]])</f>
        <v>120475</v>
      </c>
      <c r="BE2014">
        <f t="shared" si="155"/>
        <v>0.46889838556505226</v>
      </c>
      <c r="BF2014">
        <f>SUMIFS(HIX_RatingAreas8[QHP Enrollments 2023],HIX_RatingAreas8[Area],HIX_SLCSP11[[#This Row],[Area Code]])</f>
        <v>120475</v>
      </c>
      <c r="BG2014">
        <f t="shared" si="144"/>
        <v>0.46889838556505226</v>
      </c>
      <c r="BH2014" s="53">
        <f>ROUND(HIX_SLCSP11[[#This Row],[Weighting Factor 2018]]*HIX_SLCSP11[[#This Row],[2018]],2)</f>
        <v>183.13</v>
      </c>
      <c r="BI2014" s="53">
        <f>ROUND(HIX_SLCSP11[[#This Row],[Weighting Factor 2019]]*HIX_SLCSP11[[#This Row],[2019]],2)</f>
        <v>193.67</v>
      </c>
      <c r="BJ2014" s="53">
        <f>ROUND(HIX_SLCSP11[[#This Row],[Weighting Factor 2020]]*HIX_SLCSP11[[#This Row],[2020]],2)</f>
        <v>191.33</v>
      </c>
      <c r="BK2014" s="53">
        <f>ROUND(HIX_SLCSP11[[#This Row],[Weighting Factor 2021]]*HIX_SLCSP11[[#This Row],[2021]],2)</f>
        <v>193.78</v>
      </c>
      <c r="BL2014" s="53">
        <f>ROUND(HIX_SLCSP11[[#This Row],[Weighting Factor 2022]]*HIX_SLCSP11[[#This Row],[2022]],2)</f>
        <v>162.63</v>
      </c>
      <c r="BM2014" s="53">
        <f>ROUND(HIX_SLCSP11[[#This Row],[Weighting Factor 2023]]*HIX_SLCSP11[[#This Row],[2023]],2)</f>
        <v>167.95</v>
      </c>
    </row>
    <row r="2015" spans="4:65" x14ac:dyDescent="0.35">
      <c r="D2015" t="s">
        <v>2432</v>
      </c>
      <c r="E2015" t="s">
        <v>255</v>
      </c>
      <c r="F2015" s="23">
        <v>4</v>
      </c>
      <c r="G2015" s="23" t="s">
        <v>2433</v>
      </c>
      <c r="H2015" s="23" t="s">
        <v>2463</v>
      </c>
      <c r="I2015" s="23">
        <v>42</v>
      </c>
      <c r="J2015" s="53">
        <v>383.34</v>
      </c>
      <c r="K2015" s="53">
        <v>400.99</v>
      </c>
      <c r="L2015" s="53">
        <v>613.6</v>
      </c>
      <c r="M2015" s="54">
        <f t="shared" si="145"/>
        <v>1.5302127235093144</v>
      </c>
      <c r="N2015" s="24">
        <v>50</v>
      </c>
      <c r="O2015" s="55">
        <v>397.38</v>
      </c>
      <c r="P2015" s="56">
        <v>421.01</v>
      </c>
      <c r="Q2015" s="56">
        <v>644.23</v>
      </c>
      <c r="R2015" s="57">
        <f t="shared" si="146"/>
        <v>1.5302011828697657</v>
      </c>
      <c r="S2015" s="23">
        <v>75</v>
      </c>
      <c r="T2015" s="53">
        <v>385.94</v>
      </c>
      <c r="U2015" s="53">
        <v>421.02</v>
      </c>
      <c r="V2015" s="53">
        <v>644.25</v>
      </c>
      <c r="W2015" s="57">
        <f t="shared" si="147"/>
        <v>1.530212341456463</v>
      </c>
      <c r="X2015" s="47">
        <v>92</v>
      </c>
      <c r="Y2015" s="58">
        <v>386.1</v>
      </c>
      <c r="Z2015" s="58">
        <v>421.68</v>
      </c>
      <c r="AA2015" s="58">
        <v>645.25</v>
      </c>
      <c r="AB2015" s="57">
        <f t="shared" si="148"/>
        <v>1.5301887687345854</v>
      </c>
      <c r="AC2015" s="47">
        <v>159</v>
      </c>
      <c r="AD2015" s="57">
        <v>356.96</v>
      </c>
      <c r="AE2015" s="57">
        <v>357.32</v>
      </c>
      <c r="AF2015" s="57">
        <v>546.78</v>
      </c>
      <c r="AG2015" s="57">
        <f t="shared" si="149"/>
        <v>1.5302250083958355</v>
      </c>
      <c r="AH2015" s="47">
        <v>136</v>
      </c>
      <c r="AI2015">
        <v>359.74</v>
      </c>
      <c r="AJ2015">
        <v>368.93</v>
      </c>
      <c r="AK2015">
        <v>564.54</v>
      </c>
      <c r="AL2015" s="57">
        <f t="shared" si="118"/>
        <v>1.5302089827338519</v>
      </c>
      <c r="AM2015" s="59"/>
      <c r="AN2015" s="59">
        <f>SUMIFS(HIX_RatingAreas8[Silver Enrollments 2018],HIX_RatingAreas8[Area],HIX_SLCSP11[[#This Row],[Area Code]])</f>
        <v>25675</v>
      </c>
      <c r="AO2015" s="59">
        <f>SUMIFS(HIX_RatingAreas8[Silver Enrollments 2019],HIX_RatingAreas8[Area],HIX_SLCSP11[[#This Row],[Area Code]])</f>
        <v>25675</v>
      </c>
      <c r="AP2015" s="59">
        <f>SUMIFS(HIX_RatingAreas8[Silver Enrollments 2020],HIX_RatingAreas8[Area],HIX_SLCSP11[[#This Row],[Area Code]])</f>
        <v>25378</v>
      </c>
      <c r="AQ2015" s="59">
        <f>SUMIFS(HIX_RatingAreas8[Silver Enrollments 2021],HIX_RatingAreas8[Area],HIX_SLCSP11[[#This Row],[Area Code]])</f>
        <v>25500</v>
      </c>
      <c r="AR2015" s="59">
        <f>SUMIFS(HIX_RatingAreas8[Silver Enrollments 2022],HIX_RatingAreas8[Area],HIX_SLCSP11[[#This Row],[Area Code]])</f>
        <v>35040</v>
      </c>
      <c r="AS2015" s="59">
        <f>SUMIFS(HIX_RatingAreas8[Silver Enrollments 2023],HIX_RatingAreas8[Area],HIX_SLCSP11[[#This Row],[Area Code]])</f>
        <v>35040</v>
      </c>
      <c r="AT2015" s="59">
        <v>76002</v>
      </c>
      <c r="AU2015">
        <f t="shared" si="150"/>
        <v>0.32232372324995545</v>
      </c>
      <c r="AV2015">
        <f>SUMIFS(HIX_RatingAreas8[QHP Enrollments 2018],HIX_RatingAreas8[Area],HIX_SLCSP11[[#This Row],[Area Code]])</f>
        <v>46233</v>
      </c>
      <c r="AW2015">
        <f t="shared" si="151"/>
        <v>0.23761628205787119</v>
      </c>
      <c r="AX2015">
        <f>SUMIFS(HIX_RatingAreas8[QHP Enrollments 2019],HIX_RatingAreas8[Area],HIX_SLCSP11[[#This Row],[Area Code]])</f>
        <v>46233</v>
      </c>
      <c r="AY2015">
        <f t="shared" si="152"/>
        <v>0.23761628205787119</v>
      </c>
      <c r="AZ2015">
        <f>SUMIFS(HIX_RatingAreas8[QHP Enrollments 2020],HIX_RatingAreas8[Area],HIX_SLCSP11[[#This Row],[Area Code]])</f>
        <v>48790</v>
      </c>
      <c r="BA2015">
        <f t="shared" si="153"/>
        <v>0.24363206016148925</v>
      </c>
      <c r="BB2015">
        <f>SUMIFS(HIX_RatingAreas8[QHP Enrollments 2021],HIX_RatingAreas8[Area],HIX_SLCSP11[[#This Row],[Area Code]])</f>
        <v>51851</v>
      </c>
      <c r="BC2015">
        <f t="shared" si="154"/>
        <v>0.24939036414619717</v>
      </c>
      <c r="BD2015">
        <f>SUMIFS(HIX_RatingAreas8[QHP Enrollments 2022],HIX_RatingAreas8[Area],HIX_SLCSP11[[#This Row],[Area Code]])</f>
        <v>64767</v>
      </c>
      <c r="BE2015">
        <f t="shared" si="155"/>
        <v>0.25207837093082996</v>
      </c>
      <c r="BF2015">
        <f>SUMIFS(HIX_RatingAreas8[QHP Enrollments 2023],HIX_RatingAreas8[Area],HIX_SLCSP11[[#This Row],[Area Code]])</f>
        <v>64767</v>
      </c>
      <c r="BG2015">
        <f t="shared" si="144"/>
        <v>0.25207837093082996</v>
      </c>
      <c r="BH2015" s="53">
        <f>ROUND(HIX_SLCSP11[[#This Row],[Weighting Factor 2018]]*HIX_SLCSP11[[#This Row],[2018]],2)</f>
        <v>95.28</v>
      </c>
      <c r="BI2015" s="53">
        <f>ROUND(HIX_SLCSP11[[#This Row],[Weighting Factor 2019]]*HIX_SLCSP11[[#This Row],[2019]],2)</f>
        <v>100.04</v>
      </c>
      <c r="BJ2015" s="53">
        <f>ROUND(HIX_SLCSP11[[#This Row],[Weighting Factor 2020]]*HIX_SLCSP11[[#This Row],[2020]],2)</f>
        <v>102.57</v>
      </c>
      <c r="BK2015" s="53">
        <f>ROUND(HIX_SLCSP11[[#This Row],[Weighting Factor 2021]]*HIX_SLCSP11[[#This Row],[2021]],2)</f>
        <v>105.16</v>
      </c>
      <c r="BL2015" s="53">
        <f>ROUND(HIX_SLCSP11[[#This Row],[Weighting Factor 2022]]*HIX_SLCSP11[[#This Row],[2022]],2)</f>
        <v>90.07</v>
      </c>
      <c r="BM2015" s="53">
        <f>ROUND(HIX_SLCSP11[[#This Row],[Weighting Factor 2023]]*HIX_SLCSP11[[#This Row],[2023]],2)</f>
        <v>93</v>
      </c>
    </row>
    <row r="2016" spans="4:65" x14ac:dyDescent="0.35">
      <c r="D2016" t="s">
        <v>2432</v>
      </c>
      <c r="E2016" t="s">
        <v>259</v>
      </c>
      <c r="F2016" s="23">
        <v>5</v>
      </c>
      <c r="G2016" s="23" t="s">
        <v>2433</v>
      </c>
      <c r="H2016" s="23" t="s">
        <v>2448</v>
      </c>
      <c r="I2016" s="23">
        <v>22</v>
      </c>
      <c r="J2016" s="53">
        <v>468.35</v>
      </c>
      <c r="K2016" s="53">
        <v>533.53</v>
      </c>
      <c r="L2016" s="53">
        <v>816.41</v>
      </c>
      <c r="M2016" s="54">
        <f t="shared" si="145"/>
        <v>1.5302044870953837</v>
      </c>
      <c r="N2016" s="24">
        <v>26</v>
      </c>
      <c r="O2016" s="55">
        <v>464.13</v>
      </c>
      <c r="P2016" s="56">
        <v>547.4</v>
      </c>
      <c r="Q2016" s="56">
        <v>837.65</v>
      </c>
      <c r="R2016" s="57">
        <f t="shared" si="146"/>
        <v>1.5302338326635001</v>
      </c>
      <c r="S2016" s="23">
        <v>38</v>
      </c>
      <c r="T2016" s="53">
        <v>450.79</v>
      </c>
      <c r="U2016" s="53">
        <v>515.86</v>
      </c>
      <c r="V2016" s="53">
        <v>789.38</v>
      </c>
      <c r="W2016" s="57">
        <f t="shared" si="147"/>
        <v>1.5302213778932268</v>
      </c>
      <c r="X2016" s="47">
        <v>37</v>
      </c>
      <c r="Y2016" s="58">
        <v>450.94</v>
      </c>
      <c r="Z2016" s="58">
        <v>502.38</v>
      </c>
      <c r="AA2016" s="58">
        <v>768.75</v>
      </c>
      <c r="AB2016" s="57">
        <f t="shared" si="148"/>
        <v>1.5302161710259166</v>
      </c>
      <c r="AC2016" s="47">
        <v>42</v>
      </c>
      <c r="AD2016" s="57">
        <v>450.93</v>
      </c>
      <c r="AE2016" s="57">
        <v>505.82</v>
      </c>
      <c r="AF2016" s="57">
        <v>774.02</v>
      </c>
      <c r="AG2016" s="57">
        <f t="shared" si="149"/>
        <v>1.5302281443991934</v>
      </c>
      <c r="AH2016" s="47">
        <v>43</v>
      </c>
      <c r="AI2016">
        <v>464.17</v>
      </c>
      <c r="AJ2016">
        <v>535.05999999999995</v>
      </c>
      <c r="AK2016">
        <v>818.75</v>
      </c>
      <c r="AL2016" s="57">
        <f t="shared" si="118"/>
        <v>1.5302022203117409</v>
      </c>
      <c r="AM2016" s="59"/>
      <c r="AN2016" s="59">
        <f>SUMIFS(HIX_RatingAreas8[Silver Enrollments 2018],HIX_RatingAreas8[Area],HIX_SLCSP11[[#This Row],[Area Code]])</f>
        <v>10265</v>
      </c>
      <c r="AO2016" s="59">
        <f>SUMIFS(HIX_RatingAreas8[Silver Enrollments 2019],HIX_RatingAreas8[Area],HIX_SLCSP11[[#This Row],[Area Code]])</f>
        <v>10265</v>
      </c>
      <c r="AP2016" s="59">
        <f>SUMIFS(HIX_RatingAreas8[Silver Enrollments 2020],HIX_RatingAreas8[Area],HIX_SLCSP11[[#This Row],[Area Code]])</f>
        <v>9544</v>
      </c>
      <c r="AQ2016" s="59">
        <f>SUMIFS(HIX_RatingAreas8[Silver Enrollments 2021],HIX_RatingAreas8[Area],HIX_SLCSP11[[#This Row],[Area Code]])</f>
        <v>8616</v>
      </c>
      <c r="AR2016" s="59">
        <f>SUMIFS(HIX_RatingAreas8[Silver Enrollments 2022],HIX_RatingAreas8[Area],HIX_SLCSP11[[#This Row],[Area Code]])</f>
        <v>12257</v>
      </c>
      <c r="AS2016" s="59">
        <f>SUMIFS(HIX_RatingAreas8[Silver Enrollments 2023],HIX_RatingAreas8[Area],HIX_SLCSP11[[#This Row],[Area Code]])</f>
        <v>12257</v>
      </c>
      <c r="AT2016" s="59">
        <v>18577</v>
      </c>
      <c r="AU2016">
        <f t="shared" si="150"/>
        <v>7.8784871540412388E-2</v>
      </c>
      <c r="AV2016">
        <f>SUMIFS(HIX_RatingAreas8[QHP Enrollments 2018],HIX_RatingAreas8[Area],HIX_SLCSP11[[#This Row],[Area Code]])</f>
        <v>18950</v>
      </c>
      <c r="AW2016">
        <f t="shared" si="151"/>
        <v>9.7394253995991165E-2</v>
      </c>
      <c r="AX2016">
        <f>SUMIFS(HIX_RatingAreas8[QHP Enrollments 2019],HIX_RatingAreas8[Area],HIX_SLCSP11[[#This Row],[Area Code]])</f>
        <v>18950</v>
      </c>
      <c r="AY2016">
        <f t="shared" si="152"/>
        <v>9.7394253995991165E-2</v>
      </c>
      <c r="AZ2016">
        <f>SUMIFS(HIX_RatingAreas8[QHP Enrollments 2020],HIX_RatingAreas8[Area],HIX_SLCSP11[[#This Row],[Area Code]])</f>
        <v>19885</v>
      </c>
      <c r="BA2016">
        <f t="shared" si="153"/>
        <v>9.9295419477581762E-2</v>
      </c>
      <c r="BB2016">
        <f>SUMIFS(HIX_RatingAreas8[QHP Enrollments 2021],HIX_RatingAreas8[Area],HIX_SLCSP11[[#This Row],[Area Code]])</f>
        <v>20411</v>
      </c>
      <c r="BC2016">
        <f t="shared" si="154"/>
        <v>9.8171813901140395E-2</v>
      </c>
      <c r="BD2016">
        <f>SUMIFS(HIX_RatingAreas8[QHP Enrollments 2022],HIX_RatingAreas8[Area],HIX_SLCSP11[[#This Row],[Area Code]])</f>
        <v>25892</v>
      </c>
      <c r="BE2016">
        <f t="shared" si="155"/>
        <v>0.10077374558248875</v>
      </c>
      <c r="BF2016">
        <f>SUMIFS(HIX_RatingAreas8[QHP Enrollments 2023],HIX_RatingAreas8[Area],HIX_SLCSP11[[#This Row],[Area Code]])</f>
        <v>25892</v>
      </c>
      <c r="BG2016">
        <f t="shared" si="144"/>
        <v>0.10077374558248875</v>
      </c>
      <c r="BH2016" s="53">
        <f>ROUND(HIX_SLCSP11[[#This Row],[Weighting Factor 2018]]*HIX_SLCSP11[[#This Row],[2018]],2)</f>
        <v>51.96</v>
      </c>
      <c r="BI2016" s="53">
        <f>ROUND(HIX_SLCSP11[[#This Row],[Weighting Factor 2019]]*HIX_SLCSP11[[#This Row],[2019]],2)</f>
        <v>53.31</v>
      </c>
      <c r="BJ2016" s="53">
        <f>ROUND(HIX_SLCSP11[[#This Row],[Weighting Factor 2020]]*HIX_SLCSP11[[#This Row],[2020]],2)</f>
        <v>51.22</v>
      </c>
      <c r="BK2016" s="53">
        <f>ROUND(HIX_SLCSP11[[#This Row],[Weighting Factor 2021]]*HIX_SLCSP11[[#This Row],[2021]],2)</f>
        <v>49.32</v>
      </c>
      <c r="BL2016" s="53">
        <f>ROUND(HIX_SLCSP11[[#This Row],[Weighting Factor 2022]]*HIX_SLCSP11[[#This Row],[2022]],2)</f>
        <v>50.97</v>
      </c>
      <c r="BM2016" s="53">
        <f>ROUND(HIX_SLCSP11[[#This Row],[Weighting Factor 2023]]*HIX_SLCSP11[[#This Row],[2023]],2)</f>
        <v>53.92</v>
      </c>
    </row>
    <row r="2017" spans="3:74" x14ac:dyDescent="0.35">
      <c r="D2017" t="s">
        <v>2432</v>
      </c>
      <c r="E2017" t="s">
        <v>265</v>
      </c>
      <c r="F2017" s="23">
        <v>6</v>
      </c>
      <c r="G2017" s="23" t="s">
        <v>2433</v>
      </c>
      <c r="H2017" s="23" t="s">
        <v>2434</v>
      </c>
      <c r="I2017" s="23">
        <v>25</v>
      </c>
      <c r="J2017" s="53">
        <v>482.76</v>
      </c>
      <c r="K2017" s="53">
        <v>490.32</v>
      </c>
      <c r="L2017" s="53">
        <v>750.3</v>
      </c>
      <c r="M2017" s="54">
        <f t="shared" si="145"/>
        <v>1.5302251590797846</v>
      </c>
      <c r="N2017" s="24">
        <v>24</v>
      </c>
      <c r="O2017" s="55">
        <v>504.28</v>
      </c>
      <c r="P2017" s="56">
        <v>585.95000000000005</v>
      </c>
      <c r="Q2017" s="56">
        <v>896.63</v>
      </c>
      <c r="R2017" s="57">
        <f t="shared" si="146"/>
        <v>1.5302158887277071</v>
      </c>
      <c r="S2017" s="23">
        <v>29</v>
      </c>
      <c r="T2017" s="53">
        <v>489.79</v>
      </c>
      <c r="U2017" s="53">
        <v>534.76</v>
      </c>
      <c r="V2017" s="53">
        <v>818.3</v>
      </c>
      <c r="W2017" s="57">
        <f t="shared" si="147"/>
        <v>1.5302191637370035</v>
      </c>
      <c r="X2017" s="47">
        <v>37</v>
      </c>
      <c r="Y2017" s="58">
        <v>489.95</v>
      </c>
      <c r="Z2017" s="58">
        <v>522.64</v>
      </c>
      <c r="AA2017" s="58">
        <v>799.75</v>
      </c>
      <c r="AB2017" s="57">
        <f t="shared" si="148"/>
        <v>1.5302120006122761</v>
      </c>
      <c r="AC2017" s="47">
        <v>39</v>
      </c>
      <c r="AD2017" s="57">
        <v>479.88</v>
      </c>
      <c r="AE2017" s="57">
        <v>489.21</v>
      </c>
      <c r="AF2017" s="57">
        <v>748.59</v>
      </c>
      <c r="AG2017" s="57">
        <f t="shared" si="149"/>
        <v>1.5302017538480408</v>
      </c>
      <c r="AH2017" s="47">
        <v>51</v>
      </c>
      <c r="AI2017">
        <v>463.81</v>
      </c>
      <c r="AJ2017">
        <v>534.65</v>
      </c>
      <c r="AK2017">
        <v>818.13</v>
      </c>
      <c r="AL2017" s="57">
        <f t="shared" si="118"/>
        <v>1.530216029177967</v>
      </c>
      <c r="AM2017" s="59"/>
      <c r="AN2017" s="59">
        <f>SUMIFS(HIX_RatingAreas8[Silver Enrollments 2018],HIX_RatingAreas8[Area],HIX_SLCSP11[[#This Row],[Area Code]])</f>
        <v>8002</v>
      </c>
      <c r="AO2017" s="59">
        <f>SUMIFS(HIX_RatingAreas8[Silver Enrollments 2019],HIX_RatingAreas8[Area],HIX_SLCSP11[[#This Row],[Area Code]])</f>
        <v>8002</v>
      </c>
      <c r="AP2017" s="59">
        <f>SUMIFS(HIX_RatingAreas8[Silver Enrollments 2020],HIX_RatingAreas8[Area],HIX_SLCSP11[[#This Row],[Area Code]])</f>
        <v>7177</v>
      </c>
      <c r="AQ2017" s="59">
        <f>SUMIFS(HIX_RatingAreas8[Silver Enrollments 2021],HIX_RatingAreas8[Area],HIX_SLCSP11[[#This Row],[Area Code]])</f>
        <v>6898</v>
      </c>
      <c r="AR2017" s="59">
        <f>SUMIFS(HIX_RatingAreas8[Silver Enrollments 2022],HIX_RatingAreas8[Area],HIX_SLCSP11[[#This Row],[Area Code]])</f>
        <v>8708</v>
      </c>
      <c r="AS2017" s="59">
        <f>SUMIFS(HIX_RatingAreas8[Silver Enrollments 2023],HIX_RatingAreas8[Area],HIX_SLCSP11[[#This Row],[Area Code]])</f>
        <v>8708</v>
      </c>
      <c r="AT2017" s="59">
        <v>44722</v>
      </c>
      <c r="AU2017">
        <f t="shared" si="150"/>
        <v>0.18966555552728229</v>
      </c>
      <c r="AV2017">
        <f>SUMIFS(HIX_RatingAreas8[QHP Enrollments 2018],HIX_RatingAreas8[Area],HIX_SLCSP11[[#This Row],[Area Code]])</f>
        <v>12777</v>
      </c>
      <c r="AW2017">
        <f t="shared" si="151"/>
        <v>6.5667883024104437E-2</v>
      </c>
      <c r="AX2017">
        <f>SUMIFS(HIX_RatingAreas8[QHP Enrollments 2019],HIX_RatingAreas8[Area],HIX_SLCSP11[[#This Row],[Area Code]])</f>
        <v>12777</v>
      </c>
      <c r="AY2017">
        <f t="shared" si="152"/>
        <v>6.5667883024104437E-2</v>
      </c>
      <c r="AZ2017">
        <f>SUMIFS(HIX_RatingAreas8[QHP Enrollments 2020],HIX_RatingAreas8[Area],HIX_SLCSP11[[#This Row],[Area Code]])</f>
        <v>13079</v>
      </c>
      <c r="BA2017">
        <f t="shared" si="153"/>
        <v>6.5309770749172324E-2</v>
      </c>
      <c r="BB2017">
        <f>SUMIFS(HIX_RatingAreas8[QHP Enrollments 2021],HIX_RatingAreas8[Area],HIX_SLCSP11[[#This Row],[Area Code]])</f>
        <v>13683</v>
      </c>
      <c r="BC2017">
        <f t="shared" si="154"/>
        <v>6.5811813708750375E-2</v>
      </c>
      <c r="BD2017">
        <f>SUMIFS(HIX_RatingAreas8[QHP Enrollments 2022],HIX_RatingAreas8[Area],HIX_SLCSP11[[#This Row],[Area Code]])</f>
        <v>16650</v>
      </c>
      <c r="BE2017">
        <f t="shared" si="155"/>
        <v>6.4803138573630376E-2</v>
      </c>
      <c r="BF2017">
        <f>SUMIFS(HIX_RatingAreas8[QHP Enrollments 2023],HIX_RatingAreas8[Area],HIX_SLCSP11[[#This Row],[Area Code]])</f>
        <v>16650</v>
      </c>
      <c r="BG2017">
        <f t="shared" si="144"/>
        <v>6.4803138573630376E-2</v>
      </c>
      <c r="BH2017" s="53">
        <f>ROUND(HIX_SLCSP11[[#This Row],[Weighting Factor 2018]]*HIX_SLCSP11[[#This Row],[2018]],2)</f>
        <v>32.200000000000003</v>
      </c>
      <c r="BI2017" s="53">
        <f>ROUND(HIX_SLCSP11[[#This Row],[Weighting Factor 2019]]*HIX_SLCSP11[[#This Row],[2019]],2)</f>
        <v>38.479999999999997</v>
      </c>
      <c r="BJ2017" s="53">
        <f>ROUND(HIX_SLCSP11[[#This Row],[Weighting Factor 2020]]*HIX_SLCSP11[[#This Row],[2020]],2)</f>
        <v>34.93</v>
      </c>
      <c r="BK2017" s="53">
        <f>ROUND(HIX_SLCSP11[[#This Row],[Weighting Factor 2021]]*HIX_SLCSP11[[#This Row],[2021]],2)</f>
        <v>34.4</v>
      </c>
      <c r="BL2017" s="53">
        <f>ROUND(HIX_SLCSP11[[#This Row],[Weighting Factor 2022]]*HIX_SLCSP11[[#This Row],[2022]],2)</f>
        <v>31.7</v>
      </c>
      <c r="BM2017" s="53">
        <f>ROUND(HIX_SLCSP11[[#This Row],[Weighting Factor 2023]]*HIX_SLCSP11[[#This Row],[2023]],2)</f>
        <v>34.65</v>
      </c>
    </row>
    <row r="2018" spans="3:74" x14ac:dyDescent="0.35">
      <c r="D2018" t="s">
        <v>2469</v>
      </c>
      <c r="E2018" t="s">
        <v>2597</v>
      </c>
      <c r="F2018" s="23"/>
      <c r="G2018" s="23"/>
      <c r="H2018" s="23"/>
      <c r="I2018" s="23"/>
      <c r="J2018" s="53"/>
      <c r="K2018" s="53">
        <f>SUM(BH2019:BH2029)</f>
        <v>437</v>
      </c>
      <c r="L2018" s="53"/>
      <c r="M2018" s="54"/>
      <c r="O2018" s="55"/>
      <c r="P2018" s="56">
        <f>SUM(BI2019:BI2029)</f>
        <v>480.01</v>
      </c>
      <c r="Q2018" s="56"/>
      <c r="R2018" s="57"/>
      <c r="S2018" s="23"/>
      <c r="T2018" s="53"/>
      <c r="U2018" s="53">
        <f>SUM(BJ2019:BJ2029)</f>
        <v>507.19</v>
      </c>
      <c r="V2018" s="53"/>
      <c r="W2018" s="57"/>
      <c r="X2018" s="47"/>
      <c r="Y2018" s="58"/>
      <c r="Z2018" s="53">
        <f>SUM(BK2019:BK2029)</f>
        <v>535.54999999999995</v>
      </c>
      <c r="AA2018" s="58"/>
      <c r="AB2018" s="57"/>
      <c r="AC2018" s="47"/>
      <c r="AD2018" s="57"/>
      <c r="AE2018" s="53">
        <f>SUM(BL2019:BL2029)</f>
        <v>596.08000000000004</v>
      </c>
      <c r="AF2018" s="57"/>
      <c r="AG2018" s="57"/>
      <c r="AH2018" s="47"/>
      <c r="AI2018" s="57"/>
      <c r="AJ2018" s="53">
        <f>SUM(BM2019:BM2029)</f>
        <v>621.33999999999992</v>
      </c>
      <c r="AK2018" s="57"/>
      <c r="AL2018" s="57"/>
      <c r="AM2018" s="59"/>
      <c r="AN2018" s="59">
        <f t="shared" ref="AN2018:AT2018" si="156">SUM(AN2019:AN2029)</f>
        <v>14523</v>
      </c>
      <c r="AO2018" s="59">
        <f t="shared" si="156"/>
        <v>14523</v>
      </c>
      <c r="AP2018" s="59">
        <f t="shared" si="156"/>
        <v>12428</v>
      </c>
      <c r="AQ2018" s="59">
        <f t="shared" si="156"/>
        <v>11437</v>
      </c>
      <c r="AR2018" s="59">
        <f t="shared" si="156"/>
        <v>10202</v>
      </c>
      <c r="AS2018" s="59">
        <f t="shared" si="156"/>
        <v>10202</v>
      </c>
      <c r="AT2018" s="59">
        <f t="shared" si="156"/>
        <v>459419</v>
      </c>
      <c r="AU2018">
        <f>AT2018/AT$2018</f>
        <v>1</v>
      </c>
      <c r="AV2018" s="59">
        <f>SUM(AV2019:AV2029)</f>
        <v>22599</v>
      </c>
      <c r="AW2018">
        <f>AV2018/AV$2018</f>
        <v>1</v>
      </c>
      <c r="AX2018" s="59">
        <f>SUM(AX2019:AX2029)</f>
        <v>22599</v>
      </c>
      <c r="AY2018">
        <f>AX2018/AX$2018</f>
        <v>1</v>
      </c>
      <c r="AZ2018" s="59">
        <f>SUM(AZ2019:AZ2029)</f>
        <v>20066</v>
      </c>
      <c r="BA2018">
        <f>AZ2018/AZ$2018</f>
        <v>1</v>
      </c>
      <c r="BB2018" s="59">
        <f>SUM(BB2019:BB2029)</f>
        <v>19381</v>
      </c>
      <c r="BC2018">
        <f>BB2018/BB$2018</f>
        <v>1</v>
      </c>
      <c r="BD2018" s="59">
        <f>SUM(BD2019:BD2029)</f>
        <v>23037</v>
      </c>
      <c r="BE2018">
        <f>BD2018/BD$2018</f>
        <v>1</v>
      </c>
      <c r="BF2018" s="59">
        <f>SUM(BF2019:BF2029)</f>
        <v>23037</v>
      </c>
      <c r="BG2018">
        <f>BF2018/BF$2018</f>
        <v>1</v>
      </c>
      <c r="BH2018" s="53"/>
      <c r="BI2018" s="53"/>
      <c r="BJ2018" s="53"/>
      <c r="BK2018" s="53"/>
      <c r="BL2018" s="53"/>
      <c r="BM2018" s="53"/>
    </row>
    <row r="2019" spans="3:74" x14ac:dyDescent="0.35">
      <c r="D2019" t="s">
        <v>2469</v>
      </c>
      <c r="E2019" t="s">
        <v>231</v>
      </c>
      <c r="F2019" s="23">
        <v>1</v>
      </c>
      <c r="G2019" s="23" t="s">
        <v>2470</v>
      </c>
      <c r="H2019" s="23" t="s">
        <v>2477</v>
      </c>
      <c r="I2019" s="23">
        <v>40</v>
      </c>
      <c r="J2019" s="53">
        <v>422.29</v>
      </c>
      <c r="K2019" s="53">
        <v>436.05</v>
      </c>
      <c r="L2019" s="53">
        <v>743.12</v>
      </c>
      <c r="M2019" s="54">
        <f t="shared" ref="M2019:M2031" si="157">L2019/K2019</f>
        <v>1.7042082330008026</v>
      </c>
      <c r="N2019" s="24">
        <v>36</v>
      </c>
      <c r="O2019" s="55">
        <v>462.73</v>
      </c>
      <c r="P2019" s="56">
        <v>481.25</v>
      </c>
      <c r="Q2019" s="56">
        <v>820.15</v>
      </c>
      <c r="R2019" s="57">
        <f t="shared" ref="R2019:R2031" si="158">Q2019/P2019</f>
        <v>1.7042077922077921</v>
      </c>
      <c r="S2019" s="23">
        <v>32</v>
      </c>
      <c r="T2019" s="53">
        <v>494.19</v>
      </c>
      <c r="U2019" s="53">
        <v>511.26</v>
      </c>
      <c r="V2019" s="53">
        <v>871.28</v>
      </c>
      <c r="W2019" s="57">
        <f t="shared" ref="W2019:W2031" si="159">V2019/U2019</f>
        <v>1.7041818252943708</v>
      </c>
      <c r="X2019" s="47">
        <v>36</v>
      </c>
      <c r="Y2019" s="58">
        <v>522.01</v>
      </c>
      <c r="Z2019" s="58">
        <v>537.39</v>
      </c>
      <c r="AA2019" s="58">
        <v>915.81</v>
      </c>
      <c r="AB2019" s="57">
        <f t="shared" ref="AB2019:AB2031" si="160">AA2019/Z2019</f>
        <v>1.7041813208284486</v>
      </c>
      <c r="AC2019" s="47">
        <v>39</v>
      </c>
      <c r="AD2019" s="57">
        <v>621.52</v>
      </c>
      <c r="AE2019" s="57">
        <v>622.98</v>
      </c>
      <c r="AF2019" s="57">
        <v>1061.69</v>
      </c>
      <c r="AG2019" s="57">
        <f t="shared" ref="AG2019:AG2031" si="161">AF2019/AE2019</f>
        <v>1.7042120132267489</v>
      </c>
      <c r="AH2019" s="47">
        <v>37</v>
      </c>
      <c r="AI2019">
        <v>614.91</v>
      </c>
      <c r="AJ2019">
        <v>638.5</v>
      </c>
      <c r="AK2019">
        <v>1088.1400000000001</v>
      </c>
      <c r="AL2019" s="57">
        <f t="shared" si="118"/>
        <v>1.7042129992169148</v>
      </c>
      <c r="AM2019" s="59"/>
      <c r="AN2019" s="59">
        <f>SUMIFS(HIX_RatingAreas8[Silver Enrollments 2018],HIX_RatingAreas8[Area],HIX_SLCSP11[[#This Row],[Area Code]])</f>
        <v>1517</v>
      </c>
      <c r="AO2019" s="59">
        <f>SUMIFS(HIX_RatingAreas8[Silver Enrollments 2019],HIX_RatingAreas8[Area],HIX_SLCSP11[[#This Row],[Area Code]])</f>
        <v>1517</v>
      </c>
      <c r="AP2019" s="59">
        <f>SUMIFS(HIX_RatingAreas8[Silver Enrollments 2020],HIX_RatingAreas8[Area],HIX_SLCSP11[[#This Row],[Area Code]])</f>
        <v>1219</v>
      </c>
      <c r="AQ2019" s="59">
        <f>SUMIFS(HIX_RatingAreas8[Silver Enrollments 2021],HIX_RatingAreas8[Area],HIX_SLCSP11[[#This Row],[Area Code]])</f>
        <v>1134</v>
      </c>
      <c r="AR2019" s="59">
        <f>SUMIFS(HIX_RatingAreas8[Silver Enrollments 2022],HIX_RatingAreas8[Area],HIX_SLCSP11[[#This Row],[Area Code]])</f>
        <v>1013</v>
      </c>
      <c r="AS2019" s="59">
        <f>SUMIFS(HIX_RatingAreas8[Silver Enrollments 2023],HIX_RatingAreas8[Area],HIX_SLCSP11[[#This Row],[Area Code]])</f>
        <v>1013</v>
      </c>
      <c r="AT2019" s="59">
        <v>19932</v>
      </c>
      <c r="AU2019">
        <f>AT2019/AT$2018</f>
        <v>4.3385232217213479E-2</v>
      </c>
      <c r="AV2019">
        <f>SUMIFS(HIX_RatingAreas8[QHP Enrollments 2018],HIX_RatingAreas8[Area],HIX_SLCSP11[[#This Row],[Area Code]])</f>
        <v>2234</v>
      </c>
      <c r="AW2019">
        <f t="shared" ref="AW2019:AW2029" si="162">AV2019/AV$2018</f>
        <v>9.8853931589893362E-2</v>
      </c>
      <c r="AX2019">
        <f>SUMIFS(HIX_RatingAreas8[QHP Enrollments 2019],HIX_RatingAreas8[Area],HIX_SLCSP11[[#This Row],[Area Code]])</f>
        <v>2234</v>
      </c>
      <c r="AY2019">
        <f t="shared" ref="AY2019:AY2029" si="163">AX2019/AX$2018</f>
        <v>9.8853931589893362E-2</v>
      </c>
      <c r="AZ2019">
        <f>SUMIFS(HIX_RatingAreas8[QHP Enrollments 2020],HIX_RatingAreas8[Area],HIX_SLCSP11[[#This Row],[Area Code]])</f>
        <v>1929</v>
      </c>
      <c r="BA2019">
        <f t="shared" ref="BA2019:BA2029" si="164">AZ2019/AZ$2018</f>
        <v>9.6132761885776935E-2</v>
      </c>
      <c r="BB2019">
        <f>SUMIFS(HIX_RatingAreas8[QHP Enrollments 2021],HIX_RatingAreas8[Area],HIX_SLCSP11[[#This Row],[Area Code]])</f>
        <v>1802</v>
      </c>
      <c r="BC2019">
        <f t="shared" ref="BC2019:BC2029" si="165">BB2019/BB$2018</f>
        <v>9.2977658531551516E-2</v>
      </c>
      <c r="BD2019">
        <f>SUMIFS(HIX_RatingAreas8[QHP Enrollments 2022],HIX_RatingAreas8[Area],HIX_SLCSP11[[#This Row],[Area Code]])</f>
        <v>1989</v>
      </c>
      <c r="BE2019">
        <f t="shared" ref="BE2019:BE2029" si="166">BD2019/BD$2018</f>
        <v>8.633936710509181E-2</v>
      </c>
      <c r="BF2019">
        <f>SUMIFS(HIX_RatingAreas8[QHP Enrollments 2023],HIX_RatingAreas8[Area],HIX_SLCSP11[[#This Row],[Area Code]])</f>
        <v>1989</v>
      </c>
      <c r="BG2019">
        <f>BF2019/BF$2018</f>
        <v>8.633936710509181E-2</v>
      </c>
      <c r="BH2019" s="53">
        <f>ROUND(HIX_SLCSP11[[#This Row],[Weighting Factor 2018]]*HIX_SLCSP11[[#This Row],[2018]],2)</f>
        <v>43.11</v>
      </c>
      <c r="BI2019" s="53">
        <f>ROUND(HIX_SLCSP11[[#This Row],[Weighting Factor 2019]]*HIX_SLCSP11[[#This Row],[2019]],2)</f>
        <v>47.57</v>
      </c>
      <c r="BJ2019" s="53">
        <f>ROUND(HIX_SLCSP11[[#This Row],[Weighting Factor 2020]]*HIX_SLCSP11[[#This Row],[2020]],2)</f>
        <v>49.15</v>
      </c>
      <c r="BK2019" s="53">
        <f>ROUND(HIX_SLCSP11[[#This Row],[Weighting Factor 2021]]*HIX_SLCSP11[[#This Row],[2021]],2)</f>
        <v>49.97</v>
      </c>
      <c r="BL2019" s="53">
        <f>ROUND(HIX_SLCSP11[[#This Row],[Weighting Factor 2022]]*HIX_SLCSP11[[#This Row],[2022]],2)</f>
        <v>53.79</v>
      </c>
      <c r="BM2019" s="53">
        <f>ROUND(HIX_SLCSP11[[#This Row],[Weighting Factor 2023]]*HIX_SLCSP11[[#This Row],[2023]],2)</f>
        <v>55.13</v>
      </c>
    </row>
    <row r="2020" spans="3:74" x14ac:dyDescent="0.35">
      <c r="D2020" t="s">
        <v>2469</v>
      </c>
      <c r="E2020" t="s">
        <v>235</v>
      </c>
      <c r="F2020" s="23">
        <v>2</v>
      </c>
      <c r="G2020" s="23" t="s">
        <v>2470</v>
      </c>
      <c r="H2020" s="23" t="s">
        <v>2499</v>
      </c>
      <c r="I2020" s="23">
        <v>40</v>
      </c>
      <c r="J2020" s="53">
        <v>455.18</v>
      </c>
      <c r="K2020" s="53">
        <v>470.01</v>
      </c>
      <c r="L2020" s="53">
        <v>800.99</v>
      </c>
      <c r="M2020" s="54">
        <f t="shared" si="157"/>
        <v>1.7041977830258932</v>
      </c>
      <c r="N2020" s="24">
        <v>36</v>
      </c>
      <c r="O2020" s="55">
        <v>501.43</v>
      </c>
      <c r="P2020" s="56">
        <v>521.51</v>
      </c>
      <c r="Q2020" s="56">
        <v>888.76</v>
      </c>
      <c r="R2020" s="57">
        <f t="shared" si="158"/>
        <v>1.7042050967383175</v>
      </c>
      <c r="S2020" s="23">
        <v>32</v>
      </c>
      <c r="T2020" s="53">
        <v>535.29</v>
      </c>
      <c r="U2020" s="53">
        <v>553.78</v>
      </c>
      <c r="V2020" s="53">
        <v>943.75</v>
      </c>
      <c r="W2020" s="57">
        <f t="shared" si="159"/>
        <v>1.7041966123731447</v>
      </c>
      <c r="X2020" s="47">
        <v>36</v>
      </c>
      <c r="Y2020" s="58">
        <v>588.11</v>
      </c>
      <c r="Z2020" s="58">
        <v>605.42999999999995</v>
      </c>
      <c r="AA2020" s="58">
        <v>1031.77</v>
      </c>
      <c r="AB2020" s="57">
        <f t="shared" si="160"/>
        <v>1.7041937135589582</v>
      </c>
      <c r="AC2020" s="47">
        <v>39</v>
      </c>
      <c r="AD2020" s="57">
        <v>622.98</v>
      </c>
      <c r="AE2020" s="57">
        <v>625.87</v>
      </c>
      <c r="AF2020" s="57">
        <v>1066.5999999999999</v>
      </c>
      <c r="AG2020" s="57">
        <f t="shared" si="161"/>
        <v>1.7041877706232922</v>
      </c>
      <c r="AH2020" s="47">
        <v>37</v>
      </c>
      <c r="AI2020">
        <v>614.91</v>
      </c>
      <c r="AJ2020">
        <v>638.5</v>
      </c>
      <c r="AK2020">
        <v>1088.1400000000001</v>
      </c>
      <c r="AL2020" s="57">
        <f t="shared" si="118"/>
        <v>1.7042129992169148</v>
      </c>
      <c r="AM2020" s="59"/>
      <c r="AN2020" s="59">
        <f>SUMIFS(HIX_RatingAreas8[Silver Enrollments 2018],HIX_RatingAreas8[Area],HIX_SLCSP11[[#This Row],[Area Code]])</f>
        <v>1175</v>
      </c>
      <c r="AO2020" s="59">
        <f>SUMIFS(HIX_RatingAreas8[Silver Enrollments 2019],HIX_RatingAreas8[Area],HIX_SLCSP11[[#This Row],[Area Code]])</f>
        <v>1175</v>
      </c>
      <c r="AP2020" s="59">
        <f>SUMIFS(HIX_RatingAreas8[Silver Enrollments 2020],HIX_RatingAreas8[Area],HIX_SLCSP11[[#This Row],[Area Code]])</f>
        <v>965</v>
      </c>
      <c r="AQ2020" s="59">
        <f>SUMIFS(HIX_RatingAreas8[Silver Enrollments 2021],HIX_RatingAreas8[Area],HIX_SLCSP11[[#This Row],[Area Code]])</f>
        <v>901</v>
      </c>
      <c r="AR2020" s="59">
        <f>SUMIFS(HIX_RatingAreas8[Silver Enrollments 2022],HIX_RatingAreas8[Area],HIX_SLCSP11[[#This Row],[Area Code]])</f>
        <v>842</v>
      </c>
      <c r="AS2020" s="59">
        <f>SUMIFS(HIX_RatingAreas8[Silver Enrollments 2023],HIX_RatingAreas8[Area],HIX_SLCSP11[[#This Row],[Area Code]])</f>
        <v>842</v>
      </c>
      <c r="AT2020" s="59">
        <v>49401</v>
      </c>
      <c r="AU2020">
        <f t="shared" ref="AU2020:AU2029" si="167">AT2020/AT$2018</f>
        <v>0.10752929243239831</v>
      </c>
      <c r="AV2020">
        <f>SUMIFS(HIX_RatingAreas8[QHP Enrollments 2018],HIX_RatingAreas8[Area],HIX_SLCSP11[[#This Row],[Area Code]])</f>
        <v>2066</v>
      </c>
      <c r="AW2020">
        <f t="shared" si="162"/>
        <v>9.1419974335147577E-2</v>
      </c>
      <c r="AX2020">
        <f>SUMIFS(HIX_RatingAreas8[QHP Enrollments 2019],HIX_RatingAreas8[Area],HIX_SLCSP11[[#This Row],[Area Code]])</f>
        <v>2066</v>
      </c>
      <c r="AY2020">
        <f t="shared" si="163"/>
        <v>9.1419974335147577E-2</v>
      </c>
      <c r="AZ2020">
        <f>SUMIFS(HIX_RatingAreas8[QHP Enrollments 2020],HIX_RatingAreas8[Area],HIX_SLCSP11[[#This Row],[Area Code]])</f>
        <v>1795</v>
      </c>
      <c r="BA2020">
        <f t="shared" si="164"/>
        <v>8.9454799162762888E-2</v>
      </c>
      <c r="BB2020">
        <f>SUMIFS(HIX_RatingAreas8[QHP Enrollments 2021],HIX_RatingAreas8[Area],HIX_SLCSP11[[#This Row],[Area Code]])</f>
        <v>1643</v>
      </c>
      <c r="BC2020">
        <f t="shared" si="165"/>
        <v>8.4773747484649914E-2</v>
      </c>
      <c r="BD2020">
        <f>SUMIFS(HIX_RatingAreas8[QHP Enrollments 2022],HIX_RatingAreas8[Area],HIX_SLCSP11[[#This Row],[Area Code]])</f>
        <v>2129</v>
      </c>
      <c r="BE2020">
        <f t="shared" si="166"/>
        <v>9.2416547293484391E-2</v>
      </c>
      <c r="BF2020">
        <f>SUMIFS(HIX_RatingAreas8[QHP Enrollments 2023],HIX_RatingAreas8[Area],HIX_SLCSP11[[#This Row],[Area Code]])</f>
        <v>2129</v>
      </c>
      <c r="BG2020">
        <f t="shared" ref="BG2020:BG2029" si="168">BF2020/BF$2018</f>
        <v>9.2416547293484391E-2</v>
      </c>
      <c r="BH2020" s="53">
        <f>ROUND(HIX_SLCSP11[[#This Row],[Weighting Factor 2018]]*HIX_SLCSP11[[#This Row],[2018]],2)</f>
        <v>42.97</v>
      </c>
      <c r="BI2020" s="53">
        <f>ROUND(HIX_SLCSP11[[#This Row],[Weighting Factor 2019]]*HIX_SLCSP11[[#This Row],[2019]],2)</f>
        <v>47.68</v>
      </c>
      <c r="BJ2020" s="53">
        <f>ROUND(HIX_SLCSP11[[#This Row],[Weighting Factor 2020]]*HIX_SLCSP11[[#This Row],[2020]],2)</f>
        <v>49.54</v>
      </c>
      <c r="BK2020" s="53">
        <f>ROUND(HIX_SLCSP11[[#This Row],[Weighting Factor 2021]]*HIX_SLCSP11[[#This Row],[2021]],2)</f>
        <v>51.32</v>
      </c>
      <c r="BL2020" s="53">
        <f>ROUND(HIX_SLCSP11[[#This Row],[Weighting Factor 2022]]*HIX_SLCSP11[[#This Row],[2022]],2)</f>
        <v>57.84</v>
      </c>
      <c r="BM2020" s="53">
        <f>ROUND(HIX_SLCSP11[[#This Row],[Weighting Factor 2023]]*HIX_SLCSP11[[#This Row],[2023]],2)</f>
        <v>59.01</v>
      </c>
    </row>
    <row r="2021" spans="3:74" x14ac:dyDescent="0.35">
      <c r="D2021" t="s">
        <v>2469</v>
      </c>
      <c r="E2021" t="s">
        <v>239</v>
      </c>
      <c r="F2021" s="23">
        <v>3</v>
      </c>
      <c r="G2021" s="23" t="s">
        <v>2470</v>
      </c>
      <c r="H2021" s="23" t="s">
        <v>2475</v>
      </c>
      <c r="I2021" s="23">
        <v>40</v>
      </c>
      <c r="J2021" s="53">
        <v>479.24</v>
      </c>
      <c r="K2021" s="53">
        <v>494.86</v>
      </c>
      <c r="L2021" s="53">
        <v>843.34</v>
      </c>
      <c r="M2021" s="54">
        <f t="shared" si="157"/>
        <v>1.7041991674412966</v>
      </c>
      <c r="N2021" s="24">
        <v>36</v>
      </c>
      <c r="O2021" s="55">
        <v>538.80999999999995</v>
      </c>
      <c r="P2021" s="56">
        <v>560.38</v>
      </c>
      <c r="Q2021" s="56">
        <v>955</v>
      </c>
      <c r="R2021" s="57">
        <f t="shared" si="158"/>
        <v>1.7042007209393626</v>
      </c>
      <c r="S2021" s="23">
        <v>32</v>
      </c>
      <c r="T2021" s="53">
        <v>575.41999999999996</v>
      </c>
      <c r="U2021" s="53">
        <v>595.29999999999995</v>
      </c>
      <c r="V2021" s="53">
        <v>1014.51</v>
      </c>
      <c r="W2021" s="57">
        <f t="shared" si="159"/>
        <v>1.7041995632454225</v>
      </c>
      <c r="X2021" s="47">
        <v>36</v>
      </c>
      <c r="Y2021" s="58">
        <v>607.88</v>
      </c>
      <c r="Z2021" s="58">
        <v>625.79</v>
      </c>
      <c r="AA2021" s="58">
        <v>1066.47</v>
      </c>
      <c r="AB2021" s="57">
        <f t="shared" si="160"/>
        <v>1.7041978938621585</v>
      </c>
      <c r="AC2021" s="47">
        <v>39</v>
      </c>
      <c r="AD2021" s="57">
        <v>622.98</v>
      </c>
      <c r="AE2021" s="57">
        <v>625.87</v>
      </c>
      <c r="AF2021" s="57">
        <v>1066.5999999999999</v>
      </c>
      <c r="AG2021" s="57">
        <f t="shared" si="161"/>
        <v>1.7041877706232922</v>
      </c>
      <c r="AH2021" s="47">
        <v>37</v>
      </c>
      <c r="AI2021">
        <v>614.91</v>
      </c>
      <c r="AJ2021">
        <v>638.5</v>
      </c>
      <c r="AK2021">
        <v>1088.1400000000001</v>
      </c>
      <c r="AL2021" s="57">
        <f t="shared" si="118"/>
        <v>1.7042129992169148</v>
      </c>
      <c r="AM2021" s="59"/>
      <c r="AN2021" s="59">
        <f>SUMIFS(HIX_RatingAreas8[Silver Enrollments 2018],HIX_RatingAreas8[Area],HIX_SLCSP11[[#This Row],[Area Code]])</f>
        <v>747</v>
      </c>
      <c r="AO2021" s="59">
        <f>SUMIFS(HIX_RatingAreas8[Silver Enrollments 2019],HIX_RatingAreas8[Area],HIX_SLCSP11[[#This Row],[Area Code]])</f>
        <v>747</v>
      </c>
      <c r="AP2021" s="59">
        <f>SUMIFS(HIX_RatingAreas8[Silver Enrollments 2020],HIX_RatingAreas8[Area],HIX_SLCSP11[[#This Row],[Area Code]])</f>
        <v>596</v>
      </c>
      <c r="AQ2021" s="59">
        <f>SUMIFS(HIX_RatingAreas8[Silver Enrollments 2021],HIX_RatingAreas8[Area],HIX_SLCSP11[[#This Row],[Area Code]])</f>
        <v>532</v>
      </c>
      <c r="AR2021" s="59">
        <f>SUMIFS(HIX_RatingAreas8[Silver Enrollments 2022],HIX_RatingAreas8[Area],HIX_SLCSP11[[#This Row],[Area Code]])</f>
        <v>468</v>
      </c>
      <c r="AS2021" s="59">
        <f>SUMIFS(HIX_RatingAreas8[Silver Enrollments 2023],HIX_RatingAreas8[Area],HIX_SLCSP11[[#This Row],[Area Code]])</f>
        <v>468</v>
      </c>
      <c r="AT2021" s="59">
        <v>27160</v>
      </c>
      <c r="AU2021">
        <f t="shared" si="167"/>
        <v>5.9118147050949137E-2</v>
      </c>
      <c r="AV2021">
        <f>SUMIFS(HIX_RatingAreas8[QHP Enrollments 2018],HIX_RatingAreas8[Area],HIX_SLCSP11[[#This Row],[Area Code]])</f>
        <v>1145</v>
      </c>
      <c r="AW2021">
        <f t="shared" si="162"/>
        <v>5.0665958670737643E-2</v>
      </c>
      <c r="AX2021">
        <f>SUMIFS(HIX_RatingAreas8[QHP Enrollments 2019],HIX_RatingAreas8[Area],HIX_SLCSP11[[#This Row],[Area Code]])</f>
        <v>1145</v>
      </c>
      <c r="AY2021">
        <f t="shared" si="163"/>
        <v>5.0665958670737643E-2</v>
      </c>
      <c r="AZ2021">
        <f>SUMIFS(HIX_RatingAreas8[QHP Enrollments 2020],HIX_RatingAreas8[Area],HIX_SLCSP11[[#This Row],[Area Code]])</f>
        <v>938</v>
      </c>
      <c r="BA2021">
        <f t="shared" si="164"/>
        <v>4.6745739061098378E-2</v>
      </c>
      <c r="BB2021">
        <f>SUMIFS(HIX_RatingAreas8[QHP Enrollments 2021],HIX_RatingAreas8[Area],HIX_SLCSP11[[#This Row],[Area Code]])</f>
        <v>910</v>
      </c>
      <c r="BC2021">
        <f t="shared" si="165"/>
        <v>4.6953201589185284E-2</v>
      </c>
      <c r="BD2021">
        <f>SUMIFS(HIX_RatingAreas8[QHP Enrollments 2022],HIX_RatingAreas8[Area],HIX_SLCSP11[[#This Row],[Area Code]])</f>
        <v>1055</v>
      </c>
      <c r="BE2021">
        <f t="shared" si="166"/>
        <v>4.5795893562529846E-2</v>
      </c>
      <c r="BF2021">
        <f>SUMIFS(HIX_RatingAreas8[QHP Enrollments 2023],HIX_RatingAreas8[Area],HIX_SLCSP11[[#This Row],[Area Code]])</f>
        <v>1055</v>
      </c>
      <c r="BG2021">
        <f t="shared" si="168"/>
        <v>4.5795893562529846E-2</v>
      </c>
      <c r="BH2021" s="53">
        <f>ROUND(HIX_SLCSP11[[#This Row],[Weighting Factor 2018]]*HIX_SLCSP11[[#This Row],[2018]],2)</f>
        <v>25.07</v>
      </c>
      <c r="BI2021" s="53">
        <f>ROUND(HIX_SLCSP11[[#This Row],[Weighting Factor 2019]]*HIX_SLCSP11[[#This Row],[2019]],2)</f>
        <v>28.39</v>
      </c>
      <c r="BJ2021" s="53">
        <f>ROUND(HIX_SLCSP11[[#This Row],[Weighting Factor 2020]]*HIX_SLCSP11[[#This Row],[2020]],2)</f>
        <v>27.83</v>
      </c>
      <c r="BK2021" s="53">
        <f>ROUND(HIX_SLCSP11[[#This Row],[Weighting Factor 2021]]*HIX_SLCSP11[[#This Row],[2021]],2)</f>
        <v>29.38</v>
      </c>
      <c r="BL2021" s="53">
        <f>ROUND(HIX_SLCSP11[[#This Row],[Weighting Factor 2022]]*HIX_SLCSP11[[#This Row],[2022]],2)</f>
        <v>28.66</v>
      </c>
      <c r="BM2021" s="53">
        <f>ROUND(HIX_SLCSP11[[#This Row],[Weighting Factor 2023]]*HIX_SLCSP11[[#This Row],[2023]],2)</f>
        <v>29.24</v>
      </c>
    </row>
    <row r="2022" spans="3:74" x14ac:dyDescent="0.35">
      <c r="D2022" t="s">
        <v>2469</v>
      </c>
      <c r="E2022" t="s">
        <v>255</v>
      </c>
      <c r="F2022" s="23">
        <v>4</v>
      </c>
      <c r="G2022" s="23" t="s">
        <v>2470</v>
      </c>
      <c r="H2022" s="23" t="s">
        <v>2508</v>
      </c>
      <c r="I2022" s="23">
        <v>40</v>
      </c>
      <c r="J2022" s="53">
        <v>405.05</v>
      </c>
      <c r="K2022" s="53">
        <v>418.25</v>
      </c>
      <c r="L2022" s="53">
        <v>712.78</v>
      </c>
      <c r="M2022" s="54">
        <f t="shared" si="157"/>
        <v>1.704196054991034</v>
      </c>
      <c r="N2022" s="24">
        <v>36</v>
      </c>
      <c r="O2022" s="55">
        <v>445.37</v>
      </c>
      <c r="P2022" s="56">
        <v>463.21</v>
      </c>
      <c r="Q2022" s="56">
        <v>789.4</v>
      </c>
      <c r="R2022" s="57">
        <f t="shared" si="158"/>
        <v>1.704194641739168</v>
      </c>
      <c r="S2022" s="23">
        <v>32</v>
      </c>
      <c r="T2022" s="53">
        <v>475.81</v>
      </c>
      <c r="U2022" s="53">
        <v>492.25</v>
      </c>
      <c r="V2022" s="53">
        <v>838.89</v>
      </c>
      <c r="W2022" s="57">
        <f t="shared" si="159"/>
        <v>1.7041950228542406</v>
      </c>
      <c r="X2022" s="47">
        <v>36</v>
      </c>
      <c r="Y2022" s="58">
        <v>502.23</v>
      </c>
      <c r="Z2022" s="58">
        <v>517.03</v>
      </c>
      <c r="AA2022" s="58">
        <v>881.12</v>
      </c>
      <c r="AB2022" s="57">
        <f t="shared" si="160"/>
        <v>1.7041951144034195</v>
      </c>
      <c r="AC2022" s="47">
        <v>39</v>
      </c>
      <c r="AD2022" s="57">
        <v>595.35</v>
      </c>
      <c r="AE2022" s="57">
        <v>602.02</v>
      </c>
      <c r="AF2022" s="57">
        <v>1025.96</v>
      </c>
      <c r="AG2022" s="57">
        <f t="shared" si="161"/>
        <v>1.7041958738912331</v>
      </c>
      <c r="AH2022" s="47">
        <v>37</v>
      </c>
      <c r="AI2022">
        <v>614.91</v>
      </c>
      <c r="AJ2022">
        <v>638.5</v>
      </c>
      <c r="AK2022">
        <v>1088.1400000000001</v>
      </c>
      <c r="AL2022" s="57">
        <f t="shared" si="118"/>
        <v>1.7042129992169148</v>
      </c>
      <c r="AM2022" s="59"/>
      <c r="AN2022" s="59">
        <f>SUMIFS(HIX_RatingAreas8[Silver Enrollments 2018],HIX_RatingAreas8[Area],HIX_SLCSP11[[#This Row],[Area Code]])</f>
        <v>1393</v>
      </c>
      <c r="AO2022" s="59">
        <f>SUMIFS(HIX_RatingAreas8[Silver Enrollments 2019],HIX_RatingAreas8[Area],HIX_SLCSP11[[#This Row],[Area Code]])</f>
        <v>1393</v>
      </c>
      <c r="AP2022" s="59">
        <f>SUMIFS(HIX_RatingAreas8[Silver Enrollments 2020],HIX_RatingAreas8[Area],HIX_SLCSP11[[#This Row],[Area Code]])</f>
        <v>1291</v>
      </c>
      <c r="AQ2022" s="59">
        <f>SUMIFS(HIX_RatingAreas8[Silver Enrollments 2021],HIX_RatingAreas8[Area],HIX_SLCSP11[[#This Row],[Area Code]])</f>
        <v>1154</v>
      </c>
      <c r="AR2022" s="59">
        <f>SUMIFS(HIX_RatingAreas8[Silver Enrollments 2022],HIX_RatingAreas8[Area],HIX_SLCSP11[[#This Row],[Area Code]])</f>
        <v>989</v>
      </c>
      <c r="AS2022" s="59">
        <f>SUMIFS(HIX_RatingAreas8[Silver Enrollments 2023],HIX_RatingAreas8[Area],HIX_SLCSP11[[#This Row],[Area Code]])</f>
        <v>989</v>
      </c>
      <c r="AT2022" s="59">
        <v>76002</v>
      </c>
      <c r="AU2022">
        <f t="shared" si="167"/>
        <v>0.16543068527858013</v>
      </c>
      <c r="AV2022">
        <f>SUMIFS(HIX_RatingAreas8[QHP Enrollments 2018],HIX_RatingAreas8[Area],HIX_SLCSP11[[#This Row],[Area Code]])</f>
        <v>2107</v>
      </c>
      <c r="AW2022">
        <f t="shared" si="162"/>
        <v>9.3234213903270052E-2</v>
      </c>
      <c r="AX2022">
        <f>SUMIFS(HIX_RatingAreas8[QHP Enrollments 2019],HIX_RatingAreas8[Area],HIX_SLCSP11[[#This Row],[Area Code]])</f>
        <v>2107</v>
      </c>
      <c r="AY2022">
        <f t="shared" si="163"/>
        <v>9.3234213903270052E-2</v>
      </c>
      <c r="AZ2022">
        <f>SUMIFS(HIX_RatingAreas8[QHP Enrollments 2020],HIX_RatingAreas8[Area],HIX_SLCSP11[[#This Row],[Area Code]])</f>
        <v>1930</v>
      </c>
      <c r="BA2022">
        <f t="shared" si="164"/>
        <v>9.6182597428485991E-2</v>
      </c>
      <c r="BB2022">
        <f>SUMIFS(HIX_RatingAreas8[QHP Enrollments 2021],HIX_RatingAreas8[Area],HIX_SLCSP11[[#This Row],[Area Code]])</f>
        <v>1813</v>
      </c>
      <c r="BC2022">
        <f t="shared" si="165"/>
        <v>9.3545224704607605E-2</v>
      </c>
      <c r="BD2022">
        <f>SUMIFS(HIX_RatingAreas8[QHP Enrollments 2022],HIX_RatingAreas8[Area],HIX_SLCSP11[[#This Row],[Area Code]])</f>
        <v>1959</v>
      </c>
      <c r="BE2022">
        <f t="shared" si="166"/>
        <v>8.5037114207579118E-2</v>
      </c>
      <c r="BF2022">
        <f>SUMIFS(HIX_RatingAreas8[QHP Enrollments 2023],HIX_RatingAreas8[Area],HIX_SLCSP11[[#This Row],[Area Code]])</f>
        <v>1959</v>
      </c>
      <c r="BG2022">
        <f t="shared" si="168"/>
        <v>8.5037114207579118E-2</v>
      </c>
      <c r="BH2022" s="53">
        <f>ROUND(HIX_SLCSP11[[#This Row],[Weighting Factor 2018]]*HIX_SLCSP11[[#This Row],[2018]],2)</f>
        <v>39</v>
      </c>
      <c r="BI2022" s="53">
        <f>ROUND(HIX_SLCSP11[[#This Row],[Weighting Factor 2019]]*HIX_SLCSP11[[#This Row],[2019]],2)</f>
        <v>43.19</v>
      </c>
      <c r="BJ2022" s="53">
        <f>ROUND(HIX_SLCSP11[[#This Row],[Weighting Factor 2020]]*HIX_SLCSP11[[#This Row],[2020]],2)</f>
        <v>47.35</v>
      </c>
      <c r="BK2022" s="53">
        <f>ROUND(HIX_SLCSP11[[#This Row],[Weighting Factor 2021]]*HIX_SLCSP11[[#This Row],[2021]],2)</f>
        <v>48.37</v>
      </c>
      <c r="BL2022" s="53">
        <f>ROUND(HIX_SLCSP11[[#This Row],[Weighting Factor 2022]]*HIX_SLCSP11[[#This Row],[2022]],2)</f>
        <v>51.19</v>
      </c>
      <c r="BM2022" s="53">
        <f>ROUND(HIX_SLCSP11[[#This Row],[Weighting Factor 2023]]*HIX_SLCSP11[[#This Row],[2023]],2)</f>
        <v>54.3</v>
      </c>
    </row>
    <row r="2023" spans="3:74" x14ac:dyDescent="0.35">
      <c r="D2023" t="s">
        <v>2469</v>
      </c>
      <c r="E2023" t="s">
        <v>259</v>
      </c>
      <c r="F2023" s="23">
        <v>5</v>
      </c>
      <c r="G2023" s="23" t="s">
        <v>2470</v>
      </c>
      <c r="H2023" s="23" t="s">
        <v>2481</v>
      </c>
      <c r="I2023" s="23">
        <v>40</v>
      </c>
      <c r="J2023" s="53">
        <v>379.78</v>
      </c>
      <c r="K2023" s="53">
        <v>392.16</v>
      </c>
      <c r="L2023" s="53">
        <v>668.32</v>
      </c>
      <c r="M2023" s="54">
        <f t="shared" si="157"/>
        <v>1.704202366381069</v>
      </c>
      <c r="N2023" s="24">
        <v>36</v>
      </c>
      <c r="O2023" s="55">
        <v>418.68</v>
      </c>
      <c r="P2023" s="56">
        <v>435.44</v>
      </c>
      <c r="Q2023" s="56">
        <v>742.08</v>
      </c>
      <c r="R2023" s="57">
        <f t="shared" si="158"/>
        <v>1.7042072386551534</v>
      </c>
      <c r="S2023" s="23">
        <v>32</v>
      </c>
      <c r="T2023" s="53">
        <v>514.01</v>
      </c>
      <c r="U2023" s="53">
        <v>531.77</v>
      </c>
      <c r="V2023" s="53">
        <v>906.24</v>
      </c>
      <c r="W2023" s="57">
        <f t="shared" si="159"/>
        <v>1.7041954228331799</v>
      </c>
      <c r="X2023" s="47">
        <v>36</v>
      </c>
      <c r="Y2023" s="58">
        <v>575.61</v>
      </c>
      <c r="Z2023" s="58">
        <v>592.57000000000005</v>
      </c>
      <c r="AA2023" s="58">
        <v>1009.86</v>
      </c>
      <c r="AB2023" s="57">
        <f t="shared" si="160"/>
        <v>1.7042037227669304</v>
      </c>
      <c r="AC2023" s="47">
        <v>39</v>
      </c>
      <c r="AD2023" s="57">
        <v>655.77</v>
      </c>
      <c r="AE2023" s="57">
        <v>658.8</v>
      </c>
      <c r="AF2023" s="57">
        <v>1122.73</v>
      </c>
      <c r="AG2023" s="57">
        <f t="shared" si="161"/>
        <v>1.7042046144505163</v>
      </c>
      <c r="AH2023" s="47">
        <v>37</v>
      </c>
      <c r="AI2023">
        <v>660.22</v>
      </c>
      <c r="AJ2023">
        <v>685.55</v>
      </c>
      <c r="AK2023">
        <v>1168.31</v>
      </c>
      <c r="AL2023" s="57">
        <f t="shared" si="118"/>
        <v>1.7041937130770914</v>
      </c>
      <c r="AM2023" s="59"/>
      <c r="AN2023" s="59">
        <f>SUMIFS(HIX_RatingAreas8[Silver Enrollments 2018],HIX_RatingAreas8[Area],HIX_SLCSP11[[#This Row],[Area Code]])</f>
        <v>1569</v>
      </c>
      <c r="AO2023" s="59">
        <f>SUMIFS(HIX_RatingAreas8[Silver Enrollments 2019],HIX_RatingAreas8[Area],HIX_SLCSP11[[#This Row],[Area Code]])</f>
        <v>1569</v>
      </c>
      <c r="AP2023" s="59">
        <f>SUMIFS(HIX_RatingAreas8[Silver Enrollments 2020],HIX_RatingAreas8[Area],HIX_SLCSP11[[#This Row],[Area Code]])</f>
        <v>1263</v>
      </c>
      <c r="AQ2023" s="59">
        <f>SUMIFS(HIX_RatingAreas8[Silver Enrollments 2021],HIX_RatingAreas8[Area],HIX_SLCSP11[[#This Row],[Area Code]])</f>
        <v>1181</v>
      </c>
      <c r="AR2023" s="59">
        <f>SUMIFS(HIX_RatingAreas8[Silver Enrollments 2022],HIX_RatingAreas8[Area],HIX_SLCSP11[[#This Row],[Area Code]])</f>
        <v>1113</v>
      </c>
      <c r="AS2023" s="59">
        <f>SUMIFS(HIX_RatingAreas8[Silver Enrollments 2023],HIX_RatingAreas8[Area],HIX_SLCSP11[[#This Row],[Area Code]])</f>
        <v>1113</v>
      </c>
      <c r="AT2023" s="59">
        <v>18577</v>
      </c>
      <c r="AU2023">
        <f t="shared" si="167"/>
        <v>4.0435854851453686E-2</v>
      </c>
      <c r="AV2023">
        <f>SUMIFS(HIX_RatingAreas8[QHP Enrollments 2018],HIX_RatingAreas8[Area],HIX_SLCSP11[[#This Row],[Area Code]])</f>
        <v>2412</v>
      </c>
      <c r="AW2023">
        <f t="shared" si="162"/>
        <v>0.10673038630027877</v>
      </c>
      <c r="AX2023">
        <f>SUMIFS(HIX_RatingAreas8[QHP Enrollments 2019],HIX_RatingAreas8[Area],HIX_SLCSP11[[#This Row],[Area Code]])</f>
        <v>2412</v>
      </c>
      <c r="AY2023">
        <f t="shared" si="163"/>
        <v>0.10673038630027877</v>
      </c>
      <c r="AZ2023">
        <f>SUMIFS(HIX_RatingAreas8[QHP Enrollments 2020],HIX_RatingAreas8[Area],HIX_SLCSP11[[#This Row],[Area Code]])</f>
        <v>2102</v>
      </c>
      <c r="BA2023">
        <f t="shared" si="164"/>
        <v>0.10475431077444433</v>
      </c>
      <c r="BB2023">
        <f>SUMIFS(HIX_RatingAreas8[QHP Enrollments 2021],HIX_RatingAreas8[Area],HIX_SLCSP11[[#This Row],[Area Code]])</f>
        <v>2023</v>
      </c>
      <c r="BC2023">
        <f t="shared" si="165"/>
        <v>0.10438057891749651</v>
      </c>
      <c r="BD2023">
        <f>SUMIFS(HIX_RatingAreas8[QHP Enrollments 2022],HIX_RatingAreas8[Area],HIX_SLCSP11[[#This Row],[Area Code]])</f>
        <v>2532</v>
      </c>
      <c r="BE2023">
        <f t="shared" si="166"/>
        <v>0.10991014455007163</v>
      </c>
      <c r="BF2023">
        <f>SUMIFS(HIX_RatingAreas8[QHP Enrollments 2023],HIX_RatingAreas8[Area],HIX_SLCSP11[[#This Row],[Area Code]])</f>
        <v>2532</v>
      </c>
      <c r="BG2023">
        <f t="shared" si="168"/>
        <v>0.10991014455007163</v>
      </c>
      <c r="BH2023" s="53">
        <f>ROUND(HIX_SLCSP11[[#This Row],[Weighting Factor 2018]]*HIX_SLCSP11[[#This Row],[2018]],2)</f>
        <v>41.86</v>
      </c>
      <c r="BI2023" s="53">
        <f>ROUND(HIX_SLCSP11[[#This Row],[Weighting Factor 2019]]*HIX_SLCSP11[[#This Row],[2019]],2)</f>
        <v>46.47</v>
      </c>
      <c r="BJ2023" s="53">
        <f>ROUND(HIX_SLCSP11[[#This Row],[Weighting Factor 2020]]*HIX_SLCSP11[[#This Row],[2020]],2)</f>
        <v>55.71</v>
      </c>
      <c r="BK2023" s="53">
        <f>ROUND(HIX_SLCSP11[[#This Row],[Weighting Factor 2021]]*HIX_SLCSP11[[#This Row],[2021]],2)</f>
        <v>61.85</v>
      </c>
      <c r="BL2023" s="53">
        <f>ROUND(HIX_SLCSP11[[#This Row],[Weighting Factor 2022]]*HIX_SLCSP11[[#This Row],[2022]],2)</f>
        <v>72.41</v>
      </c>
      <c r="BM2023" s="53">
        <f>ROUND(HIX_SLCSP11[[#This Row],[Weighting Factor 2023]]*HIX_SLCSP11[[#This Row],[2023]],2)</f>
        <v>75.349999999999994</v>
      </c>
    </row>
    <row r="2024" spans="3:74" x14ac:dyDescent="0.35">
      <c r="D2024" t="s">
        <v>2469</v>
      </c>
      <c r="E2024" t="s">
        <v>265</v>
      </c>
      <c r="F2024" s="23">
        <v>6</v>
      </c>
      <c r="G2024" s="23" t="s">
        <v>2470</v>
      </c>
      <c r="H2024" s="23" t="s">
        <v>2473</v>
      </c>
      <c r="I2024" s="23">
        <v>16</v>
      </c>
      <c r="J2024" s="53">
        <v>439.35</v>
      </c>
      <c r="K2024" s="53">
        <v>459.01</v>
      </c>
      <c r="L2024" s="53">
        <v>782.25</v>
      </c>
      <c r="M2024" s="54">
        <f t="shared" si="157"/>
        <v>1.7042112372279472</v>
      </c>
      <c r="N2024" s="24">
        <v>12</v>
      </c>
      <c r="O2024" s="55">
        <v>479.36</v>
      </c>
      <c r="P2024" s="56">
        <v>500.29</v>
      </c>
      <c r="Q2024" s="56">
        <v>852.6</v>
      </c>
      <c r="R2024" s="57">
        <f t="shared" si="158"/>
        <v>1.7042115572967678</v>
      </c>
      <c r="S2024" s="23">
        <v>8</v>
      </c>
      <c r="T2024" s="53">
        <v>502.25</v>
      </c>
      <c r="U2024" s="53">
        <v>526.59</v>
      </c>
      <c r="V2024" s="53">
        <v>897.41</v>
      </c>
      <c r="W2024" s="57">
        <f t="shared" si="159"/>
        <v>1.7041911164283408</v>
      </c>
      <c r="X2024" s="47">
        <v>36</v>
      </c>
      <c r="Y2024" s="58">
        <v>507.44</v>
      </c>
      <c r="Z2024" s="58">
        <v>522.39</v>
      </c>
      <c r="AA2024" s="58">
        <v>890.25</v>
      </c>
      <c r="AB2024" s="57">
        <f t="shared" si="160"/>
        <v>1.7041865273071843</v>
      </c>
      <c r="AC2024" s="47">
        <v>39</v>
      </c>
      <c r="AD2024" s="57">
        <v>537.73</v>
      </c>
      <c r="AE2024" s="57">
        <v>540.22</v>
      </c>
      <c r="AF2024" s="57">
        <v>920.65</v>
      </c>
      <c r="AG2024" s="57">
        <f t="shared" si="161"/>
        <v>1.7042130983673316</v>
      </c>
      <c r="AH2024" s="47">
        <v>37</v>
      </c>
      <c r="AI2024">
        <v>530.76</v>
      </c>
      <c r="AJ2024">
        <v>551.12</v>
      </c>
      <c r="AK2024">
        <v>939.22</v>
      </c>
      <c r="AL2024" s="57">
        <f t="shared" si="118"/>
        <v>1.7042023515749747</v>
      </c>
      <c r="AM2024" s="59"/>
      <c r="AN2024" s="59">
        <f>SUMIFS(HIX_RatingAreas8[Silver Enrollments 2018],HIX_RatingAreas8[Area],HIX_SLCSP11[[#This Row],[Area Code]])</f>
        <v>1884</v>
      </c>
      <c r="AO2024" s="59">
        <f>SUMIFS(HIX_RatingAreas8[Silver Enrollments 2019],HIX_RatingAreas8[Area],HIX_SLCSP11[[#This Row],[Area Code]])</f>
        <v>1884</v>
      </c>
      <c r="AP2024" s="59">
        <f>SUMIFS(HIX_RatingAreas8[Silver Enrollments 2020],HIX_RatingAreas8[Area],HIX_SLCSP11[[#This Row],[Area Code]])</f>
        <v>1717</v>
      </c>
      <c r="AQ2024" s="59">
        <f>SUMIFS(HIX_RatingAreas8[Silver Enrollments 2021],HIX_RatingAreas8[Area],HIX_SLCSP11[[#This Row],[Area Code]])</f>
        <v>1587</v>
      </c>
      <c r="AR2024" s="59">
        <f>SUMIFS(HIX_RatingAreas8[Silver Enrollments 2022],HIX_RatingAreas8[Area],HIX_SLCSP11[[#This Row],[Area Code]])</f>
        <v>1324</v>
      </c>
      <c r="AS2024" s="59">
        <f>SUMIFS(HIX_RatingAreas8[Silver Enrollments 2023],HIX_RatingAreas8[Area],HIX_SLCSP11[[#This Row],[Area Code]])</f>
        <v>1324</v>
      </c>
      <c r="AT2024" s="59">
        <v>44722</v>
      </c>
      <c r="AU2024">
        <f t="shared" si="167"/>
        <v>9.7344689705911161E-2</v>
      </c>
      <c r="AV2024">
        <f>SUMIFS(HIX_RatingAreas8[QHP Enrollments 2018],HIX_RatingAreas8[Area],HIX_SLCSP11[[#This Row],[Area Code]])</f>
        <v>2780</v>
      </c>
      <c r="AW2024">
        <f t="shared" si="162"/>
        <v>0.12301429266781716</v>
      </c>
      <c r="AX2024">
        <f>SUMIFS(HIX_RatingAreas8[QHP Enrollments 2019],HIX_RatingAreas8[Area],HIX_SLCSP11[[#This Row],[Area Code]])</f>
        <v>2780</v>
      </c>
      <c r="AY2024">
        <f t="shared" si="163"/>
        <v>0.12301429266781716</v>
      </c>
      <c r="AZ2024">
        <f>SUMIFS(HIX_RatingAreas8[QHP Enrollments 2020],HIX_RatingAreas8[Area],HIX_SLCSP11[[#This Row],[Area Code]])</f>
        <v>2669</v>
      </c>
      <c r="BA2024">
        <f t="shared" si="164"/>
        <v>0.13301106349048142</v>
      </c>
      <c r="BB2024">
        <f>SUMIFS(HIX_RatingAreas8[QHP Enrollments 2021],HIX_RatingAreas8[Area],HIX_SLCSP11[[#This Row],[Area Code]])</f>
        <v>2774</v>
      </c>
      <c r="BC2024">
        <f t="shared" si="165"/>
        <v>0.14312986945978021</v>
      </c>
      <c r="BD2024">
        <f>SUMIFS(HIX_RatingAreas8[QHP Enrollments 2022],HIX_RatingAreas8[Area],HIX_SLCSP11[[#This Row],[Area Code]])</f>
        <v>3315</v>
      </c>
      <c r="BE2024">
        <f t="shared" si="166"/>
        <v>0.143898945175153</v>
      </c>
      <c r="BF2024">
        <f>SUMIFS(HIX_RatingAreas8[QHP Enrollments 2023],HIX_RatingAreas8[Area],HIX_SLCSP11[[#This Row],[Area Code]])</f>
        <v>3315</v>
      </c>
      <c r="BG2024">
        <f t="shared" si="168"/>
        <v>0.143898945175153</v>
      </c>
      <c r="BH2024" s="53">
        <f>ROUND(HIX_SLCSP11[[#This Row],[Weighting Factor 2018]]*HIX_SLCSP11[[#This Row],[2018]],2)</f>
        <v>56.46</v>
      </c>
      <c r="BI2024" s="53">
        <f>ROUND(HIX_SLCSP11[[#This Row],[Weighting Factor 2019]]*HIX_SLCSP11[[#This Row],[2019]],2)</f>
        <v>61.54</v>
      </c>
      <c r="BJ2024" s="53">
        <f>ROUND(HIX_SLCSP11[[#This Row],[Weighting Factor 2020]]*HIX_SLCSP11[[#This Row],[2020]],2)</f>
        <v>70.040000000000006</v>
      </c>
      <c r="BK2024" s="53">
        <f>ROUND(HIX_SLCSP11[[#This Row],[Weighting Factor 2021]]*HIX_SLCSP11[[#This Row],[2021]],2)</f>
        <v>74.77</v>
      </c>
      <c r="BL2024" s="53">
        <f>ROUND(HIX_SLCSP11[[#This Row],[Weighting Factor 2022]]*HIX_SLCSP11[[#This Row],[2022]],2)</f>
        <v>77.739999999999995</v>
      </c>
      <c r="BM2024" s="53">
        <f>ROUND(HIX_SLCSP11[[#This Row],[Weighting Factor 2023]]*HIX_SLCSP11[[#This Row],[2023]],2)</f>
        <v>79.31</v>
      </c>
    </row>
    <row r="2025" spans="3:74" x14ac:dyDescent="0.35">
      <c r="D2025" t="s">
        <v>2469</v>
      </c>
      <c r="E2025" t="s">
        <v>273</v>
      </c>
      <c r="F2025" s="23">
        <v>7</v>
      </c>
      <c r="G2025" s="23" t="s">
        <v>2470</v>
      </c>
      <c r="H2025" s="23" t="s">
        <v>2489</v>
      </c>
      <c r="I2025" s="23">
        <v>16</v>
      </c>
      <c r="J2025" s="53">
        <v>439.35</v>
      </c>
      <c r="K2025" s="53">
        <v>459.01</v>
      </c>
      <c r="L2025" s="53">
        <v>782.25</v>
      </c>
      <c r="M2025" s="54">
        <f t="shared" si="157"/>
        <v>1.7042112372279472</v>
      </c>
      <c r="N2025" s="24">
        <v>12</v>
      </c>
      <c r="O2025" s="55">
        <v>479.36</v>
      </c>
      <c r="P2025" s="56">
        <v>500.29</v>
      </c>
      <c r="Q2025" s="56">
        <v>852.6</v>
      </c>
      <c r="R2025" s="57">
        <f t="shared" si="158"/>
        <v>1.7042115572967678</v>
      </c>
      <c r="S2025" s="23">
        <v>32</v>
      </c>
      <c r="T2025" s="53">
        <v>415.85</v>
      </c>
      <c r="U2025" s="53">
        <v>430.22</v>
      </c>
      <c r="V2025" s="53">
        <v>733.18</v>
      </c>
      <c r="W2025" s="57">
        <f t="shared" si="159"/>
        <v>1.7041978522616335</v>
      </c>
      <c r="X2025" s="47">
        <v>36</v>
      </c>
      <c r="Y2025" s="58">
        <v>452.79</v>
      </c>
      <c r="Z2025" s="58">
        <v>466.13</v>
      </c>
      <c r="AA2025" s="58">
        <v>794.37</v>
      </c>
      <c r="AB2025" s="57">
        <f t="shared" si="160"/>
        <v>1.7041812369939717</v>
      </c>
      <c r="AC2025" s="47">
        <v>39</v>
      </c>
      <c r="AD2025" s="57">
        <v>537.73</v>
      </c>
      <c r="AE2025" s="57">
        <v>540.22</v>
      </c>
      <c r="AF2025" s="57">
        <v>920.65</v>
      </c>
      <c r="AG2025" s="57">
        <f t="shared" si="161"/>
        <v>1.7042130983673316</v>
      </c>
      <c r="AH2025" s="47">
        <v>37</v>
      </c>
      <c r="AI2025">
        <v>530.76</v>
      </c>
      <c r="AJ2025">
        <v>551.12</v>
      </c>
      <c r="AK2025">
        <v>939.22</v>
      </c>
      <c r="AL2025" s="57">
        <f t="shared" si="118"/>
        <v>1.7042023515749747</v>
      </c>
      <c r="AM2025" s="59"/>
      <c r="AN2025" s="59">
        <f>SUMIFS(HIX_RatingAreas8[Silver Enrollments 2018],HIX_RatingAreas8[Area],HIX_SLCSP11[[#This Row],[Area Code]])</f>
        <v>1203</v>
      </c>
      <c r="AO2025" s="59">
        <f>SUMIFS(HIX_RatingAreas8[Silver Enrollments 2019],HIX_RatingAreas8[Area],HIX_SLCSP11[[#This Row],[Area Code]])</f>
        <v>1203</v>
      </c>
      <c r="AP2025" s="59">
        <f>SUMIFS(HIX_RatingAreas8[Silver Enrollments 2020],HIX_RatingAreas8[Area],HIX_SLCSP11[[#This Row],[Area Code]])</f>
        <v>1131</v>
      </c>
      <c r="AQ2025" s="59">
        <f>SUMIFS(HIX_RatingAreas8[Silver Enrollments 2021],HIX_RatingAreas8[Area],HIX_SLCSP11[[#This Row],[Area Code]])</f>
        <v>959</v>
      </c>
      <c r="AR2025" s="59">
        <f>SUMIFS(HIX_RatingAreas8[Silver Enrollments 2022],HIX_RatingAreas8[Area],HIX_SLCSP11[[#This Row],[Area Code]])</f>
        <v>647</v>
      </c>
      <c r="AS2025" s="59">
        <f>SUMIFS(HIX_RatingAreas8[Silver Enrollments 2023],HIX_RatingAreas8[Area],HIX_SLCSP11[[#This Row],[Area Code]])</f>
        <v>647</v>
      </c>
      <c r="AT2025" s="59">
        <v>44723</v>
      </c>
      <c r="AU2025">
        <f t="shared" si="167"/>
        <v>9.7346866368173718E-2</v>
      </c>
      <c r="AV2025">
        <f>SUMIFS(HIX_RatingAreas8[QHP Enrollments 2018],HIX_RatingAreas8[Area],HIX_SLCSP11[[#This Row],[Area Code]])</f>
        <v>1707</v>
      </c>
      <c r="AW2025">
        <f t="shared" si="162"/>
        <v>7.5534315677684857E-2</v>
      </c>
      <c r="AX2025">
        <f>SUMIFS(HIX_RatingAreas8[QHP Enrollments 2019],HIX_RatingAreas8[Area],HIX_SLCSP11[[#This Row],[Area Code]])</f>
        <v>1707</v>
      </c>
      <c r="AY2025">
        <f t="shared" si="163"/>
        <v>7.5534315677684857E-2</v>
      </c>
      <c r="AZ2025">
        <f>SUMIFS(HIX_RatingAreas8[QHP Enrollments 2020],HIX_RatingAreas8[Area],HIX_SLCSP11[[#This Row],[Area Code]])</f>
        <v>1605</v>
      </c>
      <c r="BA2025">
        <f t="shared" si="164"/>
        <v>7.9986046048041465E-2</v>
      </c>
      <c r="BB2025">
        <f>SUMIFS(HIX_RatingAreas8[QHP Enrollments 2021],HIX_RatingAreas8[Area],HIX_SLCSP11[[#This Row],[Area Code]])</f>
        <v>1575</v>
      </c>
      <c r="BC2025">
        <f t="shared" si="165"/>
        <v>8.1265156596666832E-2</v>
      </c>
      <c r="BD2025">
        <f>SUMIFS(HIX_RatingAreas8[QHP Enrollments 2022],HIX_RatingAreas8[Area],HIX_SLCSP11[[#This Row],[Area Code]])</f>
        <v>1578</v>
      </c>
      <c r="BE2025">
        <f t="shared" si="166"/>
        <v>6.8498502409167855E-2</v>
      </c>
      <c r="BF2025">
        <f>SUMIFS(HIX_RatingAreas8[QHP Enrollments 2023],HIX_RatingAreas8[Area],HIX_SLCSP11[[#This Row],[Area Code]])</f>
        <v>1578</v>
      </c>
      <c r="BG2025">
        <f t="shared" si="168"/>
        <v>6.8498502409167855E-2</v>
      </c>
      <c r="BH2025" s="53">
        <f>ROUND(HIX_SLCSP11[[#This Row],[Weighting Factor 2018]]*HIX_SLCSP11[[#This Row],[2018]],2)</f>
        <v>34.67</v>
      </c>
      <c r="BI2025" s="53">
        <f>ROUND(HIX_SLCSP11[[#This Row],[Weighting Factor 2019]]*HIX_SLCSP11[[#This Row],[2019]],2)</f>
        <v>37.79</v>
      </c>
      <c r="BJ2025" s="53">
        <f>ROUND(HIX_SLCSP11[[#This Row],[Weighting Factor 2020]]*HIX_SLCSP11[[#This Row],[2020]],2)</f>
        <v>34.409999999999997</v>
      </c>
      <c r="BK2025" s="53">
        <f>ROUND(HIX_SLCSP11[[#This Row],[Weighting Factor 2021]]*HIX_SLCSP11[[#This Row],[2021]],2)</f>
        <v>37.880000000000003</v>
      </c>
      <c r="BL2025" s="53">
        <f>ROUND(HIX_SLCSP11[[#This Row],[Weighting Factor 2022]]*HIX_SLCSP11[[#This Row],[2022]],2)</f>
        <v>37</v>
      </c>
      <c r="BM2025" s="53">
        <f>ROUND(HIX_SLCSP11[[#This Row],[Weighting Factor 2023]]*HIX_SLCSP11[[#This Row],[2023]],2)</f>
        <v>37.75</v>
      </c>
    </row>
    <row r="2026" spans="3:74" x14ac:dyDescent="0.35">
      <c r="D2026" t="s">
        <v>2469</v>
      </c>
      <c r="E2026" t="s">
        <v>279</v>
      </c>
      <c r="F2026" s="23">
        <v>8</v>
      </c>
      <c r="G2026" s="23" t="s">
        <v>2470</v>
      </c>
      <c r="H2026" s="23" t="s">
        <v>2485</v>
      </c>
      <c r="I2026" s="23">
        <v>40</v>
      </c>
      <c r="J2026" s="53">
        <v>405.85</v>
      </c>
      <c r="K2026" s="53">
        <v>419.08</v>
      </c>
      <c r="L2026" s="53">
        <v>714.19</v>
      </c>
      <c r="M2026" s="54">
        <f t="shared" si="157"/>
        <v>1.7041853584041236</v>
      </c>
      <c r="N2026" s="24">
        <v>36</v>
      </c>
      <c r="O2026" s="55">
        <v>447.6</v>
      </c>
      <c r="P2026" s="56">
        <v>465.52</v>
      </c>
      <c r="Q2026" s="56">
        <v>793.34</v>
      </c>
      <c r="R2026" s="57">
        <f t="shared" si="158"/>
        <v>1.7042017528785016</v>
      </c>
      <c r="S2026" s="23">
        <v>32</v>
      </c>
      <c r="T2026" s="53">
        <v>477.74</v>
      </c>
      <c r="U2026" s="53">
        <v>494.25</v>
      </c>
      <c r="V2026" s="53">
        <v>842.3</v>
      </c>
      <c r="W2026" s="57">
        <f t="shared" si="159"/>
        <v>1.7041982802225593</v>
      </c>
      <c r="X2026" s="47">
        <v>36</v>
      </c>
      <c r="Y2026" s="58">
        <v>504.31</v>
      </c>
      <c r="Z2026" s="58">
        <v>519.16999999999996</v>
      </c>
      <c r="AA2026" s="58">
        <v>884.77</v>
      </c>
      <c r="AB2026" s="57">
        <f t="shared" si="160"/>
        <v>1.7042009361095596</v>
      </c>
      <c r="AC2026" s="47">
        <v>39</v>
      </c>
      <c r="AD2026" s="57">
        <v>617.87</v>
      </c>
      <c r="AE2026" s="57">
        <v>619.70000000000005</v>
      </c>
      <c r="AF2026" s="57">
        <v>1056.0999999999999</v>
      </c>
      <c r="AG2026" s="57">
        <f t="shared" si="161"/>
        <v>1.7042117153461349</v>
      </c>
      <c r="AH2026" s="47">
        <v>37</v>
      </c>
      <c r="AI2026">
        <v>598.73</v>
      </c>
      <c r="AJ2026">
        <v>621.69000000000005</v>
      </c>
      <c r="AK2026">
        <v>1059.49</v>
      </c>
      <c r="AL2026" s="57">
        <f t="shared" si="118"/>
        <v>1.7042094934774565</v>
      </c>
      <c r="AM2026" s="59"/>
      <c r="AN2026" s="59">
        <f>SUMIFS(HIX_RatingAreas8[Silver Enrollments 2018],HIX_RatingAreas8[Area],HIX_SLCSP11[[#This Row],[Area Code]])</f>
        <v>1421</v>
      </c>
      <c r="AO2026" s="59">
        <f>SUMIFS(HIX_RatingAreas8[Silver Enrollments 2019],HIX_RatingAreas8[Area],HIX_SLCSP11[[#This Row],[Area Code]])</f>
        <v>1421</v>
      </c>
      <c r="AP2026" s="59">
        <f>SUMIFS(HIX_RatingAreas8[Silver Enrollments 2020],HIX_RatingAreas8[Area],HIX_SLCSP11[[#This Row],[Area Code]])</f>
        <v>1233</v>
      </c>
      <c r="AQ2026" s="59">
        <f>SUMIFS(HIX_RatingAreas8[Silver Enrollments 2021],HIX_RatingAreas8[Area],HIX_SLCSP11[[#This Row],[Area Code]])</f>
        <v>1173</v>
      </c>
      <c r="AR2026" s="59">
        <f>SUMIFS(HIX_RatingAreas8[Silver Enrollments 2022],HIX_RatingAreas8[Area],HIX_SLCSP11[[#This Row],[Area Code]])</f>
        <v>1106</v>
      </c>
      <c r="AS2026" s="59">
        <f>SUMIFS(HIX_RatingAreas8[Silver Enrollments 2023],HIX_RatingAreas8[Area],HIX_SLCSP11[[#This Row],[Area Code]])</f>
        <v>1106</v>
      </c>
      <c r="AT2026" s="59">
        <v>44724</v>
      </c>
      <c r="AU2026">
        <f t="shared" si="167"/>
        <v>9.7349043030436275E-2</v>
      </c>
      <c r="AV2026">
        <f>SUMIFS(HIX_RatingAreas8[QHP Enrollments 2018],HIX_RatingAreas8[Area],HIX_SLCSP11[[#This Row],[Area Code]])</f>
        <v>2362</v>
      </c>
      <c r="AW2026">
        <f t="shared" si="162"/>
        <v>0.10451789902208063</v>
      </c>
      <c r="AX2026">
        <f>SUMIFS(HIX_RatingAreas8[QHP Enrollments 2019],HIX_RatingAreas8[Area],HIX_SLCSP11[[#This Row],[Area Code]])</f>
        <v>2362</v>
      </c>
      <c r="AY2026">
        <f t="shared" si="163"/>
        <v>0.10451789902208063</v>
      </c>
      <c r="AZ2026">
        <f>SUMIFS(HIX_RatingAreas8[QHP Enrollments 2020],HIX_RatingAreas8[Area],HIX_SLCSP11[[#This Row],[Area Code]])</f>
        <v>2114</v>
      </c>
      <c r="BA2026">
        <f t="shared" si="164"/>
        <v>0.10535233728695305</v>
      </c>
      <c r="BB2026">
        <f>SUMIFS(HIX_RatingAreas8[QHP Enrollments 2021],HIX_RatingAreas8[Area],HIX_SLCSP11[[#This Row],[Area Code]])</f>
        <v>2016</v>
      </c>
      <c r="BC2026">
        <f t="shared" si="165"/>
        <v>0.10401940044373355</v>
      </c>
      <c r="BD2026">
        <f>SUMIFS(HIX_RatingAreas8[QHP Enrollments 2022],HIX_RatingAreas8[Area],HIX_SLCSP11[[#This Row],[Area Code]])</f>
        <v>2690</v>
      </c>
      <c r="BE2026">
        <f t="shared" si="166"/>
        <v>0.11676867647697182</v>
      </c>
      <c r="BF2026">
        <f>SUMIFS(HIX_RatingAreas8[QHP Enrollments 2023],HIX_RatingAreas8[Area],HIX_SLCSP11[[#This Row],[Area Code]])</f>
        <v>2690</v>
      </c>
      <c r="BG2026">
        <f t="shared" si="168"/>
        <v>0.11676867647697182</v>
      </c>
      <c r="BH2026" s="53">
        <f>ROUND(HIX_SLCSP11[[#This Row],[Weighting Factor 2018]]*HIX_SLCSP11[[#This Row],[2018]],2)</f>
        <v>43.8</v>
      </c>
      <c r="BI2026" s="53">
        <f>ROUND(HIX_SLCSP11[[#This Row],[Weighting Factor 2019]]*HIX_SLCSP11[[#This Row],[2019]],2)</f>
        <v>48.66</v>
      </c>
      <c r="BJ2026" s="53">
        <f>ROUND(HIX_SLCSP11[[#This Row],[Weighting Factor 2020]]*HIX_SLCSP11[[#This Row],[2020]],2)</f>
        <v>52.07</v>
      </c>
      <c r="BK2026" s="53">
        <f>ROUND(HIX_SLCSP11[[#This Row],[Weighting Factor 2021]]*HIX_SLCSP11[[#This Row],[2021]],2)</f>
        <v>54</v>
      </c>
      <c r="BL2026" s="53">
        <f>ROUND(HIX_SLCSP11[[#This Row],[Weighting Factor 2022]]*HIX_SLCSP11[[#This Row],[2022]],2)</f>
        <v>72.36</v>
      </c>
      <c r="BM2026" s="53">
        <f>ROUND(HIX_SLCSP11[[#This Row],[Weighting Factor 2023]]*HIX_SLCSP11[[#This Row],[2023]],2)</f>
        <v>72.59</v>
      </c>
    </row>
    <row r="2027" spans="3:74" x14ac:dyDescent="0.35">
      <c r="D2027" t="s">
        <v>2469</v>
      </c>
      <c r="E2027" t="s">
        <v>283</v>
      </c>
      <c r="F2027" s="23">
        <v>9</v>
      </c>
      <c r="G2027" s="23" t="s">
        <v>2470</v>
      </c>
      <c r="H2027" s="23" t="s">
        <v>2471</v>
      </c>
      <c r="I2027" s="23">
        <v>40</v>
      </c>
      <c r="J2027" s="53">
        <v>455.18</v>
      </c>
      <c r="K2027" s="53">
        <v>470.01</v>
      </c>
      <c r="L2027" s="53">
        <v>800.99</v>
      </c>
      <c r="M2027" s="54">
        <f t="shared" si="157"/>
        <v>1.7041977830258932</v>
      </c>
      <c r="N2027" s="24">
        <v>36</v>
      </c>
      <c r="O2027" s="55">
        <v>503.66</v>
      </c>
      <c r="P2027" s="56">
        <v>523.83000000000004</v>
      </c>
      <c r="Q2027" s="56">
        <v>892.7</v>
      </c>
      <c r="R2027" s="57">
        <f t="shared" si="158"/>
        <v>1.7041788366454766</v>
      </c>
      <c r="S2027" s="23">
        <v>32</v>
      </c>
      <c r="T2027" s="53">
        <v>537.70000000000005</v>
      </c>
      <c r="U2027" s="53">
        <v>556.28</v>
      </c>
      <c r="V2027" s="53">
        <v>948.01</v>
      </c>
      <c r="W2027" s="57">
        <f t="shared" si="159"/>
        <v>1.7041957287696845</v>
      </c>
      <c r="X2027" s="47">
        <v>36</v>
      </c>
      <c r="Y2027" s="58">
        <v>567.80999999999995</v>
      </c>
      <c r="Z2027" s="58">
        <v>584.54</v>
      </c>
      <c r="AA2027" s="58">
        <v>996.16</v>
      </c>
      <c r="AB2027" s="57">
        <f t="shared" si="160"/>
        <v>1.7041776439593528</v>
      </c>
      <c r="AC2027" s="47">
        <v>39</v>
      </c>
      <c r="AD2027" s="57">
        <v>619.70000000000005</v>
      </c>
      <c r="AE2027" s="57">
        <v>622.55999999999995</v>
      </c>
      <c r="AF2027" s="57">
        <v>1060.97</v>
      </c>
      <c r="AG2027" s="57">
        <f t="shared" si="161"/>
        <v>1.7042052171678235</v>
      </c>
      <c r="AH2027" s="47">
        <v>37</v>
      </c>
      <c r="AI2027">
        <v>598.73</v>
      </c>
      <c r="AJ2027">
        <v>621.69000000000005</v>
      </c>
      <c r="AK2027">
        <v>1059.49</v>
      </c>
      <c r="AL2027" s="57">
        <f t="shared" si="118"/>
        <v>1.7042094934774565</v>
      </c>
      <c r="AM2027" s="59"/>
      <c r="AN2027" s="59">
        <f>SUMIFS(HIX_RatingAreas8[Silver Enrollments 2018],HIX_RatingAreas8[Area],HIX_SLCSP11[[#This Row],[Area Code]])</f>
        <v>1636</v>
      </c>
      <c r="AO2027" s="59">
        <f>SUMIFS(HIX_RatingAreas8[Silver Enrollments 2019],HIX_RatingAreas8[Area],HIX_SLCSP11[[#This Row],[Area Code]])</f>
        <v>1636</v>
      </c>
      <c r="AP2027" s="59">
        <f>SUMIFS(HIX_RatingAreas8[Silver Enrollments 2020],HIX_RatingAreas8[Area],HIX_SLCSP11[[#This Row],[Area Code]])</f>
        <v>1329</v>
      </c>
      <c r="AQ2027" s="59">
        <f>SUMIFS(HIX_RatingAreas8[Silver Enrollments 2021],HIX_RatingAreas8[Area],HIX_SLCSP11[[#This Row],[Area Code]])</f>
        <v>1264</v>
      </c>
      <c r="AR2027" s="59">
        <f>SUMIFS(HIX_RatingAreas8[Silver Enrollments 2022],HIX_RatingAreas8[Area],HIX_SLCSP11[[#This Row],[Area Code]])</f>
        <v>1127</v>
      </c>
      <c r="AS2027" s="59">
        <f>SUMIFS(HIX_RatingAreas8[Silver Enrollments 2023],HIX_RatingAreas8[Area],HIX_SLCSP11[[#This Row],[Area Code]])</f>
        <v>1127</v>
      </c>
      <c r="AT2027" s="59">
        <v>44725</v>
      </c>
      <c r="AU2027">
        <f t="shared" si="167"/>
        <v>9.7351219692698818E-2</v>
      </c>
      <c r="AV2027">
        <f>SUMIFS(HIX_RatingAreas8[QHP Enrollments 2018],HIX_RatingAreas8[Area],HIX_SLCSP11[[#This Row],[Area Code]])</f>
        <v>2731</v>
      </c>
      <c r="AW2027">
        <f t="shared" si="162"/>
        <v>0.12084605513518297</v>
      </c>
      <c r="AX2027">
        <f>SUMIFS(HIX_RatingAreas8[QHP Enrollments 2019],HIX_RatingAreas8[Area],HIX_SLCSP11[[#This Row],[Area Code]])</f>
        <v>2731</v>
      </c>
      <c r="AY2027">
        <f t="shared" si="163"/>
        <v>0.12084605513518297</v>
      </c>
      <c r="AZ2027">
        <f>SUMIFS(HIX_RatingAreas8[QHP Enrollments 2020],HIX_RatingAreas8[Area],HIX_SLCSP11[[#This Row],[Area Code]])</f>
        <v>2369</v>
      </c>
      <c r="BA2027">
        <f t="shared" si="164"/>
        <v>0.11806040067776338</v>
      </c>
      <c r="BB2027">
        <f>SUMIFS(HIX_RatingAreas8[QHP Enrollments 2021],HIX_RatingAreas8[Area],HIX_SLCSP11[[#This Row],[Area Code]])</f>
        <v>2288</v>
      </c>
      <c r="BC2027">
        <f t="shared" si="165"/>
        <v>0.11805376399566586</v>
      </c>
      <c r="BD2027">
        <f>SUMIFS(HIX_RatingAreas8[QHP Enrollments 2022],HIX_RatingAreas8[Area],HIX_SLCSP11[[#This Row],[Area Code]])</f>
        <v>2757</v>
      </c>
      <c r="BE2027">
        <f t="shared" si="166"/>
        <v>0.11967704128141685</v>
      </c>
      <c r="BF2027">
        <f>SUMIFS(HIX_RatingAreas8[QHP Enrollments 2023],HIX_RatingAreas8[Area],HIX_SLCSP11[[#This Row],[Area Code]])</f>
        <v>2757</v>
      </c>
      <c r="BG2027">
        <f t="shared" si="168"/>
        <v>0.11967704128141685</v>
      </c>
      <c r="BH2027" s="53">
        <f>ROUND(HIX_SLCSP11[[#This Row],[Weighting Factor 2018]]*HIX_SLCSP11[[#This Row],[2018]],2)</f>
        <v>56.8</v>
      </c>
      <c r="BI2027" s="53">
        <f>ROUND(HIX_SLCSP11[[#This Row],[Weighting Factor 2019]]*HIX_SLCSP11[[#This Row],[2019]],2)</f>
        <v>63.3</v>
      </c>
      <c r="BJ2027" s="53">
        <f>ROUND(HIX_SLCSP11[[#This Row],[Weighting Factor 2020]]*HIX_SLCSP11[[#This Row],[2020]],2)</f>
        <v>65.67</v>
      </c>
      <c r="BK2027" s="53">
        <f>ROUND(HIX_SLCSP11[[#This Row],[Weighting Factor 2021]]*HIX_SLCSP11[[#This Row],[2021]],2)</f>
        <v>69.010000000000005</v>
      </c>
      <c r="BL2027" s="53">
        <f>ROUND(HIX_SLCSP11[[#This Row],[Weighting Factor 2022]]*HIX_SLCSP11[[#This Row],[2022]],2)</f>
        <v>74.510000000000005</v>
      </c>
      <c r="BM2027" s="53">
        <f>ROUND(HIX_SLCSP11[[#This Row],[Weighting Factor 2023]]*HIX_SLCSP11[[#This Row],[2023]],2)</f>
        <v>74.400000000000006</v>
      </c>
    </row>
    <row r="2028" spans="3:74" x14ac:dyDescent="0.35">
      <c r="D2028" t="s">
        <v>2469</v>
      </c>
      <c r="E2028" t="s">
        <v>289</v>
      </c>
      <c r="F2028" s="23">
        <v>10</v>
      </c>
      <c r="G2028" s="23" t="s">
        <v>2470</v>
      </c>
      <c r="H2028" s="23" t="s">
        <v>2496</v>
      </c>
      <c r="I2028" s="23">
        <v>40</v>
      </c>
      <c r="J2028" s="53">
        <v>397.03</v>
      </c>
      <c r="K2028" s="53">
        <v>409.97</v>
      </c>
      <c r="L2028" s="53">
        <v>698.66</v>
      </c>
      <c r="M2028" s="54">
        <f t="shared" si="157"/>
        <v>1.7041734761080076</v>
      </c>
      <c r="N2028" s="24">
        <v>36</v>
      </c>
      <c r="O2028" s="55">
        <v>406.22</v>
      </c>
      <c r="P2028" s="56">
        <v>422.49</v>
      </c>
      <c r="Q2028" s="56">
        <v>720</v>
      </c>
      <c r="R2028" s="57">
        <f t="shared" si="158"/>
        <v>1.7041823475111837</v>
      </c>
      <c r="S2028" s="23">
        <v>32</v>
      </c>
      <c r="T2028" s="53">
        <v>433.74</v>
      </c>
      <c r="U2028" s="53">
        <v>448.73</v>
      </c>
      <c r="V2028" s="53">
        <v>764.72</v>
      </c>
      <c r="W2028" s="57">
        <f t="shared" si="159"/>
        <v>1.7041873732534041</v>
      </c>
      <c r="X2028" s="47">
        <v>36</v>
      </c>
      <c r="Y2028" s="58">
        <v>457.99</v>
      </c>
      <c r="Z2028" s="58">
        <v>471.49</v>
      </c>
      <c r="AA2028" s="58">
        <v>803.51</v>
      </c>
      <c r="AB2028" s="57">
        <f t="shared" si="160"/>
        <v>1.704193089991304</v>
      </c>
      <c r="AC2028" s="47">
        <v>39</v>
      </c>
      <c r="AD2028" s="57">
        <v>561.26</v>
      </c>
      <c r="AE2028" s="57">
        <v>567.54999999999995</v>
      </c>
      <c r="AF2028" s="57">
        <v>967.22</v>
      </c>
      <c r="AG2028" s="57">
        <f t="shared" si="161"/>
        <v>1.7042022729274955</v>
      </c>
      <c r="AH2028" s="47">
        <v>37</v>
      </c>
      <c r="AI2028">
        <v>650.51</v>
      </c>
      <c r="AJ2028">
        <v>675.47</v>
      </c>
      <c r="AK2028">
        <v>1151.1300000000001</v>
      </c>
      <c r="AL2028" s="57">
        <f t="shared" si="118"/>
        <v>1.704191155787822</v>
      </c>
      <c r="AM2028" s="59"/>
      <c r="AN2028" s="59">
        <f>SUMIFS(HIX_RatingAreas8[Silver Enrollments 2018],HIX_RatingAreas8[Area],HIX_SLCSP11[[#This Row],[Area Code]])</f>
        <v>1010</v>
      </c>
      <c r="AO2028" s="59">
        <f>SUMIFS(HIX_RatingAreas8[Silver Enrollments 2019],HIX_RatingAreas8[Area],HIX_SLCSP11[[#This Row],[Area Code]])</f>
        <v>1010</v>
      </c>
      <c r="AP2028" s="59">
        <f>SUMIFS(HIX_RatingAreas8[Silver Enrollments 2020],HIX_RatingAreas8[Area],HIX_SLCSP11[[#This Row],[Area Code]])</f>
        <v>855</v>
      </c>
      <c r="AQ2028" s="59">
        <f>SUMIFS(HIX_RatingAreas8[Silver Enrollments 2021],HIX_RatingAreas8[Area],HIX_SLCSP11[[#This Row],[Area Code]])</f>
        <v>759</v>
      </c>
      <c r="AR2028" s="59">
        <f>SUMIFS(HIX_RatingAreas8[Silver Enrollments 2022],HIX_RatingAreas8[Area],HIX_SLCSP11[[#This Row],[Area Code]])</f>
        <v>761</v>
      </c>
      <c r="AS2028" s="59">
        <f>SUMIFS(HIX_RatingAreas8[Silver Enrollments 2023],HIX_RatingAreas8[Area],HIX_SLCSP11[[#This Row],[Area Code]])</f>
        <v>761</v>
      </c>
      <c r="AT2028" s="59">
        <v>44726</v>
      </c>
      <c r="AU2028">
        <f t="shared" si="167"/>
        <v>9.7353396354961375E-2</v>
      </c>
      <c r="AV2028">
        <f>SUMIFS(HIX_RatingAreas8[QHP Enrollments 2018],HIX_RatingAreas8[Area],HIX_SLCSP11[[#This Row],[Area Code]])</f>
        <v>1601</v>
      </c>
      <c r="AW2028">
        <f t="shared" si="162"/>
        <v>7.0843842647904776E-2</v>
      </c>
      <c r="AX2028">
        <f>SUMIFS(HIX_RatingAreas8[QHP Enrollments 2019],HIX_RatingAreas8[Area],HIX_SLCSP11[[#This Row],[Area Code]])</f>
        <v>1601</v>
      </c>
      <c r="AY2028">
        <f t="shared" si="163"/>
        <v>7.0843842647904776E-2</v>
      </c>
      <c r="AZ2028">
        <f>SUMIFS(HIX_RatingAreas8[QHP Enrollments 2020],HIX_RatingAreas8[Area],HIX_SLCSP11[[#This Row],[Area Code]])</f>
        <v>1364</v>
      </c>
      <c r="BA2028">
        <f t="shared" si="164"/>
        <v>6.7975680255157975E-2</v>
      </c>
      <c r="BB2028">
        <f>SUMIFS(HIX_RatingAreas8[QHP Enrollments 2021],HIX_RatingAreas8[Area],HIX_SLCSP11[[#This Row],[Area Code]])</f>
        <v>1305</v>
      </c>
      <c r="BC2028">
        <f t="shared" si="165"/>
        <v>6.7333986894381095E-2</v>
      </c>
      <c r="BD2028">
        <f>SUMIFS(HIX_RatingAreas8[QHP Enrollments 2022],HIX_RatingAreas8[Area],HIX_SLCSP11[[#This Row],[Area Code]])</f>
        <v>1511</v>
      </c>
      <c r="BE2028">
        <f t="shared" si="166"/>
        <v>6.5590137604722834E-2</v>
      </c>
      <c r="BF2028">
        <f>SUMIFS(HIX_RatingAreas8[QHP Enrollments 2023],HIX_RatingAreas8[Area],HIX_SLCSP11[[#This Row],[Area Code]])</f>
        <v>1511</v>
      </c>
      <c r="BG2028">
        <f t="shared" si="168"/>
        <v>6.5590137604722834E-2</v>
      </c>
      <c r="BH2028" s="53">
        <f>ROUND(HIX_SLCSP11[[#This Row],[Weighting Factor 2018]]*HIX_SLCSP11[[#This Row],[2018]],2)</f>
        <v>29.04</v>
      </c>
      <c r="BI2028" s="53">
        <f>ROUND(HIX_SLCSP11[[#This Row],[Weighting Factor 2019]]*HIX_SLCSP11[[#This Row],[2019]],2)</f>
        <v>29.93</v>
      </c>
      <c r="BJ2028" s="53">
        <f>ROUND(HIX_SLCSP11[[#This Row],[Weighting Factor 2020]]*HIX_SLCSP11[[#This Row],[2020]],2)</f>
        <v>30.5</v>
      </c>
      <c r="BK2028" s="53">
        <f>ROUND(HIX_SLCSP11[[#This Row],[Weighting Factor 2021]]*HIX_SLCSP11[[#This Row],[2021]],2)</f>
        <v>31.75</v>
      </c>
      <c r="BL2028" s="53">
        <f>ROUND(HIX_SLCSP11[[#This Row],[Weighting Factor 2022]]*HIX_SLCSP11[[#This Row],[2022]],2)</f>
        <v>37.229999999999997</v>
      </c>
      <c r="BM2028" s="53">
        <f>ROUND(HIX_SLCSP11[[#This Row],[Weighting Factor 2023]]*HIX_SLCSP11[[#This Row],[2023]],2)</f>
        <v>44.3</v>
      </c>
    </row>
    <row r="2029" spans="3:74" x14ac:dyDescent="0.35">
      <c r="D2029" t="s">
        <v>2469</v>
      </c>
      <c r="E2029" t="s">
        <v>293</v>
      </c>
      <c r="F2029" s="23">
        <v>11</v>
      </c>
      <c r="G2029" s="23" t="s">
        <v>2470</v>
      </c>
      <c r="H2029" s="23" t="s">
        <v>2479</v>
      </c>
      <c r="I2029" s="23">
        <v>40</v>
      </c>
      <c r="J2029" s="53">
        <v>364.54</v>
      </c>
      <c r="K2029" s="53">
        <v>376.42</v>
      </c>
      <c r="L2029" s="53">
        <v>641.5</v>
      </c>
      <c r="M2029" s="54">
        <f>L2029/K2029</f>
        <v>1.7042133786727591</v>
      </c>
      <c r="N2029" s="24">
        <v>36</v>
      </c>
      <c r="O2029" s="55">
        <v>380.86</v>
      </c>
      <c r="P2029" s="56">
        <v>396.11</v>
      </c>
      <c r="Q2029" s="56">
        <v>675.05</v>
      </c>
      <c r="R2029" s="57">
        <f t="shared" si="158"/>
        <v>1.704198328747065</v>
      </c>
      <c r="S2029" s="23">
        <v>32</v>
      </c>
      <c r="T2029" s="53">
        <v>386.35</v>
      </c>
      <c r="U2029" s="53">
        <v>399.7</v>
      </c>
      <c r="V2029" s="53">
        <v>681.17</v>
      </c>
      <c r="W2029" s="57">
        <f t="shared" si="159"/>
        <v>1.7042031523642731</v>
      </c>
      <c r="X2029" s="47">
        <v>36</v>
      </c>
      <c r="Y2029" s="58">
        <v>416.36</v>
      </c>
      <c r="Z2029" s="58">
        <v>428.62</v>
      </c>
      <c r="AA2029" s="58">
        <v>730.46</v>
      </c>
      <c r="AB2029" s="57">
        <f t="shared" si="160"/>
        <v>1.7042135224674537</v>
      </c>
      <c r="AC2029" s="47">
        <v>39</v>
      </c>
      <c r="AD2029" s="57">
        <v>499.17</v>
      </c>
      <c r="AE2029" s="57">
        <v>504.76</v>
      </c>
      <c r="AF2029" s="57">
        <v>860.22</v>
      </c>
      <c r="AG2029" s="57">
        <f t="shared" si="161"/>
        <v>1.7042158649655283</v>
      </c>
      <c r="AH2029" s="47">
        <v>37</v>
      </c>
      <c r="AI2029">
        <v>582.54</v>
      </c>
      <c r="AJ2029">
        <v>604.9</v>
      </c>
      <c r="AK2029">
        <v>1030.8599999999999</v>
      </c>
      <c r="AL2029" s="57">
        <f t="shared" si="118"/>
        <v>1.7041825095057033</v>
      </c>
      <c r="AM2029" s="59"/>
      <c r="AN2029" s="59">
        <f>SUMIFS(HIX_RatingAreas8[Silver Enrollments 2018],HIX_RatingAreas8[Area],HIX_SLCSP11[[#This Row],[Area Code]])</f>
        <v>968</v>
      </c>
      <c r="AO2029" s="59">
        <f>SUMIFS(HIX_RatingAreas8[Silver Enrollments 2019],HIX_RatingAreas8[Area],HIX_SLCSP11[[#This Row],[Area Code]])</f>
        <v>968</v>
      </c>
      <c r="AP2029" s="59">
        <f>SUMIFS(HIX_RatingAreas8[Silver Enrollments 2020],HIX_RatingAreas8[Area],HIX_SLCSP11[[#This Row],[Area Code]])</f>
        <v>829</v>
      </c>
      <c r="AQ2029" s="59">
        <f>SUMIFS(HIX_RatingAreas8[Silver Enrollments 2021],HIX_RatingAreas8[Area],HIX_SLCSP11[[#This Row],[Area Code]])</f>
        <v>793</v>
      </c>
      <c r="AR2029" s="59">
        <f>SUMIFS(HIX_RatingAreas8[Silver Enrollments 2022],HIX_RatingAreas8[Area],HIX_SLCSP11[[#This Row],[Area Code]])</f>
        <v>812</v>
      </c>
      <c r="AS2029" s="59">
        <f>SUMIFS(HIX_RatingAreas8[Silver Enrollments 2023],HIX_RatingAreas8[Area],HIX_SLCSP11[[#This Row],[Area Code]])</f>
        <v>812</v>
      </c>
      <c r="AT2029" s="59">
        <v>44727</v>
      </c>
      <c r="AU2029">
        <f t="shared" si="167"/>
        <v>9.7355573017223931E-2</v>
      </c>
      <c r="AV2029">
        <f>SUMIFS(HIX_RatingAreas8[QHP Enrollments 2018],HIX_RatingAreas8[Area],HIX_SLCSP11[[#This Row],[Area Code]])</f>
        <v>1454</v>
      </c>
      <c r="AW2029">
        <f t="shared" si="162"/>
        <v>6.4339130050002219E-2</v>
      </c>
      <c r="AX2029">
        <f>SUMIFS(HIX_RatingAreas8[QHP Enrollments 2019],HIX_RatingAreas8[Area],HIX_SLCSP11[[#This Row],[Area Code]])</f>
        <v>1454</v>
      </c>
      <c r="AY2029">
        <f t="shared" si="163"/>
        <v>6.4339130050002219E-2</v>
      </c>
      <c r="AZ2029">
        <f>SUMIFS(HIX_RatingAreas8[QHP Enrollments 2020],HIX_RatingAreas8[Area],HIX_SLCSP11[[#This Row],[Area Code]])</f>
        <v>1251</v>
      </c>
      <c r="BA2029">
        <f t="shared" si="164"/>
        <v>6.2344263929034187E-2</v>
      </c>
      <c r="BB2029">
        <f>SUMIFS(HIX_RatingAreas8[QHP Enrollments 2021],HIX_RatingAreas8[Area],HIX_SLCSP11[[#This Row],[Area Code]])</f>
        <v>1232</v>
      </c>
      <c r="BC2029">
        <f t="shared" si="165"/>
        <v>6.3567411382281613E-2</v>
      </c>
      <c r="BD2029">
        <f>SUMIFS(HIX_RatingAreas8[QHP Enrollments 2022],HIX_RatingAreas8[Area],HIX_SLCSP11[[#This Row],[Area Code]])</f>
        <v>1522</v>
      </c>
      <c r="BE2029">
        <f t="shared" si="166"/>
        <v>6.6067630333810828E-2</v>
      </c>
      <c r="BF2029">
        <f>SUMIFS(HIX_RatingAreas8[QHP Enrollments 2023],HIX_RatingAreas8[Area],HIX_SLCSP11[[#This Row],[Area Code]])</f>
        <v>1522</v>
      </c>
      <c r="BG2029">
        <f t="shared" si="168"/>
        <v>6.6067630333810828E-2</v>
      </c>
      <c r="BH2029" s="53">
        <f>ROUND(HIX_SLCSP11[[#This Row],[Weighting Factor 2018]]*HIX_SLCSP11[[#This Row],[2018]],2)</f>
        <v>24.22</v>
      </c>
      <c r="BI2029" s="53">
        <f>ROUND(HIX_SLCSP11[[#This Row],[Weighting Factor 2019]]*HIX_SLCSP11[[#This Row],[2019]],2)</f>
        <v>25.49</v>
      </c>
      <c r="BJ2029" s="53">
        <f>ROUND(HIX_SLCSP11[[#This Row],[Weighting Factor 2020]]*HIX_SLCSP11[[#This Row],[2020]],2)</f>
        <v>24.92</v>
      </c>
      <c r="BK2029" s="53">
        <f>ROUND(HIX_SLCSP11[[#This Row],[Weighting Factor 2021]]*HIX_SLCSP11[[#This Row],[2021]],2)</f>
        <v>27.25</v>
      </c>
      <c r="BL2029" s="53">
        <f>ROUND(HIX_SLCSP11[[#This Row],[Weighting Factor 2022]]*HIX_SLCSP11[[#This Row],[2022]],2)</f>
        <v>33.35</v>
      </c>
      <c r="BM2029" s="53">
        <f>ROUND(HIX_SLCSP11[[#This Row],[Weighting Factor 2023]]*HIX_SLCSP11[[#This Row],[2023]],2)</f>
        <v>39.96</v>
      </c>
    </row>
    <row r="2030" spans="3:74" x14ac:dyDescent="0.35">
      <c r="F2030" s="23"/>
      <c r="G2030" s="23"/>
      <c r="H2030" s="23"/>
      <c r="I2030" s="23"/>
      <c r="J2030" s="53"/>
      <c r="K2030" s="53"/>
      <c r="L2030" s="53"/>
      <c r="M2030" s="54" t="e">
        <f>L2030/K2030</f>
        <v>#DIV/0!</v>
      </c>
      <c r="O2030" s="55"/>
      <c r="P2030" s="56"/>
      <c r="Q2030" s="56"/>
      <c r="R2030" s="57" t="e">
        <f>Q2030/P2030</f>
        <v>#DIV/0!</v>
      </c>
      <c r="S2030" s="23"/>
      <c r="T2030" s="53"/>
      <c r="U2030" s="53"/>
      <c r="V2030" s="53"/>
      <c r="W2030" s="57" t="e">
        <f>V2030/U2030</f>
        <v>#DIV/0!</v>
      </c>
      <c r="X2030" s="47"/>
      <c r="Y2030" s="58"/>
      <c r="Z2030" s="58"/>
      <c r="AA2030" s="58"/>
      <c r="AB2030" s="57" t="e">
        <f>AA2030/Z2030</f>
        <v>#DIV/0!</v>
      </c>
      <c r="AC2030" s="47"/>
      <c r="AD2030" s="57"/>
      <c r="AE2030" s="57"/>
      <c r="AF2030" s="57"/>
      <c r="AG2030" s="57" t="e">
        <f>AF2030/AE2030</f>
        <v>#DIV/0!</v>
      </c>
      <c r="AH2030" s="47"/>
      <c r="AI2030" s="57"/>
      <c r="AJ2030" s="57"/>
      <c r="AK2030" s="57"/>
      <c r="AL2030" s="57" t="e">
        <f>AK2030/AJ2030</f>
        <v>#DIV/0!</v>
      </c>
      <c r="AM2030" s="59"/>
      <c r="AN2030" s="59" t="e">
        <f>INDEX([2]Graphs!#REF!,MATCH(HIX_SLCSP11[[#This Row],[Area Code]],[2]Graphs!#REF!,0))</f>
        <v>#REF!</v>
      </c>
      <c r="AO2030" s="59" t="e">
        <f>INDEX([2]Graphs!#REF!,MATCH(HIX_SLCSP11[[#This Row],[Area Code]],[2]Graphs!#REF!,0))</f>
        <v>#REF!</v>
      </c>
      <c r="AP2030" s="59" t="e">
        <f>INDEX([2]Graphs!#REF!,MATCH(HIX_SLCSP11[[#This Row],[Area Code]],[2]Graphs!#REF!,0))</f>
        <v>#REF!</v>
      </c>
      <c r="AQ2030" s="59" t="e">
        <f>INDEX([2]Graphs!#REF!,MATCH(HIX_SLCSP11[[#This Row],[Area Code]],[2]Graphs!#REF!,0))</f>
        <v>#REF!</v>
      </c>
      <c r="AR2030" s="59"/>
      <c r="AS2030" s="59"/>
      <c r="AT2030" s="59"/>
      <c r="AU2030" s="53"/>
      <c r="AV2030" t="e">
        <f>INDEX([2]Graphs!#REF!,MATCH(HIX_SLCSP11[[#This Row],[Area Code]],[2]Graphs!#REF!,0))</f>
        <v>#REF!</v>
      </c>
      <c r="AX2030" t="e">
        <f>INDEX([2]Graphs!#REF!,MATCH(HIX_SLCSP11[[#This Row],[Area Code]],[2]Graphs!#REF!,0))</f>
        <v>#REF!</v>
      </c>
      <c r="AY2030" t="e">
        <f>AX2030/AX$1776</f>
        <v>#REF!</v>
      </c>
      <c r="AZ2030" t="e">
        <f>INDEX([2]Graphs!#REF!,MATCH(HIX_SLCSP11[[#This Row],[Area Code]],[2]Graphs!#REF!,0))</f>
        <v>#REF!</v>
      </c>
      <c r="BB2030" t="e">
        <f>INDEX([2]Graphs!#REF!,MATCH(HIX_SLCSP11[[#This Row],[Area Code]],[2]Graphs!#REF!,0))</f>
        <v>#REF!</v>
      </c>
      <c r="BF2030" s="76"/>
      <c r="BG2030">
        <f>BF2030/BF$1776</f>
        <v>0</v>
      </c>
      <c r="BH2030" s="53"/>
      <c r="BI2030" s="53"/>
      <c r="BJ2030" s="53"/>
      <c r="BK2030" s="53"/>
      <c r="BL2030" s="53"/>
      <c r="BM2030" s="53">
        <f>ROUND(HIX_SLCSP11[[#This Row],[Weighting Factor 2023]]*HIX_SLCSP11[[#This Row],[2023]],2)</f>
        <v>0</v>
      </c>
      <c r="BN2030" s="52"/>
      <c r="BO2030" s="52"/>
      <c r="BP2030" s="78"/>
      <c r="BQ2030" s="78"/>
      <c r="BR2030" s="78"/>
      <c r="BS2030" s="78"/>
      <c r="BT2030" s="78"/>
      <c r="BU2030" s="78"/>
      <c r="BV2030" s="87"/>
    </row>
    <row r="2031" spans="3:74" x14ac:dyDescent="0.35">
      <c r="C2031" s="2"/>
      <c r="D2031" s="66" t="s">
        <v>4044</v>
      </c>
      <c r="E2031" s="52" t="s">
        <v>231</v>
      </c>
      <c r="F2031" s="67">
        <v>1</v>
      </c>
      <c r="G2031" s="67" t="s">
        <v>4045</v>
      </c>
      <c r="H2031" s="77" t="s">
        <v>4046</v>
      </c>
      <c r="I2031" s="77"/>
      <c r="J2031" s="78">
        <v>334.62</v>
      </c>
      <c r="K2031" s="78">
        <v>344.81</v>
      </c>
      <c r="L2031" s="78">
        <v>573.73</v>
      </c>
      <c r="M2031" s="79">
        <f t="shared" si="157"/>
        <v>1.6639018589948087</v>
      </c>
      <c r="N2031" s="80"/>
      <c r="O2031" s="81">
        <v>332.26</v>
      </c>
      <c r="P2031" s="82">
        <v>343.03</v>
      </c>
      <c r="Q2031" s="82">
        <v>569.79</v>
      </c>
      <c r="R2031" s="83">
        <f t="shared" si="158"/>
        <v>1.661050053931143</v>
      </c>
      <c r="S2031" s="67"/>
      <c r="T2031" s="78">
        <v>307.35000000000002</v>
      </c>
      <c r="U2031" s="78">
        <v>315.94</v>
      </c>
      <c r="V2031" s="78">
        <v>530.14</v>
      </c>
      <c r="W2031" s="83">
        <f t="shared" si="159"/>
        <v>1.677976831043869</v>
      </c>
      <c r="X2031" s="77"/>
      <c r="Y2031" s="84">
        <v>311.76</v>
      </c>
      <c r="Z2031" s="84">
        <v>317.3</v>
      </c>
      <c r="AA2031" s="84">
        <v>524.75</v>
      </c>
      <c r="AB2031" s="83">
        <f t="shared" si="160"/>
        <v>1.6537976678222501</v>
      </c>
      <c r="AC2031" s="77"/>
      <c r="AD2031" s="83">
        <v>303.08</v>
      </c>
      <c r="AE2031" s="83">
        <v>309.25</v>
      </c>
      <c r="AF2031" s="83">
        <v>510.39</v>
      </c>
      <c r="AG2031" s="83">
        <f t="shared" si="161"/>
        <v>1.6504122877930476</v>
      </c>
      <c r="AH2031" s="77"/>
      <c r="AI2031" s="79">
        <v>325.39</v>
      </c>
      <c r="AJ2031" s="79">
        <v>332.34</v>
      </c>
      <c r="AK2031" s="79">
        <v>548.42999999999995</v>
      </c>
      <c r="AL2031" s="83">
        <f t="shared" si="118"/>
        <v>1.6502076187037371</v>
      </c>
      <c r="AM2031" s="77"/>
      <c r="AN2031" s="79">
        <v>339.72</v>
      </c>
      <c r="AO2031" s="79">
        <v>347.2</v>
      </c>
      <c r="AP2031" s="79">
        <v>571.89</v>
      </c>
      <c r="AQ2031" s="83"/>
      <c r="AR2031" s="85"/>
      <c r="AS2031" s="85"/>
      <c r="AT2031" s="85"/>
      <c r="AU2031" s="85"/>
      <c r="AV2031" s="85"/>
      <c r="AW2031" s="85"/>
      <c r="AX2031" s="85"/>
      <c r="AY2031" s="85"/>
      <c r="AZ2031" s="85"/>
      <c r="BA2031" s="78"/>
      <c r="BB2031" s="52"/>
      <c r="BC2031" s="52"/>
      <c r="BD2031" s="52"/>
      <c r="BE2031" s="52"/>
      <c r="BF2031" s="52"/>
      <c r="BG2031" s="52"/>
      <c r="BH2031" s="52"/>
      <c r="BI2031" s="52"/>
      <c r="BJ2031" s="52"/>
      <c r="BK2031" s="52"/>
      <c r="BL2031" s="86"/>
      <c r="BM2031" s="52"/>
    </row>
    <row r="2032" spans="3:74" x14ac:dyDescent="0.35">
      <c r="C2032" s="2" t="s">
        <v>2598</v>
      </c>
      <c r="F2032" s="23"/>
      <c r="G2032" s="23"/>
      <c r="H2032" s="23"/>
      <c r="I2032" s="23"/>
      <c r="J2032" s="53"/>
      <c r="K2032" s="53"/>
      <c r="L2032" s="53"/>
      <c r="M2032" s="54"/>
      <c r="O2032" s="55"/>
      <c r="P2032" s="55"/>
      <c r="Q2032" s="53"/>
      <c r="R2032" s="57"/>
      <c r="S2032" s="23"/>
      <c r="T2032" s="53"/>
      <c r="U2032" s="53"/>
      <c r="V2032" s="53"/>
      <c r="W2032" s="57"/>
      <c r="X2032" s="47"/>
      <c r="Y2032" s="58"/>
      <c r="Z2032" s="58"/>
      <c r="AA2032" s="58"/>
      <c r="AB2032" s="57"/>
      <c r="AC2032" s="47"/>
      <c r="AD2032" s="57"/>
      <c r="AE2032" s="57"/>
      <c r="AF2032" s="57"/>
      <c r="AG2032" s="57"/>
      <c r="AH2032" s="59"/>
      <c r="AI2032" s="59"/>
      <c r="AJ2032" s="59"/>
      <c r="AK2032" s="59"/>
      <c r="AL2032" s="59"/>
      <c r="AM2032" s="59"/>
      <c r="AN2032" s="59"/>
      <c r="AZ2032" s="53"/>
      <c r="BA2032" s="53"/>
      <c r="BB2032" s="53"/>
      <c r="BC2032" s="53"/>
      <c r="BD2032" s="53"/>
    </row>
    <row r="2033" spans="3:56" x14ac:dyDescent="0.35">
      <c r="F2033" s="23"/>
      <c r="G2033" s="23"/>
      <c r="H2033" s="23"/>
      <c r="I2033" s="23"/>
      <c r="J2033" s="53"/>
      <c r="K2033" s="53"/>
      <c r="L2033" s="53"/>
      <c r="M2033" s="54"/>
      <c r="O2033" s="55"/>
      <c r="P2033" s="55"/>
      <c r="Q2033" s="53"/>
      <c r="R2033" s="57"/>
      <c r="S2033" s="23"/>
      <c r="T2033" s="53"/>
      <c r="U2033" s="53"/>
      <c r="V2033" s="53"/>
      <c r="W2033" s="57"/>
      <c r="X2033" s="47"/>
      <c r="Y2033" s="58"/>
      <c r="Z2033" s="58"/>
      <c r="AA2033" s="58"/>
      <c r="AB2033" s="57"/>
      <c r="AC2033" s="47"/>
      <c r="AD2033" s="57"/>
      <c r="AE2033" s="57"/>
      <c r="AF2033" s="57"/>
      <c r="AG2033" s="57"/>
      <c r="AH2033" s="59"/>
      <c r="AI2033" s="59"/>
      <c r="AJ2033" s="59"/>
      <c r="AK2033" s="59"/>
      <c r="AL2033" s="59"/>
      <c r="AM2033" s="59"/>
      <c r="AN2033" s="59"/>
      <c r="AZ2033" s="53"/>
      <c r="BA2033" s="53"/>
      <c r="BB2033" s="53"/>
      <c r="BC2033" s="53"/>
      <c r="BD2033" s="53"/>
    </row>
    <row r="2034" spans="3:56" x14ac:dyDescent="0.35">
      <c r="F2034" s="23"/>
      <c r="G2034" s="23"/>
      <c r="H2034" s="23"/>
      <c r="I2034" s="23"/>
      <c r="J2034" s="53"/>
      <c r="K2034" s="53"/>
      <c r="L2034" s="53"/>
      <c r="M2034" s="54"/>
      <c r="O2034" s="55"/>
      <c r="P2034" s="55"/>
      <c r="Q2034" s="53"/>
      <c r="R2034" s="57"/>
      <c r="S2034" s="23"/>
      <c r="T2034" s="53"/>
      <c r="U2034" s="53"/>
      <c r="V2034" s="53"/>
      <c r="W2034" s="57"/>
      <c r="X2034" s="47"/>
      <c r="Y2034" s="58"/>
      <c r="Z2034" s="58"/>
      <c r="AA2034" s="58"/>
      <c r="AB2034" s="57"/>
      <c r="AC2034" s="47"/>
      <c r="AD2034" s="57"/>
      <c r="AE2034" s="57"/>
      <c r="AF2034" s="57"/>
      <c r="AG2034" s="57"/>
      <c r="AH2034" s="59"/>
      <c r="AI2034" s="59"/>
      <c r="AJ2034" s="59"/>
      <c r="AK2034" s="59"/>
      <c r="AL2034" s="59"/>
      <c r="AM2034" s="59"/>
      <c r="AN2034" s="59"/>
      <c r="AZ2034" s="53"/>
      <c r="BA2034" s="53"/>
      <c r="BB2034" s="53"/>
      <c r="BC2034" s="53"/>
      <c r="BD2034" s="53"/>
    </row>
    <row r="2035" spans="3:56" x14ac:dyDescent="0.35">
      <c r="F2035" s="23"/>
      <c r="G2035" s="23"/>
      <c r="H2035" s="23"/>
      <c r="I2035" s="23"/>
      <c r="J2035" s="53"/>
      <c r="K2035" s="53"/>
      <c r="L2035" s="53"/>
      <c r="M2035" s="54"/>
      <c r="O2035" s="55"/>
      <c r="P2035" s="55"/>
      <c r="Q2035" s="53"/>
      <c r="R2035" s="57"/>
      <c r="S2035" s="23"/>
      <c r="T2035" s="53"/>
      <c r="U2035" s="53"/>
      <c r="V2035" s="53"/>
      <c r="W2035" s="57"/>
      <c r="X2035" s="47"/>
      <c r="Y2035" s="58"/>
      <c r="Z2035" s="58"/>
      <c r="AA2035" s="58"/>
      <c r="AB2035" s="57"/>
      <c r="AC2035" s="47"/>
      <c r="AD2035" s="57"/>
      <c r="AE2035" s="57"/>
      <c r="AF2035" s="57"/>
      <c r="AG2035" s="57"/>
      <c r="AH2035" s="59"/>
      <c r="AI2035" s="59"/>
      <c r="AJ2035" s="59"/>
      <c r="AK2035" s="59"/>
      <c r="AL2035" s="59"/>
      <c r="AM2035" s="59"/>
      <c r="AN2035" s="59"/>
      <c r="AZ2035" s="53"/>
      <c r="BA2035" s="53"/>
      <c r="BB2035" s="53"/>
      <c r="BC2035" s="53"/>
      <c r="BD2035" s="53"/>
    </row>
    <row r="2036" spans="3:56" x14ac:dyDescent="0.35">
      <c r="F2036" s="23"/>
      <c r="G2036" s="23"/>
      <c r="H2036" s="23"/>
      <c r="I2036" s="23"/>
      <c r="J2036" s="53"/>
      <c r="K2036" s="53"/>
      <c r="L2036" s="53"/>
      <c r="M2036" s="54"/>
      <c r="O2036" s="55"/>
      <c r="P2036" s="55"/>
      <c r="Q2036" s="53"/>
      <c r="R2036" s="57"/>
      <c r="S2036" s="23"/>
      <c r="T2036" s="53"/>
      <c r="U2036" s="53"/>
      <c r="V2036" s="53"/>
      <c r="W2036" s="57"/>
      <c r="X2036" s="47"/>
      <c r="Y2036" s="58"/>
      <c r="Z2036" s="58"/>
      <c r="AA2036" s="58"/>
      <c r="AB2036" s="57"/>
      <c r="AC2036" s="47"/>
      <c r="AD2036" s="57"/>
      <c r="AE2036" s="57"/>
      <c r="AF2036" s="57"/>
      <c r="AG2036" s="57"/>
      <c r="AH2036" s="59"/>
      <c r="AI2036" s="59"/>
      <c r="AJ2036" s="59"/>
      <c r="AK2036" s="59"/>
      <c r="AL2036" s="59"/>
      <c r="AM2036" s="59"/>
      <c r="AN2036" s="59"/>
      <c r="AZ2036" s="53"/>
      <c r="BA2036" s="53"/>
      <c r="BB2036" s="53"/>
      <c r="BC2036" s="53"/>
      <c r="BD2036" s="53"/>
    </row>
    <row r="2037" spans="3:56" x14ac:dyDescent="0.35">
      <c r="F2037" s="23"/>
      <c r="G2037" s="23"/>
      <c r="H2037" s="23"/>
      <c r="I2037" s="23"/>
      <c r="J2037" s="53"/>
      <c r="K2037" s="53"/>
      <c r="L2037" s="53"/>
      <c r="M2037" s="54"/>
      <c r="O2037" s="55"/>
      <c r="P2037" s="55"/>
      <c r="Q2037" s="53"/>
      <c r="R2037" s="57"/>
      <c r="S2037" s="23"/>
      <c r="T2037" s="53"/>
      <c r="U2037" s="53"/>
      <c r="V2037" s="53"/>
      <c r="W2037" s="57"/>
      <c r="X2037" s="47"/>
      <c r="Y2037" s="58"/>
      <c r="Z2037" s="58"/>
      <c r="AA2037" s="58"/>
      <c r="AB2037" s="57"/>
      <c r="AC2037" s="47"/>
      <c r="AD2037" s="57"/>
      <c r="AE2037" s="57"/>
      <c r="AF2037" s="57"/>
      <c r="AG2037" s="57"/>
      <c r="AH2037" s="59"/>
      <c r="AI2037" s="59"/>
      <c r="AJ2037" s="59"/>
      <c r="AK2037" s="59"/>
      <c r="AL2037" s="59"/>
      <c r="AM2037" s="59"/>
      <c r="AN2037" s="59"/>
      <c r="AZ2037" s="53"/>
      <c r="BA2037" s="53"/>
      <c r="BB2037" s="53"/>
      <c r="BC2037" s="53"/>
      <c r="BD2037" s="53"/>
    </row>
    <row r="2038" spans="3:56" x14ac:dyDescent="0.35">
      <c r="F2038" s="23"/>
      <c r="G2038" s="23"/>
      <c r="H2038" s="23"/>
      <c r="I2038" s="23"/>
      <c r="J2038" s="53"/>
      <c r="K2038" s="53"/>
      <c r="L2038" s="53"/>
      <c r="M2038" s="54"/>
      <c r="O2038" s="55"/>
      <c r="P2038" s="55"/>
      <c r="Q2038" s="53"/>
      <c r="R2038" s="57"/>
      <c r="S2038" s="23"/>
      <c r="T2038" s="53"/>
      <c r="U2038" s="53"/>
      <c r="V2038" s="53"/>
      <c r="W2038" s="57"/>
      <c r="X2038" s="47"/>
      <c r="Y2038" s="58"/>
      <c r="Z2038" s="58"/>
      <c r="AA2038" s="58"/>
      <c r="AB2038" s="57"/>
      <c r="AC2038" s="47"/>
      <c r="AD2038" s="57"/>
      <c r="AE2038" s="57"/>
      <c r="AF2038" s="57"/>
      <c r="AG2038" s="57"/>
      <c r="AH2038" s="59"/>
      <c r="AI2038" s="59"/>
      <c r="AJ2038" s="59"/>
      <c r="AK2038" s="59"/>
      <c r="AL2038" s="59"/>
      <c r="AM2038" s="59"/>
      <c r="AN2038" s="59"/>
      <c r="AZ2038" s="53"/>
      <c r="BA2038" s="53"/>
      <c r="BB2038" s="53"/>
      <c r="BC2038" s="53"/>
      <c r="BD2038" s="53"/>
    </row>
    <row r="2039" spans="3:56" x14ac:dyDescent="0.35">
      <c r="F2039" s="23"/>
      <c r="G2039" s="23"/>
      <c r="H2039" s="23"/>
      <c r="I2039" s="23"/>
      <c r="J2039" s="53"/>
      <c r="K2039" s="53"/>
      <c r="L2039" s="53"/>
      <c r="M2039" s="54"/>
      <c r="O2039" s="55"/>
      <c r="P2039" s="55"/>
      <c r="Q2039" s="53"/>
      <c r="R2039" s="57"/>
      <c r="S2039" s="23"/>
      <c r="T2039" s="53"/>
      <c r="U2039" s="53"/>
      <c r="V2039" s="53"/>
      <c r="W2039" s="57"/>
      <c r="X2039" s="47"/>
      <c r="Y2039" s="58"/>
      <c r="Z2039" s="58"/>
      <c r="AA2039" s="58"/>
      <c r="AB2039" s="57"/>
      <c r="AC2039" s="47"/>
      <c r="AD2039" s="57"/>
      <c r="AE2039" s="57"/>
      <c r="AF2039" s="57"/>
      <c r="AG2039" s="57"/>
      <c r="AH2039" s="59"/>
      <c r="AI2039" s="59"/>
      <c r="AJ2039" s="59"/>
      <c r="AK2039" s="59"/>
      <c r="AL2039" s="59"/>
      <c r="AM2039" s="59"/>
      <c r="AN2039" s="59"/>
      <c r="AZ2039" s="53"/>
      <c r="BA2039" s="53"/>
      <c r="BB2039" s="53"/>
      <c r="BC2039" s="53"/>
      <c r="BD2039" s="53"/>
    </row>
    <row r="2040" spans="3:56" x14ac:dyDescent="0.35">
      <c r="F2040" s="23"/>
      <c r="G2040" s="23"/>
      <c r="H2040" s="23"/>
      <c r="I2040" s="23"/>
      <c r="J2040" s="53"/>
      <c r="K2040" s="53"/>
      <c r="L2040" s="53"/>
      <c r="M2040" s="54"/>
      <c r="O2040" s="55"/>
      <c r="P2040" s="55"/>
      <c r="Q2040" s="53"/>
      <c r="R2040" s="57"/>
      <c r="S2040" s="23"/>
      <c r="T2040" s="53"/>
      <c r="U2040" s="53"/>
      <c r="V2040" s="53"/>
      <c r="W2040" s="57"/>
      <c r="X2040" s="47"/>
      <c r="Y2040" s="58"/>
      <c r="Z2040" s="58"/>
      <c r="AA2040" s="58"/>
      <c r="AB2040" s="57"/>
      <c r="AC2040" s="47"/>
      <c r="AD2040" s="57"/>
      <c r="AE2040" s="57"/>
      <c r="AF2040" s="57"/>
      <c r="AG2040" s="57"/>
      <c r="AH2040" s="59"/>
      <c r="AI2040" s="59"/>
      <c r="AJ2040" s="59"/>
      <c r="AK2040" s="59"/>
      <c r="AL2040" s="59"/>
      <c r="AM2040" s="59"/>
      <c r="AN2040" s="59"/>
      <c r="AZ2040" s="53"/>
      <c r="BA2040" s="53"/>
      <c r="BB2040" s="53"/>
      <c r="BC2040" s="53"/>
      <c r="BD2040" s="53"/>
    </row>
    <row r="2041" spans="3:56" x14ac:dyDescent="0.35">
      <c r="F2041" s="23"/>
      <c r="G2041" s="23"/>
      <c r="H2041" s="23"/>
      <c r="I2041" s="23"/>
      <c r="J2041" s="53"/>
      <c r="K2041" s="53"/>
      <c r="L2041" s="53"/>
      <c r="M2041" s="54"/>
      <c r="O2041" s="55"/>
      <c r="P2041" s="55"/>
      <c r="Q2041" s="53"/>
      <c r="R2041" s="57"/>
      <c r="S2041" s="23"/>
      <c r="T2041" s="53"/>
      <c r="U2041" s="53"/>
      <c r="V2041" s="53"/>
      <c r="W2041" s="57"/>
      <c r="X2041" s="47"/>
      <c r="Y2041" s="58"/>
      <c r="Z2041" s="58"/>
      <c r="AA2041" s="58"/>
      <c r="AB2041" s="57"/>
      <c r="AC2041" s="47"/>
      <c r="AD2041" s="57"/>
      <c r="AE2041" s="57"/>
      <c r="AF2041" s="57"/>
      <c r="AG2041" s="57"/>
      <c r="AH2041" s="59"/>
      <c r="AI2041" s="59"/>
      <c r="AJ2041" s="59"/>
      <c r="AK2041" s="59"/>
      <c r="AL2041" s="59"/>
      <c r="AM2041" s="59"/>
      <c r="AN2041" s="59"/>
      <c r="AZ2041" s="53"/>
      <c r="BA2041" s="53"/>
      <c r="BB2041" s="53"/>
      <c r="BC2041" s="53"/>
      <c r="BD2041" s="53"/>
    </row>
    <row r="2042" spans="3:56" x14ac:dyDescent="0.35">
      <c r="F2042" s="23"/>
      <c r="G2042" s="23"/>
      <c r="H2042" s="23"/>
      <c r="I2042" s="23"/>
      <c r="J2042" s="53"/>
      <c r="K2042" s="53"/>
      <c r="L2042" s="53"/>
      <c r="M2042" s="54"/>
      <c r="O2042" s="55"/>
      <c r="P2042" s="55"/>
      <c r="Q2042" s="53"/>
      <c r="R2042" s="57"/>
      <c r="S2042" s="23"/>
      <c r="T2042" s="53"/>
      <c r="U2042" s="53"/>
      <c r="V2042" s="53"/>
      <c r="W2042" s="57"/>
      <c r="X2042" s="47"/>
      <c r="Y2042" s="58"/>
      <c r="Z2042" s="58"/>
      <c r="AA2042" s="58"/>
      <c r="AB2042" s="57"/>
      <c r="AC2042" s="47"/>
      <c r="AD2042" s="57"/>
      <c r="AE2042" s="57"/>
      <c r="AF2042" s="57"/>
      <c r="AG2042" s="57"/>
      <c r="AH2042" s="59"/>
      <c r="AI2042" s="59"/>
      <c r="AJ2042" s="59"/>
      <c r="AK2042" s="59"/>
      <c r="AL2042" s="59"/>
      <c r="AM2042" s="59"/>
      <c r="AN2042" s="59"/>
      <c r="AZ2042" s="53"/>
      <c r="BA2042" s="53"/>
      <c r="BB2042" s="53"/>
      <c r="BC2042" s="53"/>
      <c r="BD2042" s="53"/>
    </row>
    <row r="2043" spans="3:56" x14ac:dyDescent="0.35">
      <c r="C2043" s="2" t="s">
        <v>175</v>
      </c>
      <c r="F2043" s="23"/>
      <c r="G2043" s="23"/>
      <c r="H2043" s="23"/>
      <c r="I2043" s="23"/>
      <c r="J2043" s="53"/>
      <c r="K2043" s="53"/>
      <c r="L2043" s="53"/>
      <c r="M2043" s="54"/>
      <c r="O2043" s="55"/>
      <c r="P2043" s="55"/>
      <c r="Q2043" s="53"/>
      <c r="R2043" s="57"/>
      <c r="S2043" s="23"/>
      <c r="T2043" s="53"/>
      <c r="U2043" s="53"/>
      <c r="V2043" s="53"/>
      <c r="W2043" s="57"/>
      <c r="X2043" s="47"/>
      <c r="Y2043" s="58"/>
      <c r="Z2043" s="58"/>
      <c r="AA2043" s="58"/>
      <c r="AB2043" s="57"/>
      <c r="AC2043" s="47"/>
      <c r="AD2043" s="57"/>
      <c r="AE2043" s="57"/>
      <c r="AF2043" s="57"/>
      <c r="AG2043" s="57"/>
      <c r="AH2043" s="59"/>
      <c r="AI2043" s="59"/>
      <c r="AJ2043" s="59"/>
      <c r="AK2043" s="59"/>
      <c r="AL2043" s="59"/>
      <c r="AM2043" s="59"/>
      <c r="AN2043" s="59"/>
      <c r="AZ2043" s="53"/>
      <c r="BA2043" s="53"/>
      <c r="BB2043" s="53"/>
      <c r="BC2043" s="53"/>
      <c r="BD2043" s="53"/>
    </row>
    <row r="2044" spans="3:56" x14ac:dyDescent="0.35">
      <c r="F2044" s="23"/>
      <c r="G2044" s="23"/>
      <c r="H2044" s="23"/>
      <c r="I2044" s="23"/>
      <c r="J2044" s="53"/>
      <c r="K2044" s="53"/>
      <c r="L2044" s="53"/>
      <c r="M2044" s="54"/>
      <c r="O2044" s="55"/>
      <c r="P2044" s="55"/>
      <c r="Q2044" s="53"/>
      <c r="R2044" s="57"/>
      <c r="S2044" s="23"/>
      <c r="T2044" s="53"/>
      <c r="U2044" s="53"/>
      <c r="V2044" s="53"/>
      <c r="W2044" s="57"/>
      <c r="X2044" s="47"/>
      <c r="Y2044" s="58"/>
      <c r="Z2044" s="58"/>
      <c r="AA2044" s="58"/>
      <c r="AB2044" s="57"/>
      <c r="AC2044" s="47"/>
      <c r="AD2044" s="57"/>
      <c r="AE2044" s="57"/>
      <c r="AF2044" s="57"/>
      <c r="AG2044" s="57"/>
      <c r="AH2044" s="59"/>
      <c r="AI2044" s="59"/>
      <c r="AJ2044" s="59"/>
      <c r="AK2044" s="59"/>
      <c r="AL2044" s="59"/>
      <c r="AM2044" s="59"/>
      <c r="AN2044" s="59"/>
      <c r="AZ2044" s="53"/>
      <c r="BA2044" s="53"/>
      <c r="BB2044" s="53"/>
      <c r="BC2044" s="53"/>
      <c r="BD2044" s="53"/>
    </row>
    <row r="2045" spans="3:56" x14ac:dyDescent="0.35">
      <c r="F2045" s="23"/>
      <c r="G2045" s="23"/>
      <c r="H2045" s="23"/>
      <c r="I2045" s="23"/>
      <c r="J2045" s="53"/>
      <c r="K2045" s="53"/>
      <c r="L2045" s="53"/>
      <c r="M2045" s="54"/>
      <c r="O2045" s="55"/>
      <c r="P2045" s="55"/>
      <c r="Q2045" s="53"/>
      <c r="R2045" s="57"/>
      <c r="S2045" s="23"/>
      <c r="T2045" s="53"/>
      <c r="U2045" s="53"/>
      <c r="V2045" s="53"/>
      <c r="W2045" s="57"/>
      <c r="X2045" s="47"/>
      <c r="Y2045" s="58"/>
      <c r="Z2045" s="58"/>
      <c r="AA2045" s="58"/>
      <c r="AB2045" s="57"/>
      <c r="AC2045" s="47"/>
      <c r="AD2045" s="57"/>
      <c r="AE2045" s="57"/>
      <c r="AF2045" s="57"/>
      <c r="AG2045" s="57"/>
      <c r="AH2045" s="59"/>
      <c r="AI2045" s="59"/>
      <c r="AJ2045" s="59"/>
      <c r="AK2045" s="59"/>
      <c r="AL2045" s="59"/>
      <c r="AM2045" s="59"/>
      <c r="AN2045" s="59"/>
      <c r="AZ2045" s="53"/>
      <c r="BA2045" s="53"/>
      <c r="BB2045" s="53"/>
      <c r="BC2045" s="53"/>
      <c r="BD2045" s="53"/>
    </row>
    <row r="2046" spans="3:56" x14ac:dyDescent="0.35">
      <c r="F2046" s="23"/>
      <c r="G2046" s="23"/>
      <c r="H2046" s="23"/>
      <c r="I2046" s="23"/>
      <c r="J2046" s="53"/>
      <c r="K2046" s="53"/>
      <c r="L2046" s="53"/>
      <c r="M2046" s="54"/>
      <c r="O2046" s="55"/>
      <c r="P2046" s="55"/>
      <c r="Q2046" s="53"/>
      <c r="R2046" s="57"/>
      <c r="S2046" s="23"/>
      <c r="T2046" s="53"/>
      <c r="U2046" s="53"/>
      <c r="V2046" s="53"/>
      <c r="W2046" s="57"/>
      <c r="X2046" s="47"/>
      <c r="Y2046" s="58"/>
      <c r="Z2046" s="58"/>
      <c r="AA2046" s="58"/>
      <c r="AB2046" s="57"/>
      <c r="AC2046" s="47"/>
      <c r="AD2046" s="57"/>
      <c r="AE2046" s="57"/>
      <c r="AF2046" s="57"/>
      <c r="AG2046" s="57"/>
      <c r="AH2046" s="59"/>
      <c r="AI2046" s="59"/>
      <c r="AJ2046" s="59"/>
      <c r="AK2046" s="59"/>
      <c r="AL2046" s="59"/>
      <c r="AM2046" s="59"/>
      <c r="AN2046" s="59"/>
      <c r="AZ2046" s="53"/>
      <c r="BA2046" s="53"/>
      <c r="BB2046" s="53"/>
      <c r="BC2046" s="53"/>
      <c r="BD2046" s="53"/>
    </row>
    <row r="2047" spans="3:56" x14ac:dyDescent="0.35">
      <c r="F2047" s="23"/>
      <c r="G2047" s="23"/>
      <c r="H2047" s="23"/>
      <c r="I2047" s="23"/>
      <c r="J2047" s="53"/>
      <c r="K2047" s="53"/>
      <c r="L2047" s="53"/>
      <c r="M2047" s="54"/>
      <c r="O2047" s="55"/>
      <c r="P2047" s="55"/>
      <c r="Q2047" s="53"/>
      <c r="R2047" s="57"/>
      <c r="S2047" s="23"/>
      <c r="T2047" s="53"/>
      <c r="U2047" s="53"/>
      <c r="V2047" s="53"/>
      <c r="W2047" s="57"/>
      <c r="X2047" s="47"/>
      <c r="Y2047" s="58"/>
      <c r="Z2047" s="58"/>
      <c r="AA2047" s="58"/>
      <c r="AB2047" s="57"/>
      <c r="AC2047" s="47"/>
      <c r="AD2047" s="57"/>
      <c r="AE2047" s="57"/>
      <c r="AF2047" s="57"/>
      <c r="AG2047" s="57"/>
      <c r="AH2047" s="59"/>
      <c r="AI2047" s="59"/>
      <c r="AJ2047" s="59"/>
      <c r="AK2047" s="59"/>
      <c r="AL2047" s="59"/>
      <c r="AM2047" s="59"/>
      <c r="AN2047" s="59"/>
      <c r="AZ2047" s="53"/>
      <c r="BA2047" s="53"/>
      <c r="BB2047" s="53"/>
      <c r="BC2047" s="53"/>
      <c r="BD2047" s="53"/>
    </row>
    <row r="2048" spans="3:56" x14ac:dyDescent="0.35">
      <c r="F2048" s="23"/>
      <c r="G2048" s="23"/>
      <c r="H2048" s="23"/>
      <c r="I2048" s="23"/>
      <c r="J2048" s="53"/>
      <c r="K2048" s="53"/>
      <c r="L2048" s="53"/>
      <c r="M2048" s="54"/>
      <c r="O2048" s="55"/>
      <c r="P2048" s="55"/>
      <c r="Q2048" s="53"/>
      <c r="R2048" s="57"/>
      <c r="S2048" s="23"/>
      <c r="T2048" s="53"/>
      <c r="U2048" s="53"/>
      <c r="V2048" s="53"/>
      <c r="W2048" s="57"/>
      <c r="X2048" s="47"/>
      <c r="Y2048" s="58"/>
      <c r="Z2048" s="58"/>
      <c r="AA2048" s="58"/>
      <c r="AB2048" s="57"/>
      <c r="AC2048" s="47"/>
      <c r="AD2048" s="57"/>
      <c r="AE2048" s="57"/>
      <c r="AF2048" s="57"/>
      <c r="AG2048" s="57"/>
      <c r="AH2048" s="59"/>
      <c r="AI2048" s="59"/>
      <c r="AJ2048" s="59"/>
      <c r="AK2048" s="59"/>
      <c r="AL2048" s="59"/>
      <c r="AM2048" s="59"/>
      <c r="AN2048" s="59"/>
      <c r="AZ2048" s="53"/>
      <c r="BA2048" s="53"/>
      <c r="BB2048" s="53"/>
      <c r="BC2048" s="53"/>
      <c r="BD2048" s="53"/>
    </row>
    <row r="2051" spans="3:5" x14ac:dyDescent="0.35">
      <c r="C2051" s="2" t="s">
        <v>2542</v>
      </c>
      <c r="D2051" t="s">
        <v>2599</v>
      </c>
    </row>
    <row r="2052" spans="3:5" x14ac:dyDescent="0.35">
      <c r="D2052" t="s">
        <v>2600</v>
      </c>
    </row>
    <row r="2053" spans="3:5" x14ac:dyDescent="0.35">
      <c r="D2053" t="s">
        <v>2601</v>
      </c>
    </row>
    <row r="2054" spans="3:5" x14ac:dyDescent="0.35">
      <c r="D2054" s="61" t="s">
        <v>2602</v>
      </c>
    </row>
    <row r="2056" spans="3:5" x14ac:dyDescent="0.35">
      <c r="D2056" t="s">
        <v>2603</v>
      </c>
      <c r="E2056" t="s">
        <v>2604</v>
      </c>
    </row>
    <row r="2057" spans="3:5" x14ac:dyDescent="0.35">
      <c r="D2057" t="s">
        <v>2605</v>
      </c>
      <c r="E2057" t="s">
        <v>2606</v>
      </c>
    </row>
    <row r="2058" spans="3:5" x14ac:dyDescent="0.35">
      <c r="D2058" t="s">
        <v>2607</v>
      </c>
      <c r="E2058" t="s">
        <v>2608</v>
      </c>
    </row>
    <row r="2059" spans="3:5" x14ac:dyDescent="0.35">
      <c r="D2059" t="s">
        <v>2609</v>
      </c>
      <c r="E2059" t="s">
        <v>2610</v>
      </c>
    </row>
    <row r="2063" spans="3:5" x14ac:dyDescent="0.35">
      <c r="D2063" t="s">
        <v>175</v>
      </c>
      <c r="E2063" t="s">
        <v>2611</v>
      </c>
    </row>
    <row r="2064" spans="3:5" x14ac:dyDescent="0.35">
      <c r="E2064" t="s">
        <v>2612</v>
      </c>
    </row>
    <row r="2065" spans="3:6" x14ac:dyDescent="0.35">
      <c r="C2065" s="2" t="s">
        <v>2614</v>
      </c>
      <c r="E2065" s="37" t="s">
        <v>2613</v>
      </c>
      <c r="F2065" t="s">
        <v>1460</v>
      </c>
    </row>
    <row r="2066" spans="3:6" x14ac:dyDescent="0.35">
      <c r="C2066" s="2" t="s">
        <v>2616</v>
      </c>
      <c r="E2066" s="37" t="s">
        <v>2615</v>
      </c>
      <c r="F2066" t="s">
        <v>623</v>
      </c>
    </row>
    <row r="2067" spans="3:6" x14ac:dyDescent="0.35">
      <c r="C2067" t="s">
        <v>2617</v>
      </c>
      <c r="E2067" s="37" t="s">
        <v>180</v>
      </c>
      <c r="F2067">
        <v>2019</v>
      </c>
    </row>
    <row r="2068" spans="3:6" x14ac:dyDescent="0.35">
      <c r="E2068" s="38" t="s">
        <v>2618</v>
      </c>
      <c r="F2068" t="e">
        <f t="array" ref="F2068">INDEX(#REF!,MATCH(1,(#REF!=F2065)*(#REF!=F2066),0),MATCH(F2067,VALUE(#REF!),0))</f>
        <v>#REF!</v>
      </c>
    </row>
    <row r="2069" spans="3:6" x14ac:dyDescent="0.35">
      <c r="E2069" s="37"/>
    </row>
    <row r="2071" spans="3:6" x14ac:dyDescent="0.35">
      <c r="D2071" t="s">
        <v>2619</v>
      </c>
    </row>
    <row r="2072" spans="3:6" x14ac:dyDescent="0.35">
      <c r="D2072" t="s">
        <v>2620</v>
      </c>
    </row>
    <row r="2073" spans="3:6" x14ac:dyDescent="0.35">
      <c r="D2073" t="s">
        <v>2621</v>
      </c>
    </row>
    <row r="2074" spans="3:6" x14ac:dyDescent="0.35">
      <c r="D2074" t="s">
        <v>2622</v>
      </c>
    </row>
    <row r="2075" spans="3:6" x14ac:dyDescent="0.35">
      <c r="D2075">
        <v>2020</v>
      </c>
      <c r="E2075" t="s">
        <v>2623</v>
      </c>
    </row>
    <row r="2076" spans="3:6" x14ac:dyDescent="0.35">
      <c r="D2076">
        <v>2018</v>
      </c>
      <c r="E2076" t="s">
        <v>2624</v>
      </c>
    </row>
    <row r="2077" spans="3:6" x14ac:dyDescent="0.35">
      <c r="D2077">
        <v>2019</v>
      </c>
      <c r="E2077" t="s">
        <v>2625</v>
      </c>
    </row>
    <row r="2078" spans="3:6" x14ac:dyDescent="0.35">
      <c r="C2078" s="2" t="s">
        <v>2536</v>
      </c>
      <c r="D2078">
        <v>2020</v>
      </c>
      <c r="E2078" t="s">
        <v>2626</v>
      </c>
    </row>
    <row r="2079" spans="3:6" x14ac:dyDescent="0.35">
      <c r="C2079" s="2"/>
    </row>
    <row r="2081" spans="3:56" x14ac:dyDescent="0.35">
      <c r="C2081" s="2" t="s">
        <v>175</v>
      </c>
      <c r="D2081" t="s">
        <v>2627</v>
      </c>
    </row>
    <row r="2082" spans="3:56" x14ac:dyDescent="0.35">
      <c r="E2082" t="s">
        <v>2628</v>
      </c>
    </row>
    <row r="2087" spans="3:56" x14ac:dyDescent="0.35">
      <c r="D2087" t="s">
        <v>2629</v>
      </c>
      <c r="E2087" t="s">
        <v>148</v>
      </c>
      <c r="F2087" s="23" t="s">
        <v>2630</v>
      </c>
      <c r="G2087" s="23" t="s">
        <v>2191</v>
      </c>
      <c r="H2087" s="23" t="s">
        <v>2198</v>
      </c>
      <c r="I2087" s="23" t="s">
        <v>2230</v>
      </c>
      <c r="J2087" s="23" t="s">
        <v>2257</v>
      </c>
      <c r="K2087" s="23" t="s">
        <v>2300</v>
      </c>
      <c r="L2087" s="23" t="s">
        <v>2307</v>
      </c>
      <c r="M2087" s="24" t="s">
        <v>2327</v>
      </c>
      <c r="N2087" s="24" t="s">
        <v>2339</v>
      </c>
      <c r="O2087" s="24" t="s">
        <v>2353</v>
      </c>
      <c r="P2087" s="24" t="s">
        <v>2366</v>
      </c>
      <c r="Q2087" s="23" t="s">
        <v>2391</v>
      </c>
      <c r="R2087" s="23" t="s">
        <v>2410</v>
      </c>
      <c r="S2087" s="23" t="s">
        <v>2426</v>
      </c>
      <c r="T2087" s="23" t="s">
        <v>2631</v>
      </c>
      <c r="U2087" s="23" t="s">
        <v>2632</v>
      </c>
      <c r="V2087" s="23" t="s">
        <v>2633</v>
      </c>
      <c r="W2087" s="23" t="s">
        <v>2634</v>
      </c>
      <c r="X2087" s="23" t="s">
        <v>2635</v>
      </c>
      <c r="Y2087" s="23" t="s">
        <v>2636</v>
      </c>
      <c r="Z2087" s="23" t="s">
        <v>2637</v>
      </c>
      <c r="AA2087" s="23" t="s">
        <v>2638</v>
      </c>
      <c r="AB2087" s="23" t="s">
        <v>2639</v>
      </c>
      <c r="AC2087" s="23" t="s">
        <v>2640</v>
      </c>
      <c r="AD2087" s="23" t="s">
        <v>2641</v>
      </c>
      <c r="AE2087" s="23" t="s">
        <v>2642</v>
      </c>
      <c r="AF2087" s="23" t="s">
        <v>2643</v>
      </c>
      <c r="AG2087" s="23" t="s">
        <v>2644</v>
      </c>
      <c r="AH2087" s="23" t="s">
        <v>2645</v>
      </c>
      <c r="AI2087" s="23" t="s">
        <v>2646</v>
      </c>
      <c r="AJ2087" s="23" t="s">
        <v>2647</v>
      </c>
      <c r="AK2087" s="23" t="s">
        <v>2648</v>
      </c>
      <c r="AL2087" s="23" t="s">
        <v>2649</v>
      </c>
      <c r="AM2087" s="23" t="s">
        <v>2650</v>
      </c>
      <c r="AN2087" s="23" t="s">
        <v>2651</v>
      </c>
      <c r="AO2087" s="23" t="s">
        <v>2652</v>
      </c>
      <c r="AP2087" s="23" t="s">
        <v>2653</v>
      </c>
      <c r="AQ2087" s="23" t="s">
        <v>2654</v>
      </c>
      <c r="AR2087" s="23" t="s">
        <v>2655</v>
      </c>
      <c r="AS2087" s="23" t="s">
        <v>2656</v>
      </c>
      <c r="AT2087" s="23" t="s">
        <v>2657</v>
      </c>
      <c r="AU2087" s="23" t="s">
        <v>2658</v>
      </c>
      <c r="AV2087" s="23" t="s">
        <v>2659</v>
      </c>
      <c r="AW2087" s="23" t="s">
        <v>2660</v>
      </c>
      <c r="AX2087" s="23" t="s">
        <v>2661</v>
      </c>
      <c r="AY2087" s="23" t="s">
        <v>2662</v>
      </c>
      <c r="AZ2087" s="23" t="s">
        <v>2663</v>
      </c>
      <c r="BA2087" s="23" t="s">
        <v>2664</v>
      </c>
      <c r="BB2087" s="23" t="s">
        <v>2665</v>
      </c>
      <c r="BC2087" s="23" t="s">
        <v>2666</v>
      </c>
      <c r="BD2087" s="23" t="s">
        <v>2667</v>
      </c>
    </row>
    <row r="2088" spans="3:56" x14ac:dyDescent="0.35">
      <c r="D2088" t="s">
        <v>2668</v>
      </c>
      <c r="E2088" t="s">
        <v>2669</v>
      </c>
      <c r="F2088" s="23">
        <v>0.76500000000000001</v>
      </c>
      <c r="G2088" s="23">
        <v>0.83299999999999996</v>
      </c>
      <c r="H2088" s="23">
        <v>0.85899999999999999</v>
      </c>
      <c r="I2088" s="23">
        <v>0.88500000000000001</v>
      </c>
      <c r="J2088" s="23">
        <v>0.91300000000000003</v>
      </c>
      <c r="K2088" s="23">
        <v>0.94099999999999995</v>
      </c>
      <c r="L2088" s="23">
        <v>0.97</v>
      </c>
      <c r="M2088" s="62">
        <v>1</v>
      </c>
      <c r="N2088" s="62">
        <v>1</v>
      </c>
      <c r="O2088" s="62">
        <v>1</v>
      </c>
      <c r="P2088" s="62">
        <v>1</v>
      </c>
      <c r="Q2088" s="63">
        <v>1.004</v>
      </c>
      <c r="R2088" s="63">
        <v>1.024</v>
      </c>
      <c r="S2088" s="63">
        <v>1.048</v>
      </c>
      <c r="T2088" s="63">
        <v>1.087</v>
      </c>
      <c r="U2088" s="63">
        <v>1.119</v>
      </c>
      <c r="V2088" s="63">
        <v>1.135</v>
      </c>
      <c r="W2088" s="63">
        <v>1.159</v>
      </c>
      <c r="X2088" s="63">
        <v>1.1830000000000001</v>
      </c>
      <c r="Y2088" s="63">
        <v>1.198</v>
      </c>
      <c r="Z2088" s="63">
        <v>1.214</v>
      </c>
      <c r="AA2088" s="63">
        <v>1.222</v>
      </c>
      <c r="AB2088" s="63">
        <v>1.23</v>
      </c>
      <c r="AC2088" s="63">
        <v>1.238</v>
      </c>
      <c r="AD2088" s="63">
        <v>1.246</v>
      </c>
      <c r="AE2088" s="63">
        <v>1.262</v>
      </c>
      <c r="AF2088" s="63">
        <v>1.278</v>
      </c>
      <c r="AG2088" s="63">
        <v>1.302</v>
      </c>
      <c r="AH2088" s="63">
        <v>1.325</v>
      </c>
      <c r="AI2088" s="63">
        <v>1.357</v>
      </c>
      <c r="AJ2088" s="63">
        <v>1.397</v>
      </c>
      <c r="AK2088" s="63">
        <v>1.444</v>
      </c>
      <c r="AL2088" s="63">
        <v>1.5</v>
      </c>
      <c r="AM2088" s="63">
        <v>1.5629999999999999</v>
      </c>
      <c r="AN2088" s="63">
        <v>1.635</v>
      </c>
      <c r="AO2088" s="63">
        <v>1.706</v>
      </c>
      <c r="AP2088" s="63">
        <v>1.786</v>
      </c>
      <c r="AQ2088" s="63">
        <v>1.865</v>
      </c>
      <c r="AR2088" s="63">
        <v>1.952</v>
      </c>
      <c r="AS2088" s="63">
        <v>2.04</v>
      </c>
      <c r="AT2088" s="63">
        <v>2.1349999999999998</v>
      </c>
      <c r="AU2088" s="63">
        <v>2.23</v>
      </c>
      <c r="AV2088" s="63">
        <v>2.3330000000000002</v>
      </c>
      <c r="AW2088" s="63">
        <v>2.4369999999999998</v>
      </c>
      <c r="AX2088" s="63">
        <v>2.548</v>
      </c>
      <c r="AY2088" s="63">
        <v>2.6030000000000002</v>
      </c>
      <c r="AZ2088" s="63">
        <v>2.714</v>
      </c>
      <c r="BA2088" s="63">
        <v>2.81</v>
      </c>
      <c r="BB2088" s="63">
        <v>2.8730000000000002</v>
      </c>
      <c r="BC2088" s="63">
        <v>2.952</v>
      </c>
      <c r="BD2088" s="63">
        <v>3</v>
      </c>
    </row>
    <row r="2089" spans="3:56" x14ac:dyDescent="0.35">
      <c r="C2089" t="s">
        <v>2670</v>
      </c>
      <c r="D2089" t="s">
        <v>229</v>
      </c>
      <c r="E2089" t="s">
        <v>2669</v>
      </c>
      <c r="F2089" s="23">
        <v>0.63500000000000001</v>
      </c>
      <c r="G2089" s="23">
        <v>0.63500000000000001</v>
      </c>
      <c r="H2089" s="23">
        <v>0.63500000000000001</v>
      </c>
      <c r="I2089" s="23">
        <v>0.63500000000000001</v>
      </c>
      <c r="J2089" s="23">
        <v>0.63500000000000001</v>
      </c>
      <c r="K2089" s="23">
        <v>0.63500000000000001</v>
      </c>
      <c r="L2089" s="23">
        <v>0.63500000000000001</v>
      </c>
      <c r="M2089" s="62">
        <v>1</v>
      </c>
      <c r="N2089" s="62">
        <v>1</v>
      </c>
      <c r="O2089" s="62">
        <v>1</v>
      </c>
      <c r="P2089" s="62">
        <v>1</v>
      </c>
      <c r="Q2089" s="63">
        <v>1.004</v>
      </c>
      <c r="R2089" s="63">
        <v>1.024</v>
      </c>
      <c r="S2089" s="63">
        <v>1.048</v>
      </c>
      <c r="T2089" s="63">
        <v>1.087</v>
      </c>
      <c r="U2089" s="63">
        <v>1.119</v>
      </c>
      <c r="V2089" s="63">
        <v>1.135</v>
      </c>
      <c r="W2089" s="63">
        <v>1.159</v>
      </c>
      <c r="X2089" s="63">
        <v>1.1830000000000001</v>
      </c>
      <c r="Y2089" s="63">
        <v>1.198</v>
      </c>
      <c r="Z2089" s="63">
        <v>1.214</v>
      </c>
      <c r="AA2089" s="63">
        <v>1.222</v>
      </c>
      <c r="AB2089" s="63">
        <v>1.23</v>
      </c>
      <c r="AC2089" s="63">
        <v>1.238</v>
      </c>
      <c r="AD2089" s="63">
        <v>1.246</v>
      </c>
      <c r="AE2089" s="63">
        <v>1.262</v>
      </c>
      <c r="AF2089" s="63">
        <v>1.278</v>
      </c>
      <c r="AG2089" s="63">
        <v>1.302</v>
      </c>
      <c r="AH2089" s="63">
        <v>1.325</v>
      </c>
      <c r="AI2089" s="63">
        <v>1.357</v>
      </c>
      <c r="AJ2089" s="63">
        <v>1.397</v>
      </c>
      <c r="AK2089" s="63">
        <v>1.444</v>
      </c>
      <c r="AL2089" s="63">
        <v>1.5</v>
      </c>
      <c r="AM2089" s="63">
        <v>1.5629999999999999</v>
      </c>
      <c r="AN2089" s="63">
        <v>1.635</v>
      </c>
      <c r="AO2089" s="63">
        <v>1.706</v>
      </c>
      <c r="AP2089" s="63">
        <v>1.786</v>
      </c>
      <c r="AQ2089" s="63">
        <v>1.865</v>
      </c>
      <c r="AR2089" s="63">
        <v>1.952</v>
      </c>
      <c r="AS2089" s="63">
        <v>2.04</v>
      </c>
      <c r="AT2089" s="63">
        <v>2.1349999999999998</v>
      </c>
      <c r="AU2089" s="63">
        <v>2.23</v>
      </c>
      <c r="AV2089" s="63">
        <v>2.3330000000000002</v>
      </c>
      <c r="AW2089" s="63">
        <v>2.4369999999999998</v>
      </c>
      <c r="AX2089" s="63">
        <v>2.548</v>
      </c>
      <c r="AY2089" s="63">
        <v>2.6030000000000002</v>
      </c>
      <c r="AZ2089" s="63">
        <v>2.714</v>
      </c>
      <c r="BA2089" s="63">
        <v>2.81</v>
      </c>
      <c r="BB2089" s="63">
        <v>2.8730000000000002</v>
      </c>
      <c r="BC2089" s="63">
        <v>2.952</v>
      </c>
      <c r="BD2089" s="63">
        <v>3</v>
      </c>
    </row>
    <row r="2090" spans="3:56" x14ac:dyDescent="0.35">
      <c r="D2090" t="s">
        <v>2671</v>
      </c>
      <c r="E2090" t="s">
        <v>2669</v>
      </c>
      <c r="F2090" s="23">
        <v>0.65400000000000003</v>
      </c>
      <c r="G2090" s="23">
        <v>0.65400000000000003</v>
      </c>
      <c r="H2090" s="23">
        <v>0.65400000000000003</v>
      </c>
      <c r="I2090" s="23">
        <v>0.65400000000000003</v>
      </c>
      <c r="J2090" s="23">
        <v>0.65400000000000003</v>
      </c>
      <c r="K2090" s="23">
        <v>0.65400000000000003</v>
      </c>
      <c r="L2090" s="23">
        <v>0.65400000000000003</v>
      </c>
      <c r="M2090" s="62">
        <v>0.72699999999999998</v>
      </c>
      <c r="N2090" s="62">
        <v>0.72699999999999998</v>
      </c>
      <c r="O2090" s="62">
        <v>0.72699999999999998</v>
      </c>
      <c r="P2090" s="62">
        <v>0.72699999999999998</v>
      </c>
      <c r="Q2090" s="63">
        <v>0.72699999999999998</v>
      </c>
      <c r="R2090" s="63">
        <v>0.72699999999999998</v>
      </c>
      <c r="S2090" s="63">
        <v>0.72699999999999998</v>
      </c>
      <c r="T2090" s="63">
        <v>0.74399999999999999</v>
      </c>
      <c r="U2090" s="63">
        <v>0.76</v>
      </c>
      <c r="V2090" s="63">
        <v>0.77900000000000003</v>
      </c>
      <c r="W2090" s="63">
        <v>0.79900000000000004</v>
      </c>
      <c r="X2090" s="63">
        <v>0.81699999999999995</v>
      </c>
      <c r="Y2090" s="63">
        <v>0.83599999999999997</v>
      </c>
      <c r="Z2090" s="63">
        <v>0.85599999999999998</v>
      </c>
      <c r="AA2090" s="63">
        <v>0.876</v>
      </c>
      <c r="AB2090" s="63">
        <v>0.89600000000000002</v>
      </c>
      <c r="AC2090" s="63">
        <v>0.91600000000000004</v>
      </c>
      <c r="AD2090" s="63">
        <v>0.92700000000000005</v>
      </c>
      <c r="AE2090" s="63">
        <v>0.93799999999999994</v>
      </c>
      <c r="AF2090" s="63">
        <v>0.97499999999999998</v>
      </c>
      <c r="AG2090" s="63">
        <v>1.0129999999999999</v>
      </c>
      <c r="AH2090" s="63">
        <v>1.0529999999999999</v>
      </c>
      <c r="AI2090" s="63">
        <v>1.0940000000000001</v>
      </c>
      <c r="AJ2090" s="63">
        <v>1.137</v>
      </c>
      <c r="AK2090" s="63">
        <v>1.181</v>
      </c>
      <c r="AL2090" s="63">
        <v>1.2270000000000001</v>
      </c>
      <c r="AM2090" s="63">
        <v>1.2749999999999999</v>
      </c>
      <c r="AN2090" s="63">
        <v>1.325</v>
      </c>
      <c r="AO2090" s="63">
        <v>1.377</v>
      </c>
      <c r="AP2090" s="63">
        <v>1.431</v>
      </c>
      <c r="AQ2090" s="63">
        <v>1.4870000000000001</v>
      </c>
      <c r="AR2090" s="63">
        <v>1.5449999999999999</v>
      </c>
      <c r="AS2090" s="63">
        <v>1.605</v>
      </c>
      <c r="AT2090" s="63">
        <v>1.6679999999999999</v>
      </c>
      <c r="AU2090" s="63">
        <v>1.7330000000000001</v>
      </c>
      <c r="AV2090" s="63">
        <v>1.8009999999999999</v>
      </c>
      <c r="AW2090" s="63">
        <v>1.871</v>
      </c>
      <c r="AX2090" s="63">
        <v>1.944</v>
      </c>
      <c r="AY2090" s="63">
        <v>2.02</v>
      </c>
      <c r="AZ2090" s="63">
        <v>2.0990000000000002</v>
      </c>
      <c r="BA2090" s="63">
        <v>2.181</v>
      </c>
      <c r="BB2090" s="63">
        <v>2.181</v>
      </c>
      <c r="BC2090" s="63">
        <v>2.181</v>
      </c>
      <c r="BD2090" s="63">
        <v>2.181</v>
      </c>
    </row>
    <row r="2091" spans="3:56" x14ac:dyDescent="0.35">
      <c r="D2091" t="s">
        <v>2672</v>
      </c>
      <c r="E2091" t="s">
        <v>2669</v>
      </c>
      <c r="F2091" s="23">
        <v>0.751</v>
      </c>
      <c r="G2091" s="23">
        <v>0.751</v>
      </c>
      <c r="H2091" s="23">
        <v>0.751</v>
      </c>
      <c r="I2091" s="23">
        <v>0.751</v>
      </c>
      <c r="J2091" s="23">
        <v>0.751</v>
      </c>
      <c r="K2091" s="23">
        <v>0.751</v>
      </c>
      <c r="L2091" s="23">
        <v>0.751</v>
      </c>
      <c r="M2091" s="62">
        <v>1.1830000000000001</v>
      </c>
      <c r="N2091" s="62">
        <v>1.1830000000000001</v>
      </c>
      <c r="O2091" s="62">
        <v>1.1830000000000001</v>
      </c>
      <c r="P2091" s="62">
        <v>1.1830000000000001</v>
      </c>
      <c r="Q2091" s="63">
        <v>1.1830000000000001</v>
      </c>
      <c r="R2091" s="63">
        <v>1.1830000000000001</v>
      </c>
      <c r="S2091" s="63">
        <v>1.22</v>
      </c>
      <c r="T2091" s="63">
        <v>1.25</v>
      </c>
      <c r="U2091" s="63">
        <v>1.2749999999999999</v>
      </c>
      <c r="V2091" s="63">
        <v>1.2869999999999999</v>
      </c>
      <c r="W2091" s="63">
        <v>1.3049999999999999</v>
      </c>
      <c r="X2091" s="63">
        <v>1.323</v>
      </c>
      <c r="Y2091" s="63">
        <v>1.3340000000000001</v>
      </c>
      <c r="Z2091" s="63">
        <v>1.3460000000000001</v>
      </c>
      <c r="AA2091" s="63">
        <v>1.3520000000000001</v>
      </c>
      <c r="AB2091" s="63">
        <v>1.3580000000000001</v>
      </c>
      <c r="AC2091" s="63">
        <v>1.363</v>
      </c>
      <c r="AD2091" s="63">
        <v>1.369</v>
      </c>
      <c r="AE2091" s="63">
        <v>1.381</v>
      </c>
      <c r="AF2091" s="63">
        <v>1.393</v>
      </c>
      <c r="AG2091" s="63">
        <v>1.41</v>
      </c>
      <c r="AH2091" s="63">
        <v>1.427</v>
      </c>
      <c r="AI2091" s="63">
        <v>1.45</v>
      </c>
      <c r="AJ2091" s="63">
        <v>1.478</v>
      </c>
      <c r="AK2091" s="63">
        <v>1.5109999999999999</v>
      </c>
      <c r="AL2091" s="63">
        <v>1.55</v>
      </c>
      <c r="AM2091" s="63">
        <v>1.593</v>
      </c>
      <c r="AN2091" s="63">
        <v>1.641</v>
      </c>
      <c r="AO2091" s="63">
        <v>1.6879999999999999</v>
      </c>
      <c r="AP2091" s="63">
        <v>1.7410000000000001</v>
      </c>
      <c r="AQ2091" s="63">
        <v>1.792</v>
      </c>
      <c r="AR2091" s="63">
        <v>1.847</v>
      </c>
      <c r="AS2091" s="63">
        <v>1.9019999999999999</v>
      </c>
      <c r="AT2091" s="63">
        <v>1.9610000000000001</v>
      </c>
      <c r="AU2091" s="63">
        <v>2.0190000000000001</v>
      </c>
      <c r="AV2091" s="63">
        <v>2.08</v>
      </c>
      <c r="AW2091" s="63">
        <v>2.1419999999999999</v>
      </c>
      <c r="AX2091" s="63">
        <v>2.206</v>
      </c>
      <c r="AY2091" s="63">
        <v>2.2799999999999998</v>
      </c>
      <c r="AZ2091" s="63">
        <v>2.3650000000000002</v>
      </c>
      <c r="BA2091" s="63">
        <v>2.3650000000000002</v>
      </c>
      <c r="BB2091" s="63">
        <v>2.3650000000000002</v>
      </c>
      <c r="BC2091" s="63">
        <v>2.3650000000000002</v>
      </c>
      <c r="BD2091" s="63">
        <v>2.3650000000000002</v>
      </c>
    </row>
    <row r="2092" spans="3:56" x14ac:dyDescent="0.35">
      <c r="D2092" t="s">
        <v>2673</v>
      </c>
      <c r="E2092" t="s">
        <v>2669</v>
      </c>
      <c r="F2092" s="23">
        <v>0.89</v>
      </c>
      <c r="G2092" s="23">
        <v>0.89</v>
      </c>
      <c r="H2092" s="23">
        <v>0.89</v>
      </c>
      <c r="I2092" s="23">
        <v>0.89</v>
      </c>
      <c r="J2092" s="23">
        <v>0.89</v>
      </c>
      <c r="K2092" s="23">
        <v>0.89</v>
      </c>
      <c r="L2092" s="23">
        <v>0.89</v>
      </c>
      <c r="M2092" s="62">
        <v>1</v>
      </c>
      <c r="N2092" s="62">
        <v>1</v>
      </c>
      <c r="O2092" s="62">
        <v>1</v>
      </c>
      <c r="P2092" s="62">
        <v>1</v>
      </c>
      <c r="Q2092" s="63">
        <v>1.004</v>
      </c>
      <c r="R2092" s="63">
        <v>1.024</v>
      </c>
      <c r="S2092" s="63">
        <v>1.048</v>
      </c>
      <c r="T2092" s="63">
        <v>1.087</v>
      </c>
      <c r="U2092" s="63">
        <v>1.119</v>
      </c>
      <c r="V2092" s="63">
        <v>1.135</v>
      </c>
      <c r="W2092" s="63">
        <v>1.159</v>
      </c>
      <c r="X2092" s="63">
        <v>1.1830000000000001</v>
      </c>
      <c r="Y2092" s="63">
        <v>1.198</v>
      </c>
      <c r="Z2092" s="63">
        <v>1.214</v>
      </c>
      <c r="AA2092" s="63">
        <v>1.222</v>
      </c>
      <c r="AB2092" s="63">
        <v>1.23</v>
      </c>
      <c r="AC2092" s="63">
        <v>1.238</v>
      </c>
      <c r="AD2092" s="63">
        <v>1.246</v>
      </c>
      <c r="AE2092" s="63">
        <v>1.262</v>
      </c>
      <c r="AF2092" s="63">
        <v>1.278</v>
      </c>
      <c r="AG2092" s="63">
        <v>1.302</v>
      </c>
      <c r="AH2092" s="63">
        <v>1.325</v>
      </c>
      <c r="AI2092" s="63">
        <v>1.357</v>
      </c>
      <c r="AJ2092" s="63">
        <v>1.397</v>
      </c>
      <c r="AK2092" s="63">
        <v>1.444</v>
      </c>
      <c r="AL2092" s="63">
        <v>1.5</v>
      </c>
      <c r="AM2092" s="63">
        <v>1.5629999999999999</v>
      </c>
      <c r="AN2092" s="63">
        <v>1.635</v>
      </c>
      <c r="AO2092" s="63">
        <v>1.706</v>
      </c>
      <c r="AP2092" s="63">
        <v>1.786</v>
      </c>
      <c r="AQ2092" s="63">
        <v>1.865</v>
      </c>
      <c r="AR2092" s="63">
        <v>1.952</v>
      </c>
      <c r="AS2092" s="63">
        <v>2.04</v>
      </c>
      <c r="AT2092" s="63">
        <v>2.1349999999999998</v>
      </c>
      <c r="AU2092" s="63">
        <v>2.23</v>
      </c>
      <c r="AV2092" s="63">
        <v>2.3330000000000002</v>
      </c>
      <c r="AW2092" s="63">
        <v>2.4369999999999998</v>
      </c>
      <c r="AX2092" s="63">
        <v>2.548</v>
      </c>
      <c r="AY2092" s="63">
        <v>2.6030000000000002</v>
      </c>
      <c r="AZ2092" s="63">
        <v>2.714</v>
      </c>
      <c r="BA2092" s="63">
        <v>2.81</v>
      </c>
      <c r="BB2092" s="63">
        <v>2.8730000000000002</v>
      </c>
      <c r="BC2092" s="63">
        <v>2.952</v>
      </c>
      <c r="BD2092" s="63">
        <v>3</v>
      </c>
    </row>
    <row r="2093" spans="3:56" x14ac:dyDescent="0.35">
      <c r="D2093" t="s">
        <v>1206</v>
      </c>
      <c r="E2093" t="s">
        <v>2669</v>
      </c>
      <c r="F2093" s="23">
        <v>0.63500000000000001</v>
      </c>
      <c r="G2093" s="23">
        <v>0.63500000000000001</v>
      </c>
      <c r="H2093" s="23">
        <v>0.63500000000000001</v>
      </c>
      <c r="I2093" s="23">
        <v>0.63500000000000001</v>
      </c>
      <c r="J2093" s="23">
        <v>0.63500000000000001</v>
      </c>
      <c r="K2093" s="23">
        <v>0.63500000000000001</v>
      </c>
      <c r="L2093" s="23">
        <v>0.63500000000000001</v>
      </c>
      <c r="M2093" s="62">
        <v>1</v>
      </c>
      <c r="N2093" s="62">
        <v>1</v>
      </c>
      <c r="O2093" s="62">
        <v>1</v>
      </c>
      <c r="P2093" s="62">
        <v>1</v>
      </c>
      <c r="Q2093" s="63">
        <v>1.004</v>
      </c>
      <c r="R2093" s="63">
        <v>1.024</v>
      </c>
      <c r="S2093" s="63">
        <v>1.048</v>
      </c>
      <c r="T2093" s="63">
        <v>1.087</v>
      </c>
      <c r="U2093" s="63">
        <v>1.119</v>
      </c>
      <c r="V2093" s="63">
        <v>1.135</v>
      </c>
      <c r="W2093" s="63">
        <v>1.159</v>
      </c>
      <c r="X2093" s="63">
        <v>1.1830000000000001</v>
      </c>
      <c r="Y2093" s="63">
        <v>1.198</v>
      </c>
      <c r="Z2093" s="63">
        <v>1.214</v>
      </c>
      <c r="AA2093" s="63">
        <v>1.222</v>
      </c>
      <c r="AB2093" s="63">
        <v>1.23</v>
      </c>
      <c r="AC2093" s="63">
        <v>1.238</v>
      </c>
      <c r="AD2093" s="63">
        <v>1.246</v>
      </c>
      <c r="AE2093" s="63">
        <v>1.262</v>
      </c>
      <c r="AF2093" s="63">
        <v>1.278</v>
      </c>
      <c r="AG2093" s="63">
        <v>1.302</v>
      </c>
      <c r="AH2093" s="63">
        <v>1.325</v>
      </c>
      <c r="AI2093" s="63">
        <v>1.357</v>
      </c>
      <c r="AJ2093" s="63">
        <v>1.397</v>
      </c>
      <c r="AK2093" s="63">
        <v>1.444</v>
      </c>
      <c r="AL2093" s="63">
        <v>1.5</v>
      </c>
      <c r="AM2093" s="63">
        <v>1.5629999999999999</v>
      </c>
      <c r="AN2093" s="63">
        <v>1.635</v>
      </c>
      <c r="AO2093" s="63">
        <v>1.706</v>
      </c>
      <c r="AP2093" s="63">
        <v>1.786</v>
      </c>
      <c r="AQ2093" s="63">
        <v>1.865</v>
      </c>
      <c r="AR2093" s="63">
        <v>1.952</v>
      </c>
      <c r="AS2093" s="63">
        <v>2.04</v>
      </c>
      <c r="AT2093" s="63">
        <v>2.1349999999999998</v>
      </c>
      <c r="AU2093" s="63">
        <v>2.23</v>
      </c>
      <c r="AV2093" s="63">
        <v>2.3330000000000002</v>
      </c>
      <c r="AW2093" s="63">
        <v>2.4369999999999998</v>
      </c>
      <c r="AX2093" s="63">
        <v>2.548</v>
      </c>
      <c r="AY2093" s="63">
        <v>2.6030000000000002</v>
      </c>
      <c r="AZ2093" s="63">
        <v>2.714</v>
      </c>
      <c r="BA2093" s="63">
        <v>2.81</v>
      </c>
      <c r="BB2093" s="63">
        <v>2.8730000000000002</v>
      </c>
      <c r="BC2093" s="63">
        <v>2.952</v>
      </c>
      <c r="BD2093" s="63">
        <v>3</v>
      </c>
    </row>
    <row r="2094" spans="3:56" x14ac:dyDescent="0.35">
      <c r="D2094" t="s">
        <v>1427</v>
      </c>
      <c r="E2094" t="s">
        <v>2669</v>
      </c>
      <c r="F2094" s="23">
        <v>0.63500000000000001</v>
      </c>
      <c r="G2094" s="23">
        <v>0.63500000000000001</v>
      </c>
      <c r="H2094" s="23">
        <v>0.63500000000000001</v>
      </c>
      <c r="I2094" s="23">
        <v>0.63500000000000001</v>
      </c>
      <c r="J2094" s="23">
        <v>0.63500000000000001</v>
      </c>
      <c r="K2094" s="23">
        <v>0.63500000000000001</v>
      </c>
      <c r="L2094" s="23">
        <v>0.63500000000000001</v>
      </c>
      <c r="M2094" s="62">
        <v>1</v>
      </c>
      <c r="N2094" s="62">
        <v>1</v>
      </c>
      <c r="O2094" s="62">
        <v>1</v>
      </c>
      <c r="P2094" s="62">
        <v>1</v>
      </c>
      <c r="Q2094" s="63">
        <v>1.004</v>
      </c>
      <c r="R2094" s="63">
        <v>1.024</v>
      </c>
      <c r="S2094" s="63">
        <v>1.048</v>
      </c>
      <c r="T2094" s="63">
        <v>1.087</v>
      </c>
      <c r="U2094" s="63">
        <v>1.119</v>
      </c>
      <c r="V2094" s="63">
        <v>1.135</v>
      </c>
      <c r="W2094" s="63">
        <v>1.159</v>
      </c>
      <c r="X2094" s="63">
        <v>1.1830000000000001</v>
      </c>
      <c r="Y2094" s="63">
        <v>1.198</v>
      </c>
      <c r="Z2094" s="63">
        <v>1.214</v>
      </c>
      <c r="AA2094" s="63">
        <v>1.222</v>
      </c>
      <c r="AB2094" s="63">
        <v>1.23</v>
      </c>
      <c r="AC2094" s="63">
        <v>1.238</v>
      </c>
      <c r="AD2094" s="63">
        <v>1.246</v>
      </c>
      <c r="AE2094" s="63">
        <v>1.262</v>
      </c>
      <c r="AF2094" s="63">
        <v>1.278</v>
      </c>
      <c r="AG2094" s="63">
        <v>1.302</v>
      </c>
      <c r="AH2094" s="63">
        <v>1.325</v>
      </c>
      <c r="AI2094" s="63">
        <v>1.357</v>
      </c>
      <c r="AJ2094" s="63">
        <v>1.397</v>
      </c>
      <c r="AK2094" s="63">
        <v>1.444</v>
      </c>
      <c r="AL2094" s="63">
        <v>1.5</v>
      </c>
      <c r="AM2094" s="63">
        <v>1.5629999999999999</v>
      </c>
      <c r="AN2094" s="63">
        <v>1.635</v>
      </c>
      <c r="AO2094" s="63">
        <v>1.706</v>
      </c>
      <c r="AP2094" s="63">
        <v>1.786</v>
      </c>
      <c r="AQ2094" s="63">
        <v>1.865</v>
      </c>
      <c r="AR2094" s="63">
        <v>1.952</v>
      </c>
      <c r="AS2094" s="63">
        <v>2.04</v>
      </c>
      <c r="AT2094" s="63">
        <v>2.1349999999999998</v>
      </c>
      <c r="AU2094" s="63">
        <v>2.23</v>
      </c>
      <c r="AV2094" s="63">
        <v>2.3330000000000002</v>
      </c>
      <c r="AW2094" s="63">
        <v>2.4369999999999998</v>
      </c>
      <c r="AX2094" s="63">
        <v>2.548</v>
      </c>
      <c r="AY2094" s="63">
        <v>2.6030000000000002</v>
      </c>
      <c r="AZ2094" s="63">
        <v>2.714</v>
      </c>
      <c r="BA2094" s="63">
        <v>2.81</v>
      </c>
      <c r="BB2094" s="63">
        <v>2.8730000000000002</v>
      </c>
      <c r="BC2094" s="63">
        <v>2.952</v>
      </c>
      <c r="BD2094" s="63">
        <v>3</v>
      </c>
    </row>
    <row r="2095" spans="3:56" x14ac:dyDescent="0.35">
      <c r="D2095" t="s">
        <v>2432</v>
      </c>
      <c r="E2095" t="s">
        <v>2669</v>
      </c>
      <c r="F2095" s="23">
        <v>0.79300000000000004</v>
      </c>
      <c r="G2095" s="23">
        <v>0.79300000000000004</v>
      </c>
      <c r="H2095" s="23">
        <v>0.79300000000000004</v>
      </c>
      <c r="I2095" s="23">
        <v>0.79300000000000004</v>
      </c>
      <c r="J2095" s="23">
        <v>0.79300000000000004</v>
      </c>
      <c r="K2095" s="23">
        <v>0.79300000000000004</v>
      </c>
      <c r="L2095" s="23">
        <v>0.79300000000000004</v>
      </c>
      <c r="M2095" s="62">
        <v>1</v>
      </c>
      <c r="N2095" s="62">
        <v>1.05</v>
      </c>
      <c r="O2095" s="62">
        <v>1.113</v>
      </c>
      <c r="P2095" s="62">
        <v>1.1910000000000001</v>
      </c>
      <c r="Q2095" s="63">
        <v>1.298</v>
      </c>
      <c r="R2095" s="63">
        <v>1.363</v>
      </c>
      <c r="S2095" s="63">
        <v>1.39</v>
      </c>
      <c r="T2095" s="63">
        <v>1.39</v>
      </c>
      <c r="U2095" s="63">
        <v>1.39</v>
      </c>
      <c r="V2095" s="63">
        <v>1.39</v>
      </c>
      <c r="W2095" s="63">
        <v>1.39</v>
      </c>
      <c r="X2095" s="63">
        <v>1.39</v>
      </c>
      <c r="Y2095" s="63">
        <v>1.39</v>
      </c>
      <c r="Z2095" s="63">
        <v>1.39</v>
      </c>
      <c r="AA2095" s="63">
        <v>1.39</v>
      </c>
      <c r="AB2095" s="63">
        <v>1.39</v>
      </c>
      <c r="AC2095" s="63">
        <v>1.4039999999999999</v>
      </c>
      <c r="AD2095" s="63">
        <v>1.425</v>
      </c>
      <c r="AE2095" s="63">
        <v>1.45</v>
      </c>
      <c r="AF2095" s="63">
        <v>1.4790000000000001</v>
      </c>
      <c r="AG2095" s="63">
        <v>1.516</v>
      </c>
      <c r="AH2095" s="63">
        <v>1.5620000000000001</v>
      </c>
      <c r="AI2095" s="63">
        <v>1.6160000000000001</v>
      </c>
      <c r="AJ2095" s="63">
        <v>1.681</v>
      </c>
      <c r="AK2095" s="63">
        <v>1.748</v>
      </c>
      <c r="AL2095" s="63">
        <v>1.8180000000000001</v>
      </c>
      <c r="AM2095" s="63">
        <v>1.891</v>
      </c>
      <c r="AN2095" s="63">
        <v>1.966</v>
      </c>
      <c r="AO2095" s="63">
        <v>2.0449999999999999</v>
      </c>
      <c r="AP2095" s="63">
        <v>2.1269999999999998</v>
      </c>
      <c r="AQ2095" s="63">
        <v>2.2120000000000002</v>
      </c>
      <c r="AR2095" s="63">
        <v>2.2999999999999998</v>
      </c>
      <c r="AS2095" s="63">
        <v>2.3919999999999999</v>
      </c>
      <c r="AT2095" s="63">
        <v>2.488</v>
      </c>
      <c r="AU2095" s="63">
        <v>2.5880000000000001</v>
      </c>
      <c r="AV2095" s="63">
        <v>2.6909999999999998</v>
      </c>
      <c r="AW2095" s="63">
        <v>2.7989999999999999</v>
      </c>
      <c r="AX2095" s="63">
        <v>2.911</v>
      </c>
      <c r="AY2095" s="63">
        <v>3</v>
      </c>
      <c r="AZ2095" s="63">
        <v>3</v>
      </c>
      <c r="BA2095" s="63">
        <v>3</v>
      </c>
      <c r="BB2095" s="63">
        <v>3</v>
      </c>
      <c r="BC2095" s="63">
        <v>3</v>
      </c>
      <c r="BD2095" s="63">
        <v>3</v>
      </c>
    </row>
    <row r="2098" spans="3:16" x14ac:dyDescent="0.35">
      <c r="D2098" t="s">
        <v>2674</v>
      </c>
    </row>
    <row r="2100" spans="3:16" x14ac:dyDescent="0.35">
      <c r="C2100" s="2" t="s">
        <v>2542</v>
      </c>
    </row>
    <row r="2101" spans="3:16" x14ac:dyDescent="0.35">
      <c r="D2101" t="s">
        <v>176</v>
      </c>
      <c r="E2101" t="s">
        <v>2675</v>
      </c>
      <c r="F2101" t="s">
        <v>2676</v>
      </c>
    </row>
    <row r="2102" spans="3:16" x14ac:dyDescent="0.35">
      <c r="E2102" t="s">
        <v>2677</v>
      </c>
      <c r="F2102" t="s">
        <v>2678</v>
      </c>
    </row>
    <row r="2103" spans="3:16" x14ac:dyDescent="0.35">
      <c r="E2103" t="s">
        <v>2679</v>
      </c>
      <c r="F2103" t="s">
        <v>2680</v>
      </c>
    </row>
    <row r="2104" spans="3:16" x14ac:dyDescent="0.35">
      <c r="E2104" s="37" t="s">
        <v>2681</v>
      </c>
      <c r="F2104" t="s">
        <v>2668</v>
      </c>
    </row>
    <row r="2105" spans="3:16" x14ac:dyDescent="0.35">
      <c r="E2105" s="37" t="s">
        <v>2682</v>
      </c>
      <c r="F2105">
        <v>1</v>
      </c>
      <c r="G2105" t="s">
        <v>2683</v>
      </c>
    </row>
    <row r="2106" spans="3:16" x14ac:dyDescent="0.35">
      <c r="E2106" s="38" t="s">
        <v>2618</v>
      </c>
      <c r="F2106">
        <f>INDEX(HIX_AgeAdjuster9[],MATCH(F2104,HIX_AgeAdjuster9[State Classification],0),MATCH(IF(F2105&lt;14,"0-14",IF(F2105&gt;63,"64 &amp; Older",TEXT(F2105,0))),HIX_AgeAdjuster9[#Headers],0))</f>
        <v>0.76500000000000001</v>
      </c>
    </row>
    <row r="2109" spans="3:16" x14ac:dyDescent="0.35">
      <c r="E2109" s="64" t="s">
        <v>2629</v>
      </c>
      <c r="F2109" s="65" t="s">
        <v>2684</v>
      </c>
      <c r="G2109" s="65" t="s">
        <v>2685</v>
      </c>
      <c r="M2109" s="24" t="s">
        <v>2686</v>
      </c>
    </row>
    <row r="2110" spans="3:16" x14ac:dyDescent="0.35">
      <c r="E2110" s="66" t="s">
        <v>2668</v>
      </c>
      <c r="F2110" s="67">
        <v>1.024</v>
      </c>
      <c r="G2110" s="67">
        <v>1.786</v>
      </c>
      <c r="H2110">
        <f>G2110/F2110</f>
        <v>1.744140625</v>
      </c>
      <c r="I2110" t="s">
        <v>2687</v>
      </c>
      <c r="N2110" s="68">
        <v>27</v>
      </c>
      <c r="O2110" s="68">
        <v>50</v>
      </c>
    </row>
    <row r="2111" spans="3:16" x14ac:dyDescent="0.35">
      <c r="E2111" s="69" t="s">
        <v>229</v>
      </c>
      <c r="F2111" s="70">
        <v>1.024</v>
      </c>
      <c r="G2111" s="70">
        <v>1.786</v>
      </c>
      <c r="H2111">
        <f t="shared" ref="H2111:H2117" si="169">G2111/F2111</f>
        <v>1.744140625</v>
      </c>
      <c r="M2111" s="71" t="s">
        <v>2688</v>
      </c>
      <c r="N2111" s="72">
        <v>1.048</v>
      </c>
      <c r="O2111" s="72">
        <v>1.786</v>
      </c>
      <c r="P2111" s="24">
        <f t="shared" ref="P2111:P2116" si="170">O2111/N2111</f>
        <v>1.7041984732824427</v>
      </c>
    </row>
    <row r="2112" spans="3:16" x14ac:dyDescent="0.35">
      <c r="E2112" s="66" t="s">
        <v>2671</v>
      </c>
      <c r="F2112" s="67">
        <v>0.72699999999999998</v>
      </c>
      <c r="G2112" s="67">
        <v>1.431</v>
      </c>
      <c r="H2112">
        <f t="shared" si="169"/>
        <v>1.9683631361760661</v>
      </c>
      <c r="M2112" s="71" t="s">
        <v>2671</v>
      </c>
      <c r="N2112" s="72">
        <v>0.72699999999999998</v>
      </c>
      <c r="O2112" s="72">
        <v>1.431</v>
      </c>
      <c r="P2112" s="24">
        <f t="shared" si="170"/>
        <v>1.9683631361760661</v>
      </c>
    </row>
    <row r="2113" spans="4:16" x14ac:dyDescent="0.35">
      <c r="E2113" s="69" t="s">
        <v>2672</v>
      </c>
      <c r="F2113" s="70">
        <v>1.1830000000000001</v>
      </c>
      <c r="G2113" s="70">
        <v>1.7410000000000001</v>
      </c>
      <c r="H2113">
        <f t="shared" si="169"/>
        <v>1.4716821639898563</v>
      </c>
      <c r="M2113" s="71" t="s">
        <v>2672</v>
      </c>
      <c r="N2113" s="72">
        <v>1.22</v>
      </c>
      <c r="O2113" s="72">
        <v>1.7410000000000001</v>
      </c>
      <c r="P2113" s="24">
        <f t="shared" si="170"/>
        <v>1.4270491803278689</v>
      </c>
    </row>
    <row r="2114" spans="4:16" x14ac:dyDescent="0.35">
      <c r="E2114" s="66" t="s">
        <v>2673</v>
      </c>
      <c r="F2114" s="67">
        <v>1.024</v>
      </c>
      <c r="G2114" s="67">
        <v>1.786</v>
      </c>
      <c r="H2114">
        <f t="shared" si="169"/>
        <v>1.744140625</v>
      </c>
      <c r="M2114" s="71" t="s">
        <v>2673</v>
      </c>
      <c r="N2114" s="72">
        <v>1.048</v>
      </c>
      <c r="O2114" s="72">
        <v>1.786</v>
      </c>
      <c r="P2114" s="24">
        <f t="shared" si="170"/>
        <v>1.7041984732824427</v>
      </c>
    </row>
    <row r="2115" spans="4:16" x14ac:dyDescent="0.35">
      <c r="E2115" s="69" t="s">
        <v>1206</v>
      </c>
      <c r="F2115" s="70">
        <v>1.024</v>
      </c>
      <c r="G2115" s="70">
        <v>1.786</v>
      </c>
      <c r="H2115">
        <f t="shared" si="169"/>
        <v>1.744140625</v>
      </c>
      <c r="M2115" s="71" t="s">
        <v>2689</v>
      </c>
      <c r="N2115" s="73">
        <v>1.25</v>
      </c>
      <c r="O2115" s="72">
        <v>1.7410000000000001</v>
      </c>
      <c r="P2115" s="24">
        <f t="shared" si="170"/>
        <v>1.3928</v>
      </c>
    </row>
    <row r="2116" spans="4:16" x14ac:dyDescent="0.35">
      <c r="E2116" s="66" t="s">
        <v>1427</v>
      </c>
      <c r="F2116" s="67">
        <v>1.024</v>
      </c>
      <c r="G2116" s="67">
        <v>1.786</v>
      </c>
      <c r="H2116">
        <f t="shared" si="169"/>
        <v>1.744140625</v>
      </c>
      <c r="M2116" s="71" t="s">
        <v>2432</v>
      </c>
      <c r="N2116" s="72">
        <v>1.39</v>
      </c>
      <c r="O2116" s="72">
        <v>2.1269999999999998</v>
      </c>
      <c r="P2116" s="24">
        <f t="shared" si="170"/>
        <v>1.5302158273381294</v>
      </c>
    </row>
    <row r="2117" spans="4:16" x14ac:dyDescent="0.35">
      <c r="E2117" s="69" t="s">
        <v>2432</v>
      </c>
      <c r="F2117" s="70">
        <v>1.363</v>
      </c>
      <c r="G2117" s="70">
        <v>2.1269999999999998</v>
      </c>
      <c r="H2117">
        <f t="shared" si="169"/>
        <v>1.5605282465150403</v>
      </c>
    </row>
    <row r="2120" spans="4:16" x14ac:dyDescent="0.35">
      <c r="D2120" s="1" t="s">
        <v>2690</v>
      </c>
    </row>
    <row r="2121" spans="4:16" x14ac:dyDescent="0.35">
      <c r="D2121" s="43" t="s">
        <v>2690</v>
      </c>
    </row>
    <row r="2122" spans="4:16" x14ac:dyDescent="0.35">
      <c r="D2122" t="s">
        <v>2691</v>
      </c>
    </row>
    <row r="2123" spans="4:16" x14ac:dyDescent="0.35">
      <c r="D2123" t="s">
        <v>2692</v>
      </c>
    </row>
    <row r="2124" spans="4:16" x14ac:dyDescent="0.35">
      <c r="D2124" t="s">
        <v>2693</v>
      </c>
    </row>
    <row r="2125" spans="4:16" x14ac:dyDescent="0.35">
      <c r="D2125" s="1" t="s">
        <v>2694</v>
      </c>
    </row>
    <row r="2126" spans="4:16" x14ac:dyDescent="0.35">
      <c r="D2126" s="1" t="s">
        <v>2695</v>
      </c>
    </row>
    <row r="2127" spans="4:16" x14ac:dyDescent="0.35">
      <c r="D2127" t="s">
        <v>2696</v>
      </c>
    </row>
    <row r="2128" spans="4:16" x14ac:dyDescent="0.35">
      <c r="D2128" t="s">
        <v>2697</v>
      </c>
    </row>
    <row r="2129" spans="4:4" x14ac:dyDescent="0.35">
      <c r="D2129" t="s">
        <v>2698</v>
      </c>
    </row>
    <row r="2130" spans="4:4" x14ac:dyDescent="0.35">
      <c r="D2130" t="s">
        <v>2699</v>
      </c>
    </row>
  </sheetData>
  <hyperlinks>
    <hyperlink ref="G538" r:id="rId1" xr:uid="{BC05CEF2-A978-455D-BEFC-57896A57ACE4}"/>
    <hyperlink ref="G541" r:id="rId2" location="REV-PROC-2019-29" xr:uid="{BDC44B98-7E43-4133-91C0-F18BBAAEED3E}"/>
    <hyperlink ref="D1771" r:id="rId3" xr:uid="{750345E2-83AC-47B6-993A-F60E15251192}"/>
    <hyperlink ref="D2121" r:id="rId4" location="age" display="https://www.cms.gov/CCIIO/Programs-and-Initiatives/Health-Insurance-Market-Reforms/state-rating#age" xr:uid="{AA06962F-0D6C-4DE0-B708-0802B357891F}"/>
  </hyperlinks>
  <pageMargins left="0.7" right="0.7" top="0.75" bottom="0.75" header="0.3" footer="0.3"/>
  <pageSetup orientation="portrait" r:id="rId5"/>
  <tableParts count="6">
    <tablePart r:id="rId6"/>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4897-4CC6-4FAC-972A-91A8C4D04B0C}">
  <dimension ref="A1:C3244"/>
  <sheetViews>
    <sheetView workbookViewId="0">
      <selection activeCell="E11" sqref="E11"/>
    </sheetView>
  </sheetViews>
  <sheetFormatPr defaultRowHeight="14.5" x14ac:dyDescent="0.35"/>
  <cols>
    <col min="2" max="2" width="20.1796875" customWidth="1"/>
    <col min="3" max="3" width="18.453125" customWidth="1"/>
  </cols>
  <sheetData>
    <row r="1" spans="1:3" x14ac:dyDescent="0.35">
      <c r="A1" s="24" t="s">
        <v>211</v>
      </c>
      <c r="B1" t="s">
        <v>4043</v>
      </c>
      <c r="C1" t="s">
        <v>212</v>
      </c>
    </row>
    <row r="2" spans="1:3" x14ac:dyDescent="0.35">
      <c r="A2">
        <v>1001</v>
      </c>
      <c r="B2" t="s">
        <v>295</v>
      </c>
      <c r="C2" t="s">
        <v>2833</v>
      </c>
    </row>
    <row r="3" spans="1:3" x14ac:dyDescent="0.35">
      <c r="A3">
        <v>1003</v>
      </c>
      <c r="B3" t="s">
        <v>313</v>
      </c>
      <c r="C3" t="s">
        <v>2833</v>
      </c>
    </row>
    <row r="4" spans="1:3" x14ac:dyDescent="0.35">
      <c r="A4">
        <v>1005</v>
      </c>
      <c r="B4" t="s">
        <v>315</v>
      </c>
      <c r="C4" t="s">
        <v>2833</v>
      </c>
    </row>
    <row r="5" spans="1:3" x14ac:dyDescent="0.35">
      <c r="A5">
        <v>1007</v>
      </c>
      <c r="B5" t="s">
        <v>241</v>
      </c>
      <c r="C5" t="s">
        <v>2833</v>
      </c>
    </row>
    <row r="6" spans="1:3" x14ac:dyDescent="0.35">
      <c r="A6">
        <v>1009</v>
      </c>
      <c r="B6" t="s">
        <v>243</v>
      </c>
      <c r="C6" t="s">
        <v>2833</v>
      </c>
    </row>
    <row r="7" spans="1:3" x14ac:dyDescent="0.35">
      <c r="A7">
        <v>1011</v>
      </c>
      <c r="B7" t="s">
        <v>317</v>
      </c>
      <c r="C7" t="s">
        <v>2833</v>
      </c>
    </row>
    <row r="8" spans="1:3" x14ac:dyDescent="0.35">
      <c r="A8">
        <v>1013</v>
      </c>
      <c r="B8" t="s">
        <v>319</v>
      </c>
      <c r="C8" t="s">
        <v>2833</v>
      </c>
    </row>
    <row r="9" spans="1:3" x14ac:dyDescent="0.35">
      <c r="A9">
        <v>1015</v>
      </c>
      <c r="B9" t="s">
        <v>233</v>
      </c>
      <c r="C9" t="s">
        <v>2833</v>
      </c>
    </row>
    <row r="10" spans="1:3" x14ac:dyDescent="0.35">
      <c r="A10">
        <v>1017</v>
      </c>
      <c r="B10" t="s">
        <v>321</v>
      </c>
      <c r="C10" t="s">
        <v>2833</v>
      </c>
    </row>
    <row r="11" spans="1:3" x14ac:dyDescent="0.35">
      <c r="A11">
        <v>1019</v>
      </c>
      <c r="B11" t="s">
        <v>323</v>
      </c>
      <c r="C11" t="s">
        <v>2833</v>
      </c>
    </row>
    <row r="12" spans="1:3" x14ac:dyDescent="0.35">
      <c r="A12">
        <v>1021</v>
      </c>
      <c r="B12" t="s">
        <v>245</v>
      </c>
      <c r="C12" t="s">
        <v>2833</v>
      </c>
    </row>
    <row r="13" spans="1:3" x14ac:dyDescent="0.35">
      <c r="A13">
        <v>1023</v>
      </c>
      <c r="B13" t="s">
        <v>325</v>
      </c>
      <c r="C13" t="s">
        <v>2833</v>
      </c>
    </row>
    <row r="14" spans="1:3" x14ac:dyDescent="0.35">
      <c r="A14">
        <v>1025</v>
      </c>
      <c r="B14" t="s">
        <v>327</v>
      </c>
      <c r="C14" t="s">
        <v>2833</v>
      </c>
    </row>
    <row r="15" spans="1:3" x14ac:dyDescent="0.35">
      <c r="A15">
        <v>1027</v>
      </c>
      <c r="B15" t="s">
        <v>329</v>
      </c>
      <c r="C15" t="s">
        <v>2833</v>
      </c>
    </row>
    <row r="16" spans="1:3" x14ac:dyDescent="0.35">
      <c r="A16">
        <v>1029</v>
      </c>
      <c r="B16" t="s">
        <v>331</v>
      </c>
      <c r="C16" t="s">
        <v>2833</v>
      </c>
    </row>
    <row r="17" spans="1:3" x14ac:dyDescent="0.35">
      <c r="A17">
        <v>1031</v>
      </c>
      <c r="B17" t="s">
        <v>333</v>
      </c>
      <c r="C17" t="s">
        <v>2833</v>
      </c>
    </row>
    <row r="18" spans="1:3" x14ac:dyDescent="0.35">
      <c r="A18">
        <v>1033</v>
      </c>
      <c r="B18" t="s">
        <v>275</v>
      </c>
      <c r="C18" t="s">
        <v>2833</v>
      </c>
    </row>
    <row r="19" spans="1:3" x14ac:dyDescent="0.35">
      <c r="A19">
        <v>1035</v>
      </c>
      <c r="B19" t="s">
        <v>335</v>
      </c>
      <c r="C19" t="s">
        <v>2833</v>
      </c>
    </row>
    <row r="20" spans="1:3" x14ac:dyDescent="0.35">
      <c r="A20">
        <v>1037</v>
      </c>
      <c r="B20" t="s">
        <v>337</v>
      </c>
      <c r="C20" t="s">
        <v>2833</v>
      </c>
    </row>
    <row r="21" spans="1:3" x14ac:dyDescent="0.35">
      <c r="A21">
        <v>1039</v>
      </c>
      <c r="B21" t="s">
        <v>339</v>
      </c>
      <c r="C21" t="s">
        <v>2833</v>
      </c>
    </row>
    <row r="22" spans="1:3" x14ac:dyDescent="0.35">
      <c r="A22">
        <v>1041</v>
      </c>
      <c r="B22" t="s">
        <v>341</v>
      </c>
      <c r="C22" t="s">
        <v>2833</v>
      </c>
    </row>
    <row r="23" spans="1:3" x14ac:dyDescent="0.35">
      <c r="A23">
        <v>1043</v>
      </c>
      <c r="B23" t="s">
        <v>343</v>
      </c>
      <c r="C23" t="s">
        <v>2833</v>
      </c>
    </row>
    <row r="24" spans="1:3" x14ac:dyDescent="0.35">
      <c r="A24">
        <v>1045</v>
      </c>
      <c r="B24" t="s">
        <v>345</v>
      </c>
      <c r="C24" t="s">
        <v>2833</v>
      </c>
    </row>
    <row r="25" spans="1:3" x14ac:dyDescent="0.35">
      <c r="A25">
        <v>1047</v>
      </c>
      <c r="B25" t="s">
        <v>347</v>
      </c>
      <c r="C25" t="s">
        <v>2833</v>
      </c>
    </row>
    <row r="26" spans="1:3" x14ac:dyDescent="0.35">
      <c r="A26">
        <v>1049</v>
      </c>
      <c r="B26" t="s">
        <v>349</v>
      </c>
      <c r="C26" t="s">
        <v>2833</v>
      </c>
    </row>
    <row r="27" spans="1:3" x14ac:dyDescent="0.35">
      <c r="A27">
        <v>1051</v>
      </c>
      <c r="B27" t="s">
        <v>297</v>
      </c>
      <c r="C27" t="s">
        <v>2833</v>
      </c>
    </row>
    <row r="28" spans="1:3" x14ac:dyDescent="0.35">
      <c r="A28">
        <v>1053</v>
      </c>
      <c r="B28" t="s">
        <v>351</v>
      </c>
      <c r="C28" t="s">
        <v>2833</v>
      </c>
    </row>
    <row r="29" spans="1:3" x14ac:dyDescent="0.35">
      <c r="A29">
        <v>1055</v>
      </c>
      <c r="B29" t="s">
        <v>281</v>
      </c>
      <c r="C29" t="s">
        <v>2833</v>
      </c>
    </row>
    <row r="30" spans="1:3" x14ac:dyDescent="0.35">
      <c r="A30">
        <v>1057</v>
      </c>
      <c r="B30" t="s">
        <v>353</v>
      </c>
      <c r="C30" t="s">
        <v>2833</v>
      </c>
    </row>
    <row r="31" spans="1:3" x14ac:dyDescent="0.35">
      <c r="A31">
        <v>1059</v>
      </c>
      <c r="B31" t="s">
        <v>355</v>
      </c>
      <c r="C31" t="s">
        <v>2833</v>
      </c>
    </row>
    <row r="32" spans="1:3" x14ac:dyDescent="0.35">
      <c r="A32">
        <v>1061</v>
      </c>
      <c r="B32" t="s">
        <v>267</v>
      </c>
      <c r="C32" t="s">
        <v>2833</v>
      </c>
    </row>
    <row r="33" spans="1:3" x14ac:dyDescent="0.35">
      <c r="A33">
        <v>1063</v>
      </c>
      <c r="B33" t="s">
        <v>305</v>
      </c>
      <c r="C33" t="s">
        <v>2833</v>
      </c>
    </row>
    <row r="34" spans="1:3" x14ac:dyDescent="0.35">
      <c r="A34">
        <v>1065</v>
      </c>
      <c r="B34" t="s">
        <v>307</v>
      </c>
      <c r="C34" t="s">
        <v>2833</v>
      </c>
    </row>
    <row r="35" spans="1:3" x14ac:dyDescent="0.35">
      <c r="A35">
        <v>1067</v>
      </c>
      <c r="B35" t="s">
        <v>269</v>
      </c>
      <c r="C35" t="s">
        <v>2833</v>
      </c>
    </row>
    <row r="36" spans="1:3" x14ac:dyDescent="0.35">
      <c r="A36">
        <v>1069</v>
      </c>
      <c r="B36" t="s">
        <v>271</v>
      </c>
      <c r="C36" t="s">
        <v>2833</v>
      </c>
    </row>
    <row r="37" spans="1:3" x14ac:dyDescent="0.35">
      <c r="A37">
        <v>1071</v>
      </c>
      <c r="B37" t="s">
        <v>357</v>
      </c>
      <c r="C37" t="s">
        <v>2833</v>
      </c>
    </row>
    <row r="38" spans="1:3" x14ac:dyDescent="0.35">
      <c r="A38">
        <v>1073</v>
      </c>
      <c r="B38" t="s">
        <v>247</v>
      </c>
      <c r="C38" t="s">
        <v>2833</v>
      </c>
    </row>
    <row r="39" spans="1:3" x14ac:dyDescent="0.35">
      <c r="A39">
        <v>1075</v>
      </c>
      <c r="B39" t="s">
        <v>359</v>
      </c>
      <c r="C39" t="s">
        <v>2833</v>
      </c>
    </row>
    <row r="40" spans="1:3" x14ac:dyDescent="0.35">
      <c r="A40">
        <v>1077</v>
      </c>
      <c r="B40" t="s">
        <v>277</v>
      </c>
      <c r="C40" t="s">
        <v>2833</v>
      </c>
    </row>
    <row r="41" spans="1:3" x14ac:dyDescent="0.35">
      <c r="A41">
        <v>1079</v>
      </c>
      <c r="B41" t="s">
        <v>261</v>
      </c>
      <c r="C41" t="s">
        <v>2833</v>
      </c>
    </row>
    <row r="42" spans="1:3" x14ac:dyDescent="0.35">
      <c r="A42">
        <v>1081</v>
      </c>
      <c r="B42" t="s">
        <v>237</v>
      </c>
      <c r="C42" t="s">
        <v>2833</v>
      </c>
    </row>
    <row r="43" spans="1:3" x14ac:dyDescent="0.35">
      <c r="A43">
        <v>1083</v>
      </c>
      <c r="B43" t="s">
        <v>285</v>
      </c>
      <c r="C43" t="s">
        <v>2833</v>
      </c>
    </row>
    <row r="44" spans="1:3" x14ac:dyDescent="0.35">
      <c r="A44">
        <v>1085</v>
      </c>
      <c r="B44" t="s">
        <v>299</v>
      </c>
      <c r="C44" t="s">
        <v>2833</v>
      </c>
    </row>
    <row r="45" spans="1:3" x14ac:dyDescent="0.35">
      <c r="A45">
        <v>1087</v>
      </c>
      <c r="B45" t="s">
        <v>361</v>
      </c>
      <c r="C45" t="s">
        <v>2833</v>
      </c>
    </row>
    <row r="46" spans="1:3" x14ac:dyDescent="0.35">
      <c r="A46">
        <v>1089</v>
      </c>
      <c r="B46" t="s">
        <v>287</v>
      </c>
      <c r="C46" t="s">
        <v>2833</v>
      </c>
    </row>
    <row r="47" spans="1:3" x14ac:dyDescent="0.35">
      <c r="A47">
        <v>1091</v>
      </c>
      <c r="B47" t="s">
        <v>363</v>
      </c>
      <c r="C47" t="s">
        <v>2833</v>
      </c>
    </row>
    <row r="48" spans="1:3" x14ac:dyDescent="0.35">
      <c r="A48">
        <v>1093</v>
      </c>
      <c r="B48" t="s">
        <v>365</v>
      </c>
      <c r="C48" t="s">
        <v>2833</v>
      </c>
    </row>
    <row r="49" spans="1:3" x14ac:dyDescent="0.35">
      <c r="A49">
        <v>1095</v>
      </c>
      <c r="B49" t="s">
        <v>367</v>
      </c>
      <c r="C49" t="s">
        <v>2833</v>
      </c>
    </row>
    <row r="50" spans="1:3" x14ac:dyDescent="0.35">
      <c r="A50">
        <v>1097</v>
      </c>
      <c r="B50" t="s">
        <v>291</v>
      </c>
      <c r="C50" t="s">
        <v>2833</v>
      </c>
    </row>
    <row r="51" spans="1:3" x14ac:dyDescent="0.35">
      <c r="A51">
        <v>1099</v>
      </c>
      <c r="B51" t="s">
        <v>369</v>
      </c>
      <c r="C51" t="s">
        <v>2833</v>
      </c>
    </row>
    <row r="52" spans="1:3" x14ac:dyDescent="0.35">
      <c r="A52">
        <v>1101</v>
      </c>
      <c r="B52" t="s">
        <v>301</v>
      </c>
      <c r="C52" t="s">
        <v>2833</v>
      </c>
    </row>
    <row r="53" spans="1:3" x14ac:dyDescent="0.35">
      <c r="A53">
        <v>1103</v>
      </c>
      <c r="B53" t="s">
        <v>263</v>
      </c>
      <c r="C53" t="s">
        <v>2833</v>
      </c>
    </row>
    <row r="54" spans="1:3" x14ac:dyDescent="0.35">
      <c r="A54">
        <v>1105</v>
      </c>
      <c r="B54" t="s">
        <v>371</v>
      </c>
      <c r="C54" t="s">
        <v>2833</v>
      </c>
    </row>
    <row r="55" spans="1:3" x14ac:dyDescent="0.35">
      <c r="A55">
        <v>1107</v>
      </c>
      <c r="B55" t="s">
        <v>373</v>
      </c>
      <c r="C55" t="s">
        <v>2833</v>
      </c>
    </row>
    <row r="56" spans="1:3" x14ac:dyDescent="0.35">
      <c r="A56">
        <v>1109</v>
      </c>
      <c r="B56" t="s">
        <v>375</v>
      </c>
      <c r="C56" t="s">
        <v>2833</v>
      </c>
    </row>
    <row r="57" spans="1:3" x14ac:dyDescent="0.35">
      <c r="A57">
        <v>1111</v>
      </c>
      <c r="B57" t="s">
        <v>377</v>
      </c>
      <c r="C57" t="s">
        <v>2833</v>
      </c>
    </row>
    <row r="58" spans="1:3" x14ac:dyDescent="0.35">
      <c r="A58">
        <v>1113</v>
      </c>
      <c r="B58" t="s">
        <v>257</v>
      </c>
      <c r="C58" t="s">
        <v>2833</v>
      </c>
    </row>
    <row r="59" spans="1:3" x14ac:dyDescent="0.35">
      <c r="A59">
        <v>1115</v>
      </c>
      <c r="B59" t="s">
        <v>251</v>
      </c>
      <c r="C59" t="s">
        <v>2833</v>
      </c>
    </row>
    <row r="60" spans="1:3" x14ac:dyDescent="0.35">
      <c r="A60">
        <v>1117</v>
      </c>
      <c r="B60" t="s">
        <v>249</v>
      </c>
      <c r="C60" t="s">
        <v>2833</v>
      </c>
    </row>
    <row r="61" spans="1:3" x14ac:dyDescent="0.35">
      <c r="A61">
        <v>1119</v>
      </c>
      <c r="B61" t="s">
        <v>379</v>
      </c>
      <c r="C61" t="s">
        <v>2833</v>
      </c>
    </row>
    <row r="62" spans="1:3" x14ac:dyDescent="0.35">
      <c r="A62">
        <v>1121</v>
      </c>
      <c r="B62" t="s">
        <v>381</v>
      </c>
      <c r="C62" t="s">
        <v>2833</v>
      </c>
    </row>
    <row r="63" spans="1:3" x14ac:dyDescent="0.35">
      <c r="A63">
        <v>1123</v>
      </c>
      <c r="B63" t="s">
        <v>383</v>
      </c>
      <c r="C63" t="s">
        <v>2833</v>
      </c>
    </row>
    <row r="64" spans="1:3" x14ac:dyDescent="0.35">
      <c r="A64">
        <v>1125</v>
      </c>
      <c r="B64" t="s">
        <v>309</v>
      </c>
      <c r="C64" t="s">
        <v>2833</v>
      </c>
    </row>
    <row r="65" spans="1:3" x14ac:dyDescent="0.35">
      <c r="A65">
        <v>1127</v>
      </c>
      <c r="B65" t="s">
        <v>253</v>
      </c>
      <c r="C65" t="s">
        <v>2833</v>
      </c>
    </row>
    <row r="66" spans="1:3" x14ac:dyDescent="0.35">
      <c r="A66">
        <v>1129</v>
      </c>
      <c r="B66" t="s">
        <v>385</v>
      </c>
      <c r="C66" t="s">
        <v>2833</v>
      </c>
    </row>
    <row r="67" spans="1:3" x14ac:dyDescent="0.35">
      <c r="A67">
        <v>1131</v>
      </c>
      <c r="B67" t="s">
        <v>387</v>
      </c>
      <c r="C67" t="s">
        <v>2833</v>
      </c>
    </row>
    <row r="68" spans="1:3" x14ac:dyDescent="0.35">
      <c r="A68">
        <v>1133</v>
      </c>
      <c r="B68" t="s">
        <v>389</v>
      </c>
      <c r="C68" t="s">
        <v>2833</v>
      </c>
    </row>
    <row r="69" spans="1:3" x14ac:dyDescent="0.35">
      <c r="A69">
        <v>2013</v>
      </c>
      <c r="B69" t="s">
        <v>2834</v>
      </c>
      <c r="C69" t="s">
        <v>2835</v>
      </c>
    </row>
    <row r="70" spans="1:3" x14ac:dyDescent="0.35">
      <c r="A70">
        <v>2016</v>
      </c>
      <c r="B70" t="s">
        <v>2836</v>
      </c>
      <c r="C70" t="s">
        <v>2835</v>
      </c>
    </row>
    <row r="71" spans="1:3" x14ac:dyDescent="0.35">
      <c r="A71">
        <v>2020</v>
      </c>
      <c r="B71" t="s">
        <v>2837</v>
      </c>
      <c r="C71" t="s">
        <v>2835</v>
      </c>
    </row>
    <row r="72" spans="1:3" x14ac:dyDescent="0.35">
      <c r="A72">
        <v>2050</v>
      </c>
      <c r="B72" t="s">
        <v>2838</v>
      </c>
      <c r="C72" t="s">
        <v>2835</v>
      </c>
    </row>
    <row r="73" spans="1:3" x14ac:dyDescent="0.35">
      <c r="A73">
        <v>2060</v>
      </c>
      <c r="B73" t="s">
        <v>2839</v>
      </c>
      <c r="C73" t="s">
        <v>2835</v>
      </c>
    </row>
    <row r="74" spans="1:3" x14ac:dyDescent="0.35">
      <c r="A74">
        <v>2063</v>
      </c>
      <c r="B74" t="s">
        <v>2840</v>
      </c>
      <c r="C74" t="s">
        <v>2835</v>
      </c>
    </row>
    <row r="75" spans="1:3" x14ac:dyDescent="0.35">
      <c r="A75">
        <v>2066</v>
      </c>
      <c r="B75" t="s">
        <v>2841</v>
      </c>
      <c r="C75" t="s">
        <v>2835</v>
      </c>
    </row>
    <row r="76" spans="1:3" x14ac:dyDescent="0.35">
      <c r="A76">
        <v>2068</v>
      </c>
      <c r="B76" t="s">
        <v>2842</v>
      </c>
      <c r="C76" t="s">
        <v>2835</v>
      </c>
    </row>
    <row r="77" spans="1:3" x14ac:dyDescent="0.35">
      <c r="A77">
        <v>2070</v>
      </c>
      <c r="B77" t="s">
        <v>2843</v>
      </c>
      <c r="C77" t="s">
        <v>2835</v>
      </c>
    </row>
    <row r="78" spans="1:3" x14ac:dyDescent="0.35">
      <c r="A78">
        <v>2090</v>
      </c>
      <c r="B78" t="s">
        <v>2844</v>
      </c>
      <c r="C78" t="s">
        <v>2835</v>
      </c>
    </row>
    <row r="79" spans="1:3" x14ac:dyDescent="0.35">
      <c r="A79">
        <v>2100</v>
      </c>
      <c r="B79" t="s">
        <v>2845</v>
      </c>
      <c r="C79" t="s">
        <v>2835</v>
      </c>
    </row>
    <row r="80" spans="1:3" x14ac:dyDescent="0.35">
      <c r="A80">
        <v>2105</v>
      </c>
      <c r="B80" t="s">
        <v>2846</v>
      </c>
      <c r="C80" t="s">
        <v>2835</v>
      </c>
    </row>
    <row r="81" spans="1:3" x14ac:dyDescent="0.35">
      <c r="A81">
        <v>2110</v>
      </c>
      <c r="B81" t="s">
        <v>2847</v>
      </c>
      <c r="C81" t="s">
        <v>2835</v>
      </c>
    </row>
    <row r="82" spans="1:3" x14ac:dyDescent="0.35">
      <c r="A82">
        <v>2122</v>
      </c>
      <c r="B82" t="s">
        <v>2848</v>
      </c>
      <c r="C82" t="s">
        <v>2835</v>
      </c>
    </row>
    <row r="83" spans="1:3" x14ac:dyDescent="0.35">
      <c r="A83">
        <v>2130</v>
      </c>
      <c r="B83" t="s">
        <v>2849</v>
      </c>
      <c r="C83" t="s">
        <v>2835</v>
      </c>
    </row>
    <row r="84" spans="1:3" x14ac:dyDescent="0.35">
      <c r="A84">
        <v>2150</v>
      </c>
      <c r="B84" t="s">
        <v>2850</v>
      </c>
      <c r="C84" t="s">
        <v>2835</v>
      </c>
    </row>
    <row r="85" spans="1:3" x14ac:dyDescent="0.35">
      <c r="A85">
        <v>2158</v>
      </c>
      <c r="B85" t="s">
        <v>2851</v>
      </c>
      <c r="C85" t="s">
        <v>2835</v>
      </c>
    </row>
    <row r="86" spans="1:3" x14ac:dyDescent="0.35">
      <c r="A86">
        <v>2164</v>
      </c>
      <c r="B86" t="s">
        <v>2852</v>
      </c>
      <c r="C86" t="s">
        <v>2835</v>
      </c>
    </row>
    <row r="87" spans="1:3" x14ac:dyDescent="0.35">
      <c r="A87">
        <v>2170</v>
      </c>
      <c r="B87" t="s">
        <v>2853</v>
      </c>
      <c r="C87" t="s">
        <v>2835</v>
      </c>
    </row>
    <row r="88" spans="1:3" x14ac:dyDescent="0.35">
      <c r="A88">
        <v>2180</v>
      </c>
      <c r="B88" t="s">
        <v>2854</v>
      </c>
      <c r="C88" t="s">
        <v>2835</v>
      </c>
    </row>
    <row r="89" spans="1:3" x14ac:dyDescent="0.35">
      <c r="A89">
        <v>2185</v>
      </c>
      <c r="B89" t="s">
        <v>2855</v>
      </c>
      <c r="C89" t="s">
        <v>2835</v>
      </c>
    </row>
    <row r="90" spans="1:3" x14ac:dyDescent="0.35">
      <c r="A90">
        <v>2188</v>
      </c>
      <c r="B90" t="s">
        <v>2856</v>
      </c>
      <c r="C90" t="s">
        <v>2835</v>
      </c>
    </row>
    <row r="91" spans="1:3" x14ac:dyDescent="0.35">
      <c r="A91">
        <v>2195</v>
      </c>
      <c r="B91" t="s">
        <v>2857</v>
      </c>
      <c r="C91" t="s">
        <v>2835</v>
      </c>
    </row>
    <row r="92" spans="1:3" x14ac:dyDescent="0.35">
      <c r="A92">
        <v>2198</v>
      </c>
      <c r="B92" t="s">
        <v>2858</v>
      </c>
      <c r="C92" t="s">
        <v>2835</v>
      </c>
    </row>
    <row r="93" spans="1:3" x14ac:dyDescent="0.35">
      <c r="A93">
        <v>2220</v>
      </c>
      <c r="B93" t="s">
        <v>2859</v>
      </c>
      <c r="C93" t="s">
        <v>2835</v>
      </c>
    </row>
    <row r="94" spans="1:3" x14ac:dyDescent="0.35">
      <c r="A94">
        <v>2230</v>
      </c>
      <c r="B94" t="s">
        <v>2860</v>
      </c>
      <c r="C94" t="s">
        <v>2835</v>
      </c>
    </row>
    <row r="95" spans="1:3" x14ac:dyDescent="0.35">
      <c r="A95">
        <v>2240</v>
      </c>
      <c r="B95" t="s">
        <v>2861</v>
      </c>
      <c r="C95" t="s">
        <v>2835</v>
      </c>
    </row>
    <row r="96" spans="1:3" x14ac:dyDescent="0.35">
      <c r="A96">
        <v>2275</v>
      </c>
      <c r="B96" t="s">
        <v>2862</v>
      </c>
      <c r="C96" t="s">
        <v>2835</v>
      </c>
    </row>
    <row r="97" spans="1:3" x14ac:dyDescent="0.35">
      <c r="A97">
        <v>2282</v>
      </c>
      <c r="B97" t="s">
        <v>2863</v>
      </c>
      <c r="C97" t="s">
        <v>2835</v>
      </c>
    </row>
    <row r="98" spans="1:3" x14ac:dyDescent="0.35">
      <c r="A98">
        <v>2290</v>
      </c>
      <c r="B98" t="s">
        <v>2864</v>
      </c>
      <c r="C98" t="s">
        <v>2835</v>
      </c>
    </row>
    <row r="99" spans="1:3" x14ac:dyDescent="0.35">
      <c r="A99">
        <v>60010</v>
      </c>
      <c r="B99" t="s">
        <v>2865</v>
      </c>
      <c r="C99" t="s">
        <v>2866</v>
      </c>
    </row>
    <row r="100" spans="1:3" x14ac:dyDescent="0.35">
      <c r="A100">
        <v>60020</v>
      </c>
      <c r="B100" t="s">
        <v>2867</v>
      </c>
      <c r="C100" t="s">
        <v>2866</v>
      </c>
    </row>
    <row r="101" spans="1:3" x14ac:dyDescent="0.35">
      <c r="A101">
        <v>60030</v>
      </c>
      <c r="B101" t="s">
        <v>2868</v>
      </c>
      <c r="C101" t="s">
        <v>2866</v>
      </c>
    </row>
    <row r="102" spans="1:3" x14ac:dyDescent="0.35">
      <c r="A102">
        <v>60040</v>
      </c>
      <c r="B102" t="s">
        <v>2869</v>
      </c>
      <c r="C102" t="s">
        <v>2866</v>
      </c>
    </row>
    <row r="103" spans="1:3" x14ac:dyDescent="0.35">
      <c r="A103">
        <v>60050</v>
      </c>
      <c r="B103" t="s">
        <v>2870</v>
      </c>
      <c r="C103" t="s">
        <v>2866</v>
      </c>
    </row>
    <row r="104" spans="1:3" x14ac:dyDescent="0.35">
      <c r="A104">
        <v>4001</v>
      </c>
      <c r="B104" t="s">
        <v>2871</v>
      </c>
      <c r="C104" t="s">
        <v>2872</v>
      </c>
    </row>
    <row r="105" spans="1:3" x14ac:dyDescent="0.35">
      <c r="A105">
        <v>4003</v>
      </c>
      <c r="B105" t="s">
        <v>2873</v>
      </c>
      <c r="C105" t="s">
        <v>2872</v>
      </c>
    </row>
    <row r="106" spans="1:3" x14ac:dyDescent="0.35">
      <c r="A106">
        <v>4005</v>
      </c>
      <c r="B106" t="s">
        <v>2874</v>
      </c>
      <c r="C106" t="s">
        <v>2872</v>
      </c>
    </row>
    <row r="107" spans="1:3" x14ac:dyDescent="0.35">
      <c r="A107">
        <v>4007</v>
      </c>
      <c r="B107" t="s">
        <v>2875</v>
      </c>
      <c r="C107" t="s">
        <v>2872</v>
      </c>
    </row>
    <row r="108" spans="1:3" x14ac:dyDescent="0.35">
      <c r="A108">
        <v>4009</v>
      </c>
      <c r="B108" t="s">
        <v>1480</v>
      </c>
      <c r="C108" t="s">
        <v>2872</v>
      </c>
    </row>
    <row r="109" spans="1:3" x14ac:dyDescent="0.35">
      <c r="A109">
        <v>4011</v>
      </c>
      <c r="B109" t="s">
        <v>2876</v>
      </c>
      <c r="C109" t="s">
        <v>2872</v>
      </c>
    </row>
    <row r="110" spans="1:3" x14ac:dyDescent="0.35">
      <c r="A110">
        <v>4012</v>
      </c>
      <c r="B110" t="s">
        <v>2877</v>
      </c>
      <c r="C110" t="s">
        <v>2872</v>
      </c>
    </row>
    <row r="111" spans="1:3" x14ac:dyDescent="0.35">
      <c r="A111">
        <v>4013</v>
      </c>
      <c r="B111" t="s">
        <v>2878</v>
      </c>
      <c r="C111" t="s">
        <v>2872</v>
      </c>
    </row>
    <row r="112" spans="1:3" x14ac:dyDescent="0.35">
      <c r="A112">
        <v>4015</v>
      </c>
      <c r="B112" t="s">
        <v>2879</v>
      </c>
      <c r="C112" t="s">
        <v>2872</v>
      </c>
    </row>
    <row r="113" spans="1:3" x14ac:dyDescent="0.35">
      <c r="A113">
        <v>4017</v>
      </c>
      <c r="B113" t="s">
        <v>2880</v>
      </c>
      <c r="C113" t="s">
        <v>2872</v>
      </c>
    </row>
    <row r="114" spans="1:3" x14ac:dyDescent="0.35">
      <c r="A114">
        <v>4019</v>
      </c>
      <c r="B114" t="s">
        <v>2881</v>
      </c>
      <c r="C114" t="s">
        <v>2872</v>
      </c>
    </row>
    <row r="115" spans="1:3" x14ac:dyDescent="0.35">
      <c r="A115">
        <v>4021</v>
      </c>
      <c r="B115" t="s">
        <v>2882</v>
      </c>
      <c r="C115" t="s">
        <v>2872</v>
      </c>
    </row>
    <row r="116" spans="1:3" x14ac:dyDescent="0.35">
      <c r="A116">
        <v>4023</v>
      </c>
      <c r="B116" t="s">
        <v>2883</v>
      </c>
      <c r="C116" t="s">
        <v>2872</v>
      </c>
    </row>
    <row r="117" spans="1:3" x14ac:dyDescent="0.35">
      <c r="A117">
        <v>4025</v>
      </c>
      <c r="B117" t="s">
        <v>2884</v>
      </c>
      <c r="C117" t="s">
        <v>2872</v>
      </c>
    </row>
    <row r="118" spans="1:3" x14ac:dyDescent="0.35">
      <c r="A118">
        <v>4027</v>
      </c>
      <c r="B118" t="s">
        <v>2885</v>
      </c>
      <c r="C118" t="s">
        <v>2872</v>
      </c>
    </row>
    <row r="119" spans="1:3" x14ac:dyDescent="0.35">
      <c r="A119">
        <v>5001</v>
      </c>
      <c r="B119" t="s">
        <v>479</v>
      </c>
      <c r="C119" t="s">
        <v>2886</v>
      </c>
    </row>
    <row r="120" spans="1:3" x14ac:dyDescent="0.35">
      <c r="A120">
        <v>5003</v>
      </c>
      <c r="B120" t="s">
        <v>486</v>
      </c>
      <c r="C120" t="s">
        <v>2886</v>
      </c>
    </row>
    <row r="121" spans="1:3" x14ac:dyDescent="0.35">
      <c r="A121">
        <v>5005</v>
      </c>
      <c r="B121" t="s">
        <v>452</v>
      </c>
      <c r="C121" t="s">
        <v>2886</v>
      </c>
    </row>
    <row r="122" spans="1:3" x14ac:dyDescent="0.35">
      <c r="A122">
        <v>5007</v>
      </c>
      <c r="B122" t="s">
        <v>456</v>
      </c>
      <c r="C122" t="s">
        <v>2886</v>
      </c>
    </row>
    <row r="123" spans="1:3" x14ac:dyDescent="0.35">
      <c r="A123">
        <v>5009</v>
      </c>
      <c r="B123" t="s">
        <v>459</v>
      </c>
      <c r="C123" t="s">
        <v>2886</v>
      </c>
    </row>
    <row r="124" spans="1:3" x14ac:dyDescent="0.35">
      <c r="A124">
        <v>5011</v>
      </c>
      <c r="B124" t="s">
        <v>490</v>
      </c>
      <c r="C124" t="s">
        <v>2886</v>
      </c>
    </row>
    <row r="125" spans="1:3" x14ac:dyDescent="0.35">
      <c r="A125">
        <v>5013</v>
      </c>
      <c r="B125" t="s">
        <v>233</v>
      </c>
      <c r="C125" t="s">
        <v>2886</v>
      </c>
    </row>
    <row r="126" spans="1:3" x14ac:dyDescent="0.35">
      <c r="A126">
        <v>5015</v>
      </c>
      <c r="B126" t="s">
        <v>463</v>
      </c>
      <c r="C126" t="s">
        <v>2886</v>
      </c>
    </row>
    <row r="127" spans="1:3" x14ac:dyDescent="0.35">
      <c r="A127">
        <v>5017</v>
      </c>
      <c r="B127" t="s">
        <v>496</v>
      </c>
      <c r="C127" t="s">
        <v>2886</v>
      </c>
    </row>
    <row r="128" spans="1:3" x14ac:dyDescent="0.35">
      <c r="A128">
        <v>5019</v>
      </c>
      <c r="B128" t="s">
        <v>469</v>
      </c>
      <c r="C128" t="s">
        <v>2886</v>
      </c>
    </row>
    <row r="129" spans="1:3" x14ac:dyDescent="0.35">
      <c r="A129">
        <v>5021</v>
      </c>
      <c r="B129" t="s">
        <v>329</v>
      </c>
      <c r="C129" t="s">
        <v>2886</v>
      </c>
    </row>
    <row r="130" spans="1:3" x14ac:dyDescent="0.35">
      <c r="A130">
        <v>5023</v>
      </c>
      <c r="B130" t="s">
        <v>331</v>
      </c>
      <c r="C130" t="s">
        <v>2886</v>
      </c>
    </row>
    <row r="131" spans="1:3" x14ac:dyDescent="0.35">
      <c r="A131">
        <v>5025</v>
      </c>
      <c r="B131" t="s">
        <v>481</v>
      </c>
      <c r="C131" t="s">
        <v>2886</v>
      </c>
    </row>
    <row r="132" spans="1:3" x14ac:dyDescent="0.35">
      <c r="A132">
        <v>5027</v>
      </c>
      <c r="B132" t="s">
        <v>508</v>
      </c>
      <c r="C132" t="s">
        <v>2886</v>
      </c>
    </row>
    <row r="133" spans="1:3" x14ac:dyDescent="0.35">
      <c r="A133">
        <v>5029</v>
      </c>
      <c r="B133" t="s">
        <v>402</v>
      </c>
      <c r="C133" t="s">
        <v>2886</v>
      </c>
    </row>
    <row r="134" spans="1:3" x14ac:dyDescent="0.35">
      <c r="A134">
        <v>5031</v>
      </c>
      <c r="B134" t="s">
        <v>428</v>
      </c>
      <c r="C134" t="s">
        <v>2886</v>
      </c>
    </row>
    <row r="135" spans="1:3" x14ac:dyDescent="0.35">
      <c r="A135">
        <v>5033</v>
      </c>
      <c r="B135" t="s">
        <v>526</v>
      </c>
      <c r="C135" t="s">
        <v>2886</v>
      </c>
    </row>
    <row r="136" spans="1:3" x14ac:dyDescent="0.35">
      <c r="A136">
        <v>5035</v>
      </c>
      <c r="B136" t="s">
        <v>434</v>
      </c>
      <c r="C136" t="s">
        <v>2886</v>
      </c>
    </row>
    <row r="137" spans="1:3" x14ac:dyDescent="0.35">
      <c r="A137">
        <v>5037</v>
      </c>
      <c r="B137" t="s">
        <v>442</v>
      </c>
      <c r="C137" t="s">
        <v>2886</v>
      </c>
    </row>
    <row r="138" spans="1:3" x14ac:dyDescent="0.35">
      <c r="A138">
        <v>5039</v>
      </c>
      <c r="B138" t="s">
        <v>347</v>
      </c>
      <c r="C138" t="s">
        <v>2886</v>
      </c>
    </row>
    <row r="139" spans="1:3" x14ac:dyDescent="0.35">
      <c r="A139">
        <v>5041</v>
      </c>
      <c r="B139" t="s">
        <v>492</v>
      </c>
      <c r="C139" t="s">
        <v>2886</v>
      </c>
    </row>
    <row r="140" spans="1:3" x14ac:dyDescent="0.35">
      <c r="A140">
        <v>5043</v>
      </c>
      <c r="B140" t="s">
        <v>498</v>
      </c>
      <c r="C140" t="s">
        <v>2886</v>
      </c>
    </row>
    <row r="141" spans="1:3" x14ac:dyDescent="0.35">
      <c r="A141">
        <v>5045</v>
      </c>
      <c r="B141" t="s">
        <v>407</v>
      </c>
      <c r="C141" t="s">
        <v>2886</v>
      </c>
    </row>
    <row r="142" spans="1:3" x14ac:dyDescent="0.35">
      <c r="A142">
        <v>5047</v>
      </c>
      <c r="B142" t="s">
        <v>355</v>
      </c>
      <c r="C142" t="s">
        <v>2886</v>
      </c>
    </row>
    <row r="143" spans="1:3" x14ac:dyDescent="0.35">
      <c r="A143">
        <v>5049</v>
      </c>
      <c r="B143" t="s">
        <v>422</v>
      </c>
      <c r="C143" t="s">
        <v>2886</v>
      </c>
    </row>
    <row r="144" spans="1:3" x14ac:dyDescent="0.35">
      <c r="A144">
        <v>5051</v>
      </c>
      <c r="B144" t="s">
        <v>472</v>
      </c>
      <c r="C144" t="s">
        <v>2886</v>
      </c>
    </row>
    <row r="145" spans="1:3" x14ac:dyDescent="0.35">
      <c r="A145">
        <v>5053</v>
      </c>
      <c r="B145" t="s">
        <v>413</v>
      </c>
      <c r="C145" t="s">
        <v>2886</v>
      </c>
    </row>
    <row r="146" spans="1:3" x14ac:dyDescent="0.35">
      <c r="A146">
        <v>5055</v>
      </c>
      <c r="B146" t="s">
        <v>305</v>
      </c>
      <c r="C146" t="s">
        <v>2886</v>
      </c>
    </row>
    <row r="147" spans="1:3" x14ac:dyDescent="0.35">
      <c r="A147">
        <v>5057</v>
      </c>
      <c r="B147" t="s">
        <v>514</v>
      </c>
      <c r="C147" t="s">
        <v>2886</v>
      </c>
    </row>
    <row r="148" spans="1:3" x14ac:dyDescent="0.35">
      <c r="A148">
        <v>5059</v>
      </c>
      <c r="B148" t="s">
        <v>474</v>
      </c>
      <c r="C148" t="s">
        <v>2886</v>
      </c>
    </row>
    <row r="149" spans="1:3" x14ac:dyDescent="0.35">
      <c r="A149">
        <v>5061</v>
      </c>
      <c r="B149" t="s">
        <v>520</v>
      </c>
      <c r="C149" t="s">
        <v>2886</v>
      </c>
    </row>
    <row r="150" spans="1:3" x14ac:dyDescent="0.35">
      <c r="A150">
        <v>5063</v>
      </c>
      <c r="B150" t="s">
        <v>436</v>
      </c>
      <c r="C150" t="s">
        <v>2886</v>
      </c>
    </row>
    <row r="151" spans="1:3" x14ac:dyDescent="0.35">
      <c r="A151">
        <v>5065</v>
      </c>
      <c r="B151" t="s">
        <v>444</v>
      </c>
      <c r="C151" t="s">
        <v>2886</v>
      </c>
    </row>
    <row r="152" spans="1:3" x14ac:dyDescent="0.35">
      <c r="A152">
        <v>5067</v>
      </c>
      <c r="B152" t="s">
        <v>357</v>
      </c>
      <c r="C152" t="s">
        <v>2886</v>
      </c>
    </row>
    <row r="153" spans="1:3" x14ac:dyDescent="0.35">
      <c r="A153">
        <v>5069</v>
      </c>
      <c r="B153" t="s">
        <v>247</v>
      </c>
      <c r="C153" t="s">
        <v>2886</v>
      </c>
    </row>
    <row r="154" spans="1:3" x14ac:dyDescent="0.35">
      <c r="A154">
        <v>5071</v>
      </c>
      <c r="B154" t="s">
        <v>535</v>
      </c>
      <c r="C154" t="s">
        <v>2886</v>
      </c>
    </row>
    <row r="155" spans="1:3" x14ac:dyDescent="0.35">
      <c r="A155">
        <v>5073</v>
      </c>
      <c r="B155" t="s">
        <v>504</v>
      </c>
      <c r="C155" t="s">
        <v>2886</v>
      </c>
    </row>
    <row r="156" spans="1:3" x14ac:dyDescent="0.35">
      <c r="A156">
        <v>5075</v>
      </c>
      <c r="B156" t="s">
        <v>261</v>
      </c>
      <c r="C156" t="s">
        <v>2886</v>
      </c>
    </row>
    <row r="157" spans="1:3" x14ac:dyDescent="0.35">
      <c r="A157">
        <v>5077</v>
      </c>
      <c r="B157" t="s">
        <v>237</v>
      </c>
      <c r="C157" t="s">
        <v>2886</v>
      </c>
    </row>
    <row r="158" spans="1:3" x14ac:dyDescent="0.35">
      <c r="A158">
        <v>5079</v>
      </c>
      <c r="B158" t="s">
        <v>494</v>
      </c>
      <c r="C158" t="s">
        <v>2886</v>
      </c>
    </row>
    <row r="159" spans="1:3" x14ac:dyDescent="0.35">
      <c r="A159">
        <v>5081</v>
      </c>
      <c r="B159" t="s">
        <v>510</v>
      </c>
      <c r="C159" t="s">
        <v>2886</v>
      </c>
    </row>
    <row r="160" spans="1:3" x14ac:dyDescent="0.35">
      <c r="A160">
        <v>5083</v>
      </c>
      <c r="B160" t="s">
        <v>537</v>
      </c>
      <c r="C160" t="s">
        <v>2886</v>
      </c>
    </row>
    <row r="161" spans="1:3" x14ac:dyDescent="0.35">
      <c r="A161">
        <v>5085</v>
      </c>
      <c r="B161" t="s">
        <v>396</v>
      </c>
      <c r="C161" t="s">
        <v>2886</v>
      </c>
    </row>
    <row r="162" spans="1:3" x14ac:dyDescent="0.35">
      <c r="A162">
        <v>5087</v>
      </c>
      <c r="B162" t="s">
        <v>287</v>
      </c>
      <c r="C162" t="s">
        <v>2886</v>
      </c>
    </row>
    <row r="163" spans="1:3" x14ac:dyDescent="0.35">
      <c r="A163">
        <v>5089</v>
      </c>
      <c r="B163" t="s">
        <v>365</v>
      </c>
      <c r="C163" t="s">
        <v>2886</v>
      </c>
    </row>
    <row r="164" spans="1:3" x14ac:dyDescent="0.35">
      <c r="A164">
        <v>5091</v>
      </c>
      <c r="B164" t="s">
        <v>516</v>
      </c>
      <c r="C164" t="s">
        <v>2886</v>
      </c>
    </row>
    <row r="165" spans="1:3" x14ac:dyDescent="0.35">
      <c r="A165">
        <v>5093</v>
      </c>
      <c r="B165" t="s">
        <v>438</v>
      </c>
      <c r="C165" t="s">
        <v>2886</v>
      </c>
    </row>
    <row r="166" spans="1:3" x14ac:dyDescent="0.35">
      <c r="A166">
        <v>5095</v>
      </c>
      <c r="B166" t="s">
        <v>369</v>
      </c>
      <c r="C166" t="s">
        <v>2886</v>
      </c>
    </row>
    <row r="167" spans="1:3" x14ac:dyDescent="0.35">
      <c r="A167">
        <v>5097</v>
      </c>
      <c r="B167" t="s">
        <v>301</v>
      </c>
      <c r="C167" t="s">
        <v>2886</v>
      </c>
    </row>
    <row r="168" spans="1:3" x14ac:dyDescent="0.35">
      <c r="A168">
        <v>5099</v>
      </c>
      <c r="B168" t="s">
        <v>522</v>
      </c>
      <c r="C168" t="s">
        <v>2886</v>
      </c>
    </row>
    <row r="169" spans="1:3" x14ac:dyDescent="0.35">
      <c r="A169">
        <v>5101</v>
      </c>
      <c r="B169" t="s">
        <v>461</v>
      </c>
      <c r="C169" t="s">
        <v>2886</v>
      </c>
    </row>
    <row r="170" spans="1:3" x14ac:dyDescent="0.35">
      <c r="A170">
        <v>5103</v>
      </c>
      <c r="B170" t="s">
        <v>506</v>
      </c>
      <c r="C170" t="s">
        <v>2886</v>
      </c>
    </row>
    <row r="171" spans="1:3" x14ac:dyDescent="0.35">
      <c r="A171">
        <v>5105</v>
      </c>
      <c r="B171" t="s">
        <v>371</v>
      </c>
      <c r="C171" t="s">
        <v>2886</v>
      </c>
    </row>
    <row r="172" spans="1:3" x14ac:dyDescent="0.35">
      <c r="A172">
        <v>5107</v>
      </c>
      <c r="B172" t="s">
        <v>484</v>
      </c>
      <c r="C172" t="s">
        <v>2886</v>
      </c>
    </row>
    <row r="173" spans="1:3" x14ac:dyDescent="0.35">
      <c r="A173">
        <v>5109</v>
      </c>
      <c r="B173" t="s">
        <v>375</v>
      </c>
      <c r="C173" t="s">
        <v>2886</v>
      </c>
    </row>
    <row r="174" spans="1:3" x14ac:dyDescent="0.35">
      <c r="A174">
        <v>5111</v>
      </c>
      <c r="B174" t="s">
        <v>446</v>
      </c>
      <c r="C174" t="s">
        <v>2886</v>
      </c>
    </row>
    <row r="175" spans="1:3" x14ac:dyDescent="0.35">
      <c r="A175">
        <v>5113</v>
      </c>
      <c r="B175" t="s">
        <v>530</v>
      </c>
      <c r="C175" t="s">
        <v>2886</v>
      </c>
    </row>
    <row r="176" spans="1:3" x14ac:dyDescent="0.35">
      <c r="A176">
        <v>5115</v>
      </c>
      <c r="B176" t="s">
        <v>409</v>
      </c>
      <c r="C176" t="s">
        <v>2886</v>
      </c>
    </row>
    <row r="177" spans="1:3" x14ac:dyDescent="0.35">
      <c r="A177">
        <v>5117</v>
      </c>
      <c r="B177" t="s">
        <v>415</v>
      </c>
      <c r="C177" t="s">
        <v>2886</v>
      </c>
    </row>
    <row r="178" spans="1:3" x14ac:dyDescent="0.35">
      <c r="A178">
        <v>5119</v>
      </c>
      <c r="B178" t="s">
        <v>398</v>
      </c>
      <c r="C178" t="s">
        <v>2886</v>
      </c>
    </row>
    <row r="179" spans="1:3" x14ac:dyDescent="0.35">
      <c r="A179">
        <v>5121</v>
      </c>
      <c r="B179" t="s">
        <v>377</v>
      </c>
      <c r="C179" t="s">
        <v>2886</v>
      </c>
    </row>
    <row r="180" spans="1:3" x14ac:dyDescent="0.35">
      <c r="A180">
        <v>5123</v>
      </c>
      <c r="B180" t="s">
        <v>440</v>
      </c>
      <c r="C180" t="s">
        <v>2886</v>
      </c>
    </row>
    <row r="181" spans="1:3" x14ac:dyDescent="0.35">
      <c r="A181">
        <v>5125</v>
      </c>
      <c r="B181" t="s">
        <v>405</v>
      </c>
      <c r="C181" t="s">
        <v>2886</v>
      </c>
    </row>
    <row r="182" spans="1:3" x14ac:dyDescent="0.35">
      <c r="A182">
        <v>5127</v>
      </c>
      <c r="B182" t="s">
        <v>528</v>
      </c>
      <c r="C182" t="s">
        <v>2886</v>
      </c>
    </row>
    <row r="183" spans="1:3" x14ac:dyDescent="0.35">
      <c r="A183">
        <v>5129</v>
      </c>
      <c r="B183" t="s">
        <v>465</v>
      </c>
      <c r="C183" t="s">
        <v>2886</v>
      </c>
    </row>
    <row r="184" spans="1:3" x14ac:dyDescent="0.35">
      <c r="A184">
        <v>5131</v>
      </c>
      <c r="B184" t="s">
        <v>533</v>
      </c>
      <c r="C184" t="s">
        <v>2886</v>
      </c>
    </row>
    <row r="185" spans="1:3" x14ac:dyDescent="0.35">
      <c r="A185">
        <v>5133</v>
      </c>
      <c r="B185" t="s">
        <v>512</v>
      </c>
      <c r="C185" t="s">
        <v>2886</v>
      </c>
    </row>
    <row r="186" spans="1:3" x14ac:dyDescent="0.35">
      <c r="A186">
        <v>5135</v>
      </c>
      <c r="B186" t="s">
        <v>432</v>
      </c>
      <c r="C186" t="s">
        <v>2886</v>
      </c>
    </row>
    <row r="187" spans="1:3" x14ac:dyDescent="0.35">
      <c r="A187">
        <v>5137</v>
      </c>
      <c r="B187" t="s">
        <v>448</v>
      </c>
      <c r="C187" t="s">
        <v>2886</v>
      </c>
    </row>
    <row r="188" spans="1:3" x14ac:dyDescent="0.35">
      <c r="A188">
        <v>5139</v>
      </c>
      <c r="B188" t="s">
        <v>518</v>
      </c>
      <c r="C188" t="s">
        <v>2886</v>
      </c>
    </row>
    <row r="189" spans="1:3" x14ac:dyDescent="0.35">
      <c r="A189">
        <v>5141</v>
      </c>
      <c r="B189" t="s">
        <v>411</v>
      </c>
      <c r="C189" t="s">
        <v>2886</v>
      </c>
    </row>
    <row r="190" spans="1:3" x14ac:dyDescent="0.35">
      <c r="A190">
        <v>5143</v>
      </c>
      <c r="B190" t="s">
        <v>385</v>
      </c>
      <c r="C190" t="s">
        <v>2886</v>
      </c>
    </row>
    <row r="191" spans="1:3" x14ac:dyDescent="0.35">
      <c r="A191">
        <v>5145</v>
      </c>
      <c r="B191" t="s">
        <v>417</v>
      </c>
      <c r="C191" t="s">
        <v>2886</v>
      </c>
    </row>
    <row r="192" spans="1:3" x14ac:dyDescent="0.35">
      <c r="A192">
        <v>5147</v>
      </c>
      <c r="B192" t="s">
        <v>426</v>
      </c>
      <c r="C192" t="s">
        <v>2886</v>
      </c>
    </row>
    <row r="193" spans="1:3" x14ac:dyDescent="0.35">
      <c r="A193">
        <v>5149</v>
      </c>
      <c r="B193" t="s">
        <v>400</v>
      </c>
      <c r="C193" t="s">
        <v>2886</v>
      </c>
    </row>
    <row r="194" spans="1:3" x14ac:dyDescent="0.35">
      <c r="A194">
        <v>6001</v>
      </c>
      <c r="B194" t="s">
        <v>2887</v>
      </c>
      <c r="C194" t="s">
        <v>2888</v>
      </c>
    </row>
    <row r="195" spans="1:3" x14ac:dyDescent="0.35">
      <c r="A195">
        <v>6003</v>
      </c>
      <c r="B195" t="s">
        <v>2889</v>
      </c>
      <c r="C195" t="s">
        <v>2888</v>
      </c>
    </row>
    <row r="196" spans="1:3" x14ac:dyDescent="0.35">
      <c r="A196">
        <v>6005</v>
      </c>
      <c r="B196" t="s">
        <v>2890</v>
      </c>
      <c r="C196" t="s">
        <v>2888</v>
      </c>
    </row>
    <row r="197" spans="1:3" x14ac:dyDescent="0.35">
      <c r="A197">
        <v>6007</v>
      </c>
      <c r="B197" t="s">
        <v>2891</v>
      </c>
      <c r="C197" t="s">
        <v>2888</v>
      </c>
    </row>
    <row r="198" spans="1:3" x14ac:dyDescent="0.35">
      <c r="A198">
        <v>6009</v>
      </c>
      <c r="B198" t="s">
        <v>2892</v>
      </c>
      <c r="C198" t="s">
        <v>2888</v>
      </c>
    </row>
    <row r="199" spans="1:3" x14ac:dyDescent="0.35">
      <c r="A199">
        <v>6011</v>
      </c>
      <c r="B199" t="s">
        <v>2893</v>
      </c>
      <c r="C199" t="s">
        <v>2888</v>
      </c>
    </row>
    <row r="200" spans="1:3" x14ac:dyDescent="0.35">
      <c r="A200">
        <v>6013</v>
      </c>
      <c r="B200" t="s">
        <v>2894</v>
      </c>
      <c r="C200" t="s">
        <v>2888</v>
      </c>
    </row>
    <row r="201" spans="1:3" x14ac:dyDescent="0.35">
      <c r="A201">
        <v>6015</v>
      </c>
      <c r="B201" t="s">
        <v>2895</v>
      </c>
      <c r="C201" t="s">
        <v>2888</v>
      </c>
    </row>
    <row r="202" spans="1:3" x14ac:dyDescent="0.35">
      <c r="A202">
        <v>6017</v>
      </c>
      <c r="B202" t="s">
        <v>2896</v>
      </c>
      <c r="C202" t="s">
        <v>2888</v>
      </c>
    </row>
    <row r="203" spans="1:3" x14ac:dyDescent="0.35">
      <c r="A203">
        <v>6019</v>
      </c>
      <c r="B203" t="s">
        <v>2897</v>
      </c>
      <c r="C203" t="s">
        <v>2888</v>
      </c>
    </row>
    <row r="204" spans="1:3" x14ac:dyDescent="0.35">
      <c r="A204">
        <v>6021</v>
      </c>
      <c r="B204" t="s">
        <v>2898</v>
      </c>
      <c r="C204" t="s">
        <v>2888</v>
      </c>
    </row>
    <row r="205" spans="1:3" x14ac:dyDescent="0.35">
      <c r="A205">
        <v>6023</v>
      </c>
      <c r="B205" t="s">
        <v>2899</v>
      </c>
      <c r="C205" t="s">
        <v>2888</v>
      </c>
    </row>
    <row r="206" spans="1:3" x14ac:dyDescent="0.35">
      <c r="A206">
        <v>6025</v>
      </c>
      <c r="B206" t="s">
        <v>2900</v>
      </c>
      <c r="C206" t="s">
        <v>2888</v>
      </c>
    </row>
    <row r="207" spans="1:3" x14ac:dyDescent="0.35">
      <c r="A207">
        <v>6027</v>
      </c>
      <c r="B207" t="s">
        <v>2901</v>
      </c>
      <c r="C207" t="s">
        <v>2888</v>
      </c>
    </row>
    <row r="208" spans="1:3" x14ac:dyDescent="0.35">
      <c r="A208">
        <v>6029</v>
      </c>
      <c r="B208" t="s">
        <v>2902</v>
      </c>
      <c r="C208" t="s">
        <v>2888</v>
      </c>
    </row>
    <row r="209" spans="1:3" x14ac:dyDescent="0.35">
      <c r="A209">
        <v>6031</v>
      </c>
      <c r="B209" t="s">
        <v>2903</v>
      </c>
      <c r="C209" t="s">
        <v>2888</v>
      </c>
    </row>
    <row r="210" spans="1:3" x14ac:dyDescent="0.35">
      <c r="A210">
        <v>6033</v>
      </c>
      <c r="B210" t="s">
        <v>654</v>
      </c>
      <c r="C210" t="s">
        <v>2888</v>
      </c>
    </row>
    <row r="211" spans="1:3" x14ac:dyDescent="0.35">
      <c r="A211">
        <v>6035</v>
      </c>
      <c r="B211" t="s">
        <v>2904</v>
      </c>
      <c r="C211" t="s">
        <v>2888</v>
      </c>
    </row>
    <row r="212" spans="1:3" x14ac:dyDescent="0.35">
      <c r="A212">
        <v>6037</v>
      </c>
      <c r="B212" t="s">
        <v>2905</v>
      </c>
      <c r="C212" t="s">
        <v>2888</v>
      </c>
    </row>
    <row r="213" spans="1:3" x14ac:dyDescent="0.35">
      <c r="A213">
        <v>6039</v>
      </c>
      <c r="B213" t="s">
        <v>2906</v>
      </c>
      <c r="C213" t="s">
        <v>2888</v>
      </c>
    </row>
    <row r="214" spans="1:3" x14ac:dyDescent="0.35">
      <c r="A214">
        <v>6041</v>
      </c>
      <c r="B214" t="s">
        <v>2907</v>
      </c>
      <c r="C214" t="s">
        <v>2888</v>
      </c>
    </row>
    <row r="215" spans="1:3" x14ac:dyDescent="0.35">
      <c r="A215">
        <v>6043</v>
      </c>
      <c r="B215" t="s">
        <v>2908</v>
      </c>
      <c r="C215" t="s">
        <v>2888</v>
      </c>
    </row>
    <row r="216" spans="1:3" x14ac:dyDescent="0.35">
      <c r="A216">
        <v>6045</v>
      </c>
      <c r="B216" t="s">
        <v>2909</v>
      </c>
      <c r="C216" t="s">
        <v>2888</v>
      </c>
    </row>
    <row r="217" spans="1:3" x14ac:dyDescent="0.35">
      <c r="A217">
        <v>6047</v>
      </c>
      <c r="B217" t="s">
        <v>2910</v>
      </c>
      <c r="C217" t="s">
        <v>2888</v>
      </c>
    </row>
    <row r="218" spans="1:3" x14ac:dyDescent="0.35">
      <c r="A218">
        <v>6049</v>
      </c>
      <c r="B218" t="s">
        <v>2911</v>
      </c>
      <c r="C218" t="s">
        <v>2888</v>
      </c>
    </row>
    <row r="219" spans="1:3" x14ac:dyDescent="0.35">
      <c r="A219">
        <v>6051</v>
      </c>
      <c r="B219" t="s">
        <v>2912</v>
      </c>
      <c r="C219" t="s">
        <v>2888</v>
      </c>
    </row>
    <row r="220" spans="1:3" x14ac:dyDescent="0.35">
      <c r="A220">
        <v>6053</v>
      </c>
      <c r="B220" t="s">
        <v>2913</v>
      </c>
      <c r="C220" t="s">
        <v>2888</v>
      </c>
    </row>
    <row r="221" spans="1:3" x14ac:dyDescent="0.35">
      <c r="A221">
        <v>6055</v>
      </c>
      <c r="B221" t="s">
        <v>2914</v>
      </c>
      <c r="C221" t="s">
        <v>2888</v>
      </c>
    </row>
    <row r="222" spans="1:3" x14ac:dyDescent="0.35">
      <c r="A222">
        <v>6057</v>
      </c>
      <c r="B222" t="s">
        <v>522</v>
      </c>
      <c r="C222" t="s">
        <v>2888</v>
      </c>
    </row>
    <row r="223" spans="1:3" x14ac:dyDescent="0.35">
      <c r="A223">
        <v>6059</v>
      </c>
      <c r="B223" t="s">
        <v>706</v>
      </c>
      <c r="C223" t="s">
        <v>2888</v>
      </c>
    </row>
    <row r="224" spans="1:3" x14ac:dyDescent="0.35">
      <c r="A224">
        <v>6061</v>
      </c>
      <c r="B224" t="s">
        <v>2915</v>
      </c>
      <c r="C224" t="s">
        <v>2888</v>
      </c>
    </row>
    <row r="225" spans="1:3" x14ac:dyDescent="0.35">
      <c r="A225">
        <v>6063</v>
      </c>
      <c r="B225" t="s">
        <v>2916</v>
      </c>
      <c r="C225" t="s">
        <v>2888</v>
      </c>
    </row>
    <row r="226" spans="1:3" x14ac:dyDescent="0.35">
      <c r="A226">
        <v>6065</v>
      </c>
      <c r="B226" t="s">
        <v>2917</v>
      </c>
      <c r="C226" t="s">
        <v>2888</v>
      </c>
    </row>
    <row r="227" spans="1:3" x14ac:dyDescent="0.35">
      <c r="A227">
        <v>6067</v>
      </c>
      <c r="B227" t="s">
        <v>2918</v>
      </c>
      <c r="C227" t="s">
        <v>2888</v>
      </c>
    </row>
    <row r="228" spans="1:3" x14ac:dyDescent="0.35">
      <c r="A228">
        <v>6069</v>
      </c>
      <c r="B228" t="s">
        <v>2919</v>
      </c>
      <c r="C228" t="s">
        <v>2888</v>
      </c>
    </row>
    <row r="229" spans="1:3" x14ac:dyDescent="0.35">
      <c r="A229">
        <v>6071</v>
      </c>
      <c r="B229" t="s">
        <v>2920</v>
      </c>
      <c r="C229" t="s">
        <v>2888</v>
      </c>
    </row>
    <row r="230" spans="1:3" x14ac:dyDescent="0.35">
      <c r="A230">
        <v>6073</v>
      </c>
      <c r="B230" t="s">
        <v>2921</v>
      </c>
      <c r="C230" t="s">
        <v>2888</v>
      </c>
    </row>
    <row r="231" spans="1:3" x14ac:dyDescent="0.35">
      <c r="A231">
        <v>6075</v>
      </c>
      <c r="B231" t="s">
        <v>2922</v>
      </c>
      <c r="C231" t="s">
        <v>2888</v>
      </c>
    </row>
    <row r="232" spans="1:3" x14ac:dyDescent="0.35">
      <c r="A232">
        <v>6077</v>
      </c>
      <c r="B232" t="s">
        <v>2923</v>
      </c>
      <c r="C232" t="s">
        <v>2888</v>
      </c>
    </row>
    <row r="233" spans="1:3" x14ac:dyDescent="0.35">
      <c r="A233">
        <v>6079</v>
      </c>
      <c r="B233" t="s">
        <v>2924</v>
      </c>
      <c r="C233" t="s">
        <v>2888</v>
      </c>
    </row>
    <row r="234" spans="1:3" x14ac:dyDescent="0.35">
      <c r="A234">
        <v>6081</v>
      </c>
      <c r="B234" t="s">
        <v>2925</v>
      </c>
      <c r="C234" t="s">
        <v>2888</v>
      </c>
    </row>
    <row r="235" spans="1:3" x14ac:dyDescent="0.35">
      <c r="A235">
        <v>6083</v>
      </c>
      <c r="B235" t="s">
        <v>2926</v>
      </c>
      <c r="C235" t="s">
        <v>2888</v>
      </c>
    </row>
    <row r="236" spans="1:3" x14ac:dyDescent="0.35">
      <c r="A236">
        <v>6085</v>
      </c>
      <c r="B236" t="s">
        <v>2927</v>
      </c>
      <c r="C236" t="s">
        <v>2888</v>
      </c>
    </row>
    <row r="237" spans="1:3" x14ac:dyDescent="0.35">
      <c r="A237">
        <v>6087</v>
      </c>
      <c r="B237" t="s">
        <v>2883</v>
      </c>
      <c r="C237" t="s">
        <v>2888</v>
      </c>
    </row>
    <row r="238" spans="1:3" x14ac:dyDescent="0.35">
      <c r="A238">
        <v>6089</v>
      </c>
      <c r="B238" t="s">
        <v>2928</v>
      </c>
      <c r="C238" t="s">
        <v>2888</v>
      </c>
    </row>
    <row r="239" spans="1:3" x14ac:dyDescent="0.35">
      <c r="A239">
        <v>6091</v>
      </c>
      <c r="B239" t="s">
        <v>2929</v>
      </c>
      <c r="C239" t="s">
        <v>2888</v>
      </c>
    </row>
    <row r="240" spans="1:3" x14ac:dyDescent="0.35">
      <c r="A240">
        <v>6093</v>
      </c>
      <c r="B240" t="s">
        <v>2930</v>
      </c>
      <c r="C240" t="s">
        <v>2888</v>
      </c>
    </row>
    <row r="241" spans="1:3" x14ac:dyDescent="0.35">
      <c r="A241">
        <v>6095</v>
      </c>
      <c r="B241" t="s">
        <v>2931</v>
      </c>
      <c r="C241" t="s">
        <v>2888</v>
      </c>
    </row>
    <row r="242" spans="1:3" x14ac:dyDescent="0.35">
      <c r="A242">
        <v>6097</v>
      </c>
      <c r="B242" t="s">
        <v>2932</v>
      </c>
      <c r="C242" t="s">
        <v>2888</v>
      </c>
    </row>
    <row r="243" spans="1:3" x14ac:dyDescent="0.35">
      <c r="A243">
        <v>6099</v>
      </c>
      <c r="B243" t="s">
        <v>2933</v>
      </c>
      <c r="C243" t="s">
        <v>2888</v>
      </c>
    </row>
    <row r="244" spans="1:3" x14ac:dyDescent="0.35">
      <c r="A244">
        <v>6101</v>
      </c>
      <c r="B244" t="s">
        <v>2934</v>
      </c>
      <c r="C244" t="s">
        <v>2888</v>
      </c>
    </row>
    <row r="245" spans="1:3" x14ac:dyDescent="0.35">
      <c r="A245">
        <v>6103</v>
      </c>
      <c r="B245" t="s">
        <v>2935</v>
      </c>
      <c r="C245" t="s">
        <v>2888</v>
      </c>
    </row>
    <row r="246" spans="1:3" x14ac:dyDescent="0.35">
      <c r="A246">
        <v>6105</v>
      </c>
      <c r="B246" t="s">
        <v>2057</v>
      </c>
      <c r="C246" t="s">
        <v>2888</v>
      </c>
    </row>
    <row r="247" spans="1:3" x14ac:dyDescent="0.35">
      <c r="A247">
        <v>6107</v>
      </c>
      <c r="B247" t="s">
        <v>2936</v>
      </c>
      <c r="C247" t="s">
        <v>2888</v>
      </c>
    </row>
    <row r="248" spans="1:3" x14ac:dyDescent="0.35">
      <c r="A248">
        <v>6109</v>
      </c>
      <c r="B248" t="s">
        <v>2937</v>
      </c>
      <c r="C248" t="s">
        <v>2888</v>
      </c>
    </row>
    <row r="249" spans="1:3" x14ac:dyDescent="0.35">
      <c r="A249">
        <v>6111</v>
      </c>
      <c r="B249" t="s">
        <v>2938</v>
      </c>
      <c r="C249" t="s">
        <v>2888</v>
      </c>
    </row>
    <row r="250" spans="1:3" x14ac:dyDescent="0.35">
      <c r="A250">
        <v>6113</v>
      </c>
      <c r="B250" t="s">
        <v>2939</v>
      </c>
      <c r="C250" t="s">
        <v>2888</v>
      </c>
    </row>
    <row r="251" spans="1:3" x14ac:dyDescent="0.35">
      <c r="A251">
        <v>6115</v>
      </c>
      <c r="B251" t="s">
        <v>2940</v>
      </c>
      <c r="C251" t="s">
        <v>2888</v>
      </c>
    </row>
    <row r="252" spans="1:3" x14ac:dyDescent="0.35">
      <c r="A252">
        <v>8001</v>
      </c>
      <c r="B252" t="s">
        <v>1255</v>
      </c>
      <c r="C252" t="s">
        <v>2941</v>
      </c>
    </row>
    <row r="253" spans="1:3" x14ac:dyDescent="0.35">
      <c r="A253">
        <v>8003</v>
      </c>
      <c r="B253" t="s">
        <v>2942</v>
      </c>
      <c r="C253" t="s">
        <v>2941</v>
      </c>
    </row>
    <row r="254" spans="1:3" x14ac:dyDescent="0.35">
      <c r="A254">
        <v>8005</v>
      </c>
      <c r="B254" t="s">
        <v>2943</v>
      </c>
      <c r="C254" t="s">
        <v>2941</v>
      </c>
    </row>
    <row r="255" spans="1:3" x14ac:dyDescent="0.35">
      <c r="A255">
        <v>8007</v>
      </c>
      <c r="B255" t="s">
        <v>2944</v>
      </c>
      <c r="C255" t="s">
        <v>2941</v>
      </c>
    </row>
    <row r="256" spans="1:3" x14ac:dyDescent="0.35">
      <c r="A256">
        <v>8009</v>
      </c>
      <c r="B256" t="s">
        <v>2945</v>
      </c>
      <c r="C256" t="s">
        <v>2941</v>
      </c>
    </row>
    <row r="257" spans="1:3" x14ac:dyDescent="0.35">
      <c r="A257">
        <v>8011</v>
      </c>
      <c r="B257" t="s">
        <v>2946</v>
      </c>
      <c r="C257" t="s">
        <v>2941</v>
      </c>
    </row>
    <row r="258" spans="1:3" x14ac:dyDescent="0.35">
      <c r="A258">
        <v>8013</v>
      </c>
      <c r="B258" t="s">
        <v>2947</v>
      </c>
      <c r="C258" t="s">
        <v>2941</v>
      </c>
    </row>
    <row r="259" spans="1:3" x14ac:dyDescent="0.35">
      <c r="A259">
        <v>8014</v>
      </c>
      <c r="B259" t="s">
        <v>2948</v>
      </c>
      <c r="C259" t="s">
        <v>2941</v>
      </c>
    </row>
    <row r="260" spans="1:3" x14ac:dyDescent="0.35">
      <c r="A260">
        <v>8015</v>
      </c>
      <c r="B260" t="s">
        <v>2949</v>
      </c>
      <c r="C260" t="s">
        <v>2941</v>
      </c>
    </row>
    <row r="261" spans="1:3" x14ac:dyDescent="0.35">
      <c r="A261">
        <v>8017</v>
      </c>
      <c r="B261" t="s">
        <v>2950</v>
      </c>
      <c r="C261" t="s">
        <v>2941</v>
      </c>
    </row>
    <row r="262" spans="1:3" x14ac:dyDescent="0.35">
      <c r="A262">
        <v>8019</v>
      </c>
      <c r="B262" t="s">
        <v>2951</v>
      </c>
      <c r="C262" t="s">
        <v>2941</v>
      </c>
    </row>
    <row r="263" spans="1:3" x14ac:dyDescent="0.35">
      <c r="A263">
        <v>8021</v>
      </c>
      <c r="B263" t="s">
        <v>2952</v>
      </c>
      <c r="C263" t="s">
        <v>2941</v>
      </c>
    </row>
    <row r="264" spans="1:3" x14ac:dyDescent="0.35">
      <c r="A264">
        <v>8023</v>
      </c>
      <c r="B264" t="s">
        <v>2953</v>
      </c>
      <c r="C264" t="s">
        <v>2941</v>
      </c>
    </row>
    <row r="265" spans="1:3" x14ac:dyDescent="0.35">
      <c r="A265">
        <v>8025</v>
      </c>
      <c r="B265" t="s">
        <v>2954</v>
      </c>
      <c r="C265" t="s">
        <v>2941</v>
      </c>
    </row>
    <row r="266" spans="1:3" x14ac:dyDescent="0.35">
      <c r="A266">
        <v>8027</v>
      </c>
      <c r="B266" t="s">
        <v>2955</v>
      </c>
      <c r="C266" t="s">
        <v>2941</v>
      </c>
    </row>
    <row r="267" spans="1:3" x14ac:dyDescent="0.35">
      <c r="A267">
        <v>8029</v>
      </c>
      <c r="B267" t="s">
        <v>2315</v>
      </c>
      <c r="C267" t="s">
        <v>2941</v>
      </c>
    </row>
    <row r="268" spans="1:3" x14ac:dyDescent="0.35">
      <c r="A268">
        <v>8031</v>
      </c>
      <c r="B268" t="s">
        <v>2956</v>
      </c>
      <c r="C268" t="s">
        <v>2941</v>
      </c>
    </row>
    <row r="269" spans="1:3" x14ac:dyDescent="0.35">
      <c r="A269">
        <v>8033</v>
      </c>
      <c r="B269" t="s">
        <v>2957</v>
      </c>
      <c r="C269" t="s">
        <v>2941</v>
      </c>
    </row>
    <row r="270" spans="1:3" x14ac:dyDescent="0.35">
      <c r="A270">
        <v>8035</v>
      </c>
      <c r="B270" t="s">
        <v>828</v>
      </c>
      <c r="C270" t="s">
        <v>2941</v>
      </c>
    </row>
    <row r="271" spans="1:3" x14ac:dyDescent="0.35">
      <c r="A271">
        <v>8037</v>
      </c>
      <c r="B271" t="s">
        <v>2958</v>
      </c>
      <c r="C271" t="s">
        <v>2941</v>
      </c>
    </row>
    <row r="272" spans="1:3" x14ac:dyDescent="0.35">
      <c r="A272">
        <v>8039</v>
      </c>
      <c r="B272" t="s">
        <v>805</v>
      </c>
      <c r="C272" t="s">
        <v>2941</v>
      </c>
    </row>
    <row r="273" spans="1:3" x14ac:dyDescent="0.35">
      <c r="A273">
        <v>8041</v>
      </c>
      <c r="B273" t="s">
        <v>2117</v>
      </c>
      <c r="C273" t="s">
        <v>2941</v>
      </c>
    </row>
    <row r="274" spans="1:3" x14ac:dyDescent="0.35">
      <c r="A274">
        <v>8043</v>
      </c>
      <c r="B274" t="s">
        <v>2959</v>
      </c>
      <c r="C274" t="s">
        <v>2941</v>
      </c>
    </row>
    <row r="275" spans="1:3" x14ac:dyDescent="0.35">
      <c r="A275">
        <v>8045</v>
      </c>
      <c r="B275" t="s">
        <v>2779</v>
      </c>
      <c r="C275" t="s">
        <v>2941</v>
      </c>
    </row>
    <row r="276" spans="1:3" x14ac:dyDescent="0.35">
      <c r="A276">
        <v>8047</v>
      </c>
      <c r="B276" t="s">
        <v>2960</v>
      </c>
      <c r="C276" t="s">
        <v>2941</v>
      </c>
    </row>
    <row r="277" spans="1:3" x14ac:dyDescent="0.35">
      <c r="A277">
        <v>8049</v>
      </c>
      <c r="B277" t="s">
        <v>2780</v>
      </c>
      <c r="C277" t="s">
        <v>2941</v>
      </c>
    </row>
    <row r="278" spans="1:3" x14ac:dyDescent="0.35">
      <c r="A278">
        <v>8051</v>
      </c>
      <c r="B278" t="s">
        <v>2961</v>
      </c>
      <c r="C278" t="s">
        <v>2941</v>
      </c>
    </row>
    <row r="279" spans="1:3" x14ac:dyDescent="0.35">
      <c r="A279">
        <v>8053</v>
      </c>
      <c r="B279" t="s">
        <v>2962</v>
      </c>
      <c r="C279" t="s">
        <v>2941</v>
      </c>
    </row>
    <row r="280" spans="1:3" x14ac:dyDescent="0.35">
      <c r="A280">
        <v>8055</v>
      </c>
      <c r="B280" t="s">
        <v>2963</v>
      </c>
      <c r="C280" t="s">
        <v>2941</v>
      </c>
    </row>
    <row r="281" spans="1:3" x14ac:dyDescent="0.35">
      <c r="A281">
        <v>8057</v>
      </c>
      <c r="B281" t="s">
        <v>357</v>
      </c>
      <c r="C281" t="s">
        <v>2941</v>
      </c>
    </row>
    <row r="282" spans="1:3" x14ac:dyDescent="0.35">
      <c r="A282">
        <v>8059</v>
      </c>
      <c r="B282" t="s">
        <v>247</v>
      </c>
      <c r="C282" t="s">
        <v>2941</v>
      </c>
    </row>
    <row r="283" spans="1:3" x14ac:dyDescent="0.35">
      <c r="A283">
        <v>8061</v>
      </c>
      <c r="B283" t="s">
        <v>2964</v>
      </c>
      <c r="C283" t="s">
        <v>2941</v>
      </c>
    </row>
    <row r="284" spans="1:3" x14ac:dyDescent="0.35">
      <c r="A284">
        <v>8063</v>
      </c>
      <c r="B284" t="s">
        <v>2965</v>
      </c>
      <c r="C284" t="s">
        <v>2941</v>
      </c>
    </row>
    <row r="285" spans="1:3" x14ac:dyDescent="0.35">
      <c r="A285">
        <v>8065</v>
      </c>
      <c r="B285" t="s">
        <v>654</v>
      </c>
      <c r="C285" t="s">
        <v>2941</v>
      </c>
    </row>
    <row r="286" spans="1:3" x14ac:dyDescent="0.35">
      <c r="A286">
        <v>8067</v>
      </c>
      <c r="B286" t="s">
        <v>2966</v>
      </c>
      <c r="C286" t="s">
        <v>2941</v>
      </c>
    </row>
    <row r="287" spans="1:3" x14ac:dyDescent="0.35">
      <c r="A287">
        <v>8069</v>
      </c>
      <c r="B287" t="s">
        <v>2967</v>
      </c>
      <c r="C287" t="s">
        <v>2941</v>
      </c>
    </row>
    <row r="288" spans="1:3" x14ac:dyDescent="0.35">
      <c r="A288">
        <v>8071</v>
      </c>
      <c r="B288" t="s">
        <v>2968</v>
      </c>
      <c r="C288" t="s">
        <v>2941</v>
      </c>
    </row>
    <row r="289" spans="1:3" x14ac:dyDescent="0.35">
      <c r="A289">
        <v>8073</v>
      </c>
      <c r="B289" t="s">
        <v>494</v>
      </c>
      <c r="C289" t="s">
        <v>2941</v>
      </c>
    </row>
    <row r="290" spans="1:3" x14ac:dyDescent="0.35">
      <c r="A290">
        <v>8075</v>
      </c>
      <c r="B290" t="s">
        <v>537</v>
      </c>
      <c r="C290" t="s">
        <v>2941</v>
      </c>
    </row>
    <row r="291" spans="1:3" x14ac:dyDescent="0.35">
      <c r="A291">
        <v>8077</v>
      </c>
      <c r="B291" t="s">
        <v>2969</v>
      </c>
      <c r="C291" t="s">
        <v>2941</v>
      </c>
    </row>
    <row r="292" spans="1:3" x14ac:dyDescent="0.35">
      <c r="A292">
        <v>8079</v>
      </c>
      <c r="B292" t="s">
        <v>2803</v>
      </c>
      <c r="C292" t="s">
        <v>2941</v>
      </c>
    </row>
    <row r="293" spans="1:3" x14ac:dyDescent="0.35">
      <c r="A293">
        <v>8081</v>
      </c>
      <c r="B293" t="s">
        <v>2970</v>
      </c>
      <c r="C293" t="s">
        <v>2941</v>
      </c>
    </row>
    <row r="294" spans="1:3" x14ac:dyDescent="0.35">
      <c r="A294">
        <v>8083</v>
      </c>
      <c r="B294" t="s">
        <v>2971</v>
      </c>
      <c r="C294" t="s">
        <v>2941</v>
      </c>
    </row>
    <row r="295" spans="1:3" x14ac:dyDescent="0.35">
      <c r="A295">
        <v>8085</v>
      </c>
      <c r="B295" t="s">
        <v>2972</v>
      </c>
      <c r="C295" t="s">
        <v>2941</v>
      </c>
    </row>
    <row r="296" spans="1:3" x14ac:dyDescent="0.35">
      <c r="A296">
        <v>8087</v>
      </c>
      <c r="B296" t="s">
        <v>263</v>
      </c>
      <c r="C296" t="s">
        <v>2941</v>
      </c>
    </row>
    <row r="297" spans="1:3" x14ac:dyDescent="0.35">
      <c r="A297">
        <v>8089</v>
      </c>
      <c r="B297" t="s">
        <v>2973</v>
      </c>
      <c r="C297" t="s">
        <v>2941</v>
      </c>
    </row>
    <row r="298" spans="1:3" x14ac:dyDescent="0.35">
      <c r="A298">
        <v>8091</v>
      </c>
      <c r="B298" t="s">
        <v>2974</v>
      </c>
      <c r="C298" t="s">
        <v>2941</v>
      </c>
    </row>
    <row r="299" spans="1:3" x14ac:dyDescent="0.35">
      <c r="A299">
        <v>8093</v>
      </c>
      <c r="B299" t="s">
        <v>2975</v>
      </c>
      <c r="C299" t="s">
        <v>2941</v>
      </c>
    </row>
    <row r="300" spans="1:3" x14ac:dyDescent="0.35">
      <c r="A300">
        <v>8095</v>
      </c>
      <c r="B300" t="s">
        <v>484</v>
      </c>
      <c r="C300" t="s">
        <v>2941</v>
      </c>
    </row>
    <row r="301" spans="1:3" x14ac:dyDescent="0.35">
      <c r="A301">
        <v>8097</v>
      </c>
      <c r="B301" t="s">
        <v>2976</v>
      </c>
      <c r="C301" t="s">
        <v>2941</v>
      </c>
    </row>
    <row r="302" spans="1:3" x14ac:dyDescent="0.35">
      <c r="A302">
        <v>8099</v>
      </c>
      <c r="B302" t="s">
        <v>2977</v>
      </c>
      <c r="C302" t="s">
        <v>2941</v>
      </c>
    </row>
    <row r="303" spans="1:3" x14ac:dyDescent="0.35">
      <c r="A303">
        <v>8101</v>
      </c>
      <c r="B303" t="s">
        <v>2978</v>
      </c>
      <c r="C303" t="s">
        <v>2941</v>
      </c>
    </row>
    <row r="304" spans="1:3" x14ac:dyDescent="0.35">
      <c r="A304">
        <v>8103</v>
      </c>
      <c r="B304" t="s">
        <v>2979</v>
      </c>
      <c r="C304" t="s">
        <v>2941</v>
      </c>
    </row>
    <row r="305" spans="1:3" x14ac:dyDescent="0.35">
      <c r="A305">
        <v>8105</v>
      </c>
      <c r="B305" t="s">
        <v>2980</v>
      </c>
      <c r="C305" t="s">
        <v>2941</v>
      </c>
    </row>
    <row r="306" spans="1:3" x14ac:dyDescent="0.35">
      <c r="A306">
        <v>8107</v>
      </c>
      <c r="B306" t="s">
        <v>2981</v>
      </c>
      <c r="C306" t="s">
        <v>2941</v>
      </c>
    </row>
    <row r="307" spans="1:3" x14ac:dyDescent="0.35">
      <c r="A307">
        <v>8109</v>
      </c>
      <c r="B307" t="s">
        <v>2982</v>
      </c>
      <c r="C307" t="s">
        <v>2941</v>
      </c>
    </row>
    <row r="308" spans="1:3" x14ac:dyDescent="0.35">
      <c r="A308">
        <v>8111</v>
      </c>
      <c r="B308" t="s">
        <v>2787</v>
      </c>
      <c r="C308" t="s">
        <v>2941</v>
      </c>
    </row>
    <row r="309" spans="1:3" x14ac:dyDescent="0.35">
      <c r="A309">
        <v>8113</v>
      </c>
      <c r="B309" t="s">
        <v>2983</v>
      </c>
      <c r="C309" t="s">
        <v>2941</v>
      </c>
    </row>
    <row r="310" spans="1:3" x14ac:dyDescent="0.35">
      <c r="A310">
        <v>8115</v>
      </c>
      <c r="B310" t="s">
        <v>2984</v>
      </c>
      <c r="C310" t="s">
        <v>2941</v>
      </c>
    </row>
    <row r="311" spans="1:3" x14ac:dyDescent="0.35">
      <c r="A311">
        <v>8117</v>
      </c>
      <c r="B311" t="s">
        <v>2789</v>
      </c>
      <c r="C311" t="s">
        <v>2941</v>
      </c>
    </row>
    <row r="312" spans="1:3" x14ac:dyDescent="0.35">
      <c r="A312">
        <v>8119</v>
      </c>
      <c r="B312" t="s">
        <v>2985</v>
      </c>
      <c r="C312" t="s">
        <v>2941</v>
      </c>
    </row>
    <row r="313" spans="1:3" x14ac:dyDescent="0.35">
      <c r="A313">
        <v>8121</v>
      </c>
      <c r="B313" t="s">
        <v>385</v>
      </c>
      <c r="C313" t="s">
        <v>2941</v>
      </c>
    </row>
    <row r="314" spans="1:3" x14ac:dyDescent="0.35">
      <c r="A314">
        <v>8123</v>
      </c>
      <c r="B314" t="s">
        <v>2986</v>
      </c>
      <c r="C314" t="s">
        <v>2941</v>
      </c>
    </row>
    <row r="315" spans="1:3" x14ac:dyDescent="0.35">
      <c r="A315">
        <v>8125</v>
      </c>
      <c r="B315" t="s">
        <v>2885</v>
      </c>
      <c r="C315" t="s">
        <v>2941</v>
      </c>
    </row>
    <row r="316" spans="1:3" x14ac:dyDescent="0.35">
      <c r="A316">
        <v>9001</v>
      </c>
      <c r="B316" t="s">
        <v>2987</v>
      </c>
      <c r="C316" t="s">
        <v>2988</v>
      </c>
    </row>
    <row r="317" spans="1:3" x14ac:dyDescent="0.35">
      <c r="A317">
        <v>9003</v>
      </c>
      <c r="B317" t="s">
        <v>2989</v>
      </c>
      <c r="C317" t="s">
        <v>2988</v>
      </c>
    </row>
    <row r="318" spans="1:3" x14ac:dyDescent="0.35">
      <c r="A318">
        <v>9005</v>
      </c>
      <c r="B318" t="s">
        <v>2990</v>
      </c>
      <c r="C318" t="s">
        <v>2988</v>
      </c>
    </row>
    <row r="319" spans="1:3" x14ac:dyDescent="0.35">
      <c r="A319">
        <v>9007</v>
      </c>
      <c r="B319" t="s">
        <v>2991</v>
      </c>
      <c r="C319" t="s">
        <v>2988</v>
      </c>
    </row>
    <row r="320" spans="1:3" x14ac:dyDescent="0.35">
      <c r="A320">
        <v>9009</v>
      </c>
      <c r="B320" t="s">
        <v>2992</v>
      </c>
      <c r="C320" t="s">
        <v>2988</v>
      </c>
    </row>
    <row r="321" spans="1:3" x14ac:dyDescent="0.35">
      <c r="A321">
        <v>9011</v>
      </c>
      <c r="B321" t="s">
        <v>2993</v>
      </c>
      <c r="C321" t="s">
        <v>2988</v>
      </c>
    </row>
    <row r="322" spans="1:3" x14ac:dyDescent="0.35">
      <c r="A322">
        <v>9013</v>
      </c>
      <c r="B322" t="s">
        <v>2994</v>
      </c>
      <c r="C322" t="s">
        <v>2988</v>
      </c>
    </row>
    <row r="323" spans="1:3" x14ac:dyDescent="0.35">
      <c r="A323">
        <v>9015</v>
      </c>
      <c r="B323" t="s">
        <v>2995</v>
      </c>
      <c r="C323" t="s">
        <v>2988</v>
      </c>
    </row>
    <row r="324" spans="1:3" x14ac:dyDescent="0.35">
      <c r="A324">
        <v>10001</v>
      </c>
      <c r="B324" t="s">
        <v>1954</v>
      </c>
      <c r="C324" t="s">
        <v>2996</v>
      </c>
    </row>
    <row r="325" spans="1:3" x14ac:dyDescent="0.35">
      <c r="A325">
        <v>10003</v>
      </c>
      <c r="B325" t="s">
        <v>2997</v>
      </c>
      <c r="C325" t="s">
        <v>2996</v>
      </c>
    </row>
    <row r="326" spans="1:3" x14ac:dyDescent="0.35">
      <c r="A326">
        <v>10005</v>
      </c>
      <c r="B326" t="s">
        <v>2998</v>
      </c>
      <c r="C326" t="s">
        <v>2996</v>
      </c>
    </row>
    <row r="327" spans="1:3" x14ac:dyDescent="0.35">
      <c r="A327">
        <v>11001</v>
      </c>
      <c r="B327" t="s">
        <v>2999</v>
      </c>
      <c r="C327" t="s">
        <v>3000</v>
      </c>
    </row>
    <row r="328" spans="1:3" x14ac:dyDescent="0.35">
      <c r="A328">
        <v>12001</v>
      </c>
      <c r="B328" t="s">
        <v>542</v>
      </c>
      <c r="C328" t="s">
        <v>3001</v>
      </c>
    </row>
    <row r="329" spans="1:3" x14ac:dyDescent="0.35">
      <c r="A329">
        <v>12003</v>
      </c>
      <c r="B329" t="s">
        <v>545</v>
      </c>
      <c r="C329" t="s">
        <v>3001</v>
      </c>
    </row>
    <row r="330" spans="1:3" x14ac:dyDescent="0.35">
      <c r="A330">
        <v>12005</v>
      </c>
      <c r="B330" t="s">
        <v>548</v>
      </c>
      <c r="C330" t="s">
        <v>3001</v>
      </c>
    </row>
    <row r="331" spans="1:3" x14ac:dyDescent="0.35">
      <c r="A331">
        <v>12007</v>
      </c>
      <c r="B331" t="s">
        <v>551</v>
      </c>
      <c r="C331" t="s">
        <v>3001</v>
      </c>
    </row>
    <row r="332" spans="1:3" x14ac:dyDescent="0.35">
      <c r="A332">
        <v>12009</v>
      </c>
      <c r="B332" t="s">
        <v>554</v>
      </c>
      <c r="C332" t="s">
        <v>3001</v>
      </c>
    </row>
    <row r="333" spans="1:3" x14ac:dyDescent="0.35">
      <c r="A333">
        <v>12011</v>
      </c>
      <c r="B333" t="s">
        <v>557</v>
      </c>
      <c r="C333" t="s">
        <v>3001</v>
      </c>
    </row>
    <row r="334" spans="1:3" x14ac:dyDescent="0.35">
      <c r="A334">
        <v>12013</v>
      </c>
      <c r="B334" t="s">
        <v>233</v>
      </c>
      <c r="C334" t="s">
        <v>3001</v>
      </c>
    </row>
    <row r="335" spans="1:3" x14ac:dyDescent="0.35">
      <c r="A335">
        <v>12015</v>
      </c>
      <c r="B335" t="s">
        <v>562</v>
      </c>
      <c r="C335" t="s">
        <v>3001</v>
      </c>
    </row>
    <row r="336" spans="1:3" x14ac:dyDescent="0.35">
      <c r="A336">
        <v>12017</v>
      </c>
      <c r="B336" t="s">
        <v>565</v>
      </c>
      <c r="C336" t="s">
        <v>3001</v>
      </c>
    </row>
    <row r="337" spans="1:3" x14ac:dyDescent="0.35">
      <c r="A337">
        <v>12019</v>
      </c>
      <c r="B337" t="s">
        <v>329</v>
      </c>
      <c r="C337" t="s">
        <v>3001</v>
      </c>
    </row>
    <row r="338" spans="1:3" x14ac:dyDescent="0.35">
      <c r="A338">
        <v>12021</v>
      </c>
      <c r="B338" t="s">
        <v>570</v>
      </c>
      <c r="C338" t="s">
        <v>3001</v>
      </c>
    </row>
    <row r="339" spans="1:3" x14ac:dyDescent="0.35">
      <c r="A339">
        <v>12023</v>
      </c>
      <c r="B339" t="s">
        <v>508</v>
      </c>
      <c r="C339" t="s">
        <v>3001</v>
      </c>
    </row>
    <row r="340" spans="1:3" x14ac:dyDescent="0.35">
      <c r="A340">
        <v>12027</v>
      </c>
      <c r="B340" t="s">
        <v>1209</v>
      </c>
      <c r="C340" t="s">
        <v>3001</v>
      </c>
    </row>
    <row r="341" spans="1:3" x14ac:dyDescent="0.35">
      <c r="A341">
        <v>12029</v>
      </c>
      <c r="B341" t="s">
        <v>579</v>
      </c>
      <c r="C341" t="s">
        <v>3001</v>
      </c>
    </row>
    <row r="342" spans="1:3" x14ac:dyDescent="0.35">
      <c r="A342">
        <v>12031</v>
      </c>
      <c r="B342" t="s">
        <v>583</v>
      </c>
      <c r="C342" t="s">
        <v>3001</v>
      </c>
    </row>
    <row r="343" spans="1:3" x14ac:dyDescent="0.35">
      <c r="A343">
        <v>12033</v>
      </c>
      <c r="B343" t="s">
        <v>351</v>
      </c>
      <c r="C343" t="s">
        <v>3001</v>
      </c>
    </row>
    <row r="344" spans="1:3" x14ac:dyDescent="0.35">
      <c r="A344">
        <v>12035</v>
      </c>
      <c r="B344" t="s">
        <v>590</v>
      </c>
      <c r="C344" t="s">
        <v>3001</v>
      </c>
    </row>
    <row r="345" spans="1:3" x14ac:dyDescent="0.35">
      <c r="A345">
        <v>12037</v>
      </c>
      <c r="B345" t="s">
        <v>355</v>
      </c>
      <c r="C345" t="s">
        <v>3001</v>
      </c>
    </row>
    <row r="346" spans="1:3" x14ac:dyDescent="0.35">
      <c r="A346">
        <v>12039</v>
      </c>
      <c r="B346" t="s">
        <v>597</v>
      </c>
      <c r="C346" t="s">
        <v>3001</v>
      </c>
    </row>
    <row r="347" spans="1:3" x14ac:dyDescent="0.35">
      <c r="A347">
        <v>12041</v>
      </c>
      <c r="B347" t="s">
        <v>601</v>
      </c>
      <c r="C347" t="s">
        <v>3001</v>
      </c>
    </row>
    <row r="348" spans="1:3" x14ac:dyDescent="0.35">
      <c r="A348">
        <v>12043</v>
      </c>
      <c r="B348" t="s">
        <v>605</v>
      </c>
      <c r="C348" t="s">
        <v>3001</v>
      </c>
    </row>
    <row r="349" spans="1:3" x14ac:dyDescent="0.35">
      <c r="A349">
        <v>12045</v>
      </c>
      <c r="B349" t="s">
        <v>609</v>
      </c>
      <c r="C349" t="s">
        <v>3001</v>
      </c>
    </row>
    <row r="350" spans="1:3" x14ac:dyDescent="0.35">
      <c r="A350">
        <v>12047</v>
      </c>
      <c r="B350" t="s">
        <v>613</v>
      </c>
      <c r="C350" t="s">
        <v>3001</v>
      </c>
    </row>
    <row r="351" spans="1:3" x14ac:dyDescent="0.35">
      <c r="A351">
        <v>12049</v>
      </c>
      <c r="B351" t="s">
        <v>617</v>
      </c>
      <c r="C351" t="s">
        <v>3001</v>
      </c>
    </row>
    <row r="352" spans="1:3" x14ac:dyDescent="0.35">
      <c r="A352">
        <v>12051</v>
      </c>
      <c r="B352" t="s">
        <v>621</v>
      </c>
      <c r="C352" t="s">
        <v>3001</v>
      </c>
    </row>
    <row r="353" spans="1:3" x14ac:dyDescent="0.35">
      <c r="A353">
        <v>12053</v>
      </c>
      <c r="B353" t="s">
        <v>625</v>
      </c>
      <c r="C353" t="s">
        <v>3001</v>
      </c>
    </row>
    <row r="354" spans="1:3" x14ac:dyDescent="0.35">
      <c r="A354">
        <v>12055</v>
      </c>
      <c r="B354" t="s">
        <v>629</v>
      </c>
      <c r="C354" t="s">
        <v>3001</v>
      </c>
    </row>
    <row r="355" spans="1:3" x14ac:dyDescent="0.35">
      <c r="A355">
        <v>12057</v>
      </c>
      <c r="B355" t="s">
        <v>633</v>
      </c>
      <c r="C355" t="s">
        <v>3001</v>
      </c>
    </row>
    <row r="356" spans="1:3" x14ac:dyDescent="0.35">
      <c r="A356">
        <v>12059</v>
      </c>
      <c r="B356" t="s">
        <v>637</v>
      </c>
      <c r="C356" t="s">
        <v>3001</v>
      </c>
    </row>
    <row r="357" spans="1:3" x14ac:dyDescent="0.35">
      <c r="A357">
        <v>12061</v>
      </c>
      <c r="B357" t="s">
        <v>641</v>
      </c>
      <c r="C357" t="s">
        <v>3001</v>
      </c>
    </row>
    <row r="358" spans="1:3" x14ac:dyDescent="0.35">
      <c r="A358">
        <v>12063</v>
      </c>
      <c r="B358" t="s">
        <v>357</v>
      </c>
      <c r="C358" t="s">
        <v>3001</v>
      </c>
    </row>
    <row r="359" spans="1:3" x14ac:dyDescent="0.35">
      <c r="A359">
        <v>12065</v>
      </c>
      <c r="B359" t="s">
        <v>247</v>
      </c>
      <c r="C359" t="s">
        <v>3001</v>
      </c>
    </row>
    <row r="360" spans="1:3" x14ac:dyDescent="0.35">
      <c r="A360">
        <v>12067</v>
      </c>
      <c r="B360" t="s">
        <v>504</v>
      </c>
      <c r="C360" t="s">
        <v>3001</v>
      </c>
    </row>
    <row r="361" spans="1:3" x14ac:dyDescent="0.35">
      <c r="A361">
        <v>12069</v>
      </c>
      <c r="B361" t="s">
        <v>654</v>
      </c>
      <c r="C361" t="s">
        <v>3001</v>
      </c>
    </row>
    <row r="362" spans="1:3" x14ac:dyDescent="0.35">
      <c r="A362">
        <v>12071</v>
      </c>
      <c r="B362" t="s">
        <v>237</v>
      </c>
      <c r="C362" t="s">
        <v>3001</v>
      </c>
    </row>
    <row r="363" spans="1:3" x14ac:dyDescent="0.35">
      <c r="A363">
        <v>12073</v>
      </c>
      <c r="B363" t="s">
        <v>661</v>
      </c>
      <c r="C363" t="s">
        <v>3001</v>
      </c>
    </row>
    <row r="364" spans="1:3" x14ac:dyDescent="0.35">
      <c r="A364">
        <v>12075</v>
      </c>
      <c r="B364" t="s">
        <v>665</v>
      </c>
      <c r="C364" t="s">
        <v>3001</v>
      </c>
    </row>
    <row r="365" spans="1:3" x14ac:dyDescent="0.35">
      <c r="A365">
        <v>12077</v>
      </c>
      <c r="B365" t="s">
        <v>669</v>
      </c>
      <c r="C365" t="s">
        <v>3001</v>
      </c>
    </row>
    <row r="366" spans="1:3" x14ac:dyDescent="0.35">
      <c r="A366">
        <v>12079</v>
      </c>
      <c r="B366" t="s">
        <v>287</v>
      </c>
      <c r="C366" t="s">
        <v>3001</v>
      </c>
    </row>
    <row r="367" spans="1:3" x14ac:dyDescent="0.35">
      <c r="A367">
        <v>12081</v>
      </c>
      <c r="B367" t="s">
        <v>676</v>
      </c>
      <c r="C367" t="s">
        <v>3001</v>
      </c>
    </row>
    <row r="368" spans="1:3" x14ac:dyDescent="0.35">
      <c r="A368">
        <v>12083</v>
      </c>
      <c r="B368" t="s">
        <v>365</v>
      </c>
      <c r="C368" t="s">
        <v>3001</v>
      </c>
    </row>
    <row r="369" spans="1:3" x14ac:dyDescent="0.35">
      <c r="A369">
        <v>12085</v>
      </c>
      <c r="B369" t="s">
        <v>683</v>
      </c>
      <c r="C369" t="s">
        <v>3001</v>
      </c>
    </row>
    <row r="370" spans="1:3" x14ac:dyDescent="0.35">
      <c r="A370">
        <v>12086</v>
      </c>
      <c r="B370" t="s">
        <v>687</v>
      </c>
      <c r="C370" t="s">
        <v>3001</v>
      </c>
    </row>
    <row r="371" spans="1:3" x14ac:dyDescent="0.35">
      <c r="A371">
        <v>12087</v>
      </c>
      <c r="B371" t="s">
        <v>369</v>
      </c>
      <c r="C371" t="s">
        <v>3001</v>
      </c>
    </row>
    <row r="372" spans="1:3" x14ac:dyDescent="0.35">
      <c r="A372">
        <v>12089</v>
      </c>
      <c r="B372" t="s">
        <v>694</v>
      </c>
      <c r="C372" t="s">
        <v>3001</v>
      </c>
    </row>
    <row r="373" spans="1:3" x14ac:dyDescent="0.35">
      <c r="A373">
        <v>12091</v>
      </c>
      <c r="B373" t="s">
        <v>698</v>
      </c>
      <c r="C373" t="s">
        <v>3001</v>
      </c>
    </row>
    <row r="374" spans="1:3" x14ac:dyDescent="0.35">
      <c r="A374">
        <v>12093</v>
      </c>
      <c r="B374" t="s">
        <v>702</v>
      </c>
      <c r="C374" t="s">
        <v>3001</v>
      </c>
    </row>
    <row r="375" spans="1:3" x14ac:dyDescent="0.35">
      <c r="A375">
        <v>12095</v>
      </c>
      <c r="B375" t="s">
        <v>706</v>
      </c>
      <c r="C375" t="s">
        <v>3001</v>
      </c>
    </row>
    <row r="376" spans="1:3" x14ac:dyDescent="0.35">
      <c r="A376">
        <v>12097</v>
      </c>
      <c r="B376" t="s">
        <v>710</v>
      </c>
      <c r="C376" t="s">
        <v>3001</v>
      </c>
    </row>
    <row r="377" spans="1:3" x14ac:dyDescent="0.35">
      <c r="A377">
        <v>12099</v>
      </c>
      <c r="B377" t="s">
        <v>714</v>
      </c>
      <c r="C377" t="s">
        <v>3001</v>
      </c>
    </row>
    <row r="378" spans="1:3" x14ac:dyDescent="0.35">
      <c r="A378">
        <v>12101</v>
      </c>
      <c r="B378" t="s">
        <v>718</v>
      </c>
      <c r="C378" t="s">
        <v>3001</v>
      </c>
    </row>
    <row r="379" spans="1:3" x14ac:dyDescent="0.35">
      <c r="A379">
        <v>12103</v>
      </c>
      <c r="B379" t="s">
        <v>722</v>
      </c>
      <c r="C379" t="s">
        <v>3001</v>
      </c>
    </row>
    <row r="380" spans="1:3" x14ac:dyDescent="0.35">
      <c r="A380">
        <v>12105</v>
      </c>
      <c r="B380" t="s">
        <v>530</v>
      </c>
      <c r="C380" t="s">
        <v>3001</v>
      </c>
    </row>
    <row r="381" spans="1:3" x14ac:dyDescent="0.35">
      <c r="A381">
        <v>12107</v>
      </c>
      <c r="B381" t="s">
        <v>729</v>
      </c>
      <c r="C381" t="s">
        <v>3001</v>
      </c>
    </row>
    <row r="382" spans="1:3" x14ac:dyDescent="0.35">
      <c r="A382">
        <v>12109</v>
      </c>
      <c r="B382" t="s">
        <v>745</v>
      </c>
      <c r="C382" t="s">
        <v>3001</v>
      </c>
    </row>
    <row r="383" spans="1:3" x14ac:dyDescent="0.35">
      <c r="A383">
        <v>12111</v>
      </c>
      <c r="B383" t="s">
        <v>749</v>
      </c>
      <c r="C383" t="s">
        <v>3001</v>
      </c>
    </row>
    <row r="384" spans="1:3" x14ac:dyDescent="0.35">
      <c r="A384">
        <v>12113</v>
      </c>
      <c r="B384" t="s">
        <v>733</v>
      </c>
      <c r="C384" t="s">
        <v>3001</v>
      </c>
    </row>
    <row r="385" spans="1:3" x14ac:dyDescent="0.35">
      <c r="A385">
        <v>12115</v>
      </c>
      <c r="B385" t="s">
        <v>737</v>
      </c>
      <c r="C385" t="s">
        <v>3001</v>
      </c>
    </row>
    <row r="386" spans="1:3" x14ac:dyDescent="0.35">
      <c r="A386">
        <v>12117</v>
      </c>
      <c r="B386" t="s">
        <v>741</v>
      </c>
      <c r="C386" t="s">
        <v>3001</v>
      </c>
    </row>
    <row r="387" spans="1:3" x14ac:dyDescent="0.35">
      <c r="A387">
        <v>12119</v>
      </c>
      <c r="B387" t="s">
        <v>379</v>
      </c>
      <c r="C387" t="s">
        <v>3001</v>
      </c>
    </row>
    <row r="388" spans="1:3" x14ac:dyDescent="0.35">
      <c r="A388">
        <v>12121</v>
      </c>
      <c r="B388" t="s">
        <v>756</v>
      </c>
      <c r="C388" t="s">
        <v>3001</v>
      </c>
    </row>
    <row r="389" spans="1:3" x14ac:dyDescent="0.35">
      <c r="A389">
        <v>12123</v>
      </c>
      <c r="B389" t="s">
        <v>760</v>
      </c>
      <c r="C389" t="s">
        <v>3001</v>
      </c>
    </row>
    <row r="390" spans="1:3" x14ac:dyDescent="0.35">
      <c r="A390">
        <v>12125</v>
      </c>
      <c r="B390" t="s">
        <v>518</v>
      </c>
      <c r="C390" t="s">
        <v>3001</v>
      </c>
    </row>
    <row r="391" spans="1:3" x14ac:dyDescent="0.35">
      <c r="A391">
        <v>12127</v>
      </c>
      <c r="B391" t="s">
        <v>767</v>
      </c>
      <c r="C391" t="s">
        <v>3001</v>
      </c>
    </row>
    <row r="392" spans="1:3" x14ac:dyDescent="0.35">
      <c r="A392">
        <v>12129</v>
      </c>
      <c r="B392" t="s">
        <v>771</v>
      </c>
      <c r="C392" t="s">
        <v>3001</v>
      </c>
    </row>
    <row r="393" spans="1:3" x14ac:dyDescent="0.35">
      <c r="A393">
        <v>12131</v>
      </c>
      <c r="B393" t="s">
        <v>775</v>
      </c>
      <c r="C393" t="s">
        <v>3001</v>
      </c>
    </row>
    <row r="394" spans="1:3" x14ac:dyDescent="0.35">
      <c r="A394">
        <v>12133</v>
      </c>
      <c r="B394" t="s">
        <v>385</v>
      </c>
      <c r="C394" t="s">
        <v>3001</v>
      </c>
    </row>
    <row r="395" spans="1:3" x14ac:dyDescent="0.35">
      <c r="A395">
        <v>13001</v>
      </c>
      <c r="B395" t="s">
        <v>1005</v>
      </c>
      <c r="C395" t="s">
        <v>3002</v>
      </c>
    </row>
    <row r="396" spans="1:3" x14ac:dyDescent="0.35">
      <c r="A396">
        <v>13003</v>
      </c>
      <c r="B396" t="s">
        <v>956</v>
      </c>
      <c r="C396" t="s">
        <v>3002</v>
      </c>
    </row>
    <row r="397" spans="1:3" x14ac:dyDescent="0.35">
      <c r="A397">
        <v>13005</v>
      </c>
      <c r="B397" t="s">
        <v>878</v>
      </c>
      <c r="C397" t="s">
        <v>3002</v>
      </c>
    </row>
    <row r="398" spans="1:3" x14ac:dyDescent="0.35">
      <c r="A398">
        <v>13007</v>
      </c>
      <c r="B398" t="s">
        <v>545</v>
      </c>
      <c r="C398" t="s">
        <v>3002</v>
      </c>
    </row>
    <row r="399" spans="1:3" x14ac:dyDescent="0.35">
      <c r="A399">
        <v>13009</v>
      </c>
      <c r="B399" t="s">
        <v>313</v>
      </c>
      <c r="C399" t="s">
        <v>3002</v>
      </c>
    </row>
    <row r="400" spans="1:3" x14ac:dyDescent="0.35">
      <c r="A400">
        <v>13011</v>
      </c>
      <c r="B400" t="s">
        <v>934</v>
      </c>
      <c r="C400" t="s">
        <v>3002</v>
      </c>
    </row>
    <row r="401" spans="1:3" x14ac:dyDescent="0.35">
      <c r="A401">
        <v>13013</v>
      </c>
      <c r="B401" t="s">
        <v>802</v>
      </c>
      <c r="C401" t="s">
        <v>3002</v>
      </c>
    </row>
    <row r="402" spans="1:3" x14ac:dyDescent="0.35">
      <c r="A402">
        <v>13015</v>
      </c>
      <c r="B402" t="s">
        <v>816</v>
      </c>
      <c r="C402" t="s">
        <v>3002</v>
      </c>
    </row>
    <row r="403" spans="1:3" x14ac:dyDescent="0.35">
      <c r="A403">
        <v>13017</v>
      </c>
      <c r="B403" t="s">
        <v>1027</v>
      </c>
      <c r="C403" t="s">
        <v>3002</v>
      </c>
    </row>
    <row r="404" spans="1:3" x14ac:dyDescent="0.35">
      <c r="A404">
        <v>13019</v>
      </c>
      <c r="B404" t="s">
        <v>1029</v>
      </c>
      <c r="C404" t="s">
        <v>3002</v>
      </c>
    </row>
    <row r="405" spans="1:3" x14ac:dyDescent="0.35">
      <c r="A405">
        <v>13021</v>
      </c>
      <c r="B405" t="s">
        <v>241</v>
      </c>
      <c r="C405" t="s">
        <v>3002</v>
      </c>
    </row>
    <row r="406" spans="1:3" x14ac:dyDescent="0.35">
      <c r="A406">
        <v>13023</v>
      </c>
      <c r="B406" t="s">
        <v>975</v>
      </c>
      <c r="C406" t="s">
        <v>3002</v>
      </c>
    </row>
    <row r="407" spans="1:3" x14ac:dyDescent="0.35">
      <c r="A407">
        <v>13025</v>
      </c>
      <c r="B407" t="s">
        <v>880</v>
      </c>
      <c r="C407" t="s">
        <v>3002</v>
      </c>
    </row>
    <row r="408" spans="1:3" x14ac:dyDescent="0.35">
      <c r="A408">
        <v>13027</v>
      </c>
      <c r="B408" t="s">
        <v>1031</v>
      </c>
      <c r="C408" t="s">
        <v>3002</v>
      </c>
    </row>
    <row r="409" spans="1:3" x14ac:dyDescent="0.35">
      <c r="A409">
        <v>13029</v>
      </c>
      <c r="B409" t="s">
        <v>1007</v>
      </c>
      <c r="C409" t="s">
        <v>3002</v>
      </c>
    </row>
    <row r="410" spans="1:3" x14ac:dyDescent="0.35">
      <c r="A410">
        <v>13031</v>
      </c>
      <c r="B410" t="s">
        <v>1009</v>
      </c>
      <c r="C410" t="s">
        <v>3002</v>
      </c>
    </row>
    <row r="411" spans="1:3" x14ac:dyDescent="0.35">
      <c r="A411">
        <v>13033</v>
      </c>
      <c r="B411" t="s">
        <v>856</v>
      </c>
      <c r="C411" t="s">
        <v>3002</v>
      </c>
    </row>
    <row r="412" spans="1:3" x14ac:dyDescent="0.35">
      <c r="A412">
        <v>13035</v>
      </c>
      <c r="B412" t="s">
        <v>818</v>
      </c>
      <c r="C412" t="s">
        <v>3002</v>
      </c>
    </row>
    <row r="413" spans="1:3" x14ac:dyDescent="0.35">
      <c r="A413">
        <v>13037</v>
      </c>
      <c r="B413" t="s">
        <v>233</v>
      </c>
      <c r="C413" t="s">
        <v>3002</v>
      </c>
    </row>
    <row r="414" spans="1:3" x14ac:dyDescent="0.35">
      <c r="A414">
        <v>13039</v>
      </c>
      <c r="B414" t="s">
        <v>882</v>
      </c>
      <c r="C414" t="s">
        <v>3002</v>
      </c>
    </row>
    <row r="415" spans="1:3" x14ac:dyDescent="0.35">
      <c r="A415">
        <v>13043</v>
      </c>
      <c r="B415" t="s">
        <v>1011</v>
      </c>
      <c r="C415" t="s">
        <v>3002</v>
      </c>
    </row>
    <row r="416" spans="1:3" x14ac:dyDescent="0.35">
      <c r="A416">
        <v>13045</v>
      </c>
      <c r="B416" t="s">
        <v>463</v>
      </c>
      <c r="C416" t="s">
        <v>3002</v>
      </c>
    </row>
    <row r="417" spans="1:3" x14ac:dyDescent="0.35">
      <c r="A417">
        <v>13047</v>
      </c>
      <c r="B417" t="s">
        <v>897</v>
      </c>
      <c r="C417" t="s">
        <v>3002</v>
      </c>
    </row>
    <row r="418" spans="1:3" x14ac:dyDescent="0.35">
      <c r="A418">
        <v>13049</v>
      </c>
      <c r="B418" t="s">
        <v>884</v>
      </c>
      <c r="C418" t="s">
        <v>3002</v>
      </c>
    </row>
    <row r="419" spans="1:3" x14ac:dyDescent="0.35">
      <c r="A419">
        <v>13051</v>
      </c>
      <c r="B419" t="s">
        <v>1013</v>
      </c>
      <c r="C419" t="s">
        <v>3002</v>
      </c>
    </row>
    <row r="420" spans="1:3" x14ac:dyDescent="0.35">
      <c r="A420">
        <v>13053</v>
      </c>
      <c r="B420" t="s">
        <v>903</v>
      </c>
      <c r="C420" t="s">
        <v>3002</v>
      </c>
    </row>
    <row r="421" spans="1:3" x14ac:dyDescent="0.35">
      <c r="A421">
        <v>13055</v>
      </c>
      <c r="B421" t="s">
        <v>994</v>
      </c>
      <c r="C421" t="s">
        <v>3002</v>
      </c>
    </row>
    <row r="422" spans="1:3" x14ac:dyDescent="0.35">
      <c r="A422">
        <v>13057</v>
      </c>
      <c r="B422" t="s">
        <v>323</v>
      </c>
      <c r="C422" t="s">
        <v>3002</v>
      </c>
    </row>
    <row r="423" spans="1:3" x14ac:dyDescent="0.35">
      <c r="A423">
        <v>13059</v>
      </c>
      <c r="B423" t="s">
        <v>327</v>
      </c>
      <c r="C423" t="s">
        <v>3002</v>
      </c>
    </row>
    <row r="424" spans="1:3" x14ac:dyDescent="0.35">
      <c r="A424">
        <v>13061</v>
      </c>
      <c r="B424" t="s">
        <v>329</v>
      </c>
      <c r="C424" t="s">
        <v>3002</v>
      </c>
    </row>
    <row r="425" spans="1:3" x14ac:dyDescent="0.35">
      <c r="A425">
        <v>13063</v>
      </c>
      <c r="B425" t="s">
        <v>821</v>
      </c>
      <c r="C425" t="s">
        <v>3002</v>
      </c>
    </row>
    <row r="426" spans="1:3" x14ac:dyDescent="0.35">
      <c r="A426">
        <v>13065</v>
      </c>
      <c r="B426" t="s">
        <v>1033</v>
      </c>
      <c r="C426" t="s">
        <v>3002</v>
      </c>
    </row>
    <row r="427" spans="1:3" x14ac:dyDescent="0.35">
      <c r="A427">
        <v>13067</v>
      </c>
      <c r="B427" t="s">
        <v>823</v>
      </c>
      <c r="C427" t="s">
        <v>3002</v>
      </c>
    </row>
    <row r="428" spans="1:3" x14ac:dyDescent="0.35">
      <c r="A428">
        <v>13069</v>
      </c>
      <c r="B428" t="s">
        <v>333</v>
      </c>
      <c r="C428" t="s">
        <v>3002</v>
      </c>
    </row>
    <row r="429" spans="1:3" x14ac:dyDescent="0.35">
      <c r="A429">
        <v>13071</v>
      </c>
      <c r="B429" t="s">
        <v>1035</v>
      </c>
      <c r="C429" t="s">
        <v>3002</v>
      </c>
    </row>
    <row r="430" spans="1:3" x14ac:dyDescent="0.35">
      <c r="A430">
        <v>13073</v>
      </c>
      <c r="B430" t="s">
        <v>508</v>
      </c>
      <c r="C430" t="s">
        <v>3002</v>
      </c>
    </row>
    <row r="431" spans="1:3" x14ac:dyDescent="0.35">
      <c r="A431">
        <v>13075</v>
      </c>
      <c r="B431" t="s">
        <v>1037</v>
      </c>
      <c r="C431" t="s">
        <v>3002</v>
      </c>
    </row>
    <row r="432" spans="1:3" x14ac:dyDescent="0.35">
      <c r="A432">
        <v>13077</v>
      </c>
      <c r="B432" t="s">
        <v>825</v>
      </c>
      <c r="C432" t="s">
        <v>3002</v>
      </c>
    </row>
    <row r="433" spans="1:3" x14ac:dyDescent="0.35">
      <c r="A433">
        <v>13079</v>
      </c>
      <c r="B433" t="s">
        <v>526</v>
      </c>
      <c r="C433" t="s">
        <v>3002</v>
      </c>
    </row>
    <row r="434" spans="1:3" x14ac:dyDescent="0.35">
      <c r="A434">
        <v>13081</v>
      </c>
      <c r="B434" t="s">
        <v>786</v>
      </c>
      <c r="C434" t="s">
        <v>3002</v>
      </c>
    </row>
    <row r="435" spans="1:3" x14ac:dyDescent="0.35">
      <c r="A435">
        <v>13083</v>
      </c>
      <c r="B435" t="s">
        <v>899</v>
      </c>
      <c r="C435" t="s">
        <v>3002</v>
      </c>
    </row>
    <row r="436" spans="1:3" x14ac:dyDescent="0.35">
      <c r="A436">
        <v>13085</v>
      </c>
      <c r="B436" t="s">
        <v>936</v>
      </c>
      <c r="C436" t="s">
        <v>3002</v>
      </c>
    </row>
    <row r="437" spans="1:3" x14ac:dyDescent="0.35">
      <c r="A437">
        <v>13087</v>
      </c>
      <c r="B437" t="s">
        <v>1039</v>
      </c>
      <c r="C437" t="s">
        <v>3002</v>
      </c>
    </row>
    <row r="438" spans="1:3" x14ac:dyDescent="0.35">
      <c r="A438">
        <v>13089</v>
      </c>
      <c r="B438" t="s">
        <v>349</v>
      </c>
      <c r="C438" t="s">
        <v>3002</v>
      </c>
    </row>
    <row r="439" spans="1:3" x14ac:dyDescent="0.35">
      <c r="A439">
        <v>13091</v>
      </c>
      <c r="B439" t="s">
        <v>978</v>
      </c>
      <c r="C439" t="s">
        <v>3002</v>
      </c>
    </row>
    <row r="440" spans="1:3" x14ac:dyDescent="0.35">
      <c r="A440">
        <v>13093</v>
      </c>
      <c r="B440" t="s">
        <v>980</v>
      </c>
      <c r="C440" t="s">
        <v>3002</v>
      </c>
    </row>
    <row r="441" spans="1:3" x14ac:dyDescent="0.35">
      <c r="A441">
        <v>13095</v>
      </c>
      <c r="B441" t="s">
        <v>788</v>
      </c>
      <c r="C441" t="s">
        <v>3002</v>
      </c>
    </row>
    <row r="442" spans="1:3" x14ac:dyDescent="0.35">
      <c r="A442">
        <v>13097</v>
      </c>
      <c r="B442" t="s">
        <v>828</v>
      </c>
      <c r="C442" t="s">
        <v>3002</v>
      </c>
    </row>
    <row r="443" spans="1:3" x14ac:dyDescent="0.35">
      <c r="A443">
        <v>13099</v>
      </c>
      <c r="B443" t="s">
        <v>1041</v>
      </c>
      <c r="C443" t="s">
        <v>3002</v>
      </c>
    </row>
    <row r="444" spans="1:3" x14ac:dyDescent="0.35">
      <c r="A444">
        <v>13101</v>
      </c>
      <c r="B444" t="s">
        <v>1043</v>
      </c>
      <c r="C444" t="s">
        <v>3002</v>
      </c>
    </row>
    <row r="445" spans="1:3" x14ac:dyDescent="0.35">
      <c r="A445">
        <v>13103</v>
      </c>
      <c r="B445" t="s">
        <v>1015</v>
      </c>
      <c r="C445" t="s">
        <v>3002</v>
      </c>
    </row>
    <row r="446" spans="1:3" x14ac:dyDescent="0.35">
      <c r="A446">
        <v>13105</v>
      </c>
      <c r="B446" t="s">
        <v>805</v>
      </c>
      <c r="C446" t="s">
        <v>3002</v>
      </c>
    </row>
    <row r="447" spans="1:3" x14ac:dyDescent="0.35">
      <c r="A447">
        <v>13107</v>
      </c>
      <c r="B447" t="s">
        <v>859</v>
      </c>
      <c r="C447" t="s">
        <v>3002</v>
      </c>
    </row>
    <row r="448" spans="1:3" x14ac:dyDescent="0.35">
      <c r="A448">
        <v>13109</v>
      </c>
      <c r="B448" t="s">
        <v>1017</v>
      </c>
      <c r="C448" t="s">
        <v>3002</v>
      </c>
    </row>
    <row r="449" spans="1:3" x14ac:dyDescent="0.35">
      <c r="A449">
        <v>13111</v>
      </c>
      <c r="B449" t="s">
        <v>927</v>
      </c>
      <c r="C449" t="s">
        <v>3002</v>
      </c>
    </row>
    <row r="450" spans="1:3" x14ac:dyDescent="0.35">
      <c r="A450">
        <v>13113</v>
      </c>
      <c r="B450" t="s">
        <v>353</v>
      </c>
      <c r="C450" t="s">
        <v>3002</v>
      </c>
    </row>
    <row r="451" spans="1:3" x14ac:dyDescent="0.35">
      <c r="A451">
        <v>13115</v>
      </c>
      <c r="B451" t="s">
        <v>996</v>
      </c>
      <c r="C451" t="s">
        <v>3002</v>
      </c>
    </row>
    <row r="452" spans="1:3" x14ac:dyDescent="0.35">
      <c r="A452">
        <v>13117</v>
      </c>
      <c r="B452" t="s">
        <v>831</v>
      </c>
      <c r="C452" t="s">
        <v>3002</v>
      </c>
    </row>
    <row r="453" spans="1:3" x14ac:dyDescent="0.35">
      <c r="A453">
        <v>13119</v>
      </c>
      <c r="B453" t="s">
        <v>355</v>
      </c>
      <c r="C453" t="s">
        <v>3002</v>
      </c>
    </row>
    <row r="454" spans="1:3" x14ac:dyDescent="0.35">
      <c r="A454">
        <v>13121</v>
      </c>
      <c r="B454" t="s">
        <v>422</v>
      </c>
      <c r="C454" t="s">
        <v>3002</v>
      </c>
    </row>
    <row r="455" spans="1:3" x14ac:dyDescent="0.35">
      <c r="A455">
        <v>13123</v>
      </c>
      <c r="B455" t="s">
        <v>998</v>
      </c>
      <c r="C455" t="s">
        <v>3002</v>
      </c>
    </row>
    <row r="456" spans="1:3" x14ac:dyDescent="0.35">
      <c r="A456">
        <v>13125</v>
      </c>
      <c r="B456" t="s">
        <v>861</v>
      </c>
      <c r="C456" t="s">
        <v>3002</v>
      </c>
    </row>
    <row r="457" spans="1:3" x14ac:dyDescent="0.35">
      <c r="A457">
        <v>13127</v>
      </c>
      <c r="B457" t="s">
        <v>886</v>
      </c>
      <c r="C457" t="s">
        <v>3002</v>
      </c>
    </row>
    <row r="458" spans="1:3" x14ac:dyDescent="0.35">
      <c r="A458">
        <v>13129</v>
      </c>
      <c r="B458" t="s">
        <v>1000</v>
      </c>
      <c r="C458" t="s">
        <v>3002</v>
      </c>
    </row>
    <row r="459" spans="1:3" x14ac:dyDescent="0.35">
      <c r="A459">
        <v>13131</v>
      </c>
      <c r="B459" t="s">
        <v>1045</v>
      </c>
      <c r="C459" t="s">
        <v>3002</v>
      </c>
    </row>
    <row r="460" spans="1:3" x14ac:dyDescent="0.35">
      <c r="A460">
        <v>13133</v>
      </c>
      <c r="B460" t="s">
        <v>305</v>
      </c>
      <c r="C460" t="s">
        <v>3002</v>
      </c>
    </row>
    <row r="461" spans="1:3" x14ac:dyDescent="0.35">
      <c r="A461">
        <v>13135</v>
      </c>
      <c r="B461" t="s">
        <v>834</v>
      </c>
      <c r="C461" t="s">
        <v>3002</v>
      </c>
    </row>
    <row r="462" spans="1:3" x14ac:dyDescent="0.35">
      <c r="A462">
        <v>13137</v>
      </c>
      <c r="B462" t="s">
        <v>939</v>
      </c>
      <c r="C462" t="s">
        <v>3002</v>
      </c>
    </row>
    <row r="463" spans="1:3" x14ac:dyDescent="0.35">
      <c r="A463">
        <v>13139</v>
      </c>
      <c r="B463" t="s">
        <v>941</v>
      </c>
      <c r="C463" t="s">
        <v>3002</v>
      </c>
    </row>
    <row r="464" spans="1:3" x14ac:dyDescent="0.35">
      <c r="A464">
        <v>13141</v>
      </c>
      <c r="B464" t="s">
        <v>1062</v>
      </c>
      <c r="C464" t="s">
        <v>3002</v>
      </c>
    </row>
    <row r="465" spans="1:3" x14ac:dyDescent="0.35">
      <c r="A465">
        <v>13143</v>
      </c>
      <c r="B465" t="s">
        <v>3003</v>
      </c>
      <c r="C465" t="s">
        <v>3002</v>
      </c>
    </row>
    <row r="466" spans="1:3" x14ac:dyDescent="0.35">
      <c r="A466">
        <v>13145</v>
      </c>
      <c r="B466" t="s">
        <v>905</v>
      </c>
      <c r="C466" t="s">
        <v>3002</v>
      </c>
    </row>
    <row r="467" spans="1:3" x14ac:dyDescent="0.35">
      <c r="A467">
        <v>13147</v>
      </c>
      <c r="B467" t="s">
        <v>943</v>
      </c>
      <c r="C467" t="s">
        <v>3002</v>
      </c>
    </row>
    <row r="468" spans="1:3" x14ac:dyDescent="0.35">
      <c r="A468">
        <v>13149</v>
      </c>
      <c r="B468" t="s">
        <v>851</v>
      </c>
      <c r="C468" t="s">
        <v>3002</v>
      </c>
    </row>
    <row r="469" spans="1:3" x14ac:dyDescent="0.35">
      <c r="A469">
        <v>13151</v>
      </c>
      <c r="B469" t="s">
        <v>269</v>
      </c>
      <c r="C469" t="s">
        <v>3002</v>
      </c>
    </row>
    <row r="470" spans="1:3" x14ac:dyDescent="0.35">
      <c r="A470">
        <v>13153</v>
      </c>
      <c r="B470" t="s">
        <v>271</v>
      </c>
      <c r="C470" t="s">
        <v>3002</v>
      </c>
    </row>
    <row r="471" spans="1:3" x14ac:dyDescent="0.35">
      <c r="A471">
        <v>13155</v>
      </c>
      <c r="B471" t="s">
        <v>1047</v>
      </c>
      <c r="C471" t="s">
        <v>3002</v>
      </c>
    </row>
    <row r="472" spans="1:3" x14ac:dyDescent="0.35">
      <c r="A472">
        <v>13157</v>
      </c>
      <c r="B472" t="s">
        <v>357</v>
      </c>
      <c r="C472" t="s">
        <v>3002</v>
      </c>
    </row>
    <row r="473" spans="1:3" x14ac:dyDescent="0.35">
      <c r="A473">
        <v>13159</v>
      </c>
      <c r="B473" t="s">
        <v>837</v>
      </c>
      <c r="C473" t="s">
        <v>3002</v>
      </c>
    </row>
    <row r="474" spans="1:3" x14ac:dyDescent="0.35">
      <c r="A474">
        <v>13161</v>
      </c>
      <c r="B474" t="s">
        <v>959</v>
      </c>
      <c r="C474" t="s">
        <v>3002</v>
      </c>
    </row>
    <row r="475" spans="1:3" x14ac:dyDescent="0.35">
      <c r="A475">
        <v>13163</v>
      </c>
      <c r="B475" t="s">
        <v>247</v>
      </c>
      <c r="C475" t="s">
        <v>3002</v>
      </c>
    </row>
    <row r="476" spans="1:3" x14ac:dyDescent="0.35">
      <c r="A476">
        <v>13165</v>
      </c>
      <c r="B476" t="s">
        <v>864</v>
      </c>
      <c r="C476" t="s">
        <v>3002</v>
      </c>
    </row>
    <row r="477" spans="1:3" x14ac:dyDescent="0.35">
      <c r="A477">
        <v>13167</v>
      </c>
      <c r="B477" t="s">
        <v>535</v>
      </c>
      <c r="C477" t="s">
        <v>3002</v>
      </c>
    </row>
    <row r="478" spans="1:3" x14ac:dyDescent="0.35">
      <c r="A478">
        <v>13169</v>
      </c>
      <c r="B478" t="s">
        <v>983</v>
      </c>
      <c r="C478" t="s">
        <v>3002</v>
      </c>
    </row>
    <row r="479" spans="1:3" x14ac:dyDescent="0.35">
      <c r="A479">
        <v>13171</v>
      </c>
      <c r="B479" t="s">
        <v>359</v>
      </c>
      <c r="C479" t="s">
        <v>3002</v>
      </c>
    </row>
    <row r="480" spans="1:3" x14ac:dyDescent="0.35">
      <c r="A480">
        <v>13173</v>
      </c>
      <c r="B480" t="s">
        <v>1049</v>
      </c>
      <c r="C480" t="s">
        <v>3002</v>
      </c>
    </row>
    <row r="481" spans="1:3" x14ac:dyDescent="0.35">
      <c r="A481">
        <v>13175</v>
      </c>
      <c r="B481" t="s">
        <v>962</v>
      </c>
      <c r="C481" t="s">
        <v>3002</v>
      </c>
    </row>
    <row r="482" spans="1:3" x14ac:dyDescent="0.35">
      <c r="A482">
        <v>13177</v>
      </c>
      <c r="B482" t="s">
        <v>237</v>
      </c>
      <c r="C482" t="s">
        <v>3002</v>
      </c>
    </row>
    <row r="483" spans="1:3" x14ac:dyDescent="0.35">
      <c r="A483">
        <v>13179</v>
      </c>
      <c r="B483" t="s">
        <v>669</v>
      </c>
      <c r="C483" t="s">
        <v>3002</v>
      </c>
    </row>
    <row r="484" spans="1:3" x14ac:dyDescent="0.35">
      <c r="A484">
        <v>13181</v>
      </c>
      <c r="B484" t="s">
        <v>494</v>
      </c>
      <c r="C484" t="s">
        <v>3002</v>
      </c>
    </row>
    <row r="485" spans="1:3" x14ac:dyDescent="0.35">
      <c r="A485">
        <v>13183</v>
      </c>
      <c r="B485" t="s">
        <v>1020</v>
      </c>
      <c r="C485" t="s">
        <v>3002</v>
      </c>
    </row>
    <row r="486" spans="1:3" x14ac:dyDescent="0.35">
      <c r="A486">
        <v>13185</v>
      </c>
      <c r="B486" t="s">
        <v>299</v>
      </c>
      <c r="C486" t="s">
        <v>3002</v>
      </c>
    </row>
    <row r="487" spans="1:3" x14ac:dyDescent="0.35">
      <c r="A487">
        <v>13187</v>
      </c>
      <c r="B487" t="s">
        <v>945</v>
      </c>
      <c r="C487" t="s">
        <v>3002</v>
      </c>
    </row>
    <row r="488" spans="1:3" x14ac:dyDescent="0.35">
      <c r="A488">
        <v>13189</v>
      </c>
      <c r="B488" t="s">
        <v>867</v>
      </c>
      <c r="C488" t="s">
        <v>3002</v>
      </c>
    </row>
    <row r="489" spans="1:3" x14ac:dyDescent="0.35">
      <c r="A489">
        <v>13191</v>
      </c>
      <c r="B489" t="s">
        <v>888</v>
      </c>
      <c r="C489" t="s">
        <v>3002</v>
      </c>
    </row>
    <row r="490" spans="1:3" x14ac:dyDescent="0.35">
      <c r="A490">
        <v>13193</v>
      </c>
      <c r="B490" t="s">
        <v>361</v>
      </c>
      <c r="C490" t="s">
        <v>3002</v>
      </c>
    </row>
    <row r="491" spans="1:3" x14ac:dyDescent="0.35">
      <c r="A491">
        <v>13195</v>
      </c>
      <c r="B491" t="s">
        <v>287</v>
      </c>
      <c r="C491" t="s">
        <v>3002</v>
      </c>
    </row>
    <row r="492" spans="1:3" x14ac:dyDescent="0.35">
      <c r="A492">
        <v>13197</v>
      </c>
      <c r="B492" t="s">
        <v>365</v>
      </c>
      <c r="C492" t="s">
        <v>3002</v>
      </c>
    </row>
    <row r="493" spans="1:3" x14ac:dyDescent="0.35">
      <c r="A493">
        <v>13199</v>
      </c>
      <c r="B493" t="s">
        <v>909</v>
      </c>
      <c r="C493" t="s">
        <v>3002</v>
      </c>
    </row>
    <row r="494" spans="1:3" x14ac:dyDescent="0.35">
      <c r="A494">
        <v>13201</v>
      </c>
      <c r="B494" t="s">
        <v>516</v>
      </c>
      <c r="C494" t="s">
        <v>3002</v>
      </c>
    </row>
    <row r="495" spans="1:3" x14ac:dyDescent="0.35">
      <c r="A495">
        <v>13205</v>
      </c>
      <c r="B495" t="s">
        <v>791</v>
      </c>
      <c r="C495" t="s">
        <v>3002</v>
      </c>
    </row>
    <row r="496" spans="1:3" x14ac:dyDescent="0.35">
      <c r="A496">
        <v>13207</v>
      </c>
      <c r="B496" t="s">
        <v>369</v>
      </c>
      <c r="C496" t="s">
        <v>3002</v>
      </c>
    </row>
    <row r="497" spans="1:3" x14ac:dyDescent="0.35">
      <c r="A497">
        <v>13209</v>
      </c>
      <c r="B497" t="s">
        <v>301</v>
      </c>
      <c r="C497" t="s">
        <v>3002</v>
      </c>
    </row>
    <row r="498" spans="1:3" x14ac:dyDescent="0.35">
      <c r="A498">
        <v>13211</v>
      </c>
      <c r="B498" t="s">
        <v>263</v>
      </c>
      <c r="C498" t="s">
        <v>3002</v>
      </c>
    </row>
    <row r="499" spans="1:3" x14ac:dyDescent="0.35">
      <c r="A499">
        <v>13213</v>
      </c>
      <c r="B499" t="s">
        <v>929</v>
      </c>
      <c r="C499" t="s">
        <v>3002</v>
      </c>
    </row>
    <row r="500" spans="1:3" x14ac:dyDescent="0.35">
      <c r="A500">
        <v>13215</v>
      </c>
      <c r="B500" t="s">
        <v>911</v>
      </c>
      <c r="C500" t="s">
        <v>3002</v>
      </c>
    </row>
    <row r="501" spans="1:3" x14ac:dyDescent="0.35">
      <c r="A501">
        <v>13217</v>
      </c>
      <c r="B501" t="s">
        <v>461</v>
      </c>
      <c r="C501" t="s">
        <v>3002</v>
      </c>
    </row>
    <row r="502" spans="1:3" x14ac:dyDescent="0.35">
      <c r="A502">
        <v>13219</v>
      </c>
      <c r="B502" t="s">
        <v>811</v>
      </c>
      <c r="C502" t="s">
        <v>3002</v>
      </c>
    </row>
    <row r="503" spans="1:3" x14ac:dyDescent="0.35">
      <c r="A503">
        <v>13221</v>
      </c>
      <c r="B503" t="s">
        <v>813</v>
      </c>
      <c r="C503" t="s">
        <v>3002</v>
      </c>
    </row>
    <row r="504" spans="1:3" x14ac:dyDescent="0.35">
      <c r="A504">
        <v>13223</v>
      </c>
      <c r="B504" t="s">
        <v>841</v>
      </c>
      <c r="C504" t="s">
        <v>3002</v>
      </c>
    </row>
    <row r="505" spans="1:3" x14ac:dyDescent="0.35">
      <c r="A505">
        <v>13225</v>
      </c>
      <c r="B505" t="s">
        <v>986</v>
      </c>
      <c r="C505" t="s">
        <v>3002</v>
      </c>
    </row>
    <row r="506" spans="1:3" x14ac:dyDescent="0.35">
      <c r="A506">
        <v>13227</v>
      </c>
      <c r="B506" t="s">
        <v>373</v>
      </c>
      <c r="C506" t="s">
        <v>3002</v>
      </c>
    </row>
    <row r="507" spans="1:3" x14ac:dyDescent="0.35">
      <c r="A507">
        <v>13229</v>
      </c>
      <c r="B507" t="s">
        <v>890</v>
      </c>
      <c r="C507" t="s">
        <v>3002</v>
      </c>
    </row>
    <row r="508" spans="1:3" x14ac:dyDescent="0.35">
      <c r="A508">
        <v>13231</v>
      </c>
      <c r="B508" t="s">
        <v>375</v>
      </c>
      <c r="C508" t="s">
        <v>3002</v>
      </c>
    </row>
    <row r="509" spans="1:3" x14ac:dyDescent="0.35">
      <c r="A509">
        <v>13233</v>
      </c>
      <c r="B509" t="s">
        <v>530</v>
      </c>
      <c r="C509" t="s">
        <v>3002</v>
      </c>
    </row>
    <row r="510" spans="1:3" x14ac:dyDescent="0.35">
      <c r="A510">
        <v>13235</v>
      </c>
      <c r="B510" t="s">
        <v>398</v>
      </c>
      <c r="C510" t="s">
        <v>3002</v>
      </c>
    </row>
    <row r="511" spans="1:3" x14ac:dyDescent="0.35">
      <c r="A511">
        <v>13237</v>
      </c>
      <c r="B511" t="s">
        <v>729</v>
      </c>
      <c r="C511" t="s">
        <v>3002</v>
      </c>
    </row>
    <row r="512" spans="1:3" x14ac:dyDescent="0.35">
      <c r="A512">
        <v>13239</v>
      </c>
      <c r="B512" t="s">
        <v>913</v>
      </c>
      <c r="C512" t="s">
        <v>3002</v>
      </c>
    </row>
    <row r="513" spans="1:3" x14ac:dyDescent="0.35">
      <c r="A513">
        <v>13241</v>
      </c>
      <c r="B513" t="s">
        <v>947</v>
      </c>
      <c r="C513" t="s">
        <v>3002</v>
      </c>
    </row>
    <row r="514" spans="1:3" x14ac:dyDescent="0.35">
      <c r="A514">
        <v>13243</v>
      </c>
      <c r="B514" t="s">
        <v>377</v>
      </c>
      <c r="C514" t="s">
        <v>3002</v>
      </c>
    </row>
    <row r="515" spans="1:3" x14ac:dyDescent="0.35">
      <c r="A515">
        <v>13245</v>
      </c>
      <c r="B515" t="s">
        <v>869</v>
      </c>
      <c r="C515" t="s">
        <v>3002</v>
      </c>
    </row>
    <row r="516" spans="1:3" x14ac:dyDescent="0.35">
      <c r="A516">
        <v>13247</v>
      </c>
      <c r="B516" t="s">
        <v>844</v>
      </c>
      <c r="C516" t="s">
        <v>3002</v>
      </c>
    </row>
    <row r="517" spans="1:3" x14ac:dyDescent="0.35">
      <c r="A517">
        <v>13249</v>
      </c>
      <c r="B517" t="s">
        <v>794</v>
      </c>
      <c r="C517" t="s">
        <v>3002</v>
      </c>
    </row>
    <row r="518" spans="1:3" x14ac:dyDescent="0.35">
      <c r="A518">
        <v>13251</v>
      </c>
      <c r="B518" t="s">
        <v>1022</v>
      </c>
      <c r="C518" t="s">
        <v>3002</v>
      </c>
    </row>
    <row r="519" spans="1:3" x14ac:dyDescent="0.35">
      <c r="A519">
        <v>13253</v>
      </c>
      <c r="B519" t="s">
        <v>741</v>
      </c>
      <c r="C519" t="s">
        <v>3002</v>
      </c>
    </row>
    <row r="520" spans="1:3" x14ac:dyDescent="0.35">
      <c r="A520">
        <v>13255</v>
      </c>
      <c r="B520" t="s">
        <v>846</v>
      </c>
      <c r="C520" t="s">
        <v>3002</v>
      </c>
    </row>
    <row r="521" spans="1:3" x14ac:dyDescent="0.35">
      <c r="A521">
        <v>13257</v>
      </c>
      <c r="B521" t="s">
        <v>949</v>
      </c>
      <c r="C521" t="s">
        <v>3002</v>
      </c>
    </row>
    <row r="522" spans="1:3" x14ac:dyDescent="0.35">
      <c r="A522">
        <v>13259</v>
      </c>
      <c r="B522" t="s">
        <v>915</v>
      </c>
      <c r="C522" t="s">
        <v>3002</v>
      </c>
    </row>
    <row r="523" spans="1:3" x14ac:dyDescent="0.35">
      <c r="A523">
        <v>13261</v>
      </c>
      <c r="B523" t="s">
        <v>379</v>
      </c>
      <c r="C523" t="s">
        <v>3002</v>
      </c>
    </row>
    <row r="524" spans="1:3" x14ac:dyDescent="0.35">
      <c r="A524">
        <v>13263</v>
      </c>
      <c r="B524" t="s">
        <v>917</v>
      </c>
      <c r="C524" t="s">
        <v>3002</v>
      </c>
    </row>
    <row r="525" spans="1:3" x14ac:dyDescent="0.35">
      <c r="A525">
        <v>13265</v>
      </c>
      <c r="B525" t="s">
        <v>871</v>
      </c>
      <c r="C525" t="s">
        <v>3002</v>
      </c>
    </row>
    <row r="526" spans="1:3" x14ac:dyDescent="0.35">
      <c r="A526">
        <v>13267</v>
      </c>
      <c r="B526" t="s">
        <v>1024</v>
      </c>
      <c r="C526" t="s">
        <v>3002</v>
      </c>
    </row>
    <row r="527" spans="1:3" x14ac:dyDescent="0.35">
      <c r="A527">
        <v>13269</v>
      </c>
      <c r="B527" t="s">
        <v>760</v>
      </c>
      <c r="C527" t="s">
        <v>3002</v>
      </c>
    </row>
    <row r="528" spans="1:3" x14ac:dyDescent="0.35">
      <c r="A528">
        <v>13271</v>
      </c>
      <c r="B528" t="s">
        <v>965</v>
      </c>
      <c r="C528" t="s">
        <v>3002</v>
      </c>
    </row>
    <row r="529" spans="1:3" x14ac:dyDescent="0.35">
      <c r="A529">
        <v>13273</v>
      </c>
      <c r="B529" t="s">
        <v>797</v>
      </c>
      <c r="C529" t="s">
        <v>3002</v>
      </c>
    </row>
    <row r="530" spans="1:3" x14ac:dyDescent="0.35">
      <c r="A530">
        <v>13275</v>
      </c>
      <c r="B530" t="s">
        <v>1054</v>
      </c>
      <c r="C530" t="s">
        <v>3002</v>
      </c>
    </row>
    <row r="531" spans="1:3" x14ac:dyDescent="0.35">
      <c r="A531">
        <v>13277</v>
      </c>
      <c r="B531" t="s">
        <v>1056</v>
      </c>
      <c r="C531" t="s">
        <v>3002</v>
      </c>
    </row>
    <row r="532" spans="1:3" x14ac:dyDescent="0.35">
      <c r="A532">
        <v>13279</v>
      </c>
      <c r="B532" t="s">
        <v>967</v>
      </c>
      <c r="C532" t="s">
        <v>3002</v>
      </c>
    </row>
    <row r="533" spans="1:3" x14ac:dyDescent="0.35">
      <c r="A533">
        <v>13281</v>
      </c>
      <c r="B533" t="s">
        <v>951</v>
      </c>
      <c r="C533" t="s">
        <v>3002</v>
      </c>
    </row>
    <row r="534" spans="1:3" x14ac:dyDescent="0.35">
      <c r="A534">
        <v>13283</v>
      </c>
      <c r="B534" t="s">
        <v>969</v>
      </c>
      <c r="C534" t="s">
        <v>3002</v>
      </c>
    </row>
    <row r="535" spans="1:3" x14ac:dyDescent="0.35">
      <c r="A535">
        <v>13285</v>
      </c>
      <c r="B535" t="s">
        <v>920</v>
      </c>
      <c r="C535" t="s">
        <v>3002</v>
      </c>
    </row>
    <row r="536" spans="1:3" x14ac:dyDescent="0.35">
      <c r="A536">
        <v>13287</v>
      </c>
      <c r="B536" t="s">
        <v>1058</v>
      </c>
      <c r="C536" t="s">
        <v>3002</v>
      </c>
    </row>
    <row r="537" spans="1:3" x14ac:dyDescent="0.35">
      <c r="A537">
        <v>13289</v>
      </c>
      <c r="B537" t="s">
        <v>990</v>
      </c>
      <c r="C537" t="s">
        <v>3002</v>
      </c>
    </row>
    <row r="538" spans="1:3" x14ac:dyDescent="0.35">
      <c r="A538">
        <v>13291</v>
      </c>
      <c r="B538" t="s">
        <v>518</v>
      </c>
      <c r="C538" t="s">
        <v>3002</v>
      </c>
    </row>
    <row r="539" spans="1:3" x14ac:dyDescent="0.35">
      <c r="A539">
        <v>13293</v>
      </c>
      <c r="B539" t="s">
        <v>922</v>
      </c>
      <c r="C539" t="s">
        <v>3002</v>
      </c>
    </row>
    <row r="540" spans="1:3" x14ac:dyDescent="0.35">
      <c r="A540">
        <v>13295</v>
      </c>
      <c r="B540" t="s">
        <v>253</v>
      </c>
      <c r="C540" t="s">
        <v>3002</v>
      </c>
    </row>
    <row r="541" spans="1:3" x14ac:dyDescent="0.35">
      <c r="A541">
        <v>13297</v>
      </c>
      <c r="B541" t="s">
        <v>775</v>
      </c>
      <c r="C541" t="s">
        <v>3002</v>
      </c>
    </row>
    <row r="542" spans="1:3" x14ac:dyDescent="0.35">
      <c r="A542">
        <v>13299</v>
      </c>
      <c r="B542" t="s">
        <v>892</v>
      </c>
      <c r="C542" t="s">
        <v>3002</v>
      </c>
    </row>
    <row r="543" spans="1:3" x14ac:dyDescent="0.35">
      <c r="A543">
        <v>13301</v>
      </c>
      <c r="B543" t="s">
        <v>873</v>
      </c>
      <c r="C543" t="s">
        <v>3002</v>
      </c>
    </row>
    <row r="544" spans="1:3" x14ac:dyDescent="0.35">
      <c r="A544">
        <v>13303</v>
      </c>
      <c r="B544" t="s">
        <v>385</v>
      </c>
      <c r="C544" t="s">
        <v>3002</v>
      </c>
    </row>
    <row r="545" spans="1:3" x14ac:dyDescent="0.35">
      <c r="A545">
        <v>13305</v>
      </c>
      <c r="B545" t="s">
        <v>894</v>
      </c>
      <c r="C545" t="s">
        <v>3002</v>
      </c>
    </row>
    <row r="546" spans="1:3" x14ac:dyDescent="0.35">
      <c r="A546">
        <v>13307</v>
      </c>
      <c r="B546" t="s">
        <v>924</v>
      </c>
      <c r="C546" t="s">
        <v>3002</v>
      </c>
    </row>
    <row r="547" spans="1:3" x14ac:dyDescent="0.35">
      <c r="A547">
        <v>13309</v>
      </c>
      <c r="B547" t="s">
        <v>971</v>
      </c>
      <c r="C547" t="s">
        <v>3002</v>
      </c>
    </row>
    <row r="548" spans="1:3" x14ac:dyDescent="0.35">
      <c r="A548">
        <v>13311</v>
      </c>
      <c r="B548" t="s">
        <v>417</v>
      </c>
      <c r="C548" t="s">
        <v>3002</v>
      </c>
    </row>
    <row r="549" spans="1:3" x14ac:dyDescent="0.35">
      <c r="A549">
        <v>13313</v>
      </c>
      <c r="B549" t="s">
        <v>931</v>
      </c>
      <c r="C549" t="s">
        <v>3002</v>
      </c>
    </row>
    <row r="550" spans="1:3" x14ac:dyDescent="0.35">
      <c r="A550">
        <v>13315</v>
      </c>
      <c r="B550" t="s">
        <v>387</v>
      </c>
      <c r="C550" t="s">
        <v>3002</v>
      </c>
    </row>
    <row r="551" spans="1:3" x14ac:dyDescent="0.35">
      <c r="A551">
        <v>13317</v>
      </c>
      <c r="B551" t="s">
        <v>875</v>
      </c>
      <c r="C551" t="s">
        <v>3002</v>
      </c>
    </row>
    <row r="552" spans="1:3" x14ac:dyDescent="0.35">
      <c r="A552">
        <v>13319</v>
      </c>
      <c r="B552" t="s">
        <v>1065</v>
      </c>
      <c r="C552" t="s">
        <v>3002</v>
      </c>
    </row>
    <row r="553" spans="1:3" x14ac:dyDescent="0.35">
      <c r="A553">
        <v>13321</v>
      </c>
      <c r="B553" t="s">
        <v>799</v>
      </c>
      <c r="C553" t="s">
        <v>3002</v>
      </c>
    </row>
    <row r="554" spans="1:3" x14ac:dyDescent="0.35">
      <c r="A554">
        <v>66010</v>
      </c>
      <c r="B554" t="s">
        <v>3004</v>
      </c>
      <c r="C554" t="s">
        <v>3005</v>
      </c>
    </row>
    <row r="555" spans="1:3" x14ac:dyDescent="0.35">
      <c r="A555">
        <v>15001</v>
      </c>
      <c r="B555" t="s">
        <v>3006</v>
      </c>
      <c r="C555" t="s">
        <v>3007</v>
      </c>
    </row>
    <row r="556" spans="1:3" x14ac:dyDescent="0.35">
      <c r="A556">
        <v>15003</v>
      </c>
      <c r="B556" t="s">
        <v>3008</v>
      </c>
      <c r="C556" t="s">
        <v>3007</v>
      </c>
    </row>
    <row r="557" spans="1:3" x14ac:dyDescent="0.35">
      <c r="A557">
        <v>15005</v>
      </c>
      <c r="B557" t="s">
        <v>3009</v>
      </c>
      <c r="C557" t="s">
        <v>3007</v>
      </c>
    </row>
    <row r="558" spans="1:3" x14ac:dyDescent="0.35">
      <c r="A558">
        <v>15007</v>
      </c>
      <c r="B558" t="s">
        <v>3010</v>
      </c>
      <c r="C558" t="s">
        <v>3007</v>
      </c>
    </row>
    <row r="559" spans="1:3" x14ac:dyDescent="0.35">
      <c r="A559">
        <v>15009</v>
      </c>
      <c r="B559" t="s">
        <v>3011</v>
      </c>
      <c r="C559" t="s">
        <v>3007</v>
      </c>
    </row>
    <row r="560" spans="1:3" x14ac:dyDescent="0.35">
      <c r="A560">
        <v>16001</v>
      </c>
      <c r="B560" t="s">
        <v>3012</v>
      </c>
      <c r="C560" t="s">
        <v>3013</v>
      </c>
    </row>
    <row r="561" spans="1:3" x14ac:dyDescent="0.35">
      <c r="A561">
        <v>16003</v>
      </c>
      <c r="B561" t="s">
        <v>1255</v>
      </c>
      <c r="C561" t="s">
        <v>3013</v>
      </c>
    </row>
    <row r="562" spans="1:3" x14ac:dyDescent="0.35">
      <c r="A562">
        <v>16005</v>
      </c>
      <c r="B562" t="s">
        <v>3014</v>
      </c>
      <c r="C562" t="s">
        <v>3013</v>
      </c>
    </row>
    <row r="563" spans="1:3" x14ac:dyDescent="0.35">
      <c r="A563">
        <v>16007</v>
      </c>
      <c r="B563" t="s">
        <v>3015</v>
      </c>
      <c r="C563" t="s">
        <v>3013</v>
      </c>
    </row>
    <row r="564" spans="1:3" x14ac:dyDescent="0.35">
      <c r="A564">
        <v>16009</v>
      </c>
      <c r="B564" t="s">
        <v>3016</v>
      </c>
      <c r="C564" t="s">
        <v>3013</v>
      </c>
    </row>
    <row r="565" spans="1:3" x14ac:dyDescent="0.35">
      <c r="A565">
        <v>16011</v>
      </c>
      <c r="B565" t="s">
        <v>3017</v>
      </c>
      <c r="C565" t="s">
        <v>3013</v>
      </c>
    </row>
    <row r="566" spans="1:3" x14ac:dyDescent="0.35">
      <c r="A566">
        <v>16013</v>
      </c>
      <c r="B566" t="s">
        <v>3018</v>
      </c>
      <c r="C566" t="s">
        <v>3013</v>
      </c>
    </row>
    <row r="567" spans="1:3" x14ac:dyDescent="0.35">
      <c r="A567">
        <v>16015</v>
      </c>
      <c r="B567" t="s">
        <v>3019</v>
      </c>
      <c r="C567" t="s">
        <v>3013</v>
      </c>
    </row>
    <row r="568" spans="1:3" x14ac:dyDescent="0.35">
      <c r="A568">
        <v>16017</v>
      </c>
      <c r="B568" t="s">
        <v>3020</v>
      </c>
      <c r="C568" t="s">
        <v>3013</v>
      </c>
    </row>
    <row r="569" spans="1:3" x14ac:dyDescent="0.35">
      <c r="A569">
        <v>16019</v>
      </c>
      <c r="B569" t="s">
        <v>3021</v>
      </c>
      <c r="C569" t="s">
        <v>3013</v>
      </c>
    </row>
    <row r="570" spans="1:3" x14ac:dyDescent="0.35">
      <c r="A570">
        <v>16021</v>
      </c>
      <c r="B570" t="s">
        <v>3022</v>
      </c>
      <c r="C570" t="s">
        <v>3013</v>
      </c>
    </row>
    <row r="571" spans="1:3" x14ac:dyDescent="0.35">
      <c r="A571">
        <v>16023</v>
      </c>
      <c r="B571" t="s">
        <v>2891</v>
      </c>
      <c r="C571" t="s">
        <v>3013</v>
      </c>
    </row>
    <row r="572" spans="1:3" x14ac:dyDescent="0.35">
      <c r="A572">
        <v>16025</v>
      </c>
      <c r="B572" t="s">
        <v>3023</v>
      </c>
      <c r="C572" t="s">
        <v>3013</v>
      </c>
    </row>
    <row r="573" spans="1:3" x14ac:dyDescent="0.35">
      <c r="A573">
        <v>16027</v>
      </c>
      <c r="B573" t="s">
        <v>3024</v>
      </c>
      <c r="C573" t="s">
        <v>3013</v>
      </c>
    </row>
    <row r="574" spans="1:3" x14ac:dyDescent="0.35">
      <c r="A574">
        <v>16029</v>
      </c>
      <c r="B574" t="s">
        <v>3025</v>
      </c>
      <c r="C574" t="s">
        <v>3013</v>
      </c>
    </row>
    <row r="575" spans="1:3" x14ac:dyDescent="0.35">
      <c r="A575">
        <v>16031</v>
      </c>
      <c r="B575" t="s">
        <v>3026</v>
      </c>
      <c r="C575" t="s">
        <v>3013</v>
      </c>
    </row>
    <row r="576" spans="1:3" x14ac:dyDescent="0.35">
      <c r="A576">
        <v>16033</v>
      </c>
      <c r="B576" t="s">
        <v>469</v>
      </c>
      <c r="C576" t="s">
        <v>3013</v>
      </c>
    </row>
    <row r="577" spans="1:3" x14ac:dyDescent="0.35">
      <c r="A577">
        <v>16035</v>
      </c>
      <c r="B577" t="s">
        <v>3027</v>
      </c>
      <c r="C577" t="s">
        <v>3013</v>
      </c>
    </row>
    <row r="578" spans="1:3" x14ac:dyDescent="0.35">
      <c r="A578">
        <v>16037</v>
      </c>
      <c r="B578" t="s">
        <v>2955</v>
      </c>
      <c r="C578" t="s">
        <v>3013</v>
      </c>
    </row>
    <row r="579" spans="1:3" x14ac:dyDescent="0.35">
      <c r="A579">
        <v>16039</v>
      </c>
      <c r="B579" t="s">
        <v>297</v>
      </c>
      <c r="C579" t="s">
        <v>3013</v>
      </c>
    </row>
    <row r="580" spans="1:3" x14ac:dyDescent="0.35">
      <c r="A580">
        <v>16041</v>
      </c>
      <c r="B580" t="s">
        <v>355</v>
      </c>
      <c r="C580" t="s">
        <v>3013</v>
      </c>
    </row>
    <row r="581" spans="1:3" x14ac:dyDescent="0.35">
      <c r="A581">
        <v>16043</v>
      </c>
      <c r="B581" t="s">
        <v>2959</v>
      </c>
      <c r="C581" t="s">
        <v>3013</v>
      </c>
    </row>
    <row r="582" spans="1:3" x14ac:dyDescent="0.35">
      <c r="A582">
        <v>16045</v>
      </c>
      <c r="B582" t="s">
        <v>3028</v>
      </c>
      <c r="C582" t="s">
        <v>3013</v>
      </c>
    </row>
    <row r="583" spans="1:3" x14ac:dyDescent="0.35">
      <c r="A583">
        <v>16047</v>
      </c>
      <c r="B583" t="s">
        <v>3029</v>
      </c>
      <c r="C583" t="s">
        <v>3013</v>
      </c>
    </row>
    <row r="584" spans="1:3" x14ac:dyDescent="0.35">
      <c r="A584">
        <v>16049</v>
      </c>
      <c r="B584" t="s">
        <v>3030</v>
      </c>
      <c r="C584" t="s">
        <v>3013</v>
      </c>
    </row>
    <row r="585" spans="1:3" x14ac:dyDescent="0.35">
      <c r="A585">
        <v>16051</v>
      </c>
      <c r="B585" t="s">
        <v>247</v>
      </c>
      <c r="C585" t="s">
        <v>3013</v>
      </c>
    </row>
    <row r="586" spans="1:3" x14ac:dyDescent="0.35">
      <c r="A586">
        <v>16053</v>
      </c>
      <c r="B586" t="s">
        <v>3031</v>
      </c>
      <c r="C586" t="s">
        <v>3013</v>
      </c>
    </row>
    <row r="587" spans="1:3" x14ac:dyDescent="0.35">
      <c r="A587">
        <v>16055</v>
      </c>
      <c r="B587" t="s">
        <v>3032</v>
      </c>
      <c r="C587" t="s">
        <v>3013</v>
      </c>
    </row>
    <row r="588" spans="1:3" x14ac:dyDescent="0.35">
      <c r="A588">
        <v>16057</v>
      </c>
      <c r="B588" t="s">
        <v>3033</v>
      </c>
      <c r="C588" t="s">
        <v>3013</v>
      </c>
    </row>
    <row r="589" spans="1:3" x14ac:dyDescent="0.35">
      <c r="A589">
        <v>16059</v>
      </c>
      <c r="B589" t="s">
        <v>3034</v>
      </c>
      <c r="C589" t="s">
        <v>3013</v>
      </c>
    </row>
    <row r="590" spans="1:3" x14ac:dyDescent="0.35">
      <c r="A590">
        <v>16061</v>
      </c>
      <c r="B590" t="s">
        <v>1927</v>
      </c>
      <c r="C590" t="s">
        <v>3013</v>
      </c>
    </row>
    <row r="591" spans="1:3" x14ac:dyDescent="0.35">
      <c r="A591">
        <v>16063</v>
      </c>
      <c r="B591" t="s">
        <v>494</v>
      </c>
      <c r="C591" t="s">
        <v>3013</v>
      </c>
    </row>
    <row r="592" spans="1:3" x14ac:dyDescent="0.35">
      <c r="A592">
        <v>16065</v>
      </c>
      <c r="B592" t="s">
        <v>287</v>
      </c>
      <c r="C592" t="s">
        <v>3013</v>
      </c>
    </row>
    <row r="593" spans="1:3" x14ac:dyDescent="0.35">
      <c r="A593">
        <v>16067</v>
      </c>
      <c r="B593" t="s">
        <v>3035</v>
      </c>
      <c r="C593" t="s">
        <v>3013</v>
      </c>
    </row>
    <row r="594" spans="1:3" x14ac:dyDescent="0.35">
      <c r="A594">
        <v>16069</v>
      </c>
      <c r="B594" t="s">
        <v>3036</v>
      </c>
      <c r="C594" t="s">
        <v>3013</v>
      </c>
    </row>
    <row r="595" spans="1:3" x14ac:dyDescent="0.35">
      <c r="A595">
        <v>16071</v>
      </c>
      <c r="B595" t="s">
        <v>3037</v>
      </c>
      <c r="C595" t="s">
        <v>3013</v>
      </c>
    </row>
    <row r="596" spans="1:3" x14ac:dyDescent="0.35">
      <c r="A596">
        <v>16073</v>
      </c>
      <c r="B596" t="s">
        <v>3038</v>
      </c>
      <c r="C596" t="s">
        <v>3013</v>
      </c>
    </row>
    <row r="597" spans="1:3" x14ac:dyDescent="0.35">
      <c r="A597">
        <v>16075</v>
      </c>
      <c r="B597" t="s">
        <v>3039</v>
      </c>
      <c r="C597" t="s">
        <v>3013</v>
      </c>
    </row>
    <row r="598" spans="1:3" x14ac:dyDescent="0.35">
      <c r="A598">
        <v>16077</v>
      </c>
      <c r="B598" t="s">
        <v>3040</v>
      </c>
      <c r="C598" t="s">
        <v>3013</v>
      </c>
    </row>
    <row r="599" spans="1:3" x14ac:dyDescent="0.35">
      <c r="A599">
        <v>16079</v>
      </c>
      <c r="B599" t="s">
        <v>3041</v>
      </c>
      <c r="C599" t="s">
        <v>3013</v>
      </c>
    </row>
    <row r="600" spans="1:3" x14ac:dyDescent="0.35">
      <c r="A600">
        <v>16081</v>
      </c>
      <c r="B600" t="s">
        <v>3042</v>
      </c>
      <c r="C600" t="s">
        <v>3013</v>
      </c>
    </row>
    <row r="601" spans="1:3" x14ac:dyDescent="0.35">
      <c r="A601">
        <v>16083</v>
      </c>
      <c r="B601" t="s">
        <v>3043</v>
      </c>
      <c r="C601" t="s">
        <v>3013</v>
      </c>
    </row>
    <row r="602" spans="1:3" x14ac:dyDescent="0.35">
      <c r="A602">
        <v>16085</v>
      </c>
      <c r="B602" t="s">
        <v>3044</v>
      </c>
      <c r="C602" t="s">
        <v>3013</v>
      </c>
    </row>
    <row r="603" spans="1:3" x14ac:dyDescent="0.35">
      <c r="A603">
        <v>16087</v>
      </c>
      <c r="B603" t="s">
        <v>385</v>
      </c>
      <c r="C603" t="s">
        <v>3013</v>
      </c>
    </row>
    <row r="604" spans="1:3" x14ac:dyDescent="0.35">
      <c r="A604">
        <v>17001</v>
      </c>
      <c r="B604" t="s">
        <v>1255</v>
      </c>
      <c r="C604" t="s">
        <v>3045</v>
      </c>
    </row>
    <row r="605" spans="1:3" x14ac:dyDescent="0.35">
      <c r="A605">
        <v>17003</v>
      </c>
      <c r="B605" t="s">
        <v>1502</v>
      </c>
      <c r="C605" t="s">
        <v>3045</v>
      </c>
    </row>
    <row r="606" spans="1:3" x14ac:dyDescent="0.35">
      <c r="A606">
        <v>17005</v>
      </c>
      <c r="B606" t="s">
        <v>3046</v>
      </c>
      <c r="C606" t="s">
        <v>3045</v>
      </c>
    </row>
    <row r="607" spans="1:3" x14ac:dyDescent="0.35">
      <c r="A607">
        <v>17007</v>
      </c>
      <c r="B607" t="s">
        <v>459</v>
      </c>
      <c r="C607" t="s">
        <v>3045</v>
      </c>
    </row>
    <row r="608" spans="1:3" x14ac:dyDescent="0.35">
      <c r="A608">
        <v>17009</v>
      </c>
      <c r="B608" t="s">
        <v>1939</v>
      </c>
      <c r="C608" t="s">
        <v>3045</v>
      </c>
    </row>
    <row r="609" spans="1:3" x14ac:dyDescent="0.35">
      <c r="A609">
        <v>17011</v>
      </c>
      <c r="B609" t="s">
        <v>3047</v>
      </c>
      <c r="C609" t="s">
        <v>3045</v>
      </c>
    </row>
    <row r="610" spans="1:3" x14ac:dyDescent="0.35">
      <c r="A610">
        <v>17013</v>
      </c>
      <c r="B610" t="s">
        <v>233</v>
      </c>
      <c r="C610" t="s">
        <v>3045</v>
      </c>
    </row>
    <row r="611" spans="1:3" x14ac:dyDescent="0.35">
      <c r="A611">
        <v>17015</v>
      </c>
      <c r="B611" t="s">
        <v>463</v>
      </c>
      <c r="C611" t="s">
        <v>3045</v>
      </c>
    </row>
    <row r="612" spans="1:3" x14ac:dyDescent="0.35">
      <c r="A612">
        <v>17017</v>
      </c>
      <c r="B612" t="s">
        <v>2313</v>
      </c>
      <c r="C612" t="s">
        <v>3045</v>
      </c>
    </row>
    <row r="613" spans="1:3" x14ac:dyDescent="0.35">
      <c r="A613">
        <v>17019</v>
      </c>
      <c r="B613" t="s">
        <v>3048</v>
      </c>
      <c r="C613" t="s">
        <v>3045</v>
      </c>
    </row>
    <row r="614" spans="1:3" x14ac:dyDescent="0.35">
      <c r="A614">
        <v>17021</v>
      </c>
      <c r="B614" t="s">
        <v>2726</v>
      </c>
      <c r="C614" t="s">
        <v>3045</v>
      </c>
    </row>
    <row r="615" spans="1:3" x14ac:dyDescent="0.35">
      <c r="A615">
        <v>17023</v>
      </c>
      <c r="B615" t="s">
        <v>469</v>
      </c>
      <c r="C615" t="s">
        <v>3045</v>
      </c>
    </row>
    <row r="616" spans="1:3" x14ac:dyDescent="0.35">
      <c r="A616">
        <v>17025</v>
      </c>
      <c r="B616" t="s">
        <v>329</v>
      </c>
      <c r="C616" t="s">
        <v>3045</v>
      </c>
    </row>
    <row r="617" spans="1:3" x14ac:dyDescent="0.35">
      <c r="A617">
        <v>17027</v>
      </c>
      <c r="B617" t="s">
        <v>2727</v>
      </c>
      <c r="C617" t="s">
        <v>3045</v>
      </c>
    </row>
    <row r="618" spans="1:3" x14ac:dyDescent="0.35">
      <c r="A618">
        <v>17029</v>
      </c>
      <c r="B618" t="s">
        <v>3049</v>
      </c>
      <c r="C618" t="s">
        <v>3045</v>
      </c>
    </row>
    <row r="619" spans="1:3" x14ac:dyDescent="0.35">
      <c r="A619">
        <v>17031</v>
      </c>
      <c r="B619" t="s">
        <v>1037</v>
      </c>
      <c r="C619" t="s">
        <v>3045</v>
      </c>
    </row>
    <row r="620" spans="1:3" x14ac:dyDescent="0.35">
      <c r="A620">
        <v>17033</v>
      </c>
      <c r="B620" t="s">
        <v>526</v>
      </c>
      <c r="C620" t="s">
        <v>3045</v>
      </c>
    </row>
    <row r="621" spans="1:3" x14ac:dyDescent="0.35">
      <c r="A621">
        <v>17035</v>
      </c>
      <c r="B621" t="s">
        <v>1561</v>
      </c>
      <c r="C621" t="s">
        <v>3045</v>
      </c>
    </row>
    <row r="622" spans="1:3" x14ac:dyDescent="0.35">
      <c r="A622">
        <v>17037</v>
      </c>
      <c r="B622" t="s">
        <v>349</v>
      </c>
      <c r="C622" t="s">
        <v>3045</v>
      </c>
    </row>
    <row r="623" spans="1:3" x14ac:dyDescent="0.35">
      <c r="A623">
        <v>17039</v>
      </c>
      <c r="B623" t="s">
        <v>3050</v>
      </c>
      <c r="C623" t="s">
        <v>3045</v>
      </c>
    </row>
    <row r="624" spans="1:3" x14ac:dyDescent="0.35">
      <c r="A624">
        <v>17041</v>
      </c>
      <c r="B624" t="s">
        <v>828</v>
      </c>
      <c r="C624" t="s">
        <v>3045</v>
      </c>
    </row>
    <row r="625" spans="1:3" x14ac:dyDescent="0.35">
      <c r="A625">
        <v>17043</v>
      </c>
      <c r="B625" t="s">
        <v>3051</v>
      </c>
      <c r="C625" t="s">
        <v>3045</v>
      </c>
    </row>
    <row r="626" spans="1:3" x14ac:dyDescent="0.35">
      <c r="A626">
        <v>17045</v>
      </c>
      <c r="B626" t="s">
        <v>3052</v>
      </c>
      <c r="C626" t="s">
        <v>3045</v>
      </c>
    </row>
    <row r="627" spans="1:3" x14ac:dyDescent="0.35">
      <c r="A627">
        <v>17047</v>
      </c>
      <c r="B627" t="s">
        <v>2269</v>
      </c>
      <c r="C627" t="s">
        <v>3045</v>
      </c>
    </row>
    <row r="628" spans="1:3" x14ac:dyDescent="0.35">
      <c r="A628">
        <v>17049</v>
      </c>
      <c r="B628" t="s">
        <v>1015</v>
      </c>
      <c r="C628" t="s">
        <v>3045</v>
      </c>
    </row>
    <row r="629" spans="1:3" x14ac:dyDescent="0.35">
      <c r="A629">
        <v>17051</v>
      </c>
      <c r="B629" t="s">
        <v>353</v>
      </c>
      <c r="C629" t="s">
        <v>3045</v>
      </c>
    </row>
    <row r="630" spans="1:3" x14ac:dyDescent="0.35">
      <c r="A630">
        <v>17053</v>
      </c>
      <c r="B630" t="s">
        <v>3053</v>
      </c>
      <c r="C630" t="s">
        <v>3045</v>
      </c>
    </row>
    <row r="631" spans="1:3" x14ac:dyDescent="0.35">
      <c r="A631">
        <v>17055</v>
      </c>
      <c r="B631" t="s">
        <v>355</v>
      </c>
      <c r="C631" t="s">
        <v>3045</v>
      </c>
    </row>
    <row r="632" spans="1:3" x14ac:dyDescent="0.35">
      <c r="A632">
        <v>17057</v>
      </c>
      <c r="B632" t="s">
        <v>422</v>
      </c>
      <c r="C632" t="s">
        <v>3045</v>
      </c>
    </row>
    <row r="633" spans="1:3" x14ac:dyDescent="0.35">
      <c r="A633">
        <v>17059</v>
      </c>
      <c r="B633" t="s">
        <v>3054</v>
      </c>
      <c r="C633" t="s">
        <v>3045</v>
      </c>
    </row>
    <row r="634" spans="1:3" x14ac:dyDescent="0.35">
      <c r="A634">
        <v>17061</v>
      </c>
      <c r="B634" t="s">
        <v>305</v>
      </c>
      <c r="C634" t="s">
        <v>3045</v>
      </c>
    </row>
    <row r="635" spans="1:3" x14ac:dyDescent="0.35">
      <c r="A635">
        <v>17063</v>
      </c>
      <c r="B635" t="s">
        <v>1835</v>
      </c>
      <c r="C635" t="s">
        <v>3045</v>
      </c>
    </row>
    <row r="636" spans="1:3" x14ac:dyDescent="0.35">
      <c r="A636">
        <v>17065</v>
      </c>
      <c r="B636" t="s">
        <v>613</v>
      </c>
      <c r="C636" t="s">
        <v>3045</v>
      </c>
    </row>
    <row r="637" spans="1:3" x14ac:dyDescent="0.35">
      <c r="A637">
        <v>17067</v>
      </c>
      <c r="B637" t="s">
        <v>1062</v>
      </c>
      <c r="C637" t="s">
        <v>3045</v>
      </c>
    </row>
    <row r="638" spans="1:3" x14ac:dyDescent="0.35">
      <c r="A638">
        <v>17069</v>
      </c>
      <c r="B638" t="s">
        <v>1876</v>
      </c>
      <c r="C638" t="s">
        <v>3045</v>
      </c>
    </row>
    <row r="639" spans="1:3" x14ac:dyDescent="0.35">
      <c r="A639">
        <v>17071</v>
      </c>
      <c r="B639" t="s">
        <v>1484</v>
      </c>
      <c r="C639" t="s">
        <v>3045</v>
      </c>
    </row>
    <row r="640" spans="1:3" x14ac:dyDescent="0.35">
      <c r="A640">
        <v>17073</v>
      </c>
      <c r="B640" t="s">
        <v>269</v>
      </c>
      <c r="C640" t="s">
        <v>3045</v>
      </c>
    </row>
    <row r="641" spans="1:3" x14ac:dyDescent="0.35">
      <c r="A641">
        <v>17075</v>
      </c>
      <c r="B641" t="s">
        <v>3055</v>
      </c>
      <c r="C641" t="s">
        <v>3045</v>
      </c>
    </row>
    <row r="642" spans="1:3" x14ac:dyDescent="0.35">
      <c r="A642">
        <v>17077</v>
      </c>
      <c r="B642" t="s">
        <v>357</v>
      </c>
      <c r="C642" t="s">
        <v>3045</v>
      </c>
    </row>
    <row r="643" spans="1:3" x14ac:dyDescent="0.35">
      <c r="A643">
        <v>17079</v>
      </c>
      <c r="B643" t="s">
        <v>837</v>
      </c>
      <c r="C643" t="s">
        <v>3045</v>
      </c>
    </row>
    <row r="644" spans="1:3" x14ac:dyDescent="0.35">
      <c r="A644">
        <v>17081</v>
      </c>
      <c r="B644" t="s">
        <v>247</v>
      </c>
      <c r="C644" t="s">
        <v>3045</v>
      </c>
    </row>
    <row r="645" spans="1:3" x14ac:dyDescent="0.35">
      <c r="A645">
        <v>17083</v>
      </c>
      <c r="B645" t="s">
        <v>3056</v>
      </c>
      <c r="C645" t="s">
        <v>3045</v>
      </c>
    </row>
    <row r="646" spans="1:3" x14ac:dyDescent="0.35">
      <c r="A646">
        <v>17085</v>
      </c>
      <c r="B646" t="s">
        <v>3057</v>
      </c>
      <c r="C646" t="s">
        <v>3045</v>
      </c>
    </row>
    <row r="647" spans="1:3" x14ac:dyDescent="0.35">
      <c r="A647">
        <v>17087</v>
      </c>
      <c r="B647" t="s">
        <v>535</v>
      </c>
      <c r="C647" t="s">
        <v>3045</v>
      </c>
    </row>
    <row r="648" spans="1:3" x14ac:dyDescent="0.35">
      <c r="A648">
        <v>17089</v>
      </c>
      <c r="B648" t="s">
        <v>2782</v>
      </c>
      <c r="C648" t="s">
        <v>3045</v>
      </c>
    </row>
    <row r="649" spans="1:3" x14ac:dyDescent="0.35">
      <c r="A649">
        <v>17091</v>
      </c>
      <c r="B649" t="s">
        <v>3058</v>
      </c>
      <c r="C649" t="s">
        <v>3045</v>
      </c>
    </row>
    <row r="650" spans="1:3" x14ac:dyDescent="0.35">
      <c r="A650">
        <v>17093</v>
      </c>
      <c r="B650" t="s">
        <v>2279</v>
      </c>
      <c r="C650" t="s">
        <v>3045</v>
      </c>
    </row>
    <row r="651" spans="1:3" x14ac:dyDescent="0.35">
      <c r="A651">
        <v>17095</v>
      </c>
      <c r="B651" t="s">
        <v>1819</v>
      </c>
      <c r="C651" t="s">
        <v>3045</v>
      </c>
    </row>
    <row r="652" spans="1:3" x14ac:dyDescent="0.35">
      <c r="A652">
        <v>17097</v>
      </c>
      <c r="B652" t="s">
        <v>654</v>
      </c>
      <c r="C652" t="s">
        <v>3045</v>
      </c>
    </row>
    <row r="653" spans="1:3" x14ac:dyDescent="0.35">
      <c r="A653">
        <v>17099</v>
      </c>
      <c r="B653" t="s">
        <v>3059</v>
      </c>
      <c r="C653" t="s">
        <v>3045</v>
      </c>
    </row>
    <row r="654" spans="1:3" x14ac:dyDescent="0.35">
      <c r="A654">
        <v>17101</v>
      </c>
      <c r="B654" t="s">
        <v>261</v>
      </c>
      <c r="C654" t="s">
        <v>3045</v>
      </c>
    </row>
    <row r="655" spans="1:3" x14ac:dyDescent="0.35">
      <c r="A655">
        <v>17103</v>
      </c>
      <c r="B655" t="s">
        <v>237</v>
      </c>
      <c r="C655" t="s">
        <v>3045</v>
      </c>
    </row>
    <row r="656" spans="1:3" x14ac:dyDescent="0.35">
      <c r="A656">
        <v>17105</v>
      </c>
      <c r="B656" t="s">
        <v>2742</v>
      </c>
      <c r="C656" t="s">
        <v>3045</v>
      </c>
    </row>
    <row r="657" spans="1:3" x14ac:dyDescent="0.35">
      <c r="A657">
        <v>17107</v>
      </c>
      <c r="B657" t="s">
        <v>537</v>
      </c>
      <c r="C657" t="s">
        <v>3045</v>
      </c>
    </row>
    <row r="658" spans="1:3" x14ac:dyDescent="0.35">
      <c r="A658">
        <v>17109</v>
      </c>
      <c r="B658" t="s">
        <v>3060</v>
      </c>
      <c r="C658" t="s">
        <v>3045</v>
      </c>
    </row>
    <row r="659" spans="1:3" x14ac:dyDescent="0.35">
      <c r="A659">
        <v>17111</v>
      </c>
      <c r="B659" t="s">
        <v>3061</v>
      </c>
      <c r="C659" t="s">
        <v>3045</v>
      </c>
    </row>
    <row r="660" spans="1:3" x14ac:dyDescent="0.35">
      <c r="A660">
        <v>17113</v>
      </c>
      <c r="B660" t="s">
        <v>3062</v>
      </c>
      <c r="C660" t="s">
        <v>3045</v>
      </c>
    </row>
    <row r="661" spans="1:3" x14ac:dyDescent="0.35">
      <c r="A661">
        <v>17115</v>
      </c>
      <c r="B661" t="s">
        <v>361</v>
      </c>
      <c r="C661" t="s">
        <v>3045</v>
      </c>
    </row>
    <row r="662" spans="1:3" x14ac:dyDescent="0.35">
      <c r="A662">
        <v>17117</v>
      </c>
      <c r="B662" t="s">
        <v>3063</v>
      </c>
      <c r="C662" t="s">
        <v>3045</v>
      </c>
    </row>
    <row r="663" spans="1:3" x14ac:dyDescent="0.35">
      <c r="A663">
        <v>17119</v>
      </c>
      <c r="B663" t="s">
        <v>287</v>
      </c>
      <c r="C663" t="s">
        <v>3045</v>
      </c>
    </row>
    <row r="664" spans="1:3" x14ac:dyDescent="0.35">
      <c r="A664">
        <v>17121</v>
      </c>
      <c r="B664" t="s">
        <v>365</v>
      </c>
      <c r="C664" t="s">
        <v>3045</v>
      </c>
    </row>
    <row r="665" spans="1:3" x14ac:dyDescent="0.35">
      <c r="A665">
        <v>17123</v>
      </c>
      <c r="B665" t="s">
        <v>367</v>
      </c>
      <c r="C665" t="s">
        <v>3045</v>
      </c>
    </row>
    <row r="666" spans="1:3" x14ac:dyDescent="0.35">
      <c r="A666">
        <v>17125</v>
      </c>
      <c r="B666" t="s">
        <v>2241</v>
      </c>
      <c r="C666" t="s">
        <v>3045</v>
      </c>
    </row>
    <row r="667" spans="1:3" x14ac:dyDescent="0.35">
      <c r="A667">
        <v>17127</v>
      </c>
      <c r="B667" t="s">
        <v>3064</v>
      </c>
      <c r="C667" t="s">
        <v>3045</v>
      </c>
    </row>
    <row r="668" spans="1:3" x14ac:dyDescent="0.35">
      <c r="A668">
        <v>17129</v>
      </c>
      <c r="B668" t="s">
        <v>2245</v>
      </c>
      <c r="C668" t="s">
        <v>3045</v>
      </c>
    </row>
    <row r="669" spans="1:3" x14ac:dyDescent="0.35">
      <c r="A669">
        <v>17131</v>
      </c>
      <c r="B669" t="s">
        <v>2745</v>
      </c>
      <c r="C669" t="s">
        <v>3045</v>
      </c>
    </row>
    <row r="670" spans="1:3" x14ac:dyDescent="0.35">
      <c r="A670">
        <v>17133</v>
      </c>
      <c r="B670" t="s">
        <v>369</v>
      </c>
      <c r="C670" t="s">
        <v>3045</v>
      </c>
    </row>
    <row r="671" spans="1:3" x14ac:dyDescent="0.35">
      <c r="A671">
        <v>17135</v>
      </c>
      <c r="B671" t="s">
        <v>301</v>
      </c>
      <c r="C671" t="s">
        <v>3045</v>
      </c>
    </row>
    <row r="672" spans="1:3" x14ac:dyDescent="0.35">
      <c r="A672">
        <v>17137</v>
      </c>
      <c r="B672" t="s">
        <v>263</v>
      </c>
      <c r="C672" t="s">
        <v>3045</v>
      </c>
    </row>
    <row r="673" spans="1:3" x14ac:dyDescent="0.35">
      <c r="A673">
        <v>17139</v>
      </c>
      <c r="B673" t="s">
        <v>3065</v>
      </c>
      <c r="C673" t="s">
        <v>3045</v>
      </c>
    </row>
    <row r="674" spans="1:3" x14ac:dyDescent="0.35">
      <c r="A674">
        <v>17141</v>
      </c>
      <c r="B674" t="s">
        <v>3066</v>
      </c>
      <c r="C674" t="s">
        <v>3045</v>
      </c>
    </row>
    <row r="675" spans="1:3" x14ac:dyDescent="0.35">
      <c r="A675">
        <v>17143</v>
      </c>
      <c r="B675" t="s">
        <v>3067</v>
      </c>
      <c r="C675" t="s">
        <v>3045</v>
      </c>
    </row>
    <row r="676" spans="1:3" x14ac:dyDescent="0.35">
      <c r="A676">
        <v>17145</v>
      </c>
      <c r="B676" t="s">
        <v>371</v>
      </c>
      <c r="C676" t="s">
        <v>3045</v>
      </c>
    </row>
    <row r="677" spans="1:3" x14ac:dyDescent="0.35">
      <c r="A677">
        <v>17147</v>
      </c>
      <c r="B677" t="s">
        <v>3068</v>
      </c>
      <c r="C677" t="s">
        <v>3045</v>
      </c>
    </row>
    <row r="678" spans="1:3" x14ac:dyDescent="0.35">
      <c r="A678">
        <v>17149</v>
      </c>
      <c r="B678" t="s">
        <v>375</v>
      </c>
      <c r="C678" t="s">
        <v>3045</v>
      </c>
    </row>
    <row r="679" spans="1:3" x14ac:dyDescent="0.35">
      <c r="A679">
        <v>17151</v>
      </c>
      <c r="B679" t="s">
        <v>409</v>
      </c>
      <c r="C679" t="s">
        <v>3045</v>
      </c>
    </row>
    <row r="680" spans="1:3" x14ac:dyDescent="0.35">
      <c r="A680">
        <v>17153</v>
      </c>
      <c r="B680" t="s">
        <v>398</v>
      </c>
      <c r="C680" t="s">
        <v>3045</v>
      </c>
    </row>
    <row r="681" spans="1:3" x14ac:dyDescent="0.35">
      <c r="A681">
        <v>17155</v>
      </c>
      <c r="B681" t="s">
        <v>729</v>
      </c>
      <c r="C681" t="s">
        <v>3045</v>
      </c>
    </row>
    <row r="682" spans="1:3" x14ac:dyDescent="0.35">
      <c r="A682">
        <v>17157</v>
      </c>
      <c r="B682" t="s">
        <v>377</v>
      </c>
      <c r="C682" t="s">
        <v>3045</v>
      </c>
    </row>
    <row r="683" spans="1:3" x14ac:dyDescent="0.35">
      <c r="A683">
        <v>17159</v>
      </c>
      <c r="B683" t="s">
        <v>1773</v>
      </c>
      <c r="C683" t="s">
        <v>3045</v>
      </c>
    </row>
    <row r="684" spans="1:3" x14ac:dyDescent="0.35">
      <c r="A684">
        <v>17161</v>
      </c>
      <c r="B684" t="s">
        <v>3069</v>
      </c>
      <c r="C684" t="s">
        <v>3045</v>
      </c>
    </row>
    <row r="685" spans="1:3" x14ac:dyDescent="0.35">
      <c r="A685">
        <v>17163</v>
      </c>
      <c r="B685" t="s">
        <v>251</v>
      </c>
      <c r="C685" t="s">
        <v>3045</v>
      </c>
    </row>
    <row r="686" spans="1:3" x14ac:dyDescent="0.35">
      <c r="A686">
        <v>17165</v>
      </c>
      <c r="B686" t="s">
        <v>405</v>
      </c>
      <c r="C686" t="s">
        <v>3045</v>
      </c>
    </row>
    <row r="687" spans="1:3" x14ac:dyDescent="0.35">
      <c r="A687">
        <v>17167</v>
      </c>
      <c r="B687" t="s">
        <v>3070</v>
      </c>
      <c r="C687" t="s">
        <v>3045</v>
      </c>
    </row>
    <row r="688" spans="1:3" x14ac:dyDescent="0.35">
      <c r="A688">
        <v>17169</v>
      </c>
      <c r="B688" t="s">
        <v>2764</v>
      </c>
      <c r="C688" t="s">
        <v>3045</v>
      </c>
    </row>
    <row r="689" spans="1:3" x14ac:dyDescent="0.35">
      <c r="A689">
        <v>17171</v>
      </c>
      <c r="B689" t="s">
        <v>528</v>
      </c>
      <c r="C689" t="s">
        <v>3045</v>
      </c>
    </row>
    <row r="690" spans="1:3" x14ac:dyDescent="0.35">
      <c r="A690">
        <v>17173</v>
      </c>
      <c r="B690" t="s">
        <v>249</v>
      </c>
      <c r="C690" t="s">
        <v>3045</v>
      </c>
    </row>
    <row r="691" spans="1:3" x14ac:dyDescent="0.35">
      <c r="A691">
        <v>17175</v>
      </c>
      <c r="B691" t="s">
        <v>3071</v>
      </c>
      <c r="C691" t="s">
        <v>3045</v>
      </c>
    </row>
    <row r="692" spans="1:3" x14ac:dyDescent="0.35">
      <c r="A692">
        <v>17177</v>
      </c>
      <c r="B692" t="s">
        <v>3072</v>
      </c>
      <c r="C692" t="s">
        <v>3045</v>
      </c>
    </row>
    <row r="693" spans="1:3" x14ac:dyDescent="0.35">
      <c r="A693">
        <v>17179</v>
      </c>
      <c r="B693" t="s">
        <v>3073</v>
      </c>
      <c r="C693" t="s">
        <v>3045</v>
      </c>
    </row>
    <row r="694" spans="1:3" x14ac:dyDescent="0.35">
      <c r="A694">
        <v>17181</v>
      </c>
      <c r="B694" t="s">
        <v>518</v>
      </c>
      <c r="C694" t="s">
        <v>3045</v>
      </c>
    </row>
    <row r="695" spans="1:3" x14ac:dyDescent="0.35">
      <c r="A695">
        <v>17183</v>
      </c>
      <c r="B695" t="s">
        <v>3074</v>
      </c>
      <c r="C695" t="s">
        <v>3045</v>
      </c>
    </row>
    <row r="696" spans="1:3" x14ac:dyDescent="0.35">
      <c r="A696">
        <v>17185</v>
      </c>
      <c r="B696" t="s">
        <v>3075</v>
      </c>
      <c r="C696" t="s">
        <v>3045</v>
      </c>
    </row>
    <row r="697" spans="1:3" x14ac:dyDescent="0.35">
      <c r="A697">
        <v>17187</v>
      </c>
      <c r="B697" t="s">
        <v>873</v>
      </c>
      <c r="C697" t="s">
        <v>3045</v>
      </c>
    </row>
    <row r="698" spans="1:3" x14ac:dyDescent="0.35">
      <c r="A698">
        <v>17189</v>
      </c>
      <c r="B698" t="s">
        <v>385</v>
      </c>
      <c r="C698" t="s">
        <v>3045</v>
      </c>
    </row>
    <row r="699" spans="1:3" x14ac:dyDescent="0.35">
      <c r="A699">
        <v>17191</v>
      </c>
      <c r="B699" t="s">
        <v>894</v>
      </c>
      <c r="C699" t="s">
        <v>3045</v>
      </c>
    </row>
    <row r="700" spans="1:3" x14ac:dyDescent="0.35">
      <c r="A700">
        <v>17193</v>
      </c>
      <c r="B700" t="s">
        <v>417</v>
      </c>
      <c r="C700" t="s">
        <v>3045</v>
      </c>
    </row>
    <row r="701" spans="1:3" x14ac:dyDescent="0.35">
      <c r="A701">
        <v>17195</v>
      </c>
      <c r="B701" t="s">
        <v>3076</v>
      </c>
      <c r="C701" t="s">
        <v>3045</v>
      </c>
    </row>
    <row r="702" spans="1:3" x14ac:dyDescent="0.35">
      <c r="A702">
        <v>17197</v>
      </c>
      <c r="B702" t="s">
        <v>3077</v>
      </c>
      <c r="C702" t="s">
        <v>3045</v>
      </c>
    </row>
    <row r="703" spans="1:3" x14ac:dyDescent="0.35">
      <c r="A703">
        <v>17199</v>
      </c>
      <c r="B703" t="s">
        <v>1860</v>
      </c>
      <c r="C703" t="s">
        <v>3045</v>
      </c>
    </row>
    <row r="704" spans="1:3" x14ac:dyDescent="0.35">
      <c r="A704">
        <v>17201</v>
      </c>
      <c r="B704" t="s">
        <v>3078</v>
      </c>
      <c r="C704" t="s">
        <v>3045</v>
      </c>
    </row>
    <row r="705" spans="1:3" x14ac:dyDescent="0.35">
      <c r="A705">
        <v>17203</v>
      </c>
      <c r="B705" t="s">
        <v>3079</v>
      </c>
      <c r="C705" t="s">
        <v>3045</v>
      </c>
    </row>
    <row r="706" spans="1:3" x14ac:dyDescent="0.35">
      <c r="A706">
        <v>18001</v>
      </c>
      <c r="B706" t="s">
        <v>1255</v>
      </c>
      <c r="C706" t="s">
        <v>3080</v>
      </c>
    </row>
    <row r="707" spans="1:3" x14ac:dyDescent="0.35">
      <c r="A707">
        <v>18003</v>
      </c>
      <c r="B707" t="s">
        <v>3081</v>
      </c>
      <c r="C707" t="s">
        <v>3080</v>
      </c>
    </row>
    <row r="708" spans="1:3" x14ac:dyDescent="0.35">
      <c r="A708">
        <v>18005</v>
      </c>
      <c r="B708" t="s">
        <v>3082</v>
      </c>
      <c r="C708" t="s">
        <v>3080</v>
      </c>
    </row>
    <row r="709" spans="1:3" x14ac:dyDescent="0.35">
      <c r="A709">
        <v>18007</v>
      </c>
      <c r="B709" t="s">
        <v>456</v>
      </c>
      <c r="C709" t="s">
        <v>3080</v>
      </c>
    </row>
    <row r="710" spans="1:3" x14ac:dyDescent="0.35">
      <c r="A710">
        <v>18009</v>
      </c>
      <c r="B710" t="s">
        <v>3083</v>
      </c>
      <c r="C710" t="s">
        <v>3080</v>
      </c>
    </row>
    <row r="711" spans="1:3" x14ac:dyDescent="0.35">
      <c r="A711">
        <v>18011</v>
      </c>
      <c r="B711" t="s">
        <v>459</v>
      </c>
      <c r="C711" t="s">
        <v>3080</v>
      </c>
    </row>
    <row r="712" spans="1:3" x14ac:dyDescent="0.35">
      <c r="A712">
        <v>18013</v>
      </c>
      <c r="B712" t="s">
        <v>1939</v>
      </c>
      <c r="C712" t="s">
        <v>3080</v>
      </c>
    </row>
    <row r="713" spans="1:3" x14ac:dyDescent="0.35">
      <c r="A713">
        <v>18015</v>
      </c>
      <c r="B713" t="s">
        <v>463</v>
      </c>
      <c r="C713" t="s">
        <v>3080</v>
      </c>
    </row>
    <row r="714" spans="1:3" x14ac:dyDescent="0.35">
      <c r="A714">
        <v>18017</v>
      </c>
      <c r="B714" t="s">
        <v>2313</v>
      </c>
      <c r="C714" t="s">
        <v>3080</v>
      </c>
    </row>
    <row r="715" spans="1:3" x14ac:dyDescent="0.35">
      <c r="A715">
        <v>18019</v>
      </c>
      <c r="B715" t="s">
        <v>469</v>
      </c>
      <c r="C715" t="s">
        <v>3080</v>
      </c>
    </row>
    <row r="716" spans="1:3" x14ac:dyDescent="0.35">
      <c r="A716">
        <v>18021</v>
      </c>
      <c r="B716" t="s">
        <v>329</v>
      </c>
      <c r="C716" t="s">
        <v>3080</v>
      </c>
    </row>
    <row r="717" spans="1:3" x14ac:dyDescent="0.35">
      <c r="A717">
        <v>18023</v>
      </c>
      <c r="B717" t="s">
        <v>2727</v>
      </c>
      <c r="C717" t="s">
        <v>3080</v>
      </c>
    </row>
    <row r="718" spans="1:3" x14ac:dyDescent="0.35">
      <c r="A718">
        <v>18025</v>
      </c>
      <c r="B718" t="s">
        <v>526</v>
      </c>
      <c r="C718" t="s">
        <v>3080</v>
      </c>
    </row>
    <row r="719" spans="1:3" x14ac:dyDescent="0.35">
      <c r="A719">
        <v>18027</v>
      </c>
      <c r="B719" t="s">
        <v>2730</v>
      </c>
      <c r="C719" t="s">
        <v>3080</v>
      </c>
    </row>
    <row r="720" spans="1:3" x14ac:dyDescent="0.35">
      <c r="A720">
        <v>18029</v>
      </c>
      <c r="B720" t="s">
        <v>3084</v>
      </c>
      <c r="C720" t="s">
        <v>3080</v>
      </c>
    </row>
    <row r="721" spans="1:3" x14ac:dyDescent="0.35">
      <c r="A721">
        <v>18031</v>
      </c>
      <c r="B721" t="s">
        <v>1039</v>
      </c>
      <c r="C721" t="s">
        <v>3080</v>
      </c>
    </row>
    <row r="722" spans="1:3" x14ac:dyDescent="0.35">
      <c r="A722">
        <v>18033</v>
      </c>
      <c r="B722" t="s">
        <v>349</v>
      </c>
      <c r="C722" t="s">
        <v>3080</v>
      </c>
    </row>
    <row r="723" spans="1:3" x14ac:dyDescent="0.35">
      <c r="A723">
        <v>18035</v>
      </c>
      <c r="B723" t="s">
        <v>3085</v>
      </c>
      <c r="C723" t="s">
        <v>3080</v>
      </c>
    </row>
    <row r="724" spans="1:3" x14ac:dyDescent="0.35">
      <c r="A724">
        <v>18037</v>
      </c>
      <c r="B724" t="s">
        <v>3086</v>
      </c>
      <c r="C724" t="s">
        <v>3080</v>
      </c>
    </row>
    <row r="725" spans="1:3" x14ac:dyDescent="0.35">
      <c r="A725">
        <v>18039</v>
      </c>
      <c r="B725" t="s">
        <v>3087</v>
      </c>
      <c r="C725" t="s">
        <v>3080</v>
      </c>
    </row>
    <row r="726" spans="1:3" x14ac:dyDescent="0.35">
      <c r="A726">
        <v>18041</v>
      </c>
      <c r="B726" t="s">
        <v>353</v>
      </c>
      <c r="C726" t="s">
        <v>3080</v>
      </c>
    </row>
    <row r="727" spans="1:3" x14ac:dyDescent="0.35">
      <c r="A727">
        <v>18043</v>
      </c>
      <c r="B727" t="s">
        <v>996</v>
      </c>
      <c r="C727" t="s">
        <v>3080</v>
      </c>
    </row>
    <row r="728" spans="1:3" x14ac:dyDescent="0.35">
      <c r="A728">
        <v>18045</v>
      </c>
      <c r="B728" t="s">
        <v>3088</v>
      </c>
      <c r="C728" t="s">
        <v>3080</v>
      </c>
    </row>
    <row r="729" spans="1:3" x14ac:dyDescent="0.35">
      <c r="A729">
        <v>18047</v>
      </c>
      <c r="B729" t="s">
        <v>355</v>
      </c>
      <c r="C729" t="s">
        <v>3080</v>
      </c>
    </row>
    <row r="730" spans="1:3" x14ac:dyDescent="0.35">
      <c r="A730">
        <v>18049</v>
      </c>
      <c r="B730" t="s">
        <v>422</v>
      </c>
      <c r="C730" t="s">
        <v>3080</v>
      </c>
    </row>
    <row r="731" spans="1:3" x14ac:dyDescent="0.35">
      <c r="A731">
        <v>18051</v>
      </c>
      <c r="B731" t="s">
        <v>1872</v>
      </c>
      <c r="C731" t="s">
        <v>3080</v>
      </c>
    </row>
    <row r="732" spans="1:3" x14ac:dyDescent="0.35">
      <c r="A732">
        <v>18053</v>
      </c>
      <c r="B732" t="s">
        <v>413</v>
      </c>
      <c r="C732" t="s">
        <v>3080</v>
      </c>
    </row>
    <row r="733" spans="1:3" x14ac:dyDescent="0.35">
      <c r="A733">
        <v>18055</v>
      </c>
      <c r="B733" t="s">
        <v>305</v>
      </c>
      <c r="C733" t="s">
        <v>3080</v>
      </c>
    </row>
    <row r="734" spans="1:3" x14ac:dyDescent="0.35">
      <c r="A734">
        <v>18057</v>
      </c>
      <c r="B734" t="s">
        <v>613</v>
      </c>
      <c r="C734" t="s">
        <v>3080</v>
      </c>
    </row>
    <row r="735" spans="1:3" x14ac:dyDescent="0.35">
      <c r="A735">
        <v>18059</v>
      </c>
      <c r="B735" t="s">
        <v>1062</v>
      </c>
      <c r="C735" t="s">
        <v>3080</v>
      </c>
    </row>
    <row r="736" spans="1:3" x14ac:dyDescent="0.35">
      <c r="A736">
        <v>18061</v>
      </c>
      <c r="B736" t="s">
        <v>1250</v>
      </c>
      <c r="C736" t="s">
        <v>3080</v>
      </c>
    </row>
    <row r="737" spans="1:3" x14ac:dyDescent="0.35">
      <c r="A737">
        <v>18063</v>
      </c>
      <c r="B737" t="s">
        <v>3089</v>
      </c>
      <c r="C737" t="s">
        <v>3080</v>
      </c>
    </row>
    <row r="738" spans="1:3" x14ac:dyDescent="0.35">
      <c r="A738">
        <v>18065</v>
      </c>
      <c r="B738" t="s">
        <v>269</v>
      </c>
      <c r="C738" t="s">
        <v>3080</v>
      </c>
    </row>
    <row r="739" spans="1:3" x14ac:dyDescent="0.35">
      <c r="A739">
        <v>18067</v>
      </c>
      <c r="B739" t="s">
        <v>520</v>
      </c>
      <c r="C739" t="s">
        <v>3080</v>
      </c>
    </row>
    <row r="740" spans="1:3" x14ac:dyDescent="0.35">
      <c r="A740">
        <v>18069</v>
      </c>
      <c r="B740" t="s">
        <v>3090</v>
      </c>
      <c r="C740" t="s">
        <v>3080</v>
      </c>
    </row>
    <row r="741" spans="1:3" x14ac:dyDescent="0.35">
      <c r="A741">
        <v>18071</v>
      </c>
      <c r="B741" t="s">
        <v>357</v>
      </c>
      <c r="C741" t="s">
        <v>3080</v>
      </c>
    </row>
    <row r="742" spans="1:3" x14ac:dyDescent="0.35">
      <c r="A742">
        <v>18073</v>
      </c>
      <c r="B742" t="s">
        <v>837</v>
      </c>
      <c r="C742" t="s">
        <v>3080</v>
      </c>
    </row>
    <row r="743" spans="1:3" x14ac:dyDescent="0.35">
      <c r="A743">
        <v>18075</v>
      </c>
      <c r="B743" t="s">
        <v>3091</v>
      </c>
      <c r="C743" t="s">
        <v>3080</v>
      </c>
    </row>
    <row r="744" spans="1:3" x14ac:dyDescent="0.35">
      <c r="A744">
        <v>18077</v>
      </c>
      <c r="B744" t="s">
        <v>247</v>
      </c>
      <c r="C744" t="s">
        <v>3080</v>
      </c>
    </row>
    <row r="745" spans="1:3" x14ac:dyDescent="0.35">
      <c r="A745">
        <v>18079</v>
      </c>
      <c r="B745" t="s">
        <v>3092</v>
      </c>
      <c r="C745" t="s">
        <v>3080</v>
      </c>
    </row>
    <row r="746" spans="1:3" x14ac:dyDescent="0.35">
      <c r="A746">
        <v>18081</v>
      </c>
      <c r="B746" t="s">
        <v>535</v>
      </c>
      <c r="C746" t="s">
        <v>3080</v>
      </c>
    </row>
    <row r="747" spans="1:3" x14ac:dyDescent="0.35">
      <c r="A747">
        <v>18083</v>
      </c>
      <c r="B747" t="s">
        <v>1819</v>
      </c>
      <c r="C747" t="s">
        <v>3080</v>
      </c>
    </row>
    <row r="748" spans="1:3" x14ac:dyDescent="0.35">
      <c r="A748">
        <v>18085</v>
      </c>
      <c r="B748" t="s">
        <v>3093</v>
      </c>
      <c r="C748" t="s">
        <v>3080</v>
      </c>
    </row>
    <row r="749" spans="1:3" x14ac:dyDescent="0.35">
      <c r="A749">
        <v>18087</v>
      </c>
      <c r="B749" t="s">
        <v>3094</v>
      </c>
      <c r="C749" t="s">
        <v>3080</v>
      </c>
    </row>
    <row r="750" spans="1:3" x14ac:dyDescent="0.35">
      <c r="A750">
        <v>18089</v>
      </c>
      <c r="B750" t="s">
        <v>654</v>
      </c>
      <c r="C750" t="s">
        <v>3080</v>
      </c>
    </row>
    <row r="751" spans="1:3" x14ac:dyDescent="0.35">
      <c r="A751">
        <v>18091</v>
      </c>
      <c r="B751" t="s">
        <v>3095</v>
      </c>
      <c r="C751" t="s">
        <v>3080</v>
      </c>
    </row>
    <row r="752" spans="1:3" x14ac:dyDescent="0.35">
      <c r="A752">
        <v>18093</v>
      </c>
      <c r="B752" t="s">
        <v>261</v>
      </c>
      <c r="C752" t="s">
        <v>3080</v>
      </c>
    </row>
    <row r="753" spans="1:3" x14ac:dyDescent="0.35">
      <c r="A753">
        <v>18095</v>
      </c>
      <c r="B753" t="s">
        <v>287</v>
      </c>
      <c r="C753" t="s">
        <v>3080</v>
      </c>
    </row>
    <row r="754" spans="1:3" x14ac:dyDescent="0.35">
      <c r="A754">
        <v>18097</v>
      </c>
      <c r="B754" t="s">
        <v>365</v>
      </c>
      <c r="C754" t="s">
        <v>3080</v>
      </c>
    </row>
    <row r="755" spans="1:3" x14ac:dyDescent="0.35">
      <c r="A755">
        <v>18099</v>
      </c>
      <c r="B755" t="s">
        <v>367</v>
      </c>
      <c r="C755" t="s">
        <v>3080</v>
      </c>
    </row>
    <row r="756" spans="1:3" x14ac:dyDescent="0.35">
      <c r="A756">
        <v>18101</v>
      </c>
      <c r="B756" t="s">
        <v>683</v>
      </c>
      <c r="C756" t="s">
        <v>3080</v>
      </c>
    </row>
    <row r="757" spans="1:3" x14ac:dyDescent="0.35">
      <c r="A757">
        <v>18103</v>
      </c>
      <c r="B757" t="s">
        <v>3096</v>
      </c>
      <c r="C757" t="s">
        <v>3080</v>
      </c>
    </row>
    <row r="758" spans="1:3" x14ac:dyDescent="0.35">
      <c r="A758">
        <v>18105</v>
      </c>
      <c r="B758" t="s">
        <v>369</v>
      </c>
      <c r="C758" t="s">
        <v>3080</v>
      </c>
    </row>
    <row r="759" spans="1:3" x14ac:dyDescent="0.35">
      <c r="A759">
        <v>18107</v>
      </c>
      <c r="B759" t="s">
        <v>301</v>
      </c>
      <c r="C759" t="s">
        <v>3080</v>
      </c>
    </row>
    <row r="760" spans="1:3" x14ac:dyDescent="0.35">
      <c r="A760">
        <v>18109</v>
      </c>
      <c r="B760" t="s">
        <v>263</v>
      </c>
      <c r="C760" t="s">
        <v>3080</v>
      </c>
    </row>
    <row r="761" spans="1:3" x14ac:dyDescent="0.35">
      <c r="A761">
        <v>18111</v>
      </c>
      <c r="B761" t="s">
        <v>461</v>
      </c>
      <c r="C761" t="s">
        <v>3080</v>
      </c>
    </row>
    <row r="762" spans="1:3" x14ac:dyDescent="0.35">
      <c r="A762">
        <v>18113</v>
      </c>
      <c r="B762" t="s">
        <v>3097</v>
      </c>
      <c r="C762" t="s">
        <v>3080</v>
      </c>
    </row>
    <row r="763" spans="1:3" x14ac:dyDescent="0.35">
      <c r="A763">
        <v>18115</v>
      </c>
      <c r="B763" t="s">
        <v>2807</v>
      </c>
      <c r="C763" t="s">
        <v>3080</v>
      </c>
    </row>
    <row r="764" spans="1:3" x14ac:dyDescent="0.35">
      <c r="A764">
        <v>18117</v>
      </c>
      <c r="B764" t="s">
        <v>706</v>
      </c>
      <c r="C764" t="s">
        <v>3080</v>
      </c>
    </row>
    <row r="765" spans="1:3" x14ac:dyDescent="0.35">
      <c r="A765">
        <v>18119</v>
      </c>
      <c r="B765" t="s">
        <v>3098</v>
      </c>
      <c r="C765" t="s">
        <v>3080</v>
      </c>
    </row>
    <row r="766" spans="1:3" x14ac:dyDescent="0.35">
      <c r="A766">
        <v>18121</v>
      </c>
      <c r="B766" t="s">
        <v>3099</v>
      </c>
      <c r="C766" t="s">
        <v>3080</v>
      </c>
    </row>
    <row r="767" spans="1:3" x14ac:dyDescent="0.35">
      <c r="A767">
        <v>18123</v>
      </c>
      <c r="B767" t="s">
        <v>371</v>
      </c>
      <c r="C767" t="s">
        <v>3080</v>
      </c>
    </row>
    <row r="768" spans="1:3" x14ac:dyDescent="0.35">
      <c r="A768">
        <v>18125</v>
      </c>
      <c r="B768" t="s">
        <v>375</v>
      </c>
      <c r="C768" t="s">
        <v>3080</v>
      </c>
    </row>
    <row r="769" spans="1:3" x14ac:dyDescent="0.35">
      <c r="A769">
        <v>18127</v>
      </c>
      <c r="B769" t="s">
        <v>3100</v>
      </c>
      <c r="C769" t="s">
        <v>3080</v>
      </c>
    </row>
    <row r="770" spans="1:3" x14ac:dyDescent="0.35">
      <c r="A770">
        <v>18129</v>
      </c>
      <c r="B770" t="s">
        <v>3101</v>
      </c>
      <c r="C770" t="s">
        <v>3080</v>
      </c>
    </row>
    <row r="771" spans="1:3" x14ac:dyDescent="0.35">
      <c r="A771">
        <v>18131</v>
      </c>
      <c r="B771" t="s">
        <v>398</v>
      </c>
      <c r="C771" t="s">
        <v>3080</v>
      </c>
    </row>
    <row r="772" spans="1:3" x14ac:dyDescent="0.35">
      <c r="A772">
        <v>18133</v>
      </c>
      <c r="B772" t="s">
        <v>729</v>
      </c>
      <c r="C772" t="s">
        <v>3080</v>
      </c>
    </row>
    <row r="773" spans="1:3" x14ac:dyDescent="0.35">
      <c r="A773">
        <v>18135</v>
      </c>
      <c r="B773" t="s">
        <v>377</v>
      </c>
      <c r="C773" t="s">
        <v>3080</v>
      </c>
    </row>
    <row r="774" spans="1:3" x14ac:dyDescent="0.35">
      <c r="A774">
        <v>18137</v>
      </c>
      <c r="B774" t="s">
        <v>2759</v>
      </c>
      <c r="C774" t="s">
        <v>3080</v>
      </c>
    </row>
    <row r="775" spans="1:3" x14ac:dyDescent="0.35">
      <c r="A775">
        <v>18139</v>
      </c>
      <c r="B775" t="s">
        <v>3102</v>
      </c>
      <c r="C775" t="s">
        <v>3080</v>
      </c>
    </row>
    <row r="776" spans="1:3" x14ac:dyDescent="0.35">
      <c r="A776">
        <v>18141</v>
      </c>
      <c r="B776" t="s">
        <v>3103</v>
      </c>
      <c r="C776" t="s">
        <v>3080</v>
      </c>
    </row>
    <row r="777" spans="1:3" x14ac:dyDescent="0.35">
      <c r="A777">
        <v>18143</v>
      </c>
      <c r="B777" t="s">
        <v>528</v>
      </c>
      <c r="C777" t="s">
        <v>3080</v>
      </c>
    </row>
    <row r="778" spans="1:3" x14ac:dyDescent="0.35">
      <c r="A778">
        <v>18145</v>
      </c>
      <c r="B778" t="s">
        <v>249</v>
      </c>
      <c r="C778" t="s">
        <v>3080</v>
      </c>
    </row>
    <row r="779" spans="1:3" x14ac:dyDescent="0.35">
      <c r="A779">
        <v>18147</v>
      </c>
      <c r="B779" t="s">
        <v>3104</v>
      </c>
      <c r="C779" t="s">
        <v>3080</v>
      </c>
    </row>
    <row r="780" spans="1:3" x14ac:dyDescent="0.35">
      <c r="A780">
        <v>18149</v>
      </c>
      <c r="B780" t="s">
        <v>3105</v>
      </c>
      <c r="C780" t="s">
        <v>3080</v>
      </c>
    </row>
    <row r="781" spans="1:3" x14ac:dyDescent="0.35">
      <c r="A781">
        <v>18151</v>
      </c>
      <c r="B781" t="s">
        <v>3106</v>
      </c>
      <c r="C781" t="s">
        <v>3080</v>
      </c>
    </row>
    <row r="782" spans="1:3" x14ac:dyDescent="0.35">
      <c r="A782">
        <v>18153</v>
      </c>
      <c r="B782" t="s">
        <v>1801</v>
      </c>
      <c r="C782" t="s">
        <v>3080</v>
      </c>
    </row>
    <row r="783" spans="1:3" x14ac:dyDescent="0.35">
      <c r="A783">
        <v>18155</v>
      </c>
      <c r="B783" t="s">
        <v>3107</v>
      </c>
      <c r="C783" t="s">
        <v>3080</v>
      </c>
    </row>
    <row r="784" spans="1:3" x14ac:dyDescent="0.35">
      <c r="A784">
        <v>18157</v>
      </c>
      <c r="B784" t="s">
        <v>3108</v>
      </c>
      <c r="C784" t="s">
        <v>3080</v>
      </c>
    </row>
    <row r="785" spans="1:3" x14ac:dyDescent="0.35">
      <c r="A785">
        <v>18159</v>
      </c>
      <c r="B785" t="s">
        <v>1893</v>
      </c>
      <c r="C785" t="s">
        <v>3080</v>
      </c>
    </row>
    <row r="786" spans="1:3" x14ac:dyDescent="0.35">
      <c r="A786">
        <v>18161</v>
      </c>
      <c r="B786" t="s">
        <v>518</v>
      </c>
      <c r="C786" t="s">
        <v>3080</v>
      </c>
    </row>
    <row r="787" spans="1:3" x14ac:dyDescent="0.35">
      <c r="A787">
        <v>18163</v>
      </c>
      <c r="B787" t="s">
        <v>3109</v>
      </c>
      <c r="C787" t="s">
        <v>3080</v>
      </c>
    </row>
    <row r="788" spans="1:3" x14ac:dyDescent="0.35">
      <c r="A788">
        <v>18165</v>
      </c>
      <c r="B788" t="s">
        <v>3110</v>
      </c>
      <c r="C788" t="s">
        <v>3080</v>
      </c>
    </row>
    <row r="789" spans="1:3" x14ac:dyDescent="0.35">
      <c r="A789">
        <v>18167</v>
      </c>
      <c r="B789" t="s">
        <v>3111</v>
      </c>
      <c r="C789" t="s">
        <v>3080</v>
      </c>
    </row>
    <row r="790" spans="1:3" x14ac:dyDescent="0.35">
      <c r="A790">
        <v>18169</v>
      </c>
      <c r="B790" t="s">
        <v>3075</v>
      </c>
      <c r="C790" t="s">
        <v>3080</v>
      </c>
    </row>
    <row r="791" spans="1:3" x14ac:dyDescent="0.35">
      <c r="A791">
        <v>18171</v>
      </c>
      <c r="B791" t="s">
        <v>873</v>
      </c>
      <c r="C791" t="s">
        <v>3080</v>
      </c>
    </row>
    <row r="792" spans="1:3" x14ac:dyDescent="0.35">
      <c r="A792">
        <v>18173</v>
      </c>
      <c r="B792" t="s">
        <v>3112</v>
      </c>
      <c r="C792" t="s">
        <v>3080</v>
      </c>
    </row>
    <row r="793" spans="1:3" x14ac:dyDescent="0.35">
      <c r="A793">
        <v>18175</v>
      </c>
      <c r="B793" t="s">
        <v>385</v>
      </c>
      <c r="C793" t="s">
        <v>3080</v>
      </c>
    </row>
    <row r="794" spans="1:3" x14ac:dyDescent="0.35">
      <c r="A794">
        <v>18177</v>
      </c>
      <c r="B794" t="s">
        <v>894</v>
      </c>
      <c r="C794" t="s">
        <v>3080</v>
      </c>
    </row>
    <row r="795" spans="1:3" x14ac:dyDescent="0.35">
      <c r="A795">
        <v>18179</v>
      </c>
      <c r="B795" t="s">
        <v>3113</v>
      </c>
      <c r="C795" t="s">
        <v>3080</v>
      </c>
    </row>
    <row r="796" spans="1:3" x14ac:dyDescent="0.35">
      <c r="A796">
        <v>18181</v>
      </c>
      <c r="B796" t="s">
        <v>417</v>
      </c>
      <c r="C796" t="s">
        <v>3080</v>
      </c>
    </row>
    <row r="797" spans="1:3" x14ac:dyDescent="0.35">
      <c r="A797">
        <v>18183</v>
      </c>
      <c r="B797" t="s">
        <v>3114</v>
      </c>
      <c r="C797" t="s">
        <v>3080</v>
      </c>
    </row>
    <row r="798" spans="1:3" x14ac:dyDescent="0.35">
      <c r="A798">
        <v>19001</v>
      </c>
      <c r="B798" t="s">
        <v>2713</v>
      </c>
      <c r="C798" t="s">
        <v>3115</v>
      </c>
    </row>
    <row r="799" spans="1:3" x14ac:dyDescent="0.35">
      <c r="A799">
        <v>19003</v>
      </c>
      <c r="B799" t="s">
        <v>1255</v>
      </c>
      <c r="C799" t="s">
        <v>3115</v>
      </c>
    </row>
    <row r="800" spans="1:3" x14ac:dyDescent="0.35">
      <c r="A800">
        <v>19005</v>
      </c>
      <c r="B800" t="s">
        <v>3116</v>
      </c>
      <c r="C800" t="s">
        <v>3115</v>
      </c>
    </row>
    <row r="801" spans="1:3" x14ac:dyDescent="0.35">
      <c r="A801">
        <v>19007</v>
      </c>
      <c r="B801" t="s">
        <v>3117</v>
      </c>
      <c r="C801" t="s">
        <v>3115</v>
      </c>
    </row>
    <row r="802" spans="1:3" x14ac:dyDescent="0.35">
      <c r="A802">
        <v>19009</v>
      </c>
      <c r="B802" t="s">
        <v>3118</v>
      </c>
      <c r="C802" t="s">
        <v>3115</v>
      </c>
    </row>
    <row r="803" spans="1:3" x14ac:dyDescent="0.35">
      <c r="A803">
        <v>19011</v>
      </c>
      <c r="B803" t="s">
        <v>456</v>
      </c>
      <c r="C803" t="s">
        <v>3115</v>
      </c>
    </row>
    <row r="804" spans="1:3" x14ac:dyDescent="0.35">
      <c r="A804">
        <v>19013</v>
      </c>
      <c r="B804" t="s">
        <v>3119</v>
      </c>
      <c r="C804" t="s">
        <v>3115</v>
      </c>
    </row>
    <row r="805" spans="1:3" x14ac:dyDescent="0.35">
      <c r="A805">
        <v>19015</v>
      </c>
      <c r="B805" t="s">
        <v>459</v>
      </c>
      <c r="C805" t="s">
        <v>3115</v>
      </c>
    </row>
    <row r="806" spans="1:3" x14ac:dyDescent="0.35">
      <c r="A806">
        <v>19017</v>
      </c>
      <c r="B806" t="s">
        <v>3120</v>
      </c>
      <c r="C806" t="s">
        <v>3115</v>
      </c>
    </row>
    <row r="807" spans="1:3" x14ac:dyDescent="0.35">
      <c r="A807">
        <v>19019</v>
      </c>
      <c r="B807" t="s">
        <v>2721</v>
      </c>
      <c r="C807" t="s">
        <v>3115</v>
      </c>
    </row>
    <row r="808" spans="1:3" x14ac:dyDescent="0.35">
      <c r="A808">
        <v>19021</v>
      </c>
      <c r="B808" t="s">
        <v>3121</v>
      </c>
      <c r="C808" t="s">
        <v>3115</v>
      </c>
    </row>
    <row r="809" spans="1:3" x14ac:dyDescent="0.35">
      <c r="A809">
        <v>19023</v>
      </c>
      <c r="B809" t="s">
        <v>319</v>
      </c>
      <c r="C809" t="s">
        <v>3115</v>
      </c>
    </row>
    <row r="810" spans="1:3" x14ac:dyDescent="0.35">
      <c r="A810">
        <v>19025</v>
      </c>
      <c r="B810" t="s">
        <v>233</v>
      </c>
      <c r="C810" t="s">
        <v>3115</v>
      </c>
    </row>
    <row r="811" spans="1:3" x14ac:dyDescent="0.35">
      <c r="A811">
        <v>19027</v>
      </c>
      <c r="B811" t="s">
        <v>463</v>
      </c>
      <c r="C811" t="s">
        <v>3115</v>
      </c>
    </row>
    <row r="812" spans="1:3" x14ac:dyDescent="0.35">
      <c r="A812">
        <v>19029</v>
      </c>
      <c r="B812" t="s">
        <v>2313</v>
      </c>
      <c r="C812" t="s">
        <v>3115</v>
      </c>
    </row>
    <row r="813" spans="1:3" x14ac:dyDescent="0.35">
      <c r="A813">
        <v>19031</v>
      </c>
      <c r="B813" t="s">
        <v>2724</v>
      </c>
      <c r="C813" t="s">
        <v>3115</v>
      </c>
    </row>
    <row r="814" spans="1:3" x14ac:dyDescent="0.35">
      <c r="A814">
        <v>19033</v>
      </c>
      <c r="B814" t="s">
        <v>3122</v>
      </c>
      <c r="C814" t="s">
        <v>3115</v>
      </c>
    </row>
    <row r="815" spans="1:3" x14ac:dyDescent="0.35">
      <c r="A815">
        <v>19035</v>
      </c>
      <c r="B815" t="s">
        <v>323</v>
      </c>
      <c r="C815" t="s">
        <v>3115</v>
      </c>
    </row>
    <row r="816" spans="1:3" x14ac:dyDescent="0.35">
      <c r="A816">
        <v>19037</v>
      </c>
      <c r="B816" t="s">
        <v>1267</v>
      </c>
      <c r="C816" t="s">
        <v>3115</v>
      </c>
    </row>
    <row r="817" spans="1:3" x14ac:dyDescent="0.35">
      <c r="A817">
        <v>19039</v>
      </c>
      <c r="B817" t="s">
        <v>327</v>
      </c>
      <c r="C817" t="s">
        <v>3115</v>
      </c>
    </row>
    <row r="818" spans="1:3" x14ac:dyDescent="0.35">
      <c r="A818">
        <v>19041</v>
      </c>
      <c r="B818" t="s">
        <v>329</v>
      </c>
      <c r="C818" t="s">
        <v>3115</v>
      </c>
    </row>
    <row r="819" spans="1:3" x14ac:dyDescent="0.35">
      <c r="A819">
        <v>19043</v>
      </c>
      <c r="B819" t="s">
        <v>821</v>
      </c>
      <c r="C819" t="s">
        <v>3115</v>
      </c>
    </row>
    <row r="820" spans="1:3" x14ac:dyDescent="0.35">
      <c r="A820">
        <v>19045</v>
      </c>
      <c r="B820" t="s">
        <v>2727</v>
      </c>
      <c r="C820" t="s">
        <v>3115</v>
      </c>
    </row>
    <row r="821" spans="1:3" x14ac:dyDescent="0.35">
      <c r="A821">
        <v>19047</v>
      </c>
      <c r="B821" t="s">
        <v>526</v>
      </c>
      <c r="C821" t="s">
        <v>3115</v>
      </c>
    </row>
    <row r="822" spans="1:3" x14ac:dyDescent="0.35">
      <c r="A822">
        <v>19049</v>
      </c>
      <c r="B822" t="s">
        <v>347</v>
      </c>
      <c r="C822" t="s">
        <v>3115</v>
      </c>
    </row>
    <row r="823" spans="1:3" x14ac:dyDescent="0.35">
      <c r="A823">
        <v>19051</v>
      </c>
      <c r="B823" t="s">
        <v>2776</v>
      </c>
      <c r="C823" t="s">
        <v>3115</v>
      </c>
    </row>
    <row r="824" spans="1:3" x14ac:dyDescent="0.35">
      <c r="A824">
        <v>19053</v>
      </c>
      <c r="B824" t="s">
        <v>1039</v>
      </c>
      <c r="C824" t="s">
        <v>3115</v>
      </c>
    </row>
    <row r="825" spans="1:3" x14ac:dyDescent="0.35">
      <c r="A825">
        <v>19055</v>
      </c>
      <c r="B825" t="s">
        <v>3085</v>
      </c>
      <c r="C825" t="s">
        <v>3115</v>
      </c>
    </row>
    <row r="826" spans="1:3" x14ac:dyDescent="0.35">
      <c r="A826">
        <v>19057</v>
      </c>
      <c r="B826" t="s">
        <v>3123</v>
      </c>
      <c r="C826" t="s">
        <v>3115</v>
      </c>
    </row>
    <row r="827" spans="1:3" x14ac:dyDescent="0.35">
      <c r="A827">
        <v>19059</v>
      </c>
      <c r="B827" t="s">
        <v>3124</v>
      </c>
      <c r="C827" t="s">
        <v>3115</v>
      </c>
    </row>
    <row r="828" spans="1:3" x14ac:dyDescent="0.35">
      <c r="A828">
        <v>19061</v>
      </c>
      <c r="B828" t="s">
        <v>3125</v>
      </c>
      <c r="C828" t="s">
        <v>3115</v>
      </c>
    </row>
    <row r="829" spans="1:3" x14ac:dyDescent="0.35">
      <c r="A829">
        <v>19063</v>
      </c>
      <c r="B829" t="s">
        <v>3126</v>
      </c>
      <c r="C829" t="s">
        <v>3115</v>
      </c>
    </row>
    <row r="830" spans="1:3" x14ac:dyDescent="0.35">
      <c r="A830">
        <v>19065</v>
      </c>
      <c r="B830" t="s">
        <v>353</v>
      </c>
      <c r="C830" t="s">
        <v>3115</v>
      </c>
    </row>
    <row r="831" spans="1:3" x14ac:dyDescent="0.35">
      <c r="A831">
        <v>19067</v>
      </c>
      <c r="B831" t="s">
        <v>996</v>
      </c>
      <c r="C831" t="s">
        <v>3115</v>
      </c>
    </row>
    <row r="832" spans="1:3" x14ac:dyDescent="0.35">
      <c r="A832">
        <v>19069</v>
      </c>
      <c r="B832" t="s">
        <v>355</v>
      </c>
      <c r="C832" t="s">
        <v>3115</v>
      </c>
    </row>
    <row r="833" spans="1:3" x14ac:dyDescent="0.35">
      <c r="A833">
        <v>19071</v>
      </c>
      <c r="B833" t="s">
        <v>2959</v>
      </c>
      <c r="C833" t="s">
        <v>3115</v>
      </c>
    </row>
    <row r="834" spans="1:3" x14ac:dyDescent="0.35">
      <c r="A834">
        <v>19073</v>
      </c>
      <c r="B834" t="s">
        <v>305</v>
      </c>
      <c r="C834" t="s">
        <v>3115</v>
      </c>
    </row>
    <row r="835" spans="1:3" x14ac:dyDescent="0.35">
      <c r="A835">
        <v>19075</v>
      </c>
      <c r="B835" t="s">
        <v>1835</v>
      </c>
      <c r="C835" t="s">
        <v>3115</v>
      </c>
    </row>
    <row r="836" spans="1:3" x14ac:dyDescent="0.35">
      <c r="A836">
        <v>19077</v>
      </c>
      <c r="B836" t="s">
        <v>3127</v>
      </c>
      <c r="C836" t="s">
        <v>3115</v>
      </c>
    </row>
    <row r="837" spans="1:3" x14ac:dyDescent="0.35">
      <c r="A837">
        <v>19079</v>
      </c>
      <c r="B837" t="s">
        <v>613</v>
      </c>
      <c r="C837" t="s">
        <v>3115</v>
      </c>
    </row>
    <row r="838" spans="1:3" x14ac:dyDescent="0.35">
      <c r="A838">
        <v>19081</v>
      </c>
      <c r="B838" t="s">
        <v>1062</v>
      </c>
      <c r="C838" t="s">
        <v>3115</v>
      </c>
    </row>
    <row r="839" spans="1:3" x14ac:dyDescent="0.35">
      <c r="A839">
        <v>19083</v>
      </c>
      <c r="B839" t="s">
        <v>1876</v>
      </c>
      <c r="C839" t="s">
        <v>3115</v>
      </c>
    </row>
    <row r="840" spans="1:3" x14ac:dyDescent="0.35">
      <c r="A840">
        <v>19085</v>
      </c>
      <c r="B840" t="s">
        <v>1250</v>
      </c>
      <c r="C840" t="s">
        <v>3115</v>
      </c>
    </row>
    <row r="841" spans="1:3" x14ac:dyDescent="0.35">
      <c r="A841">
        <v>19087</v>
      </c>
      <c r="B841" t="s">
        <v>269</v>
      </c>
      <c r="C841" t="s">
        <v>3115</v>
      </c>
    </row>
    <row r="842" spans="1:3" x14ac:dyDescent="0.35">
      <c r="A842">
        <v>19089</v>
      </c>
      <c r="B842" t="s">
        <v>520</v>
      </c>
      <c r="C842" t="s">
        <v>3115</v>
      </c>
    </row>
    <row r="843" spans="1:3" x14ac:dyDescent="0.35">
      <c r="A843">
        <v>19091</v>
      </c>
      <c r="B843" t="s">
        <v>2899</v>
      </c>
      <c r="C843" t="s">
        <v>3115</v>
      </c>
    </row>
    <row r="844" spans="1:3" x14ac:dyDescent="0.35">
      <c r="A844">
        <v>19093</v>
      </c>
      <c r="B844" t="s">
        <v>3128</v>
      </c>
      <c r="C844" t="s">
        <v>3115</v>
      </c>
    </row>
    <row r="845" spans="1:3" x14ac:dyDescent="0.35">
      <c r="A845">
        <v>19095</v>
      </c>
      <c r="B845" t="s">
        <v>3129</v>
      </c>
      <c r="C845" t="s">
        <v>3115</v>
      </c>
    </row>
    <row r="846" spans="1:3" x14ac:dyDescent="0.35">
      <c r="A846">
        <v>19097</v>
      </c>
      <c r="B846" t="s">
        <v>357</v>
      </c>
      <c r="C846" t="s">
        <v>3115</v>
      </c>
    </row>
    <row r="847" spans="1:3" x14ac:dyDescent="0.35">
      <c r="A847">
        <v>19099</v>
      </c>
      <c r="B847" t="s">
        <v>837</v>
      </c>
      <c r="C847" t="s">
        <v>3115</v>
      </c>
    </row>
    <row r="848" spans="1:3" x14ac:dyDescent="0.35">
      <c r="A848">
        <v>19101</v>
      </c>
      <c r="B848" t="s">
        <v>247</v>
      </c>
      <c r="C848" t="s">
        <v>3115</v>
      </c>
    </row>
    <row r="849" spans="1:3" x14ac:dyDescent="0.35">
      <c r="A849">
        <v>19103</v>
      </c>
      <c r="B849" t="s">
        <v>535</v>
      </c>
      <c r="C849" t="s">
        <v>3115</v>
      </c>
    </row>
    <row r="850" spans="1:3" x14ac:dyDescent="0.35">
      <c r="A850">
        <v>19105</v>
      </c>
      <c r="B850" t="s">
        <v>983</v>
      </c>
      <c r="C850" t="s">
        <v>3115</v>
      </c>
    </row>
    <row r="851" spans="1:3" x14ac:dyDescent="0.35">
      <c r="A851">
        <v>19107</v>
      </c>
      <c r="B851" t="s">
        <v>3130</v>
      </c>
      <c r="C851" t="s">
        <v>3115</v>
      </c>
    </row>
    <row r="852" spans="1:3" x14ac:dyDescent="0.35">
      <c r="A852">
        <v>19109</v>
      </c>
      <c r="B852" t="s">
        <v>3131</v>
      </c>
      <c r="C852" t="s">
        <v>3115</v>
      </c>
    </row>
    <row r="853" spans="1:3" x14ac:dyDescent="0.35">
      <c r="A853">
        <v>19111</v>
      </c>
      <c r="B853" t="s">
        <v>237</v>
      </c>
      <c r="C853" t="s">
        <v>3115</v>
      </c>
    </row>
    <row r="854" spans="1:3" x14ac:dyDescent="0.35">
      <c r="A854">
        <v>19113</v>
      </c>
      <c r="B854" t="s">
        <v>2741</v>
      </c>
      <c r="C854" t="s">
        <v>3115</v>
      </c>
    </row>
    <row r="855" spans="1:3" x14ac:dyDescent="0.35">
      <c r="A855">
        <v>19115</v>
      </c>
      <c r="B855" t="s">
        <v>3132</v>
      </c>
      <c r="C855" t="s">
        <v>3115</v>
      </c>
    </row>
    <row r="856" spans="1:3" x14ac:dyDescent="0.35">
      <c r="A856">
        <v>19117</v>
      </c>
      <c r="B856" t="s">
        <v>3133</v>
      </c>
      <c r="C856" t="s">
        <v>3115</v>
      </c>
    </row>
    <row r="857" spans="1:3" x14ac:dyDescent="0.35">
      <c r="A857">
        <v>19119</v>
      </c>
      <c r="B857" t="s">
        <v>3134</v>
      </c>
      <c r="C857" t="s">
        <v>3115</v>
      </c>
    </row>
    <row r="858" spans="1:3" x14ac:dyDescent="0.35">
      <c r="A858">
        <v>19121</v>
      </c>
      <c r="B858" t="s">
        <v>287</v>
      </c>
      <c r="C858" t="s">
        <v>3115</v>
      </c>
    </row>
    <row r="859" spans="1:3" x14ac:dyDescent="0.35">
      <c r="A859">
        <v>19123</v>
      </c>
      <c r="B859" t="s">
        <v>3135</v>
      </c>
      <c r="C859" t="s">
        <v>3115</v>
      </c>
    </row>
    <row r="860" spans="1:3" x14ac:dyDescent="0.35">
      <c r="A860">
        <v>19125</v>
      </c>
      <c r="B860" t="s">
        <v>365</v>
      </c>
      <c r="C860" t="s">
        <v>3115</v>
      </c>
    </row>
    <row r="861" spans="1:3" x14ac:dyDescent="0.35">
      <c r="A861">
        <v>19127</v>
      </c>
      <c r="B861" t="s">
        <v>367</v>
      </c>
      <c r="C861" t="s">
        <v>3115</v>
      </c>
    </row>
    <row r="862" spans="1:3" x14ac:dyDescent="0.35">
      <c r="A862">
        <v>19129</v>
      </c>
      <c r="B862" t="s">
        <v>2137</v>
      </c>
      <c r="C862" t="s">
        <v>3115</v>
      </c>
    </row>
    <row r="863" spans="1:3" x14ac:dyDescent="0.35">
      <c r="A863">
        <v>19131</v>
      </c>
      <c r="B863" t="s">
        <v>791</v>
      </c>
      <c r="C863" t="s">
        <v>3115</v>
      </c>
    </row>
    <row r="864" spans="1:3" x14ac:dyDescent="0.35">
      <c r="A864">
        <v>19133</v>
      </c>
      <c r="B864" t="s">
        <v>3136</v>
      </c>
      <c r="C864" t="s">
        <v>3115</v>
      </c>
    </row>
    <row r="865" spans="1:3" x14ac:dyDescent="0.35">
      <c r="A865">
        <v>19135</v>
      </c>
      <c r="B865" t="s">
        <v>369</v>
      </c>
      <c r="C865" t="s">
        <v>3115</v>
      </c>
    </row>
    <row r="866" spans="1:3" x14ac:dyDescent="0.35">
      <c r="A866">
        <v>19137</v>
      </c>
      <c r="B866" t="s">
        <v>301</v>
      </c>
      <c r="C866" t="s">
        <v>3115</v>
      </c>
    </row>
    <row r="867" spans="1:3" x14ac:dyDescent="0.35">
      <c r="A867">
        <v>19139</v>
      </c>
      <c r="B867" t="s">
        <v>3137</v>
      </c>
      <c r="C867" t="s">
        <v>3115</v>
      </c>
    </row>
    <row r="868" spans="1:3" x14ac:dyDescent="0.35">
      <c r="A868">
        <v>19141</v>
      </c>
      <c r="B868" t="s">
        <v>3138</v>
      </c>
      <c r="C868" t="s">
        <v>3115</v>
      </c>
    </row>
    <row r="869" spans="1:3" x14ac:dyDescent="0.35">
      <c r="A869">
        <v>19143</v>
      </c>
      <c r="B869" t="s">
        <v>710</v>
      </c>
      <c r="C869" t="s">
        <v>3115</v>
      </c>
    </row>
    <row r="870" spans="1:3" x14ac:dyDescent="0.35">
      <c r="A870">
        <v>19145</v>
      </c>
      <c r="B870" t="s">
        <v>3139</v>
      </c>
      <c r="C870" t="s">
        <v>3115</v>
      </c>
    </row>
    <row r="871" spans="1:3" x14ac:dyDescent="0.35">
      <c r="A871">
        <v>19147</v>
      </c>
      <c r="B871" t="s">
        <v>3140</v>
      </c>
      <c r="C871" t="s">
        <v>3115</v>
      </c>
    </row>
    <row r="872" spans="1:3" x14ac:dyDescent="0.35">
      <c r="A872">
        <v>19149</v>
      </c>
      <c r="B872" t="s">
        <v>3141</v>
      </c>
      <c r="C872" t="s">
        <v>3115</v>
      </c>
    </row>
    <row r="873" spans="1:3" x14ac:dyDescent="0.35">
      <c r="A873">
        <v>19151</v>
      </c>
      <c r="B873" t="s">
        <v>2810</v>
      </c>
      <c r="C873" t="s">
        <v>3115</v>
      </c>
    </row>
    <row r="874" spans="1:3" x14ac:dyDescent="0.35">
      <c r="A874">
        <v>19153</v>
      </c>
      <c r="B874" t="s">
        <v>530</v>
      </c>
      <c r="C874" t="s">
        <v>3115</v>
      </c>
    </row>
    <row r="875" spans="1:3" x14ac:dyDescent="0.35">
      <c r="A875">
        <v>19155</v>
      </c>
      <c r="B875" t="s">
        <v>3142</v>
      </c>
      <c r="C875" t="s">
        <v>3115</v>
      </c>
    </row>
    <row r="876" spans="1:3" x14ac:dyDescent="0.35">
      <c r="A876">
        <v>19157</v>
      </c>
      <c r="B876" t="s">
        <v>3143</v>
      </c>
      <c r="C876" t="s">
        <v>3115</v>
      </c>
    </row>
    <row r="877" spans="1:3" x14ac:dyDescent="0.35">
      <c r="A877">
        <v>19159</v>
      </c>
      <c r="B877" t="s">
        <v>3144</v>
      </c>
      <c r="C877" t="s">
        <v>3115</v>
      </c>
    </row>
    <row r="878" spans="1:3" x14ac:dyDescent="0.35">
      <c r="A878">
        <v>19161</v>
      </c>
      <c r="B878" t="s">
        <v>3145</v>
      </c>
      <c r="C878" t="s">
        <v>3115</v>
      </c>
    </row>
    <row r="879" spans="1:3" x14ac:dyDescent="0.35">
      <c r="A879">
        <v>19163</v>
      </c>
      <c r="B879" t="s">
        <v>528</v>
      </c>
      <c r="C879" t="s">
        <v>3115</v>
      </c>
    </row>
    <row r="880" spans="1:3" x14ac:dyDescent="0.35">
      <c r="A880">
        <v>19165</v>
      </c>
      <c r="B880" t="s">
        <v>249</v>
      </c>
      <c r="C880" t="s">
        <v>3115</v>
      </c>
    </row>
    <row r="881" spans="1:3" x14ac:dyDescent="0.35">
      <c r="A881">
        <v>19167</v>
      </c>
      <c r="B881" t="s">
        <v>3146</v>
      </c>
      <c r="C881" t="s">
        <v>3115</v>
      </c>
    </row>
    <row r="882" spans="1:3" x14ac:dyDescent="0.35">
      <c r="A882">
        <v>19169</v>
      </c>
      <c r="B882" t="s">
        <v>3147</v>
      </c>
      <c r="C882" t="s">
        <v>3115</v>
      </c>
    </row>
    <row r="883" spans="1:3" x14ac:dyDescent="0.35">
      <c r="A883">
        <v>19171</v>
      </c>
      <c r="B883" t="s">
        <v>3148</v>
      </c>
      <c r="C883" t="s">
        <v>3115</v>
      </c>
    </row>
    <row r="884" spans="1:3" x14ac:dyDescent="0.35">
      <c r="A884">
        <v>19173</v>
      </c>
      <c r="B884" t="s">
        <v>760</v>
      </c>
      <c r="C884" t="s">
        <v>3115</v>
      </c>
    </row>
    <row r="885" spans="1:3" x14ac:dyDescent="0.35">
      <c r="A885">
        <v>19175</v>
      </c>
      <c r="B885" t="s">
        <v>518</v>
      </c>
      <c r="C885" t="s">
        <v>3115</v>
      </c>
    </row>
    <row r="886" spans="1:3" x14ac:dyDescent="0.35">
      <c r="A886">
        <v>19177</v>
      </c>
      <c r="B886" t="s">
        <v>411</v>
      </c>
      <c r="C886" t="s">
        <v>3115</v>
      </c>
    </row>
    <row r="887" spans="1:3" x14ac:dyDescent="0.35">
      <c r="A887">
        <v>19179</v>
      </c>
      <c r="B887" t="s">
        <v>3149</v>
      </c>
      <c r="C887" t="s">
        <v>3115</v>
      </c>
    </row>
    <row r="888" spans="1:3" x14ac:dyDescent="0.35">
      <c r="A888">
        <v>19181</v>
      </c>
      <c r="B888" t="s">
        <v>873</v>
      </c>
      <c r="C888" t="s">
        <v>3115</v>
      </c>
    </row>
    <row r="889" spans="1:3" x14ac:dyDescent="0.35">
      <c r="A889">
        <v>19183</v>
      </c>
      <c r="B889" t="s">
        <v>385</v>
      </c>
      <c r="C889" t="s">
        <v>3115</v>
      </c>
    </row>
    <row r="890" spans="1:3" x14ac:dyDescent="0.35">
      <c r="A890">
        <v>19185</v>
      </c>
      <c r="B890" t="s">
        <v>894</v>
      </c>
      <c r="C890" t="s">
        <v>3115</v>
      </c>
    </row>
    <row r="891" spans="1:3" x14ac:dyDescent="0.35">
      <c r="A891">
        <v>19187</v>
      </c>
      <c r="B891" t="s">
        <v>924</v>
      </c>
      <c r="C891" t="s">
        <v>3115</v>
      </c>
    </row>
    <row r="892" spans="1:3" x14ac:dyDescent="0.35">
      <c r="A892">
        <v>19189</v>
      </c>
      <c r="B892" t="s">
        <v>3078</v>
      </c>
      <c r="C892" t="s">
        <v>3115</v>
      </c>
    </row>
    <row r="893" spans="1:3" x14ac:dyDescent="0.35">
      <c r="A893">
        <v>19191</v>
      </c>
      <c r="B893" t="s">
        <v>3150</v>
      </c>
      <c r="C893" t="s">
        <v>3115</v>
      </c>
    </row>
    <row r="894" spans="1:3" x14ac:dyDescent="0.35">
      <c r="A894">
        <v>19193</v>
      </c>
      <c r="B894" t="s">
        <v>3151</v>
      </c>
      <c r="C894" t="s">
        <v>3115</v>
      </c>
    </row>
    <row r="895" spans="1:3" x14ac:dyDescent="0.35">
      <c r="A895">
        <v>19195</v>
      </c>
      <c r="B895" t="s">
        <v>799</v>
      </c>
      <c r="C895" t="s">
        <v>3115</v>
      </c>
    </row>
    <row r="896" spans="1:3" x14ac:dyDescent="0.35">
      <c r="A896">
        <v>19197</v>
      </c>
      <c r="B896" t="s">
        <v>2770</v>
      </c>
      <c r="C896" t="s">
        <v>3115</v>
      </c>
    </row>
    <row r="897" spans="1:3" x14ac:dyDescent="0.35">
      <c r="A897">
        <v>20001</v>
      </c>
      <c r="B897" t="s">
        <v>3081</v>
      </c>
      <c r="C897" t="s">
        <v>3152</v>
      </c>
    </row>
    <row r="898" spans="1:3" x14ac:dyDescent="0.35">
      <c r="A898">
        <v>20003</v>
      </c>
      <c r="B898" t="s">
        <v>1674</v>
      </c>
      <c r="C898" t="s">
        <v>3152</v>
      </c>
    </row>
    <row r="899" spans="1:3" x14ac:dyDescent="0.35">
      <c r="A899">
        <v>20005</v>
      </c>
      <c r="B899" t="s">
        <v>2715</v>
      </c>
      <c r="C899" t="s">
        <v>3152</v>
      </c>
    </row>
    <row r="900" spans="1:3" x14ac:dyDescent="0.35">
      <c r="A900">
        <v>20007</v>
      </c>
      <c r="B900" t="s">
        <v>3153</v>
      </c>
      <c r="C900" t="s">
        <v>3152</v>
      </c>
    </row>
    <row r="901" spans="1:3" x14ac:dyDescent="0.35">
      <c r="A901">
        <v>20009</v>
      </c>
      <c r="B901" t="s">
        <v>2718</v>
      </c>
      <c r="C901" t="s">
        <v>3152</v>
      </c>
    </row>
    <row r="902" spans="1:3" x14ac:dyDescent="0.35">
      <c r="A902">
        <v>20011</v>
      </c>
      <c r="B902" t="s">
        <v>3154</v>
      </c>
      <c r="C902" t="s">
        <v>3152</v>
      </c>
    </row>
    <row r="903" spans="1:3" x14ac:dyDescent="0.35">
      <c r="A903">
        <v>20013</v>
      </c>
      <c r="B903" t="s">
        <v>1939</v>
      </c>
      <c r="C903" t="s">
        <v>3152</v>
      </c>
    </row>
    <row r="904" spans="1:3" x14ac:dyDescent="0.35">
      <c r="A904">
        <v>20015</v>
      </c>
      <c r="B904" t="s">
        <v>319</v>
      </c>
      <c r="C904" t="s">
        <v>3152</v>
      </c>
    </row>
    <row r="905" spans="1:3" x14ac:dyDescent="0.35">
      <c r="A905">
        <v>20017</v>
      </c>
      <c r="B905" t="s">
        <v>3155</v>
      </c>
      <c r="C905" t="s">
        <v>3152</v>
      </c>
    </row>
    <row r="906" spans="1:3" x14ac:dyDescent="0.35">
      <c r="A906">
        <v>20019</v>
      </c>
      <c r="B906" t="s">
        <v>3156</v>
      </c>
      <c r="C906" t="s">
        <v>3152</v>
      </c>
    </row>
    <row r="907" spans="1:3" x14ac:dyDescent="0.35">
      <c r="A907">
        <v>20021</v>
      </c>
      <c r="B907" t="s">
        <v>323</v>
      </c>
      <c r="C907" t="s">
        <v>3152</v>
      </c>
    </row>
    <row r="908" spans="1:3" x14ac:dyDescent="0.35">
      <c r="A908">
        <v>20023</v>
      </c>
      <c r="B908" t="s">
        <v>2950</v>
      </c>
      <c r="C908" t="s">
        <v>3152</v>
      </c>
    </row>
    <row r="909" spans="1:3" x14ac:dyDescent="0.35">
      <c r="A909">
        <v>20025</v>
      </c>
      <c r="B909" t="s">
        <v>469</v>
      </c>
      <c r="C909" t="s">
        <v>3152</v>
      </c>
    </row>
    <row r="910" spans="1:3" x14ac:dyDescent="0.35">
      <c r="A910">
        <v>20027</v>
      </c>
      <c r="B910" t="s">
        <v>329</v>
      </c>
      <c r="C910" t="s">
        <v>3152</v>
      </c>
    </row>
    <row r="911" spans="1:3" x14ac:dyDescent="0.35">
      <c r="A911">
        <v>20029</v>
      </c>
      <c r="B911" t="s">
        <v>3157</v>
      </c>
      <c r="C911" t="s">
        <v>3152</v>
      </c>
    </row>
    <row r="912" spans="1:3" x14ac:dyDescent="0.35">
      <c r="A912">
        <v>20031</v>
      </c>
      <c r="B912" t="s">
        <v>3158</v>
      </c>
      <c r="C912" t="s">
        <v>3152</v>
      </c>
    </row>
    <row r="913" spans="1:3" x14ac:dyDescent="0.35">
      <c r="A913">
        <v>20033</v>
      </c>
      <c r="B913" t="s">
        <v>1945</v>
      </c>
      <c r="C913" t="s">
        <v>3152</v>
      </c>
    </row>
    <row r="914" spans="1:3" x14ac:dyDescent="0.35">
      <c r="A914">
        <v>20035</v>
      </c>
      <c r="B914" t="s">
        <v>3159</v>
      </c>
      <c r="C914" t="s">
        <v>3152</v>
      </c>
    </row>
    <row r="915" spans="1:3" x14ac:dyDescent="0.35">
      <c r="A915">
        <v>20037</v>
      </c>
      <c r="B915" t="s">
        <v>526</v>
      </c>
      <c r="C915" t="s">
        <v>3152</v>
      </c>
    </row>
    <row r="916" spans="1:3" x14ac:dyDescent="0.35">
      <c r="A916">
        <v>20039</v>
      </c>
      <c r="B916" t="s">
        <v>1039</v>
      </c>
      <c r="C916" t="s">
        <v>3152</v>
      </c>
    </row>
    <row r="917" spans="1:3" x14ac:dyDescent="0.35">
      <c r="A917">
        <v>20041</v>
      </c>
      <c r="B917" t="s">
        <v>3124</v>
      </c>
      <c r="C917" t="s">
        <v>3152</v>
      </c>
    </row>
    <row r="918" spans="1:3" x14ac:dyDescent="0.35">
      <c r="A918">
        <v>20043</v>
      </c>
      <c r="B918" t="s">
        <v>3160</v>
      </c>
      <c r="C918" t="s">
        <v>3152</v>
      </c>
    </row>
    <row r="919" spans="1:3" x14ac:dyDescent="0.35">
      <c r="A919">
        <v>20045</v>
      </c>
      <c r="B919" t="s">
        <v>828</v>
      </c>
      <c r="C919" t="s">
        <v>3152</v>
      </c>
    </row>
    <row r="920" spans="1:3" x14ac:dyDescent="0.35">
      <c r="A920">
        <v>20047</v>
      </c>
      <c r="B920" t="s">
        <v>2269</v>
      </c>
      <c r="C920" t="s">
        <v>3152</v>
      </c>
    </row>
    <row r="921" spans="1:3" x14ac:dyDescent="0.35">
      <c r="A921">
        <v>20049</v>
      </c>
      <c r="B921" t="s">
        <v>3161</v>
      </c>
      <c r="C921" t="s">
        <v>3152</v>
      </c>
    </row>
    <row r="922" spans="1:3" x14ac:dyDescent="0.35">
      <c r="A922">
        <v>20051</v>
      </c>
      <c r="B922" t="s">
        <v>2102</v>
      </c>
      <c r="C922" t="s">
        <v>3152</v>
      </c>
    </row>
    <row r="923" spans="1:3" x14ac:dyDescent="0.35">
      <c r="A923">
        <v>20053</v>
      </c>
      <c r="B923" t="s">
        <v>3162</v>
      </c>
      <c r="C923" t="s">
        <v>3152</v>
      </c>
    </row>
    <row r="924" spans="1:3" x14ac:dyDescent="0.35">
      <c r="A924">
        <v>20055</v>
      </c>
      <c r="B924" t="s">
        <v>3163</v>
      </c>
      <c r="C924" t="s">
        <v>3152</v>
      </c>
    </row>
    <row r="925" spans="1:3" x14ac:dyDescent="0.35">
      <c r="A925">
        <v>20057</v>
      </c>
      <c r="B925" t="s">
        <v>3053</v>
      </c>
      <c r="C925" t="s">
        <v>3152</v>
      </c>
    </row>
    <row r="926" spans="1:3" x14ac:dyDescent="0.35">
      <c r="A926">
        <v>20059</v>
      </c>
      <c r="B926" t="s">
        <v>355</v>
      </c>
      <c r="C926" t="s">
        <v>3152</v>
      </c>
    </row>
    <row r="927" spans="1:3" x14ac:dyDescent="0.35">
      <c r="A927">
        <v>20061</v>
      </c>
      <c r="B927" t="s">
        <v>3164</v>
      </c>
      <c r="C927" t="s">
        <v>3152</v>
      </c>
    </row>
    <row r="928" spans="1:3" x14ac:dyDescent="0.35">
      <c r="A928">
        <v>20063</v>
      </c>
      <c r="B928" t="s">
        <v>3165</v>
      </c>
      <c r="C928" t="s">
        <v>3152</v>
      </c>
    </row>
    <row r="929" spans="1:3" x14ac:dyDescent="0.35">
      <c r="A929">
        <v>20065</v>
      </c>
      <c r="B929" t="s">
        <v>1480</v>
      </c>
      <c r="C929" t="s">
        <v>3152</v>
      </c>
    </row>
    <row r="930" spans="1:3" x14ac:dyDescent="0.35">
      <c r="A930">
        <v>20067</v>
      </c>
      <c r="B930" t="s">
        <v>413</v>
      </c>
      <c r="C930" t="s">
        <v>3152</v>
      </c>
    </row>
    <row r="931" spans="1:3" x14ac:dyDescent="0.35">
      <c r="A931">
        <v>20069</v>
      </c>
      <c r="B931" t="s">
        <v>1990</v>
      </c>
      <c r="C931" t="s">
        <v>3152</v>
      </c>
    </row>
    <row r="932" spans="1:3" x14ac:dyDescent="0.35">
      <c r="A932">
        <v>20071</v>
      </c>
      <c r="B932" t="s">
        <v>3166</v>
      </c>
      <c r="C932" t="s">
        <v>3152</v>
      </c>
    </row>
    <row r="933" spans="1:3" x14ac:dyDescent="0.35">
      <c r="A933">
        <v>20073</v>
      </c>
      <c r="B933" t="s">
        <v>1731</v>
      </c>
      <c r="C933" t="s">
        <v>3152</v>
      </c>
    </row>
    <row r="934" spans="1:3" x14ac:dyDescent="0.35">
      <c r="A934">
        <v>20075</v>
      </c>
      <c r="B934" t="s">
        <v>613</v>
      </c>
      <c r="C934" t="s">
        <v>3152</v>
      </c>
    </row>
    <row r="935" spans="1:3" x14ac:dyDescent="0.35">
      <c r="A935">
        <v>20077</v>
      </c>
      <c r="B935" t="s">
        <v>3167</v>
      </c>
      <c r="C935" t="s">
        <v>3152</v>
      </c>
    </row>
    <row r="936" spans="1:3" x14ac:dyDescent="0.35">
      <c r="A936">
        <v>20079</v>
      </c>
      <c r="B936" t="s">
        <v>3168</v>
      </c>
      <c r="C936" t="s">
        <v>3152</v>
      </c>
    </row>
    <row r="937" spans="1:3" x14ac:dyDescent="0.35">
      <c r="A937">
        <v>20081</v>
      </c>
      <c r="B937" t="s">
        <v>1951</v>
      </c>
      <c r="C937" t="s">
        <v>3152</v>
      </c>
    </row>
    <row r="938" spans="1:3" x14ac:dyDescent="0.35">
      <c r="A938">
        <v>20083</v>
      </c>
      <c r="B938" t="s">
        <v>3169</v>
      </c>
      <c r="C938" t="s">
        <v>3152</v>
      </c>
    </row>
    <row r="939" spans="1:3" x14ac:dyDescent="0.35">
      <c r="A939">
        <v>20085</v>
      </c>
      <c r="B939" t="s">
        <v>357</v>
      </c>
      <c r="C939" t="s">
        <v>3152</v>
      </c>
    </row>
    <row r="940" spans="1:3" x14ac:dyDescent="0.35">
      <c r="A940">
        <v>20087</v>
      </c>
      <c r="B940" t="s">
        <v>247</v>
      </c>
      <c r="C940" t="s">
        <v>3152</v>
      </c>
    </row>
    <row r="941" spans="1:3" x14ac:dyDescent="0.35">
      <c r="A941">
        <v>20089</v>
      </c>
      <c r="B941" t="s">
        <v>3170</v>
      </c>
      <c r="C941" t="s">
        <v>3152</v>
      </c>
    </row>
    <row r="942" spans="1:3" x14ac:dyDescent="0.35">
      <c r="A942">
        <v>20091</v>
      </c>
      <c r="B942" t="s">
        <v>535</v>
      </c>
      <c r="C942" t="s">
        <v>3152</v>
      </c>
    </row>
    <row r="943" spans="1:3" x14ac:dyDescent="0.35">
      <c r="A943">
        <v>20093</v>
      </c>
      <c r="B943" t="s">
        <v>3171</v>
      </c>
      <c r="C943" t="s">
        <v>3152</v>
      </c>
    </row>
    <row r="944" spans="1:3" x14ac:dyDescent="0.35">
      <c r="A944">
        <v>20095</v>
      </c>
      <c r="B944" t="s">
        <v>3172</v>
      </c>
      <c r="C944" t="s">
        <v>3152</v>
      </c>
    </row>
    <row r="945" spans="1:3" x14ac:dyDescent="0.35">
      <c r="A945">
        <v>20097</v>
      </c>
      <c r="B945" t="s">
        <v>2964</v>
      </c>
      <c r="C945" t="s">
        <v>3152</v>
      </c>
    </row>
    <row r="946" spans="1:3" x14ac:dyDescent="0.35">
      <c r="A946">
        <v>20099</v>
      </c>
      <c r="B946" t="s">
        <v>3173</v>
      </c>
      <c r="C946" t="s">
        <v>3152</v>
      </c>
    </row>
    <row r="947" spans="1:3" x14ac:dyDescent="0.35">
      <c r="A947">
        <v>20101</v>
      </c>
      <c r="B947" t="s">
        <v>3174</v>
      </c>
      <c r="C947" t="s">
        <v>3152</v>
      </c>
    </row>
    <row r="948" spans="1:3" x14ac:dyDescent="0.35">
      <c r="A948">
        <v>20103</v>
      </c>
      <c r="B948" t="s">
        <v>3175</v>
      </c>
      <c r="C948" t="s">
        <v>3152</v>
      </c>
    </row>
    <row r="949" spans="1:3" x14ac:dyDescent="0.35">
      <c r="A949">
        <v>20105</v>
      </c>
      <c r="B949" t="s">
        <v>494</v>
      </c>
      <c r="C949" t="s">
        <v>3152</v>
      </c>
    </row>
    <row r="950" spans="1:3" x14ac:dyDescent="0.35">
      <c r="A950">
        <v>20107</v>
      </c>
      <c r="B950" t="s">
        <v>2741</v>
      </c>
      <c r="C950" t="s">
        <v>3152</v>
      </c>
    </row>
    <row r="951" spans="1:3" x14ac:dyDescent="0.35">
      <c r="A951">
        <v>20109</v>
      </c>
      <c r="B951" t="s">
        <v>537</v>
      </c>
      <c r="C951" t="s">
        <v>3152</v>
      </c>
    </row>
    <row r="952" spans="1:3" x14ac:dyDescent="0.35">
      <c r="A952">
        <v>20111</v>
      </c>
      <c r="B952" t="s">
        <v>3134</v>
      </c>
      <c r="C952" t="s">
        <v>3152</v>
      </c>
    </row>
    <row r="953" spans="1:3" x14ac:dyDescent="0.35">
      <c r="A953">
        <v>20113</v>
      </c>
      <c r="B953" t="s">
        <v>3176</v>
      </c>
      <c r="C953" t="s">
        <v>3152</v>
      </c>
    </row>
    <row r="954" spans="1:3" x14ac:dyDescent="0.35">
      <c r="A954">
        <v>20115</v>
      </c>
      <c r="B954" t="s">
        <v>365</v>
      </c>
      <c r="C954" t="s">
        <v>3152</v>
      </c>
    </row>
    <row r="955" spans="1:3" x14ac:dyDescent="0.35">
      <c r="A955">
        <v>20117</v>
      </c>
      <c r="B955" t="s">
        <v>367</v>
      </c>
      <c r="C955" t="s">
        <v>3152</v>
      </c>
    </row>
    <row r="956" spans="1:3" x14ac:dyDescent="0.35">
      <c r="A956">
        <v>20119</v>
      </c>
      <c r="B956" t="s">
        <v>3177</v>
      </c>
      <c r="C956" t="s">
        <v>3152</v>
      </c>
    </row>
    <row r="957" spans="1:3" x14ac:dyDescent="0.35">
      <c r="A957">
        <v>20121</v>
      </c>
      <c r="B957" t="s">
        <v>3096</v>
      </c>
      <c r="C957" t="s">
        <v>3152</v>
      </c>
    </row>
    <row r="958" spans="1:3" x14ac:dyDescent="0.35">
      <c r="A958">
        <v>20123</v>
      </c>
      <c r="B958" t="s">
        <v>791</v>
      </c>
      <c r="C958" t="s">
        <v>3152</v>
      </c>
    </row>
    <row r="959" spans="1:3" x14ac:dyDescent="0.35">
      <c r="A959">
        <v>20125</v>
      </c>
      <c r="B959" t="s">
        <v>301</v>
      </c>
      <c r="C959" t="s">
        <v>3152</v>
      </c>
    </row>
    <row r="960" spans="1:3" x14ac:dyDescent="0.35">
      <c r="A960">
        <v>20127</v>
      </c>
      <c r="B960" t="s">
        <v>2321</v>
      </c>
      <c r="C960" t="s">
        <v>3152</v>
      </c>
    </row>
    <row r="961" spans="1:3" x14ac:dyDescent="0.35">
      <c r="A961">
        <v>20129</v>
      </c>
      <c r="B961" t="s">
        <v>3178</v>
      </c>
      <c r="C961" t="s">
        <v>3152</v>
      </c>
    </row>
    <row r="962" spans="1:3" x14ac:dyDescent="0.35">
      <c r="A962">
        <v>20131</v>
      </c>
      <c r="B962" t="s">
        <v>3179</v>
      </c>
      <c r="C962" t="s">
        <v>3152</v>
      </c>
    </row>
    <row r="963" spans="1:3" x14ac:dyDescent="0.35">
      <c r="A963">
        <v>20133</v>
      </c>
      <c r="B963" t="s">
        <v>3180</v>
      </c>
      <c r="C963" t="s">
        <v>3152</v>
      </c>
    </row>
    <row r="964" spans="1:3" x14ac:dyDescent="0.35">
      <c r="A964">
        <v>20135</v>
      </c>
      <c r="B964" t="s">
        <v>3181</v>
      </c>
      <c r="C964" t="s">
        <v>3152</v>
      </c>
    </row>
    <row r="965" spans="1:3" x14ac:dyDescent="0.35">
      <c r="A965">
        <v>20137</v>
      </c>
      <c r="B965" t="s">
        <v>3182</v>
      </c>
      <c r="C965" t="s">
        <v>3152</v>
      </c>
    </row>
    <row r="966" spans="1:3" x14ac:dyDescent="0.35">
      <c r="A966">
        <v>20139</v>
      </c>
      <c r="B966" t="s">
        <v>2750</v>
      </c>
      <c r="C966" t="s">
        <v>3152</v>
      </c>
    </row>
    <row r="967" spans="1:3" x14ac:dyDescent="0.35">
      <c r="A967">
        <v>20141</v>
      </c>
      <c r="B967" t="s">
        <v>3183</v>
      </c>
      <c r="C967" t="s">
        <v>3152</v>
      </c>
    </row>
    <row r="968" spans="1:3" x14ac:dyDescent="0.35">
      <c r="A968">
        <v>20143</v>
      </c>
      <c r="B968" t="s">
        <v>3184</v>
      </c>
      <c r="C968" t="s">
        <v>3152</v>
      </c>
    </row>
    <row r="969" spans="1:3" x14ac:dyDescent="0.35">
      <c r="A969">
        <v>20145</v>
      </c>
      <c r="B969" t="s">
        <v>3185</v>
      </c>
      <c r="C969" t="s">
        <v>3152</v>
      </c>
    </row>
    <row r="970" spans="1:3" x14ac:dyDescent="0.35">
      <c r="A970">
        <v>20147</v>
      </c>
      <c r="B970" t="s">
        <v>484</v>
      </c>
      <c r="C970" t="s">
        <v>3152</v>
      </c>
    </row>
    <row r="971" spans="1:3" x14ac:dyDescent="0.35">
      <c r="A971">
        <v>20149</v>
      </c>
      <c r="B971" t="s">
        <v>3186</v>
      </c>
      <c r="C971" t="s">
        <v>3152</v>
      </c>
    </row>
    <row r="972" spans="1:3" x14ac:dyDescent="0.35">
      <c r="A972">
        <v>20151</v>
      </c>
      <c r="B972" t="s">
        <v>3187</v>
      </c>
      <c r="C972" t="s">
        <v>3152</v>
      </c>
    </row>
    <row r="973" spans="1:3" x14ac:dyDescent="0.35">
      <c r="A973">
        <v>20153</v>
      </c>
      <c r="B973" t="s">
        <v>3188</v>
      </c>
      <c r="C973" t="s">
        <v>3152</v>
      </c>
    </row>
    <row r="974" spans="1:3" x14ac:dyDescent="0.35">
      <c r="A974">
        <v>20155</v>
      </c>
      <c r="B974" t="s">
        <v>3189</v>
      </c>
      <c r="C974" t="s">
        <v>3152</v>
      </c>
    </row>
    <row r="975" spans="1:3" x14ac:dyDescent="0.35">
      <c r="A975">
        <v>20157</v>
      </c>
      <c r="B975" t="s">
        <v>3190</v>
      </c>
      <c r="C975" t="s">
        <v>3152</v>
      </c>
    </row>
    <row r="976" spans="1:3" x14ac:dyDescent="0.35">
      <c r="A976">
        <v>20159</v>
      </c>
      <c r="B976" t="s">
        <v>3191</v>
      </c>
      <c r="C976" t="s">
        <v>3152</v>
      </c>
    </row>
    <row r="977" spans="1:3" x14ac:dyDescent="0.35">
      <c r="A977">
        <v>20161</v>
      </c>
      <c r="B977" t="s">
        <v>3192</v>
      </c>
      <c r="C977" t="s">
        <v>3152</v>
      </c>
    </row>
    <row r="978" spans="1:3" x14ac:dyDescent="0.35">
      <c r="A978">
        <v>20163</v>
      </c>
      <c r="B978" t="s">
        <v>3193</v>
      </c>
      <c r="C978" t="s">
        <v>3152</v>
      </c>
    </row>
    <row r="979" spans="1:3" x14ac:dyDescent="0.35">
      <c r="A979">
        <v>20165</v>
      </c>
      <c r="B979" t="s">
        <v>3102</v>
      </c>
      <c r="C979" t="s">
        <v>3152</v>
      </c>
    </row>
    <row r="980" spans="1:3" x14ac:dyDescent="0.35">
      <c r="A980">
        <v>20167</v>
      </c>
      <c r="B980" t="s">
        <v>257</v>
      </c>
      <c r="C980" t="s">
        <v>3152</v>
      </c>
    </row>
    <row r="981" spans="1:3" x14ac:dyDescent="0.35">
      <c r="A981">
        <v>20169</v>
      </c>
      <c r="B981" t="s">
        <v>405</v>
      </c>
      <c r="C981" t="s">
        <v>3152</v>
      </c>
    </row>
    <row r="982" spans="1:3" x14ac:dyDescent="0.35">
      <c r="A982">
        <v>20171</v>
      </c>
      <c r="B982" t="s">
        <v>528</v>
      </c>
      <c r="C982" t="s">
        <v>3152</v>
      </c>
    </row>
    <row r="983" spans="1:3" x14ac:dyDescent="0.35">
      <c r="A983">
        <v>20173</v>
      </c>
      <c r="B983" t="s">
        <v>2984</v>
      </c>
      <c r="C983" t="s">
        <v>3152</v>
      </c>
    </row>
    <row r="984" spans="1:3" x14ac:dyDescent="0.35">
      <c r="A984">
        <v>20175</v>
      </c>
      <c r="B984" t="s">
        <v>3194</v>
      </c>
      <c r="C984" t="s">
        <v>3152</v>
      </c>
    </row>
    <row r="985" spans="1:3" x14ac:dyDescent="0.35">
      <c r="A985">
        <v>20177</v>
      </c>
      <c r="B985" t="s">
        <v>3195</v>
      </c>
      <c r="C985" t="s">
        <v>3152</v>
      </c>
    </row>
    <row r="986" spans="1:3" x14ac:dyDescent="0.35">
      <c r="A986">
        <v>20179</v>
      </c>
      <c r="B986" t="s">
        <v>3196</v>
      </c>
      <c r="C986" t="s">
        <v>3152</v>
      </c>
    </row>
    <row r="987" spans="1:3" x14ac:dyDescent="0.35">
      <c r="A987">
        <v>20181</v>
      </c>
      <c r="B987" t="s">
        <v>2016</v>
      </c>
      <c r="C987" t="s">
        <v>3152</v>
      </c>
    </row>
    <row r="988" spans="1:3" x14ac:dyDescent="0.35">
      <c r="A988">
        <v>20183</v>
      </c>
      <c r="B988" t="s">
        <v>1319</v>
      </c>
      <c r="C988" t="s">
        <v>3152</v>
      </c>
    </row>
    <row r="989" spans="1:3" x14ac:dyDescent="0.35">
      <c r="A989">
        <v>20185</v>
      </c>
      <c r="B989" t="s">
        <v>3197</v>
      </c>
      <c r="C989" t="s">
        <v>3152</v>
      </c>
    </row>
    <row r="990" spans="1:3" x14ac:dyDescent="0.35">
      <c r="A990">
        <v>20187</v>
      </c>
      <c r="B990" t="s">
        <v>3198</v>
      </c>
      <c r="C990" t="s">
        <v>3152</v>
      </c>
    </row>
    <row r="991" spans="1:3" x14ac:dyDescent="0.35">
      <c r="A991">
        <v>20189</v>
      </c>
      <c r="B991" t="s">
        <v>3199</v>
      </c>
      <c r="C991" t="s">
        <v>3152</v>
      </c>
    </row>
    <row r="992" spans="1:3" x14ac:dyDescent="0.35">
      <c r="A992">
        <v>20191</v>
      </c>
      <c r="B992" t="s">
        <v>1856</v>
      </c>
      <c r="C992" t="s">
        <v>3152</v>
      </c>
    </row>
    <row r="993" spans="1:3" x14ac:dyDescent="0.35">
      <c r="A993">
        <v>20193</v>
      </c>
      <c r="B993" t="s">
        <v>1054</v>
      </c>
      <c r="C993" t="s">
        <v>3152</v>
      </c>
    </row>
    <row r="994" spans="1:3" x14ac:dyDescent="0.35">
      <c r="A994">
        <v>20195</v>
      </c>
      <c r="B994" t="s">
        <v>3200</v>
      </c>
      <c r="C994" t="s">
        <v>3152</v>
      </c>
    </row>
    <row r="995" spans="1:3" x14ac:dyDescent="0.35">
      <c r="A995">
        <v>20197</v>
      </c>
      <c r="B995" t="s">
        <v>3201</v>
      </c>
      <c r="C995" t="s">
        <v>3152</v>
      </c>
    </row>
    <row r="996" spans="1:3" x14ac:dyDescent="0.35">
      <c r="A996">
        <v>20199</v>
      </c>
      <c r="B996" t="s">
        <v>3202</v>
      </c>
      <c r="C996" t="s">
        <v>3152</v>
      </c>
    </row>
    <row r="997" spans="1:3" x14ac:dyDescent="0.35">
      <c r="A997">
        <v>20201</v>
      </c>
      <c r="B997" t="s">
        <v>385</v>
      </c>
      <c r="C997" t="s">
        <v>3152</v>
      </c>
    </row>
    <row r="998" spans="1:3" x14ac:dyDescent="0.35">
      <c r="A998">
        <v>20203</v>
      </c>
      <c r="B998" t="s">
        <v>2385</v>
      </c>
      <c r="C998" t="s">
        <v>3152</v>
      </c>
    </row>
    <row r="999" spans="1:3" x14ac:dyDescent="0.35">
      <c r="A999">
        <v>20205</v>
      </c>
      <c r="B999" t="s">
        <v>1628</v>
      </c>
      <c r="C999" t="s">
        <v>3152</v>
      </c>
    </row>
    <row r="1000" spans="1:3" x14ac:dyDescent="0.35">
      <c r="A1000">
        <v>20207</v>
      </c>
      <c r="B1000" t="s">
        <v>3203</v>
      </c>
      <c r="C1000" t="s">
        <v>3152</v>
      </c>
    </row>
    <row r="1001" spans="1:3" x14ac:dyDescent="0.35">
      <c r="A1001">
        <v>20209</v>
      </c>
      <c r="B1001" t="s">
        <v>3204</v>
      </c>
      <c r="C1001" t="s">
        <v>3152</v>
      </c>
    </row>
    <row r="1002" spans="1:3" x14ac:dyDescent="0.35">
      <c r="A1002">
        <v>21001</v>
      </c>
      <c r="B1002" t="s">
        <v>2713</v>
      </c>
      <c r="C1002" t="s">
        <v>3205</v>
      </c>
    </row>
    <row r="1003" spans="1:3" x14ac:dyDescent="0.35">
      <c r="A1003">
        <v>21003</v>
      </c>
      <c r="B1003" t="s">
        <v>3081</v>
      </c>
      <c r="C1003" t="s">
        <v>3205</v>
      </c>
    </row>
    <row r="1004" spans="1:3" x14ac:dyDescent="0.35">
      <c r="A1004">
        <v>21005</v>
      </c>
      <c r="B1004" t="s">
        <v>1674</v>
      </c>
      <c r="C1004" t="s">
        <v>3205</v>
      </c>
    </row>
    <row r="1005" spans="1:3" x14ac:dyDescent="0.35">
      <c r="A1005">
        <v>21007</v>
      </c>
      <c r="B1005" t="s">
        <v>3206</v>
      </c>
      <c r="C1005" t="s">
        <v>3205</v>
      </c>
    </row>
    <row r="1006" spans="1:3" x14ac:dyDescent="0.35">
      <c r="A1006">
        <v>21009</v>
      </c>
      <c r="B1006" t="s">
        <v>3207</v>
      </c>
      <c r="C1006" t="s">
        <v>3205</v>
      </c>
    </row>
    <row r="1007" spans="1:3" x14ac:dyDescent="0.35">
      <c r="A1007">
        <v>21011</v>
      </c>
      <c r="B1007" t="s">
        <v>3208</v>
      </c>
      <c r="C1007" t="s">
        <v>3205</v>
      </c>
    </row>
    <row r="1008" spans="1:3" x14ac:dyDescent="0.35">
      <c r="A1008">
        <v>21013</v>
      </c>
      <c r="B1008" t="s">
        <v>2130</v>
      </c>
      <c r="C1008" t="s">
        <v>3205</v>
      </c>
    </row>
    <row r="1009" spans="1:3" x14ac:dyDescent="0.35">
      <c r="A1009">
        <v>21015</v>
      </c>
      <c r="B1009" t="s">
        <v>459</v>
      </c>
      <c r="C1009" t="s">
        <v>3205</v>
      </c>
    </row>
    <row r="1010" spans="1:3" x14ac:dyDescent="0.35">
      <c r="A1010">
        <v>21017</v>
      </c>
      <c r="B1010" t="s">
        <v>3154</v>
      </c>
      <c r="C1010" t="s">
        <v>3205</v>
      </c>
    </row>
    <row r="1011" spans="1:3" x14ac:dyDescent="0.35">
      <c r="A1011">
        <v>21019</v>
      </c>
      <c r="B1011" t="s">
        <v>3209</v>
      </c>
      <c r="C1011" t="s">
        <v>3205</v>
      </c>
    </row>
    <row r="1012" spans="1:3" x14ac:dyDescent="0.35">
      <c r="A1012">
        <v>21021</v>
      </c>
      <c r="B1012" t="s">
        <v>3210</v>
      </c>
      <c r="C1012" t="s">
        <v>3205</v>
      </c>
    </row>
    <row r="1013" spans="1:3" x14ac:dyDescent="0.35">
      <c r="A1013">
        <v>21023</v>
      </c>
      <c r="B1013" t="s">
        <v>3211</v>
      </c>
      <c r="C1013" t="s">
        <v>3205</v>
      </c>
    </row>
    <row r="1014" spans="1:3" x14ac:dyDescent="0.35">
      <c r="A1014">
        <v>21025</v>
      </c>
      <c r="B1014" t="s">
        <v>3212</v>
      </c>
      <c r="C1014" t="s">
        <v>3205</v>
      </c>
    </row>
    <row r="1015" spans="1:3" x14ac:dyDescent="0.35">
      <c r="A1015">
        <v>21027</v>
      </c>
      <c r="B1015" t="s">
        <v>3213</v>
      </c>
      <c r="C1015" t="s">
        <v>3205</v>
      </c>
    </row>
    <row r="1016" spans="1:3" x14ac:dyDescent="0.35">
      <c r="A1016">
        <v>21029</v>
      </c>
      <c r="B1016" t="s">
        <v>3214</v>
      </c>
      <c r="C1016" t="s">
        <v>3205</v>
      </c>
    </row>
    <row r="1017" spans="1:3" x14ac:dyDescent="0.35">
      <c r="A1017">
        <v>21031</v>
      </c>
      <c r="B1017" t="s">
        <v>319</v>
      </c>
      <c r="C1017" t="s">
        <v>3205</v>
      </c>
    </row>
    <row r="1018" spans="1:3" x14ac:dyDescent="0.35">
      <c r="A1018">
        <v>21033</v>
      </c>
      <c r="B1018" t="s">
        <v>1505</v>
      </c>
      <c r="C1018" t="s">
        <v>3205</v>
      </c>
    </row>
    <row r="1019" spans="1:3" x14ac:dyDescent="0.35">
      <c r="A1019">
        <v>21035</v>
      </c>
      <c r="B1019" t="s">
        <v>3215</v>
      </c>
      <c r="C1019" t="s">
        <v>3205</v>
      </c>
    </row>
    <row r="1020" spans="1:3" x14ac:dyDescent="0.35">
      <c r="A1020">
        <v>21037</v>
      </c>
      <c r="B1020" t="s">
        <v>1809</v>
      </c>
      <c r="C1020" t="s">
        <v>3205</v>
      </c>
    </row>
    <row r="1021" spans="1:3" x14ac:dyDescent="0.35">
      <c r="A1021">
        <v>21039</v>
      </c>
      <c r="B1021" t="s">
        <v>3216</v>
      </c>
      <c r="C1021" t="s">
        <v>3205</v>
      </c>
    </row>
    <row r="1022" spans="1:3" x14ac:dyDescent="0.35">
      <c r="A1022">
        <v>21041</v>
      </c>
      <c r="B1022" t="s">
        <v>463</v>
      </c>
      <c r="C1022" t="s">
        <v>3205</v>
      </c>
    </row>
    <row r="1023" spans="1:3" x14ac:dyDescent="0.35">
      <c r="A1023">
        <v>21043</v>
      </c>
      <c r="B1023" t="s">
        <v>1794</v>
      </c>
      <c r="C1023" t="s">
        <v>3205</v>
      </c>
    </row>
    <row r="1024" spans="1:3" x14ac:dyDescent="0.35">
      <c r="A1024">
        <v>21045</v>
      </c>
      <c r="B1024" t="s">
        <v>3217</v>
      </c>
      <c r="C1024" t="s">
        <v>3205</v>
      </c>
    </row>
    <row r="1025" spans="1:3" x14ac:dyDescent="0.35">
      <c r="A1025">
        <v>21047</v>
      </c>
      <c r="B1025" t="s">
        <v>2726</v>
      </c>
      <c r="C1025" t="s">
        <v>3205</v>
      </c>
    </row>
    <row r="1026" spans="1:3" x14ac:dyDescent="0.35">
      <c r="A1026">
        <v>21049</v>
      </c>
      <c r="B1026" t="s">
        <v>469</v>
      </c>
      <c r="C1026" t="s">
        <v>3205</v>
      </c>
    </row>
    <row r="1027" spans="1:3" x14ac:dyDescent="0.35">
      <c r="A1027">
        <v>21051</v>
      </c>
      <c r="B1027" t="s">
        <v>329</v>
      </c>
      <c r="C1027" t="s">
        <v>3205</v>
      </c>
    </row>
    <row r="1028" spans="1:3" x14ac:dyDescent="0.35">
      <c r="A1028">
        <v>21053</v>
      </c>
      <c r="B1028" t="s">
        <v>2727</v>
      </c>
      <c r="C1028" t="s">
        <v>3205</v>
      </c>
    </row>
    <row r="1029" spans="1:3" x14ac:dyDescent="0.35">
      <c r="A1029">
        <v>21055</v>
      </c>
      <c r="B1029" t="s">
        <v>434</v>
      </c>
      <c r="C1029" t="s">
        <v>3205</v>
      </c>
    </row>
    <row r="1030" spans="1:3" x14ac:dyDescent="0.35">
      <c r="A1030">
        <v>21057</v>
      </c>
      <c r="B1030" t="s">
        <v>1561</v>
      </c>
      <c r="C1030" t="s">
        <v>3205</v>
      </c>
    </row>
    <row r="1031" spans="1:3" x14ac:dyDescent="0.35">
      <c r="A1031">
        <v>21059</v>
      </c>
      <c r="B1031" t="s">
        <v>2730</v>
      </c>
      <c r="C1031" t="s">
        <v>3205</v>
      </c>
    </row>
    <row r="1032" spans="1:3" x14ac:dyDescent="0.35">
      <c r="A1032">
        <v>21061</v>
      </c>
      <c r="B1032" t="s">
        <v>3218</v>
      </c>
      <c r="C1032" t="s">
        <v>3205</v>
      </c>
    </row>
    <row r="1033" spans="1:3" x14ac:dyDescent="0.35">
      <c r="A1033">
        <v>21063</v>
      </c>
      <c r="B1033" t="s">
        <v>3219</v>
      </c>
      <c r="C1033" t="s">
        <v>3205</v>
      </c>
    </row>
    <row r="1034" spans="1:3" x14ac:dyDescent="0.35">
      <c r="A1034">
        <v>21065</v>
      </c>
      <c r="B1034" t="s">
        <v>3220</v>
      </c>
      <c r="C1034" t="s">
        <v>3205</v>
      </c>
    </row>
    <row r="1035" spans="1:3" x14ac:dyDescent="0.35">
      <c r="A1035">
        <v>21067</v>
      </c>
      <c r="B1035" t="s">
        <v>353</v>
      </c>
      <c r="C1035" t="s">
        <v>3205</v>
      </c>
    </row>
    <row r="1036" spans="1:3" x14ac:dyDescent="0.35">
      <c r="A1036">
        <v>21069</v>
      </c>
      <c r="B1036" t="s">
        <v>3221</v>
      </c>
      <c r="C1036" t="s">
        <v>3205</v>
      </c>
    </row>
    <row r="1037" spans="1:3" x14ac:dyDescent="0.35">
      <c r="A1037">
        <v>21071</v>
      </c>
      <c r="B1037" t="s">
        <v>996</v>
      </c>
      <c r="C1037" t="s">
        <v>3205</v>
      </c>
    </row>
    <row r="1038" spans="1:3" x14ac:dyDescent="0.35">
      <c r="A1038">
        <v>21073</v>
      </c>
      <c r="B1038" t="s">
        <v>355</v>
      </c>
      <c r="C1038" t="s">
        <v>3205</v>
      </c>
    </row>
    <row r="1039" spans="1:3" x14ac:dyDescent="0.35">
      <c r="A1039">
        <v>21075</v>
      </c>
      <c r="B1039" t="s">
        <v>422</v>
      </c>
      <c r="C1039" t="s">
        <v>3205</v>
      </c>
    </row>
    <row r="1040" spans="1:3" x14ac:dyDescent="0.35">
      <c r="A1040">
        <v>21077</v>
      </c>
      <c r="B1040" t="s">
        <v>3054</v>
      </c>
      <c r="C1040" t="s">
        <v>3205</v>
      </c>
    </row>
    <row r="1041" spans="1:3" x14ac:dyDescent="0.35">
      <c r="A1041">
        <v>21079</v>
      </c>
      <c r="B1041" t="s">
        <v>3222</v>
      </c>
      <c r="C1041" t="s">
        <v>3205</v>
      </c>
    </row>
    <row r="1042" spans="1:3" x14ac:dyDescent="0.35">
      <c r="A1042">
        <v>21081</v>
      </c>
      <c r="B1042" t="s">
        <v>413</v>
      </c>
      <c r="C1042" t="s">
        <v>3205</v>
      </c>
    </row>
    <row r="1043" spans="1:3" x14ac:dyDescent="0.35">
      <c r="A1043">
        <v>21083</v>
      </c>
      <c r="B1043" t="s">
        <v>3223</v>
      </c>
      <c r="C1043" t="s">
        <v>3205</v>
      </c>
    </row>
    <row r="1044" spans="1:3" x14ac:dyDescent="0.35">
      <c r="A1044">
        <v>21085</v>
      </c>
      <c r="B1044" t="s">
        <v>2305</v>
      </c>
      <c r="C1044" t="s">
        <v>3205</v>
      </c>
    </row>
    <row r="1045" spans="1:3" x14ac:dyDescent="0.35">
      <c r="A1045">
        <v>21087</v>
      </c>
      <c r="B1045" t="s">
        <v>3224</v>
      </c>
      <c r="C1045" t="s">
        <v>3205</v>
      </c>
    </row>
    <row r="1046" spans="1:3" x14ac:dyDescent="0.35">
      <c r="A1046">
        <v>21089</v>
      </c>
      <c r="B1046" t="s">
        <v>3225</v>
      </c>
      <c r="C1046" t="s">
        <v>3205</v>
      </c>
    </row>
    <row r="1047" spans="1:3" x14ac:dyDescent="0.35">
      <c r="A1047">
        <v>21091</v>
      </c>
      <c r="B1047" t="s">
        <v>1062</v>
      </c>
      <c r="C1047" t="s">
        <v>3205</v>
      </c>
    </row>
    <row r="1048" spans="1:3" x14ac:dyDescent="0.35">
      <c r="A1048">
        <v>21093</v>
      </c>
      <c r="B1048" t="s">
        <v>1876</v>
      </c>
      <c r="C1048" t="s">
        <v>3205</v>
      </c>
    </row>
    <row r="1049" spans="1:3" x14ac:dyDescent="0.35">
      <c r="A1049">
        <v>21095</v>
      </c>
      <c r="B1049" t="s">
        <v>3226</v>
      </c>
      <c r="C1049" t="s">
        <v>3205</v>
      </c>
    </row>
    <row r="1050" spans="1:3" x14ac:dyDescent="0.35">
      <c r="A1050">
        <v>21097</v>
      </c>
      <c r="B1050" t="s">
        <v>1250</v>
      </c>
      <c r="C1050" t="s">
        <v>3205</v>
      </c>
    </row>
    <row r="1051" spans="1:3" x14ac:dyDescent="0.35">
      <c r="A1051">
        <v>21099</v>
      </c>
      <c r="B1051" t="s">
        <v>943</v>
      </c>
      <c r="C1051" t="s">
        <v>3205</v>
      </c>
    </row>
    <row r="1052" spans="1:3" x14ac:dyDescent="0.35">
      <c r="A1052">
        <v>21101</v>
      </c>
      <c r="B1052" t="s">
        <v>1484</v>
      </c>
      <c r="C1052" t="s">
        <v>3205</v>
      </c>
    </row>
    <row r="1053" spans="1:3" x14ac:dyDescent="0.35">
      <c r="A1053">
        <v>21103</v>
      </c>
      <c r="B1053" t="s">
        <v>269</v>
      </c>
      <c r="C1053" t="s">
        <v>3205</v>
      </c>
    </row>
    <row r="1054" spans="1:3" x14ac:dyDescent="0.35">
      <c r="A1054">
        <v>21105</v>
      </c>
      <c r="B1054" t="s">
        <v>1922</v>
      </c>
      <c r="C1054" t="s">
        <v>3205</v>
      </c>
    </row>
    <row r="1055" spans="1:3" x14ac:dyDescent="0.35">
      <c r="A1055">
        <v>21107</v>
      </c>
      <c r="B1055" t="s">
        <v>2318</v>
      </c>
      <c r="C1055" t="s">
        <v>3205</v>
      </c>
    </row>
    <row r="1056" spans="1:3" x14ac:dyDescent="0.35">
      <c r="A1056">
        <v>21109</v>
      </c>
      <c r="B1056" t="s">
        <v>357</v>
      </c>
      <c r="C1056" t="s">
        <v>3205</v>
      </c>
    </row>
    <row r="1057" spans="1:3" x14ac:dyDescent="0.35">
      <c r="A1057">
        <v>21111</v>
      </c>
      <c r="B1057" t="s">
        <v>247</v>
      </c>
      <c r="C1057" t="s">
        <v>3205</v>
      </c>
    </row>
    <row r="1058" spans="1:3" x14ac:dyDescent="0.35">
      <c r="A1058">
        <v>21113</v>
      </c>
      <c r="B1058" t="s">
        <v>3227</v>
      </c>
      <c r="C1058" t="s">
        <v>3205</v>
      </c>
    </row>
    <row r="1059" spans="1:3" x14ac:dyDescent="0.35">
      <c r="A1059">
        <v>21115</v>
      </c>
      <c r="B1059" t="s">
        <v>535</v>
      </c>
      <c r="C1059" t="s">
        <v>3205</v>
      </c>
    </row>
    <row r="1060" spans="1:3" x14ac:dyDescent="0.35">
      <c r="A1060">
        <v>21117</v>
      </c>
      <c r="B1060" t="s">
        <v>3228</v>
      </c>
      <c r="C1060" t="s">
        <v>3205</v>
      </c>
    </row>
    <row r="1061" spans="1:3" x14ac:dyDescent="0.35">
      <c r="A1061">
        <v>21119</v>
      </c>
      <c r="B1061" t="s">
        <v>3229</v>
      </c>
      <c r="C1061" t="s">
        <v>3205</v>
      </c>
    </row>
    <row r="1062" spans="1:3" x14ac:dyDescent="0.35">
      <c r="A1062">
        <v>21121</v>
      </c>
      <c r="B1062" t="s">
        <v>1819</v>
      </c>
      <c r="C1062" t="s">
        <v>3205</v>
      </c>
    </row>
    <row r="1063" spans="1:3" x14ac:dyDescent="0.35">
      <c r="A1063">
        <v>21123</v>
      </c>
      <c r="B1063" t="s">
        <v>3230</v>
      </c>
      <c r="C1063" t="s">
        <v>3205</v>
      </c>
    </row>
    <row r="1064" spans="1:3" x14ac:dyDescent="0.35">
      <c r="A1064">
        <v>21125</v>
      </c>
      <c r="B1064" t="s">
        <v>3231</v>
      </c>
      <c r="C1064" t="s">
        <v>3205</v>
      </c>
    </row>
    <row r="1065" spans="1:3" x14ac:dyDescent="0.35">
      <c r="A1065">
        <v>21127</v>
      </c>
      <c r="B1065" t="s">
        <v>261</v>
      </c>
      <c r="C1065" t="s">
        <v>3205</v>
      </c>
    </row>
    <row r="1066" spans="1:3" x14ac:dyDescent="0.35">
      <c r="A1066">
        <v>21129</v>
      </c>
      <c r="B1066" t="s">
        <v>237</v>
      </c>
      <c r="C1066" t="s">
        <v>3205</v>
      </c>
    </row>
    <row r="1067" spans="1:3" x14ac:dyDescent="0.35">
      <c r="A1067">
        <v>21131</v>
      </c>
      <c r="B1067" t="s">
        <v>3232</v>
      </c>
      <c r="C1067" t="s">
        <v>3205</v>
      </c>
    </row>
    <row r="1068" spans="1:3" x14ac:dyDescent="0.35">
      <c r="A1068">
        <v>21133</v>
      </c>
      <c r="B1068" t="s">
        <v>3233</v>
      </c>
      <c r="C1068" t="s">
        <v>3205</v>
      </c>
    </row>
    <row r="1069" spans="1:3" x14ac:dyDescent="0.35">
      <c r="A1069">
        <v>21135</v>
      </c>
      <c r="B1069" t="s">
        <v>1927</v>
      </c>
      <c r="C1069" t="s">
        <v>3205</v>
      </c>
    </row>
    <row r="1070" spans="1:3" x14ac:dyDescent="0.35">
      <c r="A1070">
        <v>21137</v>
      </c>
      <c r="B1070" t="s">
        <v>494</v>
      </c>
      <c r="C1070" t="s">
        <v>3205</v>
      </c>
    </row>
    <row r="1071" spans="1:3" x14ac:dyDescent="0.35">
      <c r="A1071">
        <v>21139</v>
      </c>
      <c r="B1071" t="s">
        <v>2742</v>
      </c>
      <c r="C1071" t="s">
        <v>3205</v>
      </c>
    </row>
    <row r="1072" spans="1:3" x14ac:dyDescent="0.35">
      <c r="A1072">
        <v>21141</v>
      </c>
      <c r="B1072" t="s">
        <v>537</v>
      </c>
      <c r="C1072" t="s">
        <v>3205</v>
      </c>
    </row>
    <row r="1073" spans="1:3" x14ac:dyDescent="0.35">
      <c r="A1073">
        <v>21143</v>
      </c>
      <c r="B1073" t="s">
        <v>3134</v>
      </c>
      <c r="C1073" t="s">
        <v>3205</v>
      </c>
    </row>
    <row r="1074" spans="1:3" x14ac:dyDescent="0.35">
      <c r="A1074">
        <v>21145</v>
      </c>
      <c r="B1074" t="s">
        <v>3234</v>
      </c>
      <c r="C1074" t="s">
        <v>3205</v>
      </c>
    </row>
    <row r="1075" spans="1:3" x14ac:dyDescent="0.35">
      <c r="A1075">
        <v>21147</v>
      </c>
      <c r="B1075" t="s">
        <v>3235</v>
      </c>
      <c r="C1075" t="s">
        <v>3205</v>
      </c>
    </row>
    <row r="1076" spans="1:3" x14ac:dyDescent="0.35">
      <c r="A1076">
        <v>21149</v>
      </c>
      <c r="B1076" t="s">
        <v>3062</v>
      </c>
      <c r="C1076" t="s">
        <v>3205</v>
      </c>
    </row>
    <row r="1077" spans="1:3" x14ac:dyDescent="0.35">
      <c r="A1077">
        <v>21151</v>
      </c>
      <c r="B1077" t="s">
        <v>287</v>
      </c>
      <c r="C1077" t="s">
        <v>3205</v>
      </c>
    </row>
    <row r="1078" spans="1:3" x14ac:dyDescent="0.35">
      <c r="A1078">
        <v>21153</v>
      </c>
      <c r="B1078" t="s">
        <v>3236</v>
      </c>
      <c r="C1078" t="s">
        <v>3205</v>
      </c>
    </row>
    <row r="1079" spans="1:3" x14ac:dyDescent="0.35">
      <c r="A1079">
        <v>21155</v>
      </c>
      <c r="B1079" t="s">
        <v>365</v>
      </c>
      <c r="C1079" t="s">
        <v>3205</v>
      </c>
    </row>
    <row r="1080" spans="1:3" x14ac:dyDescent="0.35">
      <c r="A1080">
        <v>21157</v>
      </c>
      <c r="B1080" t="s">
        <v>367</v>
      </c>
      <c r="C1080" t="s">
        <v>3205</v>
      </c>
    </row>
    <row r="1081" spans="1:3" x14ac:dyDescent="0.35">
      <c r="A1081">
        <v>21159</v>
      </c>
      <c r="B1081" t="s">
        <v>683</v>
      </c>
      <c r="C1081" t="s">
        <v>3205</v>
      </c>
    </row>
    <row r="1082" spans="1:3" x14ac:dyDescent="0.35">
      <c r="A1082">
        <v>21161</v>
      </c>
      <c r="B1082" t="s">
        <v>2241</v>
      </c>
      <c r="C1082" t="s">
        <v>3205</v>
      </c>
    </row>
    <row r="1083" spans="1:3" x14ac:dyDescent="0.35">
      <c r="A1083">
        <v>21163</v>
      </c>
      <c r="B1083" t="s">
        <v>3177</v>
      </c>
      <c r="C1083" t="s">
        <v>3205</v>
      </c>
    </row>
    <row r="1084" spans="1:3" x14ac:dyDescent="0.35">
      <c r="A1084">
        <v>21165</v>
      </c>
      <c r="B1084" t="s">
        <v>3237</v>
      </c>
      <c r="C1084" t="s">
        <v>3205</v>
      </c>
    </row>
    <row r="1085" spans="1:3" x14ac:dyDescent="0.35">
      <c r="A1085">
        <v>21167</v>
      </c>
      <c r="B1085" t="s">
        <v>2745</v>
      </c>
      <c r="C1085" t="s">
        <v>3205</v>
      </c>
    </row>
    <row r="1086" spans="1:3" x14ac:dyDescent="0.35">
      <c r="A1086">
        <v>21169</v>
      </c>
      <c r="B1086" t="s">
        <v>3238</v>
      </c>
      <c r="C1086" t="s">
        <v>3205</v>
      </c>
    </row>
    <row r="1087" spans="1:3" x14ac:dyDescent="0.35">
      <c r="A1087">
        <v>21171</v>
      </c>
      <c r="B1087" t="s">
        <v>369</v>
      </c>
      <c r="C1087" t="s">
        <v>3205</v>
      </c>
    </row>
    <row r="1088" spans="1:3" x14ac:dyDescent="0.35">
      <c r="A1088">
        <v>21173</v>
      </c>
      <c r="B1088" t="s">
        <v>301</v>
      </c>
      <c r="C1088" t="s">
        <v>3205</v>
      </c>
    </row>
    <row r="1089" spans="1:3" x14ac:dyDescent="0.35">
      <c r="A1089">
        <v>21175</v>
      </c>
      <c r="B1089" t="s">
        <v>263</v>
      </c>
      <c r="C1089" t="s">
        <v>3205</v>
      </c>
    </row>
    <row r="1090" spans="1:3" x14ac:dyDescent="0.35">
      <c r="A1090">
        <v>21177</v>
      </c>
      <c r="B1090" t="s">
        <v>3239</v>
      </c>
      <c r="C1090" t="s">
        <v>3205</v>
      </c>
    </row>
    <row r="1091" spans="1:3" x14ac:dyDescent="0.35">
      <c r="A1091">
        <v>21179</v>
      </c>
      <c r="B1091" t="s">
        <v>3240</v>
      </c>
      <c r="C1091" t="s">
        <v>3205</v>
      </c>
    </row>
    <row r="1092" spans="1:3" x14ac:dyDescent="0.35">
      <c r="A1092">
        <v>21181</v>
      </c>
      <c r="B1092" t="s">
        <v>2806</v>
      </c>
      <c r="C1092" t="s">
        <v>3205</v>
      </c>
    </row>
    <row r="1093" spans="1:3" x14ac:dyDescent="0.35">
      <c r="A1093">
        <v>21183</v>
      </c>
      <c r="B1093" t="s">
        <v>2807</v>
      </c>
      <c r="C1093" t="s">
        <v>3205</v>
      </c>
    </row>
    <row r="1094" spans="1:3" x14ac:dyDescent="0.35">
      <c r="A1094">
        <v>21185</v>
      </c>
      <c r="B1094" t="s">
        <v>2006</v>
      </c>
      <c r="C1094" t="s">
        <v>3205</v>
      </c>
    </row>
    <row r="1095" spans="1:3" x14ac:dyDescent="0.35">
      <c r="A1095">
        <v>21187</v>
      </c>
      <c r="B1095" t="s">
        <v>3098</v>
      </c>
      <c r="C1095" t="s">
        <v>3205</v>
      </c>
    </row>
    <row r="1096" spans="1:3" x14ac:dyDescent="0.35">
      <c r="A1096">
        <v>21189</v>
      </c>
      <c r="B1096" t="s">
        <v>3241</v>
      </c>
      <c r="C1096" t="s">
        <v>3205</v>
      </c>
    </row>
    <row r="1097" spans="1:3" x14ac:dyDescent="0.35">
      <c r="A1097">
        <v>21191</v>
      </c>
      <c r="B1097" t="s">
        <v>2808</v>
      </c>
      <c r="C1097" t="s">
        <v>3205</v>
      </c>
    </row>
    <row r="1098" spans="1:3" x14ac:dyDescent="0.35">
      <c r="A1098">
        <v>21193</v>
      </c>
      <c r="B1098" t="s">
        <v>371</v>
      </c>
      <c r="C1098" t="s">
        <v>3205</v>
      </c>
    </row>
    <row r="1099" spans="1:3" x14ac:dyDescent="0.35">
      <c r="A1099">
        <v>21195</v>
      </c>
      <c r="B1099" t="s">
        <v>375</v>
      </c>
      <c r="C1099" t="s">
        <v>3205</v>
      </c>
    </row>
    <row r="1100" spans="1:3" x14ac:dyDescent="0.35">
      <c r="A1100">
        <v>21197</v>
      </c>
      <c r="B1100" t="s">
        <v>3242</v>
      </c>
      <c r="C1100" t="s">
        <v>3205</v>
      </c>
    </row>
    <row r="1101" spans="1:3" x14ac:dyDescent="0.35">
      <c r="A1101">
        <v>21199</v>
      </c>
      <c r="B1101" t="s">
        <v>398</v>
      </c>
      <c r="C1101" t="s">
        <v>3205</v>
      </c>
    </row>
    <row r="1102" spans="1:3" x14ac:dyDescent="0.35">
      <c r="A1102">
        <v>21201</v>
      </c>
      <c r="B1102" t="s">
        <v>1853</v>
      </c>
      <c r="C1102" t="s">
        <v>3205</v>
      </c>
    </row>
    <row r="1103" spans="1:3" x14ac:dyDescent="0.35">
      <c r="A1103">
        <v>21203</v>
      </c>
      <c r="B1103" t="s">
        <v>3243</v>
      </c>
      <c r="C1103" t="s">
        <v>3205</v>
      </c>
    </row>
    <row r="1104" spans="1:3" x14ac:dyDescent="0.35">
      <c r="A1104">
        <v>21205</v>
      </c>
      <c r="B1104" t="s">
        <v>1526</v>
      </c>
      <c r="C1104" t="s">
        <v>3205</v>
      </c>
    </row>
    <row r="1105" spans="1:3" x14ac:dyDescent="0.35">
      <c r="A1105">
        <v>21207</v>
      </c>
      <c r="B1105" t="s">
        <v>257</v>
      </c>
      <c r="C1105" t="s">
        <v>3205</v>
      </c>
    </row>
    <row r="1106" spans="1:3" x14ac:dyDescent="0.35">
      <c r="A1106">
        <v>21209</v>
      </c>
      <c r="B1106" t="s">
        <v>528</v>
      </c>
      <c r="C1106" t="s">
        <v>3205</v>
      </c>
    </row>
    <row r="1107" spans="1:3" x14ac:dyDescent="0.35">
      <c r="A1107">
        <v>21211</v>
      </c>
      <c r="B1107" t="s">
        <v>249</v>
      </c>
      <c r="C1107" t="s">
        <v>3205</v>
      </c>
    </row>
    <row r="1108" spans="1:3" x14ac:dyDescent="0.35">
      <c r="A1108">
        <v>21213</v>
      </c>
      <c r="B1108" t="s">
        <v>1234</v>
      </c>
      <c r="C1108" t="s">
        <v>3205</v>
      </c>
    </row>
    <row r="1109" spans="1:3" x14ac:dyDescent="0.35">
      <c r="A1109">
        <v>21215</v>
      </c>
      <c r="B1109" t="s">
        <v>3104</v>
      </c>
      <c r="C1109" t="s">
        <v>3205</v>
      </c>
    </row>
    <row r="1110" spans="1:3" x14ac:dyDescent="0.35">
      <c r="A1110">
        <v>21217</v>
      </c>
      <c r="B1110" t="s">
        <v>760</v>
      </c>
      <c r="C1110" t="s">
        <v>3205</v>
      </c>
    </row>
    <row r="1111" spans="1:3" x14ac:dyDescent="0.35">
      <c r="A1111">
        <v>21219</v>
      </c>
      <c r="B1111" t="s">
        <v>3244</v>
      </c>
      <c r="C1111" t="s">
        <v>3205</v>
      </c>
    </row>
    <row r="1112" spans="1:3" x14ac:dyDescent="0.35">
      <c r="A1112">
        <v>21221</v>
      </c>
      <c r="B1112" t="s">
        <v>3245</v>
      </c>
      <c r="C1112" t="s">
        <v>3205</v>
      </c>
    </row>
    <row r="1113" spans="1:3" x14ac:dyDescent="0.35">
      <c r="A1113">
        <v>21223</v>
      </c>
      <c r="B1113" t="s">
        <v>3246</v>
      </c>
      <c r="C1113" t="s">
        <v>3205</v>
      </c>
    </row>
    <row r="1114" spans="1:3" x14ac:dyDescent="0.35">
      <c r="A1114">
        <v>21225</v>
      </c>
      <c r="B1114" t="s">
        <v>518</v>
      </c>
      <c r="C1114" t="s">
        <v>3205</v>
      </c>
    </row>
    <row r="1115" spans="1:3" x14ac:dyDescent="0.35">
      <c r="A1115">
        <v>21227</v>
      </c>
      <c r="B1115" t="s">
        <v>873</v>
      </c>
      <c r="C1115" t="s">
        <v>3205</v>
      </c>
    </row>
    <row r="1116" spans="1:3" x14ac:dyDescent="0.35">
      <c r="A1116">
        <v>21229</v>
      </c>
      <c r="B1116" t="s">
        <v>385</v>
      </c>
      <c r="C1116" t="s">
        <v>3205</v>
      </c>
    </row>
    <row r="1117" spans="1:3" x14ac:dyDescent="0.35">
      <c r="A1117">
        <v>21231</v>
      </c>
      <c r="B1117" t="s">
        <v>894</v>
      </c>
      <c r="C1117" t="s">
        <v>3205</v>
      </c>
    </row>
    <row r="1118" spans="1:3" x14ac:dyDescent="0.35">
      <c r="A1118">
        <v>21233</v>
      </c>
      <c r="B1118" t="s">
        <v>924</v>
      </c>
      <c r="C1118" t="s">
        <v>3205</v>
      </c>
    </row>
    <row r="1119" spans="1:3" x14ac:dyDescent="0.35">
      <c r="A1119">
        <v>21235</v>
      </c>
      <c r="B1119" t="s">
        <v>3114</v>
      </c>
      <c r="C1119" t="s">
        <v>3205</v>
      </c>
    </row>
    <row r="1120" spans="1:3" x14ac:dyDescent="0.35">
      <c r="A1120">
        <v>21237</v>
      </c>
      <c r="B1120" t="s">
        <v>3247</v>
      </c>
      <c r="C1120" t="s">
        <v>3205</v>
      </c>
    </row>
    <row r="1121" spans="1:3" x14ac:dyDescent="0.35">
      <c r="A1121">
        <v>21239</v>
      </c>
      <c r="B1121" t="s">
        <v>3079</v>
      </c>
      <c r="C1121" t="s">
        <v>3205</v>
      </c>
    </row>
    <row r="1122" spans="1:3" x14ac:dyDescent="0.35">
      <c r="A1122">
        <v>22001</v>
      </c>
      <c r="B1122" t="s">
        <v>1094</v>
      </c>
      <c r="C1122" t="s">
        <v>3248</v>
      </c>
    </row>
    <row r="1123" spans="1:3" x14ac:dyDescent="0.35">
      <c r="A1123">
        <v>22003</v>
      </c>
      <c r="B1123" t="s">
        <v>1111</v>
      </c>
      <c r="C1123" t="s">
        <v>3248</v>
      </c>
    </row>
    <row r="1124" spans="1:3" x14ac:dyDescent="0.35">
      <c r="A1124">
        <v>22005</v>
      </c>
      <c r="B1124" t="s">
        <v>1122</v>
      </c>
      <c r="C1124" t="s">
        <v>3248</v>
      </c>
    </row>
    <row r="1125" spans="1:3" x14ac:dyDescent="0.35">
      <c r="A1125">
        <v>22007</v>
      </c>
      <c r="B1125" t="s">
        <v>1087</v>
      </c>
      <c r="C1125" t="s">
        <v>3248</v>
      </c>
    </row>
    <row r="1126" spans="1:3" x14ac:dyDescent="0.35">
      <c r="A1126">
        <v>22009</v>
      </c>
      <c r="B1126" t="s">
        <v>1145</v>
      </c>
      <c r="C1126" t="s">
        <v>3248</v>
      </c>
    </row>
    <row r="1127" spans="1:3" x14ac:dyDescent="0.35">
      <c r="A1127">
        <v>22011</v>
      </c>
      <c r="B1127" t="s">
        <v>1113</v>
      </c>
      <c r="C1127" t="s">
        <v>3248</v>
      </c>
    </row>
    <row r="1128" spans="1:3" x14ac:dyDescent="0.35">
      <c r="A1128">
        <v>22013</v>
      </c>
      <c r="B1128" t="s">
        <v>1188</v>
      </c>
      <c r="C1128" t="s">
        <v>3248</v>
      </c>
    </row>
    <row r="1129" spans="1:3" x14ac:dyDescent="0.35">
      <c r="A1129">
        <v>22015</v>
      </c>
      <c r="B1129" t="s">
        <v>1190</v>
      </c>
      <c r="C1129" t="s">
        <v>3248</v>
      </c>
    </row>
    <row r="1130" spans="1:3" x14ac:dyDescent="0.35">
      <c r="A1130">
        <v>22017</v>
      </c>
      <c r="B1130" t="s">
        <v>1192</v>
      </c>
      <c r="C1130" t="s">
        <v>3248</v>
      </c>
    </row>
    <row r="1131" spans="1:3" x14ac:dyDescent="0.35">
      <c r="A1131">
        <v>22019</v>
      </c>
      <c r="B1131" t="s">
        <v>1115</v>
      </c>
      <c r="C1131" t="s">
        <v>3248</v>
      </c>
    </row>
    <row r="1132" spans="1:3" x14ac:dyDescent="0.35">
      <c r="A1132">
        <v>22021</v>
      </c>
      <c r="B1132" t="s">
        <v>1163</v>
      </c>
      <c r="C1132" t="s">
        <v>3248</v>
      </c>
    </row>
    <row r="1133" spans="1:3" x14ac:dyDescent="0.35">
      <c r="A1133">
        <v>22023</v>
      </c>
      <c r="B1133" t="s">
        <v>1117</v>
      </c>
      <c r="C1133" t="s">
        <v>3248</v>
      </c>
    </row>
    <row r="1134" spans="1:3" x14ac:dyDescent="0.35">
      <c r="A1134">
        <v>22025</v>
      </c>
      <c r="B1134" t="s">
        <v>1147</v>
      </c>
      <c r="C1134" t="s">
        <v>3248</v>
      </c>
    </row>
    <row r="1135" spans="1:3" x14ac:dyDescent="0.35">
      <c r="A1135">
        <v>22027</v>
      </c>
      <c r="B1135" t="s">
        <v>1194</v>
      </c>
      <c r="C1135" t="s">
        <v>3248</v>
      </c>
    </row>
    <row r="1136" spans="1:3" x14ac:dyDescent="0.35">
      <c r="A1136">
        <v>22029</v>
      </c>
      <c r="B1136" t="s">
        <v>1149</v>
      </c>
      <c r="C1136" t="s">
        <v>3248</v>
      </c>
    </row>
    <row r="1137" spans="1:3" x14ac:dyDescent="0.35">
      <c r="A1137">
        <v>22031</v>
      </c>
      <c r="B1137" t="s">
        <v>1196</v>
      </c>
      <c r="C1137" t="s">
        <v>3248</v>
      </c>
    </row>
    <row r="1138" spans="1:3" x14ac:dyDescent="0.35">
      <c r="A1138">
        <v>22033</v>
      </c>
      <c r="B1138" t="s">
        <v>1124</v>
      </c>
      <c r="C1138" t="s">
        <v>3248</v>
      </c>
    </row>
    <row r="1139" spans="1:3" x14ac:dyDescent="0.35">
      <c r="A1139">
        <v>22035</v>
      </c>
      <c r="B1139" t="s">
        <v>1165</v>
      </c>
      <c r="C1139" t="s">
        <v>3248</v>
      </c>
    </row>
    <row r="1140" spans="1:3" x14ac:dyDescent="0.35">
      <c r="A1140">
        <v>22037</v>
      </c>
      <c r="B1140" t="s">
        <v>1126</v>
      </c>
      <c r="C1140" t="s">
        <v>3248</v>
      </c>
    </row>
    <row r="1141" spans="1:3" x14ac:dyDescent="0.35">
      <c r="A1141">
        <v>22039</v>
      </c>
      <c r="B1141" t="s">
        <v>1096</v>
      </c>
      <c r="C1141" t="s">
        <v>3248</v>
      </c>
    </row>
    <row r="1142" spans="1:3" x14ac:dyDescent="0.35">
      <c r="A1142">
        <v>22041</v>
      </c>
      <c r="B1142" t="s">
        <v>1167</v>
      </c>
      <c r="C1142" t="s">
        <v>3248</v>
      </c>
    </row>
    <row r="1143" spans="1:3" x14ac:dyDescent="0.35">
      <c r="A1143">
        <v>22043</v>
      </c>
      <c r="B1143" t="s">
        <v>1151</v>
      </c>
      <c r="C1143" t="s">
        <v>3248</v>
      </c>
    </row>
    <row r="1144" spans="1:3" x14ac:dyDescent="0.35">
      <c r="A1144">
        <v>22045</v>
      </c>
      <c r="B1144" t="s">
        <v>1098</v>
      </c>
      <c r="C1144" t="s">
        <v>3248</v>
      </c>
    </row>
    <row r="1145" spans="1:3" x14ac:dyDescent="0.35">
      <c r="A1145">
        <v>22047</v>
      </c>
      <c r="B1145" t="s">
        <v>1128</v>
      </c>
      <c r="C1145" t="s">
        <v>3248</v>
      </c>
    </row>
    <row r="1146" spans="1:3" x14ac:dyDescent="0.35">
      <c r="A1146">
        <v>22049</v>
      </c>
      <c r="B1146" t="s">
        <v>1169</v>
      </c>
      <c r="C1146" t="s">
        <v>3248</v>
      </c>
    </row>
    <row r="1147" spans="1:3" x14ac:dyDescent="0.35">
      <c r="A1147">
        <v>22051</v>
      </c>
      <c r="B1147" t="s">
        <v>1070</v>
      </c>
      <c r="C1147" t="s">
        <v>3248</v>
      </c>
    </row>
    <row r="1148" spans="1:3" x14ac:dyDescent="0.35">
      <c r="A1148">
        <v>22053</v>
      </c>
      <c r="B1148" t="s">
        <v>1119</v>
      </c>
      <c r="C1148" t="s">
        <v>3248</v>
      </c>
    </row>
    <row r="1149" spans="1:3" x14ac:dyDescent="0.35">
      <c r="A1149">
        <v>22055</v>
      </c>
      <c r="B1149" t="s">
        <v>1100</v>
      </c>
      <c r="C1149" t="s">
        <v>3248</v>
      </c>
    </row>
    <row r="1150" spans="1:3" x14ac:dyDescent="0.35">
      <c r="A1150">
        <v>22057</v>
      </c>
      <c r="B1150" t="s">
        <v>1089</v>
      </c>
      <c r="C1150" t="s">
        <v>3248</v>
      </c>
    </row>
    <row r="1151" spans="1:3" x14ac:dyDescent="0.35">
      <c r="A1151">
        <v>22059</v>
      </c>
      <c r="B1151" t="s">
        <v>3249</v>
      </c>
      <c r="C1151" t="s">
        <v>3248</v>
      </c>
    </row>
    <row r="1152" spans="1:3" x14ac:dyDescent="0.35">
      <c r="A1152">
        <v>22061</v>
      </c>
      <c r="B1152" t="s">
        <v>1171</v>
      </c>
      <c r="C1152" t="s">
        <v>3248</v>
      </c>
    </row>
    <row r="1153" spans="1:3" x14ac:dyDescent="0.35">
      <c r="A1153">
        <v>22063</v>
      </c>
      <c r="B1153" t="s">
        <v>1130</v>
      </c>
      <c r="C1153" t="s">
        <v>3248</v>
      </c>
    </row>
    <row r="1154" spans="1:3" x14ac:dyDescent="0.35">
      <c r="A1154">
        <v>22065</v>
      </c>
      <c r="B1154" t="s">
        <v>1173</v>
      </c>
      <c r="C1154" t="s">
        <v>3248</v>
      </c>
    </row>
    <row r="1155" spans="1:3" x14ac:dyDescent="0.35">
      <c r="A1155">
        <v>22067</v>
      </c>
      <c r="B1155" t="s">
        <v>1175</v>
      </c>
      <c r="C1155" t="s">
        <v>3248</v>
      </c>
    </row>
    <row r="1156" spans="1:3" x14ac:dyDescent="0.35">
      <c r="A1156">
        <v>22069</v>
      </c>
      <c r="B1156" t="s">
        <v>1198</v>
      </c>
      <c r="C1156" t="s">
        <v>3248</v>
      </c>
    </row>
    <row r="1157" spans="1:3" x14ac:dyDescent="0.35">
      <c r="A1157">
        <v>22071</v>
      </c>
      <c r="B1157" t="s">
        <v>3250</v>
      </c>
      <c r="C1157" t="s">
        <v>3248</v>
      </c>
    </row>
    <row r="1158" spans="1:3" x14ac:dyDescent="0.35">
      <c r="A1158">
        <v>22073</v>
      </c>
      <c r="B1158" t="s">
        <v>1177</v>
      </c>
      <c r="C1158" t="s">
        <v>3248</v>
      </c>
    </row>
    <row r="1159" spans="1:3" x14ac:dyDescent="0.35">
      <c r="A1159">
        <v>22075</v>
      </c>
      <c r="B1159" t="s">
        <v>1074</v>
      </c>
      <c r="C1159" t="s">
        <v>3248</v>
      </c>
    </row>
    <row r="1160" spans="1:3" x14ac:dyDescent="0.35">
      <c r="A1160">
        <v>22077</v>
      </c>
      <c r="B1160" t="s">
        <v>1132</v>
      </c>
      <c r="C1160" t="s">
        <v>3248</v>
      </c>
    </row>
    <row r="1161" spans="1:3" x14ac:dyDescent="0.35">
      <c r="A1161">
        <v>22079</v>
      </c>
      <c r="B1161" t="s">
        <v>1156</v>
      </c>
      <c r="C1161" t="s">
        <v>3248</v>
      </c>
    </row>
    <row r="1162" spans="1:3" x14ac:dyDescent="0.35">
      <c r="A1162">
        <v>22081</v>
      </c>
      <c r="B1162" t="s">
        <v>1200</v>
      </c>
      <c r="C1162" t="s">
        <v>3248</v>
      </c>
    </row>
    <row r="1163" spans="1:3" x14ac:dyDescent="0.35">
      <c r="A1163">
        <v>22083</v>
      </c>
      <c r="B1163" t="s">
        <v>1179</v>
      </c>
      <c r="C1163" t="s">
        <v>3248</v>
      </c>
    </row>
    <row r="1164" spans="1:3" x14ac:dyDescent="0.35">
      <c r="A1164">
        <v>22085</v>
      </c>
      <c r="B1164" t="s">
        <v>1202</v>
      </c>
      <c r="C1164" t="s">
        <v>3248</v>
      </c>
    </row>
    <row r="1165" spans="1:3" x14ac:dyDescent="0.35">
      <c r="A1165">
        <v>22087</v>
      </c>
      <c r="B1165" t="s">
        <v>1076</v>
      </c>
      <c r="C1165" t="s">
        <v>3248</v>
      </c>
    </row>
    <row r="1166" spans="1:3" x14ac:dyDescent="0.35">
      <c r="A1166">
        <v>22089</v>
      </c>
      <c r="B1166" t="s">
        <v>1078</v>
      </c>
      <c r="C1166" t="s">
        <v>3248</v>
      </c>
    </row>
    <row r="1167" spans="1:3" x14ac:dyDescent="0.35">
      <c r="A1167">
        <v>22091</v>
      </c>
      <c r="B1167" t="s">
        <v>1134</v>
      </c>
      <c r="C1167" t="s">
        <v>3248</v>
      </c>
    </row>
    <row r="1168" spans="1:3" x14ac:dyDescent="0.35">
      <c r="A1168">
        <v>22093</v>
      </c>
      <c r="B1168" t="s">
        <v>1080</v>
      </c>
      <c r="C1168" t="s">
        <v>3248</v>
      </c>
    </row>
    <row r="1169" spans="1:3" x14ac:dyDescent="0.35">
      <c r="A1169">
        <v>22095</v>
      </c>
      <c r="B1169" t="s">
        <v>1082</v>
      </c>
      <c r="C1169" t="s">
        <v>3248</v>
      </c>
    </row>
    <row r="1170" spans="1:3" x14ac:dyDescent="0.35">
      <c r="A1170">
        <v>22097</v>
      </c>
      <c r="B1170" t="s">
        <v>1102</v>
      </c>
      <c r="C1170" t="s">
        <v>3248</v>
      </c>
    </row>
    <row r="1171" spans="1:3" x14ac:dyDescent="0.35">
      <c r="A1171">
        <v>22099</v>
      </c>
      <c r="B1171" t="s">
        <v>1104</v>
      </c>
      <c r="C1171" t="s">
        <v>3248</v>
      </c>
    </row>
    <row r="1172" spans="1:3" x14ac:dyDescent="0.35">
      <c r="A1172">
        <v>22101</v>
      </c>
      <c r="B1172" t="s">
        <v>1106</v>
      </c>
      <c r="C1172" t="s">
        <v>3248</v>
      </c>
    </row>
    <row r="1173" spans="1:3" x14ac:dyDescent="0.35">
      <c r="A1173">
        <v>22103</v>
      </c>
      <c r="B1173" t="s">
        <v>1084</v>
      </c>
      <c r="C1173" t="s">
        <v>3248</v>
      </c>
    </row>
    <row r="1174" spans="1:3" x14ac:dyDescent="0.35">
      <c r="A1174">
        <v>22105</v>
      </c>
      <c r="B1174" t="s">
        <v>1136</v>
      </c>
      <c r="C1174" t="s">
        <v>3248</v>
      </c>
    </row>
    <row r="1175" spans="1:3" x14ac:dyDescent="0.35">
      <c r="A1175">
        <v>22107</v>
      </c>
      <c r="B1175" t="s">
        <v>1181</v>
      </c>
      <c r="C1175" t="s">
        <v>3248</v>
      </c>
    </row>
    <row r="1176" spans="1:3" x14ac:dyDescent="0.35">
      <c r="A1176">
        <v>22109</v>
      </c>
      <c r="B1176" t="s">
        <v>1091</v>
      </c>
      <c r="C1176" t="s">
        <v>3248</v>
      </c>
    </row>
    <row r="1177" spans="1:3" x14ac:dyDescent="0.35">
      <c r="A1177">
        <v>22111</v>
      </c>
      <c r="B1177" t="s">
        <v>1183</v>
      </c>
      <c r="C1177" t="s">
        <v>3248</v>
      </c>
    </row>
    <row r="1178" spans="1:3" x14ac:dyDescent="0.35">
      <c r="A1178">
        <v>22113</v>
      </c>
      <c r="B1178" t="s">
        <v>1108</v>
      </c>
      <c r="C1178" t="s">
        <v>3248</v>
      </c>
    </row>
    <row r="1179" spans="1:3" x14ac:dyDescent="0.35">
      <c r="A1179">
        <v>22115</v>
      </c>
      <c r="B1179" t="s">
        <v>1158</v>
      </c>
      <c r="C1179" t="s">
        <v>3248</v>
      </c>
    </row>
    <row r="1180" spans="1:3" x14ac:dyDescent="0.35">
      <c r="A1180">
        <v>22117</v>
      </c>
      <c r="B1180" t="s">
        <v>1138</v>
      </c>
      <c r="C1180" t="s">
        <v>3248</v>
      </c>
    </row>
    <row r="1181" spans="1:3" x14ac:dyDescent="0.35">
      <c r="A1181">
        <v>22119</v>
      </c>
      <c r="B1181" t="s">
        <v>1204</v>
      </c>
      <c r="C1181" t="s">
        <v>3248</v>
      </c>
    </row>
    <row r="1182" spans="1:3" x14ac:dyDescent="0.35">
      <c r="A1182">
        <v>22121</v>
      </c>
      <c r="B1182" t="s">
        <v>1140</v>
      </c>
      <c r="C1182" t="s">
        <v>3248</v>
      </c>
    </row>
    <row r="1183" spans="1:3" x14ac:dyDescent="0.35">
      <c r="A1183">
        <v>22123</v>
      </c>
      <c r="B1183" t="s">
        <v>1185</v>
      </c>
      <c r="C1183" t="s">
        <v>3248</v>
      </c>
    </row>
    <row r="1184" spans="1:3" x14ac:dyDescent="0.35">
      <c r="A1184">
        <v>22125</v>
      </c>
      <c r="B1184" t="s">
        <v>1142</v>
      </c>
      <c r="C1184" t="s">
        <v>3248</v>
      </c>
    </row>
    <row r="1185" spans="1:3" x14ac:dyDescent="0.35">
      <c r="A1185">
        <v>22127</v>
      </c>
      <c r="B1185" t="s">
        <v>1160</v>
      </c>
      <c r="C1185" t="s">
        <v>3248</v>
      </c>
    </row>
    <row r="1186" spans="1:3" x14ac:dyDescent="0.35">
      <c r="A1186">
        <v>23001</v>
      </c>
      <c r="B1186" t="s">
        <v>3251</v>
      </c>
      <c r="C1186" t="s">
        <v>3252</v>
      </c>
    </row>
    <row r="1187" spans="1:3" x14ac:dyDescent="0.35">
      <c r="A1187">
        <v>23003</v>
      </c>
      <c r="B1187" t="s">
        <v>3253</v>
      </c>
      <c r="C1187" t="s">
        <v>3252</v>
      </c>
    </row>
    <row r="1188" spans="1:3" x14ac:dyDescent="0.35">
      <c r="A1188">
        <v>23005</v>
      </c>
      <c r="B1188" t="s">
        <v>1561</v>
      </c>
      <c r="C1188" t="s">
        <v>3252</v>
      </c>
    </row>
    <row r="1189" spans="1:3" x14ac:dyDescent="0.35">
      <c r="A1189">
        <v>23007</v>
      </c>
      <c r="B1189" t="s">
        <v>355</v>
      </c>
      <c r="C1189" t="s">
        <v>3252</v>
      </c>
    </row>
    <row r="1190" spans="1:3" x14ac:dyDescent="0.35">
      <c r="A1190">
        <v>23009</v>
      </c>
      <c r="B1190" t="s">
        <v>1062</v>
      </c>
      <c r="C1190" t="s">
        <v>3252</v>
      </c>
    </row>
    <row r="1191" spans="1:3" x14ac:dyDescent="0.35">
      <c r="A1191">
        <v>23011</v>
      </c>
      <c r="B1191" t="s">
        <v>3254</v>
      </c>
      <c r="C1191" t="s">
        <v>3252</v>
      </c>
    </row>
    <row r="1192" spans="1:3" x14ac:dyDescent="0.35">
      <c r="A1192">
        <v>23013</v>
      </c>
      <c r="B1192" t="s">
        <v>1819</v>
      </c>
      <c r="C1192" t="s">
        <v>3252</v>
      </c>
    </row>
    <row r="1193" spans="1:3" x14ac:dyDescent="0.35">
      <c r="A1193">
        <v>23015</v>
      </c>
      <c r="B1193" t="s">
        <v>494</v>
      </c>
      <c r="C1193" t="s">
        <v>3252</v>
      </c>
    </row>
    <row r="1194" spans="1:3" x14ac:dyDescent="0.35">
      <c r="A1194">
        <v>23017</v>
      </c>
      <c r="B1194" t="s">
        <v>3255</v>
      </c>
      <c r="C1194" t="s">
        <v>3252</v>
      </c>
    </row>
    <row r="1195" spans="1:3" x14ac:dyDescent="0.35">
      <c r="A1195">
        <v>23019</v>
      </c>
      <c r="B1195" t="s">
        <v>3256</v>
      </c>
      <c r="C1195" t="s">
        <v>3252</v>
      </c>
    </row>
    <row r="1196" spans="1:3" x14ac:dyDescent="0.35">
      <c r="A1196">
        <v>23021</v>
      </c>
      <c r="B1196" t="s">
        <v>3257</v>
      </c>
      <c r="C1196" t="s">
        <v>3252</v>
      </c>
    </row>
    <row r="1197" spans="1:3" x14ac:dyDescent="0.35">
      <c r="A1197">
        <v>23023</v>
      </c>
      <c r="B1197" t="s">
        <v>3258</v>
      </c>
      <c r="C1197" t="s">
        <v>3252</v>
      </c>
    </row>
    <row r="1198" spans="1:3" x14ac:dyDescent="0.35">
      <c r="A1198">
        <v>23025</v>
      </c>
      <c r="B1198" t="s">
        <v>3259</v>
      </c>
      <c r="C1198" t="s">
        <v>3252</v>
      </c>
    </row>
    <row r="1199" spans="1:3" x14ac:dyDescent="0.35">
      <c r="A1199">
        <v>23027</v>
      </c>
      <c r="B1199" t="s">
        <v>3260</v>
      </c>
      <c r="C1199" t="s">
        <v>3252</v>
      </c>
    </row>
    <row r="1200" spans="1:3" x14ac:dyDescent="0.35">
      <c r="A1200">
        <v>23029</v>
      </c>
      <c r="B1200" t="s">
        <v>385</v>
      </c>
      <c r="C1200" t="s">
        <v>3252</v>
      </c>
    </row>
    <row r="1201" spans="1:3" x14ac:dyDescent="0.35">
      <c r="A1201">
        <v>23031</v>
      </c>
      <c r="B1201" t="s">
        <v>1789</v>
      </c>
      <c r="C1201" t="s">
        <v>3252</v>
      </c>
    </row>
    <row r="1202" spans="1:3" x14ac:dyDescent="0.35">
      <c r="A1202">
        <v>24001</v>
      </c>
      <c r="B1202" t="s">
        <v>3261</v>
      </c>
      <c r="C1202" t="s">
        <v>3262</v>
      </c>
    </row>
    <row r="1203" spans="1:3" x14ac:dyDescent="0.35">
      <c r="A1203">
        <v>24003</v>
      </c>
      <c r="B1203" t="s">
        <v>3263</v>
      </c>
      <c r="C1203" t="s">
        <v>3262</v>
      </c>
    </row>
    <row r="1204" spans="1:3" x14ac:dyDescent="0.35">
      <c r="A1204">
        <v>24005</v>
      </c>
      <c r="B1204" t="s">
        <v>3264</v>
      </c>
      <c r="C1204" t="s">
        <v>3262</v>
      </c>
    </row>
    <row r="1205" spans="1:3" x14ac:dyDescent="0.35">
      <c r="A1205">
        <v>24009</v>
      </c>
      <c r="B1205" t="s">
        <v>3265</v>
      </c>
      <c r="C1205" t="s">
        <v>3262</v>
      </c>
    </row>
    <row r="1206" spans="1:3" x14ac:dyDescent="0.35">
      <c r="A1206">
        <v>24011</v>
      </c>
      <c r="B1206" t="s">
        <v>3266</v>
      </c>
      <c r="C1206" t="s">
        <v>3262</v>
      </c>
    </row>
    <row r="1207" spans="1:3" x14ac:dyDescent="0.35">
      <c r="A1207">
        <v>24013</v>
      </c>
      <c r="B1207" t="s">
        <v>463</v>
      </c>
      <c r="C1207" t="s">
        <v>3262</v>
      </c>
    </row>
    <row r="1208" spans="1:3" x14ac:dyDescent="0.35">
      <c r="A1208">
        <v>24015</v>
      </c>
      <c r="B1208" t="s">
        <v>3267</v>
      </c>
      <c r="C1208" t="s">
        <v>3262</v>
      </c>
    </row>
    <row r="1209" spans="1:3" x14ac:dyDescent="0.35">
      <c r="A1209">
        <v>24017</v>
      </c>
      <c r="B1209" t="s">
        <v>3268</v>
      </c>
      <c r="C1209" t="s">
        <v>3262</v>
      </c>
    </row>
    <row r="1210" spans="1:3" x14ac:dyDescent="0.35">
      <c r="A1210">
        <v>24019</v>
      </c>
      <c r="B1210" t="s">
        <v>1713</v>
      </c>
      <c r="C1210" t="s">
        <v>3262</v>
      </c>
    </row>
    <row r="1211" spans="1:3" x14ac:dyDescent="0.35">
      <c r="A1211">
        <v>24021</v>
      </c>
      <c r="B1211" t="s">
        <v>3269</v>
      </c>
      <c r="C1211" t="s">
        <v>3262</v>
      </c>
    </row>
    <row r="1212" spans="1:3" x14ac:dyDescent="0.35">
      <c r="A1212">
        <v>24023</v>
      </c>
      <c r="B1212" t="s">
        <v>3270</v>
      </c>
      <c r="C1212" t="s">
        <v>3262</v>
      </c>
    </row>
    <row r="1213" spans="1:3" x14ac:dyDescent="0.35">
      <c r="A1213">
        <v>24025</v>
      </c>
      <c r="B1213" t="s">
        <v>3271</v>
      </c>
      <c r="C1213" t="s">
        <v>3262</v>
      </c>
    </row>
    <row r="1214" spans="1:3" x14ac:dyDescent="0.35">
      <c r="A1214">
        <v>24027</v>
      </c>
      <c r="B1214" t="s">
        <v>520</v>
      </c>
      <c r="C1214" t="s">
        <v>3262</v>
      </c>
    </row>
    <row r="1215" spans="1:3" x14ac:dyDescent="0.35">
      <c r="A1215">
        <v>24029</v>
      </c>
      <c r="B1215" t="s">
        <v>1954</v>
      </c>
      <c r="C1215" t="s">
        <v>3262</v>
      </c>
    </row>
    <row r="1216" spans="1:3" x14ac:dyDescent="0.35">
      <c r="A1216">
        <v>24031</v>
      </c>
      <c r="B1216" t="s">
        <v>301</v>
      </c>
      <c r="C1216" t="s">
        <v>3262</v>
      </c>
    </row>
    <row r="1217" spans="1:3" x14ac:dyDescent="0.35">
      <c r="A1217">
        <v>24033</v>
      </c>
      <c r="B1217" t="s">
        <v>3272</v>
      </c>
      <c r="C1217" t="s">
        <v>3262</v>
      </c>
    </row>
    <row r="1218" spans="1:3" x14ac:dyDescent="0.35">
      <c r="A1218">
        <v>24035</v>
      </c>
      <c r="B1218" t="s">
        <v>3273</v>
      </c>
      <c r="C1218" t="s">
        <v>3262</v>
      </c>
    </row>
    <row r="1219" spans="1:3" x14ac:dyDescent="0.35">
      <c r="A1219">
        <v>24037</v>
      </c>
      <c r="B1219" t="s">
        <v>3274</v>
      </c>
      <c r="C1219" t="s">
        <v>3262</v>
      </c>
    </row>
    <row r="1220" spans="1:3" x14ac:dyDescent="0.35">
      <c r="A1220">
        <v>24039</v>
      </c>
      <c r="B1220" t="s">
        <v>3259</v>
      </c>
      <c r="C1220" t="s">
        <v>3262</v>
      </c>
    </row>
    <row r="1221" spans="1:3" x14ac:dyDescent="0.35">
      <c r="A1221">
        <v>24041</v>
      </c>
      <c r="B1221" t="s">
        <v>917</v>
      </c>
      <c r="C1221" t="s">
        <v>3262</v>
      </c>
    </row>
    <row r="1222" spans="1:3" x14ac:dyDescent="0.35">
      <c r="A1222">
        <v>24043</v>
      </c>
      <c r="B1222" t="s">
        <v>385</v>
      </c>
      <c r="C1222" t="s">
        <v>3262</v>
      </c>
    </row>
    <row r="1223" spans="1:3" x14ac:dyDescent="0.35">
      <c r="A1223">
        <v>24045</v>
      </c>
      <c r="B1223" t="s">
        <v>3275</v>
      </c>
      <c r="C1223" t="s">
        <v>3262</v>
      </c>
    </row>
    <row r="1224" spans="1:3" x14ac:dyDescent="0.35">
      <c r="A1224">
        <v>24047</v>
      </c>
      <c r="B1224" t="s">
        <v>3276</v>
      </c>
      <c r="C1224" t="s">
        <v>3262</v>
      </c>
    </row>
    <row r="1225" spans="1:3" x14ac:dyDescent="0.35">
      <c r="A1225">
        <v>24510</v>
      </c>
      <c r="B1225" t="s">
        <v>3277</v>
      </c>
      <c r="C1225" t="s">
        <v>3262</v>
      </c>
    </row>
    <row r="1226" spans="1:3" x14ac:dyDescent="0.35">
      <c r="A1226">
        <v>25001</v>
      </c>
      <c r="B1226" t="s">
        <v>3278</v>
      </c>
      <c r="C1226" t="s">
        <v>3279</v>
      </c>
    </row>
    <row r="1227" spans="1:3" x14ac:dyDescent="0.35">
      <c r="A1227">
        <v>25003</v>
      </c>
      <c r="B1227" t="s">
        <v>3280</v>
      </c>
      <c r="C1227" t="s">
        <v>3279</v>
      </c>
    </row>
    <row r="1228" spans="1:3" x14ac:dyDescent="0.35">
      <c r="A1228">
        <v>25005</v>
      </c>
      <c r="B1228" t="s">
        <v>3281</v>
      </c>
      <c r="C1228" t="s">
        <v>3279</v>
      </c>
    </row>
    <row r="1229" spans="1:3" x14ac:dyDescent="0.35">
      <c r="A1229">
        <v>25007</v>
      </c>
      <c r="B1229" t="s">
        <v>3282</v>
      </c>
      <c r="C1229" t="s">
        <v>3279</v>
      </c>
    </row>
    <row r="1230" spans="1:3" x14ac:dyDescent="0.35">
      <c r="A1230">
        <v>25009</v>
      </c>
      <c r="B1230" t="s">
        <v>3283</v>
      </c>
      <c r="C1230" t="s">
        <v>3279</v>
      </c>
    </row>
    <row r="1231" spans="1:3" x14ac:dyDescent="0.35">
      <c r="A1231">
        <v>25011</v>
      </c>
      <c r="B1231" t="s">
        <v>3284</v>
      </c>
      <c r="C1231" t="s">
        <v>3279</v>
      </c>
    </row>
    <row r="1232" spans="1:3" x14ac:dyDescent="0.35">
      <c r="A1232">
        <v>25013</v>
      </c>
      <c r="B1232" t="s">
        <v>3285</v>
      </c>
      <c r="C1232" t="s">
        <v>3279</v>
      </c>
    </row>
    <row r="1233" spans="1:3" x14ac:dyDescent="0.35">
      <c r="A1233">
        <v>25015</v>
      </c>
      <c r="B1233" t="s">
        <v>3286</v>
      </c>
      <c r="C1233" t="s">
        <v>3279</v>
      </c>
    </row>
    <row r="1234" spans="1:3" x14ac:dyDescent="0.35">
      <c r="A1234">
        <v>25017</v>
      </c>
      <c r="B1234" t="s">
        <v>2991</v>
      </c>
      <c r="C1234" t="s">
        <v>3279</v>
      </c>
    </row>
    <row r="1235" spans="1:3" x14ac:dyDescent="0.35">
      <c r="A1235">
        <v>25019</v>
      </c>
      <c r="B1235" t="s">
        <v>3287</v>
      </c>
      <c r="C1235" t="s">
        <v>3279</v>
      </c>
    </row>
    <row r="1236" spans="1:3" x14ac:dyDescent="0.35">
      <c r="A1236">
        <v>25021</v>
      </c>
      <c r="B1236" t="s">
        <v>3288</v>
      </c>
      <c r="C1236" t="s">
        <v>3279</v>
      </c>
    </row>
    <row r="1237" spans="1:3" x14ac:dyDescent="0.35">
      <c r="A1237">
        <v>25023</v>
      </c>
      <c r="B1237" t="s">
        <v>3141</v>
      </c>
      <c r="C1237" t="s">
        <v>3279</v>
      </c>
    </row>
    <row r="1238" spans="1:3" x14ac:dyDescent="0.35">
      <c r="A1238">
        <v>25025</v>
      </c>
      <c r="B1238" t="s">
        <v>3289</v>
      </c>
      <c r="C1238" t="s">
        <v>3279</v>
      </c>
    </row>
    <row r="1239" spans="1:3" x14ac:dyDescent="0.35">
      <c r="A1239">
        <v>25027</v>
      </c>
      <c r="B1239" t="s">
        <v>3290</v>
      </c>
      <c r="C1239" t="s">
        <v>3279</v>
      </c>
    </row>
    <row r="1240" spans="1:3" x14ac:dyDescent="0.35">
      <c r="A1240">
        <v>26001</v>
      </c>
      <c r="B1240" t="s">
        <v>3291</v>
      </c>
      <c r="C1240" t="s">
        <v>3292</v>
      </c>
    </row>
    <row r="1241" spans="1:3" x14ac:dyDescent="0.35">
      <c r="A1241">
        <v>26003</v>
      </c>
      <c r="B1241" t="s">
        <v>3293</v>
      </c>
      <c r="C1241" t="s">
        <v>3292</v>
      </c>
    </row>
    <row r="1242" spans="1:3" x14ac:dyDescent="0.35">
      <c r="A1242">
        <v>26005</v>
      </c>
      <c r="B1242" t="s">
        <v>3294</v>
      </c>
      <c r="C1242" t="s">
        <v>3292</v>
      </c>
    </row>
    <row r="1243" spans="1:3" x14ac:dyDescent="0.35">
      <c r="A1243">
        <v>26007</v>
      </c>
      <c r="B1243" t="s">
        <v>3295</v>
      </c>
      <c r="C1243" t="s">
        <v>3292</v>
      </c>
    </row>
    <row r="1244" spans="1:3" x14ac:dyDescent="0.35">
      <c r="A1244">
        <v>26009</v>
      </c>
      <c r="B1244" t="s">
        <v>3296</v>
      </c>
      <c r="C1244" t="s">
        <v>3292</v>
      </c>
    </row>
    <row r="1245" spans="1:3" x14ac:dyDescent="0.35">
      <c r="A1245">
        <v>26011</v>
      </c>
      <c r="B1245" t="s">
        <v>3297</v>
      </c>
      <c r="C1245" t="s">
        <v>3292</v>
      </c>
    </row>
    <row r="1246" spans="1:3" x14ac:dyDescent="0.35">
      <c r="A1246">
        <v>26013</v>
      </c>
      <c r="B1246" t="s">
        <v>3298</v>
      </c>
      <c r="C1246" t="s">
        <v>3292</v>
      </c>
    </row>
    <row r="1247" spans="1:3" x14ac:dyDescent="0.35">
      <c r="A1247">
        <v>26015</v>
      </c>
      <c r="B1247" t="s">
        <v>2717</v>
      </c>
      <c r="C1247" t="s">
        <v>3292</v>
      </c>
    </row>
    <row r="1248" spans="1:3" x14ac:dyDescent="0.35">
      <c r="A1248">
        <v>26017</v>
      </c>
      <c r="B1248" t="s">
        <v>548</v>
      </c>
      <c r="C1248" t="s">
        <v>3292</v>
      </c>
    </row>
    <row r="1249" spans="1:3" x14ac:dyDescent="0.35">
      <c r="A1249">
        <v>26019</v>
      </c>
      <c r="B1249" t="s">
        <v>3299</v>
      </c>
      <c r="C1249" t="s">
        <v>3292</v>
      </c>
    </row>
    <row r="1250" spans="1:3" x14ac:dyDescent="0.35">
      <c r="A1250">
        <v>26021</v>
      </c>
      <c r="B1250" t="s">
        <v>1029</v>
      </c>
      <c r="C1250" t="s">
        <v>3292</v>
      </c>
    </row>
    <row r="1251" spans="1:3" x14ac:dyDescent="0.35">
      <c r="A1251">
        <v>26023</v>
      </c>
      <c r="B1251" t="s">
        <v>3300</v>
      </c>
      <c r="C1251" t="s">
        <v>3292</v>
      </c>
    </row>
    <row r="1252" spans="1:3" x14ac:dyDescent="0.35">
      <c r="A1252">
        <v>26025</v>
      </c>
      <c r="B1252" t="s">
        <v>233</v>
      </c>
      <c r="C1252" t="s">
        <v>3292</v>
      </c>
    </row>
    <row r="1253" spans="1:3" x14ac:dyDescent="0.35">
      <c r="A1253">
        <v>26027</v>
      </c>
      <c r="B1253" t="s">
        <v>2313</v>
      </c>
      <c r="C1253" t="s">
        <v>3292</v>
      </c>
    </row>
    <row r="1254" spans="1:3" x14ac:dyDescent="0.35">
      <c r="A1254">
        <v>26029</v>
      </c>
      <c r="B1254" t="s">
        <v>3301</v>
      </c>
      <c r="C1254" t="s">
        <v>3292</v>
      </c>
    </row>
    <row r="1255" spans="1:3" x14ac:dyDescent="0.35">
      <c r="A1255">
        <v>26031</v>
      </c>
      <c r="B1255" t="s">
        <v>3302</v>
      </c>
      <c r="C1255" t="s">
        <v>3292</v>
      </c>
    </row>
    <row r="1256" spans="1:3" x14ac:dyDescent="0.35">
      <c r="A1256">
        <v>26033</v>
      </c>
      <c r="B1256" t="s">
        <v>3303</v>
      </c>
      <c r="C1256" t="s">
        <v>3292</v>
      </c>
    </row>
    <row r="1257" spans="1:3" x14ac:dyDescent="0.35">
      <c r="A1257">
        <v>26035</v>
      </c>
      <c r="B1257" t="s">
        <v>3304</v>
      </c>
      <c r="C1257" t="s">
        <v>3292</v>
      </c>
    </row>
    <row r="1258" spans="1:3" x14ac:dyDescent="0.35">
      <c r="A1258">
        <v>26037</v>
      </c>
      <c r="B1258" t="s">
        <v>2727</v>
      </c>
      <c r="C1258" t="s">
        <v>3292</v>
      </c>
    </row>
    <row r="1259" spans="1:3" x14ac:dyDescent="0.35">
      <c r="A1259">
        <v>26039</v>
      </c>
      <c r="B1259" t="s">
        <v>526</v>
      </c>
      <c r="C1259" t="s">
        <v>3292</v>
      </c>
    </row>
    <row r="1260" spans="1:3" x14ac:dyDescent="0.35">
      <c r="A1260">
        <v>26041</v>
      </c>
      <c r="B1260" t="s">
        <v>2315</v>
      </c>
      <c r="C1260" t="s">
        <v>3292</v>
      </c>
    </row>
    <row r="1261" spans="1:3" x14ac:dyDescent="0.35">
      <c r="A1261">
        <v>26043</v>
      </c>
      <c r="B1261" t="s">
        <v>3124</v>
      </c>
      <c r="C1261" t="s">
        <v>3292</v>
      </c>
    </row>
    <row r="1262" spans="1:3" x14ac:dyDescent="0.35">
      <c r="A1262">
        <v>26045</v>
      </c>
      <c r="B1262" t="s">
        <v>3305</v>
      </c>
      <c r="C1262" t="s">
        <v>3292</v>
      </c>
    </row>
    <row r="1263" spans="1:3" x14ac:dyDescent="0.35">
      <c r="A1263">
        <v>26047</v>
      </c>
      <c r="B1263" t="s">
        <v>3126</v>
      </c>
      <c r="C1263" t="s">
        <v>3292</v>
      </c>
    </row>
    <row r="1264" spans="1:3" x14ac:dyDescent="0.35">
      <c r="A1264">
        <v>26049</v>
      </c>
      <c r="B1264" t="s">
        <v>3306</v>
      </c>
      <c r="C1264" t="s">
        <v>3292</v>
      </c>
    </row>
    <row r="1265" spans="1:3" x14ac:dyDescent="0.35">
      <c r="A1265">
        <v>26051</v>
      </c>
      <c r="B1265" t="s">
        <v>3307</v>
      </c>
      <c r="C1265" t="s">
        <v>3292</v>
      </c>
    </row>
    <row r="1266" spans="1:3" x14ac:dyDescent="0.35">
      <c r="A1266">
        <v>26053</v>
      </c>
      <c r="B1266" t="s">
        <v>3308</v>
      </c>
      <c r="C1266" t="s">
        <v>3292</v>
      </c>
    </row>
    <row r="1267" spans="1:3" x14ac:dyDescent="0.35">
      <c r="A1267">
        <v>26055</v>
      </c>
      <c r="B1267" t="s">
        <v>3309</v>
      </c>
      <c r="C1267" t="s">
        <v>3292</v>
      </c>
    </row>
    <row r="1268" spans="1:3" x14ac:dyDescent="0.35">
      <c r="A1268">
        <v>26057</v>
      </c>
      <c r="B1268" t="s">
        <v>3310</v>
      </c>
      <c r="C1268" t="s">
        <v>3292</v>
      </c>
    </row>
    <row r="1269" spans="1:3" x14ac:dyDescent="0.35">
      <c r="A1269">
        <v>26059</v>
      </c>
      <c r="B1269" t="s">
        <v>3311</v>
      </c>
      <c r="C1269" t="s">
        <v>3292</v>
      </c>
    </row>
    <row r="1270" spans="1:3" x14ac:dyDescent="0.35">
      <c r="A1270">
        <v>26061</v>
      </c>
      <c r="B1270" t="s">
        <v>3312</v>
      </c>
      <c r="C1270" t="s">
        <v>3292</v>
      </c>
    </row>
    <row r="1271" spans="1:3" x14ac:dyDescent="0.35">
      <c r="A1271">
        <v>26063</v>
      </c>
      <c r="B1271" t="s">
        <v>3313</v>
      </c>
      <c r="C1271" t="s">
        <v>3292</v>
      </c>
    </row>
    <row r="1272" spans="1:3" x14ac:dyDescent="0.35">
      <c r="A1272">
        <v>26065</v>
      </c>
      <c r="B1272" t="s">
        <v>3314</v>
      </c>
      <c r="C1272" t="s">
        <v>3292</v>
      </c>
    </row>
    <row r="1273" spans="1:3" x14ac:dyDescent="0.35">
      <c r="A1273">
        <v>26067</v>
      </c>
      <c r="B1273" t="s">
        <v>3315</v>
      </c>
      <c r="C1273" t="s">
        <v>3292</v>
      </c>
    </row>
    <row r="1274" spans="1:3" x14ac:dyDescent="0.35">
      <c r="A1274">
        <v>26069</v>
      </c>
      <c r="B1274" t="s">
        <v>3316</v>
      </c>
      <c r="C1274" t="s">
        <v>3292</v>
      </c>
    </row>
    <row r="1275" spans="1:3" x14ac:dyDescent="0.35">
      <c r="A1275">
        <v>26071</v>
      </c>
      <c r="B1275" t="s">
        <v>2739</v>
      </c>
      <c r="C1275" t="s">
        <v>3292</v>
      </c>
    </row>
    <row r="1276" spans="1:3" x14ac:dyDescent="0.35">
      <c r="A1276">
        <v>26073</v>
      </c>
      <c r="B1276" t="s">
        <v>3317</v>
      </c>
      <c r="C1276" t="s">
        <v>3292</v>
      </c>
    </row>
    <row r="1277" spans="1:3" x14ac:dyDescent="0.35">
      <c r="A1277">
        <v>26075</v>
      </c>
      <c r="B1277" t="s">
        <v>357</v>
      </c>
      <c r="C1277" t="s">
        <v>3292</v>
      </c>
    </row>
    <row r="1278" spans="1:3" x14ac:dyDescent="0.35">
      <c r="A1278">
        <v>26077</v>
      </c>
      <c r="B1278" t="s">
        <v>3318</v>
      </c>
      <c r="C1278" t="s">
        <v>3292</v>
      </c>
    </row>
    <row r="1279" spans="1:3" x14ac:dyDescent="0.35">
      <c r="A1279">
        <v>26079</v>
      </c>
      <c r="B1279" t="s">
        <v>3319</v>
      </c>
      <c r="C1279" t="s">
        <v>3292</v>
      </c>
    </row>
    <row r="1280" spans="1:3" x14ac:dyDescent="0.35">
      <c r="A1280">
        <v>26081</v>
      </c>
      <c r="B1280" t="s">
        <v>1954</v>
      </c>
      <c r="C1280" t="s">
        <v>3292</v>
      </c>
    </row>
    <row r="1281" spans="1:3" x14ac:dyDescent="0.35">
      <c r="A1281">
        <v>26083</v>
      </c>
      <c r="B1281" t="s">
        <v>3320</v>
      </c>
      <c r="C1281" t="s">
        <v>3292</v>
      </c>
    </row>
    <row r="1282" spans="1:3" x14ac:dyDescent="0.35">
      <c r="A1282">
        <v>26085</v>
      </c>
      <c r="B1282" t="s">
        <v>654</v>
      </c>
      <c r="C1282" t="s">
        <v>3292</v>
      </c>
    </row>
    <row r="1283" spans="1:3" x14ac:dyDescent="0.35">
      <c r="A1283">
        <v>26087</v>
      </c>
      <c r="B1283" t="s">
        <v>3321</v>
      </c>
      <c r="C1283" t="s">
        <v>3292</v>
      </c>
    </row>
    <row r="1284" spans="1:3" x14ac:dyDescent="0.35">
      <c r="A1284">
        <v>26089</v>
      </c>
      <c r="B1284" t="s">
        <v>3322</v>
      </c>
      <c r="C1284" t="s">
        <v>3292</v>
      </c>
    </row>
    <row r="1285" spans="1:3" x14ac:dyDescent="0.35">
      <c r="A1285">
        <v>26091</v>
      </c>
      <c r="B1285" t="s">
        <v>3323</v>
      </c>
      <c r="C1285" t="s">
        <v>3292</v>
      </c>
    </row>
    <row r="1286" spans="1:3" x14ac:dyDescent="0.35">
      <c r="A1286">
        <v>26093</v>
      </c>
      <c r="B1286" t="s">
        <v>2742</v>
      </c>
      <c r="C1286" t="s">
        <v>3292</v>
      </c>
    </row>
    <row r="1287" spans="1:3" x14ac:dyDescent="0.35">
      <c r="A1287">
        <v>26095</v>
      </c>
      <c r="B1287" t="s">
        <v>3324</v>
      </c>
      <c r="C1287" t="s">
        <v>3292</v>
      </c>
    </row>
    <row r="1288" spans="1:3" x14ac:dyDescent="0.35">
      <c r="A1288">
        <v>26097</v>
      </c>
      <c r="B1288" t="s">
        <v>3325</v>
      </c>
      <c r="C1288" t="s">
        <v>3292</v>
      </c>
    </row>
    <row r="1289" spans="1:3" x14ac:dyDescent="0.35">
      <c r="A1289">
        <v>26099</v>
      </c>
      <c r="B1289" t="s">
        <v>3326</v>
      </c>
      <c r="C1289" t="s">
        <v>3292</v>
      </c>
    </row>
    <row r="1290" spans="1:3" x14ac:dyDescent="0.35">
      <c r="A1290">
        <v>26101</v>
      </c>
      <c r="B1290" t="s">
        <v>3327</v>
      </c>
      <c r="C1290" t="s">
        <v>3292</v>
      </c>
    </row>
    <row r="1291" spans="1:3" x14ac:dyDescent="0.35">
      <c r="A1291">
        <v>26103</v>
      </c>
      <c r="B1291" t="s">
        <v>3328</v>
      </c>
      <c r="C1291" t="s">
        <v>3292</v>
      </c>
    </row>
    <row r="1292" spans="1:3" x14ac:dyDescent="0.35">
      <c r="A1292">
        <v>26105</v>
      </c>
      <c r="B1292" t="s">
        <v>2241</v>
      </c>
      <c r="C1292" t="s">
        <v>3292</v>
      </c>
    </row>
    <row r="1293" spans="1:3" x14ac:dyDescent="0.35">
      <c r="A1293">
        <v>26107</v>
      </c>
      <c r="B1293" t="s">
        <v>3329</v>
      </c>
      <c r="C1293" t="s">
        <v>3292</v>
      </c>
    </row>
    <row r="1294" spans="1:3" x14ac:dyDescent="0.35">
      <c r="A1294">
        <v>26109</v>
      </c>
      <c r="B1294" t="s">
        <v>3330</v>
      </c>
      <c r="C1294" t="s">
        <v>3292</v>
      </c>
    </row>
    <row r="1295" spans="1:3" x14ac:dyDescent="0.35">
      <c r="A1295">
        <v>26111</v>
      </c>
      <c r="B1295" t="s">
        <v>2217</v>
      </c>
      <c r="C1295" t="s">
        <v>3292</v>
      </c>
    </row>
    <row r="1296" spans="1:3" x14ac:dyDescent="0.35">
      <c r="A1296">
        <v>26113</v>
      </c>
      <c r="B1296" t="s">
        <v>3331</v>
      </c>
      <c r="C1296" t="s">
        <v>3292</v>
      </c>
    </row>
    <row r="1297" spans="1:3" x14ac:dyDescent="0.35">
      <c r="A1297">
        <v>26115</v>
      </c>
      <c r="B1297" t="s">
        <v>369</v>
      </c>
      <c r="C1297" t="s">
        <v>3292</v>
      </c>
    </row>
    <row r="1298" spans="1:3" x14ac:dyDescent="0.35">
      <c r="A1298">
        <v>26117</v>
      </c>
      <c r="B1298" t="s">
        <v>3332</v>
      </c>
      <c r="C1298" t="s">
        <v>3292</v>
      </c>
    </row>
    <row r="1299" spans="1:3" x14ac:dyDescent="0.35">
      <c r="A1299">
        <v>26119</v>
      </c>
      <c r="B1299" t="s">
        <v>3333</v>
      </c>
      <c r="C1299" t="s">
        <v>3292</v>
      </c>
    </row>
    <row r="1300" spans="1:3" x14ac:dyDescent="0.35">
      <c r="A1300">
        <v>26121</v>
      </c>
      <c r="B1300" t="s">
        <v>3334</v>
      </c>
      <c r="C1300" t="s">
        <v>3292</v>
      </c>
    </row>
    <row r="1301" spans="1:3" x14ac:dyDescent="0.35">
      <c r="A1301">
        <v>26123</v>
      </c>
      <c r="B1301" t="s">
        <v>3335</v>
      </c>
      <c r="C1301" t="s">
        <v>3292</v>
      </c>
    </row>
    <row r="1302" spans="1:3" x14ac:dyDescent="0.35">
      <c r="A1302">
        <v>26125</v>
      </c>
      <c r="B1302" t="s">
        <v>3336</v>
      </c>
      <c r="C1302" t="s">
        <v>3292</v>
      </c>
    </row>
    <row r="1303" spans="1:3" x14ac:dyDescent="0.35">
      <c r="A1303">
        <v>26127</v>
      </c>
      <c r="B1303" t="s">
        <v>3337</v>
      </c>
      <c r="C1303" t="s">
        <v>3292</v>
      </c>
    </row>
    <row r="1304" spans="1:3" x14ac:dyDescent="0.35">
      <c r="A1304">
        <v>26129</v>
      </c>
      <c r="B1304" t="s">
        <v>3338</v>
      </c>
      <c r="C1304" t="s">
        <v>3292</v>
      </c>
    </row>
    <row r="1305" spans="1:3" x14ac:dyDescent="0.35">
      <c r="A1305">
        <v>26131</v>
      </c>
      <c r="B1305" t="s">
        <v>3339</v>
      </c>
      <c r="C1305" t="s">
        <v>3292</v>
      </c>
    </row>
    <row r="1306" spans="1:3" x14ac:dyDescent="0.35">
      <c r="A1306">
        <v>26133</v>
      </c>
      <c r="B1306" t="s">
        <v>710</v>
      </c>
      <c r="C1306" t="s">
        <v>3292</v>
      </c>
    </row>
    <row r="1307" spans="1:3" x14ac:dyDescent="0.35">
      <c r="A1307">
        <v>26135</v>
      </c>
      <c r="B1307" t="s">
        <v>3340</v>
      </c>
      <c r="C1307" t="s">
        <v>3292</v>
      </c>
    </row>
    <row r="1308" spans="1:3" x14ac:dyDescent="0.35">
      <c r="A1308">
        <v>26137</v>
      </c>
      <c r="B1308" t="s">
        <v>3341</v>
      </c>
      <c r="C1308" t="s">
        <v>3292</v>
      </c>
    </row>
    <row r="1309" spans="1:3" x14ac:dyDescent="0.35">
      <c r="A1309">
        <v>26139</v>
      </c>
      <c r="B1309" t="s">
        <v>3184</v>
      </c>
      <c r="C1309" t="s">
        <v>3292</v>
      </c>
    </row>
    <row r="1310" spans="1:3" x14ac:dyDescent="0.35">
      <c r="A1310">
        <v>26141</v>
      </c>
      <c r="B1310" t="s">
        <v>3342</v>
      </c>
      <c r="C1310" t="s">
        <v>3292</v>
      </c>
    </row>
    <row r="1311" spans="1:3" x14ac:dyDescent="0.35">
      <c r="A1311">
        <v>26143</v>
      </c>
      <c r="B1311" t="s">
        <v>3343</v>
      </c>
      <c r="C1311" t="s">
        <v>3292</v>
      </c>
    </row>
    <row r="1312" spans="1:3" x14ac:dyDescent="0.35">
      <c r="A1312">
        <v>26145</v>
      </c>
      <c r="B1312" t="s">
        <v>3344</v>
      </c>
      <c r="C1312" t="s">
        <v>3292</v>
      </c>
    </row>
    <row r="1313" spans="1:3" x14ac:dyDescent="0.35">
      <c r="A1313">
        <v>26147</v>
      </c>
      <c r="B1313" t="s">
        <v>251</v>
      </c>
      <c r="C1313" t="s">
        <v>3292</v>
      </c>
    </row>
    <row r="1314" spans="1:3" x14ac:dyDescent="0.35">
      <c r="A1314">
        <v>26149</v>
      </c>
      <c r="B1314" t="s">
        <v>3103</v>
      </c>
      <c r="C1314" t="s">
        <v>3292</v>
      </c>
    </row>
    <row r="1315" spans="1:3" x14ac:dyDescent="0.35">
      <c r="A1315">
        <v>26151</v>
      </c>
      <c r="B1315" t="s">
        <v>3345</v>
      </c>
      <c r="C1315" t="s">
        <v>3292</v>
      </c>
    </row>
    <row r="1316" spans="1:3" x14ac:dyDescent="0.35">
      <c r="A1316">
        <v>26153</v>
      </c>
      <c r="B1316" t="s">
        <v>3346</v>
      </c>
      <c r="C1316" t="s">
        <v>3292</v>
      </c>
    </row>
    <row r="1317" spans="1:3" x14ac:dyDescent="0.35">
      <c r="A1317">
        <v>26155</v>
      </c>
      <c r="B1317" t="s">
        <v>3347</v>
      </c>
      <c r="C1317" t="s">
        <v>3292</v>
      </c>
    </row>
    <row r="1318" spans="1:3" x14ac:dyDescent="0.35">
      <c r="A1318">
        <v>26157</v>
      </c>
      <c r="B1318" t="s">
        <v>3348</v>
      </c>
      <c r="C1318" t="s">
        <v>3292</v>
      </c>
    </row>
    <row r="1319" spans="1:3" x14ac:dyDescent="0.35">
      <c r="A1319">
        <v>26159</v>
      </c>
      <c r="B1319" t="s">
        <v>411</v>
      </c>
      <c r="C1319" t="s">
        <v>3292</v>
      </c>
    </row>
    <row r="1320" spans="1:3" x14ac:dyDescent="0.35">
      <c r="A1320">
        <v>26161</v>
      </c>
      <c r="B1320" t="s">
        <v>3349</v>
      </c>
      <c r="C1320" t="s">
        <v>3292</v>
      </c>
    </row>
    <row r="1321" spans="1:3" x14ac:dyDescent="0.35">
      <c r="A1321">
        <v>26163</v>
      </c>
      <c r="B1321" t="s">
        <v>894</v>
      </c>
      <c r="C1321" t="s">
        <v>3292</v>
      </c>
    </row>
    <row r="1322" spans="1:3" x14ac:dyDescent="0.35">
      <c r="A1322">
        <v>26165</v>
      </c>
      <c r="B1322" t="s">
        <v>3350</v>
      </c>
      <c r="C1322" t="s">
        <v>3292</v>
      </c>
    </row>
    <row r="1323" spans="1:3" x14ac:dyDescent="0.35">
      <c r="A1323">
        <v>27001</v>
      </c>
      <c r="B1323" t="s">
        <v>3351</v>
      </c>
      <c r="C1323" t="s">
        <v>3352</v>
      </c>
    </row>
    <row r="1324" spans="1:3" x14ac:dyDescent="0.35">
      <c r="A1324">
        <v>27003</v>
      </c>
      <c r="B1324" t="s">
        <v>3353</v>
      </c>
      <c r="C1324" t="s">
        <v>3352</v>
      </c>
    </row>
    <row r="1325" spans="1:3" x14ac:dyDescent="0.35">
      <c r="A1325">
        <v>27005</v>
      </c>
      <c r="B1325" t="s">
        <v>3354</v>
      </c>
      <c r="C1325" t="s">
        <v>3352</v>
      </c>
    </row>
    <row r="1326" spans="1:3" x14ac:dyDescent="0.35">
      <c r="A1326">
        <v>27007</v>
      </c>
      <c r="B1326" t="s">
        <v>3355</v>
      </c>
      <c r="C1326" t="s">
        <v>3352</v>
      </c>
    </row>
    <row r="1327" spans="1:3" x14ac:dyDescent="0.35">
      <c r="A1327">
        <v>27009</v>
      </c>
      <c r="B1327" t="s">
        <v>456</v>
      </c>
      <c r="C1327" t="s">
        <v>3352</v>
      </c>
    </row>
    <row r="1328" spans="1:3" x14ac:dyDescent="0.35">
      <c r="A1328">
        <v>27011</v>
      </c>
      <c r="B1328" t="s">
        <v>3356</v>
      </c>
      <c r="C1328" t="s">
        <v>3352</v>
      </c>
    </row>
    <row r="1329" spans="1:3" x14ac:dyDescent="0.35">
      <c r="A1329">
        <v>27013</v>
      </c>
      <c r="B1329" t="s">
        <v>3357</v>
      </c>
      <c r="C1329" t="s">
        <v>3352</v>
      </c>
    </row>
    <row r="1330" spans="1:3" x14ac:dyDescent="0.35">
      <c r="A1330">
        <v>27015</v>
      </c>
      <c r="B1330" t="s">
        <v>1939</v>
      </c>
      <c r="C1330" t="s">
        <v>3352</v>
      </c>
    </row>
    <row r="1331" spans="1:3" x14ac:dyDescent="0.35">
      <c r="A1331">
        <v>27017</v>
      </c>
      <c r="B1331" t="s">
        <v>3358</v>
      </c>
      <c r="C1331" t="s">
        <v>3352</v>
      </c>
    </row>
    <row r="1332" spans="1:3" x14ac:dyDescent="0.35">
      <c r="A1332">
        <v>27019</v>
      </c>
      <c r="B1332" t="s">
        <v>3359</v>
      </c>
      <c r="C1332" t="s">
        <v>3352</v>
      </c>
    </row>
    <row r="1333" spans="1:3" x14ac:dyDescent="0.35">
      <c r="A1333">
        <v>27021</v>
      </c>
      <c r="B1333" t="s">
        <v>2313</v>
      </c>
      <c r="C1333" t="s">
        <v>3352</v>
      </c>
    </row>
    <row r="1334" spans="1:3" x14ac:dyDescent="0.35">
      <c r="A1334">
        <v>27023</v>
      </c>
      <c r="B1334" t="s">
        <v>3303</v>
      </c>
      <c r="C1334" t="s">
        <v>3352</v>
      </c>
    </row>
    <row r="1335" spans="1:3" x14ac:dyDescent="0.35">
      <c r="A1335">
        <v>27025</v>
      </c>
      <c r="B1335" t="s">
        <v>3360</v>
      </c>
      <c r="C1335" t="s">
        <v>3352</v>
      </c>
    </row>
    <row r="1336" spans="1:3" x14ac:dyDescent="0.35">
      <c r="A1336">
        <v>27027</v>
      </c>
      <c r="B1336" t="s">
        <v>329</v>
      </c>
      <c r="C1336" t="s">
        <v>3352</v>
      </c>
    </row>
    <row r="1337" spans="1:3" x14ac:dyDescent="0.35">
      <c r="A1337">
        <v>27029</v>
      </c>
      <c r="B1337" t="s">
        <v>3027</v>
      </c>
      <c r="C1337" t="s">
        <v>3352</v>
      </c>
    </row>
    <row r="1338" spans="1:3" x14ac:dyDescent="0.35">
      <c r="A1338">
        <v>27031</v>
      </c>
      <c r="B1338" t="s">
        <v>1037</v>
      </c>
      <c r="C1338" t="s">
        <v>3352</v>
      </c>
    </row>
    <row r="1339" spans="1:3" x14ac:dyDescent="0.35">
      <c r="A1339">
        <v>27033</v>
      </c>
      <c r="B1339" t="s">
        <v>3361</v>
      </c>
      <c r="C1339" t="s">
        <v>3352</v>
      </c>
    </row>
    <row r="1340" spans="1:3" x14ac:dyDescent="0.35">
      <c r="A1340">
        <v>27035</v>
      </c>
      <c r="B1340" t="s">
        <v>3362</v>
      </c>
      <c r="C1340" t="s">
        <v>3352</v>
      </c>
    </row>
    <row r="1341" spans="1:3" x14ac:dyDescent="0.35">
      <c r="A1341">
        <v>27037</v>
      </c>
      <c r="B1341" t="s">
        <v>3363</v>
      </c>
      <c r="C1341" t="s">
        <v>3352</v>
      </c>
    </row>
    <row r="1342" spans="1:3" x14ac:dyDescent="0.35">
      <c r="A1342">
        <v>27039</v>
      </c>
      <c r="B1342" t="s">
        <v>978</v>
      </c>
      <c r="C1342" t="s">
        <v>3352</v>
      </c>
    </row>
    <row r="1343" spans="1:3" x14ac:dyDescent="0.35">
      <c r="A1343">
        <v>27041</v>
      </c>
      <c r="B1343" t="s">
        <v>828</v>
      </c>
      <c r="C1343" t="s">
        <v>3352</v>
      </c>
    </row>
    <row r="1344" spans="1:3" x14ac:dyDescent="0.35">
      <c r="A1344">
        <v>27043</v>
      </c>
      <c r="B1344" t="s">
        <v>3364</v>
      </c>
      <c r="C1344" t="s">
        <v>3352</v>
      </c>
    </row>
    <row r="1345" spans="1:3" x14ac:dyDescent="0.35">
      <c r="A1345">
        <v>27045</v>
      </c>
      <c r="B1345" t="s">
        <v>3365</v>
      </c>
      <c r="C1345" t="s">
        <v>3352</v>
      </c>
    </row>
    <row r="1346" spans="1:3" x14ac:dyDescent="0.35">
      <c r="A1346">
        <v>27047</v>
      </c>
      <c r="B1346" t="s">
        <v>3366</v>
      </c>
      <c r="C1346" t="s">
        <v>3352</v>
      </c>
    </row>
    <row r="1347" spans="1:3" x14ac:dyDescent="0.35">
      <c r="A1347">
        <v>27049</v>
      </c>
      <c r="B1347" t="s">
        <v>3367</v>
      </c>
      <c r="C1347" t="s">
        <v>3352</v>
      </c>
    </row>
    <row r="1348" spans="1:3" x14ac:dyDescent="0.35">
      <c r="A1348">
        <v>27051</v>
      </c>
      <c r="B1348" t="s">
        <v>413</v>
      </c>
      <c r="C1348" t="s">
        <v>3352</v>
      </c>
    </row>
    <row r="1349" spans="1:3" x14ac:dyDescent="0.35">
      <c r="A1349">
        <v>27053</v>
      </c>
      <c r="B1349" t="s">
        <v>3368</v>
      </c>
      <c r="C1349" t="s">
        <v>3352</v>
      </c>
    </row>
    <row r="1350" spans="1:3" x14ac:dyDescent="0.35">
      <c r="A1350">
        <v>27055</v>
      </c>
      <c r="B1350" t="s">
        <v>271</v>
      </c>
      <c r="C1350" t="s">
        <v>3352</v>
      </c>
    </row>
    <row r="1351" spans="1:3" x14ac:dyDescent="0.35">
      <c r="A1351">
        <v>27057</v>
      </c>
      <c r="B1351" t="s">
        <v>3369</v>
      </c>
      <c r="C1351" t="s">
        <v>3352</v>
      </c>
    </row>
    <row r="1352" spans="1:3" x14ac:dyDescent="0.35">
      <c r="A1352">
        <v>27059</v>
      </c>
      <c r="B1352" t="s">
        <v>3370</v>
      </c>
      <c r="C1352" t="s">
        <v>3352</v>
      </c>
    </row>
    <row r="1353" spans="1:3" x14ac:dyDescent="0.35">
      <c r="A1353">
        <v>27061</v>
      </c>
      <c r="B1353" t="s">
        <v>3371</v>
      </c>
      <c r="C1353" t="s">
        <v>3352</v>
      </c>
    </row>
    <row r="1354" spans="1:3" x14ac:dyDescent="0.35">
      <c r="A1354">
        <v>27063</v>
      </c>
      <c r="B1354" t="s">
        <v>357</v>
      </c>
      <c r="C1354" t="s">
        <v>3352</v>
      </c>
    </row>
    <row r="1355" spans="1:3" x14ac:dyDescent="0.35">
      <c r="A1355">
        <v>27065</v>
      </c>
      <c r="B1355" t="s">
        <v>3372</v>
      </c>
      <c r="C1355" t="s">
        <v>3352</v>
      </c>
    </row>
    <row r="1356" spans="1:3" x14ac:dyDescent="0.35">
      <c r="A1356">
        <v>27067</v>
      </c>
      <c r="B1356" t="s">
        <v>3373</v>
      </c>
      <c r="C1356" t="s">
        <v>3352</v>
      </c>
    </row>
    <row r="1357" spans="1:3" x14ac:dyDescent="0.35">
      <c r="A1357">
        <v>27069</v>
      </c>
      <c r="B1357" t="s">
        <v>3374</v>
      </c>
      <c r="C1357" t="s">
        <v>3352</v>
      </c>
    </row>
    <row r="1358" spans="1:3" x14ac:dyDescent="0.35">
      <c r="A1358">
        <v>27071</v>
      </c>
      <c r="B1358" t="s">
        <v>3375</v>
      </c>
      <c r="C1358" t="s">
        <v>3352</v>
      </c>
    </row>
    <row r="1359" spans="1:3" x14ac:dyDescent="0.35">
      <c r="A1359">
        <v>27073</v>
      </c>
      <c r="B1359" t="s">
        <v>3376</v>
      </c>
      <c r="C1359" t="s">
        <v>3352</v>
      </c>
    </row>
    <row r="1360" spans="1:3" x14ac:dyDescent="0.35">
      <c r="A1360">
        <v>27075</v>
      </c>
      <c r="B1360" t="s">
        <v>654</v>
      </c>
      <c r="C1360" t="s">
        <v>3352</v>
      </c>
    </row>
    <row r="1361" spans="1:3" x14ac:dyDescent="0.35">
      <c r="A1361">
        <v>27077</v>
      </c>
      <c r="B1361" t="s">
        <v>3377</v>
      </c>
      <c r="C1361" t="s">
        <v>3352</v>
      </c>
    </row>
    <row r="1362" spans="1:3" x14ac:dyDescent="0.35">
      <c r="A1362">
        <v>27079</v>
      </c>
      <c r="B1362" t="s">
        <v>3378</v>
      </c>
      <c r="C1362" t="s">
        <v>3352</v>
      </c>
    </row>
    <row r="1363" spans="1:3" x14ac:dyDescent="0.35">
      <c r="A1363">
        <v>27081</v>
      </c>
      <c r="B1363" t="s">
        <v>494</v>
      </c>
      <c r="C1363" t="s">
        <v>3352</v>
      </c>
    </row>
    <row r="1364" spans="1:3" x14ac:dyDescent="0.35">
      <c r="A1364">
        <v>27083</v>
      </c>
      <c r="B1364" t="s">
        <v>3134</v>
      </c>
      <c r="C1364" t="s">
        <v>3352</v>
      </c>
    </row>
    <row r="1365" spans="1:3" x14ac:dyDescent="0.35">
      <c r="A1365">
        <v>27085</v>
      </c>
      <c r="B1365" t="s">
        <v>3379</v>
      </c>
      <c r="C1365" t="s">
        <v>3352</v>
      </c>
    </row>
    <row r="1366" spans="1:3" x14ac:dyDescent="0.35">
      <c r="A1366">
        <v>27087</v>
      </c>
      <c r="B1366" t="s">
        <v>3380</v>
      </c>
      <c r="C1366" t="s">
        <v>3352</v>
      </c>
    </row>
    <row r="1367" spans="1:3" x14ac:dyDescent="0.35">
      <c r="A1367">
        <v>27089</v>
      </c>
      <c r="B1367" t="s">
        <v>367</v>
      </c>
      <c r="C1367" t="s">
        <v>3352</v>
      </c>
    </row>
    <row r="1368" spans="1:3" x14ac:dyDescent="0.35">
      <c r="A1368">
        <v>27091</v>
      </c>
      <c r="B1368" t="s">
        <v>683</v>
      </c>
      <c r="C1368" t="s">
        <v>3352</v>
      </c>
    </row>
    <row r="1369" spans="1:3" x14ac:dyDescent="0.35">
      <c r="A1369">
        <v>27093</v>
      </c>
      <c r="B1369" t="s">
        <v>3381</v>
      </c>
      <c r="C1369" t="s">
        <v>3352</v>
      </c>
    </row>
    <row r="1370" spans="1:3" x14ac:dyDescent="0.35">
      <c r="A1370">
        <v>27095</v>
      </c>
      <c r="B1370" t="s">
        <v>3382</v>
      </c>
      <c r="C1370" t="s">
        <v>3352</v>
      </c>
    </row>
    <row r="1371" spans="1:3" x14ac:dyDescent="0.35">
      <c r="A1371">
        <v>27097</v>
      </c>
      <c r="B1371" t="s">
        <v>3383</v>
      </c>
      <c r="C1371" t="s">
        <v>3352</v>
      </c>
    </row>
    <row r="1372" spans="1:3" x14ac:dyDescent="0.35">
      <c r="A1372">
        <v>27099</v>
      </c>
      <c r="B1372" t="s">
        <v>3384</v>
      </c>
      <c r="C1372" t="s">
        <v>3352</v>
      </c>
    </row>
    <row r="1373" spans="1:3" x14ac:dyDescent="0.35">
      <c r="A1373">
        <v>27101</v>
      </c>
      <c r="B1373" t="s">
        <v>929</v>
      </c>
      <c r="C1373" t="s">
        <v>3352</v>
      </c>
    </row>
    <row r="1374" spans="1:3" x14ac:dyDescent="0.35">
      <c r="A1374">
        <v>27103</v>
      </c>
      <c r="B1374" t="s">
        <v>3385</v>
      </c>
      <c r="C1374" t="s">
        <v>3352</v>
      </c>
    </row>
    <row r="1375" spans="1:3" x14ac:dyDescent="0.35">
      <c r="A1375">
        <v>27105</v>
      </c>
      <c r="B1375" t="s">
        <v>3386</v>
      </c>
      <c r="C1375" t="s">
        <v>3352</v>
      </c>
    </row>
    <row r="1376" spans="1:3" x14ac:dyDescent="0.35">
      <c r="A1376">
        <v>27107</v>
      </c>
      <c r="B1376" t="s">
        <v>3387</v>
      </c>
      <c r="C1376" t="s">
        <v>3352</v>
      </c>
    </row>
    <row r="1377" spans="1:3" x14ac:dyDescent="0.35">
      <c r="A1377">
        <v>27109</v>
      </c>
      <c r="B1377" t="s">
        <v>3388</v>
      </c>
      <c r="C1377" t="s">
        <v>3352</v>
      </c>
    </row>
    <row r="1378" spans="1:3" x14ac:dyDescent="0.35">
      <c r="A1378">
        <v>27111</v>
      </c>
      <c r="B1378" t="s">
        <v>3389</v>
      </c>
      <c r="C1378" t="s">
        <v>3352</v>
      </c>
    </row>
    <row r="1379" spans="1:3" x14ac:dyDescent="0.35">
      <c r="A1379">
        <v>27113</v>
      </c>
      <c r="B1379" t="s">
        <v>3390</v>
      </c>
      <c r="C1379" t="s">
        <v>3352</v>
      </c>
    </row>
    <row r="1380" spans="1:3" x14ac:dyDescent="0.35">
      <c r="A1380">
        <v>27115</v>
      </c>
      <c r="B1380" t="s">
        <v>3391</v>
      </c>
      <c r="C1380" t="s">
        <v>3352</v>
      </c>
    </row>
    <row r="1381" spans="1:3" x14ac:dyDescent="0.35">
      <c r="A1381">
        <v>27117</v>
      </c>
      <c r="B1381" t="s">
        <v>3392</v>
      </c>
      <c r="C1381" t="s">
        <v>3352</v>
      </c>
    </row>
    <row r="1382" spans="1:3" x14ac:dyDescent="0.35">
      <c r="A1382">
        <v>27119</v>
      </c>
      <c r="B1382" t="s">
        <v>530</v>
      </c>
      <c r="C1382" t="s">
        <v>3352</v>
      </c>
    </row>
    <row r="1383" spans="1:3" x14ac:dyDescent="0.35">
      <c r="A1383">
        <v>27121</v>
      </c>
      <c r="B1383" t="s">
        <v>409</v>
      </c>
      <c r="C1383" t="s">
        <v>3352</v>
      </c>
    </row>
    <row r="1384" spans="1:3" x14ac:dyDescent="0.35">
      <c r="A1384">
        <v>27123</v>
      </c>
      <c r="B1384" t="s">
        <v>3393</v>
      </c>
      <c r="C1384" t="s">
        <v>3352</v>
      </c>
    </row>
    <row r="1385" spans="1:3" x14ac:dyDescent="0.35">
      <c r="A1385">
        <v>27125</v>
      </c>
      <c r="B1385" t="s">
        <v>3394</v>
      </c>
      <c r="C1385" t="s">
        <v>3352</v>
      </c>
    </row>
    <row r="1386" spans="1:3" x14ac:dyDescent="0.35">
      <c r="A1386">
        <v>27127</v>
      </c>
      <c r="B1386" t="s">
        <v>3395</v>
      </c>
      <c r="C1386" t="s">
        <v>3352</v>
      </c>
    </row>
    <row r="1387" spans="1:3" x14ac:dyDescent="0.35">
      <c r="A1387">
        <v>27129</v>
      </c>
      <c r="B1387" t="s">
        <v>3396</v>
      </c>
      <c r="C1387" t="s">
        <v>3352</v>
      </c>
    </row>
    <row r="1388" spans="1:3" x14ac:dyDescent="0.35">
      <c r="A1388">
        <v>27131</v>
      </c>
      <c r="B1388" t="s">
        <v>3191</v>
      </c>
      <c r="C1388" t="s">
        <v>3352</v>
      </c>
    </row>
    <row r="1389" spans="1:3" x14ac:dyDescent="0.35">
      <c r="A1389">
        <v>27133</v>
      </c>
      <c r="B1389" t="s">
        <v>3397</v>
      </c>
      <c r="C1389" t="s">
        <v>3352</v>
      </c>
    </row>
    <row r="1390" spans="1:3" x14ac:dyDescent="0.35">
      <c r="A1390">
        <v>27135</v>
      </c>
      <c r="B1390" t="s">
        <v>3398</v>
      </c>
      <c r="C1390" t="s">
        <v>3352</v>
      </c>
    </row>
    <row r="1391" spans="1:3" x14ac:dyDescent="0.35">
      <c r="A1391">
        <v>27137</v>
      </c>
      <c r="B1391" t="s">
        <v>2763</v>
      </c>
      <c r="C1391" t="s">
        <v>3352</v>
      </c>
    </row>
    <row r="1392" spans="1:3" x14ac:dyDescent="0.35">
      <c r="A1392">
        <v>27139</v>
      </c>
      <c r="B1392" t="s">
        <v>528</v>
      </c>
      <c r="C1392" t="s">
        <v>3352</v>
      </c>
    </row>
    <row r="1393" spans="1:3" x14ac:dyDescent="0.35">
      <c r="A1393">
        <v>27141</v>
      </c>
      <c r="B1393" t="s">
        <v>3399</v>
      </c>
      <c r="C1393" t="s">
        <v>3352</v>
      </c>
    </row>
    <row r="1394" spans="1:3" x14ac:dyDescent="0.35">
      <c r="A1394">
        <v>27143</v>
      </c>
      <c r="B1394" t="s">
        <v>3400</v>
      </c>
      <c r="C1394" t="s">
        <v>3352</v>
      </c>
    </row>
    <row r="1395" spans="1:3" x14ac:dyDescent="0.35">
      <c r="A1395">
        <v>27145</v>
      </c>
      <c r="B1395" t="s">
        <v>3401</v>
      </c>
      <c r="C1395" t="s">
        <v>3352</v>
      </c>
    </row>
    <row r="1396" spans="1:3" x14ac:dyDescent="0.35">
      <c r="A1396">
        <v>27147</v>
      </c>
      <c r="B1396" t="s">
        <v>3402</v>
      </c>
      <c r="C1396" t="s">
        <v>3352</v>
      </c>
    </row>
    <row r="1397" spans="1:3" x14ac:dyDescent="0.35">
      <c r="A1397">
        <v>27149</v>
      </c>
      <c r="B1397" t="s">
        <v>3199</v>
      </c>
      <c r="C1397" t="s">
        <v>3352</v>
      </c>
    </row>
    <row r="1398" spans="1:3" x14ac:dyDescent="0.35">
      <c r="A1398">
        <v>27151</v>
      </c>
      <c r="B1398" t="s">
        <v>3403</v>
      </c>
      <c r="C1398" t="s">
        <v>3352</v>
      </c>
    </row>
    <row r="1399" spans="1:3" x14ac:dyDescent="0.35">
      <c r="A1399">
        <v>27153</v>
      </c>
      <c r="B1399" t="s">
        <v>3244</v>
      </c>
      <c r="C1399" t="s">
        <v>3352</v>
      </c>
    </row>
    <row r="1400" spans="1:3" x14ac:dyDescent="0.35">
      <c r="A1400">
        <v>27155</v>
      </c>
      <c r="B1400" t="s">
        <v>3404</v>
      </c>
      <c r="C1400" t="s">
        <v>3352</v>
      </c>
    </row>
    <row r="1401" spans="1:3" x14ac:dyDescent="0.35">
      <c r="A1401">
        <v>27157</v>
      </c>
      <c r="B1401" t="s">
        <v>3405</v>
      </c>
      <c r="C1401" t="s">
        <v>3352</v>
      </c>
    </row>
    <row r="1402" spans="1:3" x14ac:dyDescent="0.35">
      <c r="A1402">
        <v>27159</v>
      </c>
      <c r="B1402" t="s">
        <v>3406</v>
      </c>
      <c r="C1402" t="s">
        <v>3352</v>
      </c>
    </row>
    <row r="1403" spans="1:3" x14ac:dyDescent="0.35">
      <c r="A1403">
        <v>27161</v>
      </c>
      <c r="B1403" t="s">
        <v>3407</v>
      </c>
      <c r="C1403" t="s">
        <v>3352</v>
      </c>
    </row>
    <row r="1404" spans="1:3" x14ac:dyDescent="0.35">
      <c r="A1404">
        <v>27163</v>
      </c>
      <c r="B1404" t="s">
        <v>385</v>
      </c>
      <c r="C1404" t="s">
        <v>3352</v>
      </c>
    </row>
    <row r="1405" spans="1:3" x14ac:dyDescent="0.35">
      <c r="A1405">
        <v>27165</v>
      </c>
      <c r="B1405" t="s">
        <v>3408</v>
      </c>
      <c r="C1405" t="s">
        <v>3352</v>
      </c>
    </row>
    <row r="1406" spans="1:3" x14ac:dyDescent="0.35">
      <c r="A1406">
        <v>27167</v>
      </c>
      <c r="B1406" t="s">
        <v>3409</v>
      </c>
      <c r="C1406" t="s">
        <v>3352</v>
      </c>
    </row>
    <row r="1407" spans="1:3" x14ac:dyDescent="0.35">
      <c r="A1407">
        <v>27169</v>
      </c>
      <c r="B1407" t="s">
        <v>3410</v>
      </c>
      <c r="C1407" t="s">
        <v>3352</v>
      </c>
    </row>
    <row r="1408" spans="1:3" x14ac:dyDescent="0.35">
      <c r="A1408">
        <v>27171</v>
      </c>
      <c r="B1408" t="s">
        <v>2770</v>
      </c>
      <c r="C1408" t="s">
        <v>3352</v>
      </c>
    </row>
    <row r="1409" spans="1:3" x14ac:dyDescent="0.35">
      <c r="A1409">
        <v>27173</v>
      </c>
      <c r="B1409" t="s">
        <v>3411</v>
      </c>
      <c r="C1409" t="s">
        <v>3352</v>
      </c>
    </row>
    <row r="1410" spans="1:3" x14ac:dyDescent="0.35">
      <c r="A1410">
        <v>28001</v>
      </c>
      <c r="B1410" t="s">
        <v>1255</v>
      </c>
      <c r="C1410" t="s">
        <v>3412</v>
      </c>
    </row>
    <row r="1411" spans="1:3" x14ac:dyDescent="0.35">
      <c r="A1411">
        <v>28003</v>
      </c>
      <c r="B1411" t="s">
        <v>1257</v>
      </c>
      <c r="C1411" t="s">
        <v>3412</v>
      </c>
    </row>
    <row r="1412" spans="1:3" x14ac:dyDescent="0.35">
      <c r="A1412">
        <v>28005</v>
      </c>
      <c r="B1412" t="s">
        <v>1259</v>
      </c>
      <c r="C1412" t="s">
        <v>3412</v>
      </c>
    </row>
    <row r="1413" spans="1:3" x14ac:dyDescent="0.35">
      <c r="A1413">
        <v>28007</v>
      </c>
      <c r="B1413" t="s">
        <v>1261</v>
      </c>
      <c r="C1413" t="s">
        <v>3412</v>
      </c>
    </row>
    <row r="1414" spans="1:3" x14ac:dyDescent="0.35">
      <c r="A1414">
        <v>28009</v>
      </c>
      <c r="B1414" t="s">
        <v>456</v>
      </c>
      <c r="C1414" t="s">
        <v>3412</v>
      </c>
    </row>
    <row r="1415" spans="1:3" x14ac:dyDescent="0.35">
      <c r="A1415">
        <v>28011</v>
      </c>
      <c r="B1415" t="s">
        <v>1263</v>
      </c>
      <c r="C1415" t="s">
        <v>3412</v>
      </c>
    </row>
    <row r="1416" spans="1:3" x14ac:dyDescent="0.35">
      <c r="A1416">
        <v>28013</v>
      </c>
      <c r="B1416" t="s">
        <v>233</v>
      </c>
      <c r="C1416" t="s">
        <v>3412</v>
      </c>
    </row>
    <row r="1417" spans="1:3" x14ac:dyDescent="0.35">
      <c r="A1417">
        <v>28015</v>
      </c>
      <c r="B1417" t="s">
        <v>463</v>
      </c>
      <c r="C1417" t="s">
        <v>3412</v>
      </c>
    </row>
    <row r="1418" spans="1:3" x14ac:dyDescent="0.35">
      <c r="A1418">
        <v>28017</v>
      </c>
      <c r="B1418" t="s">
        <v>1267</v>
      </c>
      <c r="C1418" t="s">
        <v>3412</v>
      </c>
    </row>
    <row r="1419" spans="1:3" x14ac:dyDescent="0.35">
      <c r="A1419">
        <v>28019</v>
      </c>
      <c r="B1419" t="s">
        <v>325</v>
      </c>
      <c r="C1419" t="s">
        <v>3412</v>
      </c>
    </row>
    <row r="1420" spans="1:3" x14ac:dyDescent="0.35">
      <c r="A1420">
        <v>28021</v>
      </c>
      <c r="B1420" t="s">
        <v>1270</v>
      </c>
      <c r="C1420" t="s">
        <v>3412</v>
      </c>
    </row>
    <row r="1421" spans="1:3" x14ac:dyDescent="0.35">
      <c r="A1421">
        <v>28023</v>
      </c>
      <c r="B1421" t="s">
        <v>327</v>
      </c>
      <c r="C1421" t="s">
        <v>3412</v>
      </c>
    </row>
    <row r="1422" spans="1:3" x14ac:dyDescent="0.35">
      <c r="A1422">
        <v>28025</v>
      </c>
      <c r="B1422" t="s">
        <v>329</v>
      </c>
      <c r="C1422" t="s">
        <v>3412</v>
      </c>
    </row>
    <row r="1423" spans="1:3" x14ac:dyDescent="0.35">
      <c r="A1423">
        <v>28027</v>
      </c>
      <c r="B1423" t="s">
        <v>1274</v>
      </c>
      <c r="C1423" t="s">
        <v>3412</v>
      </c>
    </row>
    <row r="1424" spans="1:3" x14ac:dyDescent="0.35">
      <c r="A1424">
        <v>28029</v>
      </c>
      <c r="B1424" t="s">
        <v>1227</v>
      </c>
      <c r="C1424" t="s">
        <v>3412</v>
      </c>
    </row>
    <row r="1425" spans="1:3" x14ac:dyDescent="0.35">
      <c r="A1425">
        <v>28031</v>
      </c>
      <c r="B1425" t="s">
        <v>339</v>
      </c>
      <c r="C1425" t="s">
        <v>3412</v>
      </c>
    </row>
    <row r="1426" spans="1:3" x14ac:dyDescent="0.35">
      <c r="A1426">
        <v>28033</v>
      </c>
      <c r="B1426" t="s">
        <v>1209</v>
      </c>
      <c r="C1426" t="s">
        <v>3412</v>
      </c>
    </row>
    <row r="1427" spans="1:3" x14ac:dyDescent="0.35">
      <c r="A1427">
        <v>28035</v>
      </c>
      <c r="B1427" t="s">
        <v>1238</v>
      </c>
      <c r="C1427" t="s">
        <v>3412</v>
      </c>
    </row>
    <row r="1428" spans="1:3" x14ac:dyDescent="0.35">
      <c r="A1428">
        <v>28037</v>
      </c>
      <c r="B1428" t="s">
        <v>355</v>
      </c>
      <c r="C1428" t="s">
        <v>3412</v>
      </c>
    </row>
    <row r="1429" spans="1:3" x14ac:dyDescent="0.35">
      <c r="A1429">
        <v>28039</v>
      </c>
      <c r="B1429" t="s">
        <v>1247</v>
      </c>
      <c r="C1429" t="s">
        <v>3412</v>
      </c>
    </row>
    <row r="1430" spans="1:3" x14ac:dyDescent="0.35">
      <c r="A1430">
        <v>28041</v>
      </c>
      <c r="B1430" t="s">
        <v>305</v>
      </c>
      <c r="C1430" t="s">
        <v>3412</v>
      </c>
    </row>
    <row r="1431" spans="1:3" x14ac:dyDescent="0.35">
      <c r="A1431">
        <v>28043</v>
      </c>
      <c r="B1431" t="s">
        <v>1278</v>
      </c>
      <c r="C1431" t="s">
        <v>3412</v>
      </c>
    </row>
    <row r="1432" spans="1:3" x14ac:dyDescent="0.35">
      <c r="A1432">
        <v>28045</v>
      </c>
      <c r="B1432" t="s">
        <v>1062</v>
      </c>
      <c r="C1432" t="s">
        <v>3412</v>
      </c>
    </row>
    <row r="1433" spans="1:3" x14ac:dyDescent="0.35">
      <c r="A1433">
        <v>28047</v>
      </c>
      <c r="B1433" t="s">
        <v>1250</v>
      </c>
      <c r="C1433" t="s">
        <v>3412</v>
      </c>
    </row>
    <row r="1434" spans="1:3" x14ac:dyDescent="0.35">
      <c r="A1434">
        <v>28049</v>
      </c>
      <c r="B1434" t="s">
        <v>1229</v>
      </c>
      <c r="C1434" t="s">
        <v>3412</v>
      </c>
    </row>
    <row r="1435" spans="1:3" x14ac:dyDescent="0.35">
      <c r="A1435">
        <v>28051</v>
      </c>
      <c r="B1435" t="s">
        <v>637</v>
      </c>
      <c r="C1435" t="s">
        <v>3412</v>
      </c>
    </row>
    <row r="1436" spans="1:3" x14ac:dyDescent="0.35">
      <c r="A1436">
        <v>28053</v>
      </c>
      <c r="B1436" t="s">
        <v>1281</v>
      </c>
      <c r="C1436" t="s">
        <v>3412</v>
      </c>
    </row>
    <row r="1437" spans="1:3" x14ac:dyDescent="0.35">
      <c r="A1437">
        <v>28055</v>
      </c>
      <c r="B1437" t="s">
        <v>1283</v>
      </c>
      <c r="C1437" t="s">
        <v>3412</v>
      </c>
    </row>
    <row r="1438" spans="1:3" x14ac:dyDescent="0.35">
      <c r="A1438">
        <v>28057</v>
      </c>
      <c r="B1438" t="s">
        <v>1218</v>
      </c>
      <c r="C1438" t="s">
        <v>3412</v>
      </c>
    </row>
    <row r="1439" spans="1:3" x14ac:dyDescent="0.35">
      <c r="A1439">
        <v>28059</v>
      </c>
      <c r="B1439" t="s">
        <v>357</v>
      </c>
      <c r="C1439" t="s">
        <v>3412</v>
      </c>
    </row>
    <row r="1440" spans="1:3" x14ac:dyDescent="0.35">
      <c r="A1440">
        <v>28061</v>
      </c>
      <c r="B1440" t="s">
        <v>837</v>
      </c>
      <c r="C1440" t="s">
        <v>3412</v>
      </c>
    </row>
    <row r="1441" spans="1:3" x14ac:dyDescent="0.35">
      <c r="A1441">
        <v>28063</v>
      </c>
      <c r="B1441" t="s">
        <v>247</v>
      </c>
      <c r="C1441" t="s">
        <v>3412</v>
      </c>
    </row>
    <row r="1442" spans="1:3" x14ac:dyDescent="0.35">
      <c r="A1442">
        <v>28065</v>
      </c>
      <c r="B1442" t="s">
        <v>1287</v>
      </c>
      <c r="C1442" t="s">
        <v>3412</v>
      </c>
    </row>
    <row r="1443" spans="1:3" x14ac:dyDescent="0.35">
      <c r="A1443">
        <v>28067</v>
      </c>
      <c r="B1443" t="s">
        <v>983</v>
      </c>
      <c r="C1443" t="s">
        <v>3412</v>
      </c>
    </row>
    <row r="1444" spans="1:3" x14ac:dyDescent="0.35">
      <c r="A1444">
        <v>28069</v>
      </c>
      <c r="B1444" t="s">
        <v>1289</v>
      </c>
      <c r="C1444" t="s">
        <v>3412</v>
      </c>
    </row>
    <row r="1445" spans="1:3" x14ac:dyDescent="0.35">
      <c r="A1445">
        <v>28071</v>
      </c>
      <c r="B1445" t="s">
        <v>504</v>
      </c>
      <c r="C1445" t="s">
        <v>3412</v>
      </c>
    </row>
    <row r="1446" spans="1:3" x14ac:dyDescent="0.35">
      <c r="A1446">
        <v>28073</v>
      </c>
      <c r="B1446" t="s">
        <v>359</v>
      </c>
      <c r="C1446" t="s">
        <v>3412</v>
      </c>
    </row>
    <row r="1447" spans="1:3" x14ac:dyDescent="0.35">
      <c r="A1447">
        <v>28075</v>
      </c>
      <c r="B1447" t="s">
        <v>277</v>
      </c>
      <c r="C1447" t="s">
        <v>3412</v>
      </c>
    </row>
    <row r="1448" spans="1:3" x14ac:dyDescent="0.35">
      <c r="A1448">
        <v>28077</v>
      </c>
      <c r="B1448" t="s">
        <v>261</v>
      </c>
      <c r="C1448" t="s">
        <v>3412</v>
      </c>
    </row>
    <row r="1449" spans="1:3" x14ac:dyDescent="0.35">
      <c r="A1449">
        <v>28079</v>
      </c>
      <c r="B1449" t="s">
        <v>1294</v>
      </c>
      <c r="C1449" t="s">
        <v>3412</v>
      </c>
    </row>
    <row r="1450" spans="1:3" x14ac:dyDescent="0.35">
      <c r="A1450">
        <v>28081</v>
      </c>
      <c r="B1450" t="s">
        <v>237</v>
      </c>
      <c r="C1450" t="s">
        <v>3412</v>
      </c>
    </row>
    <row r="1451" spans="1:3" x14ac:dyDescent="0.35">
      <c r="A1451">
        <v>28083</v>
      </c>
      <c r="B1451" t="s">
        <v>1296</v>
      </c>
      <c r="C1451" t="s">
        <v>3412</v>
      </c>
    </row>
    <row r="1452" spans="1:3" x14ac:dyDescent="0.35">
      <c r="A1452">
        <v>28085</v>
      </c>
      <c r="B1452" t="s">
        <v>494</v>
      </c>
      <c r="C1452" t="s">
        <v>3412</v>
      </c>
    </row>
    <row r="1453" spans="1:3" x14ac:dyDescent="0.35">
      <c r="A1453">
        <v>28087</v>
      </c>
      <c r="B1453" t="s">
        <v>299</v>
      </c>
      <c r="C1453" t="s">
        <v>3412</v>
      </c>
    </row>
    <row r="1454" spans="1:3" x14ac:dyDescent="0.35">
      <c r="A1454">
        <v>28089</v>
      </c>
      <c r="B1454" t="s">
        <v>287</v>
      </c>
      <c r="C1454" t="s">
        <v>3412</v>
      </c>
    </row>
    <row r="1455" spans="1:3" x14ac:dyDescent="0.35">
      <c r="A1455">
        <v>28091</v>
      </c>
      <c r="B1455" t="s">
        <v>365</v>
      </c>
      <c r="C1455" t="s">
        <v>3412</v>
      </c>
    </row>
    <row r="1456" spans="1:3" x14ac:dyDescent="0.35">
      <c r="A1456">
        <v>28093</v>
      </c>
      <c r="B1456" t="s">
        <v>367</v>
      </c>
      <c r="C1456" t="s">
        <v>3412</v>
      </c>
    </row>
    <row r="1457" spans="1:3" x14ac:dyDescent="0.35">
      <c r="A1457">
        <v>28095</v>
      </c>
      <c r="B1457" t="s">
        <v>369</v>
      </c>
      <c r="C1457" t="s">
        <v>3412</v>
      </c>
    </row>
    <row r="1458" spans="1:3" x14ac:dyDescent="0.35">
      <c r="A1458">
        <v>28097</v>
      </c>
      <c r="B1458" t="s">
        <v>301</v>
      </c>
      <c r="C1458" t="s">
        <v>3412</v>
      </c>
    </row>
    <row r="1459" spans="1:3" x14ac:dyDescent="0.35">
      <c r="A1459">
        <v>28099</v>
      </c>
      <c r="B1459" t="s">
        <v>1303</v>
      </c>
      <c r="C1459" t="s">
        <v>3412</v>
      </c>
    </row>
    <row r="1460" spans="1:3" x14ac:dyDescent="0.35">
      <c r="A1460">
        <v>28101</v>
      </c>
      <c r="B1460" t="s">
        <v>461</v>
      </c>
      <c r="C1460" t="s">
        <v>3412</v>
      </c>
    </row>
    <row r="1461" spans="1:3" x14ac:dyDescent="0.35">
      <c r="A1461">
        <v>28103</v>
      </c>
      <c r="B1461" t="s">
        <v>1306</v>
      </c>
      <c r="C1461" t="s">
        <v>3412</v>
      </c>
    </row>
    <row r="1462" spans="1:3" x14ac:dyDescent="0.35">
      <c r="A1462">
        <v>28105</v>
      </c>
      <c r="B1462" t="s">
        <v>1308</v>
      </c>
      <c r="C1462" t="s">
        <v>3412</v>
      </c>
    </row>
    <row r="1463" spans="1:3" x14ac:dyDescent="0.35">
      <c r="A1463">
        <v>28107</v>
      </c>
      <c r="B1463" t="s">
        <v>1310</v>
      </c>
      <c r="C1463" t="s">
        <v>3412</v>
      </c>
    </row>
    <row r="1464" spans="1:3" x14ac:dyDescent="0.35">
      <c r="A1464">
        <v>28109</v>
      </c>
      <c r="B1464" t="s">
        <v>1243</v>
      </c>
      <c r="C1464" t="s">
        <v>3412</v>
      </c>
    </row>
    <row r="1465" spans="1:3" x14ac:dyDescent="0.35">
      <c r="A1465">
        <v>28111</v>
      </c>
      <c r="B1465" t="s">
        <v>371</v>
      </c>
      <c r="C1465" t="s">
        <v>3412</v>
      </c>
    </row>
    <row r="1466" spans="1:3" x14ac:dyDescent="0.35">
      <c r="A1466">
        <v>28113</v>
      </c>
      <c r="B1466" t="s">
        <v>375</v>
      </c>
      <c r="C1466" t="s">
        <v>3412</v>
      </c>
    </row>
    <row r="1467" spans="1:3" x14ac:dyDescent="0.35">
      <c r="A1467">
        <v>28115</v>
      </c>
      <c r="B1467" t="s">
        <v>1221</v>
      </c>
      <c r="C1467" t="s">
        <v>3412</v>
      </c>
    </row>
    <row r="1468" spans="1:3" x14ac:dyDescent="0.35">
      <c r="A1468">
        <v>28117</v>
      </c>
      <c r="B1468" t="s">
        <v>1313</v>
      </c>
      <c r="C1468" t="s">
        <v>3412</v>
      </c>
    </row>
    <row r="1469" spans="1:3" x14ac:dyDescent="0.35">
      <c r="A1469">
        <v>28119</v>
      </c>
      <c r="B1469" t="s">
        <v>913</v>
      </c>
      <c r="C1469" t="s">
        <v>3412</v>
      </c>
    </row>
    <row r="1470" spans="1:3" x14ac:dyDescent="0.35">
      <c r="A1470">
        <v>28121</v>
      </c>
      <c r="B1470" t="s">
        <v>1232</v>
      </c>
      <c r="C1470" t="s">
        <v>3412</v>
      </c>
    </row>
    <row r="1471" spans="1:3" x14ac:dyDescent="0.35">
      <c r="A1471">
        <v>28123</v>
      </c>
      <c r="B1471" t="s">
        <v>528</v>
      </c>
      <c r="C1471" t="s">
        <v>3412</v>
      </c>
    </row>
    <row r="1472" spans="1:3" x14ac:dyDescent="0.35">
      <c r="A1472">
        <v>28125</v>
      </c>
      <c r="B1472" t="s">
        <v>1317</v>
      </c>
      <c r="C1472" t="s">
        <v>3412</v>
      </c>
    </row>
    <row r="1473" spans="1:3" x14ac:dyDescent="0.35">
      <c r="A1473">
        <v>28127</v>
      </c>
      <c r="B1473" t="s">
        <v>1234</v>
      </c>
      <c r="C1473" t="s">
        <v>3412</v>
      </c>
    </row>
    <row r="1474" spans="1:3" x14ac:dyDescent="0.35">
      <c r="A1474">
        <v>28129</v>
      </c>
      <c r="B1474" t="s">
        <v>1319</v>
      </c>
      <c r="C1474" t="s">
        <v>3412</v>
      </c>
    </row>
    <row r="1475" spans="1:3" x14ac:dyDescent="0.35">
      <c r="A1475">
        <v>28131</v>
      </c>
      <c r="B1475" t="s">
        <v>448</v>
      </c>
      <c r="C1475" t="s">
        <v>3412</v>
      </c>
    </row>
    <row r="1476" spans="1:3" x14ac:dyDescent="0.35">
      <c r="A1476">
        <v>28133</v>
      </c>
      <c r="B1476" t="s">
        <v>1321</v>
      </c>
      <c r="C1476" t="s">
        <v>3412</v>
      </c>
    </row>
    <row r="1477" spans="1:3" x14ac:dyDescent="0.35">
      <c r="A1477">
        <v>28135</v>
      </c>
      <c r="B1477" t="s">
        <v>1323</v>
      </c>
      <c r="C1477" t="s">
        <v>3412</v>
      </c>
    </row>
    <row r="1478" spans="1:3" x14ac:dyDescent="0.35">
      <c r="A1478">
        <v>28137</v>
      </c>
      <c r="B1478" t="s">
        <v>1212</v>
      </c>
      <c r="C1478" t="s">
        <v>3412</v>
      </c>
    </row>
    <row r="1479" spans="1:3" x14ac:dyDescent="0.35">
      <c r="A1479">
        <v>28139</v>
      </c>
      <c r="B1479" t="s">
        <v>1223</v>
      </c>
      <c r="C1479" t="s">
        <v>3412</v>
      </c>
    </row>
    <row r="1480" spans="1:3" x14ac:dyDescent="0.35">
      <c r="A1480">
        <v>28141</v>
      </c>
      <c r="B1480" t="s">
        <v>1325</v>
      </c>
      <c r="C1480" t="s">
        <v>3412</v>
      </c>
    </row>
    <row r="1481" spans="1:3" x14ac:dyDescent="0.35">
      <c r="A1481">
        <v>28143</v>
      </c>
      <c r="B1481" t="s">
        <v>1214</v>
      </c>
      <c r="C1481" t="s">
        <v>3412</v>
      </c>
    </row>
    <row r="1482" spans="1:3" x14ac:dyDescent="0.35">
      <c r="A1482">
        <v>28145</v>
      </c>
      <c r="B1482" t="s">
        <v>518</v>
      </c>
      <c r="C1482" t="s">
        <v>3412</v>
      </c>
    </row>
    <row r="1483" spans="1:3" x14ac:dyDescent="0.35">
      <c r="A1483">
        <v>28147</v>
      </c>
      <c r="B1483" t="s">
        <v>1327</v>
      </c>
      <c r="C1483" t="s">
        <v>3412</v>
      </c>
    </row>
    <row r="1484" spans="1:3" x14ac:dyDescent="0.35">
      <c r="A1484">
        <v>28149</v>
      </c>
      <c r="B1484" t="s">
        <v>873</v>
      </c>
      <c r="C1484" t="s">
        <v>3412</v>
      </c>
    </row>
    <row r="1485" spans="1:3" x14ac:dyDescent="0.35">
      <c r="A1485">
        <v>28151</v>
      </c>
      <c r="B1485" t="s">
        <v>385</v>
      </c>
      <c r="C1485" t="s">
        <v>3412</v>
      </c>
    </row>
    <row r="1486" spans="1:3" x14ac:dyDescent="0.35">
      <c r="A1486">
        <v>28153</v>
      </c>
      <c r="B1486" t="s">
        <v>894</v>
      </c>
      <c r="C1486" t="s">
        <v>3412</v>
      </c>
    </row>
    <row r="1487" spans="1:3" x14ac:dyDescent="0.35">
      <c r="A1487">
        <v>28155</v>
      </c>
      <c r="B1487" t="s">
        <v>924</v>
      </c>
      <c r="C1487" t="s">
        <v>3412</v>
      </c>
    </row>
    <row r="1488" spans="1:3" x14ac:dyDescent="0.35">
      <c r="A1488">
        <v>28157</v>
      </c>
      <c r="B1488" t="s">
        <v>1065</v>
      </c>
      <c r="C1488" t="s">
        <v>3412</v>
      </c>
    </row>
    <row r="1489" spans="1:3" x14ac:dyDescent="0.35">
      <c r="A1489">
        <v>28159</v>
      </c>
      <c r="B1489" t="s">
        <v>389</v>
      </c>
      <c r="C1489" t="s">
        <v>3412</v>
      </c>
    </row>
    <row r="1490" spans="1:3" x14ac:dyDescent="0.35">
      <c r="A1490">
        <v>28161</v>
      </c>
      <c r="B1490" t="s">
        <v>1334</v>
      </c>
      <c r="C1490" t="s">
        <v>3412</v>
      </c>
    </row>
    <row r="1491" spans="1:3" x14ac:dyDescent="0.35">
      <c r="A1491">
        <v>28163</v>
      </c>
      <c r="B1491" t="s">
        <v>1336</v>
      </c>
      <c r="C1491" t="s">
        <v>3412</v>
      </c>
    </row>
    <row r="1492" spans="1:3" x14ac:dyDescent="0.35">
      <c r="A1492">
        <v>29001</v>
      </c>
      <c r="B1492" t="s">
        <v>2713</v>
      </c>
      <c r="C1492" t="s">
        <v>3413</v>
      </c>
    </row>
    <row r="1493" spans="1:3" x14ac:dyDescent="0.35">
      <c r="A1493">
        <v>29003</v>
      </c>
      <c r="B1493" t="s">
        <v>2714</v>
      </c>
      <c r="C1493" t="s">
        <v>3413</v>
      </c>
    </row>
    <row r="1494" spans="1:3" x14ac:dyDescent="0.35">
      <c r="A1494">
        <v>29005</v>
      </c>
      <c r="B1494" t="s">
        <v>2715</v>
      </c>
      <c r="C1494" t="s">
        <v>3413</v>
      </c>
    </row>
    <row r="1495" spans="1:3" x14ac:dyDescent="0.35">
      <c r="A1495">
        <v>29007</v>
      </c>
      <c r="B1495" t="s">
        <v>2716</v>
      </c>
      <c r="C1495" t="s">
        <v>3413</v>
      </c>
    </row>
    <row r="1496" spans="1:3" x14ac:dyDescent="0.35">
      <c r="A1496">
        <v>29009</v>
      </c>
      <c r="B1496" t="s">
        <v>2717</v>
      </c>
      <c r="C1496" t="s">
        <v>3413</v>
      </c>
    </row>
    <row r="1497" spans="1:3" x14ac:dyDescent="0.35">
      <c r="A1497">
        <v>29011</v>
      </c>
      <c r="B1497" t="s">
        <v>2718</v>
      </c>
      <c r="C1497" t="s">
        <v>3413</v>
      </c>
    </row>
    <row r="1498" spans="1:3" x14ac:dyDescent="0.35">
      <c r="A1498">
        <v>29013</v>
      </c>
      <c r="B1498" t="s">
        <v>2719</v>
      </c>
      <c r="C1498" t="s">
        <v>3413</v>
      </c>
    </row>
    <row r="1499" spans="1:3" x14ac:dyDescent="0.35">
      <c r="A1499">
        <v>29015</v>
      </c>
      <c r="B1499" t="s">
        <v>456</v>
      </c>
      <c r="C1499" t="s">
        <v>3413</v>
      </c>
    </row>
    <row r="1500" spans="1:3" x14ac:dyDescent="0.35">
      <c r="A1500">
        <v>29017</v>
      </c>
      <c r="B1500" t="s">
        <v>2720</v>
      </c>
      <c r="C1500" t="s">
        <v>3413</v>
      </c>
    </row>
    <row r="1501" spans="1:3" x14ac:dyDescent="0.35">
      <c r="A1501">
        <v>29019</v>
      </c>
      <c r="B1501" t="s">
        <v>459</v>
      </c>
      <c r="C1501" t="s">
        <v>3413</v>
      </c>
    </row>
    <row r="1502" spans="1:3" x14ac:dyDescent="0.35">
      <c r="A1502">
        <v>29021</v>
      </c>
      <c r="B1502" t="s">
        <v>2721</v>
      </c>
      <c r="C1502" t="s">
        <v>3413</v>
      </c>
    </row>
    <row r="1503" spans="1:3" x14ac:dyDescent="0.35">
      <c r="A1503">
        <v>29023</v>
      </c>
      <c r="B1503" t="s">
        <v>319</v>
      </c>
      <c r="C1503" t="s">
        <v>3413</v>
      </c>
    </row>
    <row r="1504" spans="1:3" x14ac:dyDescent="0.35">
      <c r="A1504">
        <v>29025</v>
      </c>
      <c r="B1504" t="s">
        <v>1505</v>
      </c>
      <c r="C1504" t="s">
        <v>3413</v>
      </c>
    </row>
    <row r="1505" spans="1:3" x14ac:dyDescent="0.35">
      <c r="A1505">
        <v>29027</v>
      </c>
      <c r="B1505" t="s">
        <v>2722</v>
      </c>
      <c r="C1505" t="s">
        <v>3413</v>
      </c>
    </row>
    <row r="1506" spans="1:3" x14ac:dyDescent="0.35">
      <c r="A1506">
        <v>29029</v>
      </c>
      <c r="B1506" t="s">
        <v>882</v>
      </c>
      <c r="C1506" t="s">
        <v>3413</v>
      </c>
    </row>
    <row r="1507" spans="1:3" x14ac:dyDescent="0.35">
      <c r="A1507">
        <v>29031</v>
      </c>
      <c r="B1507" t="s">
        <v>2723</v>
      </c>
      <c r="C1507" t="s">
        <v>3413</v>
      </c>
    </row>
    <row r="1508" spans="1:3" x14ac:dyDescent="0.35">
      <c r="A1508">
        <v>29033</v>
      </c>
      <c r="B1508" t="s">
        <v>463</v>
      </c>
      <c r="C1508" t="s">
        <v>3413</v>
      </c>
    </row>
    <row r="1509" spans="1:3" x14ac:dyDescent="0.35">
      <c r="A1509">
        <v>29035</v>
      </c>
      <c r="B1509" t="s">
        <v>1794</v>
      </c>
      <c r="C1509" t="s">
        <v>3413</v>
      </c>
    </row>
    <row r="1510" spans="1:3" x14ac:dyDescent="0.35">
      <c r="A1510">
        <v>29037</v>
      </c>
      <c r="B1510" t="s">
        <v>2313</v>
      </c>
      <c r="C1510" t="s">
        <v>3413</v>
      </c>
    </row>
    <row r="1511" spans="1:3" x14ac:dyDescent="0.35">
      <c r="A1511">
        <v>29039</v>
      </c>
      <c r="B1511" t="s">
        <v>2724</v>
      </c>
      <c r="C1511" t="s">
        <v>3413</v>
      </c>
    </row>
    <row r="1512" spans="1:3" x14ac:dyDescent="0.35">
      <c r="A1512">
        <v>29041</v>
      </c>
      <c r="B1512" t="s">
        <v>2725</v>
      </c>
      <c r="C1512" t="s">
        <v>3413</v>
      </c>
    </row>
    <row r="1513" spans="1:3" x14ac:dyDescent="0.35">
      <c r="A1513">
        <v>29043</v>
      </c>
      <c r="B1513" t="s">
        <v>2726</v>
      </c>
      <c r="C1513" t="s">
        <v>3413</v>
      </c>
    </row>
    <row r="1514" spans="1:3" x14ac:dyDescent="0.35">
      <c r="A1514">
        <v>29045</v>
      </c>
      <c r="B1514" t="s">
        <v>469</v>
      </c>
      <c r="C1514" t="s">
        <v>3413</v>
      </c>
    </row>
    <row r="1515" spans="1:3" x14ac:dyDescent="0.35">
      <c r="A1515">
        <v>29047</v>
      </c>
      <c r="B1515" t="s">
        <v>329</v>
      </c>
      <c r="C1515" t="s">
        <v>3413</v>
      </c>
    </row>
    <row r="1516" spans="1:3" x14ac:dyDescent="0.35">
      <c r="A1516">
        <v>29049</v>
      </c>
      <c r="B1516" t="s">
        <v>2727</v>
      </c>
      <c r="C1516" t="s">
        <v>3413</v>
      </c>
    </row>
    <row r="1517" spans="1:3" x14ac:dyDescent="0.35">
      <c r="A1517">
        <v>29051</v>
      </c>
      <c r="B1517" t="s">
        <v>2728</v>
      </c>
      <c r="C1517" t="s">
        <v>3413</v>
      </c>
    </row>
    <row r="1518" spans="1:3" x14ac:dyDescent="0.35">
      <c r="A1518">
        <v>29053</v>
      </c>
      <c r="B1518" t="s">
        <v>2729</v>
      </c>
      <c r="C1518" t="s">
        <v>3413</v>
      </c>
    </row>
    <row r="1519" spans="1:3" x14ac:dyDescent="0.35">
      <c r="A1519">
        <v>29055</v>
      </c>
      <c r="B1519" t="s">
        <v>526</v>
      </c>
      <c r="C1519" t="s">
        <v>3413</v>
      </c>
    </row>
    <row r="1520" spans="1:3" x14ac:dyDescent="0.35">
      <c r="A1520">
        <v>29057</v>
      </c>
      <c r="B1520" t="s">
        <v>899</v>
      </c>
      <c r="C1520" t="s">
        <v>3413</v>
      </c>
    </row>
    <row r="1521" spans="1:3" x14ac:dyDescent="0.35">
      <c r="A1521">
        <v>29059</v>
      </c>
      <c r="B1521" t="s">
        <v>347</v>
      </c>
      <c r="C1521" t="s">
        <v>3413</v>
      </c>
    </row>
    <row r="1522" spans="1:3" x14ac:dyDescent="0.35">
      <c r="A1522">
        <v>29061</v>
      </c>
      <c r="B1522" t="s">
        <v>2730</v>
      </c>
      <c r="C1522" t="s">
        <v>3413</v>
      </c>
    </row>
    <row r="1523" spans="1:3" x14ac:dyDescent="0.35">
      <c r="A1523">
        <v>29063</v>
      </c>
      <c r="B1523" t="s">
        <v>349</v>
      </c>
      <c r="C1523" t="s">
        <v>3413</v>
      </c>
    </row>
    <row r="1524" spans="1:3" x14ac:dyDescent="0.35">
      <c r="A1524">
        <v>29065</v>
      </c>
      <c r="B1524" t="s">
        <v>2732</v>
      </c>
      <c r="C1524" t="s">
        <v>3413</v>
      </c>
    </row>
    <row r="1525" spans="1:3" x14ac:dyDescent="0.35">
      <c r="A1525">
        <v>29067</v>
      </c>
      <c r="B1525" t="s">
        <v>828</v>
      </c>
      <c r="C1525" t="s">
        <v>3413</v>
      </c>
    </row>
    <row r="1526" spans="1:3" x14ac:dyDescent="0.35">
      <c r="A1526">
        <v>29069</v>
      </c>
      <c r="B1526" t="s">
        <v>2733</v>
      </c>
      <c r="C1526" t="s">
        <v>3413</v>
      </c>
    </row>
    <row r="1527" spans="1:3" x14ac:dyDescent="0.35">
      <c r="A1527">
        <v>29071</v>
      </c>
      <c r="B1527" t="s">
        <v>355</v>
      </c>
      <c r="C1527" t="s">
        <v>3413</v>
      </c>
    </row>
    <row r="1528" spans="1:3" x14ac:dyDescent="0.35">
      <c r="A1528">
        <v>29073</v>
      </c>
      <c r="B1528" t="s">
        <v>2734</v>
      </c>
      <c r="C1528" t="s">
        <v>3413</v>
      </c>
    </row>
    <row r="1529" spans="1:3" x14ac:dyDescent="0.35">
      <c r="A1529">
        <v>29075</v>
      </c>
      <c r="B1529" t="s">
        <v>2735</v>
      </c>
      <c r="C1529" t="s">
        <v>3413</v>
      </c>
    </row>
    <row r="1530" spans="1:3" x14ac:dyDescent="0.35">
      <c r="A1530">
        <v>29077</v>
      </c>
      <c r="B1530" t="s">
        <v>305</v>
      </c>
      <c r="C1530" t="s">
        <v>3413</v>
      </c>
    </row>
    <row r="1531" spans="1:3" x14ac:dyDescent="0.35">
      <c r="A1531">
        <v>29079</v>
      </c>
      <c r="B1531" t="s">
        <v>1835</v>
      </c>
      <c r="C1531" t="s">
        <v>3413</v>
      </c>
    </row>
    <row r="1532" spans="1:3" x14ac:dyDescent="0.35">
      <c r="A1532">
        <v>29081</v>
      </c>
      <c r="B1532" t="s">
        <v>1250</v>
      </c>
      <c r="C1532" t="s">
        <v>3413</v>
      </c>
    </row>
    <row r="1533" spans="1:3" x14ac:dyDescent="0.35">
      <c r="A1533">
        <v>29083</v>
      </c>
      <c r="B1533" t="s">
        <v>269</v>
      </c>
      <c r="C1533" t="s">
        <v>3413</v>
      </c>
    </row>
    <row r="1534" spans="1:3" x14ac:dyDescent="0.35">
      <c r="A1534">
        <v>29085</v>
      </c>
      <c r="B1534" t="s">
        <v>2736</v>
      </c>
      <c r="C1534" t="s">
        <v>3413</v>
      </c>
    </row>
    <row r="1535" spans="1:3" x14ac:dyDescent="0.35">
      <c r="A1535">
        <v>29087</v>
      </c>
      <c r="B1535" t="s">
        <v>2737</v>
      </c>
      <c r="C1535" t="s">
        <v>3413</v>
      </c>
    </row>
    <row r="1536" spans="1:3" x14ac:dyDescent="0.35">
      <c r="A1536">
        <v>29089</v>
      </c>
      <c r="B1536" t="s">
        <v>520</v>
      </c>
      <c r="C1536" t="s">
        <v>3413</v>
      </c>
    </row>
    <row r="1537" spans="1:3" x14ac:dyDescent="0.35">
      <c r="A1537">
        <v>29091</v>
      </c>
      <c r="B1537" t="s">
        <v>2738</v>
      </c>
      <c r="C1537" t="s">
        <v>3413</v>
      </c>
    </row>
    <row r="1538" spans="1:3" x14ac:dyDescent="0.35">
      <c r="A1538">
        <v>29093</v>
      </c>
      <c r="B1538" t="s">
        <v>2739</v>
      </c>
      <c r="C1538" t="s">
        <v>3413</v>
      </c>
    </row>
    <row r="1539" spans="1:3" x14ac:dyDescent="0.35">
      <c r="A1539">
        <v>29095</v>
      </c>
      <c r="B1539" t="s">
        <v>357</v>
      </c>
      <c r="C1539" t="s">
        <v>3413</v>
      </c>
    </row>
    <row r="1540" spans="1:3" x14ac:dyDescent="0.35">
      <c r="A1540">
        <v>29097</v>
      </c>
      <c r="B1540" t="s">
        <v>837</v>
      </c>
      <c r="C1540" t="s">
        <v>3413</v>
      </c>
    </row>
    <row r="1541" spans="1:3" x14ac:dyDescent="0.35">
      <c r="A1541">
        <v>29099</v>
      </c>
      <c r="B1541" t="s">
        <v>247</v>
      </c>
      <c r="C1541" t="s">
        <v>3413</v>
      </c>
    </row>
    <row r="1542" spans="1:3" x14ac:dyDescent="0.35">
      <c r="A1542">
        <v>29101</v>
      </c>
      <c r="B1542" t="s">
        <v>535</v>
      </c>
      <c r="C1542" t="s">
        <v>3413</v>
      </c>
    </row>
    <row r="1543" spans="1:3" x14ac:dyDescent="0.35">
      <c r="A1543">
        <v>29103</v>
      </c>
      <c r="B1543" t="s">
        <v>1819</v>
      </c>
      <c r="C1543" t="s">
        <v>3413</v>
      </c>
    </row>
    <row r="1544" spans="1:3" x14ac:dyDescent="0.35">
      <c r="A1544">
        <v>29105</v>
      </c>
      <c r="B1544" t="s">
        <v>2740</v>
      </c>
      <c r="C1544" t="s">
        <v>3413</v>
      </c>
    </row>
    <row r="1545" spans="1:3" x14ac:dyDescent="0.35">
      <c r="A1545">
        <v>29107</v>
      </c>
      <c r="B1545" t="s">
        <v>504</v>
      </c>
      <c r="C1545" t="s">
        <v>3413</v>
      </c>
    </row>
    <row r="1546" spans="1:3" x14ac:dyDescent="0.35">
      <c r="A1546">
        <v>29109</v>
      </c>
      <c r="B1546" t="s">
        <v>261</v>
      </c>
      <c r="C1546" t="s">
        <v>3413</v>
      </c>
    </row>
    <row r="1547" spans="1:3" x14ac:dyDescent="0.35">
      <c r="A1547">
        <v>29111</v>
      </c>
      <c r="B1547" t="s">
        <v>1927</v>
      </c>
      <c r="C1547" t="s">
        <v>3413</v>
      </c>
    </row>
    <row r="1548" spans="1:3" x14ac:dyDescent="0.35">
      <c r="A1548">
        <v>29113</v>
      </c>
      <c r="B1548" t="s">
        <v>494</v>
      </c>
      <c r="C1548" t="s">
        <v>3413</v>
      </c>
    </row>
    <row r="1549" spans="1:3" x14ac:dyDescent="0.35">
      <c r="A1549">
        <v>29115</v>
      </c>
      <c r="B1549" t="s">
        <v>2741</v>
      </c>
      <c r="C1549" t="s">
        <v>3413</v>
      </c>
    </row>
    <row r="1550" spans="1:3" x14ac:dyDescent="0.35">
      <c r="A1550">
        <v>29117</v>
      </c>
      <c r="B1550" t="s">
        <v>2742</v>
      </c>
      <c r="C1550" t="s">
        <v>3413</v>
      </c>
    </row>
    <row r="1551" spans="1:3" x14ac:dyDescent="0.35">
      <c r="A1551">
        <v>29119</v>
      </c>
      <c r="B1551" t="s">
        <v>2743</v>
      </c>
      <c r="C1551" t="s">
        <v>3413</v>
      </c>
    </row>
    <row r="1552" spans="1:3" x14ac:dyDescent="0.35">
      <c r="A1552">
        <v>29121</v>
      </c>
      <c r="B1552" t="s">
        <v>361</v>
      </c>
      <c r="C1552" t="s">
        <v>3413</v>
      </c>
    </row>
    <row r="1553" spans="1:3" x14ac:dyDescent="0.35">
      <c r="A1553">
        <v>29123</v>
      </c>
      <c r="B1553" t="s">
        <v>287</v>
      </c>
      <c r="C1553" t="s">
        <v>3413</v>
      </c>
    </row>
    <row r="1554" spans="1:3" x14ac:dyDescent="0.35">
      <c r="A1554">
        <v>29125</v>
      </c>
      <c r="B1554" t="s">
        <v>2744</v>
      </c>
      <c r="C1554" t="s">
        <v>3413</v>
      </c>
    </row>
    <row r="1555" spans="1:3" x14ac:dyDescent="0.35">
      <c r="A1555">
        <v>29127</v>
      </c>
      <c r="B1555" t="s">
        <v>365</v>
      </c>
      <c r="C1555" t="s">
        <v>3413</v>
      </c>
    </row>
    <row r="1556" spans="1:3" x14ac:dyDescent="0.35">
      <c r="A1556">
        <v>29129</v>
      </c>
      <c r="B1556" t="s">
        <v>2745</v>
      </c>
      <c r="C1556" t="s">
        <v>3413</v>
      </c>
    </row>
    <row r="1557" spans="1:3" x14ac:dyDescent="0.35">
      <c r="A1557">
        <v>29131</v>
      </c>
      <c r="B1557" t="s">
        <v>516</v>
      </c>
      <c r="C1557" t="s">
        <v>3413</v>
      </c>
    </row>
    <row r="1558" spans="1:3" x14ac:dyDescent="0.35">
      <c r="A1558">
        <v>29133</v>
      </c>
      <c r="B1558" t="s">
        <v>438</v>
      </c>
      <c r="C1558" t="s">
        <v>3413</v>
      </c>
    </row>
    <row r="1559" spans="1:3" x14ac:dyDescent="0.35">
      <c r="A1559">
        <v>29135</v>
      </c>
      <c r="B1559" t="s">
        <v>2746</v>
      </c>
      <c r="C1559" t="s">
        <v>3413</v>
      </c>
    </row>
    <row r="1560" spans="1:3" x14ac:dyDescent="0.35">
      <c r="A1560">
        <v>29137</v>
      </c>
      <c r="B1560" t="s">
        <v>369</v>
      </c>
      <c r="C1560" t="s">
        <v>3413</v>
      </c>
    </row>
    <row r="1561" spans="1:3" x14ac:dyDescent="0.35">
      <c r="A1561">
        <v>29139</v>
      </c>
      <c r="B1561" t="s">
        <v>301</v>
      </c>
      <c r="C1561" t="s">
        <v>3413</v>
      </c>
    </row>
    <row r="1562" spans="1:3" x14ac:dyDescent="0.35">
      <c r="A1562">
        <v>29141</v>
      </c>
      <c r="B1562" t="s">
        <v>263</v>
      </c>
      <c r="C1562" t="s">
        <v>3413</v>
      </c>
    </row>
    <row r="1563" spans="1:3" x14ac:dyDescent="0.35">
      <c r="A1563">
        <v>29143</v>
      </c>
      <c r="B1563" t="s">
        <v>2747</v>
      </c>
      <c r="C1563" t="s">
        <v>3413</v>
      </c>
    </row>
    <row r="1564" spans="1:3" x14ac:dyDescent="0.35">
      <c r="A1564">
        <v>29145</v>
      </c>
      <c r="B1564" t="s">
        <v>461</v>
      </c>
      <c r="C1564" t="s">
        <v>3413</v>
      </c>
    </row>
    <row r="1565" spans="1:3" x14ac:dyDescent="0.35">
      <c r="A1565">
        <v>29147</v>
      </c>
      <c r="B1565" t="s">
        <v>2748</v>
      </c>
      <c r="C1565" t="s">
        <v>3413</v>
      </c>
    </row>
    <row r="1566" spans="1:3" x14ac:dyDescent="0.35">
      <c r="A1566">
        <v>29149</v>
      </c>
      <c r="B1566" t="s">
        <v>2749</v>
      </c>
      <c r="C1566" t="s">
        <v>3413</v>
      </c>
    </row>
    <row r="1567" spans="1:3" x14ac:dyDescent="0.35">
      <c r="A1567">
        <v>29151</v>
      </c>
      <c r="B1567" t="s">
        <v>2750</v>
      </c>
      <c r="C1567" t="s">
        <v>3413</v>
      </c>
    </row>
    <row r="1568" spans="1:3" x14ac:dyDescent="0.35">
      <c r="A1568">
        <v>29153</v>
      </c>
      <c r="B1568" t="s">
        <v>2751</v>
      </c>
      <c r="C1568" t="s">
        <v>3413</v>
      </c>
    </row>
    <row r="1569" spans="1:3" x14ac:dyDescent="0.35">
      <c r="A1569">
        <v>29155</v>
      </c>
      <c r="B1569" t="s">
        <v>2752</v>
      </c>
      <c r="C1569" t="s">
        <v>3413</v>
      </c>
    </row>
    <row r="1570" spans="1:3" x14ac:dyDescent="0.35">
      <c r="A1570">
        <v>29157</v>
      </c>
      <c r="B1570" t="s">
        <v>371</v>
      </c>
      <c r="C1570" t="s">
        <v>3413</v>
      </c>
    </row>
    <row r="1571" spans="1:3" x14ac:dyDescent="0.35">
      <c r="A1571">
        <v>29159</v>
      </c>
      <c r="B1571" t="s">
        <v>2753</v>
      </c>
      <c r="C1571" t="s">
        <v>3413</v>
      </c>
    </row>
    <row r="1572" spans="1:3" x14ac:dyDescent="0.35">
      <c r="A1572">
        <v>29161</v>
      </c>
      <c r="B1572" t="s">
        <v>2754</v>
      </c>
      <c r="C1572" t="s">
        <v>3413</v>
      </c>
    </row>
    <row r="1573" spans="1:3" x14ac:dyDescent="0.35">
      <c r="A1573">
        <v>29163</v>
      </c>
      <c r="B1573" t="s">
        <v>375</v>
      </c>
      <c r="C1573" t="s">
        <v>3413</v>
      </c>
    </row>
    <row r="1574" spans="1:3" x14ac:dyDescent="0.35">
      <c r="A1574">
        <v>29165</v>
      </c>
      <c r="B1574" t="s">
        <v>2755</v>
      </c>
      <c r="C1574" t="s">
        <v>3413</v>
      </c>
    </row>
    <row r="1575" spans="1:3" x14ac:dyDescent="0.35">
      <c r="A1575">
        <v>29167</v>
      </c>
      <c r="B1575" t="s">
        <v>530</v>
      </c>
      <c r="C1575" t="s">
        <v>3413</v>
      </c>
    </row>
    <row r="1576" spans="1:3" x14ac:dyDescent="0.35">
      <c r="A1576">
        <v>29169</v>
      </c>
      <c r="B1576" t="s">
        <v>398</v>
      </c>
      <c r="C1576" t="s">
        <v>3413</v>
      </c>
    </row>
    <row r="1577" spans="1:3" x14ac:dyDescent="0.35">
      <c r="A1577">
        <v>29171</v>
      </c>
      <c r="B1577" t="s">
        <v>729</v>
      </c>
      <c r="C1577" t="s">
        <v>3413</v>
      </c>
    </row>
    <row r="1578" spans="1:3" x14ac:dyDescent="0.35">
      <c r="A1578">
        <v>29173</v>
      </c>
      <c r="B1578" t="s">
        <v>2756</v>
      </c>
      <c r="C1578" t="s">
        <v>3413</v>
      </c>
    </row>
    <row r="1579" spans="1:3" x14ac:dyDescent="0.35">
      <c r="A1579">
        <v>29175</v>
      </c>
      <c r="B1579" t="s">
        <v>377</v>
      </c>
      <c r="C1579" t="s">
        <v>3413</v>
      </c>
    </row>
    <row r="1580" spans="1:3" x14ac:dyDescent="0.35">
      <c r="A1580">
        <v>29177</v>
      </c>
      <c r="B1580" t="s">
        <v>2757</v>
      </c>
      <c r="C1580" t="s">
        <v>3413</v>
      </c>
    </row>
    <row r="1581" spans="1:3" x14ac:dyDescent="0.35">
      <c r="A1581">
        <v>29179</v>
      </c>
      <c r="B1581" t="s">
        <v>2758</v>
      </c>
      <c r="C1581" t="s">
        <v>3413</v>
      </c>
    </row>
    <row r="1582" spans="1:3" x14ac:dyDescent="0.35">
      <c r="A1582">
        <v>29181</v>
      </c>
      <c r="B1582" t="s">
        <v>2759</v>
      </c>
      <c r="C1582" t="s">
        <v>3413</v>
      </c>
    </row>
    <row r="1583" spans="1:3" x14ac:dyDescent="0.35">
      <c r="A1583">
        <v>29183</v>
      </c>
      <c r="B1583" t="s">
        <v>2760</v>
      </c>
      <c r="C1583" t="s">
        <v>3413</v>
      </c>
    </row>
    <row r="1584" spans="1:3" x14ac:dyDescent="0.35">
      <c r="A1584">
        <v>29185</v>
      </c>
      <c r="B1584" t="s">
        <v>251</v>
      </c>
      <c r="C1584" t="s">
        <v>3413</v>
      </c>
    </row>
    <row r="1585" spans="1:3" x14ac:dyDescent="0.35">
      <c r="A1585">
        <v>29186</v>
      </c>
      <c r="B1585" t="s">
        <v>2761</v>
      </c>
      <c r="C1585" t="s">
        <v>3413</v>
      </c>
    </row>
    <row r="1586" spans="1:3" x14ac:dyDescent="0.35">
      <c r="A1586">
        <v>29187</v>
      </c>
      <c r="B1586" t="s">
        <v>2762</v>
      </c>
      <c r="C1586" t="s">
        <v>3413</v>
      </c>
    </row>
    <row r="1587" spans="1:3" x14ac:dyDescent="0.35">
      <c r="A1587">
        <v>29189</v>
      </c>
      <c r="B1587" t="s">
        <v>2763</v>
      </c>
      <c r="C1587" t="s">
        <v>3413</v>
      </c>
    </row>
    <row r="1588" spans="1:3" x14ac:dyDescent="0.35">
      <c r="A1588">
        <v>29195</v>
      </c>
      <c r="B1588" t="s">
        <v>405</v>
      </c>
      <c r="C1588" t="s">
        <v>3413</v>
      </c>
    </row>
    <row r="1589" spans="1:3" x14ac:dyDescent="0.35">
      <c r="A1589">
        <v>29197</v>
      </c>
      <c r="B1589" t="s">
        <v>2764</v>
      </c>
      <c r="C1589" t="s">
        <v>3413</v>
      </c>
    </row>
    <row r="1590" spans="1:3" x14ac:dyDescent="0.35">
      <c r="A1590">
        <v>29199</v>
      </c>
      <c r="B1590" t="s">
        <v>1572</v>
      </c>
      <c r="C1590" t="s">
        <v>3413</v>
      </c>
    </row>
    <row r="1591" spans="1:3" x14ac:dyDescent="0.35">
      <c r="A1591">
        <v>29201</v>
      </c>
      <c r="B1591" t="s">
        <v>528</v>
      </c>
      <c r="C1591" t="s">
        <v>3413</v>
      </c>
    </row>
    <row r="1592" spans="1:3" x14ac:dyDescent="0.35">
      <c r="A1592">
        <v>29203</v>
      </c>
      <c r="B1592" t="s">
        <v>2765</v>
      </c>
      <c r="C1592" t="s">
        <v>3413</v>
      </c>
    </row>
    <row r="1593" spans="1:3" x14ac:dyDescent="0.35">
      <c r="A1593">
        <v>29205</v>
      </c>
      <c r="B1593" t="s">
        <v>249</v>
      </c>
      <c r="C1593" t="s">
        <v>3413</v>
      </c>
    </row>
    <row r="1594" spans="1:3" x14ac:dyDescent="0.35">
      <c r="A1594">
        <v>29207</v>
      </c>
      <c r="B1594" t="s">
        <v>2766</v>
      </c>
      <c r="C1594" t="s">
        <v>3413</v>
      </c>
    </row>
    <row r="1595" spans="1:3" x14ac:dyDescent="0.35">
      <c r="A1595">
        <v>29209</v>
      </c>
      <c r="B1595" t="s">
        <v>448</v>
      </c>
      <c r="C1595" t="s">
        <v>3413</v>
      </c>
    </row>
    <row r="1596" spans="1:3" x14ac:dyDescent="0.35">
      <c r="A1596">
        <v>29211</v>
      </c>
      <c r="B1596" t="s">
        <v>1801</v>
      </c>
      <c r="C1596" t="s">
        <v>3413</v>
      </c>
    </row>
    <row r="1597" spans="1:3" x14ac:dyDescent="0.35">
      <c r="A1597">
        <v>29213</v>
      </c>
      <c r="B1597" t="s">
        <v>2767</v>
      </c>
      <c r="C1597" t="s">
        <v>3413</v>
      </c>
    </row>
    <row r="1598" spans="1:3" x14ac:dyDescent="0.35">
      <c r="A1598">
        <v>29215</v>
      </c>
      <c r="B1598" t="s">
        <v>2768</v>
      </c>
      <c r="C1598" t="s">
        <v>3413</v>
      </c>
    </row>
    <row r="1599" spans="1:3" x14ac:dyDescent="0.35">
      <c r="A1599">
        <v>29217</v>
      </c>
      <c r="B1599" t="s">
        <v>2769</v>
      </c>
      <c r="C1599" t="s">
        <v>3413</v>
      </c>
    </row>
    <row r="1600" spans="1:3" x14ac:dyDescent="0.35">
      <c r="A1600">
        <v>29219</v>
      </c>
      <c r="B1600" t="s">
        <v>873</v>
      </c>
      <c r="C1600" t="s">
        <v>3413</v>
      </c>
    </row>
    <row r="1601" spans="1:3" x14ac:dyDescent="0.35">
      <c r="A1601">
        <v>29221</v>
      </c>
      <c r="B1601" t="s">
        <v>385</v>
      </c>
      <c r="C1601" t="s">
        <v>3413</v>
      </c>
    </row>
    <row r="1602" spans="1:3" x14ac:dyDescent="0.35">
      <c r="A1602">
        <v>29223</v>
      </c>
      <c r="B1602" t="s">
        <v>894</v>
      </c>
      <c r="C1602" t="s">
        <v>3413</v>
      </c>
    </row>
    <row r="1603" spans="1:3" x14ac:dyDescent="0.35">
      <c r="A1603">
        <v>29225</v>
      </c>
      <c r="B1603" t="s">
        <v>924</v>
      </c>
      <c r="C1603" t="s">
        <v>3413</v>
      </c>
    </row>
    <row r="1604" spans="1:3" x14ac:dyDescent="0.35">
      <c r="A1604">
        <v>29227</v>
      </c>
      <c r="B1604" t="s">
        <v>799</v>
      </c>
      <c r="C1604" t="s">
        <v>3413</v>
      </c>
    </row>
    <row r="1605" spans="1:3" x14ac:dyDescent="0.35">
      <c r="A1605">
        <v>29229</v>
      </c>
      <c r="B1605" t="s">
        <v>2770</v>
      </c>
      <c r="C1605" t="s">
        <v>3413</v>
      </c>
    </row>
    <row r="1606" spans="1:3" x14ac:dyDescent="0.35">
      <c r="A1606">
        <v>29510</v>
      </c>
      <c r="B1606" t="s">
        <v>3414</v>
      </c>
      <c r="C1606" t="s">
        <v>3413</v>
      </c>
    </row>
    <row r="1607" spans="1:3" x14ac:dyDescent="0.35">
      <c r="A1607">
        <v>30001</v>
      </c>
      <c r="B1607" t="s">
        <v>3415</v>
      </c>
      <c r="C1607" t="s">
        <v>3416</v>
      </c>
    </row>
    <row r="1608" spans="1:3" x14ac:dyDescent="0.35">
      <c r="A1608">
        <v>30003</v>
      </c>
      <c r="B1608" t="s">
        <v>3417</v>
      </c>
      <c r="C1608" t="s">
        <v>3416</v>
      </c>
    </row>
    <row r="1609" spans="1:3" x14ac:dyDescent="0.35">
      <c r="A1609">
        <v>30005</v>
      </c>
      <c r="B1609" t="s">
        <v>3018</v>
      </c>
      <c r="C1609" t="s">
        <v>3416</v>
      </c>
    </row>
    <row r="1610" spans="1:3" x14ac:dyDescent="0.35">
      <c r="A1610">
        <v>30007</v>
      </c>
      <c r="B1610" t="s">
        <v>3418</v>
      </c>
      <c r="C1610" t="s">
        <v>3416</v>
      </c>
    </row>
    <row r="1611" spans="1:3" x14ac:dyDescent="0.35">
      <c r="A1611">
        <v>30009</v>
      </c>
      <c r="B1611" t="s">
        <v>2774</v>
      </c>
      <c r="C1611" t="s">
        <v>3416</v>
      </c>
    </row>
    <row r="1612" spans="1:3" x14ac:dyDescent="0.35">
      <c r="A1612">
        <v>30011</v>
      </c>
      <c r="B1612" t="s">
        <v>1794</v>
      </c>
      <c r="C1612" t="s">
        <v>3416</v>
      </c>
    </row>
    <row r="1613" spans="1:3" x14ac:dyDescent="0.35">
      <c r="A1613">
        <v>30013</v>
      </c>
      <c r="B1613" t="s">
        <v>3419</v>
      </c>
      <c r="C1613" t="s">
        <v>3416</v>
      </c>
    </row>
    <row r="1614" spans="1:3" x14ac:dyDescent="0.35">
      <c r="A1614">
        <v>30015</v>
      </c>
      <c r="B1614" t="s">
        <v>3420</v>
      </c>
      <c r="C1614" t="s">
        <v>3416</v>
      </c>
    </row>
    <row r="1615" spans="1:3" x14ac:dyDescent="0.35">
      <c r="A1615">
        <v>30017</v>
      </c>
      <c r="B1615" t="s">
        <v>2955</v>
      </c>
      <c r="C1615" t="s">
        <v>3416</v>
      </c>
    </row>
    <row r="1616" spans="1:3" x14ac:dyDescent="0.35">
      <c r="A1616">
        <v>30019</v>
      </c>
      <c r="B1616" t="s">
        <v>3421</v>
      </c>
      <c r="C1616" t="s">
        <v>3416</v>
      </c>
    </row>
    <row r="1617" spans="1:3" x14ac:dyDescent="0.35">
      <c r="A1617">
        <v>30021</v>
      </c>
      <c r="B1617" t="s">
        <v>936</v>
      </c>
      <c r="C1617" t="s">
        <v>3416</v>
      </c>
    </row>
    <row r="1618" spans="1:3" x14ac:dyDescent="0.35">
      <c r="A1618">
        <v>30023</v>
      </c>
      <c r="B1618" t="s">
        <v>3422</v>
      </c>
      <c r="C1618" t="s">
        <v>3416</v>
      </c>
    </row>
    <row r="1619" spans="1:3" x14ac:dyDescent="0.35">
      <c r="A1619">
        <v>30025</v>
      </c>
      <c r="B1619" t="s">
        <v>3423</v>
      </c>
      <c r="C1619" t="s">
        <v>3416</v>
      </c>
    </row>
    <row r="1620" spans="1:3" x14ac:dyDescent="0.35">
      <c r="A1620">
        <v>30027</v>
      </c>
      <c r="B1620" t="s">
        <v>3424</v>
      </c>
      <c r="C1620" t="s">
        <v>3416</v>
      </c>
    </row>
    <row r="1621" spans="1:3" x14ac:dyDescent="0.35">
      <c r="A1621">
        <v>30029</v>
      </c>
      <c r="B1621" t="s">
        <v>3425</v>
      </c>
      <c r="C1621" t="s">
        <v>3416</v>
      </c>
    </row>
    <row r="1622" spans="1:3" x14ac:dyDescent="0.35">
      <c r="A1622">
        <v>30031</v>
      </c>
      <c r="B1622" t="s">
        <v>3054</v>
      </c>
      <c r="C1622" t="s">
        <v>3416</v>
      </c>
    </row>
    <row r="1623" spans="1:3" x14ac:dyDescent="0.35">
      <c r="A1623">
        <v>30033</v>
      </c>
      <c r="B1623" t="s">
        <v>2779</v>
      </c>
      <c r="C1623" t="s">
        <v>3416</v>
      </c>
    </row>
    <row r="1624" spans="1:3" x14ac:dyDescent="0.35">
      <c r="A1624">
        <v>30035</v>
      </c>
      <c r="B1624" t="s">
        <v>3426</v>
      </c>
      <c r="C1624" t="s">
        <v>3416</v>
      </c>
    </row>
    <row r="1625" spans="1:3" x14ac:dyDescent="0.35">
      <c r="A1625">
        <v>30037</v>
      </c>
      <c r="B1625" t="s">
        <v>3427</v>
      </c>
      <c r="C1625" t="s">
        <v>3416</v>
      </c>
    </row>
    <row r="1626" spans="1:3" x14ac:dyDescent="0.35">
      <c r="A1626">
        <v>30039</v>
      </c>
      <c r="B1626" t="s">
        <v>3428</v>
      </c>
      <c r="C1626" t="s">
        <v>3416</v>
      </c>
    </row>
    <row r="1627" spans="1:3" x14ac:dyDescent="0.35">
      <c r="A1627">
        <v>30041</v>
      </c>
      <c r="B1627" t="s">
        <v>2361</v>
      </c>
      <c r="C1627" t="s">
        <v>3416</v>
      </c>
    </row>
    <row r="1628" spans="1:3" x14ac:dyDescent="0.35">
      <c r="A1628">
        <v>30043</v>
      </c>
      <c r="B1628" t="s">
        <v>247</v>
      </c>
      <c r="C1628" t="s">
        <v>3416</v>
      </c>
    </row>
    <row r="1629" spans="1:3" x14ac:dyDescent="0.35">
      <c r="A1629">
        <v>30045</v>
      </c>
      <c r="B1629" t="s">
        <v>3429</v>
      </c>
      <c r="C1629" t="s">
        <v>3416</v>
      </c>
    </row>
    <row r="1630" spans="1:3" x14ac:dyDescent="0.35">
      <c r="A1630">
        <v>30047</v>
      </c>
      <c r="B1630" t="s">
        <v>654</v>
      </c>
      <c r="C1630" t="s">
        <v>3416</v>
      </c>
    </row>
    <row r="1631" spans="1:3" x14ac:dyDescent="0.35">
      <c r="A1631">
        <v>30049</v>
      </c>
      <c r="B1631" t="s">
        <v>3430</v>
      </c>
      <c r="C1631" t="s">
        <v>3416</v>
      </c>
    </row>
    <row r="1632" spans="1:3" x14ac:dyDescent="0.35">
      <c r="A1632">
        <v>30051</v>
      </c>
      <c r="B1632" t="s">
        <v>669</v>
      </c>
      <c r="C1632" t="s">
        <v>3416</v>
      </c>
    </row>
    <row r="1633" spans="1:3" x14ac:dyDescent="0.35">
      <c r="A1633">
        <v>30053</v>
      </c>
      <c r="B1633" t="s">
        <v>494</v>
      </c>
      <c r="C1633" t="s">
        <v>3416</v>
      </c>
    </row>
    <row r="1634" spans="1:3" x14ac:dyDescent="0.35">
      <c r="A1634">
        <v>30055</v>
      </c>
      <c r="B1634" t="s">
        <v>3431</v>
      </c>
      <c r="C1634" t="s">
        <v>3416</v>
      </c>
    </row>
    <row r="1635" spans="1:3" x14ac:dyDescent="0.35">
      <c r="A1635">
        <v>30057</v>
      </c>
      <c r="B1635" t="s">
        <v>287</v>
      </c>
      <c r="C1635" t="s">
        <v>3416</v>
      </c>
    </row>
    <row r="1636" spans="1:3" x14ac:dyDescent="0.35">
      <c r="A1636">
        <v>30059</v>
      </c>
      <c r="B1636" t="s">
        <v>3432</v>
      </c>
      <c r="C1636" t="s">
        <v>3416</v>
      </c>
    </row>
    <row r="1637" spans="1:3" x14ac:dyDescent="0.35">
      <c r="A1637">
        <v>30061</v>
      </c>
      <c r="B1637" t="s">
        <v>2803</v>
      </c>
      <c r="C1637" t="s">
        <v>3416</v>
      </c>
    </row>
    <row r="1638" spans="1:3" x14ac:dyDescent="0.35">
      <c r="A1638">
        <v>30063</v>
      </c>
      <c r="B1638" t="s">
        <v>3433</v>
      </c>
      <c r="C1638" t="s">
        <v>3416</v>
      </c>
    </row>
    <row r="1639" spans="1:3" x14ac:dyDescent="0.35">
      <c r="A1639">
        <v>30065</v>
      </c>
      <c r="B1639" t="s">
        <v>3434</v>
      </c>
      <c r="C1639" t="s">
        <v>3416</v>
      </c>
    </row>
    <row r="1640" spans="1:3" x14ac:dyDescent="0.35">
      <c r="A1640">
        <v>30067</v>
      </c>
      <c r="B1640" t="s">
        <v>2975</v>
      </c>
      <c r="C1640" t="s">
        <v>3416</v>
      </c>
    </row>
    <row r="1641" spans="1:3" x14ac:dyDescent="0.35">
      <c r="A1641">
        <v>30069</v>
      </c>
      <c r="B1641" t="s">
        <v>3435</v>
      </c>
      <c r="C1641" t="s">
        <v>3416</v>
      </c>
    </row>
    <row r="1642" spans="1:3" x14ac:dyDescent="0.35">
      <c r="A1642">
        <v>30071</v>
      </c>
      <c r="B1642" t="s">
        <v>484</v>
      </c>
      <c r="C1642" t="s">
        <v>3416</v>
      </c>
    </row>
    <row r="1643" spans="1:3" x14ac:dyDescent="0.35">
      <c r="A1643">
        <v>30073</v>
      </c>
      <c r="B1643" t="s">
        <v>3436</v>
      </c>
      <c r="C1643" t="s">
        <v>3416</v>
      </c>
    </row>
    <row r="1644" spans="1:3" x14ac:dyDescent="0.35">
      <c r="A1644">
        <v>30075</v>
      </c>
      <c r="B1644" t="s">
        <v>3437</v>
      </c>
      <c r="C1644" t="s">
        <v>3416</v>
      </c>
    </row>
    <row r="1645" spans="1:3" x14ac:dyDescent="0.35">
      <c r="A1645">
        <v>30077</v>
      </c>
      <c r="B1645" t="s">
        <v>3242</v>
      </c>
      <c r="C1645" t="s">
        <v>3416</v>
      </c>
    </row>
    <row r="1646" spans="1:3" x14ac:dyDescent="0.35">
      <c r="A1646">
        <v>30079</v>
      </c>
      <c r="B1646" t="s">
        <v>415</v>
      </c>
      <c r="C1646" t="s">
        <v>3416</v>
      </c>
    </row>
    <row r="1647" spans="1:3" x14ac:dyDescent="0.35">
      <c r="A1647">
        <v>30081</v>
      </c>
      <c r="B1647" t="s">
        <v>3438</v>
      </c>
      <c r="C1647" t="s">
        <v>3416</v>
      </c>
    </row>
    <row r="1648" spans="1:3" x14ac:dyDescent="0.35">
      <c r="A1648">
        <v>30083</v>
      </c>
      <c r="B1648" t="s">
        <v>1773</v>
      </c>
      <c r="C1648" t="s">
        <v>3416</v>
      </c>
    </row>
    <row r="1649" spans="1:3" x14ac:dyDescent="0.35">
      <c r="A1649">
        <v>30085</v>
      </c>
      <c r="B1649" t="s">
        <v>3439</v>
      </c>
      <c r="C1649" t="s">
        <v>3416</v>
      </c>
    </row>
    <row r="1650" spans="1:3" x14ac:dyDescent="0.35">
      <c r="A1650">
        <v>30087</v>
      </c>
      <c r="B1650" t="s">
        <v>3440</v>
      </c>
      <c r="C1650" t="s">
        <v>3416</v>
      </c>
    </row>
    <row r="1651" spans="1:3" x14ac:dyDescent="0.35">
      <c r="A1651">
        <v>30089</v>
      </c>
      <c r="B1651" t="s">
        <v>3441</v>
      </c>
      <c r="C1651" t="s">
        <v>3416</v>
      </c>
    </row>
    <row r="1652" spans="1:3" x14ac:dyDescent="0.35">
      <c r="A1652">
        <v>30091</v>
      </c>
      <c r="B1652" t="s">
        <v>3196</v>
      </c>
      <c r="C1652" t="s">
        <v>3416</v>
      </c>
    </row>
    <row r="1653" spans="1:3" x14ac:dyDescent="0.35">
      <c r="A1653">
        <v>30093</v>
      </c>
      <c r="B1653" t="s">
        <v>3442</v>
      </c>
      <c r="C1653" t="s">
        <v>3416</v>
      </c>
    </row>
    <row r="1654" spans="1:3" x14ac:dyDescent="0.35">
      <c r="A1654">
        <v>30095</v>
      </c>
      <c r="B1654" t="s">
        <v>3443</v>
      </c>
      <c r="C1654" t="s">
        <v>3416</v>
      </c>
    </row>
    <row r="1655" spans="1:3" x14ac:dyDescent="0.35">
      <c r="A1655">
        <v>30097</v>
      </c>
      <c r="B1655" t="s">
        <v>3444</v>
      </c>
      <c r="C1655" t="s">
        <v>3416</v>
      </c>
    </row>
    <row r="1656" spans="1:3" x14ac:dyDescent="0.35">
      <c r="A1656">
        <v>30099</v>
      </c>
      <c r="B1656" t="s">
        <v>3042</v>
      </c>
      <c r="C1656" t="s">
        <v>3416</v>
      </c>
    </row>
    <row r="1657" spans="1:3" x14ac:dyDescent="0.35">
      <c r="A1657">
        <v>30101</v>
      </c>
      <c r="B1657" t="s">
        <v>3445</v>
      </c>
      <c r="C1657" t="s">
        <v>3416</v>
      </c>
    </row>
    <row r="1658" spans="1:3" x14ac:dyDescent="0.35">
      <c r="A1658">
        <v>30103</v>
      </c>
      <c r="B1658" t="s">
        <v>3446</v>
      </c>
      <c r="C1658" t="s">
        <v>3416</v>
      </c>
    </row>
    <row r="1659" spans="1:3" x14ac:dyDescent="0.35">
      <c r="A1659">
        <v>30105</v>
      </c>
      <c r="B1659" t="s">
        <v>3044</v>
      </c>
      <c r="C1659" t="s">
        <v>3416</v>
      </c>
    </row>
    <row r="1660" spans="1:3" x14ac:dyDescent="0.35">
      <c r="A1660">
        <v>30107</v>
      </c>
      <c r="B1660" t="s">
        <v>3447</v>
      </c>
      <c r="C1660" t="s">
        <v>3416</v>
      </c>
    </row>
    <row r="1661" spans="1:3" x14ac:dyDescent="0.35">
      <c r="A1661">
        <v>30109</v>
      </c>
      <c r="B1661" t="s">
        <v>3448</v>
      </c>
      <c r="C1661" t="s">
        <v>3416</v>
      </c>
    </row>
    <row r="1662" spans="1:3" x14ac:dyDescent="0.35">
      <c r="A1662">
        <v>30111</v>
      </c>
      <c r="B1662" t="s">
        <v>3449</v>
      </c>
      <c r="C1662" t="s">
        <v>3416</v>
      </c>
    </row>
    <row r="1663" spans="1:3" x14ac:dyDescent="0.35">
      <c r="A1663">
        <v>31001</v>
      </c>
      <c r="B1663" t="s">
        <v>1255</v>
      </c>
      <c r="C1663" t="s">
        <v>3450</v>
      </c>
    </row>
    <row r="1664" spans="1:3" x14ac:dyDescent="0.35">
      <c r="A1664">
        <v>31003</v>
      </c>
      <c r="B1664" t="s">
        <v>3451</v>
      </c>
      <c r="C1664" t="s">
        <v>3450</v>
      </c>
    </row>
    <row r="1665" spans="1:3" x14ac:dyDescent="0.35">
      <c r="A1665">
        <v>31005</v>
      </c>
      <c r="B1665" t="s">
        <v>3452</v>
      </c>
      <c r="C1665" t="s">
        <v>3450</v>
      </c>
    </row>
    <row r="1666" spans="1:3" x14ac:dyDescent="0.35">
      <c r="A1666">
        <v>31007</v>
      </c>
      <c r="B1666" t="s">
        <v>3453</v>
      </c>
      <c r="C1666" t="s">
        <v>3450</v>
      </c>
    </row>
    <row r="1667" spans="1:3" x14ac:dyDescent="0.35">
      <c r="A1667">
        <v>31009</v>
      </c>
      <c r="B1667" t="s">
        <v>3018</v>
      </c>
      <c r="C1667" t="s">
        <v>3450</v>
      </c>
    </row>
    <row r="1668" spans="1:3" x14ac:dyDescent="0.35">
      <c r="A1668">
        <v>31011</v>
      </c>
      <c r="B1668" t="s">
        <v>459</v>
      </c>
      <c r="C1668" t="s">
        <v>3450</v>
      </c>
    </row>
    <row r="1669" spans="1:3" x14ac:dyDescent="0.35">
      <c r="A1669">
        <v>31013</v>
      </c>
      <c r="B1669" t="s">
        <v>3454</v>
      </c>
      <c r="C1669" t="s">
        <v>3450</v>
      </c>
    </row>
    <row r="1670" spans="1:3" x14ac:dyDescent="0.35">
      <c r="A1670">
        <v>31015</v>
      </c>
      <c r="B1670" t="s">
        <v>3209</v>
      </c>
      <c r="C1670" t="s">
        <v>3450</v>
      </c>
    </row>
    <row r="1671" spans="1:3" x14ac:dyDescent="0.35">
      <c r="A1671">
        <v>31017</v>
      </c>
      <c r="B1671" t="s">
        <v>1939</v>
      </c>
      <c r="C1671" t="s">
        <v>3450</v>
      </c>
    </row>
    <row r="1672" spans="1:3" x14ac:dyDescent="0.35">
      <c r="A1672">
        <v>31019</v>
      </c>
      <c r="B1672" t="s">
        <v>3455</v>
      </c>
      <c r="C1672" t="s">
        <v>3450</v>
      </c>
    </row>
    <row r="1673" spans="1:3" x14ac:dyDescent="0.35">
      <c r="A1673">
        <v>31021</v>
      </c>
      <c r="B1673" t="s">
        <v>3456</v>
      </c>
      <c r="C1673" t="s">
        <v>3450</v>
      </c>
    </row>
    <row r="1674" spans="1:3" x14ac:dyDescent="0.35">
      <c r="A1674">
        <v>31023</v>
      </c>
      <c r="B1674" t="s">
        <v>319</v>
      </c>
      <c r="C1674" t="s">
        <v>3450</v>
      </c>
    </row>
    <row r="1675" spans="1:3" x14ac:dyDescent="0.35">
      <c r="A1675">
        <v>31025</v>
      </c>
      <c r="B1675" t="s">
        <v>2313</v>
      </c>
      <c r="C1675" t="s">
        <v>3450</v>
      </c>
    </row>
    <row r="1676" spans="1:3" x14ac:dyDescent="0.35">
      <c r="A1676">
        <v>31027</v>
      </c>
      <c r="B1676" t="s">
        <v>2724</v>
      </c>
      <c r="C1676" t="s">
        <v>3450</v>
      </c>
    </row>
    <row r="1677" spans="1:3" x14ac:dyDescent="0.35">
      <c r="A1677">
        <v>31029</v>
      </c>
      <c r="B1677" t="s">
        <v>3155</v>
      </c>
      <c r="C1677" t="s">
        <v>3450</v>
      </c>
    </row>
    <row r="1678" spans="1:3" x14ac:dyDescent="0.35">
      <c r="A1678">
        <v>31031</v>
      </c>
      <c r="B1678" t="s">
        <v>3457</v>
      </c>
      <c r="C1678" t="s">
        <v>3450</v>
      </c>
    </row>
    <row r="1679" spans="1:3" x14ac:dyDescent="0.35">
      <c r="A1679">
        <v>31033</v>
      </c>
      <c r="B1679" t="s">
        <v>2950</v>
      </c>
      <c r="C1679" t="s">
        <v>3450</v>
      </c>
    </row>
    <row r="1680" spans="1:3" x14ac:dyDescent="0.35">
      <c r="A1680">
        <v>31035</v>
      </c>
      <c r="B1680" t="s">
        <v>329</v>
      </c>
      <c r="C1680" t="s">
        <v>3450</v>
      </c>
    </row>
    <row r="1681" spans="1:3" x14ac:dyDescent="0.35">
      <c r="A1681">
        <v>31037</v>
      </c>
      <c r="B1681" t="s">
        <v>3458</v>
      </c>
      <c r="C1681" t="s">
        <v>3450</v>
      </c>
    </row>
    <row r="1682" spans="1:3" x14ac:dyDescent="0.35">
      <c r="A1682">
        <v>31039</v>
      </c>
      <c r="B1682" t="s">
        <v>3459</v>
      </c>
      <c r="C1682" t="s">
        <v>3450</v>
      </c>
    </row>
    <row r="1683" spans="1:3" x14ac:dyDescent="0.35">
      <c r="A1683">
        <v>31041</v>
      </c>
      <c r="B1683" t="s">
        <v>2955</v>
      </c>
      <c r="C1683" t="s">
        <v>3450</v>
      </c>
    </row>
    <row r="1684" spans="1:3" x14ac:dyDescent="0.35">
      <c r="A1684">
        <v>31043</v>
      </c>
      <c r="B1684" t="s">
        <v>3363</v>
      </c>
      <c r="C1684" t="s">
        <v>3450</v>
      </c>
    </row>
    <row r="1685" spans="1:3" x14ac:dyDescent="0.35">
      <c r="A1685">
        <v>31045</v>
      </c>
      <c r="B1685" t="s">
        <v>3460</v>
      </c>
      <c r="C1685" t="s">
        <v>3450</v>
      </c>
    </row>
    <row r="1686" spans="1:3" x14ac:dyDescent="0.35">
      <c r="A1686">
        <v>31047</v>
      </c>
      <c r="B1686" t="s">
        <v>936</v>
      </c>
      <c r="C1686" t="s">
        <v>3450</v>
      </c>
    </row>
    <row r="1687" spans="1:3" x14ac:dyDescent="0.35">
      <c r="A1687">
        <v>31049</v>
      </c>
      <c r="B1687" t="s">
        <v>3461</v>
      </c>
      <c r="C1687" t="s">
        <v>3450</v>
      </c>
    </row>
    <row r="1688" spans="1:3" x14ac:dyDescent="0.35">
      <c r="A1688">
        <v>31051</v>
      </c>
      <c r="B1688" t="s">
        <v>3462</v>
      </c>
      <c r="C1688" t="s">
        <v>3450</v>
      </c>
    </row>
    <row r="1689" spans="1:3" x14ac:dyDescent="0.35">
      <c r="A1689">
        <v>31053</v>
      </c>
      <c r="B1689" t="s">
        <v>978</v>
      </c>
      <c r="C1689" t="s">
        <v>3450</v>
      </c>
    </row>
    <row r="1690" spans="1:3" x14ac:dyDescent="0.35">
      <c r="A1690">
        <v>31055</v>
      </c>
      <c r="B1690" t="s">
        <v>828</v>
      </c>
      <c r="C1690" t="s">
        <v>3450</v>
      </c>
    </row>
    <row r="1691" spans="1:3" x14ac:dyDescent="0.35">
      <c r="A1691">
        <v>31057</v>
      </c>
      <c r="B1691" t="s">
        <v>3463</v>
      </c>
      <c r="C1691" t="s">
        <v>3450</v>
      </c>
    </row>
    <row r="1692" spans="1:3" x14ac:dyDescent="0.35">
      <c r="A1692">
        <v>31059</v>
      </c>
      <c r="B1692" t="s">
        <v>3365</v>
      </c>
      <c r="C1692" t="s">
        <v>3450</v>
      </c>
    </row>
    <row r="1693" spans="1:3" x14ac:dyDescent="0.35">
      <c r="A1693">
        <v>31061</v>
      </c>
      <c r="B1693" t="s">
        <v>355</v>
      </c>
      <c r="C1693" t="s">
        <v>3450</v>
      </c>
    </row>
    <row r="1694" spans="1:3" x14ac:dyDescent="0.35">
      <c r="A1694">
        <v>31063</v>
      </c>
      <c r="B1694" t="s">
        <v>3464</v>
      </c>
      <c r="C1694" t="s">
        <v>3450</v>
      </c>
    </row>
    <row r="1695" spans="1:3" x14ac:dyDescent="0.35">
      <c r="A1695">
        <v>31065</v>
      </c>
      <c r="B1695" t="s">
        <v>3465</v>
      </c>
      <c r="C1695" t="s">
        <v>3450</v>
      </c>
    </row>
    <row r="1696" spans="1:3" x14ac:dyDescent="0.35">
      <c r="A1696">
        <v>31067</v>
      </c>
      <c r="B1696" t="s">
        <v>3466</v>
      </c>
      <c r="C1696" t="s">
        <v>3450</v>
      </c>
    </row>
    <row r="1697" spans="1:3" x14ac:dyDescent="0.35">
      <c r="A1697">
        <v>31069</v>
      </c>
      <c r="B1697" t="s">
        <v>3467</v>
      </c>
      <c r="C1697" t="s">
        <v>3450</v>
      </c>
    </row>
    <row r="1698" spans="1:3" x14ac:dyDescent="0.35">
      <c r="A1698">
        <v>31071</v>
      </c>
      <c r="B1698" t="s">
        <v>2779</v>
      </c>
      <c r="C1698" t="s">
        <v>3450</v>
      </c>
    </row>
    <row r="1699" spans="1:3" x14ac:dyDescent="0.35">
      <c r="A1699">
        <v>31073</v>
      </c>
      <c r="B1699" t="s">
        <v>3468</v>
      </c>
      <c r="C1699" t="s">
        <v>3450</v>
      </c>
    </row>
    <row r="1700" spans="1:3" x14ac:dyDescent="0.35">
      <c r="A1700">
        <v>31075</v>
      </c>
      <c r="B1700" t="s">
        <v>413</v>
      </c>
      <c r="C1700" t="s">
        <v>3450</v>
      </c>
    </row>
    <row r="1701" spans="1:3" x14ac:dyDescent="0.35">
      <c r="A1701">
        <v>31077</v>
      </c>
      <c r="B1701" t="s">
        <v>3166</v>
      </c>
      <c r="C1701" t="s">
        <v>3450</v>
      </c>
    </row>
    <row r="1702" spans="1:3" x14ac:dyDescent="0.35">
      <c r="A1702">
        <v>31079</v>
      </c>
      <c r="B1702" t="s">
        <v>941</v>
      </c>
      <c r="C1702" t="s">
        <v>3450</v>
      </c>
    </row>
    <row r="1703" spans="1:3" x14ac:dyDescent="0.35">
      <c r="A1703">
        <v>31081</v>
      </c>
      <c r="B1703" t="s">
        <v>613</v>
      </c>
      <c r="C1703" t="s">
        <v>3450</v>
      </c>
    </row>
    <row r="1704" spans="1:3" x14ac:dyDescent="0.35">
      <c r="A1704">
        <v>31083</v>
      </c>
      <c r="B1704" t="s">
        <v>3226</v>
      </c>
      <c r="C1704" t="s">
        <v>3450</v>
      </c>
    </row>
    <row r="1705" spans="1:3" x14ac:dyDescent="0.35">
      <c r="A1705">
        <v>31085</v>
      </c>
      <c r="B1705" t="s">
        <v>3469</v>
      </c>
      <c r="C1705" t="s">
        <v>3450</v>
      </c>
    </row>
    <row r="1706" spans="1:3" x14ac:dyDescent="0.35">
      <c r="A1706">
        <v>31087</v>
      </c>
      <c r="B1706" t="s">
        <v>3470</v>
      </c>
      <c r="C1706" t="s">
        <v>3450</v>
      </c>
    </row>
    <row r="1707" spans="1:3" x14ac:dyDescent="0.35">
      <c r="A1707">
        <v>31089</v>
      </c>
      <c r="B1707" t="s">
        <v>2737</v>
      </c>
      <c r="C1707" t="s">
        <v>3450</v>
      </c>
    </row>
    <row r="1708" spans="1:3" x14ac:dyDescent="0.35">
      <c r="A1708">
        <v>31091</v>
      </c>
      <c r="B1708" t="s">
        <v>3471</v>
      </c>
      <c r="C1708" t="s">
        <v>3450</v>
      </c>
    </row>
    <row r="1709" spans="1:3" x14ac:dyDescent="0.35">
      <c r="A1709">
        <v>31093</v>
      </c>
      <c r="B1709" t="s">
        <v>520</v>
      </c>
      <c r="C1709" t="s">
        <v>3450</v>
      </c>
    </row>
    <row r="1710" spans="1:3" x14ac:dyDescent="0.35">
      <c r="A1710">
        <v>31095</v>
      </c>
      <c r="B1710" t="s">
        <v>247</v>
      </c>
      <c r="C1710" t="s">
        <v>3450</v>
      </c>
    </row>
    <row r="1711" spans="1:3" x14ac:dyDescent="0.35">
      <c r="A1711">
        <v>31097</v>
      </c>
      <c r="B1711" t="s">
        <v>535</v>
      </c>
      <c r="C1711" t="s">
        <v>3450</v>
      </c>
    </row>
    <row r="1712" spans="1:3" x14ac:dyDescent="0.35">
      <c r="A1712">
        <v>31099</v>
      </c>
      <c r="B1712" t="s">
        <v>3472</v>
      </c>
      <c r="C1712" t="s">
        <v>3450</v>
      </c>
    </row>
    <row r="1713" spans="1:3" x14ac:dyDescent="0.35">
      <c r="A1713">
        <v>31101</v>
      </c>
      <c r="B1713" t="s">
        <v>3473</v>
      </c>
      <c r="C1713" t="s">
        <v>3450</v>
      </c>
    </row>
    <row r="1714" spans="1:3" x14ac:dyDescent="0.35">
      <c r="A1714">
        <v>31103</v>
      </c>
      <c r="B1714" t="s">
        <v>3474</v>
      </c>
      <c r="C1714" t="s">
        <v>3450</v>
      </c>
    </row>
    <row r="1715" spans="1:3" x14ac:dyDescent="0.35">
      <c r="A1715">
        <v>31105</v>
      </c>
      <c r="B1715" t="s">
        <v>3475</v>
      </c>
      <c r="C1715" t="s">
        <v>3450</v>
      </c>
    </row>
    <row r="1716" spans="1:3" x14ac:dyDescent="0.35">
      <c r="A1716">
        <v>31107</v>
      </c>
      <c r="B1716" t="s">
        <v>1819</v>
      </c>
      <c r="C1716" t="s">
        <v>3450</v>
      </c>
    </row>
    <row r="1717" spans="1:3" x14ac:dyDescent="0.35">
      <c r="A1717">
        <v>31109</v>
      </c>
      <c r="B1717" t="s">
        <v>1745</v>
      </c>
      <c r="C1717" t="s">
        <v>3450</v>
      </c>
    </row>
    <row r="1718" spans="1:3" x14ac:dyDescent="0.35">
      <c r="A1718">
        <v>31111</v>
      </c>
      <c r="B1718" t="s">
        <v>494</v>
      </c>
      <c r="C1718" t="s">
        <v>3450</v>
      </c>
    </row>
    <row r="1719" spans="1:3" x14ac:dyDescent="0.35">
      <c r="A1719">
        <v>31113</v>
      </c>
      <c r="B1719" t="s">
        <v>537</v>
      </c>
      <c r="C1719" t="s">
        <v>3450</v>
      </c>
    </row>
    <row r="1720" spans="1:3" x14ac:dyDescent="0.35">
      <c r="A1720">
        <v>31115</v>
      </c>
      <c r="B1720" t="s">
        <v>3476</v>
      </c>
      <c r="C1720" t="s">
        <v>3450</v>
      </c>
    </row>
    <row r="1721" spans="1:3" x14ac:dyDescent="0.35">
      <c r="A1721">
        <v>31117</v>
      </c>
      <c r="B1721" t="s">
        <v>3176</v>
      </c>
      <c r="C1721" t="s">
        <v>3450</v>
      </c>
    </row>
    <row r="1722" spans="1:3" x14ac:dyDescent="0.35">
      <c r="A1722">
        <v>31119</v>
      </c>
      <c r="B1722" t="s">
        <v>287</v>
      </c>
      <c r="C1722" t="s">
        <v>3450</v>
      </c>
    </row>
    <row r="1723" spans="1:3" x14ac:dyDescent="0.35">
      <c r="A1723">
        <v>31121</v>
      </c>
      <c r="B1723" t="s">
        <v>3477</v>
      </c>
      <c r="C1723" t="s">
        <v>3450</v>
      </c>
    </row>
    <row r="1724" spans="1:3" x14ac:dyDescent="0.35">
      <c r="A1724">
        <v>31123</v>
      </c>
      <c r="B1724" t="s">
        <v>3478</v>
      </c>
      <c r="C1724" t="s">
        <v>3450</v>
      </c>
    </row>
    <row r="1725" spans="1:3" x14ac:dyDescent="0.35">
      <c r="A1725">
        <v>31125</v>
      </c>
      <c r="B1725" t="s">
        <v>3479</v>
      </c>
      <c r="C1725" t="s">
        <v>3450</v>
      </c>
    </row>
    <row r="1726" spans="1:3" x14ac:dyDescent="0.35">
      <c r="A1726">
        <v>31127</v>
      </c>
      <c r="B1726" t="s">
        <v>3179</v>
      </c>
      <c r="C1726" t="s">
        <v>3450</v>
      </c>
    </row>
    <row r="1727" spans="1:3" x14ac:dyDescent="0.35">
      <c r="A1727">
        <v>31129</v>
      </c>
      <c r="B1727" t="s">
        <v>3480</v>
      </c>
      <c r="C1727" t="s">
        <v>3450</v>
      </c>
    </row>
    <row r="1728" spans="1:3" x14ac:dyDescent="0.35">
      <c r="A1728">
        <v>31131</v>
      </c>
      <c r="B1728" t="s">
        <v>3481</v>
      </c>
      <c r="C1728" t="s">
        <v>3450</v>
      </c>
    </row>
    <row r="1729" spans="1:3" x14ac:dyDescent="0.35">
      <c r="A1729">
        <v>31133</v>
      </c>
      <c r="B1729" t="s">
        <v>3185</v>
      </c>
      <c r="C1729" t="s">
        <v>3450</v>
      </c>
    </row>
    <row r="1730" spans="1:3" x14ac:dyDescent="0.35">
      <c r="A1730">
        <v>31135</v>
      </c>
      <c r="B1730" t="s">
        <v>3482</v>
      </c>
      <c r="C1730" t="s">
        <v>3450</v>
      </c>
    </row>
    <row r="1731" spans="1:3" x14ac:dyDescent="0.35">
      <c r="A1731">
        <v>31137</v>
      </c>
      <c r="B1731" t="s">
        <v>2754</v>
      </c>
      <c r="C1731" t="s">
        <v>3450</v>
      </c>
    </row>
    <row r="1732" spans="1:3" x14ac:dyDescent="0.35">
      <c r="A1732">
        <v>31139</v>
      </c>
      <c r="B1732" t="s">
        <v>890</v>
      </c>
      <c r="C1732" t="s">
        <v>3450</v>
      </c>
    </row>
    <row r="1733" spans="1:3" x14ac:dyDescent="0.35">
      <c r="A1733">
        <v>31141</v>
      </c>
      <c r="B1733" t="s">
        <v>2755</v>
      </c>
      <c r="C1733" t="s">
        <v>3450</v>
      </c>
    </row>
    <row r="1734" spans="1:3" x14ac:dyDescent="0.35">
      <c r="A1734">
        <v>31143</v>
      </c>
      <c r="B1734" t="s">
        <v>530</v>
      </c>
      <c r="C1734" t="s">
        <v>3450</v>
      </c>
    </row>
    <row r="1735" spans="1:3" x14ac:dyDescent="0.35">
      <c r="A1735">
        <v>31145</v>
      </c>
      <c r="B1735" t="s">
        <v>3483</v>
      </c>
      <c r="C1735" t="s">
        <v>3450</v>
      </c>
    </row>
    <row r="1736" spans="1:3" x14ac:dyDescent="0.35">
      <c r="A1736">
        <v>31147</v>
      </c>
      <c r="B1736" t="s">
        <v>3484</v>
      </c>
      <c r="C1736" t="s">
        <v>3450</v>
      </c>
    </row>
    <row r="1737" spans="1:3" x14ac:dyDescent="0.35">
      <c r="A1737">
        <v>31149</v>
      </c>
      <c r="B1737" t="s">
        <v>3397</v>
      </c>
      <c r="C1737" t="s">
        <v>3450</v>
      </c>
    </row>
    <row r="1738" spans="1:3" x14ac:dyDescent="0.35">
      <c r="A1738">
        <v>31151</v>
      </c>
      <c r="B1738" t="s">
        <v>405</v>
      </c>
      <c r="C1738" t="s">
        <v>3450</v>
      </c>
    </row>
    <row r="1739" spans="1:3" x14ac:dyDescent="0.35">
      <c r="A1739">
        <v>31153</v>
      </c>
      <c r="B1739" t="s">
        <v>3485</v>
      </c>
      <c r="C1739" t="s">
        <v>3450</v>
      </c>
    </row>
    <row r="1740" spans="1:3" x14ac:dyDescent="0.35">
      <c r="A1740">
        <v>31155</v>
      </c>
      <c r="B1740" t="s">
        <v>3486</v>
      </c>
      <c r="C1740" t="s">
        <v>3450</v>
      </c>
    </row>
    <row r="1741" spans="1:3" x14ac:dyDescent="0.35">
      <c r="A1741">
        <v>31157</v>
      </c>
      <c r="B1741" t="s">
        <v>3487</v>
      </c>
      <c r="C1741" t="s">
        <v>3450</v>
      </c>
    </row>
    <row r="1742" spans="1:3" x14ac:dyDescent="0.35">
      <c r="A1742">
        <v>31159</v>
      </c>
      <c r="B1742" t="s">
        <v>3194</v>
      </c>
      <c r="C1742" t="s">
        <v>3450</v>
      </c>
    </row>
    <row r="1743" spans="1:3" x14ac:dyDescent="0.35">
      <c r="A1743">
        <v>31161</v>
      </c>
      <c r="B1743" t="s">
        <v>3196</v>
      </c>
      <c r="C1743" t="s">
        <v>3450</v>
      </c>
    </row>
    <row r="1744" spans="1:3" x14ac:dyDescent="0.35">
      <c r="A1744">
        <v>31163</v>
      </c>
      <c r="B1744" t="s">
        <v>2016</v>
      </c>
      <c r="C1744" t="s">
        <v>3450</v>
      </c>
    </row>
    <row r="1745" spans="1:3" x14ac:dyDescent="0.35">
      <c r="A1745">
        <v>31165</v>
      </c>
      <c r="B1745" t="s">
        <v>3146</v>
      </c>
      <c r="C1745" t="s">
        <v>3450</v>
      </c>
    </row>
    <row r="1746" spans="1:3" x14ac:dyDescent="0.35">
      <c r="A1746">
        <v>31167</v>
      </c>
      <c r="B1746" t="s">
        <v>3198</v>
      </c>
      <c r="C1746" t="s">
        <v>3450</v>
      </c>
    </row>
    <row r="1747" spans="1:3" x14ac:dyDescent="0.35">
      <c r="A1747">
        <v>31169</v>
      </c>
      <c r="B1747" t="s">
        <v>3488</v>
      </c>
      <c r="C1747" t="s">
        <v>3450</v>
      </c>
    </row>
    <row r="1748" spans="1:3" x14ac:dyDescent="0.35">
      <c r="A1748">
        <v>31171</v>
      </c>
      <c r="B1748" t="s">
        <v>1054</v>
      </c>
      <c r="C1748" t="s">
        <v>3450</v>
      </c>
    </row>
    <row r="1749" spans="1:3" x14ac:dyDescent="0.35">
      <c r="A1749">
        <v>31173</v>
      </c>
      <c r="B1749" t="s">
        <v>3489</v>
      </c>
      <c r="C1749" t="s">
        <v>3450</v>
      </c>
    </row>
    <row r="1750" spans="1:3" x14ac:dyDescent="0.35">
      <c r="A1750">
        <v>31175</v>
      </c>
      <c r="B1750" t="s">
        <v>3044</v>
      </c>
      <c r="C1750" t="s">
        <v>3450</v>
      </c>
    </row>
    <row r="1751" spans="1:3" x14ac:dyDescent="0.35">
      <c r="A1751">
        <v>31177</v>
      </c>
      <c r="B1751" t="s">
        <v>385</v>
      </c>
      <c r="C1751" t="s">
        <v>3450</v>
      </c>
    </row>
    <row r="1752" spans="1:3" x14ac:dyDescent="0.35">
      <c r="A1752">
        <v>31179</v>
      </c>
      <c r="B1752" t="s">
        <v>894</v>
      </c>
      <c r="C1752" t="s">
        <v>3450</v>
      </c>
    </row>
    <row r="1753" spans="1:3" x14ac:dyDescent="0.35">
      <c r="A1753">
        <v>31181</v>
      </c>
      <c r="B1753" t="s">
        <v>924</v>
      </c>
      <c r="C1753" t="s">
        <v>3450</v>
      </c>
    </row>
    <row r="1754" spans="1:3" x14ac:dyDescent="0.35">
      <c r="A1754">
        <v>31183</v>
      </c>
      <c r="B1754" t="s">
        <v>971</v>
      </c>
      <c r="C1754" t="s">
        <v>3450</v>
      </c>
    </row>
    <row r="1755" spans="1:3" x14ac:dyDescent="0.35">
      <c r="A1755">
        <v>31185</v>
      </c>
      <c r="B1755" t="s">
        <v>1789</v>
      </c>
      <c r="C1755" t="s">
        <v>3450</v>
      </c>
    </row>
    <row r="1756" spans="1:3" x14ac:dyDescent="0.35">
      <c r="A1756">
        <v>32001</v>
      </c>
      <c r="B1756" t="s">
        <v>3490</v>
      </c>
      <c r="C1756" t="s">
        <v>3491</v>
      </c>
    </row>
    <row r="1757" spans="1:3" x14ac:dyDescent="0.35">
      <c r="A1757">
        <v>32003</v>
      </c>
      <c r="B1757" t="s">
        <v>469</v>
      </c>
      <c r="C1757" t="s">
        <v>3491</v>
      </c>
    </row>
    <row r="1758" spans="1:3" x14ac:dyDescent="0.35">
      <c r="A1758">
        <v>32005</v>
      </c>
      <c r="B1758" t="s">
        <v>828</v>
      </c>
      <c r="C1758" t="s">
        <v>3491</v>
      </c>
    </row>
    <row r="1759" spans="1:3" x14ac:dyDescent="0.35">
      <c r="A1759">
        <v>32007</v>
      </c>
      <c r="B1759" t="s">
        <v>3492</v>
      </c>
      <c r="C1759" t="s">
        <v>3491</v>
      </c>
    </row>
    <row r="1760" spans="1:3" x14ac:dyDescent="0.35">
      <c r="A1760">
        <v>32009</v>
      </c>
      <c r="B1760" t="s">
        <v>3493</v>
      </c>
      <c r="C1760" t="s">
        <v>3491</v>
      </c>
    </row>
    <row r="1761" spans="1:3" x14ac:dyDescent="0.35">
      <c r="A1761">
        <v>32011</v>
      </c>
      <c r="B1761" t="s">
        <v>3494</v>
      </c>
      <c r="C1761" t="s">
        <v>3491</v>
      </c>
    </row>
    <row r="1762" spans="1:3" x14ac:dyDescent="0.35">
      <c r="A1762">
        <v>32013</v>
      </c>
      <c r="B1762" t="s">
        <v>2899</v>
      </c>
      <c r="C1762" t="s">
        <v>3491</v>
      </c>
    </row>
    <row r="1763" spans="1:3" x14ac:dyDescent="0.35">
      <c r="A1763">
        <v>32015</v>
      </c>
      <c r="B1763" t="s">
        <v>3495</v>
      </c>
      <c r="C1763" t="s">
        <v>3491</v>
      </c>
    </row>
    <row r="1764" spans="1:3" x14ac:dyDescent="0.35">
      <c r="A1764">
        <v>32017</v>
      </c>
      <c r="B1764" t="s">
        <v>494</v>
      </c>
      <c r="C1764" t="s">
        <v>3491</v>
      </c>
    </row>
    <row r="1765" spans="1:3" x14ac:dyDescent="0.35">
      <c r="A1765">
        <v>32019</v>
      </c>
      <c r="B1765" t="s">
        <v>3134</v>
      </c>
      <c r="C1765" t="s">
        <v>3491</v>
      </c>
    </row>
    <row r="1766" spans="1:3" x14ac:dyDescent="0.35">
      <c r="A1766">
        <v>32021</v>
      </c>
      <c r="B1766" t="s">
        <v>2803</v>
      </c>
      <c r="C1766" t="s">
        <v>3491</v>
      </c>
    </row>
    <row r="1767" spans="1:3" x14ac:dyDescent="0.35">
      <c r="A1767">
        <v>32023</v>
      </c>
      <c r="B1767" t="s">
        <v>3496</v>
      </c>
      <c r="C1767" t="s">
        <v>3491</v>
      </c>
    </row>
    <row r="1768" spans="1:3" x14ac:dyDescent="0.35">
      <c r="A1768">
        <v>32027</v>
      </c>
      <c r="B1768" t="s">
        <v>3497</v>
      </c>
      <c r="C1768" t="s">
        <v>3491</v>
      </c>
    </row>
    <row r="1769" spans="1:3" x14ac:dyDescent="0.35">
      <c r="A1769">
        <v>32029</v>
      </c>
      <c r="B1769" t="s">
        <v>3498</v>
      </c>
      <c r="C1769" t="s">
        <v>3491</v>
      </c>
    </row>
    <row r="1770" spans="1:3" x14ac:dyDescent="0.35">
      <c r="A1770">
        <v>32031</v>
      </c>
      <c r="B1770" t="s">
        <v>3499</v>
      </c>
      <c r="C1770" t="s">
        <v>3491</v>
      </c>
    </row>
    <row r="1771" spans="1:3" x14ac:dyDescent="0.35">
      <c r="A1771">
        <v>32033</v>
      </c>
      <c r="B1771" t="s">
        <v>3500</v>
      </c>
      <c r="C1771" t="s">
        <v>3491</v>
      </c>
    </row>
    <row r="1772" spans="1:3" x14ac:dyDescent="0.35">
      <c r="A1772">
        <v>32510</v>
      </c>
      <c r="B1772" t="s">
        <v>3501</v>
      </c>
      <c r="C1772" t="s">
        <v>3491</v>
      </c>
    </row>
    <row r="1773" spans="1:3" x14ac:dyDescent="0.35">
      <c r="A1773">
        <v>33001</v>
      </c>
      <c r="B1773" t="s">
        <v>3502</v>
      </c>
      <c r="C1773" t="s">
        <v>3503</v>
      </c>
    </row>
    <row r="1774" spans="1:3" x14ac:dyDescent="0.35">
      <c r="A1774">
        <v>33003</v>
      </c>
      <c r="B1774" t="s">
        <v>463</v>
      </c>
      <c r="C1774" t="s">
        <v>3503</v>
      </c>
    </row>
    <row r="1775" spans="1:3" x14ac:dyDescent="0.35">
      <c r="A1775">
        <v>33005</v>
      </c>
      <c r="B1775" t="s">
        <v>3504</v>
      </c>
      <c r="C1775" t="s">
        <v>3503</v>
      </c>
    </row>
    <row r="1776" spans="1:3" x14ac:dyDescent="0.35">
      <c r="A1776">
        <v>33007</v>
      </c>
      <c r="B1776" t="s">
        <v>3505</v>
      </c>
      <c r="C1776" t="s">
        <v>3503</v>
      </c>
    </row>
    <row r="1777" spans="1:3" x14ac:dyDescent="0.35">
      <c r="A1777">
        <v>33009</v>
      </c>
      <c r="B1777" t="s">
        <v>3506</v>
      </c>
      <c r="C1777" t="s">
        <v>3503</v>
      </c>
    </row>
    <row r="1778" spans="1:3" x14ac:dyDescent="0.35">
      <c r="A1778">
        <v>33011</v>
      </c>
      <c r="B1778" t="s">
        <v>633</v>
      </c>
      <c r="C1778" t="s">
        <v>3503</v>
      </c>
    </row>
    <row r="1779" spans="1:3" x14ac:dyDescent="0.35">
      <c r="A1779">
        <v>33013</v>
      </c>
      <c r="B1779" t="s">
        <v>3507</v>
      </c>
      <c r="C1779" t="s">
        <v>3503</v>
      </c>
    </row>
    <row r="1780" spans="1:3" x14ac:dyDescent="0.35">
      <c r="A1780">
        <v>33015</v>
      </c>
      <c r="B1780" t="s">
        <v>1552</v>
      </c>
      <c r="C1780" t="s">
        <v>3503</v>
      </c>
    </row>
    <row r="1781" spans="1:3" x14ac:dyDescent="0.35">
      <c r="A1781">
        <v>33017</v>
      </c>
      <c r="B1781" t="s">
        <v>3508</v>
      </c>
      <c r="C1781" t="s">
        <v>3503</v>
      </c>
    </row>
    <row r="1782" spans="1:3" x14ac:dyDescent="0.35">
      <c r="A1782">
        <v>33019</v>
      </c>
      <c r="B1782" t="s">
        <v>1801</v>
      </c>
      <c r="C1782" t="s">
        <v>3503</v>
      </c>
    </row>
    <row r="1783" spans="1:3" x14ac:dyDescent="0.35">
      <c r="A1783">
        <v>34001</v>
      </c>
      <c r="B1783" t="s">
        <v>3509</v>
      </c>
      <c r="C1783" t="s">
        <v>3510</v>
      </c>
    </row>
    <row r="1784" spans="1:3" x14ac:dyDescent="0.35">
      <c r="A1784">
        <v>34003</v>
      </c>
      <c r="B1784" t="s">
        <v>3511</v>
      </c>
      <c r="C1784" t="s">
        <v>3510</v>
      </c>
    </row>
    <row r="1785" spans="1:3" x14ac:dyDescent="0.35">
      <c r="A1785">
        <v>34005</v>
      </c>
      <c r="B1785" t="s">
        <v>3512</v>
      </c>
      <c r="C1785" t="s">
        <v>3510</v>
      </c>
    </row>
    <row r="1786" spans="1:3" x14ac:dyDescent="0.35">
      <c r="A1786">
        <v>34007</v>
      </c>
      <c r="B1786" t="s">
        <v>882</v>
      </c>
      <c r="C1786" t="s">
        <v>3510</v>
      </c>
    </row>
    <row r="1787" spans="1:3" x14ac:dyDescent="0.35">
      <c r="A1787">
        <v>34009</v>
      </c>
      <c r="B1787" t="s">
        <v>3513</v>
      </c>
      <c r="C1787" t="s">
        <v>3510</v>
      </c>
    </row>
    <row r="1788" spans="1:3" x14ac:dyDescent="0.35">
      <c r="A1788">
        <v>34011</v>
      </c>
      <c r="B1788" t="s">
        <v>1561</v>
      </c>
      <c r="C1788" t="s">
        <v>3510</v>
      </c>
    </row>
    <row r="1789" spans="1:3" x14ac:dyDescent="0.35">
      <c r="A1789">
        <v>34013</v>
      </c>
      <c r="B1789" t="s">
        <v>3514</v>
      </c>
      <c r="C1789" t="s">
        <v>3510</v>
      </c>
    </row>
    <row r="1790" spans="1:3" x14ac:dyDescent="0.35">
      <c r="A1790">
        <v>34015</v>
      </c>
      <c r="B1790" t="s">
        <v>3515</v>
      </c>
      <c r="C1790" t="s">
        <v>3510</v>
      </c>
    </row>
    <row r="1791" spans="1:3" x14ac:dyDescent="0.35">
      <c r="A1791">
        <v>34017</v>
      </c>
      <c r="B1791" t="s">
        <v>3516</v>
      </c>
      <c r="C1791" t="s">
        <v>3510</v>
      </c>
    </row>
    <row r="1792" spans="1:3" x14ac:dyDescent="0.35">
      <c r="A1792">
        <v>34019</v>
      </c>
      <c r="B1792" t="s">
        <v>3517</v>
      </c>
      <c r="C1792" t="s">
        <v>3510</v>
      </c>
    </row>
    <row r="1793" spans="1:3" x14ac:dyDescent="0.35">
      <c r="A1793">
        <v>34021</v>
      </c>
      <c r="B1793" t="s">
        <v>2745</v>
      </c>
      <c r="C1793" t="s">
        <v>3510</v>
      </c>
    </row>
    <row r="1794" spans="1:3" x14ac:dyDescent="0.35">
      <c r="A1794">
        <v>34023</v>
      </c>
      <c r="B1794" t="s">
        <v>3518</v>
      </c>
      <c r="C1794" t="s">
        <v>3510</v>
      </c>
    </row>
    <row r="1795" spans="1:3" x14ac:dyDescent="0.35">
      <c r="A1795">
        <v>34025</v>
      </c>
      <c r="B1795" t="s">
        <v>3519</v>
      </c>
      <c r="C1795" t="s">
        <v>3510</v>
      </c>
    </row>
    <row r="1796" spans="1:3" x14ac:dyDescent="0.35">
      <c r="A1796">
        <v>34027</v>
      </c>
      <c r="B1796" t="s">
        <v>2321</v>
      </c>
      <c r="C1796" t="s">
        <v>3510</v>
      </c>
    </row>
    <row r="1797" spans="1:3" x14ac:dyDescent="0.35">
      <c r="A1797">
        <v>34029</v>
      </c>
      <c r="B1797" t="s">
        <v>3520</v>
      </c>
      <c r="C1797" t="s">
        <v>3510</v>
      </c>
    </row>
    <row r="1798" spans="1:3" x14ac:dyDescent="0.35">
      <c r="A1798">
        <v>34031</v>
      </c>
      <c r="B1798" t="s">
        <v>3521</v>
      </c>
      <c r="C1798" t="s">
        <v>3510</v>
      </c>
    </row>
    <row r="1799" spans="1:3" x14ac:dyDescent="0.35">
      <c r="A1799">
        <v>34033</v>
      </c>
      <c r="B1799" t="s">
        <v>3522</v>
      </c>
      <c r="C1799" t="s">
        <v>3510</v>
      </c>
    </row>
    <row r="1800" spans="1:3" x14ac:dyDescent="0.35">
      <c r="A1800">
        <v>34035</v>
      </c>
      <c r="B1800" t="s">
        <v>3259</v>
      </c>
      <c r="C1800" t="s">
        <v>3510</v>
      </c>
    </row>
    <row r="1801" spans="1:3" x14ac:dyDescent="0.35">
      <c r="A1801">
        <v>34037</v>
      </c>
      <c r="B1801" t="s">
        <v>2998</v>
      </c>
      <c r="C1801" t="s">
        <v>3510</v>
      </c>
    </row>
    <row r="1802" spans="1:3" x14ac:dyDescent="0.35">
      <c r="A1802">
        <v>34039</v>
      </c>
      <c r="B1802" t="s">
        <v>518</v>
      </c>
      <c r="C1802" t="s">
        <v>3510</v>
      </c>
    </row>
    <row r="1803" spans="1:3" x14ac:dyDescent="0.35">
      <c r="A1803">
        <v>34041</v>
      </c>
      <c r="B1803" t="s">
        <v>873</v>
      </c>
      <c r="C1803" t="s">
        <v>3510</v>
      </c>
    </row>
    <row r="1804" spans="1:3" x14ac:dyDescent="0.35">
      <c r="A1804">
        <v>35001</v>
      </c>
      <c r="B1804" t="s">
        <v>3523</v>
      </c>
      <c r="C1804" t="s">
        <v>3524</v>
      </c>
    </row>
    <row r="1805" spans="1:3" x14ac:dyDescent="0.35">
      <c r="A1805">
        <v>35003</v>
      </c>
      <c r="B1805" t="s">
        <v>3525</v>
      </c>
      <c r="C1805" t="s">
        <v>3524</v>
      </c>
    </row>
    <row r="1806" spans="1:3" x14ac:dyDescent="0.35">
      <c r="A1806">
        <v>35005</v>
      </c>
      <c r="B1806" t="s">
        <v>3526</v>
      </c>
      <c r="C1806" t="s">
        <v>3524</v>
      </c>
    </row>
    <row r="1807" spans="1:3" x14ac:dyDescent="0.35">
      <c r="A1807">
        <v>35006</v>
      </c>
      <c r="B1807" t="s">
        <v>3527</v>
      </c>
      <c r="C1807" t="s">
        <v>3524</v>
      </c>
    </row>
    <row r="1808" spans="1:3" x14ac:dyDescent="0.35">
      <c r="A1808">
        <v>35007</v>
      </c>
      <c r="B1808" t="s">
        <v>3458</v>
      </c>
      <c r="C1808" t="s">
        <v>3524</v>
      </c>
    </row>
    <row r="1809" spans="1:3" x14ac:dyDescent="0.35">
      <c r="A1809">
        <v>35009</v>
      </c>
      <c r="B1809" t="s">
        <v>3528</v>
      </c>
      <c r="C1809" t="s">
        <v>3524</v>
      </c>
    </row>
    <row r="1810" spans="1:3" x14ac:dyDescent="0.35">
      <c r="A1810">
        <v>35011</v>
      </c>
      <c r="B1810" t="s">
        <v>3529</v>
      </c>
      <c r="C1810" t="s">
        <v>3524</v>
      </c>
    </row>
    <row r="1811" spans="1:3" x14ac:dyDescent="0.35">
      <c r="A1811">
        <v>35013</v>
      </c>
      <c r="B1811" t="s">
        <v>3530</v>
      </c>
      <c r="C1811" t="s">
        <v>3524</v>
      </c>
    </row>
    <row r="1812" spans="1:3" x14ac:dyDescent="0.35">
      <c r="A1812">
        <v>35015</v>
      </c>
      <c r="B1812" t="s">
        <v>3531</v>
      </c>
      <c r="C1812" t="s">
        <v>3524</v>
      </c>
    </row>
    <row r="1813" spans="1:3" x14ac:dyDescent="0.35">
      <c r="A1813">
        <v>35017</v>
      </c>
      <c r="B1813" t="s">
        <v>413</v>
      </c>
      <c r="C1813" t="s">
        <v>3524</v>
      </c>
    </row>
    <row r="1814" spans="1:3" x14ac:dyDescent="0.35">
      <c r="A1814">
        <v>35019</v>
      </c>
      <c r="B1814" t="s">
        <v>2277</v>
      </c>
      <c r="C1814" t="s">
        <v>3524</v>
      </c>
    </row>
    <row r="1815" spans="1:3" x14ac:dyDescent="0.35">
      <c r="A1815">
        <v>35021</v>
      </c>
      <c r="B1815" t="s">
        <v>3532</v>
      </c>
      <c r="C1815" t="s">
        <v>3524</v>
      </c>
    </row>
    <row r="1816" spans="1:3" x14ac:dyDescent="0.35">
      <c r="A1816">
        <v>35023</v>
      </c>
      <c r="B1816" t="s">
        <v>2194</v>
      </c>
      <c r="C1816" t="s">
        <v>3524</v>
      </c>
    </row>
    <row r="1817" spans="1:3" x14ac:dyDescent="0.35">
      <c r="A1817">
        <v>35025</v>
      </c>
      <c r="B1817" t="s">
        <v>3533</v>
      </c>
      <c r="C1817" t="s">
        <v>3524</v>
      </c>
    </row>
    <row r="1818" spans="1:3" x14ac:dyDescent="0.35">
      <c r="A1818">
        <v>35027</v>
      </c>
      <c r="B1818" t="s">
        <v>494</v>
      </c>
      <c r="C1818" t="s">
        <v>3524</v>
      </c>
    </row>
    <row r="1819" spans="1:3" x14ac:dyDescent="0.35">
      <c r="A1819">
        <v>35028</v>
      </c>
      <c r="B1819" t="s">
        <v>3534</v>
      </c>
      <c r="C1819" t="s">
        <v>3524</v>
      </c>
    </row>
    <row r="1820" spans="1:3" x14ac:dyDescent="0.35">
      <c r="A1820">
        <v>35029</v>
      </c>
      <c r="B1820" t="s">
        <v>3535</v>
      </c>
      <c r="C1820" t="s">
        <v>3524</v>
      </c>
    </row>
    <row r="1821" spans="1:3" x14ac:dyDescent="0.35">
      <c r="A1821">
        <v>35031</v>
      </c>
      <c r="B1821" t="s">
        <v>3536</v>
      </c>
      <c r="C1821" t="s">
        <v>3524</v>
      </c>
    </row>
    <row r="1822" spans="1:3" x14ac:dyDescent="0.35">
      <c r="A1822">
        <v>35033</v>
      </c>
      <c r="B1822" t="s">
        <v>3537</v>
      </c>
      <c r="C1822" t="s">
        <v>3524</v>
      </c>
    </row>
    <row r="1823" spans="1:3" x14ac:dyDescent="0.35">
      <c r="A1823">
        <v>35035</v>
      </c>
      <c r="B1823" t="s">
        <v>2973</v>
      </c>
      <c r="C1823" t="s">
        <v>3524</v>
      </c>
    </row>
    <row r="1824" spans="1:3" x14ac:dyDescent="0.35">
      <c r="A1824">
        <v>35037</v>
      </c>
      <c r="B1824" t="s">
        <v>3538</v>
      </c>
      <c r="C1824" t="s">
        <v>3524</v>
      </c>
    </row>
    <row r="1825" spans="1:3" x14ac:dyDescent="0.35">
      <c r="A1825">
        <v>35039</v>
      </c>
      <c r="B1825" t="s">
        <v>3539</v>
      </c>
      <c r="C1825" t="s">
        <v>3524</v>
      </c>
    </row>
    <row r="1826" spans="1:3" x14ac:dyDescent="0.35">
      <c r="A1826">
        <v>35041</v>
      </c>
      <c r="B1826" t="s">
        <v>3439</v>
      </c>
      <c r="C1826" t="s">
        <v>3524</v>
      </c>
    </row>
    <row r="1827" spans="1:3" x14ac:dyDescent="0.35">
      <c r="A1827">
        <v>35043</v>
      </c>
      <c r="B1827" t="s">
        <v>3540</v>
      </c>
      <c r="C1827" t="s">
        <v>3524</v>
      </c>
    </row>
    <row r="1828" spans="1:3" x14ac:dyDescent="0.35">
      <c r="A1828">
        <v>35045</v>
      </c>
      <c r="B1828" t="s">
        <v>2787</v>
      </c>
      <c r="C1828" t="s">
        <v>3524</v>
      </c>
    </row>
    <row r="1829" spans="1:3" x14ac:dyDescent="0.35">
      <c r="A1829">
        <v>35047</v>
      </c>
      <c r="B1829" t="s">
        <v>2983</v>
      </c>
      <c r="C1829" t="s">
        <v>3524</v>
      </c>
    </row>
    <row r="1830" spans="1:3" x14ac:dyDescent="0.35">
      <c r="A1830">
        <v>35049</v>
      </c>
      <c r="B1830" t="s">
        <v>3541</v>
      </c>
      <c r="C1830" t="s">
        <v>3524</v>
      </c>
    </row>
    <row r="1831" spans="1:3" x14ac:dyDescent="0.35">
      <c r="A1831">
        <v>35051</v>
      </c>
      <c r="B1831" t="s">
        <v>2929</v>
      </c>
      <c r="C1831" t="s">
        <v>3524</v>
      </c>
    </row>
    <row r="1832" spans="1:3" x14ac:dyDescent="0.35">
      <c r="A1832">
        <v>35053</v>
      </c>
      <c r="B1832" t="s">
        <v>3542</v>
      </c>
      <c r="C1832" t="s">
        <v>3524</v>
      </c>
    </row>
    <row r="1833" spans="1:3" x14ac:dyDescent="0.35">
      <c r="A1833">
        <v>35055</v>
      </c>
      <c r="B1833" t="s">
        <v>3543</v>
      </c>
      <c r="C1833" t="s">
        <v>3524</v>
      </c>
    </row>
    <row r="1834" spans="1:3" x14ac:dyDescent="0.35">
      <c r="A1834">
        <v>35057</v>
      </c>
      <c r="B1834" t="s">
        <v>3544</v>
      </c>
      <c r="C1834" t="s">
        <v>3524</v>
      </c>
    </row>
    <row r="1835" spans="1:3" x14ac:dyDescent="0.35">
      <c r="A1835">
        <v>35059</v>
      </c>
      <c r="B1835" t="s">
        <v>518</v>
      </c>
      <c r="C1835" t="s">
        <v>3524</v>
      </c>
    </row>
    <row r="1836" spans="1:3" x14ac:dyDescent="0.35">
      <c r="A1836">
        <v>35061</v>
      </c>
      <c r="B1836" t="s">
        <v>3545</v>
      </c>
      <c r="C1836" t="s">
        <v>3524</v>
      </c>
    </row>
    <row r="1837" spans="1:3" x14ac:dyDescent="0.35">
      <c r="A1837">
        <v>36001</v>
      </c>
      <c r="B1837" t="s">
        <v>3546</v>
      </c>
      <c r="C1837" t="s">
        <v>3547</v>
      </c>
    </row>
    <row r="1838" spans="1:3" x14ac:dyDescent="0.35">
      <c r="A1838">
        <v>36003</v>
      </c>
      <c r="B1838" t="s">
        <v>3261</v>
      </c>
      <c r="C1838" t="s">
        <v>3547</v>
      </c>
    </row>
    <row r="1839" spans="1:3" x14ac:dyDescent="0.35">
      <c r="A1839">
        <v>36005</v>
      </c>
      <c r="B1839" t="s">
        <v>3548</v>
      </c>
      <c r="C1839" t="s">
        <v>3547</v>
      </c>
    </row>
    <row r="1840" spans="1:3" x14ac:dyDescent="0.35">
      <c r="A1840">
        <v>36007</v>
      </c>
      <c r="B1840" t="s">
        <v>3549</v>
      </c>
      <c r="C1840" t="s">
        <v>3547</v>
      </c>
    </row>
    <row r="1841" spans="1:3" x14ac:dyDescent="0.35">
      <c r="A1841">
        <v>36009</v>
      </c>
      <c r="B1841" t="s">
        <v>3550</v>
      </c>
      <c r="C1841" t="s">
        <v>3547</v>
      </c>
    </row>
    <row r="1842" spans="1:3" x14ac:dyDescent="0.35">
      <c r="A1842">
        <v>36011</v>
      </c>
      <c r="B1842" t="s">
        <v>3551</v>
      </c>
      <c r="C1842" t="s">
        <v>3547</v>
      </c>
    </row>
    <row r="1843" spans="1:3" x14ac:dyDescent="0.35">
      <c r="A1843">
        <v>36013</v>
      </c>
      <c r="B1843" t="s">
        <v>3156</v>
      </c>
      <c r="C1843" t="s">
        <v>3547</v>
      </c>
    </row>
    <row r="1844" spans="1:3" x14ac:dyDescent="0.35">
      <c r="A1844">
        <v>36015</v>
      </c>
      <c r="B1844" t="s">
        <v>3552</v>
      </c>
      <c r="C1844" t="s">
        <v>3547</v>
      </c>
    </row>
    <row r="1845" spans="1:3" x14ac:dyDescent="0.35">
      <c r="A1845">
        <v>36017</v>
      </c>
      <c r="B1845" t="s">
        <v>3553</v>
      </c>
      <c r="C1845" t="s">
        <v>3547</v>
      </c>
    </row>
    <row r="1846" spans="1:3" x14ac:dyDescent="0.35">
      <c r="A1846">
        <v>36019</v>
      </c>
      <c r="B1846" t="s">
        <v>2727</v>
      </c>
      <c r="C1846" t="s">
        <v>3547</v>
      </c>
    </row>
    <row r="1847" spans="1:3" x14ac:dyDescent="0.35">
      <c r="A1847">
        <v>36021</v>
      </c>
      <c r="B1847" t="s">
        <v>508</v>
      </c>
      <c r="C1847" t="s">
        <v>3547</v>
      </c>
    </row>
    <row r="1848" spans="1:3" x14ac:dyDescent="0.35">
      <c r="A1848">
        <v>36023</v>
      </c>
      <c r="B1848" t="s">
        <v>3554</v>
      </c>
      <c r="C1848" t="s">
        <v>3547</v>
      </c>
    </row>
    <row r="1849" spans="1:3" x14ac:dyDescent="0.35">
      <c r="A1849">
        <v>36025</v>
      </c>
      <c r="B1849" t="s">
        <v>3085</v>
      </c>
      <c r="C1849" t="s">
        <v>3547</v>
      </c>
    </row>
    <row r="1850" spans="1:3" x14ac:dyDescent="0.35">
      <c r="A1850">
        <v>36027</v>
      </c>
      <c r="B1850" t="s">
        <v>3555</v>
      </c>
      <c r="C1850" t="s">
        <v>3547</v>
      </c>
    </row>
    <row r="1851" spans="1:3" x14ac:dyDescent="0.35">
      <c r="A1851">
        <v>36029</v>
      </c>
      <c r="B1851" t="s">
        <v>3556</v>
      </c>
      <c r="C1851" t="s">
        <v>3547</v>
      </c>
    </row>
    <row r="1852" spans="1:3" x14ac:dyDescent="0.35">
      <c r="A1852">
        <v>36031</v>
      </c>
      <c r="B1852" t="s">
        <v>3514</v>
      </c>
      <c r="C1852" t="s">
        <v>3547</v>
      </c>
    </row>
    <row r="1853" spans="1:3" x14ac:dyDescent="0.35">
      <c r="A1853">
        <v>36033</v>
      </c>
      <c r="B1853" t="s">
        <v>355</v>
      </c>
      <c r="C1853" t="s">
        <v>3547</v>
      </c>
    </row>
    <row r="1854" spans="1:3" x14ac:dyDescent="0.35">
      <c r="A1854">
        <v>36035</v>
      </c>
      <c r="B1854" t="s">
        <v>422</v>
      </c>
      <c r="C1854" t="s">
        <v>3547</v>
      </c>
    </row>
    <row r="1855" spans="1:3" x14ac:dyDescent="0.35">
      <c r="A1855">
        <v>36037</v>
      </c>
      <c r="B1855" t="s">
        <v>3306</v>
      </c>
      <c r="C1855" t="s">
        <v>3547</v>
      </c>
    </row>
    <row r="1856" spans="1:3" x14ac:dyDescent="0.35">
      <c r="A1856">
        <v>36039</v>
      </c>
      <c r="B1856" t="s">
        <v>305</v>
      </c>
      <c r="C1856" t="s">
        <v>3547</v>
      </c>
    </row>
    <row r="1857" spans="1:3" x14ac:dyDescent="0.35">
      <c r="A1857">
        <v>36041</v>
      </c>
      <c r="B1857" t="s">
        <v>613</v>
      </c>
      <c r="C1857" t="s">
        <v>3547</v>
      </c>
    </row>
    <row r="1858" spans="1:3" x14ac:dyDescent="0.35">
      <c r="A1858">
        <v>36043</v>
      </c>
      <c r="B1858" t="s">
        <v>3557</v>
      </c>
      <c r="C1858" t="s">
        <v>3547</v>
      </c>
    </row>
    <row r="1859" spans="1:3" x14ac:dyDescent="0.35">
      <c r="A1859">
        <v>36045</v>
      </c>
      <c r="B1859" t="s">
        <v>247</v>
      </c>
      <c r="C1859" t="s">
        <v>3547</v>
      </c>
    </row>
    <row r="1860" spans="1:3" x14ac:dyDescent="0.35">
      <c r="A1860">
        <v>36047</v>
      </c>
      <c r="B1860" t="s">
        <v>2903</v>
      </c>
      <c r="C1860" t="s">
        <v>3547</v>
      </c>
    </row>
    <row r="1861" spans="1:3" x14ac:dyDescent="0.35">
      <c r="A1861">
        <v>36049</v>
      </c>
      <c r="B1861" t="s">
        <v>1927</v>
      </c>
      <c r="C1861" t="s">
        <v>3547</v>
      </c>
    </row>
    <row r="1862" spans="1:3" x14ac:dyDescent="0.35">
      <c r="A1862">
        <v>36051</v>
      </c>
      <c r="B1862" t="s">
        <v>2742</v>
      </c>
      <c r="C1862" t="s">
        <v>3547</v>
      </c>
    </row>
    <row r="1863" spans="1:3" x14ac:dyDescent="0.35">
      <c r="A1863">
        <v>36053</v>
      </c>
      <c r="B1863" t="s">
        <v>287</v>
      </c>
      <c r="C1863" t="s">
        <v>3547</v>
      </c>
    </row>
    <row r="1864" spans="1:3" x14ac:dyDescent="0.35">
      <c r="A1864">
        <v>36055</v>
      </c>
      <c r="B1864" t="s">
        <v>369</v>
      </c>
      <c r="C1864" t="s">
        <v>3547</v>
      </c>
    </row>
    <row r="1865" spans="1:3" x14ac:dyDescent="0.35">
      <c r="A1865">
        <v>36057</v>
      </c>
      <c r="B1865" t="s">
        <v>301</v>
      </c>
      <c r="C1865" t="s">
        <v>3547</v>
      </c>
    </row>
    <row r="1866" spans="1:3" x14ac:dyDescent="0.35">
      <c r="A1866">
        <v>36059</v>
      </c>
      <c r="B1866" t="s">
        <v>694</v>
      </c>
      <c r="C1866" t="s">
        <v>3547</v>
      </c>
    </row>
    <row r="1867" spans="1:3" x14ac:dyDescent="0.35">
      <c r="A1867">
        <v>36061</v>
      </c>
      <c r="B1867" t="s">
        <v>3558</v>
      </c>
      <c r="C1867" t="s">
        <v>3547</v>
      </c>
    </row>
    <row r="1868" spans="1:3" x14ac:dyDescent="0.35">
      <c r="A1868">
        <v>36063</v>
      </c>
      <c r="B1868" t="s">
        <v>3559</v>
      </c>
      <c r="C1868" t="s">
        <v>3547</v>
      </c>
    </row>
    <row r="1869" spans="1:3" x14ac:dyDescent="0.35">
      <c r="A1869">
        <v>36065</v>
      </c>
      <c r="B1869" t="s">
        <v>3037</v>
      </c>
      <c r="C1869" t="s">
        <v>3547</v>
      </c>
    </row>
    <row r="1870" spans="1:3" x14ac:dyDescent="0.35">
      <c r="A1870">
        <v>36067</v>
      </c>
      <c r="B1870" t="s">
        <v>3560</v>
      </c>
      <c r="C1870" t="s">
        <v>3547</v>
      </c>
    </row>
    <row r="1871" spans="1:3" x14ac:dyDescent="0.35">
      <c r="A1871">
        <v>36069</v>
      </c>
      <c r="B1871" t="s">
        <v>3561</v>
      </c>
      <c r="C1871" t="s">
        <v>3547</v>
      </c>
    </row>
    <row r="1872" spans="1:3" x14ac:dyDescent="0.35">
      <c r="A1872">
        <v>36071</v>
      </c>
      <c r="B1872" t="s">
        <v>706</v>
      </c>
      <c r="C1872" t="s">
        <v>3547</v>
      </c>
    </row>
    <row r="1873" spans="1:3" x14ac:dyDescent="0.35">
      <c r="A1873">
        <v>36073</v>
      </c>
      <c r="B1873" t="s">
        <v>3562</v>
      </c>
      <c r="C1873" t="s">
        <v>3547</v>
      </c>
    </row>
    <row r="1874" spans="1:3" x14ac:dyDescent="0.35">
      <c r="A1874">
        <v>36075</v>
      </c>
      <c r="B1874" t="s">
        <v>3563</v>
      </c>
      <c r="C1874" t="s">
        <v>3547</v>
      </c>
    </row>
    <row r="1875" spans="1:3" x14ac:dyDescent="0.35">
      <c r="A1875">
        <v>36077</v>
      </c>
      <c r="B1875" t="s">
        <v>3341</v>
      </c>
      <c r="C1875" t="s">
        <v>3547</v>
      </c>
    </row>
    <row r="1876" spans="1:3" x14ac:dyDescent="0.35">
      <c r="A1876">
        <v>36079</v>
      </c>
      <c r="B1876" t="s">
        <v>729</v>
      </c>
      <c r="C1876" t="s">
        <v>3547</v>
      </c>
    </row>
    <row r="1877" spans="1:3" x14ac:dyDescent="0.35">
      <c r="A1877">
        <v>36081</v>
      </c>
      <c r="B1877" t="s">
        <v>3564</v>
      </c>
      <c r="C1877" t="s">
        <v>3547</v>
      </c>
    </row>
    <row r="1878" spans="1:3" x14ac:dyDescent="0.35">
      <c r="A1878">
        <v>36083</v>
      </c>
      <c r="B1878" t="s">
        <v>3565</v>
      </c>
      <c r="C1878" t="s">
        <v>3547</v>
      </c>
    </row>
    <row r="1879" spans="1:3" x14ac:dyDescent="0.35">
      <c r="A1879">
        <v>36085</v>
      </c>
      <c r="B1879" t="s">
        <v>869</v>
      </c>
      <c r="C1879" t="s">
        <v>3547</v>
      </c>
    </row>
    <row r="1880" spans="1:3" x14ac:dyDescent="0.35">
      <c r="A1880">
        <v>36087</v>
      </c>
      <c r="B1880" t="s">
        <v>3566</v>
      </c>
      <c r="C1880" t="s">
        <v>3547</v>
      </c>
    </row>
    <row r="1881" spans="1:3" x14ac:dyDescent="0.35">
      <c r="A1881">
        <v>36089</v>
      </c>
      <c r="B1881" t="s">
        <v>3567</v>
      </c>
      <c r="C1881" t="s">
        <v>3547</v>
      </c>
    </row>
    <row r="1882" spans="1:3" x14ac:dyDescent="0.35">
      <c r="A1882">
        <v>36091</v>
      </c>
      <c r="B1882" t="s">
        <v>3568</v>
      </c>
      <c r="C1882" t="s">
        <v>3547</v>
      </c>
    </row>
    <row r="1883" spans="1:3" x14ac:dyDescent="0.35">
      <c r="A1883">
        <v>36093</v>
      </c>
      <c r="B1883" t="s">
        <v>3569</v>
      </c>
      <c r="C1883" t="s">
        <v>3547</v>
      </c>
    </row>
    <row r="1884" spans="1:3" x14ac:dyDescent="0.35">
      <c r="A1884">
        <v>36095</v>
      </c>
      <c r="B1884" t="s">
        <v>3570</v>
      </c>
      <c r="C1884" t="s">
        <v>3547</v>
      </c>
    </row>
    <row r="1885" spans="1:3" x14ac:dyDescent="0.35">
      <c r="A1885">
        <v>36097</v>
      </c>
      <c r="B1885" t="s">
        <v>2764</v>
      </c>
      <c r="C1885" t="s">
        <v>3547</v>
      </c>
    </row>
    <row r="1886" spans="1:3" x14ac:dyDescent="0.35">
      <c r="A1886">
        <v>36099</v>
      </c>
      <c r="B1886" t="s">
        <v>3571</v>
      </c>
      <c r="C1886" t="s">
        <v>3547</v>
      </c>
    </row>
    <row r="1887" spans="1:3" x14ac:dyDescent="0.35">
      <c r="A1887">
        <v>36101</v>
      </c>
      <c r="B1887" t="s">
        <v>3106</v>
      </c>
      <c r="C1887" t="s">
        <v>3547</v>
      </c>
    </row>
    <row r="1888" spans="1:3" x14ac:dyDescent="0.35">
      <c r="A1888">
        <v>36103</v>
      </c>
      <c r="B1888" t="s">
        <v>3572</v>
      </c>
      <c r="C1888" t="s">
        <v>3547</v>
      </c>
    </row>
    <row r="1889" spans="1:3" x14ac:dyDescent="0.35">
      <c r="A1889">
        <v>36105</v>
      </c>
      <c r="B1889" t="s">
        <v>1801</v>
      </c>
      <c r="C1889" t="s">
        <v>3547</v>
      </c>
    </row>
    <row r="1890" spans="1:3" x14ac:dyDescent="0.35">
      <c r="A1890">
        <v>36107</v>
      </c>
      <c r="B1890" t="s">
        <v>3573</v>
      </c>
      <c r="C1890" t="s">
        <v>3547</v>
      </c>
    </row>
    <row r="1891" spans="1:3" x14ac:dyDescent="0.35">
      <c r="A1891">
        <v>36109</v>
      </c>
      <c r="B1891" t="s">
        <v>3574</v>
      </c>
      <c r="C1891" t="s">
        <v>3547</v>
      </c>
    </row>
    <row r="1892" spans="1:3" x14ac:dyDescent="0.35">
      <c r="A1892">
        <v>36111</v>
      </c>
      <c r="B1892" t="s">
        <v>3575</v>
      </c>
      <c r="C1892" t="s">
        <v>3547</v>
      </c>
    </row>
    <row r="1893" spans="1:3" x14ac:dyDescent="0.35">
      <c r="A1893">
        <v>36113</v>
      </c>
      <c r="B1893" t="s">
        <v>873</v>
      </c>
      <c r="C1893" t="s">
        <v>3547</v>
      </c>
    </row>
    <row r="1894" spans="1:3" x14ac:dyDescent="0.35">
      <c r="A1894">
        <v>36115</v>
      </c>
      <c r="B1894" t="s">
        <v>385</v>
      </c>
      <c r="C1894" t="s">
        <v>3547</v>
      </c>
    </row>
    <row r="1895" spans="1:3" x14ac:dyDescent="0.35">
      <c r="A1895">
        <v>36117</v>
      </c>
      <c r="B1895" t="s">
        <v>894</v>
      </c>
      <c r="C1895" t="s">
        <v>3547</v>
      </c>
    </row>
    <row r="1896" spans="1:3" x14ac:dyDescent="0.35">
      <c r="A1896">
        <v>36119</v>
      </c>
      <c r="B1896" t="s">
        <v>3576</v>
      </c>
      <c r="C1896" t="s">
        <v>3547</v>
      </c>
    </row>
    <row r="1897" spans="1:3" x14ac:dyDescent="0.35">
      <c r="A1897">
        <v>36121</v>
      </c>
      <c r="B1897" t="s">
        <v>2818</v>
      </c>
      <c r="C1897" t="s">
        <v>3547</v>
      </c>
    </row>
    <row r="1898" spans="1:3" x14ac:dyDescent="0.35">
      <c r="A1898">
        <v>36123</v>
      </c>
      <c r="B1898" t="s">
        <v>3577</v>
      </c>
      <c r="C1898" t="s">
        <v>3547</v>
      </c>
    </row>
    <row r="1899" spans="1:3" x14ac:dyDescent="0.35">
      <c r="A1899">
        <v>37001</v>
      </c>
      <c r="B1899" t="s">
        <v>1581</v>
      </c>
      <c r="C1899" t="s">
        <v>3578</v>
      </c>
    </row>
    <row r="1900" spans="1:3" x14ac:dyDescent="0.35">
      <c r="A1900">
        <v>37003</v>
      </c>
      <c r="B1900" t="s">
        <v>1502</v>
      </c>
      <c r="C1900" t="s">
        <v>3578</v>
      </c>
    </row>
    <row r="1901" spans="1:3" x14ac:dyDescent="0.35">
      <c r="A1901">
        <v>37005</v>
      </c>
      <c r="B1901" t="s">
        <v>1512</v>
      </c>
      <c r="C1901" t="s">
        <v>3578</v>
      </c>
    </row>
    <row r="1902" spans="1:3" x14ac:dyDescent="0.35">
      <c r="A1902">
        <v>37007</v>
      </c>
      <c r="B1902" t="s">
        <v>1520</v>
      </c>
      <c r="C1902" t="s">
        <v>3578</v>
      </c>
    </row>
    <row r="1903" spans="1:3" x14ac:dyDescent="0.35">
      <c r="A1903">
        <v>37009</v>
      </c>
      <c r="B1903" t="s">
        <v>1514</v>
      </c>
      <c r="C1903" t="s">
        <v>3578</v>
      </c>
    </row>
    <row r="1904" spans="1:3" x14ac:dyDescent="0.35">
      <c r="A1904">
        <v>37011</v>
      </c>
      <c r="B1904" t="s">
        <v>1474</v>
      </c>
      <c r="C1904" t="s">
        <v>3578</v>
      </c>
    </row>
    <row r="1905" spans="1:3" x14ac:dyDescent="0.35">
      <c r="A1905">
        <v>37013</v>
      </c>
      <c r="B1905" t="s">
        <v>1644</v>
      </c>
      <c r="C1905" t="s">
        <v>3578</v>
      </c>
    </row>
    <row r="1906" spans="1:3" x14ac:dyDescent="0.35">
      <c r="A1906">
        <v>37015</v>
      </c>
      <c r="B1906" t="s">
        <v>1593</v>
      </c>
      <c r="C1906" t="s">
        <v>3578</v>
      </c>
    </row>
    <row r="1907" spans="1:3" x14ac:dyDescent="0.35">
      <c r="A1907">
        <v>37017</v>
      </c>
      <c r="B1907" t="s">
        <v>1559</v>
      </c>
      <c r="C1907" t="s">
        <v>3578</v>
      </c>
    </row>
    <row r="1908" spans="1:3" x14ac:dyDescent="0.35">
      <c r="A1908">
        <v>37019</v>
      </c>
      <c r="B1908" t="s">
        <v>1631</v>
      </c>
      <c r="C1908" t="s">
        <v>3578</v>
      </c>
    </row>
    <row r="1909" spans="1:3" x14ac:dyDescent="0.35">
      <c r="A1909">
        <v>37021</v>
      </c>
      <c r="B1909" t="s">
        <v>1476</v>
      </c>
      <c r="C1909" t="s">
        <v>3578</v>
      </c>
    </row>
    <row r="1910" spans="1:3" x14ac:dyDescent="0.35">
      <c r="A1910">
        <v>37023</v>
      </c>
      <c r="B1910" t="s">
        <v>856</v>
      </c>
      <c r="C1910" t="s">
        <v>3578</v>
      </c>
    </row>
    <row r="1911" spans="1:3" x14ac:dyDescent="0.35">
      <c r="A1911">
        <v>37025</v>
      </c>
      <c r="B1911" t="s">
        <v>1522</v>
      </c>
      <c r="C1911" t="s">
        <v>3578</v>
      </c>
    </row>
    <row r="1912" spans="1:3" x14ac:dyDescent="0.35">
      <c r="A1912">
        <v>37027</v>
      </c>
      <c r="B1912" t="s">
        <v>1505</v>
      </c>
      <c r="C1912" t="s">
        <v>3578</v>
      </c>
    </row>
    <row r="1913" spans="1:3" x14ac:dyDescent="0.35">
      <c r="A1913">
        <v>37029</v>
      </c>
      <c r="B1913" t="s">
        <v>882</v>
      </c>
      <c r="C1913" t="s">
        <v>3578</v>
      </c>
    </row>
    <row r="1914" spans="1:3" x14ac:dyDescent="0.35">
      <c r="A1914">
        <v>37031</v>
      </c>
      <c r="B1914" t="s">
        <v>1646</v>
      </c>
      <c r="C1914" t="s">
        <v>3578</v>
      </c>
    </row>
    <row r="1915" spans="1:3" x14ac:dyDescent="0.35">
      <c r="A1915">
        <v>37033</v>
      </c>
      <c r="B1915" t="s">
        <v>1583</v>
      </c>
      <c r="C1915" t="s">
        <v>3578</v>
      </c>
    </row>
    <row r="1916" spans="1:3" x14ac:dyDescent="0.35">
      <c r="A1916">
        <v>37035</v>
      </c>
      <c r="B1916" t="s">
        <v>1507</v>
      </c>
      <c r="C1916" t="s">
        <v>3578</v>
      </c>
    </row>
    <row r="1917" spans="1:3" x14ac:dyDescent="0.35">
      <c r="A1917">
        <v>37037</v>
      </c>
      <c r="B1917" t="s">
        <v>1013</v>
      </c>
      <c r="C1917" t="s">
        <v>3578</v>
      </c>
    </row>
    <row r="1918" spans="1:3" x14ac:dyDescent="0.35">
      <c r="A1918">
        <v>37039</v>
      </c>
      <c r="B1918" t="s">
        <v>323</v>
      </c>
      <c r="C1918" t="s">
        <v>3578</v>
      </c>
    </row>
    <row r="1919" spans="1:3" x14ac:dyDescent="0.35">
      <c r="A1919">
        <v>37041</v>
      </c>
      <c r="B1919" t="s">
        <v>1596</v>
      </c>
      <c r="C1919" t="s">
        <v>3578</v>
      </c>
    </row>
    <row r="1920" spans="1:3" x14ac:dyDescent="0.35">
      <c r="A1920">
        <v>37043</v>
      </c>
      <c r="B1920" t="s">
        <v>329</v>
      </c>
      <c r="C1920" t="s">
        <v>3578</v>
      </c>
    </row>
    <row r="1921" spans="1:3" x14ac:dyDescent="0.35">
      <c r="A1921">
        <v>37045</v>
      </c>
      <c r="B1921" t="s">
        <v>481</v>
      </c>
      <c r="C1921" t="s">
        <v>3578</v>
      </c>
    </row>
    <row r="1922" spans="1:3" x14ac:dyDescent="0.35">
      <c r="A1922">
        <v>37047</v>
      </c>
      <c r="B1922" t="s">
        <v>1633</v>
      </c>
      <c r="C1922" t="s">
        <v>3578</v>
      </c>
    </row>
    <row r="1923" spans="1:3" x14ac:dyDescent="0.35">
      <c r="A1923">
        <v>37049</v>
      </c>
      <c r="B1923" t="s">
        <v>1648</v>
      </c>
      <c r="C1923" t="s">
        <v>3578</v>
      </c>
    </row>
    <row r="1924" spans="1:3" x14ac:dyDescent="0.35">
      <c r="A1924">
        <v>37051</v>
      </c>
      <c r="B1924" t="s">
        <v>1561</v>
      </c>
      <c r="C1924" t="s">
        <v>3578</v>
      </c>
    </row>
    <row r="1925" spans="1:3" x14ac:dyDescent="0.35">
      <c r="A1925">
        <v>37053</v>
      </c>
      <c r="B1925" t="s">
        <v>1598</v>
      </c>
      <c r="C1925" t="s">
        <v>3578</v>
      </c>
    </row>
    <row r="1926" spans="1:3" x14ac:dyDescent="0.35">
      <c r="A1926">
        <v>37055</v>
      </c>
      <c r="B1926" t="s">
        <v>1650</v>
      </c>
      <c r="C1926" t="s">
        <v>3578</v>
      </c>
    </row>
    <row r="1927" spans="1:3" x14ac:dyDescent="0.35">
      <c r="A1927">
        <v>37057</v>
      </c>
      <c r="B1927" t="s">
        <v>1537</v>
      </c>
      <c r="C1927" t="s">
        <v>3578</v>
      </c>
    </row>
    <row r="1928" spans="1:3" x14ac:dyDescent="0.35">
      <c r="A1928">
        <v>37059</v>
      </c>
      <c r="B1928" t="s">
        <v>1539</v>
      </c>
      <c r="C1928" t="s">
        <v>3578</v>
      </c>
    </row>
    <row r="1929" spans="1:3" x14ac:dyDescent="0.35">
      <c r="A1929">
        <v>37061</v>
      </c>
      <c r="B1929" t="s">
        <v>1635</v>
      </c>
      <c r="C1929" t="s">
        <v>3578</v>
      </c>
    </row>
    <row r="1930" spans="1:3" x14ac:dyDescent="0.35">
      <c r="A1930">
        <v>37063</v>
      </c>
      <c r="B1930" t="s">
        <v>1586</v>
      </c>
      <c r="C1930" t="s">
        <v>3578</v>
      </c>
    </row>
    <row r="1931" spans="1:3" x14ac:dyDescent="0.35">
      <c r="A1931">
        <v>37065</v>
      </c>
      <c r="B1931" t="s">
        <v>1620</v>
      </c>
      <c r="C1931" t="s">
        <v>3578</v>
      </c>
    </row>
    <row r="1932" spans="1:3" x14ac:dyDescent="0.35">
      <c r="A1932">
        <v>37067</v>
      </c>
      <c r="B1932" t="s">
        <v>831</v>
      </c>
      <c r="C1932" t="s">
        <v>3578</v>
      </c>
    </row>
    <row r="1933" spans="1:3" x14ac:dyDescent="0.35">
      <c r="A1933">
        <v>37069</v>
      </c>
      <c r="B1933" t="s">
        <v>355</v>
      </c>
      <c r="C1933" t="s">
        <v>3578</v>
      </c>
    </row>
    <row r="1934" spans="1:3" x14ac:dyDescent="0.35">
      <c r="A1934">
        <v>37071</v>
      </c>
      <c r="B1934" t="s">
        <v>1533</v>
      </c>
      <c r="C1934" t="s">
        <v>3578</v>
      </c>
    </row>
    <row r="1935" spans="1:3" x14ac:dyDescent="0.35">
      <c r="A1935">
        <v>37073</v>
      </c>
      <c r="B1935" t="s">
        <v>1600</v>
      </c>
      <c r="C1935" t="s">
        <v>3578</v>
      </c>
    </row>
    <row r="1936" spans="1:3" x14ac:dyDescent="0.35">
      <c r="A1936">
        <v>37075</v>
      </c>
      <c r="B1936" t="s">
        <v>1480</v>
      </c>
      <c r="C1936" t="s">
        <v>3578</v>
      </c>
    </row>
    <row r="1937" spans="1:3" x14ac:dyDescent="0.35">
      <c r="A1937">
        <v>37077</v>
      </c>
      <c r="B1937" t="s">
        <v>1575</v>
      </c>
      <c r="C1937" t="s">
        <v>3578</v>
      </c>
    </row>
    <row r="1938" spans="1:3" x14ac:dyDescent="0.35">
      <c r="A1938">
        <v>37079</v>
      </c>
      <c r="B1938" t="s">
        <v>305</v>
      </c>
      <c r="C1938" t="s">
        <v>3578</v>
      </c>
    </row>
    <row r="1939" spans="1:3" x14ac:dyDescent="0.35">
      <c r="A1939">
        <v>37081</v>
      </c>
      <c r="B1939" t="s">
        <v>1549</v>
      </c>
      <c r="C1939" t="s">
        <v>3578</v>
      </c>
    </row>
    <row r="1940" spans="1:3" x14ac:dyDescent="0.35">
      <c r="A1940">
        <v>37083</v>
      </c>
      <c r="B1940" t="s">
        <v>1602</v>
      </c>
      <c r="C1940" t="s">
        <v>3578</v>
      </c>
    </row>
    <row r="1941" spans="1:3" x14ac:dyDescent="0.35">
      <c r="A1941">
        <v>37085</v>
      </c>
      <c r="B1941" t="s">
        <v>1563</v>
      </c>
      <c r="C1941" t="s">
        <v>3578</v>
      </c>
    </row>
    <row r="1942" spans="1:3" x14ac:dyDescent="0.35">
      <c r="A1942">
        <v>37087</v>
      </c>
      <c r="B1942" t="s">
        <v>1482</v>
      </c>
      <c r="C1942" t="s">
        <v>3578</v>
      </c>
    </row>
    <row r="1943" spans="1:3" x14ac:dyDescent="0.35">
      <c r="A1943">
        <v>37089</v>
      </c>
      <c r="B1943" t="s">
        <v>1484</v>
      </c>
      <c r="C1943" t="s">
        <v>3578</v>
      </c>
    </row>
    <row r="1944" spans="1:3" x14ac:dyDescent="0.35">
      <c r="A1944">
        <v>37091</v>
      </c>
      <c r="B1944" t="s">
        <v>1604</v>
      </c>
      <c r="C1944" t="s">
        <v>3578</v>
      </c>
    </row>
    <row r="1945" spans="1:3" x14ac:dyDescent="0.35">
      <c r="A1945">
        <v>37093</v>
      </c>
      <c r="B1945" t="s">
        <v>1565</v>
      </c>
      <c r="C1945" t="s">
        <v>3578</v>
      </c>
    </row>
    <row r="1946" spans="1:3" x14ac:dyDescent="0.35">
      <c r="A1946">
        <v>37095</v>
      </c>
      <c r="B1946" t="s">
        <v>1652</v>
      </c>
      <c r="C1946" t="s">
        <v>3578</v>
      </c>
    </row>
    <row r="1947" spans="1:3" x14ac:dyDescent="0.35">
      <c r="A1947">
        <v>37097</v>
      </c>
      <c r="B1947" t="s">
        <v>1509</v>
      </c>
      <c r="C1947" t="s">
        <v>3578</v>
      </c>
    </row>
    <row r="1948" spans="1:3" x14ac:dyDescent="0.35">
      <c r="A1948">
        <v>37099</v>
      </c>
      <c r="B1948" t="s">
        <v>357</v>
      </c>
      <c r="C1948" t="s">
        <v>3578</v>
      </c>
    </row>
    <row r="1949" spans="1:3" x14ac:dyDescent="0.35">
      <c r="A1949">
        <v>37101</v>
      </c>
      <c r="B1949" t="s">
        <v>1615</v>
      </c>
      <c r="C1949" t="s">
        <v>3578</v>
      </c>
    </row>
    <row r="1950" spans="1:3" x14ac:dyDescent="0.35">
      <c r="A1950">
        <v>37103</v>
      </c>
      <c r="B1950" t="s">
        <v>983</v>
      </c>
      <c r="C1950" t="s">
        <v>3578</v>
      </c>
    </row>
    <row r="1951" spans="1:3" x14ac:dyDescent="0.35">
      <c r="A1951">
        <v>37105</v>
      </c>
      <c r="B1951" t="s">
        <v>237</v>
      </c>
      <c r="C1951" t="s">
        <v>3578</v>
      </c>
    </row>
    <row r="1952" spans="1:3" x14ac:dyDescent="0.35">
      <c r="A1952">
        <v>37107</v>
      </c>
      <c r="B1952" t="s">
        <v>1655</v>
      </c>
      <c r="C1952" t="s">
        <v>3578</v>
      </c>
    </row>
    <row r="1953" spans="1:3" x14ac:dyDescent="0.35">
      <c r="A1953">
        <v>37109</v>
      </c>
      <c r="B1953" t="s">
        <v>494</v>
      </c>
      <c r="C1953" t="s">
        <v>3578</v>
      </c>
    </row>
    <row r="1954" spans="1:3" x14ac:dyDescent="0.35">
      <c r="A1954">
        <v>37111</v>
      </c>
      <c r="B1954" t="s">
        <v>1489</v>
      </c>
      <c r="C1954" t="s">
        <v>3578</v>
      </c>
    </row>
    <row r="1955" spans="1:3" x14ac:dyDescent="0.35">
      <c r="A1955">
        <v>37113</v>
      </c>
      <c r="B1955" t="s">
        <v>361</v>
      </c>
      <c r="C1955" t="s">
        <v>3578</v>
      </c>
    </row>
    <row r="1956" spans="1:3" x14ac:dyDescent="0.35">
      <c r="A1956">
        <v>37115</v>
      </c>
      <c r="B1956" t="s">
        <v>287</v>
      </c>
      <c r="C1956" t="s">
        <v>3578</v>
      </c>
    </row>
    <row r="1957" spans="1:3" x14ac:dyDescent="0.35">
      <c r="A1957">
        <v>37117</v>
      </c>
      <c r="B1957" t="s">
        <v>683</v>
      </c>
      <c r="C1957" t="s">
        <v>3578</v>
      </c>
    </row>
    <row r="1958" spans="1:3" x14ac:dyDescent="0.35">
      <c r="A1958">
        <v>37119</v>
      </c>
      <c r="B1958" t="s">
        <v>1524</v>
      </c>
      <c r="C1958" t="s">
        <v>3578</v>
      </c>
    </row>
    <row r="1959" spans="1:3" x14ac:dyDescent="0.35">
      <c r="A1959">
        <v>37121</v>
      </c>
      <c r="B1959" t="s">
        <v>791</v>
      </c>
      <c r="C1959" t="s">
        <v>3578</v>
      </c>
    </row>
    <row r="1960" spans="1:3" x14ac:dyDescent="0.35">
      <c r="A1960">
        <v>37123</v>
      </c>
      <c r="B1960" t="s">
        <v>301</v>
      </c>
      <c r="C1960" t="s">
        <v>3578</v>
      </c>
    </row>
    <row r="1961" spans="1:3" x14ac:dyDescent="0.35">
      <c r="A1961">
        <v>37125</v>
      </c>
      <c r="B1961" t="s">
        <v>1556</v>
      </c>
      <c r="C1961" t="s">
        <v>3578</v>
      </c>
    </row>
    <row r="1962" spans="1:3" x14ac:dyDescent="0.35">
      <c r="A1962">
        <v>37127</v>
      </c>
      <c r="B1962" t="s">
        <v>1623</v>
      </c>
      <c r="C1962" t="s">
        <v>3578</v>
      </c>
    </row>
    <row r="1963" spans="1:3" x14ac:dyDescent="0.35">
      <c r="A1963">
        <v>37129</v>
      </c>
      <c r="B1963" t="s">
        <v>1637</v>
      </c>
      <c r="C1963" t="s">
        <v>3578</v>
      </c>
    </row>
    <row r="1964" spans="1:3" x14ac:dyDescent="0.35">
      <c r="A1964">
        <v>37131</v>
      </c>
      <c r="B1964" t="s">
        <v>1607</v>
      </c>
      <c r="C1964" t="s">
        <v>3578</v>
      </c>
    </row>
    <row r="1965" spans="1:3" x14ac:dyDescent="0.35">
      <c r="A1965">
        <v>37133</v>
      </c>
      <c r="B1965" t="s">
        <v>1639</v>
      </c>
      <c r="C1965" t="s">
        <v>3578</v>
      </c>
    </row>
    <row r="1966" spans="1:3" x14ac:dyDescent="0.35">
      <c r="A1966">
        <v>37135</v>
      </c>
      <c r="B1966" t="s">
        <v>706</v>
      </c>
      <c r="C1966" t="s">
        <v>3578</v>
      </c>
    </row>
    <row r="1967" spans="1:3" x14ac:dyDescent="0.35">
      <c r="A1967">
        <v>37137</v>
      </c>
      <c r="B1967" t="s">
        <v>1657</v>
      </c>
      <c r="C1967" t="s">
        <v>3578</v>
      </c>
    </row>
    <row r="1968" spans="1:3" x14ac:dyDescent="0.35">
      <c r="A1968">
        <v>37139</v>
      </c>
      <c r="B1968" t="s">
        <v>1609</v>
      </c>
      <c r="C1968" t="s">
        <v>3578</v>
      </c>
    </row>
    <row r="1969" spans="1:3" x14ac:dyDescent="0.35">
      <c r="A1969">
        <v>37141</v>
      </c>
      <c r="B1969" t="s">
        <v>1641</v>
      </c>
      <c r="C1969" t="s">
        <v>3578</v>
      </c>
    </row>
    <row r="1970" spans="1:3" x14ac:dyDescent="0.35">
      <c r="A1970">
        <v>37143</v>
      </c>
      <c r="B1970" t="s">
        <v>1611</v>
      </c>
      <c r="C1970" t="s">
        <v>3578</v>
      </c>
    </row>
    <row r="1971" spans="1:3" x14ac:dyDescent="0.35">
      <c r="A1971">
        <v>37145</v>
      </c>
      <c r="B1971" t="s">
        <v>1590</v>
      </c>
      <c r="C1971" t="s">
        <v>3578</v>
      </c>
    </row>
    <row r="1972" spans="1:3" x14ac:dyDescent="0.35">
      <c r="A1972">
        <v>37147</v>
      </c>
      <c r="B1972" t="s">
        <v>1625</v>
      </c>
      <c r="C1972" t="s">
        <v>3578</v>
      </c>
    </row>
    <row r="1973" spans="1:3" x14ac:dyDescent="0.35">
      <c r="A1973">
        <v>37149</v>
      </c>
      <c r="B1973" t="s">
        <v>530</v>
      </c>
      <c r="C1973" t="s">
        <v>3578</v>
      </c>
    </row>
    <row r="1974" spans="1:3" x14ac:dyDescent="0.35">
      <c r="A1974">
        <v>37151</v>
      </c>
      <c r="B1974" t="s">
        <v>377</v>
      </c>
      <c r="C1974" t="s">
        <v>3578</v>
      </c>
    </row>
    <row r="1975" spans="1:3" x14ac:dyDescent="0.35">
      <c r="A1975">
        <v>37153</v>
      </c>
      <c r="B1975" t="s">
        <v>869</v>
      </c>
      <c r="C1975" t="s">
        <v>3578</v>
      </c>
    </row>
    <row r="1976" spans="1:3" x14ac:dyDescent="0.35">
      <c r="A1976">
        <v>37155</v>
      </c>
      <c r="B1976" t="s">
        <v>1568</v>
      </c>
      <c r="C1976" t="s">
        <v>3578</v>
      </c>
    </row>
    <row r="1977" spans="1:3" x14ac:dyDescent="0.35">
      <c r="A1977">
        <v>37157</v>
      </c>
      <c r="B1977" t="s">
        <v>1552</v>
      </c>
      <c r="C1977" t="s">
        <v>3578</v>
      </c>
    </row>
    <row r="1978" spans="1:3" x14ac:dyDescent="0.35">
      <c r="A1978">
        <v>37159</v>
      </c>
      <c r="B1978" t="s">
        <v>1526</v>
      </c>
      <c r="C1978" t="s">
        <v>3578</v>
      </c>
    </row>
    <row r="1979" spans="1:3" x14ac:dyDescent="0.35">
      <c r="A1979">
        <v>37161</v>
      </c>
      <c r="B1979" t="s">
        <v>1493</v>
      </c>
      <c r="C1979" t="s">
        <v>3578</v>
      </c>
    </row>
    <row r="1980" spans="1:3" x14ac:dyDescent="0.35">
      <c r="A1980">
        <v>37163</v>
      </c>
      <c r="B1980" t="s">
        <v>1570</v>
      </c>
      <c r="C1980" t="s">
        <v>3578</v>
      </c>
    </row>
    <row r="1981" spans="1:3" x14ac:dyDescent="0.35">
      <c r="A1981">
        <v>37165</v>
      </c>
      <c r="B1981" t="s">
        <v>1572</v>
      </c>
      <c r="C1981" t="s">
        <v>3578</v>
      </c>
    </row>
    <row r="1982" spans="1:3" x14ac:dyDescent="0.35">
      <c r="A1982">
        <v>37167</v>
      </c>
      <c r="B1982" t="s">
        <v>1528</v>
      </c>
      <c r="C1982" t="s">
        <v>3578</v>
      </c>
    </row>
    <row r="1983" spans="1:3" x14ac:dyDescent="0.35">
      <c r="A1983">
        <v>37169</v>
      </c>
      <c r="B1983" t="s">
        <v>1542</v>
      </c>
      <c r="C1983" t="s">
        <v>3578</v>
      </c>
    </row>
    <row r="1984" spans="1:3" x14ac:dyDescent="0.35">
      <c r="A1984">
        <v>37171</v>
      </c>
      <c r="B1984" t="s">
        <v>1544</v>
      </c>
      <c r="C1984" t="s">
        <v>3578</v>
      </c>
    </row>
    <row r="1985" spans="1:3" x14ac:dyDescent="0.35">
      <c r="A1985">
        <v>37173</v>
      </c>
      <c r="B1985" t="s">
        <v>1495</v>
      </c>
      <c r="C1985" t="s">
        <v>3578</v>
      </c>
    </row>
    <row r="1986" spans="1:3" x14ac:dyDescent="0.35">
      <c r="A1986">
        <v>37175</v>
      </c>
      <c r="B1986" t="s">
        <v>1497</v>
      </c>
      <c r="C1986" t="s">
        <v>3578</v>
      </c>
    </row>
    <row r="1987" spans="1:3" x14ac:dyDescent="0.35">
      <c r="A1987">
        <v>37177</v>
      </c>
      <c r="B1987" t="s">
        <v>1659</v>
      </c>
      <c r="C1987" t="s">
        <v>3578</v>
      </c>
    </row>
    <row r="1988" spans="1:3" x14ac:dyDescent="0.35">
      <c r="A1988">
        <v>37179</v>
      </c>
      <c r="B1988" t="s">
        <v>518</v>
      </c>
      <c r="C1988" t="s">
        <v>3578</v>
      </c>
    </row>
    <row r="1989" spans="1:3" x14ac:dyDescent="0.35">
      <c r="A1989">
        <v>37181</v>
      </c>
      <c r="B1989" t="s">
        <v>1577</v>
      </c>
      <c r="C1989" t="s">
        <v>3578</v>
      </c>
    </row>
    <row r="1990" spans="1:3" x14ac:dyDescent="0.35">
      <c r="A1990">
        <v>37183</v>
      </c>
      <c r="B1990" t="s">
        <v>1617</v>
      </c>
      <c r="C1990" t="s">
        <v>3578</v>
      </c>
    </row>
    <row r="1991" spans="1:3" x14ac:dyDescent="0.35">
      <c r="A1991">
        <v>37185</v>
      </c>
      <c r="B1991" t="s">
        <v>873</v>
      </c>
      <c r="C1991" t="s">
        <v>3578</v>
      </c>
    </row>
    <row r="1992" spans="1:3" x14ac:dyDescent="0.35">
      <c r="A1992">
        <v>37187</v>
      </c>
      <c r="B1992" t="s">
        <v>385</v>
      </c>
      <c r="C1992" t="s">
        <v>3578</v>
      </c>
    </row>
    <row r="1993" spans="1:3" x14ac:dyDescent="0.35">
      <c r="A1993">
        <v>37189</v>
      </c>
      <c r="B1993" t="s">
        <v>1516</v>
      </c>
      <c r="C1993" t="s">
        <v>3578</v>
      </c>
    </row>
    <row r="1994" spans="1:3" x14ac:dyDescent="0.35">
      <c r="A1994">
        <v>37191</v>
      </c>
      <c r="B1994" t="s">
        <v>894</v>
      </c>
      <c r="C1994" t="s">
        <v>3578</v>
      </c>
    </row>
    <row r="1995" spans="1:3" x14ac:dyDescent="0.35">
      <c r="A1995">
        <v>37193</v>
      </c>
      <c r="B1995" t="s">
        <v>875</v>
      </c>
      <c r="C1995" t="s">
        <v>3578</v>
      </c>
    </row>
    <row r="1996" spans="1:3" x14ac:dyDescent="0.35">
      <c r="A1996">
        <v>37195</v>
      </c>
      <c r="B1996" t="s">
        <v>1628</v>
      </c>
      <c r="C1996" t="s">
        <v>3578</v>
      </c>
    </row>
    <row r="1997" spans="1:3" x14ac:dyDescent="0.35">
      <c r="A1997">
        <v>37197</v>
      </c>
      <c r="B1997" t="s">
        <v>1546</v>
      </c>
      <c r="C1997" t="s">
        <v>3578</v>
      </c>
    </row>
    <row r="1998" spans="1:3" x14ac:dyDescent="0.35">
      <c r="A1998">
        <v>37199</v>
      </c>
      <c r="B1998" t="s">
        <v>1499</v>
      </c>
      <c r="C1998" t="s">
        <v>3578</v>
      </c>
    </row>
    <row r="1999" spans="1:3" x14ac:dyDescent="0.35">
      <c r="A1999">
        <v>38001</v>
      </c>
      <c r="B1999" t="s">
        <v>1255</v>
      </c>
      <c r="C1999" t="s">
        <v>3579</v>
      </c>
    </row>
    <row r="2000" spans="1:3" x14ac:dyDescent="0.35">
      <c r="A2000">
        <v>38003</v>
      </c>
      <c r="B2000" t="s">
        <v>3580</v>
      </c>
      <c r="C2000" t="s">
        <v>3579</v>
      </c>
    </row>
    <row r="2001" spans="1:3" x14ac:dyDescent="0.35">
      <c r="A2001">
        <v>38005</v>
      </c>
      <c r="B2001" t="s">
        <v>3581</v>
      </c>
      <c r="C2001" t="s">
        <v>3579</v>
      </c>
    </row>
    <row r="2002" spans="1:3" x14ac:dyDescent="0.35">
      <c r="A2002">
        <v>38007</v>
      </c>
      <c r="B2002" t="s">
        <v>3582</v>
      </c>
      <c r="C2002" t="s">
        <v>3579</v>
      </c>
    </row>
    <row r="2003" spans="1:3" x14ac:dyDescent="0.35">
      <c r="A2003">
        <v>38009</v>
      </c>
      <c r="B2003" t="s">
        <v>3583</v>
      </c>
      <c r="C2003" t="s">
        <v>3579</v>
      </c>
    </row>
    <row r="2004" spans="1:3" x14ac:dyDescent="0.35">
      <c r="A2004">
        <v>38011</v>
      </c>
      <c r="B2004" t="s">
        <v>3584</v>
      </c>
      <c r="C2004" t="s">
        <v>3579</v>
      </c>
    </row>
    <row r="2005" spans="1:3" x14ac:dyDescent="0.35">
      <c r="A2005">
        <v>38013</v>
      </c>
      <c r="B2005" t="s">
        <v>856</v>
      </c>
      <c r="C2005" t="s">
        <v>3579</v>
      </c>
    </row>
    <row r="2006" spans="1:3" x14ac:dyDescent="0.35">
      <c r="A2006">
        <v>38015</v>
      </c>
      <c r="B2006" t="s">
        <v>3585</v>
      </c>
      <c r="C2006" t="s">
        <v>3579</v>
      </c>
    </row>
    <row r="2007" spans="1:3" x14ac:dyDescent="0.35">
      <c r="A2007">
        <v>38017</v>
      </c>
      <c r="B2007" t="s">
        <v>2313</v>
      </c>
      <c r="C2007" t="s">
        <v>3579</v>
      </c>
    </row>
    <row r="2008" spans="1:3" x14ac:dyDescent="0.35">
      <c r="A2008">
        <v>38019</v>
      </c>
      <c r="B2008" t="s">
        <v>3586</v>
      </c>
      <c r="C2008" t="s">
        <v>3579</v>
      </c>
    </row>
    <row r="2009" spans="1:3" x14ac:dyDescent="0.35">
      <c r="A2009">
        <v>38021</v>
      </c>
      <c r="B2009" t="s">
        <v>3587</v>
      </c>
      <c r="C2009" t="s">
        <v>3579</v>
      </c>
    </row>
    <row r="2010" spans="1:3" x14ac:dyDescent="0.35">
      <c r="A2010">
        <v>38023</v>
      </c>
      <c r="B2010" t="s">
        <v>3588</v>
      </c>
      <c r="C2010" t="s">
        <v>3579</v>
      </c>
    </row>
    <row r="2011" spans="1:3" x14ac:dyDescent="0.35">
      <c r="A2011">
        <v>38025</v>
      </c>
      <c r="B2011" t="s">
        <v>3589</v>
      </c>
      <c r="C2011" t="s">
        <v>3579</v>
      </c>
    </row>
    <row r="2012" spans="1:3" x14ac:dyDescent="0.35">
      <c r="A2012">
        <v>38027</v>
      </c>
      <c r="B2012" t="s">
        <v>3531</v>
      </c>
      <c r="C2012" t="s">
        <v>3579</v>
      </c>
    </row>
    <row r="2013" spans="1:3" x14ac:dyDescent="0.35">
      <c r="A2013">
        <v>38029</v>
      </c>
      <c r="B2013" t="s">
        <v>3590</v>
      </c>
      <c r="C2013" t="s">
        <v>3579</v>
      </c>
    </row>
    <row r="2014" spans="1:3" x14ac:dyDescent="0.35">
      <c r="A2014">
        <v>38031</v>
      </c>
      <c r="B2014" t="s">
        <v>3591</v>
      </c>
      <c r="C2014" t="s">
        <v>3579</v>
      </c>
    </row>
    <row r="2015" spans="1:3" x14ac:dyDescent="0.35">
      <c r="A2015">
        <v>38033</v>
      </c>
      <c r="B2015" t="s">
        <v>3427</v>
      </c>
      <c r="C2015" t="s">
        <v>3579</v>
      </c>
    </row>
    <row r="2016" spans="1:3" x14ac:dyDescent="0.35">
      <c r="A2016">
        <v>38035</v>
      </c>
      <c r="B2016" t="s">
        <v>3592</v>
      </c>
      <c r="C2016" t="s">
        <v>3579</v>
      </c>
    </row>
    <row r="2017" spans="1:3" x14ac:dyDescent="0.35">
      <c r="A2017">
        <v>38037</v>
      </c>
      <c r="B2017" t="s">
        <v>413</v>
      </c>
      <c r="C2017" t="s">
        <v>3579</v>
      </c>
    </row>
    <row r="2018" spans="1:3" x14ac:dyDescent="0.35">
      <c r="A2018">
        <v>38039</v>
      </c>
      <c r="B2018" t="s">
        <v>3593</v>
      </c>
      <c r="C2018" t="s">
        <v>3579</v>
      </c>
    </row>
    <row r="2019" spans="1:3" x14ac:dyDescent="0.35">
      <c r="A2019">
        <v>38041</v>
      </c>
      <c r="B2019" t="s">
        <v>3594</v>
      </c>
      <c r="C2019" t="s">
        <v>3579</v>
      </c>
    </row>
    <row r="2020" spans="1:3" x14ac:dyDescent="0.35">
      <c r="A2020">
        <v>38043</v>
      </c>
      <c r="B2020" t="s">
        <v>3595</v>
      </c>
      <c r="C2020" t="s">
        <v>3579</v>
      </c>
    </row>
    <row r="2021" spans="1:3" x14ac:dyDescent="0.35">
      <c r="A2021">
        <v>38045</v>
      </c>
      <c r="B2021" t="s">
        <v>3596</v>
      </c>
      <c r="C2021" t="s">
        <v>3579</v>
      </c>
    </row>
    <row r="2022" spans="1:3" x14ac:dyDescent="0.35">
      <c r="A2022">
        <v>38047</v>
      </c>
      <c r="B2022" t="s">
        <v>537</v>
      </c>
      <c r="C2022" t="s">
        <v>3579</v>
      </c>
    </row>
    <row r="2023" spans="1:3" x14ac:dyDescent="0.35">
      <c r="A2023">
        <v>38049</v>
      </c>
      <c r="B2023" t="s">
        <v>3061</v>
      </c>
      <c r="C2023" t="s">
        <v>3579</v>
      </c>
    </row>
    <row r="2024" spans="1:3" x14ac:dyDescent="0.35">
      <c r="A2024">
        <v>38051</v>
      </c>
      <c r="B2024" t="s">
        <v>888</v>
      </c>
      <c r="C2024" t="s">
        <v>3579</v>
      </c>
    </row>
    <row r="2025" spans="1:3" x14ac:dyDescent="0.35">
      <c r="A2025">
        <v>38053</v>
      </c>
      <c r="B2025" t="s">
        <v>3597</v>
      </c>
      <c r="C2025" t="s">
        <v>3579</v>
      </c>
    </row>
    <row r="2026" spans="1:3" x14ac:dyDescent="0.35">
      <c r="A2026">
        <v>38055</v>
      </c>
      <c r="B2026" t="s">
        <v>3062</v>
      </c>
      <c r="C2026" t="s">
        <v>3579</v>
      </c>
    </row>
    <row r="2027" spans="1:3" x14ac:dyDescent="0.35">
      <c r="A2027">
        <v>38057</v>
      </c>
      <c r="B2027" t="s">
        <v>2745</v>
      </c>
      <c r="C2027" t="s">
        <v>3579</v>
      </c>
    </row>
    <row r="2028" spans="1:3" x14ac:dyDescent="0.35">
      <c r="A2028">
        <v>38059</v>
      </c>
      <c r="B2028" t="s">
        <v>3178</v>
      </c>
      <c r="C2028" t="s">
        <v>3579</v>
      </c>
    </row>
    <row r="2029" spans="1:3" x14ac:dyDescent="0.35">
      <c r="A2029">
        <v>38061</v>
      </c>
      <c r="B2029" t="s">
        <v>3598</v>
      </c>
      <c r="C2029" t="s">
        <v>3579</v>
      </c>
    </row>
    <row r="2030" spans="1:3" x14ac:dyDescent="0.35">
      <c r="A2030">
        <v>38063</v>
      </c>
      <c r="B2030" t="s">
        <v>3240</v>
      </c>
      <c r="C2030" t="s">
        <v>3579</v>
      </c>
    </row>
    <row r="2031" spans="1:3" x14ac:dyDescent="0.35">
      <c r="A2031">
        <v>38065</v>
      </c>
      <c r="B2031" t="s">
        <v>3599</v>
      </c>
      <c r="C2031" t="s">
        <v>3579</v>
      </c>
    </row>
    <row r="2032" spans="1:3" x14ac:dyDescent="0.35">
      <c r="A2032">
        <v>38067</v>
      </c>
      <c r="B2032" t="s">
        <v>3600</v>
      </c>
      <c r="C2032" t="s">
        <v>3579</v>
      </c>
    </row>
    <row r="2033" spans="1:3" x14ac:dyDescent="0.35">
      <c r="A2033">
        <v>38069</v>
      </c>
      <c r="B2033" t="s">
        <v>890</v>
      </c>
      <c r="C2033" t="s">
        <v>3579</v>
      </c>
    </row>
    <row r="2034" spans="1:3" x14ac:dyDescent="0.35">
      <c r="A2034">
        <v>38071</v>
      </c>
      <c r="B2034" t="s">
        <v>3393</v>
      </c>
      <c r="C2034" t="s">
        <v>3579</v>
      </c>
    </row>
    <row r="2035" spans="1:3" x14ac:dyDescent="0.35">
      <c r="A2035">
        <v>38073</v>
      </c>
      <c r="B2035" t="s">
        <v>3601</v>
      </c>
      <c r="C2035" t="s">
        <v>3579</v>
      </c>
    </row>
    <row r="2036" spans="1:3" x14ac:dyDescent="0.35">
      <c r="A2036">
        <v>38075</v>
      </c>
      <c r="B2036" t="s">
        <v>3396</v>
      </c>
      <c r="C2036" t="s">
        <v>3579</v>
      </c>
    </row>
    <row r="2037" spans="1:3" x14ac:dyDescent="0.35">
      <c r="A2037">
        <v>38077</v>
      </c>
      <c r="B2037" t="s">
        <v>1773</v>
      </c>
      <c r="C2037" t="s">
        <v>3579</v>
      </c>
    </row>
    <row r="2038" spans="1:3" x14ac:dyDescent="0.35">
      <c r="A2038">
        <v>38079</v>
      </c>
      <c r="B2038" t="s">
        <v>3602</v>
      </c>
      <c r="C2038" t="s">
        <v>3579</v>
      </c>
    </row>
    <row r="2039" spans="1:3" x14ac:dyDescent="0.35">
      <c r="A2039">
        <v>38081</v>
      </c>
      <c r="B2039" t="s">
        <v>3603</v>
      </c>
      <c r="C2039" t="s">
        <v>3579</v>
      </c>
    </row>
    <row r="2040" spans="1:3" x14ac:dyDescent="0.35">
      <c r="A2040">
        <v>38083</v>
      </c>
      <c r="B2040" t="s">
        <v>3196</v>
      </c>
      <c r="C2040" t="s">
        <v>3579</v>
      </c>
    </row>
    <row r="2041" spans="1:3" x14ac:dyDescent="0.35">
      <c r="A2041">
        <v>38085</v>
      </c>
      <c r="B2041" t="s">
        <v>3146</v>
      </c>
      <c r="C2041" t="s">
        <v>3579</v>
      </c>
    </row>
    <row r="2042" spans="1:3" x14ac:dyDescent="0.35">
      <c r="A2042">
        <v>38087</v>
      </c>
      <c r="B2042" t="s">
        <v>3604</v>
      </c>
      <c r="C2042" t="s">
        <v>3579</v>
      </c>
    </row>
    <row r="2043" spans="1:3" x14ac:dyDescent="0.35">
      <c r="A2043">
        <v>38089</v>
      </c>
      <c r="B2043" t="s">
        <v>3071</v>
      </c>
      <c r="C2043" t="s">
        <v>3579</v>
      </c>
    </row>
    <row r="2044" spans="1:3" x14ac:dyDescent="0.35">
      <c r="A2044">
        <v>38091</v>
      </c>
      <c r="B2044" t="s">
        <v>3402</v>
      </c>
      <c r="C2044" t="s">
        <v>3579</v>
      </c>
    </row>
    <row r="2045" spans="1:3" x14ac:dyDescent="0.35">
      <c r="A2045">
        <v>38093</v>
      </c>
      <c r="B2045" t="s">
        <v>3605</v>
      </c>
      <c r="C2045" t="s">
        <v>3579</v>
      </c>
    </row>
    <row r="2046" spans="1:3" x14ac:dyDescent="0.35">
      <c r="A2046">
        <v>38095</v>
      </c>
      <c r="B2046" t="s">
        <v>3606</v>
      </c>
      <c r="C2046" t="s">
        <v>3579</v>
      </c>
    </row>
    <row r="2047" spans="1:3" x14ac:dyDescent="0.35">
      <c r="A2047">
        <v>38097</v>
      </c>
      <c r="B2047" t="s">
        <v>3607</v>
      </c>
      <c r="C2047" t="s">
        <v>3579</v>
      </c>
    </row>
    <row r="2048" spans="1:3" x14ac:dyDescent="0.35">
      <c r="A2048">
        <v>38099</v>
      </c>
      <c r="B2048" t="s">
        <v>3608</v>
      </c>
      <c r="C2048" t="s">
        <v>3579</v>
      </c>
    </row>
    <row r="2049" spans="1:3" x14ac:dyDescent="0.35">
      <c r="A2049">
        <v>38101</v>
      </c>
      <c r="B2049" t="s">
        <v>2226</v>
      </c>
      <c r="C2049" t="s">
        <v>3579</v>
      </c>
    </row>
    <row r="2050" spans="1:3" x14ac:dyDescent="0.35">
      <c r="A2050">
        <v>38103</v>
      </c>
      <c r="B2050" t="s">
        <v>3113</v>
      </c>
      <c r="C2050" t="s">
        <v>3579</v>
      </c>
    </row>
    <row r="2051" spans="1:3" x14ac:dyDescent="0.35">
      <c r="A2051">
        <v>38105</v>
      </c>
      <c r="B2051" t="s">
        <v>3609</v>
      </c>
      <c r="C2051" t="s">
        <v>3579</v>
      </c>
    </row>
    <row r="2052" spans="1:3" x14ac:dyDescent="0.35">
      <c r="A2052">
        <v>69085</v>
      </c>
      <c r="B2052" t="s">
        <v>3610</v>
      </c>
      <c r="C2052" t="s">
        <v>3611</v>
      </c>
    </row>
    <row r="2053" spans="1:3" x14ac:dyDescent="0.35">
      <c r="A2053">
        <v>69100</v>
      </c>
      <c r="B2053" t="s">
        <v>3612</v>
      </c>
      <c r="C2053" t="s">
        <v>3611</v>
      </c>
    </row>
    <row r="2054" spans="1:3" x14ac:dyDescent="0.35">
      <c r="A2054">
        <v>69110</v>
      </c>
      <c r="B2054" t="s">
        <v>3613</v>
      </c>
      <c r="C2054" t="s">
        <v>3611</v>
      </c>
    </row>
    <row r="2055" spans="1:3" x14ac:dyDescent="0.35">
      <c r="A2055">
        <v>69120</v>
      </c>
      <c r="B2055" t="s">
        <v>3614</v>
      </c>
      <c r="C2055" t="s">
        <v>3611</v>
      </c>
    </row>
    <row r="2056" spans="1:3" x14ac:dyDescent="0.35">
      <c r="A2056">
        <v>39001</v>
      </c>
      <c r="B2056" t="s">
        <v>1255</v>
      </c>
      <c r="C2056" t="s">
        <v>3615</v>
      </c>
    </row>
    <row r="2057" spans="1:3" x14ac:dyDescent="0.35">
      <c r="A2057">
        <v>39003</v>
      </c>
      <c r="B2057" t="s">
        <v>3081</v>
      </c>
      <c r="C2057" t="s">
        <v>3615</v>
      </c>
    </row>
    <row r="2058" spans="1:3" x14ac:dyDescent="0.35">
      <c r="A2058">
        <v>39005</v>
      </c>
      <c r="B2058" t="s">
        <v>3616</v>
      </c>
      <c r="C2058" t="s">
        <v>3615</v>
      </c>
    </row>
    <row r="2059" spans="1:3" x14ac:dyDescent="0.35">
      <c r="A2059">
        <v>39007</v>
      </c>
      <c r="B2059" t="s">
        <v>3617</v>
      </c>
      <c r="C2059" t="s">
        <v>3615</v>
      </c>
    </row>
    <row r="2060" spans="1:3" x14ac:dyDescent="0.35">
      <c r="A2060">
        <v>39009</v>
      </c>
      <c r="B2060" t="s">
        <v>3618</v>
      </c>
      <c r="C2060" t="s">
        <v>3615</v>
      </c>
    </row>
    <row r="2061" spans="1:3" x14ac:dyDescent="0.35">
      <c r="A2061">
        <v>39011</v>
      </c>
      <c r="B2061" t="s">
        <v>3619</v>
      </c>
      <c r="C2061" t="s">
        <v>3615</v>
      </c>
    </row>
    <row r="2062" spans="1:3" x14ac:dyDescent="0.35">
      <c r="A2062">
        <v>39013</v>
      </c>
      <c r="B2062" t="s">
        <v>3620</v>
      </c>
      <c r="C2062" t="s">
        <v>3615</v>
      </c>
    </row>
    <row r="2063" spans="1:3" x14ac:dyDescent="0.35">
      <c r="A2063">
        <v>39015</v>
      </c>
      <c r="B2063" t="s">
        <v>1939</v>
      </c>
      <c r="C2063" t="s">
        <v>3615</v>
      </c>
    </row>
    <row r="2064" spans="1:3" x14ac:dyDescent="0.35">
      <c r="A2064">
        <v>39017</v>
      </c>
      <c r="B2064" t="s">
        <v>319</v>
      </c>
      <c r="C2064" t="s">
        <v>3615</v>
      </c>
    </row>
    <row r="2065" spans="1:3" x14ac:dyDescent="0.35">
      <c r="A2065">
        <v>39019</v>
      </c>
      <c r="B2065" t="s">
        <v>463</v>
      </c>
      <c r="C2065" t="s">
        <v>3615</v>
      </c>
    </row>
    <row r="2066" spans="1:3" x14ac:dyDescent="0.35">
      <c r="A2066">
        <v>39021</v>
      </c>
      <c r="B2066" t="s">
        <v>3048</v>
      </c>
      <c r="C2066" t="s">
        <v>3615</v>
      </c>
    </row>
    <row r="2067" spans="1:3" x14ac:dyDescent="0.35">
      <c r="A2067">
        <v>39023</v>
      </c>
      <c r="B2067" t="s">
        <v>469</v>
      </c>
      <c r="C2067" t="s">
        <v>3615</v>
      </c>
    </row>
    <row r="2068" spans="1:3" x14ac:dyDescent="0.35">
      <c r="A2068">
        <v>39025</v>
      </c>
      <c r="B2068" t="s">
        <v>3621</v>
      </c>
      <c r="C2068" t="s">
        <v>3615</v>
      </c>
    </row>
    <row r="2069" spans="1:3" x14ac:dyDescent="0.35">
      <c r="A2069">
        <v>39027</v>
      </c>
      <c r="B2069" t="s">
        <v>2727</v>
      </c>
      <c r="C2069" t="s">
        <v>3615</v>
      </c>
    </row>
    <row r="2070" spans="1:3" x14ac:dyDescent="0.35">
      <c r="A2070">
        <v>39029</v>
      </c>
      <c r="B2070" t="s">
        <v>3622</v>
      </c>
      <c r="C2070" t="s">
        <v>3615</v>
      </c>
    </row>
    <row r="2071" spans="1:3" x14ac:dyDescent="0.35">
      <c r="A2071">
        <v>39031</v>
      </c>
      <c r="B2071" t="s">
        <v>3623</v>
      </c>
      <c r="C2071" t="s">
        <v>3615</v>
      </c>
    </row>
    <row r="2072" spans="1:3" x14ac:dyDescent="0.35">
      <c r="A2072">
        <v>39033</v>
      </c>
      <c r="B2072" t="s">
        <v>526</v>
      </c>
      <c r="C2072" t="s">
        <v>3615</v>
      </c>
    </row>
    <row r="2073" spans="1:3" x14ac:dyDescent="0.35">
      <c r="A2073">
        <v>39035</v>
      </c>
      <c r="B2073" t="s">
        <v>3624</v>
      </c>
      <c r="C2073" t="s">
        <v>3615</v>
      </c>
    </row>
    <row r="2074" spans="1:3" x14ac:dyDescent="0.35">
      <c r="A2074">
        <v>39037</v>
      </c>
      <c r="B2074" t="s">
        <v>3625</v>
      </c>
      <c r="C2074" t="s">
        <v>3615</v>
      </c>
    </row>
    <row r="2075" spans="1:3" x14ac:dyDescent="0.35">
      <c r="A2075">
        <v>39039</v>
      </c>
      <c r="B2075" t="s">
        <v>3626</v>
      </c>
      <c r="C2075" t="s">
        <v>3615</v>
      </c>
    </row>
    <row r="2076" spans="1:3" x14ac:dyDescent="0.35">
      <c r="A2076">
        <v>39041</v>
      </c>
      <c r="B2076" t="s">
        <v>3085</v>
      </c>
      <c r="C2076" t="s">
        <v>3615</v>
      </c>
    </row>
    <row r="2077" spans="1:3" x14ac:dyDescent="0.35">
      <c r="A2077">
        <v>39043</v>
      </c>
      <c r="B2077" t="s">
        <v>3556</v>
      </c>
      <c r="C2077" t="s">
        <v>3615</v>
      </c>
    </row>
    <row r="2078" spans="1:3" x14ac:dyDescent="0.35">
      <c r="A2078">
        <v>39045</v>
      </c>
      <c r="B2078" t="s">
        <v>1719</v>
      </c>
      <c r="C2078" t="s">
        <v>3615</v>
      </c>
    </row>
    <row r="2079" spans="1:3" x14ac:dyDescent="0.35">
      <c r="A2079">
        <v>39047</v>
      </c>
      <c r="B2079" t="s">
        <v>353</v>
      </c>
      <c r="C2079" t="s">
        <v>3615</v>
      </c>
    </row>
    <row r="2080" spans="1:3" x14ac:dyDescent="0.35">
      <c r="A2080">
        <v>39049</v>
      </c>
      <c r="B2080" t="s">
        <v>355</v>
      </c>
      <c r="C2080" t="s">
        <v>3615</v>
      </c>
    </row>
    <row r="2081" spans="1:3" x14ac:dyDescent="0.35">
      <c r="A2081">
        <v>39051</v>
      </c>
      <c r="B2081" t="s">
        <v>422</v>
      </c>
      <c r="C2081" t="s">
        <v>3615</v>
      </c>
    </row>
    <row r="2082" spans="1:3" x14ac:dyDescent="0.35">
      <c r="A2082">
        <v>39053</v>
      </c>
      <c r="B2082" t="s">
        <v>3627</v>
      </c>
      <c r="C2082" t="s">
        <v>3615</v>
      </c>
    </row>
    <row r="2083" spans="1:3" x14ac:dyDescent="0.35">
      <c r="A2083">
        <v>39055</v>
      </c>
      <c r="B2083" t="s">
        <v>3628</v>
      </c>
      <c r="C2083" t="s">
        <v>3615</v>
      </c>
    </row>
    <row r="2084" spans="1:3" x14ac:dyDescent="0.35">
      <c r="A2084">
        <v>39057</v>
      </c>
      <c r="B2084" t="s">
        <v>305</v>
      </c>
      <c r="C2084" t="s">
        <v>3615</v>
      </c>
    </row>
    <row r="2085" spans="1:3" x14ac:dyDescent="0.35">
      <c r="A2085">
        <v>39059</v>
      </c>
      <c r="B2085" t="s">
        <v>3629</v>
      </c>
      <c r="C2085" t="s">
        <v>3615</v>
      </c>
    </row>
    <row r="2086" spans="1:3" x14ac:dyDescent="0.35">
      <c r="A2086">
        <v>39061</v>
      </c>
      <c r="B2086" t="s">
        <v>613</v>
      </c>
      <c r="C2086" t="s">
        <v>3615</v>
      </c>
    </row>
    <row r="2087" spans="1:3" x14ac:dyDescent="0.35">
      <c r="A2087">
        <v>39063</v>
      </c>
      <c r="B2087" t="s">
        <v>1062</v>
      </c>
      <c r="C2087" t="s">
        <v>3615</v>
      </c>
    </row>
    <row r="2088" spans="1:3" x14ac:dyDescent="0.35">
      <c r="A2088">
        <v>39065</v>
      </c>
      <c r="B2088" t="s">
        <v>1876</v>
      </c>
      <c r="C2088" t="s">
        <v>3615</v>
      </c>
    </row>
    <row r="2089" spans="1:3" x14ac:dyDescent="0.35">
      <c r="A2089">
        <v>39067</v>
      </c>
      <c r="B2089" t="s">
        <v>1250</v>
      </c>
      <c r="C2089" t="s">
        <v>3615</v>
      </c>
    </row>
    <row r="2090" spans="1:3" x14ac:dyDescent="0.35">
      <c r="A2090">
        <v>39069</v>
      </c>
      <c r="B2090" t="s">
        <v>269</v>
      </c>
      <c r="C2090" t="s">
        <v>3615</v>
      </c>
    </row>
    <row r="2091" spans="1:3" x14ac:dyDescent="0.35">
      <c r="A2091">
        <v>39071</v>
      </c>
      <c r="B2091" t="s">
        <v>3630</v>
      </c>
      <c r="C2091" t="s">
        <v>3615</v>
      </c>
    </row>
    <row r="2092" spans="1:3" x14ac:dyDescent="0.35">
      <c r="A2092">
        <v>39073</v>
      </c>
      <c r="B2092" t="s">
        <v>3631</v>
      </c>
      <c r="C2092" t="s">
        <v>3615</v>
      </c>
    </row>
    <row r="2093" spans="1:3" x14ac:dyDescent="0.35">
      <c r="A2093">
        <v>39075</v>
      </c>
      <c r="B2093" t="s">
        <v>637</v>
      </c>
      <c r="C2093" t="s">
        <v>3615</v>
      </c>
    </row>
    <row r="2094" spans="1:3" x14ac:dyDescent="0.35">
      <c r="A2094">
        <v>39077</v>
      </c>
      <c r="B2094" t="s">
        <v>3313</v>
      </c>
      <c r="C2094" t="s">
        <v>3615</v>
      </c>
    </row>
    <row r="2095" spans="1:3" x14ac:dyDescent="0.35">
      <c r="A2095">
        <v>39079</v>
      </c>
      <c r="B2095" t="s">
        <v>357</v>
      </c>
      <c r="C2095" t="s">
        <v>3615</v>
      </c>
    </row>
    <row r="2096" spans="1:3" x14ac:dyDescent="0.35">
      <c r="A2096">
        <v>39081</v>
      </c>
      <c r="B2096" t="s">
        <v>247</v>
      </c>
      <c r="C2096" t="s">
        <v>3615</v>
      </c>
    </row>
    <row r="2097" spans="1:3" x14ac:dyDescent="0.35">
      <c r="A2097">
        <v>39083</v>
      </c>
      <c r="B2097" t="s">
        <v>1819</v>
      </c>
      <c r="C2097" t="s">
        <v>3615</v>
      </c>
    </row>
    <row r="2098" spans="1:3" x14ac:dyDescent="0.35">
      <c r="A2098">
        <v>39085</v>
      </c>
      <c r="B2098" t="s">
        <v>654</v>
      </c>
      <c r="C2098" t="s">
        <v>3615</v>
      </c>
    </row>
    <row r="2099" spans="1:3" x14ac:dyDescent="0.35">
      <c r="A2099">
        <v>39087</v>
      </c>
      <c r="B2099" t="s">
        <v>261</v>
      </c>
      <c r="C2099" t="s">
        <v>3615</v>
      </c>
    </row>
    <row r="2100" spans="1:3" x14ac:dyDescent="0.35">
      <c r="A2100">
        <v>39089</v>
      </c>
      <c r="B2100" t="s">
        <v>3632</v>
      </c>
      <c r="C2100" t="s">
        <v>3615</v>
      </c>
    </row>
    <row r="2101" spans="1:3" x14ac:dyDescent="0.35">
      <c r="A2101">
        <v>39091</v>
      </c>
      <c r="B2101" t="s">
        <v>537</v>
      </c>
      <c r="C2101" t="s">
        <v>3615</v>
      </c>
    </row>
    <row r="2102" spans="1:3" x14ac:dyDescent="0.35">
      <c r="A2102">
        <v>39093</v>
      </c>
      <c r="B2102" t="s">
        <v>3633</v>
      </c>
      <c r="C2102" t="s">
        <v>3615</v>
      </c>
    </row>
    <row r="2103" spans="1:3" x14ac:dyDescent="0.35">
      <c r="A2103">
        <v>39095</v>
      </c>
      <c r="B2103" t="s">
        <v>3133</v>
      </c>
      <c r="C2103" t="s">
        <v>3615</v>
      </c>
    </row>
    <row r="2104" spans="1:3" x14ac:dyDescent="0.35">
      <c r="A2104">
        <v>39097</v>
      </c>
      <c r="B2104" t="s">
        <v>287</v>
      </c>
      <c r="C2104" t="s">
        <v>3615</v>
      </c>
    </row>
    <row r="2105" spans="1:3" x14ac:dyDescent="0.35">
      <c r="A2105">
        <v>39099</v>
      </c>
      <c r="B2105" t="s">
        <v>3634</v>
      </c>
      <c r="C2105" t="s">
        <v>3615</v>
      </c>
    </row>
    <row r="2106" spans="1:3" x14ac:dyDescent="0.35">
      <c r="A2106">
        <v>39101</v>
      </c>
      <c r="B2106" t="s">
        <v>365</v>
      </c>
      <c r="C2106" t="s">
        <v>3615</v>
      </c>
    </row>
    <row r="2107" spans="1:3" x14ac:dyDescent="0.35">
      <c r="A2107">
        <v>39103</v>
      </c>
      <c r="B2107" t="s">
        <v>2289</v>
      </c>
      <c r="C2107" t="s">
        <v>3615</v>
      </c>
    </row>
    <row r="2108" spans="1:3" x14ac:dyDescent="0.35">
      <c r="A2108">
        <v>39105</v>
      </c>
      <c r="B2108" t="s">
        <v>1841</v>
      </c>
      <c r="C2108" t="s">
        <v>3615</v>
      </c>
    </row>
    <row r="2109" spans="1:3" x14ac:dyDescent="0.35">
      <c r="A2109">
        <v>39107</v>
      </c>
      <c r="B2109" t="s">
        <v>2745</v>
      </c>
      <c r="C2109" t="s">
        <v>3615</v>
      </c>
    </row>
    <row r="2110" spans="1:3" x14ac:dyDescent="0.35">
      <c r="A2110">
        <v>39109</v>
      </c>
      <c r="B2110" t="s">
        <v>3096</v>
      </c>
      <c r="C2110" t="s">
        <v>3615</v>
      </c>
    </row>
    <row r="2111" spans="1:3" x14ac:dyDescent="0.35">
      <c r="A2111">
        <v>39111</v>
      </c>
      <c r="B2111" t="s">
        <v>369</v>
      </c>
      <c r="C2111" t="s">
        <v>3615</v>
      </c>
    </row>
    <row r="2112" spans="1:3" x14ac:dyDescent="0.35">
      <c r="A2112">
        <v>39113</v>
      </c>
      <c r="B2112" t="s">
        <v>301</v>
      </c>
      <c r="C2112" t="s">
        <v>3615</v>
      </c>
    </row>
    <row r="2113" spans="1:3" x14ac:dyDescent="0.35">
      <c r="A2113">
        <v>39115</v>
      </c>
      <c r="B2113" t="s">
        <v>263</v>
      </c>
      <c r="C2113" t="s">
        <v>3615</v>
      </c>
    </row>
    <row r="2114" spans="1:3" x14ac:dyDescent="0.35">
      <c r="A2114">
        <v>39117</v>
      </c>
      <c r="B2114" t="s">
        <v>3635</v>
      </c>
      <c r="C2114" t="s">
        <v>3615</v>
      </c>
    </row>
    <row r="2115" spans="1:3" x14ac:dyDescent="0.35">
      <c r="A2115">
        <v>39119</v>
      </c>
      <c r="B2115" t="s">
        <v>3636</v>
      </c>
      <c r="C2115" t="s">
        <v>3615</v>
      </c>
    </row>
    <row r="2116" spans="1:3" x14ac:dyDescent="0.35">
      <c r="A2116">
        <v>39121</v>
      </c>
      <c r="B2116" t="s">
        <v>3097</v>
      </c>
      <c r="C2116" t="s">
        <v>3615</v>
      </c>
    </row>
    <row r="2117" spans="1:3" x14ac:dyDescent="0.35">
      <c r="A2117">
        <v>39123</v>
      </c>
      <c r="B2117" t="s">
        <v>3184</v>
      </c>
      <c r="C2117" t="s">
        <v>3615</v>
      </c>
    </row>
    <row r="2118" spans="1:3" x14ac:dyDescent="0.35">
      <c r="A2118">
        <v>39125</v>
      </c>
      <c r="B2118" t="s">
        <v>841</v>
      </c>
      <c r="C2118" t="s">
        <v>3615</v>
      </c>
    </row>
    <row r="2119" spans="1:3" x14ac:dyDescent="0.35">
      <c r="A2119">
        <v>39127</v>
      </c>
      <c r="B2119" t="s">
        <v>371</v>
      </c>
      <c r="C2119" t="s">
        <v>3615</v>
      </c>
    </row>
    <row r="2120" spans="1:3" x14ac:dyDescent="0.35">
      <c r="A2120">
        <v>39129</v>
      </c>
      <c r="B2120" t="s">
        <v>3637</v>
      </c>
      <c r="C2120" t="s">
        <v>3615</v>
      </c>
    </row>
    <row r="2121" spans="1:3" x14ac:dyDescent="0.35">
      <c r="A2121">
        <v>39131</v>
      </c>
      <c r="B2121" t="s">
        <v>375</v>
      </c>
      <c r="C2121" t="s">
        <v>3615</v>
      </c>
    </row>
    <row r="2122" spans="1:3" x14ac:dyDescent="0.35">
      <c r="A2122">
        <v>39133</v>
      </c>
      <c r="B2122" t="s">
        <v>3638</v>
      </c>
      <c r="C2122" t="s">
        <v>3615</v>
      </c>
    </row>
    <row r="2123" spans="1:3" x14ac:dyDescent="0.35">
      <c r="A2123">
        <v>39135</v>
      </c>
      <c r="B2123" t="s">
        <v>3639</v>
      </c>
      <c r="C2123" t="s">
        <v>3615</v>
      </c>
    </row>
    <row r="2124" spans="1:3" x14ac:dyDescent="0.35">
      <c r="A2124">
        <v>39137</v>
      </c>
      <c r="B2124" t="s">
        <v>729</v>
      </c>
      <c r="C2124" t="s">
        <v>3615</v>
      </c>
    </row>
    <row r="2125" spans="1:3" x14ac:dyDescent="0.35">
      <c r="A2125">
        <v>39139</v>
      </c>
      <c r="B2125" t="s">
        <v>1773</v>
      </c>
      <c r="C2125" t="s">
        <v>3615</v>
      </c>
    </row>
    <row r="2126" spans="1:3" x14ac:dyDescent="0.35">
      <c r="A2126">
        <v>39141</v>
      </c>
      <c r="B2126" t="s">
        <v>3640</v>
      </c>
      <c r="C2126" t="s">
        <v>3615</v>
      </c>
    </row>
    <row r="2127" spans="1:3" x14ac:dyDescent="0.35">
      <c r="A2127">
        <v>39143</v>
      </c>
      <c r="B2127" t="s">
        <v>3641</v>
      </c>
      <c r="C2127" t="s">
        <v>3615</v>
      </c>
    </row>
    <row r="2128" spans="1:3" x14ac:dyDescent="0.35">
      <c r="A2128">
        <v>39145</v>
      </c>
      <c r="B2128" t="s">
        <v>3642</v>
      </c>
      <c r="C2128" t="s">
        <v>3615</v>
      </c>
    </row>
    <row r="2129" spans="1:3" x14ac:dyDescent="0.35">
      <c r="A2129">
        <v>39147</v>
      </c>
      <c r="B2129" t="s">
        <v>3571</v>
      </c>
      <c r="C2129" t="s">
        <v>3615</v>
      </c>
    </row>
    <row r="2130" spans="1:3" x14ac:dyDescent="0.35">
      <c r="A2130">
        <v>39149</v>
      </c>
      <c r="B2130" t="s">
        <v>249</v>
      </c>
      <c r="C2130" t="s">
        <v>3615</v>
      </c>
    </row>
    <row r="2131" spans="1:3" x14ac:dyDescent="0.35">
      <c r="A2131">
        <v>39151</v>
      </c>
      <c r="B2131" t="s">
        <v>3071</v>
      </c>
      <c r="C2131" t="s">
        <v>3615</v>
      </c>
    </row>
    <row r="2132" spans="1:3" x14ac:dyDescent="0.35">
      <c r="A2132">
        <v>39153</v>
      </c>
      <c r="B2132" t="s">
        <v>2789</v>
      </c>
      <c r="C2132" t="s">
        <v>3615</v>
      </c>
    </row>
    <row r="2133" spans="1:3" x14ac:dyDescent="0.35">
      <c r="A2133">
        <v>39155</v>
      </c>
      <c r="B2133" t="s">
        <v>3643</v>
      </c>
      <c r="C2133" t="s">
        <v>3615</v>
      </c>
    </row>
    <row r="2134" spans="1:3" x14ac:dyDescent="0.35">
      <c r="A2134">
        <v>39157</v>
      </c>
      <c r="B2134" t="s">
        <v>3644</v>
      </c>
      <c r="C2134" t="s">
        <v>3615</v>
      </c>
    </row>
    <row r="2135" spans="1:3" x14ac:dyDescent="0.35">
      <c r="A2135">
        <v>39159</v>
      </c>
      <c r="B2135" t="s">
        <v>518</v>
      </c>
      <c r="C2135" t="s">
        <v>3615</v>
      </c>
    </row>
    <row r="2136" spans="1:3" x14ac:dyDescent="0.35">
      <c r="A2136">
        <v>39161</v>
      </c>
      <c r="B2136" t="s">
        <v>3645</v>
      </c>
      <c r="C2136" t="s">
        <v>3615</v>
      </c>
    </row>
    <row r="2137" spans="1:3" x14ac:dyDescent="0.35">
      <c r="A2137">
        <v>39163</v>
      </c>
      <c r="B2137" t="s">
        <v>3646</v>
      </c>
      <c r="C2137" t="s">
        <v>3615</v>
      </c>
    </row>
    <row r="2138" spans="1:3" x14ac:dyDescent="0.35">
      <c r="A2138">
        <v>39165</v>
      </c>
      <c r="B2138" t="s">
        <v>873</v>
      </c>
      <c r="C2138" t="s">
        <v>3615</v>
      </c>
    </row>
    <row r="2139" spans="1:3" x14ac:dyDescent="0.35">
      <c r="A2139">
        <v>39167</v>
      </c>
      <c r="B2139" t="s">
        <v>385</v>
      </c>
      <c r="C2139" t="s">
        <v>3615</v>
      </c>
    </row>
    <row r="2140" spans="1:3" x14ac:dyDescent="0.35">
      <c r="A2140">
        <v>39169</v>
      </c>
      <c r="B2140" t="s">
        <v>894</v>
      </c>
      <c r="C2140" t="s">
        <v>3615</v>
      </c>
    </row>
    <row r="2141" spans="1:3" x14ac:dyDescent="0.35">
      <c r="A2141">
        <v>39171</v>
      </c>
      <c r="B2141" t="s">
        <v>3609</v>
      </c>
      <c r="C2141" t="s">
        <v>3615</v>
      </c>
    </row>
    <row r="2142" spans="1:3" x14ac:dyDescent="0.35">
      <c r="A2142">
        <v>39173</v>
      </c>
      <c r="B2142" t="s">
        <v>2337</v>
      </c>
      <c r="C2142" t="s">
        <v>3615</v>
      </c>
    </row>
    <row r="2143" spans="1:3" x14ac:dyDescent="0.35">
      <c r="A2143">
        <v>39175</v>
      </c>
      <c r="B2143" t="s">
        <v>3647</v>
      </c>
      <c r="C2143" t="s">
        <v>3615</v>
      </c>
    </row>
    <row r="2144" spans="1:3" x14ac:dyDescent="0.35">
      <c r="A2144">
        <v>40001</v>
      </c>
      <c r="B2144" t="s">
        <v>2713</v>
      </c>
      <c r="C2144" t="s">
        <v>3648</v>
      </c>
    </row>
    <row r="2145" spans="1:3" x14ac:dyDescent="0.35">
      <c r="A2145">
        <v>40003</v>
      </c>
      <c r="B2145" t="s">
        <v>3649</v>
      </c>
      <c r="C2145" t="s">
        <v>3648</v>
      </c>
    </row>
    <row r="2146" spans="1:3" x14ac:dyDescent="0.35">
      <c r="A2146">
        <v>40005</v>
      </c>
      <c r="B2146" t="s">
        <v>3650</v>
      </c>
      <c r="C2146" t="s">
        <v>3648</v>
      </c>
    </row>
    <row r="2147" spans="1:3" x14ac:dyDescent="0.35">
      <c r="A2147">
        <v>40007</v>
      </c>
      <c r="B2147" t="s">
        <v>2771</v>
      </c>
      <c r="C2147" t="s">
        <v>3648</v>
      </c>
    </row>
    <row r="2148" spans="1:3" x14ac:dyDescent="0.35">
      <c r="A2148">
        <v>40009</v>
      </c>
      <c r="B2148" t="s">
        <v>3651</v>
      </c>
      <c r="C2148" t="s">
        <v>3648</v>
      </c>
    </row>
    <row r="2149" spans="1:3" x14ac:dyDescent="0.35">
      <c r="A2149">
        <v>40011</v>
      </c>
      <c r="B2149" t="s">
        <v>3018</v>
      </c>
      <c r="C2149" t="s">
        <v>3648</v>
      </c>
    </row>
    <row r="2150" spans="1:3" x14ac:dyDescent="0.35">
      <c r="A2150">
        <v>40013</v>
      </c>
      <c r="B2150" t="s">
        <v>1007</v>
      </c>
      <c r="C2150" t="s">
        <v>3648</v>
      </c>
    </row>
    <row r="2151" spans="1:3" x14ac:dyDescent="0.35">
      <c r="A2151">
        <v>40015</v>
      </c>
      <c r="B2151" t="s">
        <v>3652</v>
      </c>
      <c r="C2151" t="s">
        <v>3648</v>
      </c>
    </row>
    <row r="2152" spans="1:3" x14ac:dyDescent="0.35">
      <c r="A2152">
        <v>40017</v>
      </c>
      <c r="B2152" t="s">
        <v>3653</v>
      </c>
      <c r="C2152" t="s">
        <v>3648</v>
      </c>
    </row>
    <row r="2153" spans="1:3" x14ac:dyDescent="0.35">
      <c r="A2153">
        <v>40019</v>
      </c>
      <c r="B2153" t="s">
        <v>1794</v>
      </c>
      <c r="C2153" t="s">
        <v>3648</v>
      </c>
    </row>
    <row r="2154" spans="1:3" x14ac:dyDescent="0.35">
      <c r="A2154">
        <v>40021</v>
      </c>
      <c r="B2154" t="s">
        <v>323</v>
      </c>
      <c r="C2154" t="s">
        <v>3648</v>
      </c>
    </row>
    <row r="2155" spans="1:3" x14ac:dyDescent="0.35">
      <c r="A2155">
        <v>40023</v>
      </c>
      <c r="B2155" t="s">
        <v>325</v>
      </c>
      <c r="C2155" t="s">
        <v>3648</v>
      </c>
    </row>
    <row r="2156" spans="1:3" x14ac:dyDescent="0.35">
      <c r="A2156">
        <v>40025</v>
      </c>
      <c r="B2156" t="s">
        <v>3654</v>
      </c>
      <c r="C2156" t="s">
        <v>3648</v>
      </c>
    </row>
    <row r="2157" spans="1:3" x14ac:dyDescent="0.35">
      <c r="A2157">
        <v>40027</v>
      </c>
      <c r="B2157" t="s">
        <v>481</v>
      </c>
      <c r="C2157" t="s">
        <v>3648</v>
      </c>
    </row>
    <row r="2158" spans="1:3" x14ac:dyDescent="0.35">
      <c r="A2158">
        <v>40029</v>
      </c>
      <c r="B2158" t="s">
        <v>3655</v>
      </c>
      <c r="C2158" t="s">
        <v>3648</v>
      </c>
    </row>
    <row r="2159" spans="1:3" x14ac:dyDescent="0.35">
      <c r="A2159">
        <v>40031</v>
      </c>
      <c r="B2159" t="s">
        <v>1945</v>
      </c>
      <c r="C2159" t="s">
        <v>3648</v>
      </c>
    </row>
    <row r="2160" spans="1:3" x14ac:dyDescent="0.35">
      <c r="A2160">
        <v>40033</v>
      </c>
      <c r="B2160" t="s">
        <v>3656</v>
      </c>
      <c r="C2160" t="s">
        <v>3648</v>
      </c>
    </row>
    <row r="2161" spans="1:3" x14ac:dyDescent="0.35">
      <c r="A2161">
        <v>40035</v>
      </c>
      <c r="B2161" t="s">
        <v>3657</v>
      </c>
      <c r="C2161" t="s">
        <v>3648</v>
      </c>
    </row>
    <row r="2162" spans="1:3" x14ac:dyDescent="0.35">
      <c r="A2162">
        <v>40037</v>
      </c>
      <c r="B2162" t="s">
        <v>3658</v>
      </c>
      <c r="C2162" t="s">
        <v>3648</v>
      </c>
    </row>
    <row r="2163" spans="1:3" x14ac:dyDescent="0.35">
      <c r="A2163">
        <v>40039</v>
      </c>
      <c r="B2163" t="s">
        <v>2955</v>
      </c>
      <c r="C2163" t="s">
        <v>3648</v>
      </c>
    </row>
    <row r="2164" spans="1:3" x14ac:dyDescent="0.35">
      <c r="A2164">
        <v>40041</v>
      </c>
      <c r="B2164" t="s">
        <v>3085</v>
      </c>
      <c r="C2164" t="s">
        <v>3648</v>
      </c>
    </row>
    <row r="2165" spans="1:3" x14ac:dyDescent="0.35">
      <c r="A2165">
        <v>40043</v>
      </c>
      <c r="B2165" t="s">
        <v>3659</v>
      </c>
      <c r="C2165" t="s">
        <v>3648</v>
      </c>
    </row>
    <row r="2166" spans="1:3" x14ac:dyDescent="0.35">
      <c r="A2166">
        <v>40045</v>
      </c>
      <c r="B2166" t="s">
        <v>2102</v>
      </c>
      <c r="C2166" t="s">
        <v>3648</v>
      </c>
    </row>
    <row r="2167" spans="1:3" x14ac:dyDescent="0.35">
      <c r="A2167">
        <v>40047</v>
      </c>
      <c r="B2167" t="s">
        <v>2779</v>
      </c>
      <c r="C2167" t="s">
        <v>3648</v>
      </c>
    </row>
    <row r="2168" spans="1:3" x14ac:dyDescent="0.35">
      <c r="A2168">
        <v>40049</v>
      </c>
      <c r="B2168" t="s">
        <v>3660</v>
      </c>
      <c r="C2168" t="s">
        <v>3648</v>
      </c>
    </row>
    <row r="2169" spans="1:3" x14ac:dyDescent="0.35">
      <c r="A2169">
        <v>40051</v>
      </c>
      <c r="B2169" t="s">
        <v>1045</v>
      </c>
      <c r="C2169" t="s">
        <v>3648</v>
      </c>
    </row>
    <row r="2170" spans="1:3" x14ac:dyDescent="0.35">
      <c r="A2170">
        <v>40053</v>
      </c>
      <c r="B2170" t="s">
        <v>413</v>
      </c>
      <c r="C2170" t="s">
        <v>3648</v>
      </c>
    </row>
    <row r="2171" spans="1:3" x14ac:dyDescent="0.35">
      <c r="A2171">
        <v>40055</v>
      </c>
      <c r="B2171" t="s">
        <v>3661</v>
      </c>
      <c r="C2171" t="s">
        <v>3648</v>
      </c>
    </row>
    <row r="2172" spans="1:3" x14ac:dyDescent="0.35">
      <c r="A2172">
        <v>40057</v>
      </c>
      <c r="B2172" t="s">
        <v>3662</v>
      </c>
      <c r="C2172" t="s">
        <v>3648</v>
      </c>
    </row>
    <row r="2173" spans="1:3" x14ac:dyDescent="0.35">
      <c r="A2173">
        <v>40059</v>
      </c>
      <c r="B2173" t="s">
        <v>3167</v>
      </c>
      <c r="C2173" t="s">
        <v>3648</v>
      </c>
    </row>
    <row r="2174" spans="1:3" x14ac:dyDescent="0.35">
      <c r="A2174">
        <v>40061</v>
      </c>
      <c r="B2174" t="s">
        <v>1951</v>
      </c>
      <c r="C2174" t="s">
        <v>3648</v>
      </c>
    </row>
    <row r="2175" spans="1:3" x14ac:dyDescent="0.35">
      <c r="A2175">
        <v>40063</v>
      </c>
      <c r="B2175" t="s">
        <v>3663</v>
      </c>
      <c r="C2175" t="s">
        <v>3648</v>
      </c>
    </row>
    <row r="2176" spans="1:3" x14ac:dyDescent="0.35">
      <c r="A2176">
        <v>40065</v>
      </c>
      <c r="B2176" t="s">
        <v>357</v>
      </c>
      <c r="C2176" t="s">
        <v>3648</v>
      </c>
    </row>
    <row r="2177" spans="1:3" x14ac:dyDescent="0.35">
      <c r="A2177">
        <v>40067</v>
      </c>
      <c r="B2177" t="s">
        <v>247</v>
      </c>
      <c r="C2177" t="s">
        <v>3648</v>
      </c>
    </row>
    <row r="2178" spans="1:3" x14ac:dyDescent="0.35">
      <c r="A2178">
        <v>40069</v>
      </c>
      <c r="B2178" t="s">
        <v>1615</v>
      </c>
      <c r="C2178" t="s">
        <v>3648</v>
      </c>
    </row>
    <row r="2179" spans="1:3" x14ac:dyDescent="0.35">
      <c r="A2179">
        <v>40071</v>
      </c>
      <c r="B2179" t="s">
        <v>3664</v>
      </c>
      <c r="C2179" t="s">
        <v>3648</v>
      </c>
    </row>
    <row r="2180" spans="1:3" x14ac:dyDescent="0.35">
      <c r="A2180">
        <v>40073</v>
      </c>
      <c r="B2180" t="s">
        <v>3665</v>
      </c>
      <c r="C2180" t="s">
        <v>3648</v>
      </c>
    </row>
    <row r="2181" spans="1:3" x14ac:dyDescent="0.35">
      <c r="A2181">
        <v>40075</v>
      </c>
      <c r="B2181" t="s">
        <v>2964</v>
      </c>
      <c r="C2181" t="s">
        <v>3648</v>
      </c>
    </row>
    <row r="2182" spans="1:3" x14ac:dyDescent="0.35">
      <c r="A2182">
        <v>40077</v>
      </c>
      <c r="B2182" t="s">
        <v>3666</v>
      </c>
      <c r="C2182" t="s">
        <v>3648</v>
      </c>
    </row>
    <row r="2183" spans="1:3" x14ac:dyDescent="0.35">
      <c r="A2183">
        <v>40079</v>
      </c>
      <c r="B2183" t="s">
        <v>3667</v>
      </c>
      <c r="C2183" t="s">
        <v>3648</v>
      </c>
    </row>
    <row r="2184" spans="1:3" x14ac:dyDescent="0.35">
      <c r="A2184">
        <v>40081</v>
      </c>
      <c r="B2184" t="s">
        <v>494</v>
      </c>
      <c r="C2184" t="s">
        <v>3648</v>
      </c>
    </row>
    <row r="2185" spans="1:3" x14ac:dyDescent="0.35">
      <c r="A2185">
        <v>40083</v>
      </c>
      <c r="B2185" t="s">
        <v>537</v>
      </c>
      <c r="C2185" t="s">
        <v>3648</v>
      </c>
    </row>
    <row r="2186" spans="1:3" x14ac:dyDescent="0.35">
      <c r="A2186">
        <v>40085</v>
      </c>
      <c r="B2186" t="s">
        <v>3668</v>
      </c>
      <c r="C2186" t="s">
        <v>3648</v>
      </c>
    </row>
    <row r="2187" spans="1:3" x14ac:dyDescent="0.35">
      <c r="A2187">
        <v>40087</v>
      </c>
      <c r="B2187" t="s">
        <v>3669</v>
      </c>
      <c r="C2187" t="s">
        <v>3648</v>
      </c>
    </row>
    <row r="2188" spans="1:3" x14ac:dyDescent="0.35">
      <c r="A2188">
        <v>40089</v>
      </c>
      <c r="B2188" t="s">
        <v>3670</v>
      </c>
      <c r="C2188" t="s">
        <v>3648</v>
      </c>
    </row>
    <row r="2189" spans="1:3" x14ac:dyDescent="0.35">
      <c r="A2189">
        <v>40091</v>
      </c>
      <c r="B2189" t="s">
        <v>888</v>
      </c>
      <c r="C2189" t="s">
        <v>3648</v>
      </c>
    </row>
    <row r="2190" spans="1:3" x14ac:dyDescent="0.35">
      <c r="A2190">
        <v>40093</v>
      </c>
      <c r="B2190" t="s">
        <v>3671</v>
      </c>
      <c r="C2190" t="s">
        <v>3648</v>
      </c>
    </row>
    <row r="2191" spans="1:3" x14ac:dyDescent="0.35">
      <c r="A2191">
        <v>40095</v>
      </c>
      <c r="B2191" t="s">
        <v>367</v>
      </c>
      <c r="C2191" t="s">
        <v>3648</v>
      </c>
    </row>
    <row r="2192" spans="1:3" x14ac:dyDescent="0.35">
      <c r="A2192">
        <v>40097</v>
      </c>
      <c r="B2192" t="s">
        <v>3672</v>
      </c>
      <c r="C2192" t="s">
        <v>3648</v>
      </c>
    </row>
    <row r="2193" spans="1:3" x14ac:dyDescent="0.35">
      <c r="A2193">
        <v>40099</v>
      </c>
      <c r="B2193" t="s">
        <v>929</v>
      </c>
      <c r="C2193" t="s">
        <v>3648</v>
      </c>
    </row>
    <row r="2194" spans="1:3" x14ac:dyDescent="0.35">
      <c r="A2194">
        <v>40101</v>
      </c>
      <c r="B2194" t="s">
        <v>3673</v>
      </c>
      <c r="C2194" t="s">
        <v>3648</v>
      </c>
    </row>
    <row r="2195" spans="1:3" x14ac:dyDescent="0.35">
      <c r="A2195">
        <v>40103</v>
      </c>
      <c r="B2195" t="s">
        <v>3097</v>
      </c>
      <c r="C2195" t="s">
        <v>3648</v>
      </c>
    </row>
    <row r="2196" spans="1:3" x14ac:dyDescent="0.35">
      <c r="A2196">
        <v>40105</v>
      </c>
      <c r="B2196" t="s">
        <v>3674</v>
      </c>
      <c r="C2196" t="s">
        <v>3648</v>
      </c>
    </row>
    <row r="2197" spans="1:3" x14ac:dyDescent="0.35">
      <c r="A2197">
        <v>40107</v>
      </c>
      <c r="B2197" t="s">
        <v>3675</v>
      </c>
      <c r="C2197" t="s">
        <v>3648</v>
      </c>
    </row>
    <row r="2198" spans="1:3" x14ac:dyDescent="0.35">
      <c r="A2198">
        <v>40109</v>
      </c>
      <c r="B2198" t="s">
        <v>3676</v>
      </c>
      <c r="C2198" t="s">
        <v>3648</v>
      </c>
    </row>
    <row r="2199" spans="1:3" x14ac:dyDescent="0.35">
      <c r="A2199">
        <v>40111</v>
      </c>
      <c r="B2199" t="s">
        <v>3677</v>
      </c>
      <c r="C2199" t="s">
        <v>3648</v>
      </c>
    </row>
    <row r="2200" spans="1:3" x14ac:dyDescent="0.35">
      <c r="A2200">
        <v>40113</v>
      </c>
      <c r="B2200" t="s">
        <v>2750</v>
      </c>
      <c r="C2200" t="s">
        <v>3648</v>
      </c>
    </row>
    <row r="2201" spans="1:3" x14ac:dyDescent="0.35">
      <c r="A2201">
        <v>40115</v>
      </c>
      <c r="B2201" t="s">
        <v>3184</v>
      </c>
      <c r="C2201" t="s">
        <v>3648</v>
      </c>
    </row>
    <row r="2202" spans="1:3" x14ac:dyDescent="0.35">
      <c r="A2202">
        <v>40117</v>
      </c>
      <c r="B2202" t="s">
        <v>3185</v>
      </c>
      <c r="C2202" t="s">
        <v>3648</v>
      </c>
    </row>
    <row r="2203" spans="1:3" x14ac:dyDescent="0.35">
      <c r="A2203">
        <v>40119</v>
      </c>
      <c r="B2203" t="s">
        <v>3678</v>
      </c>
      <c r="C2203" t="s">
        <v>3648</v>
      </c>
    </row>
    <row r="2204" spans="1:3" x14ac:dyDescent="0.35">
      <c r="A2204">
        <v>40121</v>
      </c>
      <c r="B2204" t="s">
        <v>3679</v>
      </c>
      <c r="C2204" t="s">
        <v>3648</v>
      </c>
    </row>
    <row r="2205" spans="1:3" x14ac:dyDescent="0.35">
      <c r="A2205">
        <v>40123</v>
      </c>
      <c r="B2205" t="s">
        <v>1221</v>
      </c>
      <c r="C2205" t="s">
        <v>3648</v>
      </c>
    </row>
    <row r="2206" spans="1:3" x14ac:dyDescent="0.35">
      <c r="A2206">
        <v>40125</v>
      </c>
      <c r="B2206" t="s">
        <v>3186</v>
      </c>
      <c r="C2206" t="s">
        <v>3648</v>
      </c>
    </row>
    <row r="2207" spans="1:3" x14ac:dyDescent="0.35">
      <c r="A2207">
        <v>40127</v>
      </c>
      <c r="B2207" t="s">
        <v>3680</v>
      </c>
      <c r="C2207" t="s">
        <v>3648</v>
      </c>
    </row>
    <row r="2208" spans="1:3" x14ac:dyDescent="0.35">
      <c r="A2208">
        <v>40129</v>
      </c>
      <c r="B2208" t="s">
        <v>3681</v>
      </c>
      <c r="C2208" t="s">
        <v>3648</v>
      </c>
    </row>
    <row r="2209" spans="1:3" x14ac:dyDescent="0.35">
      <c r="A2209">
        <v>40131</v>
      </c>
      <c r="B2209" t="s">
        <v>3682</v>
      </c>
      <c r="C2209" t="s">
        <v>3648</v>
      </c>
    </row>
    <row r="2210" spans="1:3" x14ac:dyDescent="0.35">
      <c r="A2210">
        <v>40133</v>
      </c>
      <c r="B2210" t="s">
        <v>741</v>
      </c>
      <c r="C2210" t="s">
        <v>3648</v>
      </c>
    </row>
    <row r="2211" spans="1:3" x14ac:dyDescent="0.35">
      <c r="A2211">
        <v>40135</v>
      </c>
      <c r="B2211" t="s">
        <v>3683</v>
      </c>
      <c r="C2211" t="s">
        <v>3648</v>
      </c>
    </row>
    <row r="2212" spans="1:3" x14ac:dyDescent="0.35">
      <c r="A2212">
        <v>40137</v>
      </c>
      <c r="B2212" t="s">
        <v>949</v>
      </c>
      <c r="C2212" t="s">
        <v>3648</v>
      </c>
    </row>
    <row r="2213" spans="1:3" x14ac:dyDescent="0.35">
      <c r="A2213">
        <v>40139</v>
      </c>
      <c r="B2213" t="s">
        <v>2768</v>
      </c>
      <c r="C2213" t="s">
        <v>3648</v>
      </c>
    </row>
    <row r="2214" spans="1:3" x14ac:dyDescent="0.35">
      <c r="A2214">
        <v>40141</v>
      </c>
      <c r="B2214" t="s">
        <v>3684</v>
      </c>
      <c r="C2214" t="s">
        <v>3648</v>
      </c>
    </row>
    <row r="2215" spans="1:3" x14ac:dyDescent="0.35">
      <c r="A2215">
        <v>40143</v>
      </c>
      <c r="B2215" t="s">
        <v>3685</v>
      </c>
      <c r="C2215" t="s">
        <v>3648</v>
      </c>
    </row>
    <row r="2216" spans="1:3" x14ac:dyDescent="0.35">
      <c r="A2216">
        <v>40145</v>
      </c>
      <c r="B2216" t="s">
        <v>3686</v>
      </c>
      <c r="C2216" t="s">
        <v>3648</v>
      </c>
    </row>
    <row r="2217" spans="1:3" x14ac:dyDescent="0.35">
      <c r="A2217">
        <v>40147</v>
      </c>
      <c r="B2217" t="s">
        <v>385</v>
      </c>
      <c r="C2217" t="s">
        <v>3648</v>
      </c>
    </row>
    <row r="2218" spans="1:3" x14ac:dyDescent="0.35">
      <c r="A2218">
        <v>40149</v>
      </c>
      <c r="B2218" t="s">
        <v>3687</v>
      </c>
      <c r="C2218" t="s">
        <v>3648</v>
      </c>
    </row>
    <row r="2219" spans="1:3" x14ac:dyDescent="0.35">
      <c r="A2219">
        <v>40151</v>
      </c>
      <c r="B2219" t="s">
        <v>3688</v>
      </c>
      <c r="C2219" t="s">
        <v>3648</v>
      </c>
    </row>
    <row r="2220" spans="1:3" x14ac:dyDescent="0.35">
      <c r="A2220">
        <v>40153</v>
      </c>
      <c r="B2220" t="s">
        <v>3689</v>
      </c>
      <c r="C2220" t="s">
        <v>3648</v>
      </c>
    </row>
    <row r="2221" spans="1:3" x14ac:dyDescent="0.35">
      <c r="A2221">
        <v>41001</v>
      </c>
      <c r="B2221" t="s">
        <v>545</v>
      </c>
      <c r="C2221" t="s">
        <v>3690</v>
      </c>
    </row>
    <row r="2222" spans="1:3" x14ac:dyDescent="0.35">
      <c r="A2222">
        <v>41003</v>
      </c>
      <c r="B2222" t="s">
        <v>456</v>
      </c>
      <c r="C2222" t="s">
        <v>3690</v>
      </c>
    </row>
    <row r="2223" spans="1:3" x14ac:dyDescent="0.35">
      <c r="A2223">
        <v>41005</v>
      </c>
      <c r="B2223" t="s">
        <v>3691</v>
      </c>
      <c r="C2223" t="s">
        <v>3690</v>
      </c>
    </row>
    <row r="2224" spans="1:3" x14ac:dyDescent="0.35">
      <c r="A2224">
        <v>41007</v>
      </c>
      <c r="B2224" t="s">
        <v>3692</v>
      </c>
      <c r="C2224" t="s">
        <v>3690</v>
      </c>
    </row>
    <row r="2225" spans="1:3" x14ac:dyDescent="0.35">
      <c r="A2225">
        <v>41009</v>
      </c>
      <c r="B2225" t="s">
        <v>508</v>
      </c>
      <c r="C2225" t="s">
        <v>3690</v>
      </c>
    </row>
    <row r="2226" spans="1:3" x14ac:dyDescent="0.35">
      <c r="A2226">
        <v>41011</v>
      </c>
      <c r="B2226" t="s">
        <v>3505</v>
      </c>
      <c r="C2226" t="s">
        <v>3690</v>
      </c>
    </row>
    <row r="2227" spans="1:3" x14ac:dyDescent="0.35">
      <c r="A2227">
        <v>41013</v>
      </c>
      <c r="B2227" t="s">
        <v>3693</v>
      </c>
      <c r="C2227" t="s">
        <v>3690</v>
      </c>
    </row>
    <row r="2228" spans="1:3" x14ac:dyDescent="0.35">
      <c r="A2228">
        <v>41015</v>
      </c>
      <c r="B2228" t="s">
        <v>3528</v>
      </c>
      <c r="C2228" t="s">
        <v>3690</v>
      </c>
    </row>
    <row r="2229" spans="1:3" x14ac:dyDescent="0.35">
      <c r="A2229">
        <v>41017</v>
      </c>
      <c r="B2229" t="s">
        <v>3694</v>
      </c>
      <c r="C2229" t="s">
        <v>3690</v>
      </c>
    </row>
    <row r="2230" spans="1:3" x14ac:dyDescent="0.35">
      <c r="A2230">
        <v>41019</v>
      </c>
      <c r="B2230" t="s">
        <v>828</v>
      </c>
      <c r="C2230" t="s">
        <v>3690</v>
      </c>
    </row>
    <row r="2231" spans="1:3" x14ac:dyDescent="0.35">
      <c r="A2231">
        <v>41021</v>
      </c>
      <c r="B2231" t="s">
        <v>3695</v>
      </c>
      <c r="C2231" t="s">
        <v>3690</v>
      </c>
    </row>
    <row r="2232" spans="1:3" x14ac:dyDescent="0.35">
      <c r="A2232">
        <v>41023</v>
      </c>
      <c r="B2232" t="s">
        <v>413</v>
      </c>
      <c r="C2232" t="s">
        <v>3690</v>
      </c>
    </row>
    <row r="2233" spans="1:3" x14ac:dyDescent="0.35">
      <c r="A2233">
        <v>41025</v>
      </c>
      <c r="B2233" t="s">
        <v>3696</v>
      </c>
      <c r="C2233" t="s">
        <v>3690</v>
      </c>
    </row>
    <row r="2234" spans="1:3" x14ac:dyDescent="0.35">
      <c r="A2234">
        <v>41027</v>
      </c>
      <c r="B2234" t="s">
        <v>3697</v>
      </c>
      <c r="C2234" t="s">
        <v>3690</v>
      </c>
    </row>
    <row r="2235" spans="1:3" x14ac:dyDescent="0.35">
      <c r="A2235">
        <v>41029</v>
      </c>
      <c r="B2235" t="s">
        <v>357</v>
      </c>
      <c r="C2235" t="s">
        <v>3690</v>
      </c>
    </row>
    <row r="2236" spans="1:3" x14ac:dyDescent="0.35">
      <c r="A2236">
        <v>41031</v>
      </c>
      <c r="B2236" t="s">
        <v>247</v>
      </c>
      <c r="C2236" t="s">
        <v>3690</v>
      </c>
    </row>
    <row r="2237" spans="1:3" x14ac:dyDescent="0.35">
      <c r="A2237">
        <v>41033</v>
      </c>
      <c r="B2237" t="s">
        <v>3698</v>
      </c>
      <c r="C2237" t="s">
        <v>3690</v>
      </c>
    </row>
    <row r="2238" spans="1:3" x14ac:dyDescent="0.35">
      <c r="A2238">
        <v>41035</v>
      </c>
      <c r="B2238" t="s">
        <v>3699</v>
      </c>
      <c r="C2238" t="s">
        <v>3690</v>
      </c>
    </row>
    <row r="2239" spans="1:3" x14ac:dyDescent="0.35">
      <c r="A2239">
        <v>41037</v>
      </c>
      <c r="B2239" t="s">
        <v>654</v>
      </c>
      <c r="C2239" t="s">
        <v>3690</v>
      </c>
    </row>
    <row r="2240" spans="1:3" x14ac:dyDescent="0.35">
      <c r="A2240">
        <v>41039</v>
      </c>
      <c r="B2240" t="s">
        <v>3174</v>
      </c>
      <c r="C2240" t="s">
        <v>3690</v>
      </c>
    </row>
    <row r="2241" spans="1:3" x14ac:dyDescent="0.35">
      <c r="A2241">
        <v>41041</v>
      </c>
      <c r="B2241" t="s">
        <v>494</v>
      </c>
      <c r="C2241" t="s">
        <v>3690</v>
      </c>
    </row>
    <row r="2242" spans="1:3" x14ac:dyDescent="0.35">
      <c r="A2242">
        <v>41043</v>
      </c>
      <c r="B2242" t="s">
        <v>2741</v>
      </c>
      <c r="C2242" t="s">
        <v>3690</v>
      </c>
    </row>
    <row r="2243" spans="1:3" x14ac:dyDescent="0.35">
      <c r="A2243">
        <v>41045</v>
      </c>
      <c r="B2243" t="s">
        <v>3700</v>
      </c>
      <c r="C2243" t="s">
        <v>3690</v>
      </c>
    </row>
    <row r="2244" spans="1:3" x14ac:dyDescent="0.35">
      <c r="A2244">
        <v>41047</v>
      </c>
      <c r="B2244" t="s">
        <v>365</v>
      </c>
      <c r="C2244" t="s">
        <v>3690</v>
      </c>
    </row>
    <row r="2245" spans="1:3" x14ac:dyDescent="0.35">
      <c r="A2245">
        <v>41049</v>
      </c>
      <c r="B2245" t="s">
        <v>3635</v>
      </c>
      <c r="C2245" t="s">
        <v>3690</v>
      </c>
    </row>
    <row r="2246" spans="1:3" x14ac:dyDescent="0.35">
      <c r="A2246">
        <v>41051</v>
      </c>
      <c r="B2246" t="s">
        <v>3701</v>
      </c>
      <c r="C2246" t="s">
        <v>3690</v>
      </c>
    </row>
    <row r="2247" spans="1:3" x14ac:dyDescent="0.35">
      <c r="A2247">
        <v>41053</v>
      </c>
      <c r="B2247" t="s">
        <v>530</v>
      </c>
      <c r="C2247" t="s">
        <v>3690</v>
      </c>
    </row>
    <row r="2248" spans="1:3" x14ac:dyDescent="0.35">
      <c r="A2248">
        <v>41055</v>
      </c>
      <c r="B2248" t="s">
        <v>2016</v>
      </c>
      <c r="C2248" t="s">
        <v>3690</v>
      </c>
    </row>
    <row r="2249" spans="1:3" x14ac:dyDescent="0.35">
      <c r="A2249">
        <v>41057</v>
      </c>
      <c r="B2249" t="s">
        <v>3702</v>
      </c>
      <c r="C2249" t="s">
        <v>3690</v>
      </c>
    </row>
    <row r="2250" spans="1:3" x14ac:dyDescent="0.35">
      <c r="A2250">
        <v>41059</v>
      </c>
      <c r="B2250" t="s">
        <v>3703</v>
      </c>
      <c r="C2250" t="s">
        <v>3690</v>
      </c>
    </row>
    <row r="2251" spans="1:3" x14ac:dyDescent="0.35">
      <c r="A2251">
        <v>41061</v>
      </c>
      <c r="B2251" t="s">
        <v>518</v>
      </c>
      <c r="C2251" t="s">
        <v>3690</v>
      </c>
    </row>
    <row r="2252" spans="1:3" x14ac:dyDescent="0.35">
      <c r="A2252">
        <v>41063</v>
      </c>
      <c r="B2252" t="s">
        <v>3704</v>
      </c>
      <c r="C2252" t="s">
        <v>3690</v>
      </c>
    </row>
    <row r="2253" spans="1:3" x14ac:dyDescent="0.35">
      <c r="A2253">
        <v>41065</v>
      </c>
      <c r="B2253" t="s">
        <v>3705</v>
      </c>
      <c r="C2253" t="s">
        <v>3690</v>
      </c>
    </row>
    <row r="2254" spans="1:3" x14ac:dyDescent="0.35">
      <c r="A2254">
        <v>41067</v>
      </c>
      <c r="B2254" t="s">
        <v>385</v>
      </c>
      <c r="C2254" t="s">
        <v>3690</v>
      </c>
    </row>
    <row r="2255" spans="1:3" x14ac:dyDescent="0.35">
      <c r="A2255">
        <v>41069</v>
      </c>
      <c r="B2255" t="s">
        <v>971</v>
      </c>
      <c r="C2255" t="s">
        <v>3690</v>
      </c>
    </row>
    <row r="2256" spans="1:3" x14ac:dyDescent="0.35">
      <c r="A2256">
        <v>41071</v>
      </c>
      <c r="B2256" t="s">
        <v>3706</v>
      </c>
      <c r="C2256" t="s">
        <v>3690</v>
      </c>
    </row>
    <row r="2257" spans="1:3" x14ac:dyDescent="0.35">
      <c r="A2257">
        <v>42001</v>
      </c>
      <c r="B2257" t="s">
        <v>1255</v>
      </c>
      <c r="C2257" t="s">
        <v>3707</v>
      </c>
    </row>
    <row r="2258" spans="1:3" x14ac:dyDescent="0.35">
      <c r="A2258">
        <v>42003</v>
      </c>
      <c r="B2258" t="s">
        <v>3708</v>
      </c>
      <c r="C2258" t="s">
        <v>3707</v>
      </c>
    </row>
    <row r="2259" spans="1:3" x14ac:dyDescent="0.35">
      <c r="A2259">
        <v>42005</v>
      </c>
      <c r="B2259" t="s">
        <v>1972</v>
      </c>
      <c r="C2259" t="s">
        <v>3707</v>
      </c>
    </row>
    <row r="2260" spans="1:3" x14ac:dyDescent="0.35">
      <c r="A2260">
        <v>42007</v>
      </c>
      <c r="B2260" t="s">
        <v>2771</v>
      </c>
      <c r="C2260" t="s">
        <v>3707</v>
      </c>
    </row>
    <row r="2261" spans="1:3" x14ac:dyDescent="0.35">
      <c r="A2261">
        <v>42009</v>
      </c>
      <c r="B2261" t="s">
        <v>1915</v>
      </c>
      <c r="C2261" t="s">
        <v>3707</v>
      </c>
    </row>
    <row r="2262" spans="1:3" x14ac:dyDescent="0.35">
      <c r="A2262">
        <v>42011</v>
      </c>
      <c r="B2262" t="s">
        <v>3709</v>
      </c>
      <c r="C2262" t="s">
        <v>3707</v>
      </c>
    </row>
    <row r="2263" spans="1:3" x14ac:dyDescent="0.35">
      <c r="A2263">
        <v>42013</v>
      </c>
      <c r="B2263" t="s">
        <v>3710</v>
      </c>
      <c r="C2263" t="s">
        <v>3707</v>
      </c>
    </row>
    <row r="2264" spans="1:3" x14ac:dyDescent="0.35">
      <c r="A2264">
        <v>42015</v>
      </c>
      <c r="B2264" t="s">
        <v>551</v>
      </c>
      <c r="C2264" t="s">
        <v>3707</v>
      </c>
    </row>
    <row r="2265" spans="1:3" x14ac:dyDescent="0.35">
      <c r="A2265">
        <v>42017</v>
      </c>
      <c r="B2265" t="s">
        <v>3711</v>
      </c>
      <c r="C2265" t="s">
        <v>3707</v>
      </c>
    </row>
    <row r="2266" spans="1:3" x14ac:dyDescent="0.35">
      <c r="A2266">
        <v>42019</v>
      </c>
      <c r="B2266" t="s">
        <v>319</v>
      </c>
      <c r="C2266" t="s">
        <v>3707</v>
      </c>
    </row>
    <row r="2267" spans="1:3" x14ac:dyDescent="0.35">
      <c r="A2267">
        <v>42021</v>
      </c>
      <c r="B2267" t="s">
        <v>3712</v>
      </c>
      <c r="C2267" t="s">
        <v>3707</v>
      </c>
    </row>
    <row r="2268" spans="1:3" x14ac:dyDescent="0.35">
      <c r="A2268">
        <v>42023</v>
      </c>
      <c r="B2268" t="s">
        <v>2062</v>
      </c>
      <c r="C2268" t="s">
        <v>3707</v>
      </c>
    </row>
    <row r="2269" spans="1:3" x14ac:dyDescent="0.35">
      <c r="A2269">
        <v>42025</v>
      </c>
      <c r="B2269" t="s">
        <v>2774</v>
      </c>
      <c r="C2269" t="s">
        <v>3707</v>
      </c>
    </row>
    <row r="2270" spans="1:3" x14ac:dyDescent="0.35">
      <c r="A2270">
        <v>42027</v>
      </c>
      <c r="B2270" t="s">
        <v>3713</v>
      </c>
      <c r="C2270" t="s">
        <v>3707</v>
      </c>
    </row>
    <row r="2271" spans="1:3" x14ac:dyDescent="0.35">
      <c r="A2271">
        <v>42029</v>
      </c>
      <c r="B2271" t="s">
        <v>1695</v>
      </c>
      <c r="C2271" t="s">
        <v>3707</v>
      </c>
    </row>
    <row r="2272" spans="1:3" x14ac:dyDescent="0.35">
      <c r="A2272">
        <v>42031</v>
      </c>
      <c r="B2272" t="s">
        <v>3714</v>
      </c>
      <c r="C2272" t="s">
        <v>3707</v>
      </c>
    </row>
    <row r="2273" spans="1:3" x14ac:dyDescent="0.35">
      <c r="A2273">
        <v>42033</v>
      </c>
      <c r="B2273" t="s">
        <v>3715</v>
      </c>
      <c r="C2273" t="s">
        <v>3707</v>
      </c>
    </row>
    <row r="2274" spans="1:3" x14ac:dyDescent="0.35">
      <c r="A2274">
        <v>42035</v>
      </c>
      <c r="B2274" t="s">
        <v>2727</v>
      </c>
      <c r="C2274" t="s">
        <v>3707</v>
      </c>
    </row>
    <row r="2275" spans="1:3" x14ac:dyDescent="0.35">
      <c r="A2275">
        <v>42037</v>
      </c>
      <c r="B2275" t="s">
        <v>508</v>
      </c>
      <c r="C2275" t="s">
        <v>3707</v>
      </c>
    </row>
    <row r="2276" spans="1:3" x14ac:dyDescent="0.35">
      <c r="A2276">
        <v>42039</v>
      </c>
      <c r="B2276" t="s">
        <v>526</v>
      </c>
      <c r="C2276" t="s">
        <v>3707</v>
      </c>
    </row>
    <row r="2277" spans="1:3" x14ac:dyDescent="0.35">
      <c r="A2277">
        <v>42041</v>
      </c>
      <c r="B2277" t="s">
        <v>1561</v>
      </c>
      <c r="C2277" t="s">
        <v>3707</v>
      </c>
    </row>
    <row r="2278" spans="1:3" x14ac:dyDescent="0.35">
      <c r="A2278">
        <v>42043</v>
      </c>
      <c r="B2278" t="s">
        <v>3716</v>
      </c>
      <c r="C2278" t="s">
        <v>3707</v>
      </c>
    </row>
    <row r="2279" spans="1:3" x14ac:dyDescent="0.35">
      <c r="A2279">
        <v>42045</v>
      </c>
      <c r="B2279" t="s">
        <v>3085</v>
      </c>
      <c r="C2279" t="s">
        <v>3707</v>
      </c>
    </row>
    <row r="2280" spans="1:3" x14ac:dyDescent="0.35">
      <c r="A2280">
        <v>42047</v>
      </c>
      <c r="B2280" t="s">
        <v>3161</v>
      </c>
      <c r="C2280" t="s">
        <v>3707</v>
      </c>
    </row>
    <row r="2281" spans="1:3" x14ac:dyDescent="0.35">
      <c r="A2281">
        <v>42049</v>
      </c>
      <c r="B2281" t="s">
        <v>3556</v>
      </c>
      <c r="C2281" t="s">
        <v>3707</v>
      </c>
    </row>
    <row r="2282" spans="1:3" x14ac:dyDescent="0.35">
      <c r="A2282">
        <v>42051</v>
      </c>
      <c r="B2282" t="s">
        <v>353</v>
      </c>
      <c r="C2282" t="s">
        <v>3707</v>
      </c>
    </row>
    <row r="2283" spans="1:3" x14ac:dyDescent="0.35">
      <c r="A2283">
        <v>42053</v>
      </c>
      <c r="B2283" t="s">
        <v>3717</v>
      </c>
      <c r="C2283" t="s">
        <v>3707</v>
      </c>
    </row>
    <row r="2284" spans="1:3" x14ac:dyDescent="0.35">
      <c r="A2284">
        <v>42055</v>
      </c>
      <c r="B2284" t="s">
        <v>355</v>
      </c>
      <c r="C2284" t="s">
        <v>3707</v>
      </c>
    </row>
    <row r="2285" spans="1:3" x14ac:dyDescent="0.35">
      <c r="A2285">
        <v>42057</v>
      </c>
      <c r="B2285" t="s">
        <v>422</v>
      </c>
      <c r="C2285" t="s">
        <v>3707</v>
      </c>
    </row>
    <row r="2286" spans="1:3" x14ac:dyDescent="0.35">
      <c r="A2286">
        <v>42059</v>
      </c>
      <c r="B2286" t="s">
        <v>305</v>
      </c>
      <c r="C2286" t="s">
        <v>3707</v>
      </c>
    </row>
    <row r="2287" spans="1:3" x14ac:dyDescent="0.35">
      <c r="A2287">
        <v>42061</v>
      </c>
      <c r="B2287" t="s">
        <v>3718</v>
      </c>
      <c r="C2287" t="s">
        <v>3707</v>
      </c>
    </row>
    <row r="2288" spans="1:3" x14ac:dyDescent="0.35">
      <c r="A2288">
        <v>42063</v>
      </c>
      <c r="B2288" t="s">
        <v>3719</v>
      </c>
      <c r="C2288" t="s">
        <v>3707</v>
      </c>
    </row>
    <row r="2289" spans="1:3" x14ac:dyDescent="0.35">
      <c r="A2289">
        <v>42065</v>
      </c>
      <c r="B2289" t="s">
        <v>247</v>
      </c>
      <c r="C2289" t="s">
        <v>3707</v>
      </c>
    </row>
    <row r="2290" spans="1:3" x14ac:dyDescent="0.35">
      <c r="A2290">
        <v>42067</v>
      </c>
      <c r="B2290" t="s">
        <v>3720</v>
      </c>
      <c r="C2290" t="s">
        <v>3707</v>
      </c>
    </row>
    <row r="2291" spans="1:3" x14ac:dyDescent="0.35">
      <c r="A2291">
        <v>42069</v>
      </c>
      <c r="B2291" t="s">
        <v>3721</v>
      </c>
      <c r="C2291" t="s">
        <v>3707</v>
      </c>
    </row>
    <row r="2292" spans="1:3" x14ac:dyDescent="0.35">
      <c r="A2292">
        <v>42071</v>
      </c>
      <c r="B2292" t="s">
        <v>1745</v>
      </c>
      <c r="C2292" t="s">
        <v>3707</v>
      </c>
    </row>
    <row r="2293" spans="1:3" x14ac:dyDescent="0.35">
      <c r="A2293">
        <v>42073</v>
      </c>
      <c r="B2293" t="s">
        <v>261</v>
      </c>
      <c r="C2293" t="s">
        <v>3707</v>
      </c>
    </row>
    <row r="2294" spans="1:3" x14ac:dyDescent="0.35">
      <c r="A2294">
        <v>42075</v>
      </c>
      <c r="B2294" t="s">
        <v>3722</v>
      </c>
      <c r="C2294" t="s">
        <v>3707</v>
      </c>
    </row>
    <row r="2295" spans="1:3" x14ac:dyDescent="0.35">
      <c r="A2295">
        <v>42077</v>
      </c>
      <c r="B2295" t="s">
        <v>3723</v>
      </c>
      <c r="C2295" t="s">
        <v>3707</v>
      </c>
    </row>
    <row r="2296" spans="1:3" x14ac:dyDescent="0.35">
      <c r="A2296">
        <v>42079</v>
      </c>
      <c r="B2296" t="s">
        <v>3724</v>
      </c>
      <c r="C2296" t="s">
        <v>3707</v>
      </c>
    </row>
    <row r="2297" spans="1:3" x14ac:dyDescent="0.35">
      <c r="A2297">
        <v>42081</v>
      </c>
      <c r="B2297" t="s">
        <v>3725</v>
      </c>
      <c r="C2297" t="s">
        <v>3707</v>
      </c>
    </row>
    <row r="2298" spans="1:3" x14ac:dyDescent="0.35">
      <c r="A2298">
        <v>42083</v>
      </c>
      <c r="B2298" t="s">
        <v>3726</v>
      </c>
      <c r="C2298" t="s">
        <v>3707</v>
      </c>
    </row>
    <row r="2299" spans="1:3" x14ac:dyDescent="0.35">
      <c r="A2299">
        <v>42085</v>
      </c>
      <c r="B2299" t="s">
        <v>2745</v>
      </c>
      <c r="C2299" t="s">
        <v>3707</v>
      </c>
    </row>
    <row r="2300" spans="1:3" x14ac:dyDescent="0.35">
      <c r="A2300">
        <v>42087</v>
      </c>
      <c r="B2300" t="s">
        <v>3727</v>
      </c>
      <c r="C2300" t="s">
        <v>3707</v>
      </c>
    </row>
    <row r="2301" spans="1:3" x14ac:dyDescent="0.35">
      <c r="A2301">
        <v>42089</v>
      </c>
      <c r="B2301" t="s">
        <v>369</v>
      </c>
      <c r="C2301" t="s">
        <v>3707</v>
      </c>
    </row>
    <row r="2302" spans="1:3" x14ac:dyDescent="0.35">
      <c r="A2302">
        <v>42091</v>
      </c>
      <c r="B2302" t="s">
        <v>301</v>
      </c>
      <c r="C2302" t="s">
        <v>3707</v>
      </c>
    </row>
    <row r="2303" spans="1:3" x14ac:dyDescent="0.35">
      <c r="A2303">
        <v>42093</v>
      </c>
      <c r="B2303" t="s">
        <v>3728</v>
      </c>
      <c r="C2303" t="s">
        <v>3707</v>
      </c>
    </row>
    <row r="2304" spans="1:3" x14ac:dyDescent="0.35">
      <c r="A2304">
        <v>42095</v>
      </c>
      <c r="B2304" t="s">
        <v>1607</v>
      </c>
      <c r="C2304" t="s">
        <v>3707</v>
      </c>
    </row>
    <row r="2305" spans="1:3" x14ac:dyDescent="0.35">
      <c r="A2305">
        <v>42097</v>
      </c>
      <c r="B2305" t="s">
        <v>3729</v>
      </c>
      <c r="C2305" t="s">
        <v>3707</v>
      </c>
    </row>
    <row r="2306" spans="1:3" x14ac:dyDescent="0.35">
      <c r="A2306">
        <v>42099</v>
      </c>
      <c r="B2306" t="s">
        <v>371</v>
      </c>
      <c r="C2306" t="s">
        <v>3707</v>
      </c>
    </row>
    <row r="2307" spans="1:3" x14ac:dyDescent="0.35">
      <c r="A2307">
        <v>42101</v>
      </c>
      <c r="B2307" t="s">
        <v>3730</v>
      </c>
      <c r="C2307" t="s">
        <v>3707</v>
      </c>
    </row>
    <row r="2308" spans="1:3" x14ac:dyDescent="0.35">
      <c r="A2308">
        <v>42103</v>
      </c>
      <c r="B2308" t="s">
        <v>375</v>
      </c>
      <c r="C2308" t="s">
        <v>3707</v>
      </c>
    </row>
    <row r="2309" spans="1:3" x14ac:dyDescent="0.35">
      <c r="A2309">
        <v>42105</v>
      </c>
      <c r="B2309" t="s">
        <v>2010</v>
      </c>
      <c r="C2309" t="s">
        <v>3707</v>
      </c>
    </row>
    <row r="2310" spans="1:3" x14ac:dyDescent="0.35">
      <c r="A2310">
        <v>42107</v>
      </c>
      <c r="B2310" t="s">
        <v>3731</v>
      </c>
      <c r="C2310" t="s">
        <v>3707</v>
      </c>
    </row>
    <row r="2311" spans="1:3" x14ac:dyDescent="0.35">
      <c r="A2311">
        <v>42109</v>
      </c>
      <c r="B2311" t="s">
        <v>3732</v>
      </c>
      <c r="C2311" t="s">
        <v>3707</v>
      </c>
    </row>
    <row r="2312" spans="1:3" x14ac:dyDescent="0.35">
      <c r="A2312">
        <v>42111</v>
      </c>
      <c r="B2312" t="s">
        <v>3259</v>
      </c>
      <c r="C2312" t="s">
        <v>3707</v>
      </c>
    </row>
    <row r="2313" spans="1:3" x14ac:dyDescent="0.35">
      <c r="A2313">
        <v>42113</v>
      </c>
      <c r="B2313" t="s">
        <v>1801</v>
      </c>
      <c r="C2313" t="s">
        <v>3707</v>
      </c>
    </row>
    <row r="2314" spans="1:3" x14ac:dyDescent="0.35">
      <c r="A2314">
        <v>42115</v>
      </c>
      <c r="B2314" t="s">
        <v>3733</v>
      </c>
      <c r="C2314" t="s">
        <v>3707</v>
      </c>
    </row>
    <row r="2315" spans="1:3" x14ac:dyDescent="0.35">
      <c r="A2315">
        <v>42117</v>
      </c>
      <c r="B2315" t="s">
        <v>3573</v>
      </c>
      <c r="C2315" t="s">
        <v>3707</v>
      </c>
    </row>
    <row r="2316" spans="1:3" x14ac:dyDescent="0.35">
      <c r="A2316">
        <v>42119</v>
      </c>
      <c r="B2316" t="s">
        <v>518</v>
      </c>
      <c r="C2316" t="s">
        <v>3707</v>
      </c>
    </row>
    <row r="2317" spans="1:3" x14ac:dyDescent="0.35">
      <c r="A2317">
        <v>42121</v>
      </c>
      <c r="B2317" t="s">
        <v>3734</v>
      </c>
      <c r="C2317" t="s">
        <v>3707</v>
      </c>
    </row>
    <row r="2318" spans="1:3" x14ac:dyDescent="0.35">
      <c r="A2318">
        <v>42123</v>
      </c>
      <c r="B2318" t="s">
        <v>873</v>
      </c>
      <c r="C2318" t="s">
        <v>3707</v>
      </c>
    </row>
    <row r="2319" spans="1:3" x14ac:dyDescent="0.35">
      <c r="A2319">
        <v>42125</v>
      </c>
      <c r="B2319" t="s">
        <v>385</v>
      </c>
      <c r="C2319" t="s">
        <v>3707</v>
      </c>
    </row>
    <row r="2320" spans="1:3" x14ac:dyDescent="0.35">
      <c r="A2320">
        <v>42127</v>
      </c>
      <c r="B2320" t="s">
        <v>894</v>
      </c>
      <c r="C2320" t="s">
        <v>3707</v>
      </c>
    </row>
    <row r="2321" spans="1:3" x14ac:dyDescent="0.35">
      <c r="A2321">
        <v>42129</v>
      </c>
      <c r="B2321" t="s">
        <v>3735</v>
      </c>
      <c r="C2321" t="s">
        <v>3707</v>
      </c>
    </row>
    <row r="2322" spans="1:3" x14ac:dyDescent="0.35">
      <c r="A2322">
        <v>42131</v>
      </c>
      <c r="B2322" t="s">
        <v>2818</v>
      </c>
      <c r="C2322" t="s">
        <v>3707</v>
      </c>
    </row>
    <row r="2323" spans="1:3" x14ac:dyDescent="0.35">
      <c r="A2323">
        <v>42133</v>
      </c>
      <c r="B2323" t="s">
        <v>1789</v>
      </c>
      <c r="C2323" t="s">
        <v>3707</v>
      </c>
    </row>
    <row r="2324" spans="1:3" x14ac:dyDescent="0.35">
      <c r="A2324">
        <v>72001</v>
      </c>
      <c r="B2324" t="s">
        <v>3736</v>
      </c>
      <c r="C2324" t="s">
        <v>3737</v>
      </c>
    </row>
    <row r="2325" spans="1:3" x14ac:dyDescent="0.35">
      <c r="A2325">
        <v>72003</v>
      </c>
      <c r="B2325" t="s">
        <v>3738</v>
      </c>
      <c r="C2325" t="s">
        <v>3737</v>
      </c>
    </row>
    <row r="2326" spans="1:3" x14ac:dyDescent="0.35">
      <c r="A2326">
        <v>72005</v>
      </c>
      <c r="B2326" t="s">
        <v>3739</v>
      </c>
      <c r="C2326" t="s">
        <v>3737</v>
      </c>
    </row>
    <row r="2327" spans="1:3" x14ac:dyDescent="0.35">
      <c r="A2327">
        <v>72007</v>
      </c>
      <c r="B2327" t="s">
        <v>3740</v>
      </c>
      <c r="C2327" t="s">
        <v>3737</v>
      </c>
    </row>
    <row r="2328" spans="1:3" x14ac:dyDescent="0.35">
      <c r="A2328">
        <v>72009</v>
      </c>
      <c r="B2328" t="s">
        <v>3741</v>
      </c>
      <c r="C2328" t="s">
        <v>3737</v>
      </c>
    </row>
    <row r="2329" spans="1:3" x14ac:dyDescent="0.35">
      <c r="A2329">
        <v>72011</v>
      </c>
      <c r="B2329" t="s">
        <v>3742</v>
      </c>
      <c r="C2329" t="s">
        <v>3737</v>
      </c>
    </row>
    <row r="2330" spans="1:3" x14ac:dyDescent="0.35">
      <c r="A2330">
        <v>72013</v>
      </c>
      <c r="B2330" t="s">
        <v>3743</v>
      </c>
      <c r="C2330" t="s">
        <v>3737</v>
      </c>
    </row>
    <row r="2331" spans="1:3" x14ac:dyDescent="0.35">
      <c r="A2331">
        <v>72015</v>
      </c>
      <c r="B2331" t="s">
        <v>3744</v>
      </c>
      <c r="C2331" t="s">
        <v>3737</v>
      </c>
    </row>
    <row r="2332" spans="1:3" x14ac:dyDescent="0.35">
      <c r="A2332">
        <v>72017</v>
      </c>
      <c r="B2332" t="s">
        <v>3745</v>
      </c>
      <c r="C2332" t="s">
        <v>3737</v>
      </c>
    </row>
    <row r="2333" spans="1:3" x14ac:dyDescent="0.35">
      <c r="A2333">
        <v>72019</v>
      </c>
      <c r="B2333" t="s">
        <v>3746</v>
      </c>
      <c r="C2333" t="s">
        <v>3737</v>
      </c>
    </row>
    <row r="2334" spans="1:3" x14ac:dyDescent="0.35">
      <c r="A2334">
        <v>72021</v>
      </c>
      <c r="B2334" t="s">
        <v>3747</v>
      </c>
      <c r="C2334" t="s">
        <v>3737</v>
      </c>
    </row>
    <row r="2335" spans="1:3" x14ac:dyDescent="0.35">
      <c r="A2335">
        <v>72023</v>
      </c>
      <c r="B2335" t="s">
        <v>3748</v>
      </c>
      <c r="C2335" t="s">
        <v>3737</v>
      </c>
    </row>
    <row r="2336" spans="1:3" x14ac:dyDescent="0.35">
      <c r="A2336">
        <v>72025</v>
      </c>
      <c r="B2336" t="s">
        <v>3749</v>
      </c>
      <c r="C2336" t="s">
        <v>3737</v>
      </c>
    </row>
    <row r="2337" spans="1:3" x14ac:dyDescent="0.35">
      <c r="A2337">
        <v>72027</v>
      </c>
      <c r="B2337" t="s">
        <v>3750</v>
      </c>
      <c r="C2337" t="s">
        <v>3737</v>
      </c>
    </row>
    <row r="2338" spans="1:3" x14ac:dyDescent="0.35">
      <c r="A2338">
        <v>72029</v>
      </c>
      <c r="B2338" t="s">
        <v>3751</v>
      </c>
      <c r="C2338" t="s">
        <v>3737</v>
      </c>
    </row>
    <row r="2339" spans="1:3" x14ac:dyDescent="0.35">
      <c r="A2339">
        <v>72031</v>
      </c>
      <c r="B2339" t="s">
        <v>3752</v>
      </c>
      <c r="C2339" t="s">
        <v>3737</v>
      </c>
    </row>
    <row r="2340" spans="1:3" x14ac:dyDescent="0.35">
      <c r="A2340">
        <v>72033</v>
      </c>
      <c r="B2340" t="s">
        <v>3753</v>
      </c>
      <c r="C2340" t="s">
        <v>3737</v>
      </c>
    </row>
    <row r="2341" spans="1:3" x14ac:dyDescent="0.35">
      <c r="A2341">
        <v>72035</v>
      </c>
      <c r="B2341" t="s">
        <v>3754</v>
      </c>
      <c r="C2341" t="s">
        <v>3737</v>
      </c>
    </row>
    <row r="2342" spans="1:3" x14ac:dyDescent="0.35">
      <c r="A2342">
        <v>72037</v>
      </c>
      <c r="B2342" t="s">
        <v>3755</v>
      </c>
      <c r="C2342" t="s">
        <v>3737</v>
      </c>
    </row>
    <row r="2343" spans="1:3" x14ac:dyDescent="0.35">
      <c r="A2343">
        <v>72039</v>
      </c>
      <c r="B2343" t="s">
        <v>3756</v>
      </c>
      <c r="C2343" t="s">
        <v>3737</v>
      </c>
    </row>
    <row r="2344" spans="1:3" x14ac:dyDescent="0.35">
      <c r="A2344">
        <v>72041</v>
      </c>
      <c r="B2344" t="s">
        <v>3757</v>
      </c>
      <c r="C2344" t="s">
        <v>3737</v>
      </c>
    </row>
    <row r="2345" spans="1:3" x14ac:dyDescent="0.35">
      <c r="A2345">
        <v>72043</v>
      </c>
      <c r="B2345" t="s">
        <v>3758</v>
      </c>
      <c r="C2345" t="s">
        <v>3737</v>
      </c>
    </row>
    <row r="2346" spans="1:3" x14ac:dyDescent="0.35">
      <c r="A2346">
        <v>72045</v>
      </c>
      <c r="B2346" t="s">
        <v>3759</v>
      </c>
      <c r="C2346" t="s">
        <v>3737</v>
      </c>
    </row>
    <row r="2347" spans="1:3" x14ac:dyDescent="0.35">
      <c r="A2347">
        <v>72047</v>
      </c>
      <c r="B2347" t="s">
        <v>3760</v>
      </c>
      <c r="C2347" t="s">
        <v>3737</v>
      </c>
    </row>
    <row r="2348" spans="1:3" x14ac:dyDescent="0.35">
      <c r="A2348">
        <v>72049</v>
      </c>
      <c r="B2348" t="s">
        <v>3761</v>
      </c>
      <c r="C2348" t="s">
        <v>3737</v>
      </c>
    </row>
    <row r="2349" spans="1:3" x14ac:dyDescent="0.35">
      <c r="A2349">
        <v>72051</v>
      </c>
      <c r="B2349" t="s">
        <v>3762</v>
      </c>
      <c r="C2349" t="s">
        <v>3737</v>
      </c>
    </row>
    <row r="2350" spans="1:3" x14ac:dyDescent="0.35">
      <c r="A2350">
        <v>72053</v>
      </c>
      <c r="B2350" t="s">
        <v>3763</v>
      </c>
      <c r="C2350" t="s">
        <v>3737</v>
      </c>
    </row>
    <row r="2351" spans="1:3" x14ac:dyDescent="0.35">
      <c r="A2351">
        <v>72054</v>
      </c>
      <c r="B2351" t="s">
        <v>3764</v>
      </c>
      <c r="C2351" t="s">
        <v>3737</v>
      </c>
    </row>
    <row r="2352" spans="1:3" x14ac:dyDescent="0.35">
      <c r="A2352">
        <v>72055</v>
      </c>
      <c r="B2352" t="s">
        <v>3765</v>
      </c>
      <c r="C2352" t="s">
        <v>3737</v>
      </c>
    </row>
    <row r="2353" spans="1:3" x14ac:dyDescent="0.35">
      <c r="A2353">
        <v>72057</v>
      </c>
      <c r="B2353" t="s">
        <v>3766</v>
      </c>
      <c r="C2353" t="s">
        <v>3737</v>
      </c>
    </row>
    <row r="2354" spans="1:3" x14ac:dyDescent="0.35">
      <c r="A2354">
        <v>72059</v>
      </c>
      <c r="B2354" t="s">
        <v>3767</v>
      </c>
      <c r="C2354" t="s">
        <v>3737</v>
      </c>
    </row>
    <row r="2355" spans="1:3" x14ac:dyDescent="0.35">
      <c r="A2355">
        <v>72061</v>
      </c>
      <c r="B2355" t="s">
        <v>3768</v>
      </c>
      <c r="C2355" t="s">
        <v>3737</v>
      </c>
    </row>
    <row r="2356" spans="1:3" x14ac:dyDescent="0.35">
      <c r="A2356">
        <v>72063</v>
      </c>
      <c r="B2356" t="s">
        <v>3769</v>
      </c>
      <c r="C2356" t="s">
        <v>3737</v>
      </c>
    </row>
    <row r="2357" spans="1:3" x14ac:dyDescent="0.35">
      <c r="A2357">
        <v>72065</v>
      </c>
      <c r="B2357" t="s">
        <v>3770</v>
      </c>
      <c r="C2357" t="s">
        <v>3737</v>
      </c>
    </row>
    <row r="2358" spans="1:3" x14ac:dyDescent="0.35">
      <c r="A2358">
        <v>72067</v>
      </c>
      <c r="B2358" t="s">
        <v>3771</v>
      </c>
      <c r="C2358" t="s">
        <v>3737</v>
      </c>
    </row>
    <row r="2359" spans="1:3" x14ac:dyDescent="0.35">
      <c r="A2359">
        <v>72069</v>
      </c>
      <c r="B2359" t="s">
        <v>3772</v>
      </c>
      <c r="C2359" t="s">
        <v>3737</v>
      </c>
    </row>
    <row r="2360" spans="1:3" x14ac:dyDescent="0.35">
      <c r="A2360">
        <v>72071</v>
      </c>
      <c r="B2360" t="s">
        <v>3773</v>
      </c>
      <c r="C2360" t="s">
        <v>3737</v>
      </c>
    </row>
    <row r="2361" spans="1:3" x14ac:dyDescent="0.35">
      <c r="A2361">
        <v>72073</v>
      </c>
      <c r="B2361" t="s">
        <v>3774</v>
      </c>
      <c r="C2361" t="s">
        <v>3737</v>
      </c>
    </row>
    <row r="2362" spans="1:3" x14ac:dyDescent="0.35">
      <c r="A2362">
        <v>72075</v>
      </c>
      <c r="B2362" t="s">
        <v>3775</v>
      </c>
      <c r="C2362" t="s">
        <v>3737</v>
      </c>
    </row>
    <row r="2363" spans="1:3" x14ac:dyDescent="0.35">
      <c r="A2363">
        <v>72077</v>
      </c>
      <c r="B2363" t="s">
        <v>3776</v>
      </c>
      <c r="C2363" t="s">
        <v>3737</v>
      </c>
    </row>
    <row r="2364" spans="1:3" x14ac:dyDescent="0.35">
      <c r="A2364">
        <v>72079</v>
      </c>
      <c r="B2364" t="s">
        <v>3777</v>
      </c>
      <c r="C2364" t="s">
        <v>3737</v>
      </c>
    </row>
    <row r="2365" spans="1:3" x14ac:dyDescent="0.35">
      <c r="A2365">
        <v>72081</v>
      </c>
      <c r="B2365" t="s">
        <v>3778</v>
      </c>
      <c r="C2365" t="s">
        <v>3737</v>
      </c>
    </row>
    <row r="2366" spans="1:3" x14ac:dyDescent="0.35">
      <c r="A2366">
        <v>72083</v>
      </c>
      <c r="B2366" t="s">
        <v>3779</v>
      </c>
      <c r="C2366" t="s">
        <v>3737</v>
      </c>
    </row>
    <row r="2367" spans="1:3" x14ac:dyDescent="0.35">
      <c r="A2367">
        <v>72085</v>
      </c>
      <c r="B2367" t="s">
        <v>3780</v>
      </c>
      <c r="C2367" t="s">
        <v>3737</v>
      </c>
    </row>
    <row r="2368" spans="1:3" x14ac:dyDescent="0.35">
      <c r="A2368">
        <v>72087</v>
      </c>
      <c r="B2368" t="s">
        <v>3781</v>
      </c>
      <c r="C2368" t="s">
        <v>3737</v>
      </c>
    </row>
    <row r="2369" spans="1:3" x14ac:dyDescent="0.35">
      <c r="A2369">
        <v>72089</v>
      </c>
      <c r="B2369" t="s">
        <v>3782</v>
      </c>
      <c r="C2369" t="s">
        <v>3737</v>
      </c>
    </row>
    <row r="2370" spans="1:3" x14ac:dyDescent="0.35">
      <c r="A2370">
        <v>72091</v>
      </c>
      <c r="B2370" t="s">
        <v>3783</v>
      </c>
      <c r="C2370" t="s">
        <v>3737</v>
      </c>
    </row>
    <row r="2371" spans="1:3" x14ac:dyDescent="0.35">
      <c r="A2371">
        <v>72093</v>
      </c>
      <c r="B2371" t="s">
        <v>3784</v>
      </c>
      <c r="C2371" t="s">
        <v>3737</v>
      </c>
    </row>
    <row r="2372" spans="1:3" x14ac:dyDescent="0.35">
      <c r="A2372">
        <v>72095</v>
      </c>
      <c r="B2372" t="s">
        <v>3785</v>
      </c>
      <c r="C2372" t="s">
        <v>3737</v>
      </c>
    </row>
    <row r="2373" spans="1:3" x14ac:dyDescent="0.35">
      <c r="A2373">
        <v>72097</v>
      </c>
      <c r="B2373" t="s">
        <v>3786</v>
      </c>
      <c r="C2373" t="s">
        <v>3737</v>
      </c>
    </row>
    <row r="2374" spans="1:3" x14ac:dyDescent="0.35">
      <c r="A2374">
        <v>72099</v>
      </c>
      <c r="B2374" t="s">
        <v>3787</v>
      </c>
      <c r="C2374" t="s">
        <v>3737</v>
      </c>
    </row>
    <row r="2375" spans="1:3" x14ac:dyDescent="0.35">
      <c r="A2375">
        <v>72101</v>
      </c>
      <c r="B2375" t="s">
        <v>3788</v>
      </c>
      <c r="C2375" t="s">
        <v>3737</v>
      </c>
    </row>
    <row r="2376" spans="1:3" x14ac:dyDescent="0.35">
      <c r="A2376">
        <v>72103</v>
      </c>
      <c r="B2376" t="s">
        <v>3789</v>
      </c>
      <c r="C2376" t="s">
        <v>3737</v>
      </c>
    </row>
    <row r="2377" spans="1:3" x14ac:dyDescent="0.35">
      <c r="A2377">
        <v>72105</v>
      </c>
      <c r="B2377" t="s">
        <v>3790</v>
      </c>
      <c r="C2377" t="s">
        <v>3737</v>
      </c>
    </row>
    <row r="2378" spans="1:3" x14ac:dyDescent="0.35">
      <c r="A2378">
        <v>72107</v>
      </c>
      <c r="B2378" t="s">
        <v>3791</v>
      </c>
      <c r="C2378" t="s">
        <v>3737</v>
      </c>
    </row>
    <row r="2379" spans="1:3" x14ac:dyDescent="0.35">
      <c r="A2379">
        <v>72109</v>
      </c>
      <c r="B2379" t="s">
        <v>3792</v>
      </c>
      <c r="C2379" t="s">
        <v>3737</v>
      </c>
    </row>
    <row r="2380" spans="1:3" x14ac:dyDescent="0.35">
      <c r="A2380">
        <v>72111</v>
      </c>
      <c r="B2380" t="s">
        <v>3793</v>
      </c>
      <c r="C2380" t="s">
        <v>3737</v>
      </c>
    </row>
    <row r="2381" spans="1:3" x14ac:dyDescent="0.35">
      <c r="A2381">
        <v>72113</v>
      </c>
      <c r="B2381" t="s">
        <v>3794</v>
      </c>
      <c r="C2381" t="s">
        <v>3737</v>
      </c>
    </row>
    <row r="2382" spans="1:3" x14ac:dyDescent="0.35">
      <c r="A2382">
        <v>72115</v>
      </c>
      <c r="B2382" t="s">
        <v>3795</v>
      </c>
      <c r="C2382" t="s">
        <v>3737</v>
      </c>
    </row>
    <row r="2383" spans="1:3" x14ac:dyDescent="0.35">
      <c r="A2383">
        <v>72117</v>
      </c>
      <c r="B2383" t="s">
        <v>3796</v>
      </c>
      <c r="C2383" t="s">
        <v>3737</v>
      </c>
    </row>
    <row r="2384" spans="1:3" x14ac:dyDescent="0.35">
      <c r="A2384">
        <v>72119</v>
      </c>
      <c r="B2384" t="s">
        <v>3797</v>
      </c>
      <c r="C2384" t="s">
        <v>3737</v>
      </c>
    </row>
    <row r="2385" spans="1:3" x14ac:dyDescent="0.35">
      <c r="A2385">
        <v>72121</v>
      </c>
      <c r="B2385" t="s">
        <v>3798</v>
      </c>
      <c r="C2385" t="s">
        <v>3737</v>
      </c>
    </row>
    <row r="2386" spans="1:3" x14ac:dyDescent="0.35">
      <c r="A2386">
        <v>72123</v>
      </c>
      <c r="B2386" t="s">
        <v>3799</v>
      </c>
      <c r="C2386" t="s">
        <v>3737</v>
      </c>
    </row>
    <row r="2387" spans="1:3" x14ac:dyDescent="0.35">
      <c r="A2387">
        <v>72125</v>
      </c>
      <c r="B2387" t="s">
        <v>3800</v>
      </c>
      <c r="C2387" t="s">
        <v>3737</v>
      </c>
    </row>
    <row r="2388" spans="1:3" x14ac:dyDescent="0.35">
      <c r="A2388">
        <v>72127</v>
      </c>
      <c r="B2388" t="s">
        <v>3801</v>
      </c>
      <c r="C2388" t="s">
        <v>3737</v>
      </c>
    </row>
    <row r="2389" spans="1:3" x14ac:dyDescent="0.35">
      <c r="A2389">
        <v>72129</v>
      </c>
      <c r="B2389" t="s">
        <v>3802</v>
      </c>
      <c r="C2389" t="s">
        <v>3737</v>
      </c>
    </row>
    <row r="2390" spans="1:3" x14ac:dyDescent="0.35">
      <c r="A2390">
        <v>72131</v>
      </c>
      <c r="B2390" t="s">
        <v>3803</v>
      </c>
      <c r="C2390" t="s">
        <v>3737</v>
      </c>
    </row>
    <row r="2391" spans="1:3" x14ac:dyDescent="0.35">
      <c r="A2391">
        <v>72133</v>
      </c>
      <c r="B2391" t="s">
        <v>3804</v>
      </c>
      <c r="C2391" t="s">
        <v>3737</v>
      </c>
    </row>
    <row r="2392" spans="1:3" x14ac:dyDescent="0.35">
      <c r="A2392">
        <v>72135</v>
      </c>
      <c r="B2392" t="s">
        <v>3805</v>
      </c>
      <c r="C2392" t="s">
        <v>3737</v>
      </c>
    </row>
    <row r="2393" spans="1:3" x14ac:dyDescent="0.35">
      <c r="A2393">
        <v>72137</v>
      </c>
      <c r="B2393" t="s">
        <v>3806</v>
      </c>
      <c r="C2393" t="s">
        <v>3737</v>
      </c>
    </row>
    <row r="2394" spans="1:3" x14ac:dyDescent="0.35">
      <c r="A2394">
        <v>72139</v>
      </c>
      <c r="B2394" t="s">
        <v>3807</v>
      </c>
      <c r="C2394" t="s">
        <v>3737</v>
      </c>
    </row>
    <row r="2395" spans="1:3" x14ac:dyDescent="0.35">
      <c r="A2395">
        <v>72141</v>
      </c>
      <c r="B2395" t="s">
        <v>3808</v>
      </c>
      <c r="C2395" t="s">
        <v>3737</v>
      </c>
    </row>
    <row r="2396" spans="1:3" x14ac:dyDescent="0.35">
      <c r="A2396">
        <v>72143</v>
      </c>
      <c r="B2396" t="s">
        <v>3809</v>
      </c>
      <c r="C2396" t="s">
        <v>3737</v>
      </c>
    </row>
    <row r="2397" spans="1:3" x14ac:dyDescent="0.35">
      <c r="A2397">
        <v>72145</v>
      </c>
      <c r="B2397" t="s">
        <v>3810</v>
      </c>
      <c r="C2397" t="s">
        <v>3737</v>
      </c>
    </row>
    <row r="2398" spans="1:3" x14ac:dyDescent="0.35">
      <c r="A2398">
        <v>72147</v>
      </c>
      <c r="B2398" t="s">
        <v>3811</v>
      </c>
      <c r="C2398" t="s">
        <v>3737</v>
      </c>
    </row>
    <row r="2399" spans="1:3" x14ac:dyDescent="0.35">
      <c r="A2399">
        <v>72149</v>
      </c>
      <c r="B2399" t="s">
        <v>3812</v>
      </c>
      <c r="C2399" t="s">
        <v>3737</v>
      </c>
    </row>
    <row r="2400" spans="1:3" x14ac:dyDescent="0.35">
      <c r="A2400">
        <v>72151</v>
      </c>
      <c r="B2400" t="s">
        <v>3813</v>
      </c>
      <c r="C2400" t="s">
        <v>3737</v>
      </c>
    </row>
    <row r="2401" spans="1:3" x14ac:dyDescent="0.35">
      <c r="A2401">
        <v>72153</v>
      </c>
      <c r="B2401" t="s">
        <v>3814</v>
      </c>
      <c r="C2401" t="s">
        <v>3737</v>
      </c>
    </row>
    <row r="2402" spans="1:3" x14ac:dyDescent="0.35">
      <c r="A2402">
        <v>44001</v>
      </c>
      <c r="B2402" t="s">
        <v>3815</v>
      </c>
      <c r="C2402" t="s">
        <v>3816</v>
      </c>
    </row>
    <row r="2403" spans="1:3" x14ac:dyDescent="0.35">
      <c r="A2403">
        <v>44003</v>
      </c>
      <c r="B2403" t="s">
        <v>3817</v>
      </c>
      <c r="C2403" t="s">
        <v>3816</v>
      </c>
    </row>
    <row r="2404" spans="1:3" x14ac:dyDescent="0.35">
      <c r="A2404">
        <v>44005</v>
      </c>
      <c r="B2404" t="s">
        <v>3818</v>
      </c>
      <c r="C2404" t="s">
        <v>3816</v>
      </c>
    </row>
    <row r="2405" spans="1:3" x14ac:dyDescent="0.35">
      <c r="A2405">
        <v>44007</v>
      </c>
      <c r="B2405" t="s">
        <v>3819</v>
      </c>
      <c r="C2405" t="s">
        <v>3816</v>
      </c>
    </row>
    <row r="2406" spans="1:3" x14ac:dyDescent="0.35">
      <c r="A2406">
        <v>44009</v>
      </c>
      <c r="B2406" t="s">
        <v>3820</v>
      </c>
      <c r="C2406" t="s">
        <v>3816</v>
      </c>
    </row>
    <row r="2407" spans="1:3" x14ac:dyDescent="0.35">
      <c r="A2407">
        <v>45001</v>
      </c>
      <c r="B2407" t="s">
        <v>1665</v>
      </c>
      <c r="C2407" t="s">
        <v>3821</v>
      </c>
    </row>
    <row r="2408" spans="1:3" x14ac:dyDescent="0.35">
      <c r="A2408">
        <v>45003</v>
      </c>
      <c r="B2408" t="s">
        <v>1668</v>
      </c>
      <c r="C2408" t="s">
        <v>3821</v>
      </c>
    </row>
    <row r="2409" spans="1:3" x14ac:dyDescent="0.35">
      <c r="A2409">
        <v>45005</v>
      </c>
      <c r="B2409" t="s">
        <v>1671</v>
      </c>
      <c r="C2409" t="s">
        <v>3821</v>
      </c>
    </row>
    <row r="2410" spans="1:3" x14ac:dyDescent="0.35">
      <c r="A2410">
        <v>45007</v>
      </c>
      <c r="B2410" t="s">
        <v>1674</v>
      </c>
      <c r="C2410" t="s">
        <v>3821</v>
      </c>
    </row>
    <row r="2411" spans="1:3" x14ac:dyDescent="0.35">
      <c r="A2411">
        <v>45009</v>
      </c>
      <c r="B2411" t="s">
        <v>1677</v>
      </c>
      <c r="C2411" t="s">
        <v>3821</v>
      </c>
    </row>
    <row r="2412" spans="1:3" x14ac:dyDescent="0.35">
      <c r="A2412">
        <v>45011</v>
      </c>
      <c r="B2412" t="s">
        <v>1680</v>
      </c>
      <c r="C2412" t="s">
        <v>3821</v>
      </c>
    </row>
    <row r="2413" spans="1:3" x14ac:dyDescent="0.35">
      <c r="A2413">
        <v>45013</v>
      </c>
      <c r="B2413" t="s">
        <v>1644</v>
      </c>
      <c r="C2413" t="s">
        <v>3821</v>
      </c>
    </row>
    <row r="2414" spans="1:3" x14ac:dyDescent="0.35">
      <c r="A2414">
        <v>45015</v>
      </c>
      <c r="B2414" t="s">
        <v>1685</v>
      </c>
      <c r="C2414" t="s">
        <v>3821</v>
      </c>
    </row>
    <row r="2415" spans="1:3" x14ac:dyDescent="0.35">
      <c r="A2415">
        <v>45017</v>
      </c>
      <c r="B2415" t="s">
        <v>233</v>
      </c>
      <c r="C2415" t="s">
        <v>3821</v>
      </c>
    </row>
    <row r="2416" spans="1:3" x14ac:dyDescent="0.35">
      <c r="A2416">
        <v>45019</v>
      </c>
      <c r="B2416" t="s">
        <v>1690</v>
      </c>
      <c r="C2416" t="s">
        <v>3821</v>
      </c>
    </row>
    <row r="2417" spans="1:3" x14ac:dyDescent="0.35">
      <c r="A2417">
        <v>45021</v>
      </c>
      <c r="B2417" t="s">
        <v>323</v>
      </c>
      <c r="C2417" t="s">
        <v>3821</v>
      </c>
    </row>
    <row r="2418" spans="1:3" x14ac:dyDescent="0.35">
      <c r="A2418">
        <v>45023</v>
      </c>
      <c r="B2418" t="s">
        <v>1695</v>
      </c>
      <c r="C2418" t="s">
        <v>3821</v>
      </c>
    </row>
    <row r="2419" spans="1:3" x14ac:dyDescent="0.35">
      <c r="A2419">
        <v>45025</v>
      </c>
      <c r="B2419" t="s">
        <v>1698</v>
      </c>
      <c r="C2419" t="s">
        <v>3821</v>
      </c>
    </row>
    <row r="2420" spans="1:3" x14ac:dyDescent="0.35">
      <c r="A2420">
        <v>45027</v>
      </c>
      <c r="B2420" t="s">
        <v>1701</v>
      </c>
      <c r="C2420" t="s">
        <v>3821</v>
      </c>
    </row>
    <row r="2421" spans="1:3" x14ac:dyDescent="0.35">
      <c r="A2421">
        <v>45029</v>
      </c>
      <c r="B2421" t="s">
        <v>1704</v>
      </c>
      <c r="C2421" t="s">
        <v>3821</v>
      </c>
    </row>
    <row r="2422" spans="1:3" x14ac:dyDescent="0.35">
      <c r="A2422">
        <v>45031</v>
      </c>
      <c r="B2422" t="s">
        <v>1707</v>
      </c>
      <c r="C2422" t="s">
        <v>3821</v>
      </c>
    </row>
    <row r="2423" spans="1:3" x14ac:dyDescent="0.35">
      <c r="A2423">
        <v>45033</v>
      </c>
      <c r="B2423" t="s">
        <v>1710</v>
      </c>
      <c r="C2423" t="s">
        <v>3821</v>
      </c>
    </row>
    <row r="2424" spans="1:3" x14ac:dyDescent="0.35">
      <c r="A2424">
        <v>45035</v>
      </c>
      <c r="B2424" t="s">
        <v>1713</v>
      </c>
      <c r="C2424" t="s">
        <v>3821</v>
      </c>
    </row>
    <row r="2425" spans="1:3" x14ac:dyDescent="0.35">
      <c r="A2425">
        <v>45037</v>
      </c>
      <c r="B2425" t="s">
        <v>1716</v>
      </c>
      <c r="C2425" t="s">
        <v>3821</v>
      </c>
    </row>
    <row r="2426" spans="1:3" x14ac:dyDescent="0.35">
      <c r="A2426">
        <v>45039</v>
      </c>
      <c r="B2426" t="s">
        <v>1719</v>
      </c>
      <c r="C2426" t="s">
        <v>3821</v>
      </c>
    </row>
    <row r="2427" spans="1:3" x14ac:dyDescent="0.35">
      <c r="A2427">
        <v>45041</v>
      </c>
      <c r="B2427" t="s">
        <v>1722</v>
      </c>
      <c r="C2427" t="s">
        <v>3821</v>
      </c>
    </row>
    <row r="2428" spans="1:3" x14ac:dyDescent="0.35">
      <c r="A2428">
        <v>45043</v>
      </c>
      <c r="B2428" t="s">
        <v>1725</v>
      </c>
      <c r="C2428" t="s">
        <v>3821</v>
      </c>
    </row>
    <row r="2429" spans="1:3" x14ac:dyDescent="0.35">
      <c r="A2429">
        <v>45045</v>
      </c>
      <c r="B2429" t="s">
        <v>1728</v>
      </c>
      <c r="C2429" t="s">
        <v>3821</v>
      </c>
    </row>
    <row r="2430" spans="1:3" x14ac:dyDescent="0.35">
      <c r="A2430">
        <v>45047</v>
      </c>
      <c r="B2430" t="s">
        <v>1731</v>
      </c>
      <c r="C2430" t="s">
        <v>3821</v>
      </c>
    </row>
    <row r="2431" spans="1:3" x14ac:dyDescent="0.35">
      <c r="A2431">
        <v>45049</v>
      </c>
      <c r="B2431" t="s">
        <v>1734</v>
      </c>
      <c r="C2431" t="s">
        <v>3821</v>
      </c>
    </row>
    <row r="2432" spans="1:3" x14ac:dyDescent="0.35">
      <c r="A2432">
        <v>45051</v>
      </c>
      <c r="B2432" t="s">
        <v>1737</v>
      </c>
      <c r="C2432" t="s">
        <v>3821</v>
      </c>
    </row>
    <row r="2433" spans="1:3" x14ac:dyDescent="0.35">
      <c r="A2433">
        <v>45053</v>
      </c>
      <c r="B2433" t="s">
        <v>837</v>
      </c>
      <c r="C2433" t="s">
        <v>3821</v>
      </c>
    </row>
    <row r="2434" spans="1:3" x14ac:dyDescent="0.35">
      <c r="A2434">
        <v>45055</v>
      </c>
      <c r="B2434" t="s">
        <v>1742</v>
      </c>
      <c r="C2434" t="s">
        <v>3821</v>
      </c>
    </row>
    <row r="2435" spans="1:3" x14ac:dyDescent="0.35">
      <c r="A2435">
        <v>45057</v>
      </c>
      <c r="B2435" t="s">
        <v>1745</v>
      </c>
      <c r="C2435" t="s">
        <v>3821</v>
      </c>
    </row>
    <row r="2436" spans="1:3" x14ac:dyDescent="0.35">
      <c r="A2436">
        <v>45059</v>
      </c>
      <c r="B2436" t="s">
        <v>962</v>
      </c>
      <c r="C2436" t="s">
        <v>3821</v>
      </c>
    </row>
    <row r="2437" spans="1:3" x14ac:dyDescent="0.35">
      <c r="A2437">
        <v>45061</v>
      </c>
      <c r="B2437" t="s">
        <v>237</v>
      </c>
      <c r="C2437" t="s">
        <v>3821</v>
      </c>
    </row>
    <row r="2438" spans="1:3" x14ac:dyDescent="0.35">
      <c r="A2438">
        <v>45063</v>
      </c>
      <c r="B2438" t="s">
        <v>1752</v>
      </c>
      <c r="C2438" t="s">
        <v>3821</v>
      </c>
    </row>
    <row r="2439" spans="1:3" x14ac:dyDescent="0.35">
      <c r="A2439">
        <v>45065</v>
      </c>
      <c r="B2439" t="s">
        <v>1755</v>
      </c>
      <c r="C2439" t="s">
        <v>3821</v>
      </c>
    </row>
    <row r="2440" spans="1:3" x14ac:dyDescent="0.35">
      <c r="A2440">
        <v>45067</v>
      </c>
      <c r="B2440" t="s">
        <v>365</v>
      </c>
      <c r="C2440" t="s">
        <v>3821</v>
      </c>
    </row>
    <row r="2441" spans="1:3" x14ac:dyDescent="0.35">
      <c r="A2441">
        <v>45069</v>
      </c>
      <c r="B2441" t="s">
        <v>1760</v>
      </c>
      <c r="C2441" t="s">
        <v>3821</v>
      </c>
    </row>
    <row r="2442" spans="1:3" x14ac:dyDescent="0.35">
      <c r="A2442">
        <v>45071</v>
      </c>
      <c r="B2442" t="s">
        <v>1763</v>
      </c>
      <c r="C2442" t="s">
        <v>3821</v>
      </c>
    </row>
    <row r="2443" spans="1:3" x14ac:dyDescent="0.35">
      <c r="A2443">
        <v>45073</v>
      </c>
      <c r="B2443" t="s">
        <v>811</v>
      </c>
      <c r="C2443" t="s">
        <v>3821</v>
      </c>
    </row>
    <row r="2444" spans="1:3" x14ac:dyDescent="0.35">
      <c r="A2444">
        <v>45075</v>
      </c>
      <c r="B2444" t="s">
        <v>1768</v>
      </c>
      <c r="C2444" t="s">
        <v>3821</v>
      </c>
    </row>
    <row r="2445" spans="1:3" x14ac:dyDescent="0.35">
      <c r="A2445">
        <v>45077</v>
      </c>
      <c r="B2445" t="s">
        <v>373</v>
      </c>
      <c r="C2445" t="s">
        <v>3821</v>
      </c>
    </row>
    <row r="2446" spans="1:3" x14ac:dyDescent="0.35">
      <c r="A2446">
        <v>45079</v>
      </c>
      <c r="B2446" t="s">
        <v>1773</v>
      </c>
      <c r="C2446" t="s">
        <v>3821</v>
      </c>
    </row>
    <row r="2447" spans="1:3" x14ac:dyDescent="0.35">
      <c r="A2447">
        <v>45081</v>
      </c>
      <c r="B2447" t="s">
        <v>1776</v>
      </c>
      <c r="C2447" t="s">
        <v>3821</v>
      </c>
    </row>
    <row r="2448" spans="1:3" x14ac:dyDescent="0.35">
      <c r="A2448">
        <v>45083</v>
      </c>
      <c r="B2448" t="s">
        <v>1779</v>
      </c>
      <c r="C2448" t="s">
        <v>3821</v>
      </c>
    </row>
    <row r="2449" spans="1:3" x14ac:dyDescent="0.35">
      <c r="A2449">
        <v>45085</v>
      </c>
      <c r="B2449" t="s">
        <v>379</v>
      </c>
      <c r="C2449" t="s">
        <v>3821</v>
      </c>
    </row>
    <row r="2450" spans="1:3" x14ac:dyDescent="0.35">
      <c r="A2450">
        <v>45087</v>
      </c>
      <c r="B2450" t="s">
        <v>518</v>
      </c>
      <c r="C2450" t="s">
        <v>3821</v>
      </c>
    </row>
    <row r="2451" spans="1:3" x14ac:dyDescent="0.35">
      <c r="A2451">
        <v>45089</v>
      </c>
      <c r="B2451" t="s">
        <v>1786</v>
      </c>
      <c r="C2451" t="s">
        <v>3821</v>
      </c>
    </row>
    <row r="2452" spans="1:3" x14ac:dyDescent="0.35">
      <c r="A2452">
        <v>45091</v>
      </c>
      <c r="B2452" t="s">
        <v>1789</v>
      </c>
      <c r="C2452" t="s">
        <v>3821</v>
      </c>
    </row>
    <row r="2453" spans="1:3" x14ac:dyDescent="0.35">
      <c r="A2453">
        <v>46003</v>
      </c>
      <c r="B2453" t="s">
        <v>3822</v>
      </c>
      <c r="C2453" t="s">
        <v>3823</v>
      </c>
    </row>
    <row r="2454" spans="1:3" x14ac:dyDescent="0.35">
      <c r="A2454">
        <v>46005</v>
      </c>
      <c r="B2454" t="s">
        <v>3824</v>
      </c>
      <c r="C2454" t="s">
        <v>3823</v>
      </c>
    </row>
    <row r="2455" spans="1:3" x14ac:dyDescent="0.35">
      <c r="A2455">
        <v>46007</v>
      </c>
      <c r="B2455" t="s">
        <v>3825</v>
      </c>
      <c r="C2455" t="s">
        <v>3823</v>
      </c>
    </row>
    <row r="2456" spans="1:3" x14ac:dyDescent="0.35">
      <c r="A2456">
        <v>46009</v>
      </c>
      <c r="B2456" t="s">
        <v>3826</v>
      </c>
      <c r="C2456" t="s">
        <v>3823</v>
      </c>
    </row>
    <row r="2457" spans="1:3" x14ac:dyDescent="0.35">
      <c r="A2457">
        <v>46011</v>
      </c>
      <c r="B2457" t="s">
        <v>3827</v>
      </c>
      <c r="C2457" t="s">
        <v>3823</v>
      </c>
    </row>
    <row r="2458" spans="1:3" x14ac:dyDescent="0.35">
      <c r="A2458">
        <v>46013</v>
      </c>
      <c r="B2458" t="s">
        <v>1939</v>
      </c>
      <c r="C2458" t="s">
        <v>3823</v>
      </c>
    </row>
    <row r="2459" spans="1:3" x14ac:dyDescent="0.35">
      <c r="A2459">
        <v>46015</v>
      </c>
      <c r="B2459" t="s">
        <v>3828</v>
      </c>
      <c r="C2459" t="s">
        <v>3823</v>
      </c>
    </row>
    <row r="2460" spans="1:3" x14ac:dyDescent="0.35">
      <c r="A2460">
        <v>46017</v>
      </c>
      <c r="B2460" t="s">
        <v>3455</v>
      </c>
      <c r="C2460" t="s">
        <v>3823</v>
      </c>
    </row>
    <row r="2461" spans="1:3" x14ac:dyDescent="0.35">
      <c r="A2461">
        <v>46019</v>
      </c>
      <c r="B2461" t="s">
        <v>2891</v>
      </c>
      <c r="C2461" t="s">
        <v>3823</v>
      </c>
    </row>
    <row r="2462" spans="1:3" x14ac:dyDescent="0.35">
      <c r="A2462">
        <v>46021</v>
      </c>
      <c r="B2462" t="s">
        <v>1809</v>
      </c>
      <c r="C2462" t="s">
        <v>3823</v>
      </c>
    </row>
    <row r="2463" spans="1:3" x14ac:dyDescent="0.35">
      <c r="A2463">
        <v>46023</v>
      </c>
      <c r="B2463" t="s">
        <v>3829</v>
      </c>
      <c r="C2463" t="s">
        <v>3823</v>
      </c>
    </row>
    <row r="2464" spans="1:3" x14ac:dyDescent="0.35">
      <c r="A2464">
        <v>46025</v>
      </c>
      <c r="B2464" t="s">
        <v>469</v>
      </c>
      <c r="C2464" t="s">
        <v>3823</v>
      </c>
    </row>
    <row r="2465" spans="1:3" x14ac:dyDescent="0.35">
      <c r="A2465">
        <v>46027</v>
      </c>
      <c r="B2465" t="s">
        <v>329</v>
      </c>
      <c r="C2465" t="s">
        <v>3823</v>
      </c>
    </row>
    <row r="2466" spans="1:3" x14ac:dyDescent="0.35">
      <c r="A2466">
        <v>46029</v>
      </c>
      <c r="B2466" t="s">
        <v>3830</v>
      </c>
      <c r="C2466" t="s">
        <v>3823</v>
      </c>
    </row>
    <row r="2467" spans="1:3" x14ac:dyDescent="0.35">
      <c r="A2467">
        <v>46031</v>
      </c>
      <c r="B2467" t="s">
        <v>3831</v>
      </c>
      <c r="C2467" t="s">
        <v>3823</v>
      </c>
    </row>
    <row r="2468" spans="1:3" x14ac:dyDescent="0.35">
      <c r="A2468">
        <v>46033</v>
      </c>
      <c r="B2468" t="s">
        <v>2955</v>
      </c>
      <c r="C2468" t="s">
        <v>3823</v>
      </c>
    </row>
    <row r="2469" spans="1:3" x14ac:dyDescent="0.35">
      <c r="A2469">
        <v>46035</v>
      </c>
      <c r="B2469" t="s">
        <v>3832</v>
      </c>
      <c r="C2469" t="s">
        <v>3823</v>
      </c>
    </row>
    <row r="2470" spans="1:3" x14ac:dyDescent="0.35">
      <c r="A2470">
        <v>46037</v>
      </c>
      <c r="B2470" t="s">
        <v>3833</v>
      </c>
      <c r="C2470" t="s">
        <v>3823</v>
      </c>
    </row>
    <row r="2471" spans="1:3" x14ac:dyDescent="0.35">
      <c r="A2471">
        <v>46039</v>
      </c>
      <c r="B2471" t="s">
        <v>3461</v>
      </c>
      <c r="C2471" t="s">
        <v>3823</v>
      </c>
    </row>
    <row r="2472" spans="1:3" x14ac:dyDescent="0.35">
      <c r="A2472">
        <v>46041</v>
      </c>
      <c r="B2472" t="s">
        <v>3659</v>
      </c>
      <c r="C2472" t="s">
        <v>3823</v>
      </c>
    </row>
    <row r="2473" spans="1:3" x14ac:dyDescent="0.35">
      <c r="A2473">
        <v>46043</v>
      </c>
      <c r="B2473" t="s">
        <v>828</v>
      </c>
      <c r="C2473" t="s">
        <v>3823</v>
      </c>
    </row>
    <row r="2474" spans="1:3" x14ac:dyDescent="0.35">
      <c r="A2474">
        <v>46045</v>
      </c>
      <c r="B2474" t="s">
        <v>3834</v>
      </c>
      <c r="C2474" t="s">
        <v>3823</v>
      </c>
    </row>
    <row r="2475" spans="1:3" x14ac:dyDescent="0.35">
      <c r="A2475">
        <v>46047</v>
      </c>
      <c r="B2475" t="s">
        <v>3835</v>
      </c>
      <c r="C2475" t="s">
        <v>3823</v>
      </c>
    </row>
    <row r="2476" spans="1:3" x14ac:dyDescent="0.35">
      <c r="A2476">
        <v>46049</v>
      </c>
      <c r="B2476" t="s">
        <v>3836</v>
      </c>
      <c r="C2476" t="s">
        <v>3823</v>
      </c>
    </row>
    <row r="2477" spans="1:3" x14ac:dyDescent="0.35">
      <c r="A2477">
        <v>46051</v>
      </c>
      <c r="B2477" t="s">
        <v>413</v>
      </c>
      <c r="C2477" t="s">
        <v>3823</v>
      </c>
    </row>
    <row r="2478" spans="1:3" x14ac:dyDescent="0.35">
      <c r="A2478">
        <v>46053</v>
      </c>
      <c r="B2478" t="s">
        <v>3837</v>
      </c>
      <c r="C2478" t="s">
        <v>3823</v>
      </c>
    </row>
    <row r="2479" spans="1:3" x14ac:dyDescent="0.35">
      <c r="A2479">
        <v>46055</v>
      </c>
      <c r="B2479" t="s">
        <v>3838</v>
      </c>
      <c r="C2479" t="s">
        <v>3823</v>
      </c>
    </row>
    <row r="2480" spans="1:3" x14ac:dyDescent="0.35">
      <c r="A2480">
        <v>46057</v>
      </c>
      <c r="B2480" t="s">
        <v>3839</v>
      </c>
      <c r="C2480" t="s">
        <v>3823</v>
      </c>
    </row>
    <row r="2481" spans="1:3" x14ac:dyDescent="0.35">
      <c r="A2481">
        <v>46059</v>
      </c>
      <c r="B2481" t="s">
        <v>3840</v>
      </c>
      <c r="C2481" t="s">
        <v>3823</v>
      </c>
    </row>
    <row r="2482" spans="1:3" x14ac:dyDescent="0.35">
      <c r="A2482">
        <v>46061</v>
      </c>
      <c r="B2482" t="s">
        <v>3841</v>
      </c>
      <c r="C2482" t="s">
        <v>3823</v>
      </c>
    </row>
    <row r="2483" spans="1:3" x14ac:dyDescent="0.35">
      <c r="A2483">
        <v>46063</v>
      </c>
      <c r="B2483" t="s">
        <v>3532</v>
      </c>
      <c r="C2483" t="s">
        <v>3823</v>
      </c>
    </row>
    <row r="2484" spans="1:3" x14ac:dyDescent="0.35">
      <c r="A2484">
        <v>46065</v>
      </c>
      <c r="B2484" t="s">
        <v>3663</v>
      </c>
      <c r="C2484" t="s">
        <v>3823</v>
      </c>
    </row>
    <row r="2485" spans="1:3" x14ac:dyDescent="0.35">
      <c r="A2485">
        <v>46067</v>
      </c>
      <c r="B2485" t="s">
        <v>1999</v>
      </c>
      <c r="C2485" t="s">
        <v>3823</v>
      </c>
    </row>
    <row r="2486" spans="1:3" x14ac:dyDescent="0.35">
      <c r="A2486">
        <v>46069</v>
      </c>
      <c r="B2486" t="s">
        <v>1652</v>
      </c>
      <c r="C2486" t="s">
        <v>3823</v>
      </c>
    </row>
    <row r="2487" spans="1:3" x14ac:dyDescent="0.35">
      <c r="A2487">
        <v>46071</v>
      </c>
      <c r="B2487" t="s">
        <v>357</v>
      </c>
      <c r="C2487" t="s">
        <v>3823</v>
      </c>
    </row>
    <row r="2488" spans="1:3" x14ac:dyDescent="0.35">
      <c r="A2488">
        <v>46073</v>
      </c>
      <c r="B2488" t="s">
        <v>3842</v>
      </c>
      <c r="C2488" t="s">
        <v>3823</v>
      </c>
    </row>
    <row r="2489" spans="1:3" x14ac:dyDescent="0.35">
      <c r="A2489">
        <v>46075</v>
      </c>
      <c r="B2489" t="s">
        <v>983</v>
      </c>
      <c r="C2489" t="s">
        <v>3823</v>
      </c>
    </row>
    <row r="2490" spans="1:3" x14ac:dyDescent="0.35">
      <c r="A2490">
        <v>46077</v>
      </c>
      <c r="B2490" t="s">
        <v>3843</v>
      </c>
      <c r="C2490" t="s">
        <v>3823</v>
      </c>
    </row>
    <row r="2491" spans="1:3" x14ac:dyDescent="0.35">
      <c r="A2491">
        <v>46079</v>
      </c>
      <c r="B2491" t="s">
        <v>654</v>
      </c>
      <c r="C2491" t="s">
        <v>3823</v>
      </c>
    </row>
    <row r="2492" spans="1:3" x14ac:dyDescent="0.35">
      <c r="A2492">
        <v>46081</v>
      </c>
      <c r="B2492" t="s">
        <v>261</v>
      </c>
      <c r="C2492" t="s">
        <v>3823</v>
      </c>
    </row>
    <row r="2493" spans="1:3" x14ac:dyDescent="0.35">
      <c r="A2493">
        <v>46083</v>
      </c>
      <c r="B2493" t="s">
        <v>494</v>
      </c>
      <c r="C2493" t="s">
        <v>3823</v>
      </c>
    </row>
    <row r="2494" spans="1:3" x14ac:dyDescent="0.35">
      <c r="A2494">
        <v>46085</v>
      </c>
      <c r="B2494" t="s">
        <v>3844</v>
      </c>
      <c r="C2494" t="s">
        <v>3823</v>
      </c>
    </row>
    <row r="2495" spans="1:3" x14ac:dyDescent="0.35">
      <c r="A2495">
        <v>46087</v>
      </c>
      <c r="B2495" t="s">
        <v>3845</v>
      </c>
      <c r="C2495" t="s">
        <v>3823</v>
      </c>
    </row>
    <row r="2496" spans="1:3" x14ac:dyDescent="0.35">
      <c r="A2496">
        <v>46089</v>
      </c>
      <c r="B2496" t="s">
        <v>3176</v>
      </c>
      <c r="C2496" t="s">
        <v>3823</v>
      </c>
    </row>
    <row r="2497" spans="1:3" x14ac:dyDescent="0.35">
      <c r="A2497">
        <v>46091</v>
      </c>
      <c r="B2497" t="s">
        <v>367</v>
      </c>
      <c r="C2497" t="s">
        <v>3823</v>
      </c>
    </row>
    <row r="2498" spans="1:3" x14ac:dyDescent="0.35">
      <c r="A2498">
        <v>46093</v>
      </c>
      <c r="B2498" t="s">
        <v>3177</v>
      </c>
      <c r="C2498" t="s">
        <v>3823</v>
      </c>
    </row>
    <row r="2499" spans="1:3" x14ac:dyDescent="0.35">
      <c r="A2499">
        <v>46095</v>
      </c>
      <c r="B2499" t="s">
        <v>3846</v>
      </c>
      <c r="C2499" t="s">
        <v>3823</v>
      </c>
    </row>
    <row r="2500" spans="1:3" x14ac:dyDescent="0.35">
      <c r="A2500">
        <v>46097</v>
      </c>
      <c r="B2500" t="s">
        <v>3847</v>
      </c>
      <c r="C2500" t="s">
        <v>3823</v>
      </c>
    </row>
    <row r="2501" spans="1:3" x14ac:dyDescent="0.35">
      <c r="A2501">
        <v>46099</v>
      </c>
      <c r="B2501" t="s">
        <v>3848</v>
      </c>
      <c r="C2501" t="s">
        <v>3823</v>
      </c>
    </row>
    <row r="2502" spans="1:3" x14ac:dyDescent="0.35">
      <c r="A2502">
        <v>46101</v>
      </c>
      <c r="B2502" t="s">
        <v>3849</v>
      </c>
      <c r="C2502" t="s">
        <v>3823</v>
      </c>
    </row>
    <row r="2503" spans="1:3" x14ac:dyDescent="0.35">
      <c r="A2503">
        <v>46102</v>
      </c>
      <c r="B2503" t="s">
        <v>3850</v>
      </c>
      <c r="C2503" t="s">
        <v>3823</v>
      </c>
    </row>
    <row r="2504" spans="1:3" x14ac:dyDescent="0.35">
      <c r="A2504">
        <v>46103</v>
      </c>
      <c r="B2504" t="s">
        <v>3390</v>
      </c>
      <c r="C2504" t="s">
        <v>3823</v>
      </c>
    </row>
    <row r="2505" spans="1:3" x14ac:dyDescent="0.35">
      <c r="A2505">
        <v>46105</v>
      </c>
      <c r="B2505" t="s">
        <v>3482</v>
      </c>
      <c r="C2505" t="s">
        <v>3823</v>
      </c>
    </row>
    <row r="2506" spans="1:3" x14ac:dyDescent="0.35">
      <c r="A2506">
        <v>46107</v>
      </c>
      <c r="B2506" t="s">
        <v>2010</v>
      </c>
      <c r="C2506" t="s">
        <v>3823</v>
      </c>
    </row>
    <row r="2507" spans="1:3" x14ac:dyDescent="0.35">
      <c r="A2507">
        <v>46109</v>
      </c>
      <c r="B2507" t="s">
        <v>2014</v>
      </c>
      <c r="C2507" t="s">
        <v>3823</v>
      </c>
    </row>
    <row r="2508" spans="1:3" x14ac:dyDescent="0.35">
      <c r="A2508">
        <v>46111</v>
      </c>
      <c r="B2508" t="s">
        <v>3851</v>
      </c>
      <c r="C2508" t="s">
        <v>3823</v>
      </c>
    </row>
    <row r="2509" spans="1:3" x14ac:dyDescent="0.35">
      <c r="A2509">
        <v>46115</v>
      </c>
      <c r="B2509" t="s">
        <v>3852</v>
      </c>
      <c r="C2509" t="s">
        <v>3823</v>
      </c>
    </row>
    <row r="2510" spans="1:3" x14ac:dyDescent="0.35">
      <c r="A2510">
        <v>46117</v>
      </c>
      <c r="B2510" t="s">
        <v>3853</v>
      </c>
      <c r="C2510" t="s">
        <v>3823</v>
      </c>
    </row>
    <row r="2511" spans="1:3" x14ac:dyDescent="0.35">
      <c r="A2511">
        <v>46119</v>
      </c>
      <c r="B2511" t="s">
        <v>3854</v>
      </c>
      <c r="C2511" t="s">
        <v>3823</v>
      </c>
    </row>
    <row r="2512" spans="1:3" x14ac:dyDescent="0.35">
      <c r="A2512">
        <v>46121</v>
      </c>
      <c r="B2512" t="s">
        <v>3244</v>
      </c>
      <c r="C2512" t="s">
        <v>3823</v>
      </c>
    </row>
    <row r="2513" spans="1:3" x14ac:dyDescent="0.35">
      <c r="A2513">
        <v>46123</v>
      </c>
      <c r="B2513" t="s">
        <v>3855</v>
      </c>
      <c r="C2513" t="s">
        <v>3823</v>
      </c>
    </row>
    <row r="2514" spans="1:3" x14ac:dyDescent="0.35">
      <c r="A2514">
        <v>46125</v>
      </c>
      <c r="B2514" t="s">
        <v>1058</v>
      </c>
      <c r="C2514" t="s">
        <v>3823</v>
      </c>
    </row>
    <row r="2515" spans="1:3" x14ac:dyDescent="0.35">
      <c r="A2515">
        <v>46127</v>
      </c>
      <c r="B2515" t="s">
        <v>518</v>
      </c>
      <c r="C2515" t="s">
        <v>3823</v>
      </c>
    </row>
    <row r="2516" spans="1:3" x14ac:dyDescent="0.35">
      <c r="A2516">
        <v>46129</v>
      </c>
      <c r="B2516" t="s">
        <v>3856</v>
      </c>
      <c r="C2516" t="s">
        <v>3823</v>
      </c>
    </row>
    <row r="2517" spans="1:3" x14ac:dyDescent="0.35">
      <c r="A2517">
        <v>46135</v>
      </c>
      <c r="B2517" t="s">
        <v>3857</v>
      </c>
      <c r="C2517" t="s">
        <v>3823</v>
      </c>
    </row>
    <row r="2518" spans="1:3" x14ac:dyDescent="0.35">
      <c r="A2518">
        <v>46137</v>
      </c>
      <c r="B2518" t="s">
        <v>3858</v>
      </c>
      <c r="C2518" t="s">
        <v>3823</v>
      </c>
    </row>
    <row r="2519" spans="1:3" x14ac:dyDescent="0.35">
      <c r="A2519">
        <v>47001</v>
      </c>
      <c r="B2519" t="s">
        <v>1674</v>
      </c>
      <c r="C2519" t="s">
        <v>3859</v>
      </c>
    </row>
    <row r="2520" spans="1:3" x14ac:dyDescent="0.35">
      <c r="A2520">
        <v>47003</v>
      </c>
      <c r="B2520" t="s">
        <v>1915</v>
      </c>
      <c r="C2520" t="s">
        <v>3859</v>
      </c>
    </row>
    <row r="2521" spans="1:3" x14ac:dyDescent="0.35">
      <c r="A2521">
        <v>47005</v>
      </c>
      <c r="B2521" t="s">
        <v>456</v>
      </c>
      <c r="C2521" t="s">
        <v>3859</v>
      </c>
    </row>
    <row r="2522" spans="1:3" x14ac:dyDescent="0.35">
      <c r="A2522">
        <v>47007</v>
      </c>
      <c r="B2522" t="s">
        <v>1831</v>
      </c>
      <c r="C2522" t="s">
        <v>3859</v>
      </c>
    </row>
    <row r="2523" spans="1:3" x14ac:dyDescent="0.35">
      <c r="A2523">
        <v>47009</v>
      </c>
      <c r="B2523" t="s">
        <v>243</v>
      </c>
      <c r="C2523" t="s">
        <v>3859</v>
      </c>
    </row>
    <row r="2524" spans="1:3" x14ac:dyDescent="0.35">
      <c r="A2524">
        <v>47011</v>
      </c>
      <c r="B2524" t="s">
        <v>490</v>
      </c>
      <c r="C2524" t="s">
        <v>3859</v>
      </c>
    </row>
    <row r="2525" spans="1:3" x14ac:dyDescent="0.35">
      <c r="A2525">
        <v>47013</v>
      </c>
      <c r="B2525" t="s">
        <v>1809</v>
      </c>
      <c r="C2525" t="s">
        <v>3859</v>
      </c>
    </row>
    <row r="2526" spans="1:3" x14ac:dyDescent="0.35">
      <c r="A2526">
        <v>47015</v>
      </c>
      <c r="B2526" t="s">
        <v>1896</v>
      </c>
      <c r="C2526" t="s">
        <v>3859</v>
      </c>
    </row>
    <row r="2527" spans="1:3" x14ac:dyDescent="0.35">
      <c r="A2527">
        <v>47017</v>
      </c>
      <c r="B2527" t="s">
        <v>463</v>
      </c>
      <c r="C2527" t="s">
        <v>3859</v>
      </c>
    </row>
    <row r="2528" spans="1:3" x14ac:dyDescent="0.35">
      <c r="A2528">
        <v>47019</v>
      </c>
      <c r="B2528" t="s">
        <v>1794</v>
      </c>
      <c r="C2528" t="s">
        <v>3859</v>
      </c>
    </row>
    <row r="2529" spans="1:3" x14ac:dyDescent="0.35">
      <c r="A2529">
        <v>47021</v>
      </c>
      <c r="B2529" t="s">
        <v>1849</v>
      </c>
      <c r="C2529" t="s">
        <v>3859</v>
      </c>
    </row>
    <row r="2530" spans="1:3" x14ac:dyDescent="0.35">
      <c r="A2530">
        <v>47023</v>
      </c>
      <c r="B2530" t="s">
        <v>1695</v>
      </c>
      <c r="C2530" t="s">
        <v>3859</v>
      </c>
    </row>
    <row r="2531" spans="1:3" x14ac:dyDescent="0.35">
      <c r="A2531">
        <v>47025</v>
      </c>
      <c r="B2531" t="s">
        <v>1270</v>
      </c>
      <c r="C2531" t="s">
        <v>3859</v>
      </c>
    </row>
    <row r="2532" spans="1:3" x14ac:dyDescent="0.35">
      <c r="A2532">
        <v>47027</v>
      </c>
      <c r="B2532" t="s">
        <v>329</v>
      </c>
      <c r="C2532" t="s">
        <v>3859</v>
      </c>
    </row>
    <row r="2533" spans="1:3" x14ac:dyDescent="0.35">
      <c r="A2533">
        <v>47029</v>
      </c>
      <c r="B2533" t="s">
        <v>1812</v>
      </c>
      <c r="C2533" t="s">
        <v>3859</v>
      </c>
    </row>
    <row r="2534" spans="1:3" x14ac:dyDescent="0.35">
      <c r="A2534">
        <v>47031</v>
      </c>
      <c r="B2534" t="s">
        <v>333</v>
      </c>
      <c r="C2534" t="s">
        <v>3859</v>
      </c>
    </row>
    <row r="2535" spans="1:3" x14ac:dyDescent="0.35">
      <c r="A2535">
        <v>47033</v>
      </c>
      <c r="B2535" t="s">
        <v>1867</v>
      </c>
      <c r="C2535" t="s">
        <v>3859</v>
      </c>
    </row>
    <row r="2536" spans="1:3" x14ac:dyDescent="0.35">
      <c r="A2536">
        <v>47035</v>
      </c>
      <c r="B2536" t="s">
        <v>1561</v>
      </c>
      <c r="C2536" t="s">
        <v>3859</v>
      </c>
    </row>
    <row r="2537" spans="1:3" x14ac:dyDescent="0.35">
      <c r="A2537">
        <v>47037</v>
      </c>
      <c r="B2537" t="s">
        <v>1537</v>
      </c>
      <c r="C2537" t="s">
        <v>3859</v>
      </c>
    </row>
    <row r="2538" spans="1:3" x14ac:dyDescent="0.35">
      <c r="A2538">
        <v>47039</v>
      </c>
      <c r="B2538" t="s">
        <v>1039</v>
      </c>
      <c r="C2538" t="s">
        <v>3859</v>
      </c>
    </row>
    <row r="2539" spans="1:3" x14ac:dyDescent="0.35">
      <c r="A2539">
        <v>47041</v>
      </c>
      <c r="B2539" t="s">
        <v>349</v>
      </c>
      <c r="C2539" t="s">
        <v>3859</v>
      </c>
    </row>
    <row r="2540" spans="1:3" x14ac:dyDescent="0.35">
      <c r="A2540">
        <v>47043</v>
      </c>
      <c r="B2540" t="s">
        <v>1918</v>
      </c>
      <c r="C2540" t="s">
        <v>3859</v>
      </c>
    </row>
    <row r="2541" spans="1:3" x14ac:dyDescent="0.35">
      <c r="A2541">
        <v>47045</v>
      </c>
      <c r="B2541" t="s">
        <v>1870</v>
      </c>
      <c r="C2541" t="s">
        <v>3859</v>
      </c>
    </row>
    <row r="2542" spans="1:3" x14ac:dyDescent="0.35">
      <c r="A2542">
        <v>47047</v>
      </c>
      <c r="B2542" t="s">
        <v>353</v>
      </c>
      <c r="C2542" t="s">
        <v>3859</v>
      </c>
    </row>
    <row r="2543" spans="1:3" x14ac:dyDescent="0.35">
      <c r="A2543">
        <v>47049</v>
      </c>
      <c r="B2543" t="s">
        <v>1901</v>
      </c>
      <c r="C2543" t="s">
        <v>3859</v>
      </c>
    </row>
    <row r="2544" spans="1:3" x14ac:dyDescent="0.35">
      <c r="A2544">
        <v>47051</v>
      </c>
      <c r="B2544" t="s">
        <v>355</v>
      </c>
      <c r="C2544" t="s">
        <v>3859</v>
      </c>
    </row>
    <row r="2545" spans="1:3" x14ac:dyDescent="0.35">
      <c r="A2545">
        <v>47053</v>
      </c>
      <c r="B2545" t="s">
        <v>1872</v>
      </c>
      <c r="C2545" t="s">
        <v>3859</v>
      </c>
    </row>
    <row r="2546" spans="1:3" x14ac:dyDescent="0.35">
      <c r="A2546">
        <v>47055</v>
      </c>
      <c r="B2546" t="s">
        <v>1920</v>
      </c>
      <c r="C2546" t="s">
        <v>3859</v>
      </c>
    </row>
    <row r="2547" spans="1:3" x14ac:dyDescent="0.35">
      <c r="A2547">
        <v>47057</v>
      </c>
      <c r="B2547" t="s">
        <v>1814</v>
      </c>
      <c r="C2547" t="s">
        <v>3859</v>
      </c>
    </row>
    <row r="2548" spans="1:3" x14ac:dyDescent="0.35">
      <c r="A2548">
        <v>47059</v>
      </c>
      <c r="B2548" t="s">
        <v>305</v>
      </c>
      <c r="C2548" t="s">
        <v>3859</v>
      </c>
    </row>
    <row r="2549" spans="1:3" x14ac:dyDescent="0.35">
      <c r="A2549">
        <v>47061</v>
      </c>
      <c r="B2549" t="s">
        <v>1835</v>
      </c>
      <c r="C2549" t="s">
        <v>3859</v>
      </c>
    </row>
    <row r="2550" spans="1:3" x14ac:dyDescent="0.35">
      <c r="A2550">
        <v>47063</v>
      </c>
      <c r="B2550" t="s">
        <v>1816</v>
      </c>
      <c r="C2550" t="s">
        <v>3859</v>
      </c>
    </row>
    <row r="2551" spans="1:3" x14ac:dyDescent="0.35">
      <c r="A2551">
        <v>47065</v>
      </c>
      <c r="B2551" t="s">
        <v>613</v>
      </c>
      <c r="C2551" t="s">
        <v>3859</v>
      </c>
    </row>
    <row r="2552" spans="1:3" x14ac:dyDescent="0.35">
      <c r="A2552">
        <v>47067</v>
      </c>
      <c r="B2552" t="s">
        <v>1062</v>
      </c>
      <c r="C2552" t="s">
        <v>3859</v>
      </c>
    </row>
    <row r="2553" spans="1:3" x14ac:dyDescent="0.35">
      <c r="A2553">
        <v>47069</v>
      </c>
      <c r="B2553" t="s">
        <v>1874</v>
      </c>
      <c r="C2553" t="s">
        <v>3859</v>
      </c>
    </row>
    <row r="2554" spans="1:3" x14ac:dyDescent="0.35">
      <c r="A2554">
        <v>47071</v>
      </c>
      <c r="B2554" t="s">
        <v>1876</v>
      </c>
      <c r="C2554" t="s">
        <v>3859</v>
      </c>
    </row>
    <row r="2555" spans="1:3" x14ac:dyDescent="0.35">
      <c r="A2555">
        <v>47073</v>
      </c>
      <c r="B2555" t="s">
        <v>1798</v>
      </c>
      <c r="C2555" t="s">
        <v>3859</v>
      </c>
    </row>
    <row r="2556" spans="1:3" x14ac:dyDescent="0.35">
      <c r="A2556">
        <v>47075</v>
      </c>
      <c r="B2556" t="s">
        <v>1482</v>
      </c>
      <c r="C2556" t="s">
        <v>3859</v>
      </c>
    </row>
    <row r="2557" spans="1:3" x14ac:dyDescent="0.35">
      <c r="A2557">
        <v>47077</v>
      </c>
      <c r="B2557" t="s">
        <v>1484</v>
      </c>
      <c r="C2557" t="s">
        <v>3859</v>
      </c>
    </row>
    <row r="2558" spans="1:3" x14ac:dyDescent="0.35">
      <c r="A2558">
        <v>47079</v>
      </c>
      <c r="B2558" t="s">
        <v>269</v>
      </c>
      <c r="C2558" t="s">
        <v>3859</v>
      </c>
    </row>
    <row r="2559" spans="1:3" x14ac:dyDescent="0.35">
      <c r="A2559">
        <v>47081</v>
      </c>
      <c r="B2559" t="s">
        <v>1922</v>
      </c>
      <c r="C2559" t="s">
        <v>3859</v>
      </c>
    </row>
    <row r="2560" spans="1:3" x14ac:dyDescent="0.35">
      <c r="A2560">
        <v>47083</v>
      </c>
      <c r="B2560" t="s">
        <v>271</v>
      </c>
      <c r="C2560" t="s">
        <v>3859</v>
      </c>
    </row>
    <row r="2561" spans="1:3" x14ac:dyDescent="0.35">
      <c r="A2561">
        <v>47085</v>
      </c>
      <c r="B2561" t="s">
        <v>1281</v>
      </c>
      <c r="C2561" t="s">
        <v>3859</v>
      </c>
    </row>
    <row r="2562" spans="1:3" x14ac:dyDescent="0.35">
      <c r="A2562">
        <v>47087</v>
      </c>
      <c r="B2562" t="s">
        <v>357</v>
      </c>
      <c r="C2562" t="s">
        <v>3859</v>
      </c>
    </row>
    <row r="2563" spans="1:3" x14ac:dyDescent="0.35">
      <c r="A2563">
        <v>47089</v>
      </c>
      <c r="B2563" t="s">
        <v>247</v>
      </c>
      <c r="C2563" t="s">
        <v>3859</v>
      </c>
    </row>
    <row r="2564" spans="1:3" x14ac:dyDescent="0.35">
      <c r="A2564">
        <v>47091</v>
      </c>
      <c r="B2564" t="s">
        <v>535</v>
      </c>
      <c r="C2564" t="s">
        <v>3859</v>
      </c>
    </row>
    <row r="2565" spans="1:3" x14ac:dyDescent="0.35">
      <c r="A2565">
        <v>47093</v>
      </c>
      <c r="B2565" t="s">
        <v>1819</v>
      </c>
      <c r="C2565" t="s">
        <v>3859</v>
      </c>
    </row>
    <row r="2566" spans="1:3" x14ac:dyDescent="0.35">
      <c r="A2566">
        <v>47095</v>
      </c>
      <c r="B2566" t="s">
        <v>654</v>
      </c>
      <c r="C2566" t="s">
        <v>3859</v>
      </c>
    </row>
    <row r="2567" spans="1:3" x14ac:dyDescent="0.35">
      <c r="A2567">
        <v>47097</v>
      </c>
      <c r="B2567" t="s">
        <v>277</v>
      </c>
      <c r="C2567" t="s">
        <v>3859</v>
      </c>
    </row>
    <row r="2568" spans="1:3" x14ac:dyDescent="0.35">
      <c r="A2568">
        <v>47099</v>
      </c>
      <c r="B2568" t="s">
        <v>261</v>
      </c>
      <c r="C2568" t="s">
        <v>3859</v>
      </c>
    </row>
    <row r="2569" spans="1:3" x14ac:dyDescent="0.35">
      <c r="A2569">
        <v>47101</v>
      </c>
      <c r="B2569" t="s">
        <v>1927</v>
      </c>
      <c r="C2569" t="s">
        <v>3859</v>
      </c>
    </row>
    <row r="2570" spans="1:3" x14ac:dyDescent="0.35">
      <c r="A2570">
        <v>47103</v>
      </c>
      <c r="B2570" t="s">
        <v>494</v>
      </c>
      <c r="C2570" t="s">
        <v>3859</v>
      </c>
    </row>
    <row r="2571" spans="1:3" x14ac:dyDescent="0.35">
      <c r="A2571">
        <v>47105</v>
      </c>
      <c r="B2571" t="s">
        <v>1821</v>
      </c>
      <c r="C2571" t="s">
        <v>3859</v>
      </c>
    </row>
    <row r="2572" spans="1:3" x14ac:dyDescent="0.35">
      <c r="A2572">
        <v>47107</v>
      </c>
      <c r="B2572" t="s">
        <v>1839</v>
      </c>
      <c r="C2572" t="s">
        <v>3859</v>
      </c>
    </row>
    <row r="2573" spans="1:3" x14ac:dyDescent="0.35">
      <c r="A2573">
        <v>47109</v>
      </c>
      <c r="B2573" t="s">
        <v>1882</v>
      </c>
      <c r="C2573" t="s">
        <v>3859</v>
      </c>
    </row>
    <row r="2574" spans="1:3" x14ac:dyDescent="0.35">
      <c r="A2574">
        <v>47111</v>
      </c>
      <c r="B2574" t="s">
        <v>361</v>
      </c>
      <c r="C2574" t="s">
        <v>3859</v>
      </c>
    </row>
    <row r="2575" spans="1:3" x14ac:dyDescent="0.35">
      <c r="A2575">
        <v>47113</v>
      </c>
      <c r="B2575" t="s">
        <v>287</v>
      </c>
      <c r="C2575" t="s">
        <v>3859</v>
      </c>
    </row>
    <row r="2576" spans="1:3" x14ac:dyDescent="0.35">
      <c r="A2576">
        <v>47115</v>
      </c>
      <c r="B2576" t="s">
        <v>365</v>
      </c>
      <c r="C2576" t="s">
        <v>3859</v>
      </c>
    </row>
    <row r="2577" spans="1:3" x14ac:dyDescent="0.35">
      <c r="A2577">
        <v>47117</v>
      </c>
      <c r="B2577" t="s">
        <v>367</v>
      </c>
      <c r="C2577" t="s">
        <v>3859</v>
      </c>
    </row>
    <row r="2578" spans="1:3" x14ac:dyDescent="0.35">
      <c r="A2578">
        <v>47119</v>
      </c>
      <c r="B2578" t="s">
        <v>1931</v>
      </c>
      <c r="C2578" t="s">
        <v>3859</v>
      </c>
    </row>
    <row r="2579" spans="1:3" x14ac:dyDescent="0.35">
      <c r="A2579">
        <v>47121</v>
      </c>
      <c r="B2579" t="s">
        <v>1841</v>
      </c>
      <c r="C2579" t="s">
        <v>3859</v>
      </c>
    </row>
    <row r="2580" spans="1:3" x14ac:dyDescent="0.35">
      <c r="A2580">
        <v>47123</v>
      </c>
      <c r="B2580" t="s">
        <v>369</v>
      </c>
      <c r="C2580" t="s">
        <v>3859</v>
      </c>
    </row>
    <row r="2581" spans="1:3" x14ac:dyDescent="0.35">
      <c r="A2581">
        <v>47125</v>
      </c>
      <c r="B2581" t="s">
        <v>301</v>
      </c>
      <c r="C2581" t="s">
        <v>3859</v>
      </c>
    </row>
    <row r="2582" spans="1:3" x14ac:dyDescent="0.35">
      <c r="A2582">
        <v>47127</v>
      </c>
      <c r="B2582" t="s">
        <v>1556</v>
      </c>
      <c r="C2582" t="s">
        <v>3859</v>
      </c>
    </row>
    <row r="2583" spans="1:3" x14ac:dyDescent="0.35">
      <c r="A2583">
        <v>47129</v>
      </c>
      <c r="B2583" t="s">
        <v>263</v>
      </c>
      <c r="C2583" t="s">
        <v>3859</v>
      </c>
    </row>
    <row r="2584" spans="1:3" x14ac:dyDescent="0.35">
      <c r="A2584">
        <v>47131</v>
      </c>
      <c r="B2584" t="s">
        <v>1884</v>
      </c>
      <c r="C2584" t="s">
        <v>3859</v>
      </c>
    </row>
    <row r="2585" spans="1:3" x14ac:dyDescent="0.35">
      <c r="A2585">
        <v>47133</v>
      </c>
      <c r="B2585" t="s">
        <v>1905</v>
      </c>
      <c r="C2585" t="s">
        <v>3859</v>
      </c>
    </row>
    <row r="2586" spans="1:3" x14ac:dyDescent="0.35">
      <c r="A2586">
        <v>47135</v>
      </c>
      <c r="B2586" t="s">
        <v>371</v>
      </c>
      <c r="C2586" t="s">
        <v>3859</v>
      </c>
    </row>
    <row r="2587" spans="1:3" x14ac:dyDescent="0.35">
      <c r="A2587">
        <v>47137</v>
      </c>
      <c r="B2587" t="s">
        <v>1907</v>
      </c>
      <c r="C2587" t="s">
        <v>3859</v>
      </c>
    </row>
    <row r="2588" spans="1:3" x14ac:dyDescent="0.35">
      <c r="A2588">
        <v>47139</v>
      </c>
      <c r="B2588" t="s">
        <v>530</v>
      </c>
      <c r="C2588" t="s">
        <v>3859</v>
      </c>
    </row>
    <row r="2589" spans="1:3" x14ac:dyDescent="0.35">
      <c r="A2589">
        <v>47141</v>
      </c>
      <c r="B2589" t="s">
        <v>729</v>
      </c>
      <c r="C2589" t="s">
        <v>3859</v>
      </c>
    </row>
    <row r="2590" spans="1:3" x14ac:dyDescent="0.35">
      <c r="A2590">
        <v>47143</v>
      </c>
      <c r="B2590" t="s">
        <v>1844</v>
      </c>
      <c r="C2590" t="s">
        <v>3859</v>
      </c>
    </row>
    <row r="2591" spans="1:3" x14ac:dyDescent="0.35">
      <c r="A2591">
        <v>47145</v>
      </c>
      <c r="B2591" t="s">
        <v>1825</v>
      </c>
      <c r="C2591" t="s">
        <v>3859</v>
      </c>
    </row>
    <row r="2592" spans="1:3" x14ac:dyDescent="0.35">
      <c r="A2592">
        <v>47147</v>
      </c>
      <c r="B2592" t="s">
        <v>1853</v>
      </c>
      <c r="C2592" t="s">
        <v>3859</v>
      </c>
    </row>
    <row r="2593" spans="1:3" x14ac:dyDescent="0.35">
      <c r="A2593">
        <v>47149</v>
      </c>
      <c r="B2593" t="s">
        <v>1493</v>
      </c>
      <c r="C2593" t="s">
        <v>3859</v>
      </c>
    </row>
    <row r="2594" spans="1:3" x14ac:dyDescent="0.35">
      <c r="A2594">
        <v>47151</v>
      </c>
      <c r="B2594" t="s">
        <v>528</v>
      </c>
      <c r="C2594" t="s">
        <v>3859</v>
      </c>
    </row>
    <row r="2595" spans="1:3" x14ac:dyDescent="0.35">
      <c r="A2595">
        <v>47153</v>
      </c>
      <c r="B2595" t="s">
        <v>1846</v>
      </c>
      <c r="C2595" t="s">
        <v>3859</v>
      </c>
    </row>
    <row r="2596" spans="1:3" x14ac:dyDescent="0.35">
      <c r="A2596">
        <v>47155</v>
      </c>
      <c r="B2596" t="s">
        <v>512</v>
      </c>
      <c r="C2596" t="s">
        <v>3859</v>
      </c>
    </row>
    <row r="2597" spans="1:3" x14ac:dyDescent="0.35">
      <c r="A2597">
        <v>47157</v>
      </c>
      <c r="B2597" t="s">
        <v>249</v>
      </c>
      <c r="C2597" t="s">
        <v>3859</v>
      </c>
    </row>
    <row r="2598" spans="1:3" x14ac:dyDescent="0.35">
      <c r="A2598">
        <v>47159</v>
      </c>
      <c r="B2598" t="s">
        <v>1319</v>
      </c>
      <c r="C2598" t="s">
        <v>3859</v>
      </c>
    </row>
    <row r="2599" spans="1:3" x14ac:dyDescent="0.35">
      <c r="A2599">
        <v>47161</v>
      </c>
      <c r="B2599" t="s">
        <v>915</v>
      </c>
      <c r="C2599" t="s">
        <v>3859</v>
      </c>
    </row>
    <row r="2600" spans="1:3" x14ac:dyDescent="0.35">
      <c r="A2600">
        <v>47163</v>
      </c>
      <c r="B2600" t="s">
        <v>1801</v>
      </c>
      <c r="C2600" t="s">
        <v>3859</v>
      </c>
    </row>
    <row r="2601" spans="1:3" x14ac:dyDescent="0.35">
      <c r="A2601">
        <v>47165</v>
      </c>
      <c r="B2601" t="s">
        <v>1856</v>
      </c>
      <c r="C2601" t="s">
        <v>3859</v>
      </c>
    </row>
    <row r="2602" spans="1:3" x14ac:dyDescent="0.35">
      <c r="A2602">
        <v>47167</v>
      </c>
      <c r="B2602" t="s">
        <v>1893</v>
      </c>
      <c r="C2602" t="s">
        <v>3859</v>
      </c>
    </row>
    <row r="2603" spans="1:3" x14ac:dyDescent="0.35">
      <c r="A2603">
        <v>47169</v>
      </c>
      <c r="B2603" t="s">
        <v>1858</v>
      </c>
      <c r="C2603" t="s">
        <v>3859</v>
      </c>
    </row>
    <row r="2604" spans="1:3" x14ac:dyDescent="0.35">
      <c r="A2604">
        <v>47171</v>
      </c>
      <c r="B2604" t="s">
        <v>1803</v>
      </c>
      <c r="C2604" t="s">
        <v>3859</v>
      </c>
    </row>
    <row r="2605" spans="1:3" x14ac:dyDescent="0.35">
      <c r="A2605">
        <v>47173</v>
      </c>
      <c r="B2605" t="s">
        <v>518</v>
      </c>
      <c r="C2605" t="s">
        <v>3859</v>
      </c>
    </row>
    <row r="2606" spans="1:3" x14ac:dyDescent="0.35">
      <c r="A2606">
        <v>47175</v>
      </c>
      <c r="B2606" t="s">
        <v>411</v>
      </c>
      <c r="C2606" t="s">
        <v>3859</v>
      </c>
    </row>
    <row r="2607" spans="1:3" x14ac:dyDescent="0.35">
      <c r="A2607">
        <v>47177</v>
      </c>
      <c r="B2607" t="s">
        <v>873</v>
      </c>
      <c r="C2607" t="s">
        <v>3859</v>
      </c>
    </row>
    <row r="2608" spans="1:3" x14ac:dyDescent="0.35">
      <c r="A2608">
        <v>47179</v>
      </c>
      <c r="B2608" t="s">
        <v>385</v>
      </c>
      <c r="C2608" t="s">
        <v>3859</v>
      </c>
    </row>
    <row r="2609" spans="1:3" x14ac:dyDescent="0.35">
      <c r="A2609">
        <v>47181</v>
      </c>
      <c r="B2609" t="s">
        <v>894</v>
      </c>
      <c r="C2609" t="s">
        <v>3859</v>
      </c>
    </row>
    <row r="2610" spans="1:3" x14ac:dyDescent="0.35">
      <c r="A2610">
        <v>47183</v>
      </c>
      <c r="B2610" t="s">
        <v>1886</v>
      </c>
      <c r="C2610" t="s">
        <v>3859</v>
      </c>
    </row>
    <row r="2611" spans="1:3" x14ac:dyDescent="0.35">
      <c r="A2611">
        <v>47185</v>
      </c>
      <c r="B2611" t="s">
        <v>417</v>
      </c>
      <c r="C2611" t="s">
        <v>3859</v>
      </c>
    </row>
    <row r="2612" spans="1:3" x14ac:dyDescent="0.35">
      <c r="A2612">
        <v>47187</v>
      </c>
      <c r="B2612" t="s">
        <v>1860</v>
      </c>
      <c r="C2612" t="s">
        <v>3859</v>
      </c>
    </row>
    <row r="2613" spans="1:3" x14ac:dyDescent="0.35">
      <c r="A2613">
        <v>47189</v>
      </c>
      <c r="B2613" t="s">
        <v>1628</v>
      </c>
      <c r="C2613" t="s">
        <v>3859</v>
      </c>
    </row>
    <row r="2614" spans="1:3" x14ac:dyDescent="0.35">
      <c r="A2614">
        <v>48001</v>
      </c>
      <c r="B2614" t="s">
        <v>1674</v>
      </c>
      <c r="C2614" t="s">
        <v>3860</v>
      </c>
    </row>
    <row r="2615" spans="1:3" x14ac:dyDescent="0.35">
      <c r="A2615">
        <v>48003</v>
      </c>
      <c r="B2615" t="s">
        <v>2200</v>
      </c>
      <c r="C2615" t="s">
        <v>3860</v>
      </c>
    </row>
    <row r="2616" spans="1:3" x14ac:dyDescent="0.35">
      <c r="A2616">
        <v>48005</v>
      </c>
      <c r="B2616" t="s">
        <v>2039</v>
      </c>
      <c r="C2616" t="s">
        <v>3860</v>
      </c>
    </row>
    <row r="2617" spans="1:3" x14ac:dyDescent="0.35">
      <c r="A2617">
        <v>48007</v>
      </c>
      <c r="B2617" t="s">
        <v>2082</v>
      </c>
      <c r="C2617" t="s">
        <v>3860</v>
      </c>
    </row>
    <row r="2618" spans="1:3" x14ac:dyDescent="0.35">
      <c r="A2618">
        <v>48009</v>
      </c>
      <c r="B2618" t="s">
        <v>2368</v>
      </c>
      <c r="C2618" t="s">
        <v>3860</v>
      </c>
    </row>
    <row r="2619" spans="1:3" x14ac:dyDescent="0.35">
      <c r="A2619">
        <v>48011</v>
      </c>
      <c r="B2619" t="s">
        <v>1972</v>
      </c>
      <c r="C2619" t="s">
        <v>3860</v>
      </c>
    </row>
    <row r="2620" spans="1:3" x14ac:dyDescent="0.35">
      <c r="A2620">
        <v>48013</v>
      </c>
      <c r="B2620" t="s">
        <v>2259</v>
      </c>
      <c r="C2620" t="s">
        <v>3860</v>
      </c>
    </row>
    <row r="2621" spans="1:3" x14ac:dyDescent="0.35">
      <c r="A2621">
        <v>48015</v>
      </c>
      <c r="B2621" t="s">
        <v>2412</v>
      </c>
      <c r="C2621" t="s">
        <v>3860</v>
      </c>
    </row>
    <row r="2622" spans="1:3" x14ac:dyDescent="0.35">
      <c r="A2622">
        <v>48017</v>
      </c>
      <c r="B2622" t="s">
        <v>2165</v>
      </c>
      <c r="C2622" t="s">
        <v>3860</v>
      </c>
    </row>
    <row r="2623" spans="1:3" x14ac:dyDescent="0.35">
      <c r="A2623">
        <v>48019</v>
      </c>
      <c r="B2623" t="s">
        <v>2261</v>
      </c>
      <c r="C2623" t="s">
        <v>3860</v>
      </c>
    </row>
    <row r="2624" spans="1:3" x14ac:dyDescent="0.35">
      <c r="A2624">
        <v>48021</v>
      </c>
      <c r="B2624" t="s">
        <v>2022</v>
      </c>
      <c r="C2624" t="s">
        <v>3860</v>
      </c>
    </row>
    <row r="2625" spans="1:3" x14ac:dyDescent="0.35">
      <c r="A2625">
        <v>48023</v>
      </c>
      <c r="B2625" t="s">
        <v>2370</v>
      </c>
      <c r="C2625" t="s">
        <v>3860</v>
      </c>
    </row>
    <row r="2626" spans="1:3" x14ac:dyDescent="0.35">
      <c r="A2626">
        <v>48025</v>
      </c>
      <c r="B2626" t="s">
        <v>2084</v>
      </c>
      <c r="C2626" t="s">
        <v>3860</v>
      </c>
    </row>
    <row r="2627" spans="1:3" x14ac:dyDescent="0.35">
      <c r="A2627">
        <v>48027</v>
      </c>
      <c r="B2627" t="s">
        <v>2130</v>
      </c>
      <c r="C2627" t="s">
        <v>3860</v>
      </c>
    </row>
    <row r="2628" spans="1:3" x14ac:dyDescent="0.35">
      <c r="A2628">
        <v>48029</v>
      </c>
      <c r="B2628" t="s">
        <v>2263</v>
      </c>
      <c r="C2628" t="s">
        <v>3860</v>
      </c>
    </row>
    <row r="2629" spans="1:3" x14ac:dyDescent="0.35">
      <c r="A2629">
        <v>48031</v>
      </c>
      <c r="B2629" t="s">
        <v>2024</v>
      </c>
      <c r="C2629" t="s">
        <v>3860</v>
      </c>
    </row>
    <row r="2630" spans="1:3" x14ac:dyDescent="0.35">
      <c r="A2630">
        <v>48033</v>
      </c>
      <c r="B2630" t="s">
        <v>2202</v>
      </c>
      <c r="C2630" t="s">
        <v>3860</v>
      </c>
    </row>
    <row r="2631" spans="1:3" x14ac:dyDescent="0.35">
      <c r="A2631">
        <v>48035</v>
      </c>
      <c r="B2631" t="s">
        <v>2355</v>
      </c>
      <c r="C2631" t="s">
        <v>3860</v>
      </c>
    </row>
    <row r="2632" spans="1:3" x14ac:dyDescent="0.35">
      <c r="A2632">
        <v>48037</v>
      </c>
      <c r="B2632" t="s">
        <v>2309</v>
      </c>
      <c r="C2632" t="s">
        <v>3860</v>
      </c>
    </row>
    <row r="2633" spans="1:3" x14ac:dyDescent="0.35">
      <c r="A2633">
        <v>48039</v>
      </c>
      <c r="B2633" t="s">
        <v>2414</v>
      </c>
      <c r="C2633" t="s">
        <v>3860</v>
      </c>
    </row>
    <row r="2634" spans="1:3" x14ac:dyDescent="0.35">
      <c r="A2634">
        <v>48041</v>
      </c>
      <c r="B2634" t="s">
        <v>2069</v>
      </c>
      <c r="C2634" t="s">
        <v>3860</v>
      </c>
    </row>
    <row r="2635" spans="1:3" x14ac:dyDescent="0.35">
      <c r="A2635">
        <v>48043</v>
      </c>
      <c r="B2635" t="s">
        <v>2113</v>
      </c>
      <c r="C2635" t="s">
        <v>3860</v>
      </c>
    </row>
    <row r="2636" spans="1:3" x14ac:dyDescent="0.35">
      <c r="A2636">
        <v>48045</v>
      </c>
      <c r="B2636" t="s">
        <v>1974</v>
      </c>
      <c r="C2636" t="s">
        <v>3860</v>
      </c>
    </row>
    <row r="2637" spans="1:3" x14ac:dyDescent="0.35">
      <c r="A2637">
        <v>48047</v>
      </c>
      <c r="B2637" t="s">
        <v>1031</v>
      </c>
      <c r="C2637" t="s">
        <v>3860</v>
      </c>
    </row>
    <row r="2638" spans="1:3" x14ac:dyDescent="0.35">
      <c r="A2638">
        <v>48049</v>
      </c>
      <c r="B2638" t="s">
        <v>1939</v>
      </c>
      <c r="C2638" t="s">
        <v>3860</v>
      </c>
    </row>
    <row r="2639" spans="1:3" x14ac:dyDescent="0.35">
      <c r="A2639">
        <v>48051</v>
      </c>
      <c r="B2639" t="s">
        <v>2071</v>
      </c>
      <c r="C2639" t="s">
        <v>3860</v>
      </c>
    </row>
    <row r="2640" spans="1:3" x14ac:dyDescent="0.35">
      <c r="A2640">
        <v>48053</v>
      </c>
      <c r="B2640" t="s">
        <v>2026</v>
      </c>
      <c r="C2640" t="s">
        <v>3860</v>
      </c>
    </row>
    <row r="2641" spans="1:3" x14ac:dyDescent="0.35">
      <c r="A2641">
        <v>48055</v>
      </c>
      <c r="B2641" t="s">
        <v>1505</v>
      </c>
      <c r="C2641" t="s">
        <v>3860</v>
      </c>
    </row>
    <row r="2642" spans="1:3" x14ac:dyDescent="0.35">
      <c r="A2642">
        <v>48057</v>
      </c>
      <c r="B2642" t="s">
        <v>233</v>
      </c>
      <c r="C2642" t="s">
        <v>3860</v>
      </c>
    </row>
    <row r="2643" spans="1:3" x14ac:dyDescent="0.35">
      <c r="A2643">
        <v>48059</v>
      </c>
      <c r="B2643" t="s">
        <v>1941</v>
      </c>
      <c r="C2643" t="s">
        <v>3860</v>
      </c>
    </row>
    <row r="2644" spans="1:3" x14ac:dyDescent="0.35">
      <c r="A2644">
        <v>48061</v>
      </c>
      <c r="B2644" t="s">
        <v>2062</v>
      </c>
      <c r="C2644" t="s">
        <v>3860</v>
      </c>
    </row>
    <row r="2645" spans="1:3" x14ac:dyDescent="0.35">
      <c r="A2645">
        <v>48063</v>
      </c>
      <c r="B2645" t="s">
        <v>2311</v>
      </c>
      <c r="C2645" t="s">
        <v>3860</v>
      </c>
    </row>
    <row r="2646" spans="1:3" x14ac:dyDescent="0.35">
      <c r="A2646">
        <v>48065</v>
      </c>
      <c r="B2646" t="s">
        <v>1976</v>
      </c>
      <c r="C2646" t="s">
        <v>3860</v>
      </c>
    </row>
    <row r="2647" spans="1:3" x14ac:dyDescent="0.35">
      <c r="A2647">
        <v>48067</v>
      </c>
      <c r="B2647" t="s">
        <v>2313</v>
      </c>
      <c r="C2647" t="s">
        <v>3860</v>
      </c>
    </row>
    <row r="2648" spans="1:3" x14ac:dyDescent="0.35">
      <c r="A2648">
        <v>48069</v>
      </c>
      <c r="B2648" t="s">
        <v>1978</v>
      </c>
      <c r="C2648" t="s">
        <v>3860</v>
      </c>
    </row>
    <row r="2649" spans="1:3" x14ac:dyDescent="0.35">
      <c r="A2649">
        <v>48071</v>
      </c>
      <c r="B2649" t="s">
        <v>321</v>
      </c>
      <c r="C2649" t="s">
        <v>3860</v>
      </c>
    </row>
    <row r="2650" spans="1:3" x14ac:dyDescent="0.35">
      <c r="A2650">
        <v>48073</v>
      </c>
      <c r="B2650" t="s">
        <v>323</v>
      </c>
      <c r="C2650" t="s">
        <v>3860</v>
      </c>
    </row>
    <row r="2651" spans="1:3" x14ac:dyDescent="0.35">
      <c r="A2651">
        <v>48075</v>
      </c>
      <c r="B2651" t="s">
        <v>1980</v>
      </c>
      <c r="C2651" t="s">
        <v>3860</v>
      </c>
    </row>
    <row r="2652" spans="1:3" x14ac:dyDescent="0.35">
      <c r="A2652">
        <v>48077</v>
      </c>
      <c r="B2652" t="s">
        <v>329</v>
      </c>
      <c r="C2652" t="s">
        <v>3860</v>
      </c>
    </row>
    <row r="2653" spans="1:3" x14ac:dyDescent="0.35">
      <c r="A2653">
        <v>48079</v>
      </c>
      <c r="B2653" t="s">
        <v>2167</v>
      </c>
      <c r="C2653" t="s">
        <v>3860</v>
      </c>
    </row>
    <row r="2654" spans="1:3" x14ac:dyDescent="0.35">
      <c r="A2654">
        <v>48081</v>
      </c>
      <c r="B2654" t="s">
        <v>2232</v>
      </c>
      <c r="C2654" t="s">
        <v>3860</v>
      </c>
    </row>
    <row r="2655" spans="1:3" x14ac:dyDescent="0.35">
      <c r="A2655">
        <v>48083</v>
      </c>
      <c r="B2655" t="s">
        <v>1943</v>
      </c>
      <c r="C2655" t="s">
        <v>3860</v>
      </c>
    </row>
    <row r="2656" spans="1:3" x14ac:dyDescent="0.35">
      <c r="A2656">
        <v>48085</v>
      </c>
      <c r="B2656" t="s">
        <v>2099</v>
      </c>
      <c r="C2656" t="s">
        <v>3860</v>
      </c>
    </row>
    <row r="2657" spans="1:3" x14ac:dyDescent="0.35">
      <c r="A2657">
        <v>48087</v>
      </c>
      <c r="B2657" t="s">
        <v>1982</v>
      </c>
      <c r="C2657" t="s">
        <v>3860</v>
      </c>
    </row>
    <row r="2658" spans="1:3" x14ac:dyDescent="0.35">
      <c r="A2658">
        <v>48089</v>
      </c>
      <c r="B2658" t="s">
        <v>2416</v>
      </c>
      <c r="C2658" t="s">
        <v>3860</v>
      </c>
    </row>
    <row r="2659" spans="1:3" x14ac:dyDescent="0.35">
      <c r="A2659">
        <v>48091</v>
      </c>
      <c r="B2659" t="s">
        <v>2265</v>
      </c>
      <c r="C2659" t="s">
        <v>3860</v>
      </c>
    </row>
    <row r="2660" spans="1:3" x14ac:dyDescent="0.35">
      <c r="A2660">
        <v>48093</v>
      </c>
      <c r="B2660" t="s">
        <v>1945</v>
      </c>
      <c r="C2660" t="s">
        <v>3860</v>
      </c>
    </row>
    <row r="2661" spans="1:3" x14ac:dyDescent="0.35">
      <c r="A2661">
        <v>48095</v>
      </c>
      <c r="B2661" t="s">
        <v>2234</v>
      </c>
      <c r="C2661" t="s">
        <v>3860</v>
      </c>
    </row>
    <row r="2662" spans="1:3" x14ac:dyDescent="0.35">
      <c r="A2662">
        <v>48097</v>
      </c>
      <c r="B2662" t="s">
        <v>2302</v>
      </c>
      <c r="C2662" t="s">
        <v>3860</v>
      </c>
    </row>
    <row r="2663" spans="1:3" x14ac:dyDescent="0.35">
      <c r="A2663">
        <v>48099</v>
      </c>
      <c r="B2663" t="s">
        <v>2132</v>
      </c>
      <c r="C2663" t="s">
        <v>3860</v>
      </c>
    </row>
    <row r="2664" spans="1:3" x14ac:dyDescent="0.35">
      <c r="A2664">
        <v>48101</v>
      </c>
      <c r="B2664" t="s">
        <v>2373</v>
      </c>
      <c r="C2664" t="s">
        <v>3860</v>
      </c>
    </row>
    <row r="2665" spans="1:3" x14ac:dyDescent="0.35">
      <c r="A2665">
        <v>48103</v>
      </c>
      <c r="B2665" t="s">
        <v>2204</v>
      </c>
      <c r="C2665" t="s">
        <v>3860</v>
      </c>
    </row>
    <row r="2666" spans="1:3" x14ac:dyDescent="0.35">
      <c r="A2666">
        <v>48105</v>
      </c>
      <c r="B2666" t="s">
        <v>1867</v>
      </c>
      <c r="C2666" t="s">
        <v>3860</v>
      </c>
    </row>
    <row r="2667" spans="1:3" x14ac:dyDescent="0.35">
      <c r="A2667">
        <v>48107</v>
      </c>
      <c r="B2667" t="s">
        <v>2169</v>
      </c>
      <c r="C2667" t="s">
        <v>3860</v>
      </c>
    </row>
    <row r="2668" spans="1:3" x14ac:dyDescent="0.35">
      <c r="A2668">
        <v>48109</v>
      </c>
      <c r="B2668" t="s">
        <v>2115</v>
      </c>
      <c r="C2668" t="s">
        <v>3860</v>
      </c>
    </row>
    <row r="2669" spans="1:3" x14ac:dyDescent="0.35">
      <c r="A2669">
        <v>48111</v>
      </c>
      <c r="B2669" t="s">
        <v>1984</v>
      </c>
      <c r="C2669" t="s">
        <v>3860</v>
      </c>
    </row>
    <row r="2670" spans="1:3" x14ac:dyDescent="0.35">
      <c r="A2670">
        <v>48113</v>
      </c>
      <c r="B2670" t="s">
        <v>347</v>
      </c>
      <c r="C2670" t="s">
        <v>3860</v>
      </c>
    </row>
    <row r="2671" spans="1:3" x14ac:dyDescent="0.35">
      <c r="A2671">
        <v>48115</v>
      </c>
      <c r="B2671" t="s">
        <v>936</v>
      </c>
      <c r="C2671" t="s">
        <v>3860</v>
      </c>
    </row>
    <row r="2672" spans="1:3" x14ac:dyDescent="0.35">
      <c r="A2672">
        <v>48117</v>
      </c>
      <c r="B2672" t="s">
        <v>1986</v>
      </c>
      <c r="C2672" t="s">
        <v>3860</v>
      </c>
    </row>
    <row r="2673" spans="1:3" x14ac:dyDescent="0.35">
      <c r="A2673">
        <v>48119</v>
      </c>
      <c r="B2673" t="s">
        <v>2315</v>
      </c>
      <c r="C2673" t="s">
        <v>3860</v>
      </c>
    </row>
    <row r="2674" spans="1:3" x14ac:dyDescent="0.35">
      <c r="A2674">
        <v>48121</v>
      </c>
      <c r="B2674" t="s">
        <v>2393</v>
      </c>
      <c r="C2674" t="s">
        <v>3860</v>
      </c>
    </row>
    <row r="2675" spans="1:3" x14ac:dyDescent="0.35">
      <c r="A2675">
        <v>48123</v>
      </c>
      <c r="B2675" t="s">
        <v>2342</v>
      </c>
      <c r="C2675" t="s">
        <v>3860</v>
      </c>
    </row>
    <row r="2676" spans="1:3" x14ac:dyDescent="0.35">
      <c r="A2676">
        <v>48125</v>
      </c>
      <c r="B2676" t="s">
        <v>2171</v>
      </c>
      <c r="C2676" t="s">
        <v>3860</v>
      </c>
    </row>
    <row r="2677" spans="1:3" x14ac:dyDescent="0.35">
      <c r="A2677">
        <v>48127</v>
      </c>
      <c r="B2677" t="s">
        <v>2267</v>
      </c>
      <c r="C2677" t="s">
        <v>3860</v>
      </c>
    </row>
    <row r="2678" spans="1:3" x14ac:dyDescent="0.35">
      <c r="A2678">
        <v>48129</v>
      </c>
      <c r="B2678" t="s">
        <v>1988</v>
      </c>
      <c r="C2678" t="s">
        <v>3860</v>
      </c>
    </row>
    <row r="2679" spans="1:3" x14ac:dyDescent="0.35">
      <c r="A2679">
        <v>48131</v>
      </c>
      <c r="B2679" t="s">
        <v>583</v>
      </c>
      <c r="C2679" t="s">
        <v>3860</v>
      </c>
    </row>
    <row r="2680" spans="1:3" x14ac:dyDescent="0.35">
      <c r="A2680">
        <v>48133</v>
      </c>
      <c r="B2680" t="s">
        <v>1947</v>
      </c>
      <c r="C2680" t="s">
        <v>3860</v>
      </c>
    </row>
    <row r="2681" spans="1:3" x14ac:dyDescent="0.35">
      <c r="A2681">
        <v>48135</v>
      </c>
      <c r="B2681" t="s">
        <v>2207</v>
      </c>
      <c r="C2681" t="s">
        <v>3860</v>
      </c>
    </row>
    <row r="2682" spans="1:3" x14ac:dyDescent="0.35">
      <c r="A2682">
        <v>48137</v>
      </c>
      <c r="B2682" t="s">
        <v>2269</v>
      </c>
      <c r="C2682" t="s">
        <v>3860</v>
      </c>
    </row>
    <row r="2683" spans="1:3" x14ac:dyDescent="0.35">
      <c r="A2683">
        <v>48139</v>
      </c>
      <c r="B2683" t="s">
        <v>2102</v>
      </c>
      <c r="C2683" t="s">
        <v>3860</v>
      </c>
    </row>
    <row r="2684" spans="1:3" x14ac:dyDescent="0.35">
      <c r="A2684">
        <v>48141</v>
      </c>
      <c r="B2684" t="s">
        <v>2117</v>
      </c>
      <c r="C2684" t="s">
        <v>3860</v>
      </c>
    </row>
    <row r="2685" spans="1:3" x14ac:dyDescent="0.35">
      <c r="A2685">
        <v>48143</v>
      </c>
      <c r="B2685" t="s">
        <v>2395</v>
      </c>
      <c r="C2685" t="s">
        <v>3860</v>
      </c>
    </row>
    <row r="2686" spans="1:3" x14ac:dyDescent="0.35">
      <c r="A2686">
        <v>48145</v>
      </c>
      <c r="B2686" t="s">
        <v>2357</v>
      </c>
      <c r="C2686" t="s">
        <v>3860</v>
      </c>
    </row>
    <row r="2687" spans="1:3" x14ac:dyDescent="0.35">
      <c r="A2687">
        <v>48147</v>
      </c>
      <c r="B2687" t="s">
        <v>927</v>
      </c>
      <c r="C2687" t="s">
        <v>3860</v>
      </c>
    </row>
    <row r="2688" spans="1:3" x14ac:dyDescent="0.35">
      <c r="A2688">
        <v>48149</v>
      </c>
      <c r="B2688" t="s">
        <v>353</v>
      </c>
      <c r="C2688" t="s">
        <v>3860</v>
      </c>
    </row>
    <row r="2689" spans="1:3" x14ac:dyDescent="0.35">
      <c r="A2689">
        <v>48151</v>
      </c>
      <c r="B2689" t="s">
        <v>1949</v>
      </c>
      <c r="C2689" t="s">
        <v>3860</v>
      </c>
    </row>
    <row r="2690" spans="1:3" x14ac:dyDescent="0.35">
      <c r="A2690">
        <v>48153</v>
      </c>
      <c r="B2690" t="s">
        <v>996</v>
      </c>
      <c r="C2690" t="s">
        <v>3860</v>
      </c>
    </row>
    <row r="2691" spans="1:3" x14ac:dyDescent="0.35">
      <c r="A2691">
        <v>48155</v>
      </c>
      <c r="B2691" t="s">
        <v>2375</v>
      </c>
      <c r="C2691" t="s">
        <v>3860</v>
      </c>
    </row>
    <row r="2692" spans="1:3" x14ac:dyDescent="0.35">
      <c r="A2692">
        <v>48157</v>
      </c>
      <c r="B2692" t="s">
        <v>2418</v>
      </c>
      <c r="C2692" t="s">
        <v>3860</v>
      </c>
    </row>
    <row r="2693" spans="1:3" x14ac:dyDescent="0.35">
      <c r="A2693">
        <v>48159</v>
      </c>
      <c r="B2693" t="s">
        <v>355</v>
      </c>
      <c r="C2693" t="s">
        <v>3860</v>
      </c>
    </row>
    <row r="2694" spans="1:3" x14ac:dyDescent="0.35">
      <c r="A2694">
        <v>48161</v>
      </c>
      <c r="B2694" t="s">
        <v>2359</v>
      </c>
      <c r="C2694" t="s">
        <v>3860</v>
      </c>
    </row>
    <row r="2695" spans="1:3" x14ac:dyDescent="0.35">
      <c r="A2695">
        <v>48163</v>
      </c>
      <c r="B2695" t="s">
        <v>2271</v>
      </c>
      <c r="C2695" t="s">
        <v>3860</v>
      </c>
    </row>
    <row r="2696" spans="1:3" x14ac:dyDescent="0.35">
      <c r="A2696">
        <v>48165</v>
      </c>
      <c r="B2696" t="s">
        <v>2209</v>
      </c>
      <c r="C2696" t="s">
        <v>3860</v>
      </c>
    </row>
    <row r="2697" spans="1:3" x14ac:dyDescent="0.35">
      <c r="A2697">
        <v>48167</v>
      </c>
      <c r="B2697" t="s">
        <v>2125</v>
      </c>
      <c r="C2697" t="s">
        <v>3860</v>
      </c>
    </row>
    <row r="2698" spans="1:3" x14ac:dyDescent="0.35">
      <c r="A2698">
        <v>48169</v>
      </c>
      <c r="B2698" t="s">
        <v>2174</v>
      </c>
      <c r="C2698" t="s">
        <v>3860</v>
      </c>
    </row>
    <row r="2699" spans="1:3" x14ac:dyDescent="0.35">
      <c r="A2699">
        <v>48171</v>
      </c>
      <c r="B2699" t="s">
        <v>2273</v>
      </c>
      <c r="C2699" t="s">
        <v>3860</v>
      </c>
    </row>
    <row r="2700" spans="1:3" x14ac:dyDescent="0.35">
      <c r="A2700">
        <v>48173</v>
      </c>
      <c r="B2700" t="s">
        <v>2211</v>
      </c>
      <c r="C2700" t="s">
        <v>3860</v>
      </c>
    </row>
    <row r="2701" spans="1:3" x14ac:dyDescent="0.35">
      <c r="A2701">
        <v>48175</v>
      </c>
      <c r="B2701" t="s">
        <v>2344</v>
      </c>
      <c r="C2701" t="s">
        <v>3860</v>
      </c>
    </row>
    <row r="2702" spans="1:3" x14ac:dyDescent="0.35">
      <c r="A2702">
        <v>48177</v>
      </c>
      <c r="B2702" t="s">
        <v>2275</v>
      </c>
      <c r="C2702" t="s">
        <v>3860</v>
      </c>
    </row>
    <row r="2703" spans="1:3" x14ac:dyDescent="0.35">
      <c r="A2703">
        <v>48179</v>
      </c>
      <c r="B2703" t="s">
        <v>1990</v>
      </c>
      <c r="C2703" t="s">
        <v>3860</v>
      </c>
    </row>
    <row r="2704" spans="1:3" x14ac:dyDescent="0.35">
      <c r="A2704">
        <v>48181</v>
      </c>
      <c r="B2704" t="s">
        <v>2305</v>
      </c>
      <c r="C2704" t="s">
        <v>3860</v>
      </c>
    </row>
    <row r="2705" spans="1:3" x14ac:dyDescent="0.35">
      <c r="A2705">
        <v>48183</v>
      </c>
      <c r="B2705" t="s">
        <v>2154</v>
      </c>
      <c r="C2705" t="s">
        <v>3860</v>
      </c>
    </row>
    <row r="2706" spans="1:3" x14ac:dyDescent="0.35">
      <c r="A2706">
        <v>48185</v>
      </c>
      <c r="B2706" t="s">
        <v>2073</v>
      </c>
      <c r="C2706" t="s">
        <v>3860</v>
      </c>
    </row>
    <row r="2707" spans="1:3" x14ac:dyDescent="0.35">
      <c r="A2707">
        <v>48187</v>
      </c>
      <c r="B2707" t="s">
        <v>2277</v>
      </c>
      <c r="C2707" t="s">
        <v>3860</v>
      </c>
    </row>
    <row r="2708" spans="1:3" x14ac:dyDescent="0.35">
      <c r="A2708">
        <v>48189</v>
      </c>
      <c r="B2708" t="s">
        <v>307</v>
      </c>
      <c r="C2708" t="s">
        <v>3860</v>
      </c>
    </row>
    <row r="2709" spans="1:3" x14ac:dyDescent="0.35">
      <c r="A2709">
        <v>48191</v>
      </c>
      <c r="B2709" t="s">
        <v>941</v>
      </c>
      <c r="C2709" t="s">
        <v>3860</v>
      </c>
    </row>
    <row r="2710" spans="1:3" x14ac:dyDescent="0.35">
      <c r="A2710">
        <v>48193</v>
      </c>
      <c r="B2710" t="s">
        <v>613</v>
      </c>
      <c r="C2710" t="s">
        <v>3860</v>
      </c>
    </row>
    <row r="2711" spans="1:3" x14ac:dyDescent="0.35">
      <c r="A2711">
        <v>48195</v>
      </c>
      <c r="B2711" t="s">
        <v>1993</v>
      </c>
      <c r="C2711" t="s">
        <v>3860</v>
      </c>
    </row>
    <row r="2712" spans="1:3" x14ac:dyDescent="0.35">
      <c r="A2712">
        <v>48197</v>
      </c>
      <c r="B2712" t="s">
        <v>1874</v>
      </c>
      <c r="C2712" t="s">
        <v>3860</v>
      </c>
    </row>
    <row r="2713" spans="1:3" x14ac:dyDescent="0.35">
      <c r="A2713">
        <v>48199</v>
      </c>
      <c r="B2713" t="s">
        <v>1876</v>
      </c>
      <c r="C2713" t="s">
        <v>3860</v>
      </c>
    </row>
    <row r="2714" spans="1:3" x14ac:dyDescent="0.35">
      <c r="A2714">
        <v>48201</v>
      </c>
      <c r="B2714" t="s">
        <v>905</v>
      </c>
      <c r="C2714" t="s">
        <v>3860</v>
      </c>
    </row>
    <row r="2715" spans="1:3" x14ac:dyDescent="0.35">
      <c r="A2715">
        <v>48203</v>
      </c>
      <c r="B2715" t="s">
        <v>1250</v>
      </c>
      <c r="C2715" t="s">
        <v>3860</v>
      </c>
    </row>
    <row r="2716" spans="1:3" x14ac:dyDescent="0.35">
      <c r="A2716">
        <v>48205</v>
      </c>
      <c r="B2716" t="s">
        <v>1995</v>
      </c>
      <c r="C2716" t="s">
        <v>3860</v>
      </c>
    </row>
    <row r="2717" spans="1:3" x14ac:dyDescent="0.35">
      <c r="A2717">
        <v>48207</v>
      </c>
      <c r="B2717" t="s">
        <v>1951</v>
      </c>
      <c r="C2717" t="s">
        <v>3860</v>
      </c>
    </row>
    <row r="2718" spans="1:3" x14ac:dyDescent="0.35">
      <c r="A2718">
        <v>48209</v>
      </c>
      <c r="B2718" t="s">
        <v>2030</v>
      </c>
      <c r="C2718" t="s">
        <v>3860</v>
      </c>
    </row>
    <row r="2719" spans="1:3" x14ac:dyDescent="0.35">
      <c r="A2719">
        <v>48211</v>
      </c>
      <c r="B2719" t="s">
        <v>1997</v>
      </c>
      <c r="C2719" t="s">
        <v>3860</v>
      </c>
    </row>
    <row r="2720" spans="1:3" x14ac:dyDescent="0.35">
      <c r="A2720">
        <v>48213</v>
      </c>
      <c r="B2720" t="s">
        <v>1484</v>
      </c>
      <c r="C2720" t="s">
        <v>3860</v>
      </c>
    </row>
    <row r="2721" spans="1:3" x14ac:dyDescent="0.35">
      <c r="A2721">
        <v>48215</v>
      </c>
      <c r="B2721" t="s">
        <v>2194</v>
      </c>
      <c r="C2721" t="s">
        <v>3860</v>
      </c>
    </row>
    <row r="2722" spans="1:3" x14ac:dyDescent="0.35">
      <c r="A2722">
        <v>48217</v>
      </c>
      <c r="B2722" t="s">
        <v>2361</v>
      </c>
      <c r="C2722" t="s">
        <v>3860</v>
      </c>
    </row>
    <row r="2723" spans="1:3" x14ac:dyDescent="0.35">
      <c r="A2723">
        <v>48219</v>
      </c>
      <c r="B2723" t="s">
        <v>2177</v>
      </c>
      <c r="C2723" t="s">
        <v>3860</v>
      </c>
    </row>
    <row r="2724" spans="1:3" x14ac:dyDescent="0.35">
      <c r="A2724">
        <v>48221</v>
      </c>
      <c r="B2724" t="s">
        <v>2397</v>
      </c>
      <c r="C2724" t="s">
        <v>3860</v>
      </c>
    </row>
    <row r="2725" spans="1:3" x14ac:dyDescent="0.35">
      <c r="A2725">
        <v>48223</v>
      </c>
      <c r="B2725" t="s">
        <v>2318</v>
      </c>
      <c r="C2725" t="s">
        <v>3860</v>
      </c>
    </row>
    <row r="2726" spans="1:3" x14ac:dyDescent="0.35">
      <c r="A2726">
        <v>48225</v>
      </c>
      <c r="B2726" t="s">
        <v>271</v>
      </c>
      <c r="C2726" t="s">
        <v>3860</v>
      </c>
    </row>
    <row r="2727" spans="1:3" x14ac:dyDescent="0.35">
      <c r="A2727">
        <v>48227</v>
      </c>
      <c r="B2727" t="s">
        <v>520</v>
      </c>
      <c r="C2727" t="s">
        <v>3860</v>
      </c>
    </row>
    <row r="2728" spans="1:3" x14ac:dyDescent="0.35">
      <c r="A2728">
        <v>48229</v>
      </c>
      <c r="B2728" t="s">
        <v>2119</v>
      </c>
      <c r="C2728" t="s">
        <v>3860</v>
      </c>
    </row>
    <row r="2729" spans="1:3" x14ac:dyDescent="0.35">
      <c r="A2729">
        <v>48231</v>
      </c>
      <c r="B2729" t="s">
        <v>2104</v>
      </c>
      <c r="C2729" t="s">
        <v>3860</v>
      </c>
    </row>
    <row r="2730" spans="1:3" x14ac:dyDescent="0.35">
      <c r="A2730">
        <v>48233</v>
      </c>
      <c r="B2730" t="s">
        <v>1999</v>
      </c>
      <c r="C2730" t="s">
        <v>3860</v>
      </c>
    </row>
    <row r="2731" spans="1:3" x14ac:dyDescent="0.35">
      <c r="A2731">
        <v>48235</v>
      </c>
      <c r="B2731" t="s">
        <v>2237</v>
      </c>
      <c r="C2731" t="s">
        <v>3860</v>
      </c>
    </row>
    <row r="2732" spans="1:3" x14ac:dyDescent="0.35">
      <c r="A2732">
        <v>48237</v>
      </c>
      <c r="B2732" t="s">
        <v>2378</v>
      </c>
      <c r="C2732" t="s">
        <v>3860</v>
      </c>
    </row>
    <row r="2733" spans="1:3" x14ac:dyDescent="0.35">
      <c r="A2733">
        <v>48239</v>
      </c>
      <c r="B2733" t="s">
        <v>357</v>
      </c>
      <c r="C2733" t="s">
        <v>3860</v>
      </c>
    </row>
    <row r="2734" spans="1:3" x14ac:dyDescent="0.35">
      <c r="A2734">
        <v>48241</v>
      </c>
      <c r="B2734" t="s">
        <v>837</v>
      </c>
      <c r="C2734" t="s">
        <v>3860</v>
      </c>
    </row>
    <row r="2735" spans="1:3" x14ac:dyDescent="0.35">
      <c r="A2735">
        <v>48243</v>
      </c>
      <c r="B2735" t="s">
        <v>959</v>
      </c>
      <c r="C2735" t="s">
        <v>3860</v>
      </c>
    </row>
    <row r="2736" spans="1:3" x14ac:dyDescent="0.35">
      <c r="A2736">
        <v>48245</v>
      </c>
      <c r="B2736" t="s">
        <v>247</v>
      </c>
      <c r="C2736" t="s">
        <v>3860</v>
      </c>
    </row>
    <row r="2737" spans="1:3" x14ac:dyDescent="0.35">
      <c r="A2737">
        <v>48247</v>
      </c>
      <c r="B2737" t="s">
        <v>2144</v>
      </c>
      <c r="C2737" t="s">
        <v>3860</v>
      </c>
    </row>
    <row r="2738" spans="1:3" x14ac:dyDescent="0.35">
      <c r="A2738">
        <v>48249</v>
      </c>
      <c r="B2738" t="s">
        <v>2086</v>
      </c>
      <c r="C2738" t="s">
        <v>3860</v>
      </c>
    </row>
    <row r="2739" spans="1:3" x14ac:dyDescent="0.35">
      <c r="A2739">
        <v>48251</v>
      </c>
      <c r="B2739" t="s">
        <v>535</v>
      </c>
      <c r="C2739" t="s">
        <v>3860</v>
      </c>
    </row>
    <row r="2740" spans="1:3" x14ac:dyDescent="0.35">
      <c r="A2740">
        <v>48253</v>
      </c>
      <c r="B2740" t="s">
        <v>983</v>
      </c>
      <c r="C2740" t="s">
        <v>3860</v>
      </c>
    </row>
    <row r="2741" spans="1:3" x14ac:dyDescent="0.35">
      <c r="A2741">
        <v>48255</v>
      </c>
      <c r="B2741" t="s">
        <v>2347</v>
      </c>
      <c r="C2741" t="s">
        <v>3860</v>
      </c>
    </row>
    <row r="2742" spans="1:3" x14ac:dyDescent="0.35">
      <c r="A2742">
        <v>48257</v>
      </c>
      <c r="B2742" t="s">
        <v>2106</v>
      </c>
      <c r="C2742" t="s">
        <v>3860</v>
      </c>
    </row>
    <row r="2743" spans="1:3" x14ac:dyDescent="0.35">
      <c r="A2743">
        <v>48259</v>
      </c>
      <c r="B2743" t="s">
        <v>2279</v>
      </c>
      <c r="C2743" t="s">
        <v>3860</v>
      </c>
    </row>
    <row r="2744" spans="1:3" x14ac:dyDescent="0.35">
      <c r="A2744">
        <v>48261</v>
      </c>
      <c r="B2744" t="s">
        <v>2064</v>
      </c>
      <c r="C2744" t="s">
        <v>3860</v>
      </c>
    </row>
    <row r="2745" spans="1:3" x14ac:dyDescent="0.35">
      <c r="A2745">
        <v>48263</v>
      </c>
      <c r="B2745" t="s">
        <v>1954</v>
      </c>
      <c r="C2745" t="s">
        <v>3860</v>
      </c>
    </row>
    <row r="2746" spans="1:3" x14ac:dyDescent="0.35">
      <c r="A2746">
        <v>48265</v>
      </c>
      <c r="B2746" t="s">
        <v>2281</v>
      </c>
      <c r="C2746" t="s">
        <v>3860</v>
      </c>
    </row>
    <row r="2747" spans="1:3" x14ac:dyDescent="0.35">
      <c r="A2747">
        <v>48267</v>
      </c>
      <c r="B2747" t="s">
        <v>2239</v>
      </c>
      <c r="C2747" t="s">
        <v>3860</v>
      </c>
    </row>
    <row r="2748" spans="1:3" x14ac:dyDescent="0.35">
      <c r="A2748">
        <v>48269</v>
      </c>
      <c r="B2748" t="s">
        <v>2380</v>
      </c>
      <c r="C2748" t="s">
        <v>3860</v>
      </c>
    </row>
    <row r="2749" spans="1:3" x14ac:dyDescent="0.35">
      <c r="A2749">
        <v>48271</v>
      </c>
      <c r="B2749" t="s">
        <v>2283</v>
      </c>
      <c r="C2749" t="s">
        <v>3860</v>
      </c>
    </row>
    <row r="2750" spans="1:3" x14ac:dyDescent="0.35">
      <c r="A2750">
        <v>48273</v>
      </c>
      <c r="B2750" t="s">
        <v>2088</v>
      </c>
      <c r="C2750" t="s">
        <v>3860</v>
      </c>
    </row>
    <row r="2751" spans="1:3" x14ac:dyDescent="0.35">
      <c r="A2751">
        <v>48275</v>
      </c>
      <c r="B2751" t="s">
        <v>1819</v>
      </c>
      <c r="C2751" t="s">
        <v>3860</v>
      </c>
    </row>
    <row r="2752" spans="1:3" x14ac:dyDescent="0.35">
      <c r="A2752">
        <v>48277</v>
      </c>
      <c r="B2752" t="s">
        <v>359</v>
      </c>
      <c r="C2752" t="s">
        <v>3860</v>
      </c>
    </row>
    <row r="2753" spans="1:3" x14ac:dyDescent="0.35">
      <c r="A2753">
        <v>48279</v>
      </c>
      <c r="B2753" t="s">
        <v>2179</v>
      </c>
      <c r="C2753" t="s">
        <v>3860</v>
      </c>
    </row>
    <row r="2754" spans="1:3" x14ac:dyDescent="0.35">
      <c r="A2754">
        <v>48281</v>
      </c>
      <c r="B2754" t="s">
        <v>2135</v>
      </c>
      <c r="C2754" t="s">
        <v>3860</v>
      </c>
    </row>
    <row r="2755" spans="1:3" x14ac:dyDescent="0.35">
      <c r="A2755">
        <v>48283</v>
      </c>
      <c r="B2755" t="s">
        <v>2285</v>
      </c>
      <c r="C2755" t="s">
        <v>3860</v>
      </c>
    </row>
    <row r="2756" spans="1:3" x14ac:dyDescent="0.35">
      <c r="A2756">
        <v>48285</v>
      </c>
      <c r="B2756" t="s">
        <v>2349</v>
      </c>
      <c r="C2756" t="s">
        <v>3860</v>
      </c>
    </row>
    <row r="2757" spans="1:3" x14ac:dyDescent="0.35">
      <c r="A2757">
        <v>48287</v>
      </c>
      <c r="B2757" t="s">
        <v>237</v>
      </c>
      <c r="C2757" t="s">
        <v>3860</v>
      </c>
    </row>
    <row r="2758" spans="1:3" x14ac:dyDescent="0.35">
      <c r="A2758">
        <v>48289</v>
      </c>
      <c r="B2758" t="s">
        <v>661</v>
      </c>
      <c r="C2758" t="s">
        <v>3860</v>
      </c>
    </row>
    <row r="2759" spans="1:3" x14ac:dyDescent="0.35">
      <c r="A2759">
        <v>48291</v>
      </c>
      <c r="B2759" t="s">
        <v>669</v>
      </c>
      <c r="C2759" t="s">
        <v>3860</v>
      </c>
    </row>
    <row r="2760" spans="1:3" x14ac:dyDescent="0.35">
      <c r="A2760">
        <v>48293</v>
      </c>
      <c r="B2760" t="s">
        <v>285</v>
      </c>
      <c r="C2760" t="s">
        <v>3860</v>
      </c>
    </row>
    <row r="2761" spans="1:3" x14ac:dyDescent="0.35">
      <c r="A2761">
        <v>48295</v>
      </c>
      <c r="B2761" t="s">
        <v>2001</v>
      </c>
      <c r="C2761" t="s">
        <v>3860</v>
      </c>
    </row>
    <row r="2762" spans="1:3" x14ac:dyDescent="0.35">
      <c r="A2762">
        <v>48297</v>
      </c>
      <c r="B2762" t="s">
        <v>2090</v>
      </c>
      <c r="C2762" t="s">
        <v>3860</v>
      </c>
    </row>
    <row r="2763" spans="1:3" x14ac:dyDescent="0.35">
      <c r="A2763">
        <v>48299</v>
      </c>
      <c r="B2763" t="s">
        <v>2033</v>
      </c>
      <c r="C2763" t="s">
        <v>3860</v>
      </c>
    </row>
    <row r="2764" spans="1:3" x14ac:dyDescent="0.35">
      <c r="A2764">
        <v>48301</v>
      </c>
      <c r="B2764" t="s">
        <v>2214</v>
      </c>
      <c r="C2764" t="s">
        <v>3860</v>
      </c>
    </row>
    <row r="2765" spans="1:3" x14ac:dyDescent="0.35">
      <c r="A2765">
        <v>48303</v>
      </c>
      <c r="B2765" t="s">
        <v>2181</v>
      </c>
      <c r="C2765" t="s">
        <v>3860</v>
      </c>
    </row>
    <row r="2766" spans="1:3" x14ac:dyDescent="0.35">
      <c r="A2766">
        <v>48305</v>
      </c>
      <c r="B2766" t="s">
        <v>2183</v>
      </c>
      <c r="C2766" t="s">
        <v>3860</v>
      </c>
    </row>
    <row r="2767" spans="1:3" x14ac:dyDescent="0.35">
      <c r="A2767">
        <v>48307</v>
      </c>
      <c r="B2767" t="s">
        <v>2243</v>
      </c>
      <c r="C2767" t="s">
        <v>3860</v>
      </c>
    </row>
    <row r="2768" spans="1:3" x14ac:dyDescent="0.35">
      <c r="A2768">
        <v>48309</v>
      </c>
      <c r="B2768" t="s">
        <v>2364</v>
      </c>
      <c r="C2768" t="s">
        <v>3860</v>
      </c>
    </row>
    <row r="2769" spans="1:3" x14ac:dyDescent="0.35">
      <c r="A2769">
        <v>48311</v>
      </c>
      <c r="B2769" t="s">
        <v>2146</v>
      </c>
      <c r="C2769" t="s">
        <v>3860</v>
      </c>
    </row>
    <row r="2770" spans="1:3" x14ac:dyDescent="0.35">
      <c r="A2770">
        <v>48313</v>
      </c>
      <c r="B2770" t="s">
        <v>287</v>
      </c>
      <c r="C2770" t="s">
        <v>3860</v>
      </c>
    </row>
    <row r="2771" spans="1:3" x14ac:dyDescent="0.35">
      <c r="A2771">
        <v>48315</v>
      </c>
      <c r="B2771" t="s">
        <v>365</v>
      </c>
      <c r="C2771" t="s">
        <v>3860</v>
      </c>
    </row>
    <row r="2772" spans="1:3" x14ac:dyDescent="0.35">
      <c r="A2772">
        <v>48317</v>
      </c>
      <c r="B2772" t="s">
        <v>683</v>
      </c>
      <c r="C2772" t="s">
        <v>3860</v>
      </c>
    </row>
    <row r="2773" spans="1:3" x14ac:dyDescent="0.35">
      <c r="A2773">
        <v>48319</v>
      </c>
      <c r="B2773" t="s">
        <v>2241</v>
      </c>
      <c r="C2773" t="s">
        <v>3860</v>
      </c>
    </row>
    <row r="2774" spans="1:3" x14ac:dyDescent="0.35">
      <c r="A2774">
        <v>48321</v>
      </c>
      <c r="B2774" t="s">
        <v>2420</v>
      </c>
      <c r="C2774" t="s">
        <v>3860</v>
      </c>
    </row>
    <row r="2775" spans="1:3" x14ac:dyDescent="0.35">
      <c r="A2775">
        <v>48323</v>
      </c>
      <c r="B2775" t="s">
        <v>2287</v>
      </c>
      <c r="C2775" t="s">
        <v>3860</v>
      </c>
    </row>
    <row r="2776" spans="1:3" x14ac:dyDescent="0.35">
      <c r="A2776">
        <v>48325</v>
      </c>
      <c r="B2776" t="s">
        <v>2289</v>
      </c>
      <c r="C2776" t="s">
        <v>3860</v>
      </c>
    </row>
    <row r="2777" spans="1:3" x14ac:dyDescent="0.35">
      <c r="A2777">
        <v>48327</v>
      </c>
      <c r="B2777" t="s">
        <v>2245</v>
      </c>
      <c r="C2777" t="s">
        <v>3860</v>
      </c>
    </row>
    <row r="2778" spans="1:3" x14ac:dyDescent="0.35">
      <c r="A2778">
        <v>48329</v>
      </c>
      <c r="B2778" t="s">
        <v>2217</v>
      </c>
      <c r="C2778" t="s">
        <v>3860</v>
      </c>
    </row>
    <row r="2779" spans="1:3" x14ac:dyDescent="0.35">
      <c r="A2779">
        <v>48331</v>
      </c>
      <c r="B2779" t="s">
        <v>2077</v>
      </c>
      <c r="C2779" t="s">
        <v>3860</v>
      </c>
    </row>
    <row r="2780" spans="1:3" x14ac:dyDescent="0.35">
      <c r="A2780">
        <v>48333</v>
      </c>
      <c r="B2780" t="s">
        <v>2137</v>
      </c>
      <c r="C2780" t="s">
        <v>3860</v>
      </c>
    </row>
    <row r="2781" spans="1:3" x14ac:dyDescent="0.35">
      <c r="A2781">
        <v>48335</v>
      </c>
      <c r="B2781" t="s">
        <v>791</v>
      </c>
      <c r="C2781" t="s">
        <v>3860</v>
      </c>
    </row>
    <row r="2782" spans="1:3" x14ac:dyDescent="0.35">
      <c r="A2782">
        <v>48337</v>
      </c>
      <c r="B2782" t="s">
        <v>2383</v>
      </c>
      <c r="C2782" t="s">
        <v>3860</v>
      </c>
    </row>
    <row r="2783" spans="1:3" x14ac:dyDescent="0.35">
      <c r="A2783">
        <v>48339</v>
      </c>
      <c r="B2783" t="s">
        <v>301</v>
      </c>
      <c r="C2783" t="s">
        <v>3860</v>
      </c>
    </row>
    <row r="2784" spans="1:3" x14ac:dyDescent="0.35">
      <c r="A2784">
        <v>48341</v>
      </c>
      <c r="B2784" t="s">
        <v>1556</v>
      </c>
      <c r="C2784" t="s">
        <v>3860</v>
      </c>
    </row>
    <row r="2785" spans="1:3" x14ac:dyDescent="0.35">
      <c r="A2785">
        <v>48343</v>
      </c>
      <c r="B2785" t="s">
        <v>2321</v>
      </c>
      <c r="C2785" t="s">
        <v>3860</v>
      </c>
    </row>
    <row r="2786" spans="1:3" x14ac:dyDescent="0.35">
      <c r="A2786">
        <v>48345</v>
      </c>
      <c r="B2786" t="s">
        <v>2185</v>
      </c>
      <c r="C2786" t="s">
        <v>3860</v>
      </c>
    </row>
    <row r="2787" spans="1:3" x14ac:dyDescent="0.35">
      <c r="A2787">
        <v>48347</v>
      </c>
      <c r="B2787" t="s">
        <v>2045</v>
      </c>
      <c r="C2787" t="s">
        <v>3860</v>
      </c>
    </row>
    <row r="2788" spans="1:3" x14ac:dyDescent="0.35">
      <c r="A2788">
        <v>48349</v>
      </c>
      <c r="B2788" t="s">
        <v>2108</v>
      </c>
      <c r="C2788" t="s">
        <v>3860</v>
      </c>
    </row>
    <row r="2789" spans="1:3" x14ac:dyDescent="0.35">
      <c r="A2789">
        <v>48351</v>
      </c>
      <c r="B2789" t="s">
        <v>461</v>
      </c>
      <c r="C2789" t="s">
        <v>3860</v>
      </c>
    </row>
    <row r="2790" spans="1:3" x14ac:dyDescent="0.35">
      <c r="A2790">
        <v>48353</v>
      </c>
      <c r="B2790" t="s">
        <v>1957</v>
      </c>
      <c r="C2790" t="s">
        <v>3860</v>
      </c>
    </row>
    <row r="2791" spans="1:3" x14ac:dyDescent="0.35">
      <c r="A2791">
        <v>48355</v>
      </c>
      <c r="B2791" t="s">
        <v>2092</v>
      </c>
      <c r="C2791" t="s">
        <v>3860</v>
      </c>
    </row>
    <row r="2792" spans="1:3" x14ac:dyDescent="0.35">
      <c r="A2792">
        <v>48357</v>
      </c>
      <c r="B2792" t="s">
        <v>2004</v>
      </c>
      <c r="C2792" t="s">
        <v>3860</v>
      </c>
    </row>
    <row r="2793" spans="1:3" x14ac:dyDescent="0.35">
      <c r="A2793">
        <v>48359</v>
      </c>
      <c r="B2793" t="s">
        <v>2006</v>
      </c>
      <c r="C2793" t="s">
        <v>3860</v>
      </c>
    </row>
    <row r="2794" spans="1:3" x14ac:dyDescent="0.35">
      <c r="A2794">
        <v>48361</v>
      </c>
      <c r="B2794" t="s">
        <v>706</v>
      </c>
      <c r="C2794" t="s">
        <v>3860</v>
      </c>
    </row>
    <row r="2795" spans="1:3" x14ac:dyDescent="0.35">
      <c r="A2795">
        <v>48363</v>
      </c>
      <c r="B2795" t="s">
        <v>2400</v>
      </c>
      <c r="C2795" t="s">
        <v>3860</v>
      </c>
    </row>
    <row r="2796" spans="1:3" x14ac:dyDescent="0.35">
      <c r="A2796">
        <v>48365</v>
      </c>
      <c r="B2796" t="s">
        <v>1310</v>
      </c>
      <c r="C2796" t="s">
        <v>3860</v>
      </c>
    </row>
    <row r="2797" spans="1:3" x14ac:dyDescent="0.35">
      <c r="A2797">
        <v>48367</v>
      </c>
      <c r="B2797" t="s">
        <v>2402</v>
      </c>
      <c r="C2797" t="s">
        <v>3860</v>
      </c>
    </row>
    <row r="2798" spans="1:3" x14ac:dyDescent="0.35">
      <c r="A2798">
        <v>48369</v>
      </c>
      <c r="B2798" t="s">
        <v>2008</v>
      </c>
      <c r="C2798" t="s">
        <v>3860</v>
      </c>
    </row>
    <row r="2799" spans="1:3" x14ac:dyDescent="0.35">
      <c r="A2799">
        <v>48371</v>
      </c>
      <c r="B2799" t="s">
        <v>2219</v>
      </c>
      <c r="C2799" t="s">
        <v>3860</v>
      </c>
    </row>
    <row r="2800" spans="1:3" x14ac:dyDescent="0.35">
      <c r="A2800">
        <v>48373</v>
      </c>
      <c r="B2800" t="s">
        <v>530</v>
      </c>
      <c r="C2800" t="s">
        <v>3860</v>
      </c>
    </row>
    <row r="2801" spans="1:3" x14ac:dyDescent="0.35">
      <c r="A2801">
        <v>48375</v>
      </c>
      <c r="B2801" t="s">
        <v>2010</v>
      </c>
      <c r="C2801" t="s">
        <v>3860</v>
      </c>
    </row>
    <row r="2802" spans="1:3" x14ac:dyDescent="0.35">
      <c r="A2802">
        <v>48377</v>
      </c>
      <c r="B2802" t="s">
        <v>2122</v>
      </c>
      <c r="C2802" t="s">
        <v>3860</v>
      </c>
    </row>
    <row r="2803" spans="1:3" x14ac:dyDescent="0.35">
      <c r="A2803">
        <v>48379</v>
      </c>
      <c r="B2803" t="s">
        <v>2332</v>
      </c>
      <c r="C2803" t="s">
        <v>3860</v>
      </c>
    </row>
    <row r="2804" spans="1:3" x14ac:dyDescent="0.35">
      <c r="A2804">
        <v>48381</v>
      </c>
      <c r="B2804" t="s">
        <v>2012</v>
      </c>
      <c r="C2804" t="s">
        <v>3860</v>
      </c>
    </row>
    <row r="2805" spans="1:3" x14ac:dyDescent="0.35">
      <c r="A2805">
        <v>48383</v>
      </c>
      <c r="B2805" t="s">
        <v>2247</v>
      </c>
      <c r="C2805" t="s">
        <v>3860</v>
      </c>
    </row>
    <row r="2806" spans="1:3" x14ac:dyDescent="0.35">
      <c r="A2806">
        <v>48385</v>
      </c>
      <c r="B2806" t="s">
        <v>2291</v>
      </c>
      <c r="C2806" t="s">
        <v>3860</v>
      </c>
    </row>
    <row r="2807" spans="1:3" x14ac:dyDescent="0.35">
      <c r="A2807">
        <v>48387</v>
      </c>
      <c r="B2807" t="s">
        <v>2323</v>
      </c>
      <c r="C2807" t="s">
        <v>3860</v>
      </c>
    </row>
    <row r="2808" spans="1:3" x14ac:dyDescent="0.35">
      <c r="A2808">
        <v>48389</v>
      </c>
      <c r="B2808" t="s">
        <v>2221</v>
      </c>
      <c r="C2808" t="s">
        <v>3860</v>
      </c>
    </row>
    <row r="2809" spans="1:3" x14ac:dyDescent="0.35">
      <c r="A2809">
        <v>48391</v>
      </c>
      <c r="B2809" t="s">
        <v>2094</v>
      </c>
      <c r="C2809" t="s">
        <v>3860</v>
      </c>
    </row>
    <row r="2810" spans="1:3" x14ac:dyDescent="0.35">
      <c r="A2810">
        <v>48393</v>
      </c>
      <c r="B2810" t="s">
        <v>2014</v>
      </c>
      <c r="C2810" t="s">
        <v>3860</v>
      </c>
    </row>
    <row r="2811" spans="1:3" x14ac:dyDescent="0.35">
      <c r="A2811">
        <v>48395</v>
      </c>
      <c r="B2811" t="s">
        <v>1853</v>
      </c>
      <c r="C2811" t="s">
        <v>3860</v>
      </c>
    </row>
    <row r="2812" spans="1:3" x14ac:dyDescent="0.35">
      <c r="A2812">
        <v>48397</v>
      </c>
      <c r="B2812" t="s">
        <v>2110</v>
      </c>
      <c r="C2812" t="s">
        <v>3860</v>
      </c>
    </row>
    <row r="2813" spans="1:3" x14ac:dyDescent="0.35">
      <c r="A2813">
        <v>48399</v>
      </c>
      <c r="B2813" t="s">
        <v>1959</v>
      </c>
      <c r="C2813" t="s">
        <v>3860</v>
      </c>
    </row>
    <row r="2814" spans="1:3" x14ac:dyDescent="0.35">
      <c r="A2814">
        <v>48401</v>
      </c>
      <c r="B2814" t="s">
        <v>2159</v>
      </c>
      <c r="C2814" t="s">
        <v>3860</v>
      </c>
    </row>
    <row r="2815" spans="1:3" x14ac:dyDescent="0.35">
      <c r="A2815">
        <v>48403</v>
      </c>
      <c r="B2815" t="s">
        <v>2050</v>
      </c>
      <c r="C2815" t="s">
        <v>3860</v>
      </c>
    </row>
    <row r="2816" spans="1:3" x14ac:dyDescent="0.35">
      <c r="A2816">
        <v>48405</v>
      </c>
      <c r="B2816" t="s">
        <v>2052</v>
      </c>
      <c r="C2816" t="s">
        <v>3860</v>
      </c>
    </row>
    <row r="2817" spans="1:3" x14ac:dyDescent="0.35">
      <c r="A2817">
        <v>48407</v>
      </c>
      <c r="B2817" t="s">
        <v>2054</v>
      </c>
      <c r="C2817" t="s">
        <v>3860</v>
      </c>
    </row>
    <row r="2818" spans="1:3" x14ac:dyDescent="0.35">
      <c r="A2818">
        <v>48409</v>
      </c>
      <c r="B2818" t="s">
        <v>2096</v>
      </c>
      <c r="C2818" t="s">
        <v>3860</v>
      </c>
    </row>
    <row r="2819" spans="1:3" x14ac:dyDescent="0.35">
      <c r="A2819">
        <v>48411</v>
      </c>
      <c r="B2819" t="s">
        <v>2139</v>
      </c>
      <c r="C2819" t="s">
        <v>3860</v>
      </c>
    </row>
    <row r="2820" spans="1:3" x14ac:dyDescent="0.35">
      <c r="A2820">
        <v>48413</v>
      </c>
      <c r="B2820" t="s">
        <v>2249</v>
      </c>
      <c r="C2820" t="s">
        <v>3860</v>
      </c>
    </row>
    <row r="2821" spans="1:3" x14ac:dyDescent="0.35">
      <c r="A2821">
        <v>48415</v>
      </c>
      <c r="B2821" t="s">
        <v>1961</v>
      </c>
      <c r="C2821" t="s">
        <v>3860</v>
      </c>
    </row>
    <row r="2822" spans="1:3" x14ac:dyDescent="0.35">
      <c r="A2822">
        <v>48417</v>
      </c>
      <c r="B2822" t="s">
        <v>1963</v>
      </c>
      <c r="C2822" t="s">
        <v>3860</v>
      </c>
    </row>
    <row r="2823" spans="1:3" x14ac:dyDescent="0.35">
      <c r="A2823">
        <v>48419</v>
      </c>
      <c r="B2823" t="s">
        <v>249</v>
      </c>
      <c r="C2823" t="s">
        <v>3860</v>
      </c>
    </row>
    <row r="2824" spans="1:3" x14ac:dyDescent="0.35">
      <c r="A2824">
        <v>48421</v>
      </c>
      <c r="B2824" t="s">
        <v>2016</v>
      </c>
      <c r="C2824" t="s">
        <v>3860</v>
      </c>
    </row>
    <row r="2825" spans="1:3" x14ac:dyDescent="0.35">
      <c r="A2825">
        <v>48423</v>
      </c>
      <c r="B2825" t="s">
        <v>1319</v>
      </c>
      <c r="C2825" t="s">
        <v>3860</v>
      </c>
    </row>
    <row r="2826" spans="1:3" x14ac:dyDescent="0.35">
      <c r="A2826">
        <v>48425</v>
      </c>
      <c r="B2826" t="s">
        <v>2404</v>
      </c>
      <c r="C2826" t="s">
        <v>3860</v>
      </c>
    </row>
    <row r="2827" spans="1:3" x14ac:dyDescent="0.35">
      <c r="A2827">
        <v>48427</v>
      </c>
      <c r="B2827" t="s">
        <v>2196</v>
      </c>
      <c r="C2827" t="s">
        <v>3860</v>
      </c>
    </row>
    <row r="2828" spans="1:3" x14ac:dyDescent="0.35">
      <c r="A2828">
        <v>48429</v>
      </c>
      <c r="B2828" t="s">
        <v>949</v>
      </c>
      <c r="C2828" t="s">
        <v>3860</v>
      </c>
    </row>
    <row r="2829" spans="1:3" x14ac:dyDescent="0.35">
      <c r="A2829">
        <v>48431</v>
      </c>
      <c r="B2829" t="s">
        <v>2251</v>
      </c>
      <c r="C2829" t="s">
        <v>3860</v>
      </c>
    </row>
    <row r="2830" spans="1:3" x14ac:dyDescent="0.35">
      <c r="A2830">
        <v>48433</v>
      </c>
      <c r="B2830" t="s">
        <v>1966</v>
      </c>
      <c r="C2830" t="s">
        <v>3860</v>
      </c>
    </row>
    <row r="2831" spans="1:3" x14ac:dyDescent="0.35">
      <c r="A2831">
        <v>48435</v>
      </c>
      <c r="B2831" t="s">
        <v>2253</v>
      </c>
      <c r="C2831" t="s">
        <v>3860</v>
      </c>
    </row>
    <row r="2832" spans="1:3" x14ac:dyDescent="0.35">
      <c r="A2832">
        <v>48437</v>
      </c>
      <c r="B2832" t="s">
        <v>2018</v>
      </c>
      <c r="C2832" t="s">
        <v>3860</v>
      </c>
    </row>
    <row r="2833" spans="1:3" x14ac:dyDescent="0.35">
      <c r="A2833">
        <v>48439</v>
      </c>
      <c r="B2833" t="s">
        <v>2406</v>
      </c>
      <c r="C2833" t="s">
        <v>3860</v>
      </c>
    </row>
    <row r="2834" spans="1:3" x14ac:dyDescent="0.35">
      <c r="A2834">
        <v>48441</v>
      </c>
      <c r="B2834" t="s">
        <v>760</v>
      </c>
      <c r="C2834" t="s">
        <v>3860</v>
      </c>
    </row>
    <row r="2835" spans="1:3" x14ac:dyDescent="0.35">
      <c r="A2835">
        <v>48443</v>
      </c>
      <c r="B2835" t="s">
        <v>797</v>
      </c>
      <c r="C2835" t="s">
        <v>3860</v>
      </c>
    </row>
    <row r="2836" spans="1:3" x14ac:dyDescent="0.35">
      <c r="A2836">
        <v>48445</v>
      </c>
      <c r="B2836" t="s">
        <v>2187</v>
      </c>
      <c r="C2836" t="s">
        <v>3860</v>
      </c>
    </row>
    <row r="2837" spans="1:3" x14ac:dyDescent="0.35">
      <c r="A2837">
        <v>48447</v>
      </c>
      <c r="B2837" t="s">
        <v>1969</v>
      </c>
      <c r="C2837" t="s">
        <v>3860</v>
      </c>
    </row>
    <row r="2838" spans="1:3" x14ac:dyDescent="0.35">
      <c r="A2838">
        <v>48449</v>
      </c>
      <c r="B2838" t="s">
        <v>2325</v>
      </c>
      <c r="C2838" t="s">
        <v>3860</v>
      </c>
    </row>
    <row r="2839" spans="1:3" x14ac:dyDescent="0.35">
      <c r="A2839">
        <v>48451</v>
      </c>
      <c r="B2839" t="s">
        <v>2255</v>
      </c>
      <c r="C2839" t="s">
        <v>3860</v>
      </c>
    </row>
    <row r="2840" spans="1:3" x14ac:dyDescent="0.35">
      <c r="A2840">
        <v>48453</v>
      </c>
      <c r="B2840" t="s">
        <v>2035</v>
      </c>
      <c r="C2840" t="s">
        <v>3860</v>
      </c>
    </row>
    <row r="2841" spans="1:3" x14ac:dyDescent="0.35">
      <c r="A2841">
        <v>48455</v>
      </c>
      <c r="B2841" t="s">
        <v>2057</v>
      </c>
      <c r="C2841" t="s">
        <v>3860</v>
      </c>
    </row>
    <row r="2842" spans="1:3" x14ac:dyDescent="0.35">
      <c r="A2842">
        <v>48457</v>
      </c>
      <c r="B2842" t="s">
        <v>2059</v>
      </c>
      <c r="C2842" t="s">
        <v>3860</v>
      </c>
    </row>
    <row r="2843" spans="1:3" x14ac:dyDescent="0.35">
      <c r="A2843">
        <v>48459</v>
      </c>
      <c r="B2843" t="s">
        <v>2161</v>
      </c>
      <c r="C2843" t="s">
        <v>3860</v>
      </c>
    </row>
    <row r="2844" spans="1:3" x14ac:dyDescent="0.35">
      <c r="A2844">
        <v>48461</v>
      </c>
      <c r="B2844" t="s">
        <v>2224</v>
      </c>
      <c r="C2844" t="s">
        <v>3860</v>
      </c>
    </row>
    <row r="2845" spans="1:3" x14ac:dyDescent="0.35">
      <c r="A2845">
        <v>48463</v>
      </c>
      <c r="B2845" t="s">
        <v>2293</v>
      </c>
      <c r="C2845" t="s">
        <v>3860</v>
      </c>
    </row>
    <row r="2846" spans="1:3" x14ac:dyDescent="0.35">
      <c r="A2846">
        <v>48465</v>
      </c>
      <c r="B2846" t="s">
        <v>2295</v>
      </c>
      <c r="C2846" t="s">
        <v>3860</v>
      </c>
    </row>
    <row r="2847" spans="1:3" x14ac:dyDescent="0.35">
      <c r="A2847">
        <v>48467</v>
      </c>
      <c r="B2847" t="s">
        <v>2335</v>
      </c>
      <c r="C2847" t="s">
        <v>3860</v>
      </c>
    </row>
    <row r="2848" spans="1:3" x14ac:dyDescent="0.35">
      <c r="A2848">
        <v>48469</v>
      </c>
      <c r="B2848" t="s">
        <v>2351</v>
      </c>
      <c r="C2848" t="s">
        <v>3860</v>
      </c>
    </row>
    <row r="2849" spans="1:3" x14ac:dyDescent="0.35">
      <c r="A2849">
        <v>48471</v>
      </c>
      <c r="B2849" t="s">
        <v>253</v>
      </c>
      <c r="C2849" t="s">
        <v>3860</v>
      </c>
    </row>
    <row r="2850" spans="1:3" x14ac:dyDescent="0.35">
      <c r="A2850">
        <v>48473</v>
      </c>
      <c r="B2850" t="s">
        <v>2422</v>
      </c>
      <c r="C2850" t="s">
        <v>3860</v>
      </c>
    </row>
    <row r="2851" spans="1:3" x14ac:dyDescent="0.35">
      <c r="A2851">
        <v>48475</v>
      </c>
      <c r="B2851" t="s">
        <v>2226</v>
      </c>
      <c r="C2851" t="s">
        <v>3860</v>
      </c>
    </row>
    <row r="2852" spans="1:3" x14ac:dyDescent="0.35">
      <c r="A2852">
        <v>48477</v>
      </c>
      <c r="B2852" t="s">
        <v>385</v>
      </c>
      <c r="C2852" t="s">
        <v>3860</v>
      </c>
    </row>
    <row r="2853" spans="1:3" x14ac:dyDescent="0.35">
      <c r="A2853">
        <v>48479</v>
      </c>
      <c r="B2853" t="s">
        <v>2148</v>
      </c>
      <c r="C2853" t="s">
        <v>3860</v>
      </c>
    </row>
    <row r="2854" spans="1:3" x14ac:dyDescent="0.35">
      <c r="A2854">
        <v>48481</v>
      </c>
      <c r="B2854" t="s">
        <v>2424</v>
      </c>
      <c r="C2854" t="s">
        <v>3860</v>
      </c>
    </row>
    <row r="2855" spans="1:3" x14ac:dyDescent="0.35">
      <c r="A2855">
        <v>48483</v>
      </c>
      <c r="B2855" t="s">
        <v>971</v>
      </c>
      <c r="C2855" t="s">
        <v>3860</v>
      </c>
    </row>
    <row r="2856" spans="1:3" x14ac:dyDescent="0.35">
      <c r="A2856">
        <v>48485</v>
      </c>
      <c r="B2856" t="s">
        <v>2385</v>
      </c>
      <c r="C2856" t="s">
        <v>3860</v>
      </c>
    </row>
    <row r="2857" spans="1:3" x14ac:dyDescent="0.35">
      <c r="A2857">
        <v>48487</v>
      </c>
      <c r="B2857" t="s">
        <v>2387</v>
      </c>
      <c r="C2857" t="s">
        <v>3860</v>
      </c>
    </row>
    <row r="2858" spans="1:3" x14ac:dyDescent="0.35">
      <c r="A2858">
        <v>48489</v>
      </c>
      <c r="B2858" t="s">
        <v>2066</v>
      </c>
      <c r="C2858" t="s">
        <v>3860</v>
      </c>
    </row>
    <row r="2859" spans="1:3" x14ac:dyDescent="0.35">
      <c r="A2859">
        <v>48491</v>
      </c>
      <c r="B2859" t="s">
        <v>1860</v>
      </c>
      <c r="C2859" t="s">
        <v>3860</v>
      </c>
    </row>
    <row r="2860" spans="1:3" x14ac:dyDescent="0.35">
      <c r="A2860">
        <v>48493</v>
      </c>
      <c r="B2860" t="s">
        <v>1628</v>
      </c>
      <c r="C2860" t="s">
        <v>3860</v>
      </c>
    </row>
    <row r="2861" spans="1:3" x14ac:dyDescent="0.35">
      <c r="A2861">
        <v>48495</v>
      </c>
      <c r="B2861" t="s">
        <v>2228</v>
      </c>
      <c r="C2861" t="s">
        <v>3860</v>
      </c>
    </row>
    <row r="2862" spans="1:3" x14ac:dyDescent="0.35">
      <c r="A2862">
        <v>48497</v>
      </c>
      <c r="B2862" t="s">
        <v>2408</v>
      </c>
      <c r="C2862" t="s">
        <v>3860</v>
      </c>
    </row>
    <row r="2863" spans="1:3" x14ac:dyDescent="0.35">
      <c r="A2863">
        <v>48499</v>
      </c>
      <c r="B2863" t="s">
        <v>2337</v>
      </c>
      <c r="C2863" t="s">
        <v>3860</v>
      </c>
    </row>
    <row r="2864" spans="1:3" x14ac:dyDescent="0.35">
      <c r="A2864">
        <v>48501</v>
      </c>
      <c r="B2864" t="s">
        <v>2189</v>
      </c>
      <c r="C2864" t="s">
        <v>3860</v>
      </c>
    </row>
    <row r="2865" spans="1:3" x14ac:dyDescent="0.35">
      <c r="A2865">
        <v>48503</v>
      </c>
      <c r="B2865" t="s">
        <v>2389</v>
      </c>
      <c r="C2865" t="s">
        <v>3860</v>
      </c>
    </row>
    <row r="2866" spans="1:3" x14ac:dyDescent="0.35">
      <c r="A2866">
        <v>48505</v>
      </c>
      <c r="B2866" t="s">
        <v>2150</v>
      </c>
      <c r="C2866" t="s">
        <v>3860</v>
      </c>
    </row>
    <row r="2867" spans="1:3" x14ac:dyDescent="0.35">
      <c r="A2867">
        <v>48507</v>
      </c>
      <c r="B2867" t="s">
        <v>2298</v>
      </c>
      <c r="C2867" t="s">
        <v>3860</v>
      </c>
    </row>
    <row r="2868" spans="1:3" x14ac:dyDescent="0.35">
      <c r="A2868">
        <v>74050</v>
      </c>
      <c r="B2868" t="s">
        <v>3861</v>
      </c>
      <c r="C2868" t="s">
        <v>3862</v>
      </c>
    </row>
    <row r="2869" spans="1:3" x14ac:dyDescent="0.35">
      <c r="A2869">
        <v>74100</v>
      </c>
      <c r="B2869" t="s">
        <v>3863</v>
      </c>
      <c r="C2869" t="s">
        <v>3862</v>
      </c>
    </row>
    <row r="2870" spans="1:3" x14ac:dyDescent="0.35">
      <c r="A2870">
        <v>74150</v>
      </c>
      <c r="B2870" t="s">
        <v>3864</v>
      </c>
      <c r="C2870" t="s">
        <v>3862</v>
      </c>
    </row>
    <row r="2871" spans="1:3" x14ac:dyDescent="0.35">
      <c r="A2871">
        <v>74200</v>
      </c>
      <c r="B2871" t="s">
        <v>3865</v>
      </c>
      <c r="C2871" t="s">
        <v>3862</v>
      </c>
    </row>
    <row r="2872" spans="1:3" x14ac:dyDescent="0.35">
      <c r="A2872">
        <v>74250</v>
      </c>
      <c r="B2872" t="s">
        <v>3866</v>
      </c>
      <c r="C2872" t="s">
        <v>3862</v>
      </c>
    </row>
    <row r="2873" spans="1:3" x14ac:dyDescent="0.35">
      <c r="A2873">
        <v>74300</v>
      </c>
      <c r="B2873" t="s">
        <v>3867</v>
      </c>
      <c r="C2873" t="s">
        <v>3862</v>
      </c>
    </row>
    <row r="2874" spans="1:3" x14ac:dyDescent="0.35">
      <c r="A2874">
        <v>74350</v>
      </c>
      <c r="B2874" t="s">
        <v>3868</v>
      </c>
      <c r="C2874" t="s">
        <v>3862</v>
      </c>
    </row>
    <row r="2875" spans="1:3" x14ac:dyDescent="0.35">
      <c r="A2875">
        <v>74400</v>
      </c>
      <c r="B2875" t="s">
        <v>3869</v>
      </c>
      <c r="C2875" t="s">
        <v>3862</v>
      </c>
    </row>
    <row r="2876" spans="1:3" x14ac:dyDescent="0.35">
      <c r="A2876">
        <v>74450</v>
      </c>
      <c r="B2876" t="s">
        <v>3870</v>
      </c>
      <c r="C2876" t="s">
        <v>3862</v>
      </c>
    </row>
    <row r="2877" spans="1:3" x14ac:dyDescent="0.35">
      <c r="A2877">
        <v>78010</v>
      </c>
      <c r="B2877" t="s">
        <v>3871</v>
      </c>
      <c r="C2877" t="s">
        <v>3872</v>
      </c>
    </row>
    <row r="2878" spans="1:3" x14ac:dyDescent="0.35">
      <c r="A2878">
        <v>78020</v>
      </c>
      <c r="B2878" t="s">
        <v>3873</v>
      </c>
      <c r="C2878" t="s">
        <v>3872</v>
      </c>
    </row>
    <row r="2879" spans="1:3" x14ac:dyDescent="0.35">
      <c r="A2879">
        <v>78030</v>
      </c>
      <c r="B2879" t="s">
        <v>3874</v>
      </c>
      <c r="C2879" t="s">
        <v>3872</v>
      </c>
    </row>
    <row r="2880" spans="1:3" x14ac:dyDescent="0.35">
      <c r="A2880">
        <v>49001</v>
      </c>
      <c r="B2880" t="s">
        <v>2771</v>
      </c>
      <c r="C2880" t="s">
        <v>3875</v>
      </c>
    </row>
    <row r="2881" spans="1:3" x14ac:dyDescent="0.35">
      <c r="A2881">
        <v>49003</v>
      </c>
      <c r="B2881" t="s">
        <v>2772</v>
      </c>
      <c r="C2881" t="s">
        <v>3875</v>
      </c>
    </row>
    <row r="2882" spans="1:3" x14ac:dyDescent="0.35">
      <c r="A2882">
        <v>49005</v>
      </c>
      <c r="B2882" t="s">
        <v>2773</v>
      </c>
      <c r="C2882" t="s">
        <v>3875</v>
      </c>
    </row>
    <row r="2883" spans="1:3" x14ac:dyDescent="0.35">
      <c r="A2883">
        <v>49007</v>
      </c>
      <c r="B2883" t="s">
        <v>2774</v>
      </c>
      <c r="C2883" t="s">
        <v>3875</v>
      </c>
    </row>
    <row r="2884" spans="1:3" x14ac:dyDescent="0.35">
      <c r="A2884">
        <v>49009</v>
      </c>
      <c r="B2884" t="s">
        <v>2775</v>
      </c>
      <c r="C2884" t="s">
        <v>3875</v>
      </c>
    </row>
    <row r="2885" spans="1:3" x14ac:dyDescent="0.35">
      <c r="A2885">
        <v>49011</v>
      </c>
      <c r="B2885" t="s">
        <v>2776</v>
      </c>
      <c r="C2885" t="s">
        <v>3875</v>
      </c>
    </row>
    <row r="2886" spans="1:3" x14ac:dyDescent="0.35">
      <c r="A2886">
        <v>49013</v>
      </c>
      <c r="B2886" t="s">
        <v>2777</v>
      </c>
      <c r="C2886" t="s">
        <v>3875</v>
      </c>
    </row>
    <row r="2887" spans="1:3" x14ac:dyDescent="0.35">
      <c r="A2887">
        <v>49015</v>
      </c>
      <c r="B2887" t="s">
        <v>2778</v>
      </c>
      <c r="C2887" t="s">
        <v>3875</v>
      </c>
    </row>
    <row r="2888" spans="1:3" x14ac:dyDescent="0.35">
      <c r="A2888">
        <v>49017</v>
      </c>
      <c r="B2888" t="s">
        <v>2779</v>
      </c>
      <c r="C2888" t="s">
        <v>3875</v>
      </c>
    </row>
    <row r="2889" spans="1:3" x14ac:dyDescent="0.35">
      <c r="A2889">
        <v>49019</v>
      </c>
      <c r="B2889" t="s">
        <v>2780</v>
      </c>
      <c r="C2889" t="s">
        <v>3875</v>
      </c>
    </row>
    <row r="2890" spans="1:3" x14ac:dyDescent="0.35">
      <c r="A2890">
        <v>49021</v>
      </c>
      <c r="B2890" t="s">
        <v>2739</v>
      </c>
      <c r="C2890" t="s">
        <v>3875</v>
      </c>
    </row>
    <row r="2891" spans="1:3" x14ac:dyDescent="0.35">
      <c r="A2891">
        <v>49023</v>
      </c>
      <c r="B2891" t="s">
        <v>2781</v>
      </c>
      <c r="C2891" t="s">
        <v>3875</v>
      </c>
    </row>
    <row r="2892" spans="1:3" x14ac:dyDescent="0.35">
      <c r="A2892">
        <v>49025</v>
      </c>
      <c r="B2892" t="s">
        <v>2782</v>
      </c>
      <c r="C2892" t="s">
        <v>3875</v>
      </c>
    </row>
    <row r="2893" spans="1:3" x14ac:dyDescent="0.35">
      <c r="A2893">
        <v>49027</v>
      </c>
      <c r="B2893" t="s">
        <v>2783</v>
      </c>
      <c r="C2893" t="s">
        <v>3875</v>
      </c>
    </row>
    <row r="2894" spans="1:3" x14ac:dyDescent="0.35">
      <c r="A2894">
        <v>49029</v>
      </c>
      <c r="B2894" t="s">
        <v>263</v>
      </c>
      <c r="C2894" t="s">
        <v>3875</v>
      </c>
    </row>
    <row r="2895" spans="1:3" x14ac:dyDescent="0.35">
      <c r="A2895">
        <v>49031</v>
      </c>
      <c r="B2895" t="s">
        <v>2784</v>
      </c>
      <c r="C2895" t="s">
        <v>3875</v>
      </c>
    </row>
    <row r="2896" spans="1:3" x14ac:dyDescent="0.35">
      <c r="A2896">
        <v>49033</v>
      </c>
      <c r="B2896" t="s">
        <v>2785</v>
      </c>
      <c r="C2896" t="s">
        <v>3875</v>
      </c>
    </row>
    <row r="2897" spans="1:3" x14ac:dyDescent="0.35">
      <c r="A2897">
        <v>49035</v>
      </c>
      <c r="B2897" t="s">
        <v>2786</v>
      </c>
      <c r="C2897" t="s">
        <v>3875</v>
      </c>
    </row>
    <row r="2898" spans="1:3" x14ac:dyDescent="0.35">
      <c r="A2898">
        <v>49037</v>
      </c>
      <c r="B2898" t="s">
        <v>2787</v>
      </c>
      <c r="C2898" t="s">
        <v>3875</v>
      </c>
    </row>
    <row r="2899" spans="1:3" x14ac:dyDescent="0.35">
      <c r="A2899">
        <v>49039</v>
      </c>
      <c r="B2899" t="s">
        <v>2788</v>
      </c>
      <c r="C2899" t="s">
        <v>3875</v>
      </c>
    </row>
    <row r="2900" spans="1:3" x14ac:dyDescent="0.35">
      <c r="A2900">
        <v>49041</v>
      </c>
      <c r="B2900" t="s">
        <v>512</v>
      </c>
      <c r="C2900" t="s">
        <v>3875</v>
      </c>
    </row>
    <row r="2901" spans="1:3" x14ac:dyDescent="0.35">
      <c r="A2901">
        <v>49043</v>
      </c>
      <c r="B2901" t="s">
        <v>2789</v>
      </c>
      <c r="C2901" t="s">
        <v>3875</v>
      </c>
    </row>
    <row r="2902" spans="1:3" x14ac:dyDescent="0.35">
      <c r="A2902">
        <v>49045</v>
      </c>
      <c r="B2902" t="s">
        <v>2790</v>
      </c>
      <c r="C2902" t="s">
        <v>3875</v>
      </c>
    </row>
    <row r="2903" spans="1:3" x14ac:dyDescent="0.35">
      <c r="A2903">
        <v>49047</v>
      </c>
      <c r="B2903" t="s">
        <v>2791</v>
      </c>
      <c r="C2903" t="s">
        <v>3875</v>
      </c>
    </row>
    <row r="2904" spans="1:3" x14ac:dyDescent="0.35">
      <c r="A2904">
        <v>49049</v>
      </c>
      <c r="B2904" t="s">
        <v>2792</v>
      </c>
      <c r="C2904" t="s">
        <v>3875</v>
      </c>
    </row>
    <row r="2905" spans="1:3" x14ac:dyDescent="0.35">
      <c r="A2905">
        <v>49051</v>
      </c>
      <c r="B2905" t="s">
        <v>2793</v>
      </c>
      <c r="C2905" t="s">
        <v>3875</v>
      </c>
    </row>
    <row r="2906" spans="1:3" x14ac:dyDescent="0.35">
      <c r="A2906">
        <v>49053</v>
      </c>
      <c r="B2906" t="s">
        <v>385</v>
      </c>
      <c r="C2906" t="s">
        <v>3875</v>
      </c>
    </row>
    <row r="2907" spans="1:3" x14ac:dyDescent="0.35">
      <c r="A2907">
        <v>49055</v>
      </c>
      <c r="B2907" t="s">
        <v>894</v>
      </c>
      <c r="C2907" t="s">
        <v>3875</v>
      </c>
    </row>
    <row r="2908" spans="1:3" x14ac:dyDescent="0.35">
      <c r="A2908">
        <v>49057</v>
      </c>
      <c r="B2908" t="s">
        <v>2794</v>
      </c>
      <c r="C2908" t="s">
        <v>3875</v>
      </c>
    </row>
    <row r="2909" spans="1:3" x14ac:dyDescent="0.35">
      <c r="A2909">
        <v>50001</v>
      </c>
      <c r="B2909" t="s">
        <v>3876</v>
      </c>
      <c r="C2909" t="s">
        <v>3877</v>
      </c>
    </row>
    <row r="2910" spans="1:3" x14ac:dyDescent="0.35">
      <c r="A2910">
        <v>50003</v>
      </c>
      <c r="B2910" t="s">
        <v>3878</v>
      </c>
      <c r="C2910" t="s">
        <v>3877</v>
      </c>
    </row>
    <row r="2911" spans="1:3" x14ac:dyDescent="0.35">
      <c r="A2911">
        <v>50005</v>
      </c>
      <c r="B2911" t="s">
        <v>3879</v>
      </c>
      <c r="C2911" t="s">
        <v>3877</v>
      </c>
    </row>
    <row r="2912" spans="1:3" x14ac:dyDescent="0.35">
      <c r="A2912">
        <v>50007</v>
      </c>
      <c r="B2912" t="s">
        <v>3880</v>
      </c>
      <c r="C2912" t="s">
        <v>3877</v>
      </c>
    </row>
    <row r="2913" spans="1:3" x14ac:dyDescent="0.35">
      <c r="A2913">
        <v>50009</v>
      </c>
      <c r="B2913" t="s">
        <v>3514</v>
      </c>
      <c r="C2913" t="s">
        <v>3877</v>
      </c>
    </row>
    <row r="2914" spans="1:3" x14ac:dyDescent="0.35">
      <c r="A2914">
        <v>50011</v>
      </c>
      <c r="B2914" t="s">
        <v>355</v>
      </c>
      <c r="C2914" t="s">
        <v>3877</v>
      </c>
    </row>
    <row r="2915" spans="1:3" x14ac:dyDescent="0.35">
      <c r="A2915">
        <v>50013</v>
      </c>
      <c r="B2915" t="s">
        <v>3881</v>
      </c>
      <c r="C2915" t="s">
        <v>3877</v>
      </c>
    </row>
    <row r="2916" spans="1:3" x14ac:dyDescent="0.35">
      <c r="A2916">
        <v>50015</v>
      </c>
      <c r="B2916" t="s">
        <v>3882</v>
      </c>
      <c r="C2916" t="s">
        <v>3877</v>
      </c>
    </row>
    <row r="2917" spans="1:3" x14ac:dyDescent="0.35">
      <c r="A2917">
        <v>50017</v>
      </c>
      <c r="B2917" t="s">
        <v>706</v>
      </c>
      <c r="C2917" t="s">
        <v>3877</v>
      </c>
    </row>
    <row r="2918" spans="1:3" x14ac:dyDescent="0.35">
      <c r="A2918">
        <v>50019</v>
      </c>
      <c r="B2918" t="s">
        <v>3562</v>
      </c>
      <c r="C2918" t="s">
        <v>3877</v>
      </c>
    </row>
    <row r="2919" spans="1:3" x14ac:dyDescent="0.35">
      <c r="A2919">
        <v>50021</v>
      </c>
      <c r="B2919" t="s">
        <v>3883</v>
      </c>
      <c r="C2919" t="s">
        <v>3877</v>
      </c>
    </row>
    <row r="2920" spans="1:3" x14ac:dyDescent="0.35">
      <c r="A2920">
        <v>50023</v>
      </c>
      <c r="B2920" t="s">
        <v>385</v>
      </c>
      <c r="C2920" t="s">
        <v>3877</v>
      </c>
    </row>
    <row r="2921" spans="1:3" x14ac:dyDescent="0.35">
      <c r="A2921">
        <v>50025</v>
      </c>
      <c r="B2921" t="s">
        <v>3884</v>
      </c>
      <c r="C2921" t="s">
        <v>3877</v>
      </c>
    </row>
    <row r="2922" spans="1:3" x14ac:dyDescent="0.35">
      <c r="A2922">
        <v>50027</v>
      </c>
      <c r="B2922" t="s">
        <v>3885</v>
      </c>
      <c r="C2922" t="s">
        <v>3877</v>
      </c>
    </row>
    <row r="2923" spans="1:3" x14ac:dyDescent="0.35">
      <c r="A2923">
        <v>51001</v>
      </c>
      <c r="B2923" t="s">
        <v>3886</v>
      </c>
      <c r="C2923" t="s">
        <v>3887</v>
      </c>
    </row>
    <row r="2924" spans="1:3" x14ac:dyDescent="0.35">
      <c r="A2924">
        <v>51003</v>
      </c>
      <c r="B2924" t="s">
        <v>3888</v>
      </c>
      <c r="C2924" t="s">
        <v>3887</v>
      </c>
    </row>
    <row r="2925" spans="1:3" x14ac:dyDescent="0.35">
      <c r="A2925">
        <v>51005</v>
      </c>
      <c r="B2925" t="s">
        <v>1512</v>
      </c>
      <c r="C2925" t="s">
        <v>3887</v>
      </c>
    </row>
    <row r="2926" spans="1:3" x14ac:dyDescent="0.35">
      <c r="A2926">
        <v>51007</v>
      </c>
      <c r="B2926" t="s">
        <v>3889</v>
      </c>
      <c r="C2926" t="s">
        <v>3887</v>
      </c>
    </row>
    <row r="2927" spans="1:3" x14ac:dyDescent="0.35">
      <c r="A2927">
        <v>51009</v>
      </c>
      <c r="B2927" t="s">
        <v>3890</v>
      </c>
      <c r="C2927" t="s">
        <v>3887</v>
      </c>
    </row>
    <row r="2928" spans="1:3" x14ac:dyDescent="0.35">
      <c r="A2928">
        <v>51011</v>
      </c>
      <c r="B2928" t="s">
        <v>3891</v>
      </c>
      <c r="C2928" t="s">
        <v>3887</v>
      </c>
    </row>
    <row r="2929" spans="1:3" x14ac:dyDescent="0.35">
      <c r="A2929">
        <v>51013</v>
      </c>
      <c r="B2929" t="s">
        <v>3892</v>
      </c>
      <c r="C2929" t="s">
        <v>3887</v>
      </c>
    </row>
    <row r="2930" spans="1:3" x14ac:dyDescent="0.35">
      <c r="A2930">
        <v>51015</v>
      </c>
      <c r="B2930" t="s">
        <v>3893</v>
      </c>
      <c r="C2930" t="s">
        <v>3887</v>
      </c>
    </row>
    <row r="2931" spans="1:3" x14ac:dyDescent="0.35">
      <c r="A2931">
        <v>51017</v>
      </c>
      <c r="B2931" t="s">
        <v>3208</v>
      </c>
      <c r="C2931" t="s">
        <v>3887</v>
      </c>
    </row>
    <row r="2932" spans="1:3" x14ac:dyDescent="0.35">
      <c r="A2932">
        <v>51019</v>
      </c>
      <c r="B2932" t="s">
        <v>3894</v>
      </c>
      <c r="C2932" t="s">
        <v>3887</v>
      </c>
    </row>
    <row r="2933" spans="1:3" x14ac:dyDescent="0.35">
      <c r="A2933">
        <v>51021</v>
      </c>
      <c r="B2933" t="s">
        <v>3895</v>
      </c>
      <c r="C2933" t="s">
        <v>3887</v>
      </c>
    </row>
    <row r="2934" spans="1:3" x14ac:dyDescent="0.35">
      <c r="A2934">
        <v>51023</v>
      </c>
      <c r="B2934" t="s">
        <v>3896</v>
      </c>
      <c r="C2934" t="s">
        <v>3887</v>
      </c>
    </row>
    <row r="2935" spans="1:3" x14ac:dyDescent="0.35">
      <c r="A2935">
        <v>51025</v>
      </c>
      <c r="B2935" t="s">
        <v>1631</v>
      </c>
      <c r="C2935" t="s">
        <v>3887</v>
      </c>
    </row>
    <row r="2936" spans="1:3" x14ac:dyDescent="0.35">
      <c r="A2936">
        <v>51027</v>
      </c>
      <c r="B2936" t="s">
        <v>2721</v>
      </c>
      <c r="C2936" t="s">
        <v>3887</v>
      </c>
    </row>
    <row r="2937" spans="1:3" x14ac:dyDescent="0.35">
      <c r="A2937">
        <v>51029</v>
      </c>
      <c r="B2937" t="s">
        <v>3897</v>
      </c>
      <c r="C2937" t="s">
        <v>3887</v>
      </c>
    </row>
    <row r="2938" spans="1:3" x14ac:dyDescent="0.35">
      <c r="A2938">
        <v>51031</v>
      </c>
      <c r="B2938" t="s">
        <v>1809</v>
      </c>
      <c r="C2938" t="s">
        <v>3887</v>
      </c>
    </row>
    <row r="2939" spans="1:3" x14ac:dyDescent="0.35">
      <c r="A2939">
        <v>51033</v>
      </c>
      <c r="B2939" t="s">
        <v>3266</v>
      </c>
      <c r="C2939" t="s">
        <v>3887</v>
      </c>
    </row>
    <row r="2940" spans="1:3" x14ac:dyDescent="0.35">
      <c r="A2940">
        <v>51035</v>
      </c>
      <c r="B2940" t="s">
        <v>463</v>
      </c>
      <c r="C2940" t="s">
        <v>3887</v>
      </c>
    </row>
    <row r="2941" spans="1:3" x14ac:dyDescent="0.35">
      <c r="A2941">
        <v>51036</v>
      </c>
      <c r="B2941" t="s">
        <v>3898</v>
      </c>
      <c r="C2941" t="s">
        <v>3887</v>
      </c>
    </row>
    <row r="2942" spans="1:3" x14ac:dyDescent="0.35">
      <c r="A2942">
        <v>51037</v>
      </c>
      <c r="B2942" t="s">
        <v>562</v>
      </c>
      <c r="C2942" t="s">
        <v>3887</v>
      </c>
    </row>
    <row r="2943" spans="1:3" x14ac:dyDescent="0.35">
      <c r="A2943">
        <v>51041</v>
      </c>
      <c r="B2943" t="s">
        <v>1698</v>
      </c>
      <c r="C2943" t="s">
        <v>3887</v>
      </c>
    </row>
    <row r="2944" spans="1:3" x14ac:dyDescent="0.35">
      <c r="A2944">
        <v>51043</v>
      </c>
      <c r="B2944" t="s">
        <v>327</v>
      </c>
      <c r="C2944" t="s">
        <v>3887</v>
      </c>
    </row>
    <row r="2945" spans="1:3" x14ac:dyDescent="0.35">
      <c r="A2945">
        <v>51045</v>
      </c>
      <c r="B2945" t="s">
        <v>3657</v>
      </c>
      <c r="C2945" t="s">
        <v>3887</v>
      </c>
    </row>
    <row r="2946" spans="1:3" x14ac:dyDescent="0.35">
      <c r="A2946">
        <v>51047</v>
      </c>
      <c r="B2946" t="s">
        <v>3899</v>
      </c>
      <c r="C2946" t="s">
        <v>3887</v>
      </c>
    </row>
    <row r="2947" spans="1:3" x14ac:dyDescent="0.35">
      <c r="A2947">
        <v>51049</v>
      </c>
      <c r="B2947" t="s">
        <v>1561</v>
      </c>
      <c r="C2947" t="s">
        <v>3887</v>
      </c>
    </row>
    <row r="2948" spans="1:3" x14ac:dyDescent="0.35">
      <c r="A2948">
        <v>51051</v>
      </c>
      <c r="B2948" t="s">
        <v>3900</v>
      </c>
      <c r="C2948" t="s">
        <v>3887</v>
      </c>
    </row>
    <row r="2949" spans="1:3" x14ac:dyDescent="0.35">
      <c r="A2949">
        <v>51053</v>
      </c>
      <c r="B2949" t="s">
        <v>3901</v>
      </c>
      <c r="C2949" t="s">
        <v>3887</v>
      </c>
    </row>
    <row r="2950" spans="1:3" x14ac:dyDescent="0.35">
      <c r="A2950">
        <v>51057</v>
      </c>
      <c r="B2950" t="s">
        <v>3514</v>
      </c>
      <c r="C2950" t="s">
        <v>3887</v>
      </c>
    </row>
    <row r="2951" spans="1:3" x14ac:dyDescent="0.35">
      <c r="A2951">
        <v>51059</v>
      </c>
      <c r="B2951" t="s">
        <v>3902</v>
      </c>
      <c r="C2951" t="s">
        <v>3887</v>
      </c>
    </row>
    <row r="2952" spans="1:3" x14ac:dyDescent="0.35">
      <c r="A2952">
        <v>51061</v>
      </c>
      <c r="B2952" t="s">
        <v>3903</v>
      </c>
      <c r="C2952" t="s">
        <v>3887</v>
      </c>
    </row>
    <row r="2953" spans="1:3" x14ac:dyDescent="0.35">
      <c r="A2953">
        <v>51063</v>
      </c>
      <c r="B2953" t="s">
        <v>996</v>
      </c>
      <c r="C2953" t="s">
        <v>3887</v>
      </c>
    </row>
    <row r="2954" spans="1:3" x14ac:dyDescent="0.35">
      <c r="A2954">
        <v>51065</v>
      </c>
      <c r="B2954" t="s">
        <v>3904</v>
      </c>
      <c r="C2954" t="s">
        <v>3887</v>
      </c>
    </row>
    <row r="2955" spans="1:3" x14ac:dyDescent="0.35">
      <c r="A2955">
        <v>51067</v>
      </c>
      <c r="B2955" t="s">
        <v>355</v>
      </c>
      <c r="C2955" t="s">
        <v>3887</v>
      </c>
    </row>
    <row r="2956" spans="1:3" x14ac:dyDescent="0.35">
      <c r="A2956">
        <v>51069</v>
      </c>
      <c r="B2956" t="s">
        <v>3269</v>
      </c>
      <c r="C2956" t="s">
        <v>3887</v>
      </c>
    </row>
    <row r="2957" spans="1:3" x14ac:dyDescent="0.35">
      <c r="A2957">
        <v>51071</v>
      </c>
      <c r="B2957" t="s">
        <v>1920</v>
      </c>
      <c r="C2957" t="s">
        <v>3887</v>
      </c>
    </row>
    <row r="2958" spans="1:3" x14ac:dyDescent="0.35">
      <c r="A2958">
        <v>51073</v>
      </c>
      <c r="B2958" t="s">
        <v>3515</v>
      </c>
      <c r="C2958" t="s">
        <v>3887</v>
      </c>
    </row>
    <row r="2959" spans="1:3" x14ac:dyDescent="0.35">
      <c r="A2959">
        <v>51075</v>
      </c>
      <c r="B2959" t="s">
        <v>3905</v>
      </c>
      <c r="C2959" t="s">
        <v>3887</v>
      </c>
    </row>
    <row r="2960" spans="1:3" x14ac:dyDescent="0.35">
      <c r="A2960">
        <v>51077</v>
      </c>
      <c r="B2960" t="s">
        <v>2305</v>
      </c>
      <c r="C2960" t="s">
        <v>3887</v>
      </c>
    </row>
    <row r="2961" spans="1:3" x14ac:dyDescent="0.35">
      <c r="A2961">
        <v>51079</v>
      </c>
      <c r="B2961" t="s">
        <v>305</v>
      </c>
      <c r="C2961" t="s">
        <v>3887</v>
      </c>
    </row>
    <row r="2962" spans="1:3" x14ac:dyDescent="0.35">
      <c r="A2962">
        <v>51081</v>
      </c>
      <c r="B2962" t="s">
        <v>3906</v>
      </c>
      <c r="C2962" t="s">
        <v>3887</v>
      </c>
    </row>
    <row r="2963" spans="1:3" x14ac:dyDescent="0.35">
      <c r="A2963">
        <v>51083</v>
      </c>
      <c r="B2963" t="s">
        <v>1602</v>
      </c>
      <c r="C2963" t="s">
        <v>3887</v>
      </c>
    </row>
    <row r="2964" spans="1:3" x14ac:dyDescent="0.35">
      <c r="A2964">
        <v>51085</v>
      </c>
      <c r="B2964" t="s">
        <v>3907</v>
      </c>
      <c r="C2964" t="s">
        <v>3887</v>
      </c>
    </row>
    <row r="2965" spans="1:3" x14ac:dyDescent="0.35">
      <c r="A2965">
        <v>51087</v>
      </c>
      <c r="B2965" t="s">
        <v>3908</v>
      </c>
      <c r="C2965" t="s">
        <v>3887</v>
      </c>
    </row>
    <row r="2966" spans="1:3" x14ac:dyDescent="0.35">
      <c r="A2966">
        <v>51089</v>
      </c>
      <c r="B2966" t="s">
        <v>269</v>
      </c>
      <c r="C2966" t="s">
        <v>3887</v>
      </c>
    </row>
    <row r="2967" spans="1:3" x14ac:dyDescent="0.35">
      <c r="A2967">
        <v>51091</v>
      </c>
      <c r="B2967" t="s">
        <v>3630</v>
      </c>
      <c r="C2967" t="s">
        <v>3887</v>
      </c>
    </row>
    <row r="2968" spans="1:3" x14ac:dyDescent="0.35">
      <c r="A2968">
        <v>51093</v>
      </c>
      <c r="B2968" t="s">
        <v>3909</v>
      </c>
      <c r="C2968" t="s">
        <v>3887</v>
      </c>
    </row>
    <row r="2969" spans="1:3" x14ac:dyDescent="0.35">
      <c r="A2969">
        <v>51095</v>
      </c>
      <c r="B2969" t="s">
        <v>3910</v>
      </c>
      <c r="C2969" t="s">
        <v>3887</v>
      </c>
    </row>
    <row r="2970" spans="1:3" x14ac:dyDescent="0.35">
      <c r="A2970">
        <v>51097</v>
      </c>
      <c r="B2970" t="s">
        <v>3911</v>
      </c>
      <c r="C2970" t="s">
        <v>3887</v>
      </c>
    </row>
    <row r="2971" spans="1:3" x14ac:dyDescent="0.35">
      <c r="A2971">
        <v>51099</v>
      </c>
      <c r="B2971" t="s">
        <v>3912</v>
      </c>
      <c r="C2971" t="s">
        <v>3887</v>
      </c>
    </row>
    <row r="2972" spans="1:3" x14ac:dyDescent="0.35">
      <c r="A2972">
        <v>51101</v>
      </c>
      <c r="B2972" t="s">
        <v>3913</v>
      </c>
      <c r="C2972" t="s">
        <v>3887</v>
      </c>
    </row>
    <row r="2973" spans="1:3" x14ac:dyDescent="0.35">
      <c r="A2973">
        <v>51103</v>
      </c>
      <c r="B2973" t="s">
        <v>1745</v>
      </c>
      <c r="C2973" t="s">
        <v>3887</v>
      </c>
    </row>
    <row r="2974" spans="1:3" x14ac:dyDescent="0.35">
      <c r="A2974">
        <v>51105</v>
      </c>
      <c r="B2974" t="s">
        <v>237</v>
      </c>
      <c r="C2974" t="s">
        <v>3887</v>
      </c>
    </row>
    <row r="2975" spans="1:3" x14ac:dyDescent="0.35">
      <c r="A2975">
        <v>51107</v>
      </c>
      <c r="B2975" t="s">
        <v>3914</v>
      </c>
      <c r="C2975" t="s">
        <v>3887</v>
      </c>
    </row>
    <row r="2976" spans="1:3" x14ac:dyDescent="0.35">
      <c r="A2976">
        <v>51109</v>
      </c>
      <c r="B2976" t="s">
        <v>3132</v>
      </c>
      <c r="C2976" t="s">
        <v>3887</v>
      </c>
    </row>
    <row r="2977" spans="1:3" x14ac:dyDescent="0.35">
      <c r="A2977">
        <v>51111</v>
      </c>
      <c r="B2977" t="s">
        <v>3915</v>
      </c>
      <c r="C2977" t="s">
        <v>3887</v>
      </c>
    </row>
    <row r="2978" spans="1:3" x14ac:dyDescent="0.35">
      <c r="A2978">
        <v>51113</v>
      </c>
      <c r="B2978" t="s">
        <v>287</v>
      </c>
      <c r="C2978" t="s">
        <v>3887</v>
      </c>
    </row>
    <row r="2979" spans="1:3" x14ac:dyDescent="0.35">
      <c r="A2979">
        <v>51115</v>
      </c>
      <c r="B2979" t="s">
        <v>3916</v>
      </c>
      <c r="C2979" t="s">
        <v>3887</v>
      </c>
    </row>
    <row r="2980" spans="1:3" x14ac:dyDescent="0.35">
      <c r="A2980">
        <v>51117</v>
      </c>
      <c r="B2980" t="s">
        <v>1524</v>
      </c>
      <c r="C2980" t="s">
        <v>3887</v>
      </c>
    </row>
    <row r="2981" spans="1:3" x14ac:dyDescent="0.35">
      <c r="A2981">
        <v>51119</v>
      </c>
      <c r="B2981" t="s">
        <v>3518</v>
      </c>
      <c r="C2981" t="s">
        <v>3887</v>
      </c>
    </row>
    <row r="2982" spans="1:3" x14ac:dyDescent="0.35">
      <c r="A2982">
        <v>51121</v>
      </c>
      <c r="B2982" t="s">
        <v>301</v>
      </c>
      <c r="C2982" t="s">
        <v>3887</v>
      </c>
    </row>
    <row r="2983" spans="1:3" x14ac:dyDescent="0.35">
      <c r="A2983">
        <v>51125</v>
      </c>
      <c r="B2983" t="s">
        <v>3240</v>
      </c>
      <c r="C2983" t="s">
        <v>3887</v>
      </c>
    </row>
    <row r="2984" spans="1:3" x14ac:dyDescent="0.35">
      <c r="A2984">
        <v>51127</v>
      </c>
      <c r="B2984" t="s">
        <v>3917</v>
      </c>
      <c r="C2984" t="s">
        <v>3887</v>
      </c>
    </row>
    <row r="2985" spans="1:3" x14ac:dyDescent="0.35">
      <c r="A2985">
        <v>51131</v>
      </c>
      <c r="B2985" t="s">
        <v>1607</v>
      </c>
      <c r="C2985" t="s">
        <v>3887</v>
      </c>
    </row>
    <row r="2986" spans="1:3" x14ac:dyDescent="0.35">
      <c r="A2986">
        <v>51133</v>
      </c>
      <c r="B2986" t="s">
        <v>3729</v>
      </c>
      <c r="C2986" t="s">
        <v>3887</v>
      </c>
    </row>
    <row r="2987" spans="1:3" x14ac:dyDescent="0.35">
      <c r="A2987">
        <v>51135</v>
      </c>
      <c r="B2987" t="s">
        <v>3918</v>
      </c>
      <c r="C2987" t="s">
        <v>3887</v>
      </c>
    </row>
    <row r="2988" spans="1:3" x14ac:dyDescent="0.35">
      <c r="A2988">
        <v>51137</v>
      </c>
      <c r="B2988" t="s">
        <v>706</v>
      </c>
      <c r="C2988" t="s">
        <v>3887</v>
      </c>
    </row>
    <row r="2989" spans="1:3" x14ac:dyDescent="0.35">
      <c r="A2989">
        <v>51139</v>
      </c>
      <c r="B2989" t="s">
        <v>3139</v>
      </c>
      <c r="C2989" t="s">
        <v>3887</v>
      </c>
    </row>
    <row r="2990" spans="1:3" x14ac:dyDescent="0.35">
      <c r="A2990">
        <v>51141</v>
      </c>
      <c r="B2990" t="s">
        <v>3919</v>
      </c>
      <c r="C2990" t="s">
        <v>3887</v>
      </c>
    </row>
    <row r="2991" spans="1:3" x14ac:dyDescent="0.35">
      <c r="A2991">
        <v>51143</v>
      </c>
      <c r="B2991" t="s">
        <v>3920</v>
      </c>
      <c r="C2991" t="s">
        <v>3887</v>
      </c>
    </row>
    <row r="2992" spans="1:3" x14ac:dyDescent="0.35">
      <c r="A2992">
        <v>51145</v>
      </c>
      <c r="B2992" t="s">
        <v>3921</v>
      </c>
      <c r="C2992" t="s">
        <v>3887</v>
      </c>
    </row>
    <row r="2993" spans="1:3" x14ac:dyDescent="0.35">
      <c r="A2993">
        <v>51147</v>
      </c>
      <c r="B2993" t="s">
        <v>3922</v>
      </c>
      <c r="C2993" t="s">
        <v>3887</v>
      </c>
    </row>
    <row r="2994" spans="1:3" x14ac:dyDescent="0.35">
      <c r="A2994">
        <v>51149</v>
      </c>
      <c r="B2994" t="s">
        <v>3923</v>
      </c>
      <c r="C2994" t="s">
        <v>3887</v>
      </c>
    </row>
    <row r="2995" spans="1:3" x14ac:dyDescent="0.35">
      <c r="A2995">
        <v>51153</v>
      </c>
      <c r="B2995" t="s">
        <v>3924</v>
      </c>
      <c r="C2995" t="s">
        <v>3887</v>
      </c>
    </row>
    <row r="2996" spans="1:3" x14ac:dyDescent="0.35">
      <c r="A2996">
        <v>51155</v>
      </c>
      <c r="B2996" t="s">
        <v>398</v>
      </c>
      <c r="C2996" t="s">
        <v>3887</v>
      </c>
    </row>
    <row r="2997" spans="1:3" x14ac:dyDescent="0.35">
      <c r="A2997">
        <v>51157</v>
      </c>
      <c r="B2997" t="s">
        <v>3925</v>
      </c>
      <c r="C2997" t="s">
        <v>3887</v>
      </c>
    </row>
    <row r="2998" spans="1:3" x14ac:dyDescent="0.35">
      <c r="A2998">
        <v>51159</v>
      </c>
      <c r="B2998" t="s">
        <v>869</v>
      </c>
      <c r="C2998" t="s">
        <v>3887</v>
      </c>
    </row>
    <row r="2999" spans="1:3" x14ac:dyDescent="0.35">
      <c r="A2999">
        <v>51161</v>
      </c>
      <c r="B2999" t="s">
        <v>3926</v>
      </c>
      <c r="C2999" t="s">
        <v>3887</v>
      </c>
    </row>
    <row r="3000" spans="1:3" x14ac:dyDescent="0.35">
      <c r="A3000">
        <v>51163</v>
      </c>
      <c r="B3000" t="s">
        <v>3927</v>
      </c>
      <c r="C3000" t="s">
        <v>3887</v>
      </c>
    </row>
    <row r="3001" spans="1:3" x14ac:dyDescent="0.35">
      <c r="A3001">
        <v>51165</v>
      </c>
      <c r="B3001" t="s">
        <v>1552</v>
      </c>
      <c r="C3001" t="s">
        <v>3887</v>
      </c>
    </row>
    <row r="3002" spans="1:3" x14ac:dyDescent="0.35">
      <c r="A3002">
        <v>51167</v>
      </c>
      <c r="B3002" t="s">
        <v>257</v>
      </c>
      <c r="C3002" t="s">
        <v>3887</v>
      </c>
    </row>
    <row r="3003" spans="1:3" x14ac:dyDescent="0.35">
      <c r="A3003">
        <v>51169</v>
      </c>
      <c r="B3003" t="s">
        <v>528</v>
      </c>
      <c r="C3003" t="s">
        <v>3887</v>
      </c>
    </row>
    <row r="3004" spans="1:3" x14ac:dyDescent="0.35">
      <c r="A3004">
        <v>51171</v>
      </c>
      <c r="B3004" t="s">
        <v>3928</v>
      </c>
      <c r="C3004" t="s">
        <v>3887</v>
      </c>
    </row>
    <row r="3005" spans="1:3" x14ac:dyDescent="0.35">
      <c r="A3005">
        <v>51173</v>
      </c>
      <c r="B3005" t="s">
        <v>3929</v>
      </c>
      <c r="C3005" t="s">
        <v>3887</v>
      </c>
    </row>
    <row r="3006" spans="1:3" x14ac:dyDescent="0.35">
      <c r="A3006">
        <v>51175</v>
      </c>
      <c r="B3006" t="s">
        <v>3930</v>
      </c>
      <c r="C3006" t="s">
        <v>3887</v>
      </c>
    </row>
    <row r="3007" spans="1:3" x14ac:dyDescent="0.35">
      <c r="A3007">
        <v>51177</v>
      </c>
      <c r="B3007" t="s">
        <v>3931</v>
      </c>
      <c r="C3007" t="s">
        <v>3887</v>
      </c>
    </row>
    <row r="3008" spans="1:3" x14ac:dyDescent="0.35">
      <c r="A3008">
        <v>51179</v>
      </c>
      <c r="B3008" t="s">
        <v>3197</v>
      </c>
      <c r="C3008" t="s">
        <v>3887</v>
      </c>
    </row>
    <row r="3009" spans="1:3" x14ac:dyDescent="0.35">
      <c r="A3009">
        <v>51181</v>
      </c>
      <c r="B3009" t="s">
        <v>1544</v>
      </c>
      <c r="C3009" t="s">
        <v>3887</v>
      </c>
    </row>
    <row r="3010" spans="1:3" x14ac:dyDescent="0.35">
      <c r="A3010">
        <v>51183</v>
      </c>
      <c r="B3010" t="s">
        <v>2998</v>
      </c>
      <c r="C3010" t="s">
        <v>3887</v>
      </c>
    </row>
    <row r="3011" spans="1:3" x14ac:dyDescent="0.35">
      <c r="A3011">
        <v>51185</v>
      </c>
      <c r="B3011" t="s">
        <v>3073</v>
      </c>
      <c r="C3011" t="s">
        <v>3887</v>
      </c>
    </row>
    <row r="3012" spans="1:3" x14ac:dyDescent="0.35">
      <c r="A3012">
        <v>51187</v>
      </c>
      <c r="B3012" t="s">
        <v>873</v>
      </c>
      <c r="C3012" t="s">
        <v>3887</v>
      </c>
    </row>
    <row r="3013" spans="1:3" x14ac:dyDescent="0.35">
      <c r="A3013">
        <v>51191</v>
      </c>
      <c r="B3013" t="s">
        <v>385</v>
      </c>
      <c r="C3013" t="s">
        <v>3887</v>
      </c>
    </row>
    <row r="3014" spans="1:3" x14ac:dyDescent="0.35">
      <c r="A3014">
        <v>51193</v>
      </c>
      <c r="B3014" t="s">
        <v>3735</v>
      </c>
      <c r="C3014" t="s">
        <v>3887</v>
      </c>
    </row>
    <row r="3015" spans="1:3" x14ac:dyDescent="0.35">
      <c r="A3015">
        <v>51195</v>
      </c>
      <c r="B3015" t="s">
        <v>2408</v>
      </c>
      <c r="C3015" t="s">
        <v>3887</v>
      </c>
    </row>
    <row r="3016" spans="1:3" x14ac:dyDescent="0.35">
      <c r="A3016">
        <v>51197</v>
      </c>
      <c r="B3016" t="s">
        <v>3932</v>
      </c>
      <c r="C3016" t="s">
        <v>3887</v>
      </c>
    </row>
    <row r="3017" spans="1:3" x14ac:dyDescent="0.35">
      <c r="A3017">
        <v>51199</v>
      </c>
      <c r="B3017" t="s">
        <v>1789</v>
      </c>
      <c r="C3017" t="s">
        <v>3887</v>
      </c>
    </row>
    <row r="3018" spans="1:3" x14ac:dyDescent="0.35">
      <c r="A3018">
        <v>51510</v>
      </c>
      <c r="B3018" t="s">
        <v>3933</v>
      </c>
      <c r="C3018" t="s">
        <v>3887</v>
      </c>
    </row>
    <row r="3019" spans="1:3" x14ac:dyDescent="0.35">
      <c r="A3019">
        <v>51520</v>
      </c>
      <c r="B3019" t="s">
        <v>3934</v>
      </c>
      <c r="C3019" t="s">
        <v>3887</v>
      </c>
    </row>
    <row r="3020" spans="1:3" x14ac:dyDescent="0.35">
      <c r="A3020">
        <v>51530</v>
      </c>
      <c r="B3020" t="s">
        <v>3935</v>
      </c>
      <c r="C3020" t="s">
        <v>3887</v>
      </c>
    </row>
    <row r="3021" spans="1:3" x14ac:dyDescent="0.35">
      <c r="A3021">
        <v>51540</v>
      </c>
      <c r="B3021" t="s">
        <v>3936</v>
      </c>
      <c r="C3021" t="s">
        <v>3887</v>
      </c>
    </row>
    <row r="3022" spans="1:3" x14ac:dyDescent="0.35">
      <c r="A3022">
        <v>51550</v>
      </c>
      <c r="B3022" t="s">
        <v>3937</v>
      </c>
      <c r="C3022" t="s">
        <v>3887</v>
      </c>
    </row>
    <row r="3023" spans="1:3" x14ac:dyDescent="0.35">
      <c r="A3023">
        <v>51570</v>
      </c>
      <c r="B3023" t="s">
        <v>3938</v>
      </c>
      <c r="C3023" t="s">
        <v>3887</v>
      </c>
    </row>
    <row r="3024" spans="1:3" x14ac:dyDescent="0.35">
      <c r="A3024">
        <v>51580</v>
      </c>
      <c r="B3024" t="s">
        <v>3939</v>
      </c>
      <c r="C3024" t="s">
        <v>3887</v>
      </c>
    </row>
    <row r="3025" spans="1:3" x14ac:dyDescent="0.35">
      <c r="A3025">
        <v>51590</v>
      </c>
      <c r="B3025" t="s">
        <v>3940</v>
      </c>
      <c r="C3025" t="s">
        <v>3887</v>
      </c>
    </row>
    <row r="3026" spans="1:3" x14ac:dyDescent="0.35">
      <c r="A3026">
        <v>51595</v>
      </c>
      <c r="B3026" t="s">
        <v>3941</v>
      </c>
      <c r="C3026" t="s">
        <v>3887</v>
      </c>
    </row>
    <row r="3027" spans="1:3" x14ac:dyDescent="0.35">
      <c r="A3027">
        <v>51600</v>
      </c>
      <c r="B3027" t="s">
        <v>3942</v>
      </c>
      <c r="C3027" t="s">
        <v>3887</v>
      </c>
    </row>
    <row r="3028" spans="1:3" x14ac:dyDescent="0.35">
      <c r="A3028">
        <v>51610</v>
      </c>
      <c r="B3028" t="s">
        <v>3943</v>
      </c>
      <c r="C3028" t="s">
        <v>3887</v>
      </c>
    </row>
    <row r="3029" spans="1:3" x14ac:dyDescent="0.35">
      <c r="A3029">
        <v>51620</v>
      </c>
      <c r="B3029" t="s">
        <v>3944</v>
      </c>
      <c r="C3029" t="s">
        <v>3887</v>
      </c>
    </row>
    <row r="3030" spans="1:3" x14ac:dyDescent="0.35">
      <c r="A3030">
        <v>51630</v>
      </c>
      <c r="B3030" t="s">
        <v>3945</v>
      </c>
      <c r="C3030" t="s">
        <v>3887</v>
      </c>
    </row>
    <row r="3031" spans="1:3" x14ac:dyDescent="0.35">
      <c r="A3031">
        <v>51640</v>
      </c>
      <c r="B3031" t="s">
        <v>3946</v>
      </c>
      <c r="C3031" t="s">
        <v>3887</v>
      </c>
    </row>
    <row r="3032" spans="1:3" x14ac:dyDescent="0.35">
      <c r="A3032">
        <v>51650</v>
      </c>
      <c r="B3032" t="s">
        <v>3947</v>
      </c>
      <c r="C3032" t="s">
        <v>3887</v>
      </c>
    </row>
    <row r="3033" spans="1:3" x14ac:dyDescent="0.35">
      <c r="A3033">
        <v>51660</v>
      </c>
      <c r="B3033" t="s">
        <v>3948</v>
      </c>
      <c r="C3033" t="s">
        <v>3887</v>
      </c>
    </row>
    <row r="3034" spans="1:3" x14ac:dyDescent="0.35">
      <c r="A3034">
        <v>51670</v>
      </c>
      <c r="B3034" t="s">
        <v>3949</v>
      </c>
      <c r="C3034" t="s">
        <v>3887</v>
      </c>
    </row>
    <row r="3035" spans="1:3" x14ac:dyDescent="0.35">
      <c r="A3035">
        <v>51678</v>
      </c>
      <c r="B3035" t="s">
        <v>3950</v>
      </c>
      <c r="C3035" t="s">
        <v>3887</v>
      </c>
    </row>
    <row r="3036" spans="1:3" x14ac:dyDescent="0.35">
      <c r="A3036">
        <v>51680</v>
      </c>
      <c r="B3036" t="s">
        <v>3951</v>
      </c>
      <c r="C3036" t="s">
        <v>3887</v>
      </c>
    </row>
    <row r="3037" spans="1:3" x14ac:dyDescent="0.35">
      <c r="A3037">
        <v>51683</v>
      </c>
      <c r="B3037" t="s">
        <v>3952</v>
      </c>
      <c r="C3037" t="s">
        <v>3887</v>
      </c>
    </row>
    <row r="3038" spans="1:3" x14ac:dyDescent="0.35">
      <c r="A3038">
        <v>51685</v>
      </c>
      <c r="B3038" t="s">
        <v>3953</v>
      </c>
      <c r="C3038" t="s">
        <v>3887</v>
      </c>
    </row>
    <row r="3039" spans="1:3" x14ac:dyDescent="0.35">
      <c r="A3039">
        <v>51690</v>
      </c>
      <c r="B3039" t="s">
        <v>3954</v>
      </c>
      <c r="C3039" t="s">
        <v>3887</v>
      </c>
    </row>
    <row r="3040" spans="1:3" x14ac:dyDescent="0.35">
      <c r="A3040">
        <v>51700</v>
      </c>
      <c r="B3040" t="s">
        <v>3955</v>
      </c>
      <c r="C3040" t="s">
        <v>3887</v>
      </c>
    </row>
    <row r="3041" spans="1:3" x14ac:dyDescent="0.35">
      <c r="A3041">
        <v>51710</v>
      </c>
      <c r="B3041" t="s">
        <v>3956</v>
      </c>
      <c r="C3041" t="s">
        <v>3887</v>
      </c>
    </row>
    <row r="3042" spans="1:3" x14ac:dyDescent="0.35">
      <c r="A3042">
        <v>51720</v>
      </c>
      <c r="B3042" t="s">
        <v>3957</v>
      </c>
      <c r="C3042" t="s">
        <v>3887</v>
      </c>
    </row>
    <row r="3043" spans="1:3" x14ac:dyDescent="0.35">
      <c r="A3043">
        <v>51730</v>
      </c>
      <c r="B3043" t="s">
        <v>3958</v>
      </c>
      <c r="C3043" t="s">
        <v>3887</v>
      </c>
    </row>
    <row r="3044" spans="1:3" x14ac:dyDescent="0.35">
      <c r="A3044">
        <v>51735</v>
      </c>
      <c r="B3044" t="s">
        <v>3959</v>
      </c>
      <c r="C3044" t="s">
        <v>3887</v>
      </c>
    </row>
    <row r="3045" spans="1:3" x14ac:dyDescent="0.35">
      <c r="A3045">
        <v>51740</v>
      </c>
      <c r="B3045" t="s">
        <v>3960</v>
      </c>
      <c r="C3045" t="s">
        <v>3887</v>
      </c>
    </row>
    <row r="3046" spans="1:3" x14ac:dyDescent="0.35">
      <c r="A3046">
        <v>51750</v>
      </c>
      <c r="B3046" t="s">
        <v>3961</v>
      </c>
      <c r="C3046" t="s">
        <v>3887</v>
      </c>
    </row>
    <row r="3047" spans="1:3" x14ac:dyDescent="0.35">
      <c r="A3047">
        <v>51760</v>
      </c>
      <c r="B3047" t="s">
        <v>3962</v>
      </c>
      <c r="C3047" t="s">
        <v>3887</v>
      </c>
    </row>
    <row r="3048" spans="1:3" x14ac:dyDescent="0.35">
      <c r="A3048">
        <v>51770</v>
      </c>
      <c r="B3048" t="s">
        <v>3963</v>
      </c>
      <c r="C3048" t="s">
        <v>3887</v>
      </c>
    </row>
    <row r="3049" spans="1:3" x14ac:dyDescent="0.35">
      <c r="A3049">
        <v>51775</v>
      </c>
      <c r="B3049" t="s">
        <v>3964</v>
      </c>
      <c r="C3049" t="s">
        <v>3887</v>
      </c>
    </row>
    <row r="3050" spans="1:3" x14ac:dyDescent="0.35">
      <c r="A3050">
        <v>51790</v>
      </c>
      <c r="B3050" t="s">
        <v>3965</v>
      </c>
      <c r="C3050" t="s">
        <v>3887</v>
      </c>
    </row>
    <row r="3051" spans="1:3" x14ac:dyDescent="0.35">
      <c r="A3051">
        <v>51800</v>
      </c>
      <c r="B3051" t="s">
        <v>3966</v>
      </c>
      <c r="C3051" t="s">
        <v>3887</v>
      </c>
    </row>
    <row r="3052" spans="1:3" x14ac:dyDescent="0.35">
      <c r="A3052">
        <v>51810</v>
      </c>
      <c r="B3052" t="s">
        <v>3967</v>
      </c>
      <c r="C3052" t="s">
        <v>3887</v>
      </c>
    </row>
    <row r="3053" spans="1:3" x14ac:dyDescent="0.35">
      <c r="A3053">
        <v>51820</v>
      </c>
      <c r="B3053" t="s">
        <v>3968</v>
      </c>
      <c r="C3053" t="s">
        <v>3887</v>
      </c>
    </row>
    <row r="3054" spans="1:3" x14ac:dyDescent="0.35">
      <c r="A3054">
        <v>51830</v>
      </c>
      <c r="B3054" t="s">
        <v>3969</v>
      </c>
      <c r="C3054" t="s">
        <v>3887</v>
      </c>
    </row>
    <row r="3055" spans="1:3" x14ac:dyDescent="0.35">
      <c r="A3055">
        <v>51840</v>
      </c>
      <c r="B3055" t="s">
        <v>3970</v>
      </c>
      <c r="C3055" t="s">
        <v>3887</v>
      </c>
    </row>
    <row r="3056" spans="1:3" x14ac:dyDescent="0.35">
      <c r="A3056">
        <v>53001</v>
      </c>
      <c r="B3056" t="s">
        <v>1255</v>
      </c>
      <c r="C3056" t="s">
        <v>3971</v>
      </c>
    </row>
    <row r="3057" spans="1:3" x14ac:dyDescent="0.35">
      <c r="A3057">
        <v>53003</v>
      </c>
      <c r="B3057" t="s">
        <v>3972</v>
      </c>
      <c r="C3057" t="s">
        <v>3971</v>
      </c>
    </row>
    <row r="3058" spans="1:3" x14ac:dyDescent="0.35">
      <c r="A3058">
        <v>53005</v>
      </c>
      <c r="B3058" t="s">
        <v>456</v>
      </c>
      <c r="C3058" t="s">
        <v>3971</v>
      </c>
    </row>
    <row r="3059" spans="1:3" x14ac:dyDescent="0.35">
      <c r="A3059">
        <v>53007</v>
      </c>
      <c r="B3059" t="s">
        <v>3973</v>
      </c>
      <c r="C3059" t="s">
        <v>3971</v>
      </c>
    </row>
    <row r="3060" spans="1:3" x14ac:dyDescent="0.35">
      <c r="A3060">
        <v>53009</v>
      </c>
      <c r="B3060" t="s">
        <v>3974</v>
      </c>
      <c r="C3060" t="s">
        <v>3971</v>
      </c>
    </row>
    <row r="3061" spans="1:3" x14ac:dyDescent="0.35">
      <c r="A3061">
        <v>53011</v>
      </c>
      <c r="B3061" t="s">
        <v>469</v>
      </c>
      <c r="C3061" t="s">
        <v>3971</v>
      </c>
    </row>
    <row r="3062" spans="1:3" x14ac:dyDescent="0.35">
      <c r="A3062">
        <v>53013</v>
      </c>
      <c r="B3062" t="s">
        <v>508</v>
      </c>
      <c r="C3062" t="s">
        <v>3971</v>
      </c>
    </row>
    <row r="3063" spans="1:3" x14ac:dyDescent="0.35">
      <c r="A3063">
        <v>53015</v>
      </c>
      <c r="B3063" t="s">
        <v>3975</v>
      </c>
      <c r="C3063" t="s">
        <v>3971</v>
      </c>
    </row>
    <row r="3064" spans="1:3" x14ac:dyDescent="0.35">
      <c r="A3064">
        <v>53017</v>
      </c>
      <c r="B3064" t="s">
        <v>828</v>
      </c>
      <c r="C3064" t="s">
        <v>3971</v>
      </c>
    </row>
    <row r="3065" spans="1:3" x14ac:dyDescent="0.35">
      <c r="A3065">
        <v>53019</v>
      </c>
      <c r="B3065" t="s">
        <v>3976</v>
      </c>
      <c r="C3065" t="s">
        <v>3971</v>
      </c>
    </row>
    <row r="3066" spans="1:3" x14ac:dyDescent="0.35">
      <c r="A3066">
        <v>53021</v>
      </c>
      <c r="B3066" t="s">
        <v>355</v>
      </c>
      <c r="C3066" t="s">
        <v>3971</v>
      </c>
    </row>
    <row r="3067" spans="1:3" x14ac:dyDescent="0.35">
      <c r="A3067">
        <v>53023</v>
      </c>
      <c r="B3067" t="s">
        <v>2779</v>
      </c>
      <c r="C3067" t="s">
        <v>3971</v>
      </c>
    </row>
    <row r="3068" spans="1:3" x14ac:dyDescent="0.35">
      <c r="A3068">
        <v>53025</v>
      </c>
      <c r="B3068" t="s">
        <v>413</v>
      </c>
      <c r="C3068" t="s">
        <v>3971</v>
      </c>
    </row>
    <row r="3069" spans="1:3" x14ac:dyDescent="0.35">
      <c r="A3069">
        <v>53027</v>
      </c>
      <c r="B3069" t="s">
        <v>3977</v>
      </c>
      <c r="C3069" t="s">
        <v>3971</v>
      </c>
    </row>
    <row r="3070" spans="1:3" x14ac:dyDescent="0.35">
      <c r="A3070">
        <v>53029</v>
      </c>
      <c r="B3070" t="s">
        <v>3978</v>
      </c>
      <c r="C3070" t="s">
        <v>3971</v>
      </c>
    </row>
    <row r="3071" spans="1:3" x14ac:dyDescent="0.35">
      <c r="A3071">
        <v>53031</v>
      </c>
      <c r="B3071" t="s">
        <v>247</v>
      </c>
      <c r="C3071" t="s">
        <v>3971</v>
      </c>
    </row>
    <row r="3072" spans="1:3" x14ac:dyDescent="0.35">
      <c r="A3072">
        <v>53033</v>
      </c>
      <c r="B3072" t="s">
        <v>2380</v>
      </c>
      <c r="C3072" t="s">
        <v>3971</v>
      </c>
    </row>
    <row r="3073" spans="1:3" x14ac:dyDescent="0.35">
      <c r="A3073">
        <v>53035</v>
      </c>
      <c r="B3073" t="s">
        <v>3979</v>
      </c>
      <c r="C3073" t="s">
        <v>3971</v>
      </c>
    </row>
    <row r="3074" spans="1:3" x14ac:dyDescent="0.35">
      <c r="A3074">
        <v>53037</v>
      </c>
      <c r="B3074" t="s">
        <v>3980</v>
      </c>
      <c r="C3074" t="s">
        <v>3971</v>
      </c>
    </row>
    <row r="3075" spans="1:3" x14ac:dyDescent="0.35">
      <c r="A3075">
        <v>53039</v>
      </c>
      <c r="B3075" t="s">
        <v>3981</v>
      </c>
      <c r="C3075" t="s">
        <v>3971</v>
      </c>
    </row>
    <row r="3076" spans="1:3" x14ac:dyDescent="0.35">
      <c r="A3076">
        <v>53041</v>
      </c>
      <c r="B3076" t="s">
        <v>1927</v>
      </c>
      <c r="C3076" t="s">
        <v>3971</v>
      </c>
    </row>
    <row r="3077" spans="1:3" x14ac:dyDescent="0.35">
      <c r="A3077">
        <v>53043</v>
      </c>
      <c r="B3077" t="s">
        <v>494</v>
      </c>
      <c r="C3077" t="s">
        <v>3971</v>
      </c>
    </row>
    <row r="3078" spans="1:3" x14ac:dyDescent="0.35">
      <c r="A3078">
        <v>53045</v>
      </c>
      <c r="B3078" t="s">
        <v>2241</v>
      </c>
      <c r="C3078" t="s">
        <v>3971</v>
      </c>
    </row>
    <row r="3079" spans="1:3" x14ac:dyDescent="0.35">
      <c r="A3079">
        <v>53047</v>
      </c>
      <c r="B3079" t="s">
        <v>3982</v>
      </c>
      <c r="C3079" t="s">
        <v>3971</v>
      </c>
    </row>
    <row r="3080" spans="1:3" x14ac:dyDescent="0.35">
      <c r="A3080">
        <v>53049</v>
      </c>
      <c r="B3080" t="s">
        <v>3983</v>
      </c>
      <c r="C3080" t="s">
        <v>3971</v>
      </c>
    </row>
    <row r="3081" spans="1:3" x14ac:dyDescent="0.35">
      <c r="A3081">
        <v>53051</v>
      </c>
      <c r="B3081" t="s">
        <v>3984</v>
      </c>
      <c r="C3081" t="s">
        <v>3971</v>
      </c>
    </row>
    <row r="3082" spans="1:3" x14ac:dyDescent="0.35">
      <c r="A3082">
        <v>53053</v>
      </c>
      <c r="B3082" t="s">
        <v>890</v>
      </c>
      <c r="C3082" t="s">
        <v>3971</v>
      </c>
    </row>
    <row r="3083" spans="1:3" x14ac:dyDescent="0.35">
      <c r="A3083">
        <v>53055</v>
      </c>
      <c r="B3083" t="s">
        <v>2787</v>
      </c>
      <c r="C3083" t="s">
        <v>3971</v>
      </c>
    </row>
    <row r="3084" spans="1:3" x14ac:dyDescent="0.35">
      <c r="A3084">
        <v>53057</v>
      </c>
      <c r="B3084" t="s">
        <v>3985</v>
      </c>
      <c r="C3084" t="s">
        <v>3971</v>
      </c>
    </row>
    <row r="3085" spans="1:3" x14ac:dyDescent="0.35">
      <c r="A3085">
        <v>53059</v>
      </c>
      <c r="B3085" t="s">
        <v>3986</v>
      </c>
      <c r="C3085" t="s">
        <v>3971</v>
      </c>
    </row>
    <row r="3086" spans="1:3" x14ac:dyDescent="0.35">
      <c r="A3086">
        <v>53061</v>
      </c>
      <c r="B3086" t="s">
        <v>3987</v>
      </c>
      <c r="C3086" t="s">
        <v>3971</v>
      </c>
    </row>
    <row r="3087" spans="1:3" x14ac:dyDescent="0.35">
      <c r="A3087">
        <v>53063</v>
      </c>
      <c r="B3087" t="s">
        <v>3988</v>
      </c>
      <c r="C3087" t="s">
        <v>3971</v>
      </c>
    </row>
    <row r="3088" spans="1:3" x14ac:dyDescent="0.35">
      <c r="A3088">
        <v>53065</v>
      </c>
      <c r="B3088" t="s">
        <v>3199</v>
      </c>
      <c r="C3088" t="s">
        <v>3971</v>
      </c>
    </row>
    <row r="3089" spans="1:3" x14ac:dyDescent="0.35">
      <c r="A3089">
        <v>53067</v>
      </c>
      <c r="B3089" t="s">
        <v>3489</v>
      </c>
      <c r="C3089" t="s">
        <v>3971</v>
      </c>
    </row>
    <row r="3090" spans="1:3" x14ac:dyDescent="0.35">
      <c r="A3090">
        <v>53069</v>
      </c>
      <c r="B3090" t="s">
        <v>3989</v>
      </c>
      <c r="C3090" t="s">
        <v>3971</v>
      </c>
    </row>
    <row r="3091" spans="1:3" x14ac:dyDescent="0.35">
      <c r="A3091">
        <v>53071</v>
      </c>
      <c r="B3091" t="s">
        <v>3990</v>
      </c>
      <c r="C3091" t="s">
        <v>3971</v>
      </c>
    </row>
    <row r="3092" spans="1:3" x14ac:dyDescent="0.35">
      <c r="A3092">
        <v>53073</v>
      </c>
      <c r="B3092" t="s">
        <v>3991</v>
      </c>
      <c r="C3092" t="s">
        <v>3971</v>
      </c>
    </row>
    <row r="3093" spans="1:3" x14ac:dyDescent="0.35">
      <c r="A3093">
        <v>53075</v>
      </c>
      <c r="B3093" t="s">
        <v>3992</v>
      </c>
      <c r="C3093" t="s">
        <v>3971</v>
      </c>
    </row>
    <row r="3094" spans="1:3" x14ac:dyDescent="0.35">
      <c r="A3094">
        <v>53077</v>
      </c>
      <c r="B3094" t="s">
        <v>3993</v>
      </c>
      <c r="C3094" t="s">
        <v>3971</v>
      </c>
    </row>
    <row r="3095" spans="1:3" x14ac:dyDescent="0.35">
      <c r="A3095">
        <v>54001</v>
      </c>
      <c r="B3095" t="s">
        <v>315</v>
      </c>
      <c r="C3095" t="s">
        <v>3994</v>
      </c>
    </row>
    <row r="3096" spans="1:3" x14ac:dyDescent="0.35">
      <c r="A3096">
        <v>54003</v>
      </c>
      <c r="B3096" t="s">
        <v>1685</v>
      </c>
      <c r="C3096" t="s">
        <v>3994</v>
      </c>
    </row>
    <row r="3097" spans="1:3" x14ac:dyDescent="0.35">
      <c r="A3097">
        <v>54005</v>
      </c>
      <c r="B3097" t="s">
        <v>459</v>
      </c>
      <c r="C3097" t="s">
        <v>3994</v>
      </c>
    </row>
    <row r="3098" spans="1:3" x14ac:dyDescent="0.35">
      <c r="A3098">
        <v>54007</v>
      </c>
      <c r="B3098" t="s">
        <v>2795</v>
      </c>
      <c r="C3098" t="s">
        <v>3994</v>
      </c>
    </row>
    <row r="3099" spans="1:3" x14ac:dyDescent="0.35">
      <c r="A3099">
        <v>54009</v>
      </c>
      <c r="B3099" t="s">
        <v>2796</v>
      </c>
      <c r="C3099" t="s">
        <v>3994</v>
      </c>
    </row>
    <row r="3100" spans="1:3" x14ac:dyDescent="0.35">
      <c r="A3100">
        <v>54011</v>
      </c>
      <c r="B3100" t="s">
        <v>2797</v>
      </c>
      <c r="C3100" t="s">
        <v>3994</v>
      </c>
    </row>
    <row r="3101" spans="1:3" x14ac:dyDescent="0.35">
      <c r="A3101">
        <v>54013</v>
      </c>
      <c r="B3101" t="s">
        <v>233</v>
      </c>
      <c r="C3101" t="s">
        <v>3994</v>
      </c>
    </row>
    <row r="3102" spans="1:3" x14ac:dyDescent="0.35">
      <c r="A3102">
        <v>54015</v>
      </c>
      <c r="B3102" t="s">
        <v>329</v>
      </c>
      <c r="C3102" t="s">
        <v>3994</v>
      </c>
    </row>
    <row r="3103" spans="1:3" x14ac:dyDescent="0.35">
      <c r="A3103">
        <v>54017</v>
      </c>
      <c r="B3103" t="s">
        <v>2798</v>
      </c>
      <c r="C3103" t="s">
        <v>3994</v>
      </c>
    </row>
    <row r="3104" spans="1:3" x14ac:dyDescent="0.35">
      <c r="A3104">
        <v>54019</v>
      </c>
      <c r="B3104" t="s">
        <v>353</v>
      </c>
      <c r="C3104" t="s">
        <v>3994</v>
      </c>
    </row>
    <row r="3105" spans="1:3" x14ac:dyDescent="0.35">
      <c r="A3105">
        <v>54021</v>
      </c>
      <c r="B3105" t="s">
        <v>998</v>
      </c>
      <c r="C3105" t="s">
        <v>3994</v>
      </c>
    </row>
    <row r="3106" spans="1:3" x14ac:dyDescent="0.35">
      <c r="A3106">
        <v>54023</v>
      </c>
      <c r="B3106" t="s">
        <v>413</v>
      </c>
      <c r="C3106" t="s">
        <v>3994</v>
      </c>
    </row>
    <row r="3107" spans="1:3" x14ac:dyDescent="0.35">
      <c r="A3107">
        <v>54025</v>
      </c>
      <c r="B3107" t="s">
        <v>2799</v>
      </c>
      <c r="C3107" t="s">
        <v>3994</v>
      </c>
    </row>
    <row r="3108" spans="1:3" x14ac:dyDescent="0.35">
      <c r="A3108">
        <v>54027</v>
      </c>
      <c r="B3108" t="s">
        <v>2800</v>
      </c>
      <c r="C3108" t="s">
        <v>3994</v>
      </c>
    </row>
    <row r="3109" spans="1:3" x14ac:dyDescent="0.35">
      <c r="A3109">
        <v>54029</v>
      </c>
      <c r="B3109" t="s">
        <v>1062</v>
      </c>
      <c r="C3109" t="s">
        <v>3994</v>
      </c>
    </row>
    <row r="3110" spans="1:3" x14ac:dyDescent="0.35">
      <c r="A3110">
        <v>54031</v>
      </c>
      <c r="B3110" t="s">
        <v>2801</v>
      </c>
      <c r="C3110" t="s">
        <v>3994</v>
      </c>
    </row>
    <row r="3111" spans="1:3" x14ac:dyDescent="0.35">
      <c r="A3111">
        <v>54033</v>
      </c>
      <c r="B3111" t="s">
        <v>1250</v>
      </c>
      <c r="C3111" t="s">
        <v>3994</v>
      </c>
    </row>
    <row r="3112" spans="1:3" x14ac:dyDescent="0.35">
      <c r="A3112">
        <v>54035</v>
      </c>
      <c r="B3112" t="s">
        <v>357</v>
      </c>
      <c r="C3112" t="s">
        <v>3994</v>
      </c>
    </row>
    <row r="3113" spans="1:3" x14ac:dyDescent="0.35">
      <c r="A3113">
        <v>54037</v>
      </c>
      <c r="B3113" t="s">
        <v>247</v>
      </c>
      <c r="C3113" t="s">
        <v>3994</v>
      </c>
    </row>
    <row r="3114" spans="1:3" x14ac:dyDescent="0.35">
      <c r="A3114">
        <v>54039</v>
      </c>
      <c r="B3114" t="s">
        <v>2802</v>
      </c>
      <c r="C3114" t="s">
        <v>3994</v>
      </c>
    </row>
    <row r="3115" spans="1:3" x14ac:dyDescent="0.35">
      <c r="A3115">
        <v>54041</v>
      </c>
      <c r="B3115" t="s">
        <v>1927</v>
      </c>
      <c r="C3115" t="s">
        <v>3994</v>
      </c>
    </row>
    <row r="3116" spans="1:3" x14ac:dyDescent="0.35">
      <c r="A3116">
        <v>54043</v>
      </c>
      <c r="B3116" t="s">
        <v>494</v>
      </c>
      <c r="C3116" t="s">
        <v>3994</v>
      </c>
    </row>
    <row r="3117" spans="1:3" x14ac:dyDescent="0.35">
      <c r="A3117">
        <v>54045</v>
      </c>
      <c r="B3117" t="s">
        <v>537</v>
      </c>
      <c r="C3117" t="s">
        <v>3994</v>
      </c>
    </row>
    <row r="3118" spans="1:3" x14ac:dyDescent="0.35">
      <c r="A3118">
        <v>54047</v>
      </c>
      <c r="B3118" t="s">
        <v>1489</v>
      </c>
      <c r="C3118" t="s">
        <v>3994</v>
      </c>
    </row>
    <row r="3119" spans="1:3" x14ac:dyDescent="0.35">
      <c r="A3119">
        <v>54049</v>
      </c>
      <c r="B3119" t="s">
        <v>365</v>
      </c>
      <c r="C3119" t="s">
        <v>3994</v>
      </c>
    </row>
    <row r="3120" spans="1:3" x14ac:dyDescent="0.35">
      <c r="A3120">
        <v>54051</v>
      </c>
      <c r="B3120" t="s">
        <v>367</v>
      </c>
      <c r="C3120" t="s">
        <v>3994</v>
      </c>
    </row>
    <row r="3121" spans="1:3" x14ac:dyDescent="0.35">
      <c r="A3121">
        <v>54053</v>
      </c>
      <c r="B3121" t="s">
        <v>2241</v>
      </c>
      <c r="C3121" t="s">
        <v>3994</v>
      </c>
    </row>
    <row r="3122" spans="1:3" x14ac:dyDescent="0.35">
      <c r="A3122">
        <v>54055</v>
      </c>
      <c r="B3122" t="s">
        <v>2745</v>
      </c>
      <c r="C3122" t="s">
        <v>3994</v>
      </c>
    </row>
    <row r="3123" spans="1:3" x14ac:dyDescent="0.35">
      <c r="A3123">
        <v>54057</v>
      </c>
      <c r="B3123" t="s">
        <v>2803</v>
      </c>
      <c r="C3123" t="s">
        <v>3994</v>
      </c>
    </row>
    <row r="3124" spans="1:3" x14ac:dyDescent="0.35">
      <c r="A3124">
        <v>54059</v>
      </c>
      <c r="B3124" t="s">
        <v>2804</v>
      </c>
      <c r="C3124" t="s">
        <v>3994</v>
      </c>
    </row>
    <row r="3125" spans="1:3" x14ac:dyDescent="0.35">
      <c r="A3125">
        <v>54061</v>
      </c>
      <c r="B3125" t="s">
        <v>2805</v>
      </c>
      <c r="C3125" t="s">
        <v>3994</v>
      </c>
    </row>
    <row r="3126" spans="1:3" x14ac:dyDescent="0.35">
      <c r="A3126">
        <v>54063</v>
      </c>
      <c r="B3126" t="s">
        <v>369</v>
      </c>
      <c r="C3126" t="s">
        <v>3994</v>
      </c>
    </row>
    <row r="3127" spans="1:3" x14ac:dyDescent="0.35">
      <c r="A3127">
        <v>54065</v>
      </c>
      <c r="B3127" t="s">
        <v>263</v>
      </c>
      <c r="C3127" t="s">
        <v>3994</v>
      </c>
    </row>
    <row r="3128" spans="1:3" x14ac:dyDescent="0.35">
      <c r="A3128">
        <v>54067</v>
      </c>
      <c r="B3128" t="s">
        <v>2806</v>
      </c>
      <c r="C3128" t="s">
        <v>3994</v>
      </c>
    </row>
    <row r="3129" spans="1:3" x14ac:dyDescent="0.35">
      <c r="A3129">
        <v>54069</v>
      </c>
      <c r="B3129" t="s">
        <v>2807</v>
      </c>
      <c r="C3129" t="s">
        <v>3994</v>
      </c>
    </row>
    <row r="3130" spans="1:3" x14ac:dyDescent="0.35">
      <c r="A3130">
        <v>54071</v>
      </c>
      <c r="B3130" t="s">
        <v>2808</v>
      </c>
      <c r="C3130" t="s">
        <v>3994</v>
      </c>
    </row>
    <row r="3131" spans="1:3" x14ac:dyDescent="0.35">
      <c r="A3131">
        <v>54073</v>
      </c>
      <c r="B3131" t="s">
        <v>2809</v>
      </c>
      <c r="C3131" t="s">
        <v>3994</v>
      </c>
    </row>
    <row r="3132" spans="1:3" x14ac:dyDescent="0.35">
      <c r="A3132">
        <v>54075</v>
      </c>
      <c r="B3132" t="s">
        <v>2810</v>
      </c>
      <c r="C3132" t="s">
        <v>3994</v>
      </c>
    </row>
    <row r="3133" spans="1:3" x14ac:dyDescent="0.35">
      <c r="A3133">
        <v>54077</v>
      </c>
      <c r="B3133" t="s">
        <v>2811</v>
      </c>
      <c r="C3133" t="s">
        <v>3994</v>
      </c>
    </row>
    <row r="3134" spans="1:3" x14ac:dyDescent="0.35">
      <c r="A3134">
        <v>54079</v>
      </c>
      <c r="B3134" t="s">
        <v>729</v>
      </c>
      <c r="C3134" t="s">
        <v>3994</v>
      </c>
    </row>
    <row r="3135" spans="1:3" x14ac:dyDescent="0.35">
      <c r="A3135">
        <v>54081</v>
      </c>
      <c r="B3135" t="s">
        <v>2812</v>
      </c>
      <c r="C3135" t="s">
        <v>3994</v>
      </c>
    </row>
    <row r="3136" spans="1:3" x14ac:dyDescent="0.35">
      <c r="A3136">
        <v>54083</v>
      </c>
      <c r="B3136" t="s">
        <v>377</v>
      </c>
      <c r="C3136" t="s">
        <v>3994</v>
      </c>
    </row>
    <row r="3137" spans="1:3" x14ac:dyDescent="0.35">
      <c r="A3137">
        <v>54085</v>
      </c>
      <c r="B3137" t="s">
        <v>2813</v>
      </c>
      <c r="C3137" t="s">
        <v>3994</v>
      </c>
    </row>
    <row r="3138" spans="1:3" x14ac:dyDescent="0.35">
      <c r="A3138">
        <v>54087</v>
      </c>
      <c r="B3138" t="s">
        <v>1825</v>
      </c>
      <c r="C3138" t="s">
        <v>3994</v>
      </c>
    </row>
    <row r="3139" spans="1:3" x14ac:dyDescent="0.35">
      <c r="A3139">
        <v>54089</v>
      </c>
      <c r="B3139" t="s">
        <v>2814</v>
      </c>
      <c r="C3139" t="s">
        <v>3994</v>
      </c>
    </row>
    <row r="3140" spans="1:3" x14ac:dyDescent="0.35">
      <c r="A3140">
        <v>54091</v>
      </c>
      <c r="B3140" t="s">
        <v>760</v>
      </c>
      <c r="C3140" t="s">
        <v>3994</v>
      </c>
    </row>
    <row r="3141" spans="1:3" x14ac:dyDescent="0.35">
      <c r="A3141">
        <v>54093</v>
      </c>
      <c r="B3141" t="s">
        <v>2815</v>
      </c>
      <c r="C3141" t="s">
        <v>3994</v>
      </c>
    </row>
    <row r="3142" spans="1:3" x14ac:dyDescent="0.35">
      <c r="A3142">
        <v>54095</v>
      </c>
      <c r="B3142" t="s">
        <v>2059</v>
      </c>
      <c r="C3142" t="s">
        <v>3994</v>
      </c>
    </row>
    <row r="3143" spans="1:3" x14ac:dyDescent="0.35">
      <c r="A3143">
        <v>54097</v>
      </c>
      <c r="B3143" t="s">
        <v>2161</v>
      </c>
      <c r="C3143" t="s">
        <v>3994</v>
      </c>
    </row>
    <row r="3144" spans="1:3" x14ac:dyDescent="0.35">
      <c r="A3144">
        <v>54099</v>
      </c>
      <c r="B3144" t="s">
        <v>894</v>
      </c>
      <c r="C3144" t="s">
        <v>3994</v>
      </c>
    </row>
    <row r="3145" spans="1:3" x14ac:dyDescent="0.35">
      <c r="A3145">
        <v>54101</v>
      </c>
      <c r="B3145" t="s">
        <v>924</v>
      </c>
      <c r="C3145" t="s">
        <v>3994</v>
      </c>
    </row>
    <row r="3146" spans="1:3" x14ac:dyDescent="0.35">
      <c r="A3146">
        <v>54103</v>
      </c>
      <c r="B3146" t="s">
        <v>2816</v>
      </c>
      <c r="C3146" t="s">
        <v>3994</v>
      </c>
    </row>
    <row r="3147" spans="1:3" x14ac:dyDescent="0.35">
      <c r="A3147">
        <v>54105</v>
      </c>
      <c r="B3147" t="s">
        <v>2817</v>
      </c>
      <c r="C3147" t="s">
        <v>3994</v>
      </c>
    </row>
    <row r="3148" spans="1:3" x14ac:dyDescent="0.35">
      <c r="A3148">
        <v>54107</v>
      </c>
      <c r="B3148" t="s">
        <v>2337</v>
      </c>
      <c r="C3148" t="s">
        <v>3994</v>
      </c>
    </row>
    <row r="3149" spans="1:3" x14ac:dyDescent="0.35">
      <c r="A3149">
        <v>54109</v>
      </c>
      <c r="B3149" t="s">
        <v>2818</v>
      </c>
      <c r="C3149" t="s">
        <v>3994</v>
      </c>
    </row>
    <row r="3150" spans="1:3" x14ac:dyDescent="0.35">
      <c r="A3150">
        <v>55001</v>
      </c>
      <c r="B3150" t="s">
        <v>1255</v>
      </c>
      <c r="C3150" t="s">
        <v>3995</v>
      </c>
    </row>
    <row r="3151" spans="1:3" x14ac:dyDescent="0.35">
      <c r="A3151">
        <v>55003</v>
      </c>
      <c r="B3151" t="s">
        <v>3616</v>
      </c>
      <c r="C3151" t="s">
        <v>3995</v>
      </c>
    </row>
    <row r="3152" spans="1:3" x14ac:dyDescent="0.35">
      <c r="A3152">
        <v>55005</v>
      </c>
      <c r="B3152" t="s">
        <v>3996</v>
      </c>
      <c r="C3152" t="s">
        <v>3995</v>
      </c>
    </row>
    <row r="3153" spans="1:3" x14ac:dyDescent="0.35">
      <c r="A3153">
        <v>55007</v>
      </c>
      <c r="B3153" t="s">
        <v>3997</v>
      </c>
      <c r="C3153" t="s">
        <v>3995</v>
      </c>
    </row>
    <row r="3154" spans="1:3" x14ac:dyDescent="0.35">
      <c r="A3154">
        <v>55009</v>
      </c>
      <c r="B3154" t="s">
        <v>1939</v>
      </c>
      <c r="C3154" t="s">
        <v>3995</v>
      </c>
    </row>
    <row r="3155" spans="1:3" x14ac:dyDescent="0.35">
      <c r="A3155">
        <v>55011</v>
      </c>
      <c r="B3155" t="s">
        <v>3455</v>
      </c>
      <c r="C3155" t="s">
        <v>3995</v>
      </c>
    </row>
    <row r="3156" spans="1:3" x14ac:dyDescent="0.35">
      <c r="A3156">
        <v>55013</v>
      </c>
      <c r="B3156" t="s">
        <v>3998</v>
      </c>
      <c r="C3156" t="s">
        <v>3995</v>
      </c>
    </row>
    <row r="3157" spans="1:3" x14ac:dyDescent="0.35">
      <c r="A3157">
        <v>55015</v>
      </c>
      <c r="B3157" t="s">
        <v>3999</v>
      </c>
      <c r="C3157" t="s">
        <v>3995</v>
      </c>
    </row>
    <row r="3158" spans="1:3" x14ac:dyDescent="0.35">
      <c r="A3158">
        <v>55017</v>
      </c>
      <c r="B3158" t="s">
        <v>3303</v>
      </c>
      <c r="C3158" t="s">
        <v>3995</v>
      </c>
    </row>
    <row r="3159" spans="1:3" x14ac:dyDescent="0.35">
      <c r="A3159">
        <v>55019</v>
      </c>
      <c r="B3159" t="s">
        <v>469</v>
      </c>
      <c r="C3159" t="s">
        <v>3995</v>
      </c>
    </row>
    <row r="3160" spans="1:3" x14ac:dyDescent="0.35">
      <c r="A3160">
        <v>55021</v>
      </c>
      <c r="B3160" t="s">
        <v>508</v>
      </c>
      <c r="C3160" t="s">
        <v>3995</v>
      </c>
    </row>
    <row r="3161" spans="1:3" x14ac:dyDescent="0.35">
      <c r="A3161">
        <v>55023</v>
      </c>
      <c r="B3161" t="s">
        <v>526</v>
      </c>
      <c r="C3161" t="s">
        <v>3995</v>
      </c>
    </row>
    <row r="3162" spans="1:3" x14ac:dyDescent="0.35">
      <c r="A3162">
        <v>55025</v>
      </c>
      <c r="B3162" t="s">
        <v>4000</v>
      </c>
      <c r="C3162" t="s">
        <v>3995</v>
      </c>
    </row>
    <row r="3163" spans="1:3" x14ac:dyDescent="0.35">
      <c r="A3163">
        <v>55027</v>
      </c>
      <c r="B3163" t="s">
        <v>978</v>
      </c>
      <c r="C3163" t="s">
        <v>3995</v>
      </c>
    </row>
    <row r="3164" spans="1:3" x14ac:dyDescent="0.35">
      <c r="A3164">
        <v>55029</v>
      </c>
      <c r="B3164" t="s">
        <v>4001</v>
      </c>
      <c r="C3164" t="s">
        <v>3995</v>
      </c>
    </row>
    <row r="3165" spans="1:3" x14ac:dyDescent="0.35">
      <c r="A3165">
        <v>55031</v>
      </c>
      <c r="B3165" t="s">
        <v>828</v>
      </c>
      <c r="C3165" t="s">
        <v>3995</v>
      </c>
    </row>
    <row r="3166" spans="1:3" x14ac:dyDescent="0.35">
      <c r="A3166">
        <v>55033</v>
      </c>
      <c r="B3166" t="s">
        <v>3589</v>
      </c>
      <c r="C3166" t="s">
        <v>3995</v>
      </c>
    </row>
    <row r="3167" spans="1:3" x14ac:dyDescent="0.35">
      <c r="A3167">
        <v>55035</v>
      </c>
      <c r="B3167" t="s">
        <v>4002</v>
      </c>
      <c r="C3167" t="s">
        <v>3995</v>
      </c>
    </row>
    <row r="3168" spans="1:3" x14ac:dyDescent="0.35">
      <c r="A3168">
        <v>55037</v>
      </c>
      <c r="B3168" t="s">
        <v>1722</v>
      </c>
      <c r="C3168" t="s">
        <v>3995</v>
      </c>
    </row>
    <row r="3169" spans="1:3" x14ac:dyDescent="0.35">
      <c r="A3169">
        <v>55039</v>
      </c>
      <c r="B3169" t="s">
        <v>4003</v>
      </c>
      <c r="C3169" t="s">
        <v>3995</v>
      </c>
    </row>
    <row r="3170" spans="1:3" x14ac:dyDescent="0.35">
      <c r="A3170">
        <v>55041</v>
      </c>
      <c r="B3170" t="s">
        <v>3717</v>
      </c>
      <c r="C3170" t="s">
        <v>3995</v>
      </c>
    </row>
    <row r="3171" spans="1:3" x14ac:dyDescent="0.35">
      <c r="A3171">
        <v>55043</v>
      </c>
      <c r="B3171" t="s">
        <v>413</v>
      </c>
      <c r="C3171" t="s">
        <v>3995</v>
      </c>
    </row>
    <row r="3172" spans="1:3" x14ac:dyDescent="0.35">
      <c r="A3172">
        <v>55045</v>
      </c>
      <c r="B3172" t="s">
        <v>3224</v>
      </c>
      <c r="C3172" t="s">
        <v>3995</v>
      </c>
    </row>
    <row r="3173" spans="1:3" x14ac:dyDescent="0.35">
      <c r="A3173">
        <v>55047</v>
      </c>
      <c r="B3173" t="s">
        <v>4004</v>
      </c>
      <c r="C3173" t="s">
        <v>3995</v>
      </c>
    </row>
    <row r="3174" spans="1:3" x14ac:dyDescent="0.35">
      <c r="A3174">
        <v>55049</v>
      </c>
      <c r="B3174" t="s">
        <v>3129</v>
      </c>
      <c r="C3174" t="s">
        <v>3995</v>
      </c>
    </row>
    <row r="3175" spans="1:3" x14ac:dyDescent="0.35">
      <c r="A3175">
        <v>55051</v>
      </c>
      <c r="B3175" t="s">
        <v>2739</v>
      </c>
      <c r="C3175" t="s">
        <v>3995</v>
      </c>
    </row>
    <row r="3176" spans="1:3" x14ac:dyDescent="0.35">
      <c r="A3176">
        <v>55053</v>
      </c>
      <c r="B3176" t="s">
        <v>357</v>
      </c>
      <c r="C3176" t="s">
        <v>3995</v>
      </c>
    </row>
    <row r="3177" spans="1:3" x14ac:dyDescent="0.35">
      <c r="A3177">
        <v>55055</v>
      </c>
      <c r="B3177" t="s">
        <v>247</v>
      </c>
      <c r="C3177" t="s">
        <v>3995</v>
      </c>
    </row>
    <row r="3178" spans="1:3" x14ac:dyDescent="0.35">
      <c r="A3178">
        <v>55057</v>
      </c>
      <c r="B3178" t="s">
        <v>4005</v>
      </c>
      <c r="C3178" t="s">
        <v>3995</v>
      </c>
    </row>
    <row r="3179" spans="1:3" x14ac:dyDescent="0.35">
      <c r="A3179">
        <v>55059</v>
      </c>
      <c r="B3179" t="s">
        <v>4006</v>
      </c>
      <c r="C3179" t="s">
        <v>3995</v>
      </c>
    </row>
    <row r="3180" spans="1:3" x14ac:dyDescent="0.35">
      <c r="A3180">
        <v>55061</v>
      </c>
      <c r="B3180" t="s">
        <v>4007</v>
      </c>
      <c r="C3180" t="s">
        <v>3995</v>
      </c>
    </row>
    <row r="3181" spans="1:3" x14ac:dyDescent="0.35">
      <c r="A3181">
        <v>55063</v>
      </c>
      <c r="B3181" t="s">
        <v>4008</v>
      </c>
      <c r="C3181" t="s">
        <v>3995</v>
      </c>
    </row>
    <row r="3182" spans="1:3" x14ac:dyDescent="0.35">
      <c r="A3182">
        <v>55065</v>
      </c>
      <c r="B3182" t="s">
        <v>504</v>
      </c>
      <c r="C3182" t="s">
        <v>3995</v>
      </c>
    </row>
    <row r="3183" spans="1:3" x14ac:dyDescent="0.35">
      <c r="A3183">
        <v>55067</v>
      </c>
      <c r="B3183" t="s">
        <v>4009</v>
      </c>
      <c r="C3183" t="s">
        <v>3995</v>
      </c>
    </row>
    <row r="3184" spans="1:3" x14ac:dyDescent="0.35">
      <c r="A3184">
        <v>55069</v>
      </c>
      <c r="B3184" t="s">
        <v>494</v>
      </c>
      <c r="C3184" t="s">
        <v>3995</v>
      </c>
    </row>
    <row r="3185" spans="1:3" x14ac:dyDescent="0.35">
      <c r="A3185">
        <v>55071</v>
      </c>
      <c r="B3185" t="s">
        <v>4010</v>
      </c>
      <c r="C3185" t="s">
        <v>3995</v>
      </c>
    </row>
    <row r="3186" spans="1:3" x14ac:dyDescent="0.35">
      <c r="A3186">
        <v>55073</v>
      </c>
      <c r="B3186" t="s">
        <v>4011</v>
      </c>
      <c r="C3186" t="s">
        <v>3995</v>
      </c>
    </row>
    <row r="3187" spans="1:3" x14ac:dyDescent="0.35">
      <c r="A3187">
        <v>55075</v>
      </c>
      <c r="B3187" t="s">
        <v>4012</v>
      </c>
      <c r="C3187" t="s">
        <v>3995</v>
      </c>
    </row>
    <row r="3188" spans="1:3" x14ac:dyDescent="0.35">
      <c r="A3188">
        <v>55077</v>
      </c>
      <c r="B3188" t="s">
        <v>3328</v>
      </c>
      <c r="C3188" t="s">
        <v>3995</v>
      </c>
    </row>
    <row r="3189" spans="1:3" x14ac:dyDescent="0.35">
      <c r="A3189">
        <v>55078</v>
      </c>
      <c r="B3189" t="s">
        <v>3330</v>
      </c>
      <c r="C3189" t="s">
        <v>3995</v>
      </c>
    </row>
    <row r="3190" spans="1:3" x14ac:dyDescent="0.35">
      <c r="A3190">
        <v>55079</v>
      </c>
      <c r="B3190" t="s">
        <v>4013</v>
      </c>
      <c r="C3190" t="s">
        <v>3995</v>
      </c>
    </row>
    <row r="3191" spans="1:3" x14ac:dyDescent="0.35">
      <c r="A3191">
        <v>55081</v>
      </c>
      <c r="B3191" t="s">
        <v>369</v>
      </c>
      <c r="C3191" t="s">
        <v>3995</v>
      </c>
    </row>
    <row r="3192" spans="1:3" x14ac:dyDescent="0.35">
      <c r="A3192">
        <v>55083</v>
      </c>
      <c r="B3192" t="s">
        <v>4014</v>
      </c>
      <c r="C3192" t="s">
        <v>3995</v>
      </c>
    </row>
    <row r="3193" spans="1:3" x14ac:dyDescent="0.35">
      <c r="A3193">
        <v>55085</v>
      </c>
      <c r="B3193" t="s">
        <v>3037</v>
      </c>
      <c r="C3193" t="s">
        <v>3995</v>
      </c>
    </row>
    <row r="3194" spans="1:3" x14ac:dyDescent="0.35">
      <c r="A3194">
        <v>55087</v>
      </c>
      <c r="B3194" t="s">
        <v>4015</v>
      </c>
      <c r="C3194" t="s">
        <v>3995</v>
      </c>
    </row>
    <row r="3195" spans="1:3" x14ac:dyDescent="0.35">
      <c r="A3195">
        <v>55089</v>
      </c>
      <c r="B3195" t="s">
        <v>4016</v>
      </c>
      <c r="C3195" t="s">
        <v>3995</v>
      </c>
    </row>
    <row r="3196" spans="1:3" x14ac:dyDescent="0.35">
      <c r="A3196">
        <v>55091</v>
      </c>
      <c r="B3196" t="s">
        <v>4017</v>
      </c>
      <c r="C3196" t="s">
        <v>3995</v>
      </c>
    </row>
    <row r="3197" spans="1:3" x14ac:dyDescent="0.35">
      <c r="A3197">
        <v>55093</v>
      </c>
      <c r="B3197" t="s">
        <v>890</v>
      </c>
      <c r="C3197" t="s">
        <v>3995</v>
      </c>
    </row>
    <row r="3198" spans="1:3" x14ac:dyDescent="0.35">
      <c r="A3198">
        <v>55095</v>
      </c>
      <c r="B3198" t="s">
        <v>530</v>
      </c>
      <c r="C3198" t="s">
        <v>3995</v>
      </c>
    </row>
    <row r="3199" spans="1:3" x14ac:dyDescent="0.35">
      <c r="A3199">
        <v>55097</v>
      </c>
      <c r="B3199" t="s">
        <v>3638</v>
      </c>
      <c r="C3199" t="s">
        <v>3995</v>
      </c>
    </row>
    <row r="3200" spans="1:3" x14ac:dyDescent="0.35">
      <c r="A3200">
        <v>55099</v>
      </c>
      <c r="B3200" t="s">
        <v>4018</v>
      </c>
      <c r="C3200" t="s">
        <v>3995</v>
      </c>
    </row>
    <row r="3201" spans="1:3" x14ac:dyDescent="0.35">
      <c r="A3201">
        <v>55101</v>
      </c>
      <c r="B3201" t="s">
        <v>4019</v>
      </c>
      <c r="C3201" t="s">
        <v>3995</v>
      </c>
    </row>
    <row r="3202" spans="1:3" x14ac:dyDescent="0.35">
      <c r="A3202">
        <v>55103</v>
      </c>
      <c r="B3202" t="s">
        <v>1773</v>
      </c>
      <c r="C3202" t="s">
        <v>3995</v>
      </c>
    </row>
    <row r="3203" spans="1:3" x14ac:dyDescent="0.35">
      <c r="A3203">
        <v>55105</v>
      </c>
      <c r="B3203" t="s">
        <v>3397</v>
      </c>
      <c r="C3203" t="s">
        <v>3995</v>
      </c>
    </row>
    <row r="3204" spans="1:3" x14ac:dyDescent="0.35">
      <c r="A3204">
        <v>55107</v>
      </c>
      <c r="B3204" t="s">
        <v>2159</v>
      </c>
      <c r="C3204" t="s">
        <v>3995</v>
      </c>
    </row>
    <row r="3205" spans="1:3" x14ac:dyDescent="0.35">
      <c r="A3205">
        <v>55109</v>
      </c>
      <c r="B3205" t="s">
        <v>4020</v>
      </c>
      <c r="C3205" t="s">
        <v>3995</v>
      </c>
    </row>
    <row r="3206" spans="1:3" x14ac:dyDescent="0.35">
      <c r="A3206">
        <v>55111</v>
      </c>
      <c r="B3206" t="s">
        <v>4021</v>
      </c>
      <c r="C3206" t="s">
        <v>3995</v>
      </c>
    </row>
    <row r="3207" spans="1:3" x14ac:dyDescent="0.35">
      <c r="A3207">
        <v>55113</v>
      </c>
      <c r="B3207" t="s">
        <v>4022</v>
      </c>
      <c r="C3207" t="s">
        <v>3995</v>
      </c>
    </row>
    <row r="3208" spans="1:3" x14ac:dyDescent="0.35">
      <c r="A3208">
        <v>55115</v>
      </c>
      <c r="B3208" t="s">
        <v>4023</v>
      </c>
      <c r="C3208" t="s">
        <v>3995</v>
      </c>
    </row>
    <row r="3209" spans="1:3" x14ac:dyDescent="0.35">
      <c r="A3209">
        <v>55117</v>
      </c>
      <c r="B3209" t="s">
        <v>4024</v>
      </c>
      <c r="C3209" t="s">
        <v>3995</v>
      </c>
    </row>
    <row r="3210" spans="1:3" x14ac:dyDescent="0.35">
      <c r="A3210">
        <v>55119</v>
      </c>
      <c r="B3210" t="s">
        <v>760</v>
      </c>
      <c r="C3210" t="s">
        <v>3995</v>
      </c>
    </row>
    <row r="3211" spans="1:3" x14ac:dyDescent="0.35">
      <c r="A3211">
        <v>55121</v>
      </c>
      <c r="B3211" t="s">
        <v>4025</v>
      </c>
      <c r="C3211" t="s">
        <v>3995</v>
      </c>
    </row>
    <row r="3212" spans="1:3" x14ac:dyDescent="0.35">
      <c r="A3212">
        <v>55123</v>
      </c>
      <c r="B3212" t="s">
        <v>2769</v>
      </c>
      <c r="C3212" t="s">
        <v>3995</v>
      </c>
    </row>
    <row r="3213" spans="1:3" x14ac:dyDescent="0.35">
      <c r="A3213">
        <v>55125</v>
      </c>
      <c r="B3213" t="s">
        <v>4026</v>
      </c>
      <c r="C3213" t="s">
        <v>3995</v>
      </c>
    </row>
    <row r="3214" spans="1:3" x14ac:dyDescent="0.35">
      <c r="A3214">
        <v>55127</v>
      </c>
      <c r="B3214" t="s">
        <v>3856</v>
      </c>
      <c r="C3214" t="s">
        <v>3995</v>
      </c>
    </row>
    <row r="3215" spans="1:3" x14ac:dyDescent="0.35">
      <c r="A3215">
        <v>55129</v>
      </c>
      <c r="B3215" t="s">
        <v>4027</v>
      </c>
      <c r="C3215" t="s">
        <v>3995</v>
      </c>
    </row>
    <row r="3216" spans="1:3" x14ac:dyDescent="0.35">
      <c r="A3216">
        <v>55131</v>
      </c>
      <c r="B3216" t="s">
        <v>385</v>
      </c>
      <c r="C3216" t="s">
        <v>3995</v>
      </c>
    </row>
    <row r="3217" spans="1:3" x14ac:dyDescent="0.35">
      <c r="A3217">
        <v>55133</v>
      </c>
      <c r="B3217" t="s">
        <v>4028</v>
      </c>
      <c r="C3217" t="s">
        <v>3995</v>
      </c>
    </row>
    <row r="3218" spans="1:3" x14ac:dyDescent="0.35">
      <c r="A3218">
        <v>55135</v>
      </c>
      <c r="B3218" t="s">
        <v>4029</v>
      </c>
      <c r="C3218" t="s">
        <v>3995</v>
      </c>
    </row>
    <row r="3219" spans="1:3" x14ac:dyDescent="0.35">
      <c r="A3219">
        <v>55137</v>
      </c>
      <c r="B3219" t="s">
        <v>4030</v>
      </c>
      <c r="C3219" t="s">
        <v>3995</v>
      </c>
    </row>
    <row r="3220" spans="1:3" x14ac:dyDescent="0.35">
      <c r="A3220">
        <v>55139</v>
      </c>
      <c r="B3220" t="s">
        <v>3078</v>
      </c>
      <c r="C3220" t="s">
        <v>3995</v>
      </c>
    </row>
    <row r="3221" spans="1:3" x14ac:dyDescent="0.35">
      <c r="A3221">
        <v>55141</v>
      </c>
      <c r="B3221" t="s">
        <v>2337</v>
      </c>
      <c r="C3221" t="s">
        <v>3995</v>
      </c>
    </row>
    <row r="3222" spans="1:3" x14ac:dyDescent="0.35">
      <c r="A3222">
        <v>56001</v>
      </c>
      <c r="B3222" t="s">
        <v>3546</v>
      </c>
      <c r="C3222" t="s">
        <v>4031</v>
      </c>
    </row>
    <row r="3223" spans="1:3" x14ac:dyDescent="0.35">
      <c r="A3223">
        <v>56003</v>
      </c>
      <c r="B3223" t="s">
        <v>3417</v>
      </c>
      <c r="C3223" t="s">
        <v>4031</v>
      </c>
    </row>
    <row r="3224" spans="1:3" x14ac:dyDescent="0.35">
      <c r="A3224">
        <v>56005</v>
      </c>
      <c r="B3224" t="s">
        <v>1809</v>
      </c>
      <c r="C3224" t="s">
        <v>4031</v>
      </c>
    </row>
    <row r="3225" spans="1:3" x14ac:dyDescent="0.35">
      <c r="A3225">
        <v>56007</v>
      </c>
      <c r="B3225" t="s">
        <v>2774</v>
      </c>
      <c r="C3225" t="s">
        <v>4031</v>
      </c>
    </row>
    <row r="3226" spans="1:3" x14ac:dyDescent="0.35">
      <c r="A3226">
        <v>56009</v>
      </c>
      <c r="B3226" t="s">
        <v>4032</v>
      </c>
      <c r="C3226" t="s">
        <v>4031</v>
      </c>
    </row>
    <row r="3227" spans="1:3" x14ac:dyDescent="0.35">
      <c r="A3227">
        <v>56011</v>
      </c>
      <c r="B3227" t="s">
        <v>3693</v>
      </c>
      <c r="C3227" t="s">
        <v>4031</v>
      </c>
    </row>
    <row r="3228" spans="1:3" x14ac:dyDescent="0.35">
      <c r="A3228">
        <v>56013</v>
      </c>
      <c r="B3228" t="s">
        <v>2959</v>
      </c>
      <c r="C3228" t="s">
        <v>4031</v>
      </c>
    </row>
    <row r="3229" spans="1:3" x14ac:dyDescent="0.35">
      <c r="A3229">
        <v>56015</v>
      </c>
      <c r="B3229" t="s">
        <v>4033</v>
      </c>
      <c r="C3229" t="s">
        <v>4031</v>
      </c>
    </row>
    <row r="3230" spans="1:3" x14ac:dyDescent="0.35">
      <c r="A3230">
        <v>56017</v>
      </c>
      <c r="B3230" t="s">
        <v>4034</v>
      </c>
      <c r="C3230" t="s">
        <v>4031</v>
      </c>
    </row>
    <row r="3231" spans="1:3" x14ac:dyDescent="0.35">
      <c r="A3231">
        <v>56019</v>
      </c>
      <c r="B3231" t="s">
        <v>535</v>
      </c>
      <c r="C3231" t="s">
        <v>4031</v>
      </c>
    </row>
    <row r="3232" spans="1:3" x14ac:dyDescent="0.35">
      <c r="A3232">
        <v>56021</v>
      </c>
      <c r="B3232" t="s">
        <v>4035</v>
      </c>
      <c r="C3232" t="s">
        <v>4031</v>
      </c>
    </row>
    <row r="3233" spans="1:3" x14ac:dyDescent="0.35">
      <c r="A3233">
        <v>56023</v>
      </c>
      <c r="B3233" t="s">
        <v>494</v>
      </c>
      <c r="C3233" t="s">
        <v>4031</v>
      </c>
    </row>
    <row r="3234" spans="1:3" x14ac:dyDescent="0.35">
      <c r="A3234">
        <v>56025</v>
      </c>
      <c r="B3234" t="s">
        <v>4036</v>
      </c>
      <c r="C3234" t="s">
        <v>4031</v>
      </c>
    </row>
    <row r="3235" spans="1:3" x14ac:dyDescent="0.35">
      <c r="A3235">
        <v>56027</v>
      </c>
      <c r="B3235" t="s">
        <v>4037</v>
      </c>
      <c r="C3235" t="s">
        <v>4031</v>
      </c>
    </row>
    <row r="3236" spans="1:3" x14ac:dyDescent="0.35">
      <c r="A3236">
        <v>56029</v>
      </c>
      <c r="B3236" t="s">
        <v>2975</v>
      </c>
      <c r="C3236" t="s">
        <v>4031</v>
      </c>
    </row>
    <row r="3237" spans="1:3" x14ac:dyDescent="0.35">
      <c r="A3237">
        <v>56031</v>
      </c>
      <c r="B3237" t="s">
        <v>2755</v>
      </c>
      <c r="C3237" t="s">
        <v>4031</v>
      </c>
    </row>
    <row r="3238" spans="1:3" x14ac:dyDescent="0.35">
      <c r="A3238">
        <v>56033</v>
      </c>
      <c r="B3238" t="s">
        <v>3196</v>
      </c>
      <c r="C3238" t="s">
        <v>4031</v>
      </c>
    </row>
    <row r="3239" spans="1:3" x14ac:dyDescent="0.35">
      <c r="A3239">
        <v>56035</v>
      </c>
      <c r="B3239" t="s">
        <v>4038</v>
      </c>
      <c r="C3239" t="s">
        <v>4031</v>
      </c>
    </row>
    <row r="3240" spans="1:3" x14ac:dyDescent="0.35">
      <c r="A3240">
        <v>56037</v>
      </c>
      <c r="B3240" t="s">
        <v>4039</v>
      </c>
      <c r="C3240" t="s">
        <v>4031</v>
      </c>
    </row>
    <row r="3241" spans="1:3" x14ac:dyDescent="0.35">
      <c r="A3241">
        <v>56039</v>
      </c>
      <c r="B3241" t="s">
        <v>3042</v>
      </c>
      <c r="C3241" t="s">
        <v>4031</v>
      </c>
    </row>
    <row r="3242" spans="1:3" x14ac:dyDescent="0.35">
      <c r="A3242">
        <v>56041</v>
      </c>
      <c r="B3242" t="s">
        <v>4040</v>
      </c>
      <c r="C3242" t="s">
        <v>4031</v>
      </c>
    </row>
    <row r="3243" spans="1:3" x14ac:dyDescent="0.35">
      <c r="A3243">
        <v>56043</v>
      </c>
      <c r="B3243" t="s">
        <v>4041</v>
      </c>
      <c r="C3243" t="s">
        <v>4031</v>
      </c>
    </row>
    <row r="3244" spans="1:3" x14ac:dyDescent="0.35">
      <c r="A3244">
        <v>56045</v>
      </c>
      <c r="B3244" t="s">
        <v>4042</v>
      </c>
      <c r="C3244" t="s">
        <v>4031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3006FC-E1BE-4658-AEC2-FC14817810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HIX</vt:lpstr>
      <vt:lpstr>HIX National</vt:lpstr>
      <vt:lpstr>FIPS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Packer</dc:creator>
  <cp:lastModifiedBy>Raymond Packer</cp:lastModifiedBy>
  <dcterms:created xsi:type="dcterms:W3CDTF">2023-01-04T14:35:35Z</dcterms:created>
  <dcterms:modified xsi:type="dcterms:W3CDTF">2024-10-25T16:47:58Z</dcterms:modified>
</cp:coreProperties>
</file>