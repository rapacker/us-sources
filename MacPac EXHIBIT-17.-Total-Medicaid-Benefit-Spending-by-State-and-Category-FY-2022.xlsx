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Owner\Documents\Just Saying That\Consulting\GCO\Program Sources\Medicaid and CHIP\"/>
    </mc:Choice>
  </mc:AlternateContent>
  <xr:revisionPtr revIDLastSave="0" documentId="13_ncr:1_{48EC8493-D217-4F73-8D5C-E6C6E5B0B8A6}" xr6:coauthVersionLast="47" xr6:coauthVersionMax="47" xr10:uidLastSave="{00000000-0000-0000-0000-000000000000}"/>
  <bookViews>
    <workbookView xWindow="540" yWindow="70" windowWidth="17250" windowHeight="10060" xr2:uid="{1D0028FE-D9B5-433E-B0F5-D6E8CF218EA6}"/>
  </bookViews>
  <sheets>
    <sheet name="Exhibit 17" sheetId="1" r:id="rId1"/>
  </sheets>
  <externalReferences>
    <externalReference r:id="rId2"/>
    <externalReference r:id="rId3"/>
  </externalReferences>
  <definedNames>
    <definedName name="cms" localSheetId="0">#REF!</definedName>
    <definedName name="cms">#REF!</definedName>
    <definedName name="FD" localSheetId="0">#REF!</definedName>
    <definedName name="FD">#REF!</definedName>
    <definedName name="FD_1" localSheetId="0">#REF!</definedName>
    <definedName name="FD_1">#REF!</definedName>
    <definedName name="_xlnm.Print_Area" localSheetId="0">'Exhibit 17'!$A$1:$N$79</definedName>
    <definedName name="_xlnm.Print_Titles" localSheetId="0">'Exhibit 17'!$3:$4</definedName>
    <definedName name="Status" localSheetId="0">#REF!</definedName>
    <definedName name="Status">#REF!</definedName>
    <definedName name="TitleRegion1.a2.f60.1" localSheetId="0">'[1]Comprehensive MCO penetration'!#REF!</definedName>
    <definedName name="TitleRegion1.a2.f60.1">'[1]Comprehensive MCO penetration'!#REF!</definedName>
    <definedName name="TitleRegion1.a2.g842.1">[1]!Table4[[#Headers],[State]]</definedName>
    <definedName name="TitleRegion1.A5.N62.1" localSheetId="0">#REF!</definedName>
    <definedName name="TitleRegion1.A5.N62.1">#REF!</definedName>
    <definedName name="TitleRegion57.A7.G229.57">'[2]MAP - National Totals'!#REF!</definedName>
    <definedName name="updatedGeo" localSheetId="0">#REF!</definedName>
    <definedName name="updatedGeo">#REF!</definedName>
  </definedNames>
  <calcPr calcId="191029"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3" i="1" l="1"/>
  <c r="Q63" i="1"/>
  <c r="O63" i="1"/>
  <c r="O62" i="1"/>
  <c r="Q62" i="1" s="1"/>
  <c r="O6" i="1"/>
  <c r="Q6" i="1" s="1"/>
  <c r="P6" i="1"/>
  <c r="O7" i="1"/>
  <c r="P7" i="1"/>
  <c r="Q7" i="1"/>
  <c r="O8" i="1"/>
  <c r="P8" i="1"/>
  <c r="Q8" i="1"/>
  <c r="O9" i="1"/>
  <c r="Q9" i="1" s="1"/>
  <c r="P9" i="1"/>
  <c r="O10" i="1"/>
  <c r="Q10" i="1" s="1"/>
  <c r="P10" i="1"/>
  <c r="O11" i="1"/>
  <c r="P11" i="1"/>
  <c r="Q11" i="1"/>
  <c r="O12" i="1"/>
  <c r="P12" i="1"/>
  <c r="Q12" i="1"/>
  <c r="O13" i="1"/>
  <c r="P13" i="1"/>
  <c r="Q13" i="1"/>
  <c r="O14" i="1"/>
  <c r="Q14" i="1" s="1"/>
  <c r="P14" i="1"/>
  <c r="O15" i="1"/>
  <c r="P15" i="1"/>
  <c r="Q15" i="1"/>
  <c r="O16" i="1"/>
  <c r="P16" i="1"/>
  <c r="Q16" i="1"/>
  <c r="O17" i="1"/>
  <c r="P17" i="1"/>
  <c r="Q17" i="1"/>
  <c r="O18" i="1"/>
  <c r="Q18" i="1" s="1"/>
  <c r="P18" i="1"/>
  <c r="O19" i="1"/>
  <c r="P19" i="1"/>
  <c r="Q19" i="1"/>
  <c r="O20" i="1"/>
  <c r="P20" i="1"/>
  <c r="Q20" i="1"/>
  <c r="O21" i="1"/>
  <c r="P21" i="1"/>
  <c r="Q21" i="1"/>
  <c r="O22" i="1"/>
  <c r="Q22" i="1" s="1"/>
  <c r="P22" i="1"/>
  <c r="O23" i="1"/>
  <c r="P23" i="1"/>
  <c r="Q23" i="1"/>
  <c r="O24" i="1"/>
  <c r="P24" i="1"/>
  <c r="Q24" i="1"/>
  <c r="O25" i="1"/>
  <c r="P25" i="1"/>
  <c r="Q25" i="1"/>
  <c r="O26" i="1"/>
  <c r="Q26" i="1" s="1"/>
  <c r="P26" i="1"/>
  <c r="O27" i="1"/>
  <c r="P27" i="1"/>
  <c r="Q27" i="1"/>
  <c r="O28" i="1"/>
  <c r="P28" i="1"/>
  <c r="Q28" i="1"/>
  <c r="O29" i="1"/>
  <c r="P29" i="1"/>
  <c r="Q29" i="1"/>
  <c r="O30" i="1"/>
  <c r="Q30" i="1" s="1"/>
  <c r="P30" i="1"/>
  <c r="O31" i="1"/>
  <c r="P31" i="1"/>
  <c r="Q31" i="1"/>
  <c r="O32" i="1"/>
  <c r="P32" i="1"/>
  <c r="Q32" i="1"/>
  <c r="O33" i="1"/>
  <c r="P33" i="1"/>
  <c r="Q33" i="1"/>
  <c r="O34" i="1"/>
  <c r="Q34" i="1" s="1"/>
  <c r="P34" i="1"/>
  <c r="O35" i="1"/>
  <c r="P35" i="1"/>
  <c r="Q35" i="1"/>
  <c r="O36" i="1"/>
  <c r="P36" i="1"/>
  <c r="Q36" i="1"/>
  <c r="O37" i="1"/>
  <c r="P37" i="1"/>
  <c r="Q37" i="1"/>
  <c r="O38" i="1"/>
  <c r="Q38" i="1" s="1"/>
  <c r="P38" i="1"/>
  <c r="O39" i="1"/>
  <c r="P39" i="1"/>
  <c r="Q39" i="1"/>
  <c r="O40" i="1"/>
  <c r="P40" i="1"/>
  <c r="Q40" i="1"/>
  <c r="O41" i="1"/>
  <c r="P41" i="1"/>
  <c r="Q41" i="1"/>
  <c r="O42" i="1"/>
  <c r="Q42" i="1" s="1"/>
  <c r="P42" i="1"/>
  <c r="O43" i="1"/>
  <c r="P43" i="1"/>
  <c r="Q43" i="1"/>
  <c r="O44" i="1"/>
  <c r="P44" i="1"/>
  <c r="Q44" i="1"/>
  <c r="O45" i="1"/>
  <c r="P45" i="1"/>
  <c r="Q45" i="1"/>
  <c r="O46" i="1"/>
  <c r="Q46" i="1" s="1"/>
  <c r="P46" i="1"/>
  <c r="O47" i="1"/>
  <c r="P47" i="1"/>
  <c r="Q47" i="1"/>
  <c r="O48" i="1"/>
  <c r="P48" i="1"/>
  <c r="Q48" i="1"/>
  <c r="O49" i="1"/>
  <c r="P49" i="1"/>
  <c r="Q49" i="1"/>
  <c r="O50" i="1"/>
  <c r="Q50" i="1" s="1"/>
  <c r="P50" i="1"/>
  <c r="O51" i="1"/>
  <c r="P51" i="1"/>
  <c r="Q51" i="1"/>
  <c r="O52" i="1"/>
  <c r="P52" i="1"/>
  <c r="Q52" i="1"/>
  <c r="O53" i="1"/>
  <c r="P53" i="1"/>
  <c r="Q53" i="1"/>
  <c r="O54" i="1"/>
  <c r="Q54" i="1" s="1"/>
  <c r="P54" i="1"/>
  <c r="O55" i="1"/>
  <c r="P55" i="1"/>
  <c r="Q55" i="1"/>
  <c r="O56" i="1"/>
  <c r="P56" i="1"/>
  <c r="Q56" i="1"/>
  <c r="O57" i="1"/>
  <c r="P57" i="1"/>
  <c r="Q57" i="1"/>
  <c r="O58" i="1"/>
  <c r="Q58" i="1" s="1"/>
  <c r="P58" i="1"/>
  <c r="O59" i="1"/>
  <c r="P59" i="1"/>
  <c r="Q59" i="1"/>
  <c r="O60" i="1"/>
  <c r="P60" i="1"/>
  <c r="Q60" i="1"/>
  <c r="O61" i="1"/>
  <c r="P61" i="1"/>
  <c r="Q61" i="1"/>
  <c r="P62" i="1"/>
  <c r="Q5" i="1"/>
  <c r="P5" i="1"/>
  <c r="O5" i="1"/>
</calcChain>
</file>

<file path=xl/sharedStrings.xml><?xml version="1.0" encoding="utf-8"?>
<sst xmlns="http://schemas.openxmlformats.org/spreadsheetml/2006/main" count="95" uniqueCount="94">
  <si>
    <t xml:space="preserve">• Institutional LTSS includes nursing facility, intermediate care facility for individuals with intellectual disabilities, and mental health facility. </t>
  </si>
  <si>
    <t xml:space="preserve">• Drugs (including OUD MAT drugs) are net of rebates. </t>
  </si>
  <si>
    <t xml:space="preserve">• Clinic and health center includes non-hospital outpatient clinic, rural health clinic, federally qualified health center (FQHC), and freestanding birth center. </t>
  </si>
  <si>
    <t>• Physician includes physician and surgical services.</t>
  </si>
  <si>
    <t>Additional detail on categories:</t>
  </si>
  <si>
    <t>—</t>
  </si>
  <si>
    <t>Percent of total, exclusive of collections</t>
  </si>
  <si>
    <t>Total</t>
  </si>
  <si>
    <t>Virgin Islands</t>
  </si>
  <si>
    <t>Puerto Rico</t>
  </si>
  <si>
    <t>N. Mariana Islands</t>
  </si>
  <si>
    <t>Guam</t>
  </si>
  <si>
    <t>American Samoa</t>
  </si>
  <si>
    <t>Subtotal</t>
  </si>
  <si>
    <t>Wyoming</t>
  </si>
  <si>
    <t>Wisconsin</t>
  </si>
  <si>
    <t>West Virginia</t>
  </si>
  <si>
    <t>Washington</t>
  </si>
  <si>
    <t>Utah</t>
  </si>
  <si>
    <t>Texas</t>
  </si>
  <si>
    <t>Tennessee</t>
  </si>
  <si>
    <t>South Dakota</t>
  </si>
  <si>
    <t>South Carolina</t>
  </si>
  <si>
    <t>Rhode Island</t>
  </si>
  <si>
    <t>Pennsylvania</t>
  </si>
  <si>
    <t>Oregon</t>
  </si>
  <si>
    <t>Oklahoma</t>
  </si>
  <si>
    <t>Ohio</t>
  </si>
  <si>
    <t>North Dakota</t>
  </si>
  <si>
    <t>North Carolina</t>
  </si>
  <si>
    <t>New Mexico</t>
  </si>
  <si>
    <t>New Jersey</t>
  </si>
  <si>
    <t>Nevada</t>
  </si>
  <si>
    <t>Montana</t>
  </si>
  <si>
    <t>Missouri</t>
  </si>
  <si>
    <t>Mississippi</t>
  </si>
  <si>
    <t>Michigan</t>
  </si>
  <si>
    <t>Massachusetts</t>
  </si>
  <si>
    <t>Maryland</t>
  </si>
  <si>
    <t>Maine</t>
  </si>
  <si>
    <t>Louisiana</t>
  </si>
  <si>
    <t>Kentucky</t>
  </si>
  <si>
    <t>Indiana</t>
  </si>
  <si>
    <t>Illinois</t>
  </si>
  <si>
    <t>Idaho</t>
  </si>
  <si>
    <t>Hawaii</t>
  </si>
  <si>
    <t>Georgia</t>
  </si>
  <si>
    <t>Florida</t>
  </si>
  <si>
    <t>District of Columbia</t>
  </si>
  <si>
    <t>Arkansas</t>
  </si>
  <si>
    <t>Arizona</t>
  </si>
  <si>
    <t>Alaska</t>
  </si>
  <si>
    <t>Alabama</t>
  </si>
  <si>
    <t>Institutional LTSS</t>
  </si>
  <si>
    <t>Drugs</t>
  </si>
  <si>
    <t>Other acute</t>
  </si>
  <si>
    <t>Clinic and health center</t>
  </si>
  <si>
    <t>Other practitioner</t>
  </si>
  <si>
    <t>Dental</t>
  </si>
  <si>
    <t>Physician</t>
  </si>
  <si>
    <t>Hospital</t>
  </si>
  <si>
    <t>Collections</t>
  </si>
  <si>
    <t>Medicare premiums and coinsurance</t>
  </si>
  <si>
    <t>Managed care and premium assistance</t>
  </si>
  <si>
    <t>Total spending on benefits</t>
  </si>
  <si>
    <r>
      <rPr>
        <vertAlign val="superscript"/>
        <sz val="9"/>
        <color rgb="FF40434B"/>
        <rFont val="Arial"/>
        <family val="2"/>
      </rPr>
      <t>1</t>
    </r>
    <r>
      <rPr>
        <sz val="9"/>
        <color rgb="FF40434B"/>
        <rFont val="Arial"/>
        <family val="2"/>
      </rPr>
      <t xml:space="preserve"> All states had certified their CMS-64 Financial Management Report (FMR) submissions as of May 30, 2023. Figures presented in this exhibit may change if states revise their expenditure data after this date.</t>
    </r>
  </si>
  <si>
    <r>
      <rPr>
        <vertAlign val="superscript"/>
        <sz val="9"/>
        <color rgb="FF40434B"/>
        <rFont val="Arial"/>
        <family val="2"/>
      </rPr>
      <t>3</t>
    </r>
    <r>
      <rPr>
        <sz val="9"/>
        <color rgb="FF40434B"/>
        <rFont val="Arial"/>
        <family val="2"/>
      </rPr>
      <t xml:space="preserve"> State reports negative fee-for-service (FFS) drug spending after the application of drug rebates. The negative net amount may reflect prior period adjustments, a difference in the timing of payments and rebates after a shift of some FFS drug spending into Medicaid managed care, or the state not separately reporting the FFS and managed care drug rebates. Vermont shows negative drug spending because it reports most of its benefit spending under other care services in its CMS-64 submission.</t>
    </r>
  </si>
  <si>
    <r>
      <rPr>
        <b/>
        <sz val="10"/>
        <color rgb="FF003461"/>
        <rFont val="Arial"/>
        <family val="2"/>
      </rPr>
      <t>EXHIBIT 17.</t>
    </r>
    <r>
      <rPr>
        <sz val="10"/>
        <color rgb="FF003461"/>
        <rFont val="Arial"/>
        <family val="2"/>
      </rPr>
      <t xml:space="preserve"> Total Medicaid Benefit Spending by State and Category, FY 2022 (millions)</t>
    </r>
  </si>
  <si>
    <r>
      <t>State</t>
    </r>
    <r>
      <rPr>
        <b/>
        <vertAlign val="superscript"/>
        <sz val="10"/>
        <color rgb="FFFFFFFF"/>
        <rFont val="Arial"/>
        <family val="2"/>
      </rPr>
      <t>1</t>
    </r>
  </si>
  <si>
    <r>
      <t>California</t>
    </r>
    <r>
      <rPr>
        <vertAlign val="superscript"/>
        <sz val="10"/>
        <color rgb="FF003461"/>
        <rFont val="Arial"/>
        <family val="2"/>
      </rPr>
      <t>2</t>
    </r>
  </si>
  <si>
    <r>
      <t>Delaware</t>
    </r>
    <r>
      <rPr>
        <vertAlign val="superscript"/>
        <sz val="10"/>
        <color rgb="FF003461"/>
        <rFont val="Arial"/>
        <family val="2"/>
      </rPr>
      <t>3</t>
    </r>
  </si>
  <si>
    <r>
      <t>Iowa</t>
    </r>
    <r>
      <rPr>
        <vertAlign val="superscript"/>
        <sz val="10"/>
        <color rgb="FF003461"/>
        <rFont val="Arial"/>
        <family val="2"/>
      </rPr>
      <t>3</t>
    </r>
  </si>
  <si>
    <r>
      <t>Kansas</t>
    </r>
    <r>
      <rPr>
        <vertAlign val="superscript"/>
        <sz val="10"/>
        <color rgb="FF003461"/>
        <rFont val="Arial"/>
        <family val="2"/>
      </rPr>
      <t>3</t>
    </r>
  </si>
  <si>
    <r>
      <t>Minnesota</t>
    </r>
    <r>
      <rPr>
        <vertAlign val="superscript"/>
        <sz val="10"/>
        <color rgb="FF003461"/>
        <rFont val="Arial"/>
        <family val="2"/>
      </rPr>
      <t>3</t>
    </r>
  </si>
  <si>
    <r>
      <t>Nebraska</t>
    </r>
    <r>
      <rPr>
        <vertAlign val="superscript"/>
        <sz val="10"/>
        <color rgb="FF003461"/>
        <rFont val="Arial"/>
        <family val="2"/>
      </rPr>
      <t>3</t>
    </r>
  </si>
  <si>
    <r>
      <t>New Hampshire</t>
    </r>
    <r>
      <rPr>
        <vertAlign val="superscript"/>
        <sz val="10"/>
        <color rgb="FF003461"/>
        <rFont val="Arial"/>
        <family val="2"/>
      </rPr>
      <t>3</t>
    </r>
  </si>
  <si>
    <r>
      <t>New York</t>
    </r>
    <r>
      <rPr>
        <vertAlign val="superscript"/>
        <sz val="10"/>
        <color rgb="FF003461"/>
        <rFont val="Arial"/>
        <family val="2"/>
      </rPr>
      <t>3</t>
    </r>
  </si>
  <si>
    <r>
      <t>Vermont</t>
    </r>
    <r>
      <rPr>
        <vertAlign val="superscript"/>
        <sz val="10"/>
        <color rgb="FF003461"/>
        <rFont val="Arial"/>
        <family val="2"/>
      </rPr>
      <t>3</t>
    </r>
  </si>
  <si>
    <r>
      <t>Virginia</t>
    </r>
    <r>
      <rPr>
        <vertAlign val="superscript"/>
        <sz val="10"/>
        <color rgb="FF003461"/>
        <rFont val="Arial"/>
        <family val="2"/>
      </rPr>
      <t>3</t>
    </r>
  </si>
  <si>
    <r>
      <rPr>
        <b/>
        <sz val="9"/>
        <color rgb="FF40434B"/>
        <rFont val="Arial"/>
        <family val="2"/>
      </rPr>
      <t>Notes:</t>
    </r>
    <r>
      <rPr>
        <sz val="9"/>
        <color rgb="FF40434B"/>
        <rFont val="Arial"/>
        <family val="2"/>
      </rPr>
      <t xml:space="preserve"> FY is fiscal year. LTSS is long-term services and supports. Includes federal and state funds. Service category definitions and spending amounts shown here may differ from other CMS data sources, such as the Transformed Medicaid Statistical Information System (T-MSIS). The specific services included in each category have changed over time and therefore may not be directly comparable to earlier editions of MACStats. Collections include third-party liability, estate, and other recoveries.</t>
    </r>
  </si>
  <si>
    <r>
      <rPr>
        <b/>
        <sz val="9"/>
        <color rgb="FF40434B"/>
        <rFont val="Arial"/>
        <family val="2"/>
      </rPr>
      <t>Source:</t>
    </r>
    <r>
      <rPr>
        <sz val="9"/>
        <color rgb="FF40434B"/>
        <rFont val="Arial"/>
        <family val="2"/>
      </rPr>
      <t xml:space="preserve"> MACPAC, 2023, analysis of CMS-64 FMR net expenditure data as of May 30, 2023.</t>
    </r>
  </si>
  <si>
    <t>Home- and community-based LTSS</t>
  </si>
  <si>
    <t xml:space="preserve">• Hospital includes inpatient, outpatient, critical access hospital, and emergency hospital services as well as related disproportionate share hospital payments. </t>
  </si>
  <si>
    <t>• Managed care and premium assistance includes comprehensive and limited-benefit managed care plans, primary care case management, employer-sponsored premium assistance programs, and Programs of All-Inclusive Care for the Elderly. Comprehensive plans account for more than 90 percent of spending in the managed care category. Managed care also includes rebates for drugs (including OUD MAT drugs) provided by managed care plans and managed care payments associated with the Community First Choice option, USPSTF grade A or B preventive services, ACIP vaccines, certified community behavioral health clinic, and services subject to electronic visit verification requirements.</t>
  </si>
  <si>
    <t>Fee for service</t>
  </si>
  <si>
    <t>– Dash indicates zero; $0 or -$0 indicates an amount between $0.5 and -$0.5 million that rounds to zero.</t>
  </si>
  <si>
    <t>• Home- and community-based LTSS includes home health, waiver and state plan services, personal care, and certified community behavioral health clinic.</t>
  </si>
  <si>
    <t>• Other acute includes lab or X-ray; sterilizations; abortions; early and periodic screening, diagnostic, and treatment (EPSDT) screenings; emergency services for unauthorized aliens; non-emergency transportation; physical, occupational, speech, and hearing therapy; prosthetics, dentures, and eyeglasses; U.S. Preventive Services Task Force (USPSTF) grade A or B preventive services and Advisory Committee on Immunization Practices (ACIP) vaccines; other diagnostic screening and preventive services; school-based services; health home with chronic conditions; tobacco cessation for pregnant women; private duty nursing; case management (excluding primary care case management); rehabilitative services; hospice; health home with substance use disorder; opioid use disorder (OUD) medication assisted treatment (MAT) services; COVID-19 vaccine and administration; and other care not otherwise categorized.</t>
  </si>
  <si>
    <t>Connecticut</t>
  </si>
  <si>
    <r>
      <t>Colorado</t>
    </r>
    <r>
      <rPr>
        <vertAlign val="superscript"/>
        <sz val="10"/>
        <color rgb="FF003461"/>
        <rFont val="Arial"/>
        <family val="2"/>
      </rPr>
      <t>2</t>
    </r>
  </si>
  <si>
    <r>
      <rPr>
        <vertAlign val="superscript"/>
        <sz val="9"/>
        <color rgb="FF40434B"/>
        <rFont val="Arial"/>
        <family val="2"/>
      </rPr>
      <t>2</t>
    </r>
    <r>
      <rPr>
        <sz val="9"/>
        <color rgb="FF40434B"/>
        <rFont val="Arial"/>
        <family val="2"/>
      </rPr>
      <t xml:space="preserve"> State or territory reports negative spending in a category due to prior period adjustments. California and Colorado report negative spending for other practitioners.</t>
    </r>
  </si>
  <si>
    <t>Fee for Service Less LTC</t>
  </si>
  <si>
    <t>Managed Care</t>
  </si>
  <si>
    <t>Total Fee for Service and Managed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</si>
</sst>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quot;$&quot;#,##0"/>
    <numFmt numFmtId="166" formatCode="&quot;$&quot;#,##0;\-&quot;$&quot;#,##0;&quot;–&quot;;@"/>
    <numFmt numFmtId="167" formatCode="#,##0;\-#,##0;&quot;–&quot;;@"/>
  </numFmts>
  <fonts count="19">
    <font>
      <sz val="11"/>
      <color theme="1"/>
      <name val="Calibri"/>
      <family val="2"/>
      <scheme val="minor"/>
    </font>
    <font>
      <sz val="10"/>
      <color theme="1"/>
      <name val="Roboto Regular"/>
      <family val="2"/>
    </font>
    <font>
      <sz val="9"/>
      <color theme="1"/>
      <name val="Roboto Regular"/>
    </font>
    <font>
      <sz val="10"/>
      <color theme="1"/>
      <name val="Roboto Bold"/>
    </font>
    <font>
      <sz val="10"/>
      <color rgb="FFFFFFFF"/>
      <name val="Roboto Bold"/>
    </font>
    <font>
      <sz val="10"/>
      <color rgb="FF003461"/>
      <name val="Arial"/>
      <family val="2"/>
    </font>
    <font>
      <sz val="10"/>
      <color theme="1"/>
      <name val="Arial"/>
      <family val="2"/>
    </font>
    <font>
      <sz val="10"/>
      <color rgb="FF404040"/>
      <name val="Arial"/>
      <family val="2"/>
    </font>
    <font>
      <sz val="10"/>
      <color rgb="FF40434B"/>
      <name val="Arial"/>
      <family val="2"/>
    </font>
    <font>
      <sz val="9"/>
      <color rgb="FF40434B"/>
      <name val="Arial"/>
      <family val="2"/>
    </font>
    <font>
      <vertAlign val="superscript"/>
      <sz val="9"/>
      <color rgb="FF40434B"/>
      <name val="Arial"/>
      <family val="2"/>
    </font>
    <font>
      <b/>
      <sz val="10"/>
      <color rgb="FF003461"/>
      <name val="Arial"/>
      <family val="2"/>
    </font>
    <font>
      <b/>
      <sz val="10"/>
      <color rgb="FFFFFFFF"/>
      <name val="Arial"/>
      <family val="2"/>
    </font>
    <font>
      <b/>
      <vertAlign val="superscript"/>
      <sz val="10"/>
      <color rgb="FFFFFFFF"/>
      <name val="Arial"/>
      <family val="2"/>
    </font>
    <font>
      <vertAlign val="superscript"/>
      <sz val="10"/>
      <color rgb="FF003461"/>
      <name val="Arial"/>
      <family val="2"/>
    </font>
    <font>
      <b/>
      <sz val="10"/>
      <color rgb="FF40434B"/>
      <name val="Arial"/>
      <family val="2"/>
    </font>
    <font>
      <b/>
      <sz val="9"/>
      <color rgb="FF40434B"/>
      <name val="Arial"/>
      <family val="2"/>
    </font>
    <font>
      <b/>
      <sz val="10"/>
      <name val="Arial"/>
      <family val="2"/>
    </font>
    <font>
      <sz val="10"/>
      <name val="Arial"/>
      <family val="2"/>
    </font>
  </fonts>
  <fills count="7">
    <fill>
      <patternFill patternType="none"/>
    </fill>
    <fill>
      <patternFill patternType="gray125"/>
    </fill>
    <fill>
      <patternFill patternType="solid">
        <fgColor rgb="FFFFFFFF"/>
      </patternFill>
    </fill>
    <fill>
      <patternFill patternType="solid">
        <fgColor rgb="FFCBD0D2"/>
      </patternFill>
    </fill>
    <fill>
      <patternFill patternType="solid">
        <fgColor rgb="FFECECED"/>
      </patternFill>
    </fill>
    <fill>
      <patternFill patternType="solid">
        <fgColor rgb="FF40434B"/>
      </patternFill>
    </fill>
    <fill>
      <patternFill patternType="solid">
        <fgColor rgb="FF008170"/>
        <bgColor indexed="64"/>
      </patternFill>
    </fill>
  </fills>
  <borders count="6">
    <border>
      <left/>
      <right/>
      <top/>
      <bottom/>
      <diagonal/>
    </border>
    <border>
      <left style="thin">
        <color rgb="FFCBD0D2"/>
      </left>
      <right style="thin">
        <color rgb="FFCBD0D2"/>
      </right>
      <top style="thin">
        <color rgb="FFCBD0D2"/>
      </top>
      <bottom style="thin">
        <color rgb="FFCBD0D2"/>
      </bottom>
      <diagonal/>
    </border>
    <border>
      <left style="thin">
        <color rgb="FFCBD0D2"/>
      </left>
      <right style="thin">
        <color rgb="FFCBD0D2"/>
      </right>
      <top/>
      <bottom style="thin">
        <color rgb="FFCBD0D2"/>
      </bottom>
      <diagonal/>
    </border>
    <border>
      <left style="thin">
        <color rgb="FFCBD0D2"/>
      </left>
      <right style="thin">
        <color rgb="FFCBD0D2"/>
      </right>
      <top style="thin">
        <color rgb="FFCBD0D2"/>
      </top>
      <bottom/>
      <diagonal/>
    </border>
    <border>
      <left style="thin">
        <color indexed="64"/>
      </left>
      <right style="thin">
        <color indexed="64"/>
      </right>
      <top style="thin">
        <color indexed="64"/>
      </top>
      <bottom style="thin">
        <color indexed="64"/>
      </bottom>
      <diagonal/>
    </border>
    <border>
      <left style="thin">
        <color rgb="FFCBD0D2"/>
      </left>
      <right/>
      <top style="thin">
        <color rgb="FFCBD0D2"/>
      </top>
      <bottom style="thin">
        <color rgb="FFCBD0D2"/>
      </bottom>
      <diagonal/>
    </border>
  </borders>
  <cellStyleXfs count="10">
    <xf numFmtId="0" fontId="0" fillId="0" borderId="0"/>
    <xf numFmtId="0" fontId="1" fillId="0" borderId="0"/>
    <xf numFmtId="0" fontId="2" fillId="0" borderId="0">
      <alignment wrapText="1"/>
    </xf>
    <xf numFmtId="0" fontId="3" fillId="2" borderId="1">
      <alignment wrapText="1"/>
    </xf>
    <xf numFmtId="0" fontId="3" fillId="3" borderId="1">
      <alignment wrapText="1"/>
    </xf>
    <xf numFmtId="0" fontId="1" fillId="0" borderId="1">
      <alignment wrapText="1"/>
    </xf>
    <xf numFmtId="0" fontId="1" fillId="4" borderId="1">
      <alignment wrapText="1"/>
    </xf>
    <xf numFmtId="0" fontId="4" fillId="5" borderId="1">
      <alignment horizontal="center" wrapText="1"/>
    </xf>
    <xf numFmtId="0" fontId="4" fillId="6" borderId="1">
      <alignment horizontal="center" wrapText="1"/>
    </xf>
    <xf numFmtId="0" fontId="3" fillId="0" borderId="0">
      <alignment wrapText="1"/>
    </xf>
  </cellStyleXfs>
  <cellXfs count="34">
    <xf numFmtId="0" fontId="0" fillId="0" borderId="0" xfId="0"/>
    <xf numFmtId="0" fontId="6" fillId="0" borderId="0" xfId="1" applyFont="1"/>
    <xf numFmtId="0" fontId="7" fillId="0" borderId="0" xfId="1" applyFont="1" applyAlignment="1">
      <alignment horizontal="left"/>
    </xf>
    <xf numFmtId="165" fontId="6" fillId="2" borderId="0" xfId="3" applyNumberFormat="1" applyFont="1" applyBorder="1">
      <alignment wrapText="1"/>
    </xf>
    <xf numFmtId="167" fontId="8" fillId="4" borderId="1" xfId="6" applyNumberFormat="1" applyFont="1">
      <alignment wrapText="1"/>
    </xf>
    <xf numFmtId="167" fontId="8" fillId="0" borderId="1" xfId="5" applyNumberFormat="1" applyFont="1">
      <alignment wrapText="1"/>
    </xf>
    <xf numFmtId="0" fontId="8" fillId="0" borderId="0" xfId="1" applyFont="1"/>
    <xf numFmtId="0" fontId="6" fillId="0" borderId="0" xfId="1" applyFont="1" applyAlignment="1">
      <alignment vertical="top"/>
    </xf>
    <xf numFmtId="0" fontId="12" fillId="6" borderId="1" xfId="8" applyFont="1">
      <alignment horizontal="center" wrapText="1"/>
    </xf>
    <xf numFmtId="0" fontId="5" fillId="0" borderId="1" xfId="5" applyFont="1">
      <alignment wrapText="1"/>
    </xf>
    <xf numFmtId="0" fontId="5" fillId="4" borderId="1" xfId="6" applyFont="1">
      <alignment wrapText="1"/>
    </xf>
    <xf numFmtId="166" fontId="11" fillId="3" borderId="1" xfId="4" applyNumberFormat="1" applyFont="1">
      <alignment wrapText="1"/>
    </xf>
    <xf numFmtId="166" fontId="15" fillId="3" borderId="1" xfId="4" applyNumberFormat="1" applyFont="1">
      <alignment wrapText="1"/>
    </xf>
    <xf numFmtId="0" fontId="11" fillId="2" borderId="1" xfId="3" applyFont="1">
      <alignment wrapText="1"/>
    </xf>
    <xf numFmtId="0" fontId="15" fillId="2" borderId="1" xfId="3" applyFont="1" applyAlignment="1">
      <alignment horizontal="right" wrapText="1"/>
    </xf>
    <xf numFmtId="164" fontId="15" fillId="2" borderId="1" xfId="3" applyNumberFormat="1" applyFont="1">
      <alignment wrapText="1"/>
    </xf>
    <xf numFmtId="167" fontId="15" fillId="4" borderId="1" xfId="6" applyNumberFormat="1" applyFont="1">
      <alignment wrapText="1"/>
    </xf>
    <xf numFmtId="167" fontId="15" fillId="0" borderId="1" xfId="5" applyNumberFormat="1" applyFont="1">
      <alignment wrapText="1"/>
    </xf>
    <xf numFmtId="166" fontId="17" fillId="0" borderId="1" xfId="5" applyNumberFormat="1" applyFont="1">
      <alignment wrapText="1"/>
    </xf>
    <xf numFmtId="166" fontId="18" fillId="0" borderId="1" xfId="5" applyNumberFormat="1" applyFont="1">
      <alignment wrapText="1"/>
    </xf>
    <xf numFmtId="167" fontId="17" fillId="4" borderId="1" xfId="6" applyNumberFormat="1" applyFont="1">
      <alignment wrapText="1"/>
    </xf>
    <xf numFmtId="167" fontId="18" fillId="4" borderId="1" xfId="6" applyNumberFormat="1" applyFont="1">
      <alignment wrapText="1"/>
    </xf>
    <xf numFmtId="167" fontId="17" fillId="0" borderId="1" xfId="5" applyNumberFormat="1" applyFont="1">
      <alignment wrapText="1"/>
    </xf>
    <xf numFmtId="167" fontId="18" fillId="0" borderId="1" xfId="5" applyNumberFormat="1" applyFont="1">
      <alignment wrapText="1"/>
    </xf>
    <xf numFmtId="166" fontId="17" fillId="3" borderId="1" xfId="4" applyNumberFormat="1" applyFont="1">
      <alignment wrapText="1"/>
    </xf>
    <xf numFmtId="0" fontId="9" fillId="0" borderId="0" xfId="2" applyFont="1">
      <alignment wrapText="1"/>
    </xf>
    <xf numFmtId="0" fontId="5" fillId="0" borderId="0" xfId="9" applyFont="1">
      <alignment wrapText="1"/>
    </xf>
    <xf numFmtId="0" fontId="12" fillId="5" borderId="3" xfId="7" applyFont="1" applyBorder="1" applyAlignment="1">
      <alignment horizontal="left" wrapText="1"/>
    </xf>
    <xf numFmtId="0" fontId="12" fillId="5" borderId="2" xfId="7" applyFont="1" applyBorder="1" applyAlignment="1">
      <alignment horizontal="left" wrapText="1"/>
    </xf>
    <xf numFmtId="0" fontId="12" fillId="5" borderId="1" xfId="7" applyFont="1">
      <alignment horizontal="center" wrapText="1"/>
    </xf>
    <xf numFmtId="166" fontId="6" fillId="0" borderId="0" xfId="1" applyNumberFormat="1" applyFont="1"/>
    <xf numFmtId="0" fontId="12" fillId="5" borderId="5" xfId="7" applyFont="1" applyBorder="1">
      <alignment horizontal="center" wrapText="1"/>
    </xf>
    <xf numFmtId="0" fontId="6" fillId="0" borderId="4" xfId="1" applyFont="1" applyBorder="1" applyAlignment="1">
      <alignment horizontal="center" vertical="center" wrapText="1"/>
    </xf>
    <xf numFmtId="164" fontId="6" fillId="0" borderId="0" xfId="1" applyNumberFormat="1" applyFont="1"/>
  </cellXfs>
  <cellStyles count="10">
    <cellStyle name="Normal" xfId="0" builtinId="0"/>
    <cellStyle name="Normal 2 2 4" xfId="1" xr:uid="{14D5C4A5-D2A7-4F55-B807-FF18552BC844}"/>
    <cellStyle name="Table header 1 2" xfId="8" xr:uid="{B01F7926-92E5-4920-8C7B-3853A587FB3D}"/>
    <cellStyle name="Table header 2 2" xfId="7" xr:uid="{A058D4A4-914A-4801-A3AC-D6D56A6927B7}"/>
    <cellStyle name="Table note source line 2" xfId="2" xr:uid="{0508F5E6-BDDC-468C-AA73-88C9798E043F}"/>
    <cellStyle name="Table text bold dark fill 2" xfId="4" xr:uid="{3550E3E1-8046-4504-A20F-B4500B21C041}"/>
    <cellStyle name="Table text bold white fill 2" xfId="3" xr:uid="{CB536A5E-BC42-4451-8B27-9E13B24E41D7}"/>
    <cellStyle name="Table text light fill 2" xfId="6" xr:uid="{7CFB398E-E4D7-43AB-AAB4-06141D3996B7}"/>
    <cellStyle name="Table text white fill 2 2 2" xfId="5" xr:uid="{B1EE69C6-ED58-476C-9D93-08351B6B09CA}"/>
    <cellStyle name="Table title 2" xfId="9" xr:uid="{EAB55480-938F-445F-8C06-104FB5DEFD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pril.grady/Box%20Sync/April%20Grady/MACPAC%20etc/MACPAC%20products/MACStats%202015%20forward/MACStats%202015/park/2013%20managed%20care%20enrollment%20-%2020151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adeline.britvec/AppData/Local/Box/Box%20Edit/Documents/CFh5bJMILESG3JKmbjnJFQ==/EX%2016%2017%2030%20FY%2016%2020170523%20M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dicaid managed care (values)"/>
      <sheetName val="calc"/>
      <sheetName val="undup"/>
      <sheetName val="Enrollment by program (all)"/>
      <sheetName val="Comprehensive MCO penetration"/>
      <sheetName val="pivot"/>
      <sheetName val="Enrollment by program and plan"/>
      <sheetName val="crosswalk"/>
      <sheetName val="2013 managed care enrollment - "/>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g Sheet"/>
      <sheetName val="Tab Guide"/>
      <sheetName val="EX16-WebTable-McaidSpend"/>
      <sheetName val="other expenditures"/>
      <sheetName val="benefit and admin sum"/>
      <sheetName val="admin pivot"/>
      <sheetName val="Expenditure Chart"/>
      <sheetName val="EX17-Web Table-McaidSpendCats"/>
      <sheetName val="benefit pivot"/>
      <sheetName val="benefit sum by major cat"/>
      <sheetName val="EX30-McaidAdminSpend"/>
      <sheetName val="Ex. 30admin pivot"/>
      <sheetName val="format benefit data"/>
      <sheetName val="format admin data"/>
      <sheetName val="crosswalk"/>
      <sheetName val="MAP - Alabama"/>
      <sheetName val="MAP - Alaska"/>
      <sheetName val="MAP - Amer. Samoa"/>
      <sheetName val="MAP - Arizona"/>
      <sheetName val="MAP - Arkansas"/>
      <sheetName val="MAP - California"/>
      <sheetName val="MAP - Colorado"/>
      <sheetName val="MAP - Connecticut"/>
      <sheetName val="MAP - Delaware"/>
      <sheetName val="MAP - Dist. Of Col."/>
      <sheetName val="MAP - Florida"/>
      <sheetName val="MAP - Georgia"/>
      <sheetName val="MAP - Guam"/>
      <sheetName val="MAP - Hawaii"/>
      <sheetName val="MAP - Idaho"/>
      <sheetName val="MAP - Illinois"/>
      <sheetName val="MAP - Indiana"/>
      <sheetName val="MAP - Iowa"/>
      <sheetName val="MAP - Kansas"/>
      <sheetName val="MAP - Kentucky"/>
      <sheetName val="MAP - Louisiana"/>
      <sheetName val="MAP - Maine"/>
      <sheetName val="MAP - Maryland"/>
      <sheetName val="MAP - Massachusetts"/>
      <sheetName val="MAP - Michigan"/>
      <sheetName val="MAP - Minnesota"/>
      <sheetName val="MAP - Mississippi"/>
      <sheetName val="MAP - Missouri"/>
      <sheetName val="MAP - Montana"/>
      <sheetName val="MAP - N. Mariana Islands"/>
      <sheetName val="MAP - Nebraska"/>
      <sheetName val="MAP - Nevada"/>
      <sheetName val="MAP - New Hampshire"/>
      <sheetName val="MAP - New Jersey"/>
      <sheetName val="MAP - New Mexico"/>
      <sheetName val="MAP - New York"/>
      <sheetName val="MAP - North Carolina"/>
      <sheetName val="MAP - North Dakota"/>
      <sheetName val="MAP - Ohio"/>
      <sheetName val="MAP - Oklahoma"/>
      <sheetName val="MAP - Oregon"/>
      <sheetName val="MAP - Pennsylvania"/>
      <sheetName val="MAP - Puerto Rico"/>
      <sheetName val="MAP - Rhode Island"/>
      <sheetName val="MAP - South Carolina"/>
      <sheetName val="MAP - South Dakota"/>
      <sheetName val="MAP - Tennessee"/>
      <sheetName val="MAP - Texas"/>
      <sheetName val="MAP - Utah"/>
      <sheetName val="MAP - Vermont"/>
      <sheetName val="MAP - Virgin Islands"/>
      <sheetName val="MAP - Virginia"/>
      <sheetName val="MAP - Washington"/>
      <sheetName val="MAP - West Virginia"/>
      <sheetName val="MAP - Wisconsin"/>
      <sheetName val="MAP - Wyoming"/>
      <sheetName val="MAP - National Totals"/>
      <sheetName val="ADM - Alabama"/>
      <sheetName val="ADM - Alaska"/>
      <sheetName val="ADM - Amer. Samoa"/>
      <sheetName val="ADM - Arizona"/>
      <sheetName val="ADM - Arkansas"/>
      <sheetName val="ADM - California"/>
      <sheetName val="ADM - Colorado"/>
      <sheetName val="ADM - Connecticut"/>
      <sheetName val="ADM - Delaware"/>
      <sheetName val="ADM - Dist. Of Col."/>
      <sheetName val="ADM - Florida"/>
      <sheetName val="ADM - Georgia"/>
      <sheetName val="ADM - Guam"/>
      <sheetName val="ADM - Hawaii"/>
      <sheetName val="ADM - Idaho"/>
      <sheetName val="ADM - Illinois"/>
      <sheetName val="ADM - Indiana"/>
      <sheetName val="ADM - Iowa"/>
      <sheetName val="ADM - Kansas"/>
      <sheetName val="ADM - Kentucky"/>
      <sheetName val="ADM - Louisiana"/>
      <sheetName val="ADM - Maine"/>
      <sheetName val="ADM - Maryland"/>
      <sheetName val="ADM - Massachusetts"/>
      <sheetName val="ADM - Michigan"/>
      <sheetName val="ADM - Minnesota"/>
      <sheetName val="ADM - Mississippi"/>
      <sheetName val="ADM - Missouri"/>
      <sheetName val="ADM - Montana"/>
      <sheetName val="ADM - N. Mariana Islands"/>
      <sheetName val="ADM - Nebraska"/>
      <sheetName val="ADM - Nevada"/>
      <sheetName val="ADM - New Hampshire"/>
      <sheetName val="ADM - New Jersey"/>
      <sheetName val="ADM - New Mexico"/>
      <sheetName val="ADM - New York"/>
      <sheetName val="ADM - North Carolina"/>
      <sheetName val="ADM - North Dakota"/>
      <sheetName val="ADM - Ohio"/>
      <sheetName val="ADM - Oklahoma"/>
      <sheetName val="ADM - Oregon"/>
      <sheetName val="ADM - Pennsylvania"/>
      <sheetName val="ADM - Puerto Rico"/>
      <sheetName val="ADM - Rhode Island"/>
      <sheetName val="ADM - South Carolina"/>
      <sheetName val="ADM - South Dakota"/>
      <sheetName val="ADM - Tennessee"/>
      <sheetName val="ADM - Texas"/>
      <sheetName val="ADM - Utah"/>
      <sheetName val="ADM - Vermont"/>
      <sheetName val="ADM - Virgin Islands"/>
      <sheetName val="ADM - Virginia"/>
      <sheetName val="ADM - Washington"/>
      <sheetName val="ADM - West Virginia"/>
      <sheetName val="ADM - Wisconsin"/>
      <sheetName val="ADM - Wyoming"/>
      <sheetName val="ADM - National Tota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Set>
  </externalBook>
</externalLink>
</file>

<file path=xl/persons/person.xml><?xml version="1.0" encoding="utf-8"?>
<personList xmlns="http://schemas.microsoft.com/office/spreadsheetml/2018/threadedcomments" xmlns:x="http://schemas.openxmlformats.org/spreadsheetml/2006/main">
  <person displayName="Lori" id="{5615730B-0C20-DA41-AAFD-8CB81D967669}" userId="Lori"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 dT="2023-08-28T16:47:35.83" personId="{5615730B-0C20-DA41-AAFD-8CB81D967669}" id="{60A8929D-0669-F545-BC4D-E7E9A45352F7}">
    <text>Lowercased service.</text>
  </threadedComment>
  <threadedComment ref="K4" dT="2023-08-24T15:48:31.35" personId="{5615730B-0C20-DA41-AAFD-8CB81D967669}" id="{773D8480-D3EE-A447-8AE2-377464C18F3B}">
    <text>Added hyphen to home.</text>
  </threadedComment>
  <threadedComment ref="A71" dT="2023-08-24T15:50:51.31" personId="{5615730B-0C20-DA41-AAFD-8CB81D967669}" id="{4A2156AC-2D1F-FF43-B082-175DC92C2834}">
    <text>Deleted EPSDT</text>
  </threadedComment>
  <threadedComment ref="A71" dT="2023-08-24T15:51:34.46" personId="{5615730B-0C20-DA41-AAFD-8CB81D967669}" id="{7BD0C99A-24A0-FB41-8E7F-5B9A6202A782}" parentId="{4A2156AC-2D1F-FF43-B082-175DC92C2834}">
    <text>Need to add note for pregnant women?</text>
  </threadedComment>
  <threadedComment ref="A71" dT="2023-08-24T15:52:09.39" personId="{5615730B-0C20-DA41-AAFD-8CB81D967669}" id="{7BEDD16B-597C-0243-9355-06F109469C80}" parentId="{4A2156AC-2D1F-FF43-B082-175DC92C2834}">
    <text>Added -19 to COVID.</text>
  </threadedComment>
  <threadedComment ref="A74" dT="2023-08-28T16:51:33.98" personId="{5615730B-0C20-DA41-AAFD-8CB81D967669}" id="{48BEFD04-948B-1049-82EC-FF36237762D6}">
    <text>Added hyphen to home.</text>
  </threadedComment>
  <threadedComment ref="A75" dT="2023-08-24T15:54:03.92" personId="{5615730B-0C20-DA41-AAFD-8CB81D967669}" id="{87CCD2CF-1BC3-354C-90A0-922FE6A7C915}">
    <text>Changed “over” to “more than.”</text>
  </threadedComment>
</ThreadedComments>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80EF3-3E63-467A-B418-5B728942CB3C}">
  <sheetPr>
    <tabColor rgb="FF00B050"/>
    <pageSetUpPr fitToPage="1"/>
  </sheetPr>
  <dimension ref="A1:Q79"/>
  <sheetViews>
    <sheetView showGridLines="0" tabSelected="1" topLeftCell="A4" zoomScaleNormal="100" zoomScalePageLayoutView="125" workbookViewId="0">
      <selection activeCell="K63" sqref="K63"/>
    </sheetView>
  </sheetViews>
  <sheetFormatPr defaultColWidth="11" defaultRowHeight="12.5"/>
  <cols>
    <col min="1" max="1" width="18.36328125" style="1" customWidth="1"/>
    <col min="2" max="2" width="9.36328125" style="1" customWidth="1"/>
    <col min="3" max="3" width="8.36328125" style="1" bestFit="1" customWidth="1"/>
    <col min="4" max="4" width="9.36328125" style="1" customWidth="1"/>
    <col min="5" max="5" width="7" style="1" bestFit="1" customWidth="1"/>
    <col min="6" max="6" width="10.6328125" style="1" customWidth="1"/>
    <col min="7" max="8" width="8.36328125" style="1" bestFit="1" customWidth="1"/>
    <col min="9" max="9" width="8" style="1" customWidth="1"/>
    <col min="10" max="10" width="12.6328125" style="1" customWidth="1"/>
    <col min="11" max="11" width="14" style="1" customWidth="1"/>
    <col min="12" max="12" width="10.36328125" style="1" customWidth="1"/>
    <col min="13" max="13" width="11.6328125" style="1" customWidth="1"/>
    <col min="14" max="14" width="10.6328125" style="1" customWidth="1"/>
    <col min="15" max="16" width="11" style="1"/>
    <col min="17" max="17" width="13.6328125" style="1" customWidth="1"/>
    <col min="18" max="16384" width="11" style="1"/>
  </cols>
  <sheetData>
    <row r="1" spans="1:17" ht="17.25" customHeight="1">
      <c r="A1" s="26" t="s">
        <v>67</v>
      </c>
      <c r="B1" s="26"/>
      <c r="C1" s="26"/>
      <c r="D1" s="26"/>
      <c r="E1" s="26"/>
      <c r="F1" s="26"/>
      <c r="G1" s="26"/>
      <c r="H1" s="26"/>
      <c r="I1" s="26"/>
      <c r="J1" s="26"/>
      <c r="K1" s="26"/>
      <c r="L1" s="26"/>
      <c r="M1" s="26"/>
      <c r="N1" s="26"/>
    </row>
    <row r="2" spans="1:17">
      <c r="A2" s="2"/>
      <c r="B2" s="2"/>
      <c r="C2" s="2"/>
      <c r="D2" s="2"/>
      <c r="E2" s="2"/>
      <c r="F2" s="2"/>
      <c r="G2" s="2"/>
      <c r="H2" s="2"/>
      <c r="I2" s="2"/>
      <c r="J2" s="2"/>
    </row>
    <row r="3" spans="1:17" ht="13">
      <c r="A3" s="27" t="s">
        <v>68</v>
      </c>
      <c r="B3" s="29" t="s">
        <v>64</v>
      </c>
      <c r="C3" s="29" t="s">
        <v>84</v>
      </c>
      <c r="D3" s="29"/>
      <c r="E3" s="29"/>
      <c r="F3" s="29"/>
      <c r="G3" s="29"/>
      <c r="H3" s="29"/>
      <c r="I3" s="29"/>
      <c r="J3" s="29"/>
      <c r="K3" s="29"/>
      <c r="L3" s="29" t="s">
        <v>63</v>
      </c>
      <c r="M3" s="29" t="s">
        <v>62</v>
      </c>
      <c r="N3" s="29" t="s">
        <v>61</v>
      </c>
    </row>
    <row r="4" spans="1:17" ht="52">
      <c r="A4" s="28"/>
      <c r="B4" s="29"/>
      <c r="C4" s="8" t="s">
        <v>60</v>
      </c>
      <c r="D4" s="8" t="s">
        <v>59</v>
      </c>
      <c r="E4" s="8" t="s">
        <v>58</v>
      </c>
      <c r="F4" s="8" t="s">
        <v>57</v>
      </c>
      <c r="G4" s="8" t="s">
        <v>56</v>
      </c>
      <c r="H4" s="8" t="s">
        <v>55</v>
      </c>
      <c r="I4" s="8" t="s">
        <v>54</v>
      </c>
      <c r="J4" s="8" t="s">
        <v>53</v>
      </c>
      <c r="K4" s="8" t="s">
        <v>81</v>
      </c>
      <c r="L4" s="29"/>
      <c r="M4" s="29"/>
      <c r="N4" s="31"/>
      <c r="O4" s="32" t="s">
        <v>91</v>
      </c>
      <c r="P4" s="32" t="s">
        <v>92</v>
      </c>
      <c r="Q4" s="32" t="s">
        <v>93</v>
      </c>
    </row>
    <row r="5" spans="1:17" ht="15.5" customHeight="1">
      <c r="A5" s="9" t="s">
        <v>52</v>
      </c>
      <c r="B5" s="18">
        <v>7166.4536939999998</v>
      </c>
      <c r="C5" s="19">
        <v>2835.4401579999999</v>
      </c>
      <c r="D5" s="19">
        <v>483.24281400000001</v>
      </c>
      <c r="E5" s="19">
        <v>89.299970000000002</v>
      </c>
      <c r="F5" s="19">
        <v>108.43754199999999</v>
      </c>
      <c r="G5" s="19">
        <v>125.72504600000001</v>
      </c>
      <c r="H5" s="19">
        <v>712.42799100000002</v>
      </c>
      <c r="I5" s="19">
        <v>431.62532299999998</v>
      </c>
      <c r="J5" s="19">
        <v>1171.5468900000001</v>
      </c>
      <c r="K5" s="19">
        <v>656.09237599999994</v>
      </c>
      <c r="L5" s="19">
        <v>139.989026</v>
      </c>
      <c r="M5" s="19">
        <v>449.74731600000001</v>
      </c>
      <c r="N5" s="19">
        <v>-37.120758000000002</v>
      </c>
      <c r="O5" s="30">
        <f>SUM(C5:I5)</f>
        <v>4786.1988440000005</v>
      </c>
      <c r="P5" s="3">
        <f>L5</f>
        <v>139.989026</v>
      </c>
      <c r="Q5" s="30">
        <f>SUM(O5:P5)</f>
        <v>4926.1878700000007</v>
      </c>
    </row>
    <row r="6" spans="1:17" ht="15.5" customHeight="1">
      <c r="A6" s="10" t="s">
        <v>51</v>
      </c>
      <c r="B6" s="20">
        <v>2435.5289050000001</v>
      </c>
      <c r="C6" s="21">
        <v>754.50650800000005</v>
      </c>
      <c r="D6" s="21">
        <v>173.24865600000001</v>
      </c>
      <c r="E6" s="21">
        <v>93.653271000000004</v>
      </c>
      <c r="F6" s="21">
        <v>40.941915000000002</v>
      </c>
      <c r="G6" s="21">
        <v>499.225167</v>
      </c>
      <c r="H6" s="21">
        <v>184.382891</v>
      </c>
      <c r="I6" s="21">
        <v>105.931825</v>
      </c>
      <c r="J6" s="21">
        <v>235.28366500000001</v>
      </c>
      <c r="K6" s="21">
        <v>328.74159300000002</v>
      </c>
      <c r="L6" s="21">
        <v>0.69268300000000005</v>
      </c>
      <c r="M6" s="21">
        <v>43.220897000000001</v>
      </c>
      <c r="N6" s="21">
        <v>-24.300166000000001</v>
      </c>
      <c r="O6" s="30">
        <f t="shared" ref="O6:O62" si="0">SUM(C6:I6)</f>
        <v>1851.8902330000001</v>
      </c>
      <c r="P6" s="3">
        <f t="shared" ref="P6:P62" si="1">L6</f>
        <v>0.69268300000000005</v>
      </c>
      <c r="Q6" s="30">
        <f t="shared" ref="Q6:Q62" si="2">SUM(O6:P6)</f>
        <v>1852.5829160000001</v>
      </c>
    </row>
    <row r="7" spans="1:17" ht="15.5" customHeight="1">
      <c r="A7" s="9" t="s">
        <v>50</v>
      </c>
      <c r="B7" s="22">
        <v>20257.896178999999</v>
      </c>
      <c r="C7" s="23">
        <v>1377.3735429999999</v>
      </c>
      <c r="D7" s="23">
        <v>62.154698000000003</v>
      </c>
      <c r="E7" s="23">
        <v>4.89168</v>
      </c>
      <c r="F7" s="23">
        <v>17.528721000000001</v>
      </c>
      <c r="G7" s="23">
        <v>374.77935100000002</v>
      </c>
      <c r="H7" s="23">
        <v>1242.30483</v>
      </c>
      <c r="I7" s="23">
        <v>230.42744200000001</v>
      </c>
      <c r="J7" s="23">
        <v>104.731989</v>
      </c>
      <c r="K7" s="23">
        <v>7.888782</v>
      </c>
      <c r="L7" s="23">
        <v>16327.432344999999</v>
      </c>
      <c r="M7" s="23">
        <v>508.86896899999999</v>
      </c>
      <c r="N7" s="23">
        <v>-0.48617100000000002</v>
      </c>
      <c r="O7" s="30">
        <f t="shared" si="0"/>
        <v>3309.4602650000002</v>
      </c>
      <c r="P7" s="3">
        <f t="shared" si="1"/>
        <v>16327.432344999999</v>
      </c>
      <c r="Q7" s="30">
        <f t="shared" si="2"/>
        <v>19636.892609999999</v>
      </c>
    </row>
    <row r="8" spans="1:17" ht="15.5" customHeight="1">
      <c r="A8" s="10" t="s">
        <v>49</v>
      </c>
      <c r="B8" s="20">
        <v>8533.0798080000004</v>
      </c>
      <c r="C8" s="21">
        <v>1371.342776</v>
      </c>
      <c r="D8" s="21">
        <v>358.90662300000002</v>
      </c>
      <c r="E8" s="21">
        <v>0.64685099999999995</v>
      </c>
      <c r="F8" s="21">
        <v>30.700977000000002</v>
      </c>
      <c r="G8" s="21">
        <v>87.871962999999994</v>
      </c>
      <c r="H8" s="21">
        <v>765.19876199999999</v>
      </c>
      <c r="I8" s="21">
        <v>102.89702699999999</v>
      </c>
      <c r="J8" s="21">
        <v>934.00200400000006</v>
      </c>
      <c r="K8" s="21">
        <v>400.240996</v>
      </c>
      <c r="L8" s="21">
        <v>4111.4148240000004</v>
      </c>
      <c r="M8" s="21">
        <v>408.094877</v>
      </c>
      <c r="N8" s="21">
        <v>-38.237872000000003</v>
      </c>
      <c r="O8" s="30">
        <f t="shared" si="0"/>
        <v>2717.5649789999998</v>
      </c>
      <c r="P8" s="3">
        <f t="shared" si="1"/>
        <v>4111.4148240000004</v>
      </c>
      <c r="Q8" s="30">
        <f t="shared" si="2"/>
        <v>6828.9798030000002</v>
      </c>
    </row>
    <row r="9" spans="1:17" ht="15.5" customHeight="1">
      <c r="A9" s="9" t="s">
        <v>69</v>
      </c>
      <c r="B9" s="22">
        <v>117884.56229</v>
      </c>
      <c r="C9" s="23">
        <v>10369.78989</v>
      </c>
      <c r="D9" s="23">
        <v>1073.815646</v>
      </c>
      <c r="E9" s="23">
        <v>1613.90753</v>
      </c>
      <c r="F9" s="23">
        <v>-44.964272999999999</v>
      </c>
      <c r="G9" s="23">
        <v>4058.1789800000001</v>
      </c>
      <c r="H9" s="23">
        <v>12639.891554</v>
      </c>
      <c r="I9" s="23">
        <v>6785.6172690000003</v>
      </c>
      <c r="J9" s="23">
        <v>3893.3002499999998</v>
      </c>
      <c r="K9" s="23">
        <v>23408.106650000002</v>
      </c>
      <c r="L9" s="23">
        <v>51516.677582999997</v>
      </c>
      <c r="M9" s="23">
        <v>3572.431321</v>
      </c>
      <c r="N9" s="23">
        <v>-1002.19011</v>
      </c>
      <c r="O9" s="30">
        <f t="shared" si="0"/>
        <v>36496.236596000002</v>
      </c>
      <c r="P9" s="3">
        <f t="shared" si="1"/>
        <v>51516.677582999997</v>
      </c>
      <c r="Q9" s="30">
        <f t="shared" si="2"/>
        <v>88012.914178999999</v>
      </c>
    </row>
    <row r="10" spans="1:17" ht="15.5" customHeight="1">
      <c r="A10" s="10" t="s">
        <v>89</v>
      </c>
      <c r="B10" s="20">
        <v>11873.695582</v>
      </c>
      <c r="C10" s="21">
        <v>3611.0449279999998</v>
      </c>
      <c r="D10" s="21">
        <v>380.24094300000002</v>
      </c>
      <c r="E10" s="21">
        <v>342.22869300000002</v>
      </c>
      <c r="F10" s="21">
        <v>-1.1121000000000001E-2</v>
      </c>
      <c r="G10" s="21">
        <v>873.56186600000001</v>
      </c>
      <c r="H10" s="21">
        <v>351.02446300000003</v>
      </c>
      <c r="I10" s="21">
        <v>471.20996300000002</v>
      </c>
      <c r="J10" s="21">
        <v>854.44404199999997</v>
      </c>
      <c r="K10" s="21">
        <v>2396.2321280000001</v>
      </c>
      <c r="L10" s="21">
        <v>2463.8934869999998</v>
      </c>
      <c r="M10" s="21">
        <v>244.37599900000001</v>
      </c>
      <c r="N10" s="21">
        <v>-114.549809</v>
      </c>
      <c r="O10" s="30">
        <f t="shared" si="0"/>
        <v>6029.2997350000005</v>
      </c>
      <c r="P10" s="3">
        <f t="shared" si="1"/>
        <v>2463.8934869999998</v>
      </c>
      <c r="Q10" s="30">
        <f t="shared" si="2"/>
        <v>8493.1932219999999</v>
      </c>
    </row>
    <row r="11" spans="1:17" ht="15.5" customHeight="1">
      <c r="A11" s="9" t="s">
        <v>88</v>
      </c>
      <c r="B11" s="22">
        <v>9671.6977559999996</v>
      </c>
      <c r="C11" s="23">
        <v>2859.5465330000002</v>
      </c>
      <c r="D11" s="23">
        <v>540.80684099999996</v>
      </c>
      <c r="E11" s="23">
        <v>148.64398299999999</v>
      </c>
      <c r="F11" s="23">
        <v>297.90319899999997</v>
      </c>
      <c r="G11" s="23">
        <v>391.25041199999998</v>
      </c>
      <c r="H11" s="23">
        <v>603.56949999999995</v>
      </c>
      <c r="I11" s="23">
        <v>461.925116</v>
      </c>
      <c r="J11" s="23">
        <v>1614.943687</v>
      </c>
      <c r="K11" s="23">
        <v>2084.7455100000002</v>
      </c>
      <c r="L11" s="23">
        <v>135.61564000000001</v>
      </c>
      <c r="M11" s="23">
        <v>628.69220700000005</v>
      </c>
      <c r="N11" s="23">
        <v>-95.944872000000004</v>
      </c>
      <c r="O11" s="30">
        <f t="shared" si="0"/>
        <v>5303.6455839999999</v>
      </c>
      <c r="P11" s="3">
        <f t="shared" si="1"/>
        <v>135.61564000000001</v>
      </c>
      <c r="Q11" s="30">
        <f t="shared" si="2"/>
        <v>5439.2612239999999</v>
      </c>
    </row>
    <row r="12" spans="1:17" ht="15.5" customHeight="1">
      <c r="A12" s="10" t="s">
        <v>70</v>
      </c>
      <c r="B12" s="20">
        <v>3136.940055</v>
      </c>
      <c r="C12" s="21">
        <v>87.498401000000001</v>
      </c>
      <c r="D12" s="21">
        <v>8.9600390000000001</v>
      </c>
      <c r="E12" s="21">
        <v>53.218662000000002</v>
      </c>
      <c r="F12" s="21">
        <v>0.796458</v>
      </c>
      <c r="G12" s="21">
        <v>2.6764410000000001</v>
      </c>
      <c r="H12" s="21">
        <v>116.027214</v>
      </c>
      <c r="I12" s="21">
        <v>-9.7225590000000004</v>
      </c>
      <c r="J12" s="21">
        <v>73.505574999999993</v>
      </c>
      <c r="K12" s="21">
        <v>246.389624</v>
      </c>
      <c r="L12" s="21">
        <v>2518.0683869999998</v>
      </c>
      <c r="M12" s="21">
        <v>43.629066999999999</v>
      </c>
      <c r="N12" s="21">
        <v>-4.1134789999999999</v>
      </c>
      <c r="O12" s="30">
        <f t="shared" si="0"/>
        <v>259.454656</v>
      </c>
      <c r="P12" s="3">
        <f t="shared" si="1"/>
        <v>2518.0683869999998</v>
      </c>
      <c r="Q12" s="30">
        <f t="shared" si="2"/>
        <v>2777.5230429999997</v>
      </c>
    </row>
    <row r="13" spans="1:17" ht="15.5" customHeight="1">
      <c r="A13" s="9" t="s">
        <v>48</v>
      </c>
      <c r="B13" s="22">
        <v>3647.6658299999999</v>
      </c>
      <c r="C13" s="23">
        <v>287.28338200000002</v>
      </c>
      <c r="D13" s="23">
        <v>23.308917999999998</v>
      </c>
      <c r="E13" s="23">
        <v>5.3285130000000001</v>
      </c>
      <c r="F13" s="23">
        <v>4.5600059999999996</v>
      </c>
      <c r="G13" s="23">
        <v>163.95900800000001</v>
      </c>
      <c r="H13" s="23">
        <v>328.244033</v>
      </c>
      <c r="I13" s="23">
        <v>96.237129999999993</v>
      </c>
      <c r="J13" s="23">
        <v>441.92696799999999</v>
      </c>
      <c r="K13" s="23">
        <v>645.50367300000005</v>
      </c>
      <c r="L13" s="23">
        <v>1574.8543500000001</v>
      </c>
      <c r="M13" s="23">
        <v>81.429286000000005</v>
      </c>
      <c r="N13" s="23">
        <v>-4.9694370000000001</v>
      </c>
      <c r="O13" s="30">
        <f t="shared" si="0"/>
        <v>908.92099000000007</v>
      </c>
      <c r="P13" s="3">
        <f t="shared" si="1"/>
        <v>1574.8543500000001</v>
      </c>
      <c r="Q13" s="30">
        <f t="shared" si="2"/>
        <v>2483.7753400000001</v>
      </c>
    </row>
    <row r="14" spans="1:17" ht="15.5" customHeight="1">
      <c r="A14" s="10" t="s">
        <v>47</v>
      </c>
      <c r="B14" s="20">
        <v>32667.45433</v>
      </c>
      <c r="C14" s="21">
        <v>2920.7673089999998</v>
      </c>
      <c r="D14" s="21">
        <v>289.23627699999997</v>
      </c>
      <c r="E14" s="21">
        <v>405.571777</v>
      </c>
      <c r="F14" s="21">
        <v>69.226530999999994</v>
      </c>
      <c r="G14" s="21">
        <v>270.92092500000001</v>
      </c>
      <c r="H14" s="21">
        <v>655.57364700000005</v>
      </c>
      <c r="I14" s="21">
        <v>140.38788400000001</v>
      </c>
      <c r="J14" s="21">
        <v>1863.1163979999999</v>
      </c>
      <c r="K14" s="21">
        <v>1856.234428</v>
      </c>
      <c r="L14" s="21">
        <v>22218.495654999999</v>
      </c>
      <c r="M14" s="21">
        <v>2398.4914720000002</v>
      </c>
      <c r="N14" s="21">
        <v>-420.56797299999999</v>
      </c>
      <c r="O14" s="30">
        <f t="shared" si="0"/>
        <v>4751.6843499999995</v>
      </c>
      <c r="P14" s="3">
        <f t="shared" si="1"/>
        <v>22218.495654999999</v>
      </c>
      <c r="Q14" s="30">
        <f t="shared" si="2"/>
        <v>26970.180004999998</v>
      </c>
    </row>
    <row r="15" spans="1:17" ht="15.5" customHeight="1">
      <c r="A15" s="9" t="s">
        <v>46</v>
      </c>
      <c r="B15" s="22">
        <v>14339.599611</v>
      </c>
      <c r="C15" s="23">
        <v>2876.7766449999999</v>
      </c>
      <c r="D15" s="23">
        <v>379.41924499999999</v>
      </c>
      <c r="E15" s="23">
        <v>16.578347999999998</v>
      </c>
      <c r="F15" s="23">
        <v>72.620469</v>
      </c>
      <c r="G15" s="23">
        <v>19.942430000000002</v>
      </c>
      <c r="H15" s="23">
        <v>843.168543</v>
      </c>
      <c r="I15" s="23">
        <v>350.21127999999999</v>
      </c>
      <c r="J15" s="23">
        <v>1807.228991</v>
      </c>
      <c r="K15" s="23">
        <v>1829.1869830000001</v>
      </c>
      <c r="L15" s="23">
        <v>5525.4440130000003</v>
      </c>
      <c r="M15" s="23">
        <v>703.48674200000005</v>
      </c>
      <c r="N15" s="23">
        <v>-84.464078000000001</v>
      </c>
      <c r="O15" s="30">
        <f t="shared" si="0"/>
        <v>4558.7169599999997</v>
      </c>
      <c r="P15" s="3">
        <f t="shared" si="1"/>
        <v>5525.4440130000003</v>
      </c>
      <c r="Q15" s="30">
        <f t="shared" si="2"/>
        <v>10084.160973</v>
      </c>
    </row>
    <row r="16" spans="1:17" ht="15.5" customHeight="1">
      <c r="A16" s="10" t="s">
        <v>45</v>
      </c>
      <c r="B16" s="20">
        <v>2990.024469</v>
      </c>
      <c r="C16" s="21">
        <v>36.995078999999997</v>
      </c>
      <c r="D16" s="21">
        <v>0.11081299999999999</v>
      </c>
      <c r="E16" s="21">
        <v>33.009931999999999</v>
      </c>
      <c r="F16" s="21">
        <v>9.3849999999999992E-3</v>
      </c>
      <c r="G16" s="21">
        <v>26.798779</v>
      </c>
      <c r="H16" s="21">
        <v>34.124121000000002</v>
      </c>
      <c r="I16" s="21">
        <v>0.214113</v>
      </c>
      <c r="J16" s="21">
        <v>10.395401</v>
      </c>
      <c r="K16" s="21">
        <v>155.91858999999999</v>
      </c>
      <c r="L16" s="21">
        <v>2688.1131839999998</v>
      </c>
      <c r="M16" s="21">
        <v>51.985487999999997</v>
      </c>
      <c r="N16" s="21">
        <v>-47.650416</v>
      </c>
      <c r="O16" s="30">
        <f t="shared" si="0"/>
        <v>131.26222200000001</v>
      </c>
      <c r="P16" s="3">
        <f t="shared" si="1"/>
        <v>2688.1131839999998</v>
      </c>
      <c r="Q16" s="30">
        <f t="shared" si="2"/>
        <v>2819.3754059999997</v>
      </c>
    </row>
    <row r="17" spans="1:17" ht="15.5" customHeight="1">
      <c r="A17" s="9" t="s">
        <v>44</v>
      </c>
      <c r="B17" s="22">
        <v>3195.2709439999999</v>
      </c>
      <c r="C17" s="23">
        <v>824.40020700000002</v>
      </c>
      <c r="D17" s="23">
        <v>186.49601799999999</v>
      </c>
      <c r="E17" s="23">
        <v>0</v>
      </c>
      <c r="F17" s="23">
        <v>53.532777000000003</v>
      </c>
      <c r="G17" s="23">
        <v>54.226452999999999</v>
      </c>
      <c r="H17" s="23">
        <v>267.42123299999997</v>
      </c>
      <c r="I17" s="23">
        <v>189.13043200000001</v>
      </c>
      <c r="J17" s="23">
        <v>200.173878</v>
      </c>
      <c r="K17" s="23">
        <v>526.68882399999995</v>
      </c>
      <c r="L17" s="23">
        <v>828.58186000000001</v>
      </c>
      <c r="M17" s="23">
        <v>95.251749000000004</v>
      </c>
      <c r="N17" s="23">
        <v>-30.632487000000001</v>
      </c>
      <c r="O17" s="30">
        <f t="shared" si="0"/>
        <v>1575.2071199999998</v>
      </c>
      <c r="P17" s="3">
        <f t="shared" si="1"/>
        <v>828.58186000000001</v>
      </c>
      <c r="Q17" s="30">
        <f t="shared" si="2"/>
        <v>2403.7889799999998</v>
      </c>
    </row>
    <row r="18" spans="1:17" ht="15.5" customHeight="1">
      <c r="A18" s="10" t="s">
        <v>43</v>
      </c>
      <c r="B18" s="20">
        <v>25956.045305</v>
      </c>
      <c r="C18" s="21">
        <v>2589.9195800000002</v>
      </c>
      <c r="D18" s="21">
        <v>184.327023</v>
      </c>
      <c r="E18" s="21">
        <v>15.657883999999999</v>
      </c>
      <c r="F18" s="21">
        <v>29.250043999999999</v>
      </c>
      <c r="G18" s="21">
        <v>73.552923000000007</v>
      </c>
      <c r="H18" s="21">
        <v>1089.949335</v>
      </c>
      <c r="I18" s="21">
        <v>1.465033</v>
      </c>
      <c r="J18" s="21">
        <v>1106.17905</v>
      </c>
      <c r="K18" s="21">
        <v>1169.917764</v>
      </c>
      <c r="L18" s="21">
        <v>19016.954476999999</v>
      </c>
      <c r="M18" s="21">
        <v>764.84919000000002</v>
      </c>
      <c r="N18" s="21">
        <v>-85.976997999999995</v>
      </c>
      <c r="O18" s="30">
        <f t="shared" si="0"/>
        <v>3984.1218220000005</v>
      </c>
      <c r="P18" s="3">
        <f t="shared" si="1"/>
        <v>19016.954476999999</v>
      </c>
      <c r="Q18" s="30">
        <f t="shared" si="2"/>
        <v>23001.076299</v>
      </c>
    </row>
    <row r="19" spans="1:17" ht="15.5" customHeight="1">
      <c r="A19" s="9" t="s">
        <v>42</v>
      </c>
      <c r="B19" s="22">
        <v>16850.88579</v>
      </c>
      <c r="C19" s="23">
        <v>1438.1110369999999</v>
      </c>
      <c r="D19" s="23">
        <v>219.68771599999999</v>
      </c>
      <c r="E19" s="23">
        <v>22.814346</v>
      </c>
      <c r="F19" s="23">
        <v>11.239231</v>
      </c>
      <c r="G19" s="23">
        <v>197.44415799999999</v>
      </c>
      <c r="H19" s="23">
        <v>793.68513499999995</v>
      </c>
      <c r="I19" s="23">
        <v>161.01443699999999</v>
      </c>
      <c r="J19" s="23">
        <v>3038.8563370000002</v>
      </c>
      <c r="K19" s="23">
        <v>2250.4416930000002</v>
      </c>
      <c r="L19" s="23">
        <v>8369.1346259999991</v>
      </c>
      <c r="M19" s="23">
        <v>409.32967400000001</v>
      </c>
      <c r="N19" s="23">
        <v>-60.872599999999998</v>
      </c>
      <c r="O19" s="30">
        <f t="shared" si="0"/>
        <v>2843.9960599999995</v>
      </c>
      <c r="P19" s="3">
        <f t="shared" si="1"/>
        <v>8369.1346259999991</v>
      </c>
      <c r="Q19" s="30">
        <f t="shared" si="2"/>
        <v>11213.130685999999</v>
      </c>
    </row>
    <row r="20" spans="1:17" ht="15.5" customHeight="1">
      <c r="A20" s="10" t="s">
        <v>71</v>
      </c>
      <c r="B20" s="20">
        <v>6614.098328</v>
      </c>
      <c r="C20" s="21">
        <v>100.843851</v>
      </c>
      <c r="D20" s="21">
        <v>14.692985</v>
      </c>
      <c r="E20" s="21">
        <v>0.40305999999999997</v>
      </c>
      <c r="F20" s="21">
        <v>2.1155409999999999</v>
      </c>
      <c r="G20" s="21">
        <v>70.610292999999999</v>
      </c>
      <c r="H20" s="21">
        <v>127.83978399999999</v>
      </c>
      <c r="I20" s="21">
        <v>-1.6203460000000001</v>
      </c>
      <c r="J20" s="21">
        <v>38.440002</v>
      </c>
      <c r="K20" s="21">
        <v>56.383420999999998</v>
      </c>
      <c r="L20" s="21">
        <v>6092.4167749999997</v>
      </c>
      <c r="M20" s="21">
        <v>196.31901500000001</v>
      </c>
      <c r="N20" s="21">
        <v>-84.346052999999998</v>
      </c>
      <c r="O20" s="30">
        <f t="shared" si="0"/>
        <v>314.88516800000002</v>
      </c>
      <c r="P20" s="3">
        <f t="shared" si="1"/>
        <v>6092.4167749999997</v>
      </c>
      <c r="Q20" s="30">
        <f t="shared" si="2"/>
        <v>6407.3019429999995</v>
      </c>
    </row>
    <row r="21" spans="1:17" ht="15.5" customHeight="1">
      <c r="A21" s="9" t="s">
        <v>72</v>
      </c>
      <c r="B21" s="22">
        <v>4301.3380420000003</v>
      </c>
      <c r="C21" s="23">
        <v>97.970040999999995</v>
      </c>
      <c r="D21" s="23">
        <v>3.8613590000000002</v>
      </c>
      <c r="E21" s="23">
        <v>8.2600000000000002E-4</v>
      </c>
      <c r="F21" s="23">
        <v>0.13200300000000001</v>
      </c>
      <c r="G21" s="23">
        <v>0.54396599999999995</v>
      </c>
      <c r="H21" s="23">
        <v>68.477271999999999</v>
      </c>
      <c r="I21" s="23">
        <v>-1.252494</v>
      </c>
      <c r="J21" s="23">
        <v>81.246026999999998</v>
      </c>
      <c r="K21" s="23">
        <v>1.0950000000000001E-3</v>
      </c>
      <c r="L21" s="23">
        <v>3926.8832430000002</v>
      </c>
      <c r="M21" s="23">
        <v>145.47323399999999</v>
      </c>
      <c r="N21" s="23">
        <v>-21.998529999999999</v>
      </c>
      <c r="O21" s="30">
        <f t="shared" si="0"/>
        <v>169.73297299999999</v>
      </c>
      <c r="P21" s="3">
        <f t="shared" si="1"/>
        <v>3926.8832430000002</v>
      </c>
      <c r="Q21" s="30">
        <f t="shared" si="2"/>
        <v>4096.6162160000003</v>
      </c>
    </row>
    <row r="22" spans="1:17" ht="15.5" customHeight="1">
      <c r="A22" s="10" t="s">
        <v>41</v>
      </c>
      <c r="B22" s="20">
        <v>14590.469639000001</v>
      </c>
      <c r="C22" s="21">
        <v>477.097555</v>
      </c>
      <c r="D22" s="21">
        <v>45.966568000000002</v>
      </c>
      <c r="E22" s="21">
        <v>2.421929</v>
      </c>
      <c r="F22" s="21">
        <v>10.054277000000001</v>
      </c>
      <c r="G22" s="21">
        <v>344.62965400000002</v>
      </c>
      <c r="H22" s="21">
        <v>418.180521</v>
      </c>
      <c r="I22" s="21">
        <v>24.770429</v>
      </c>
      <c r="J22" s="21">
        <v>1456.8871240000001</v>
      </c>
      <c r="K22" s="21">
        <v>1227.821516</v>
      </c>
      <c r="L22" s="21">
        <v>10268.461654000001</v>
      </c>
      <c r="M22" s="21">
        <v>341.18060300000002</v>
      </c>
      <c r="N22" s="21">
        <v>-27.002191</v>
      </c>
      <c r="O22" s="30">
        <f t="shared" si="0"/>
        <v>1323.1209329999999</v>
      </c>
      <c r="P22" s="3">
        <f t="shared" si="1"/>
        <v>10268.461654000001</v>
      </c>
      <c r="Q22" s="30">
        <f t="shared" si="2"/>
        <v>11591.582587000001</v>
      </c>
    </row>
    <row r="23" spans="1:17" ht="15.5" customHeight="1">
      <c r="A23" s="9" t="s">
        <v>40</v>
      </c>
      <c r="B23" s="22">
        <v>14673.978206</v>
      </c>
      <c r="C23" s="23">
        <v>1349.2348770000001</v>
      </c>
      <c r="D23" s="23">
        <v>39.142527000000001</v>
      </c>
      <c r="E23" s="23">
        <v>0</v>
      </c>
      <c r="F23" s="23">
        <v>0.50954999999999995</v>
      </c>
      <c r="G23" s="23">
        <v>31.912654</v>
      </c>
      <c r="H23" s="23">
        <v>333.87463000000002</v>
      </c>
      <c r="I23" s="23">
        <v>50.928355000000003</v>
      </c>
      <c r="J23" s="23">
        <v>1601.604648</v>
      </c>
      <c r="K23" s="23">
        <v>914.10132099999998</v>
      </c>
      <c r="L23" s="23">
        <v>9917.6250569999993</v>
      </c>
      <c r="M23" s="23">
        <v>517.75624200000004</v>
      </c>
      <c r="N23" s="23">
        <v>-82.711654999999993</v>
      </c>
      <c r="O23" s="30">
        <f t="shared" si="0"/>
        <v>1805.6025930000001</v>
      </c>
      <c r="P23" s="3">
        <f t="shared" si="1"/>
        <v>9917.6250569999993</v>
      </c>
      <c r="Q23" s="30">
        <f t="shared" si="2"/>
        <v>11723.227649999999</v>
      </c>
    </row>
    <row r="24" spans="1:17" ht="15.5" customHeight="1">
      <c r="A24" s="10" t="s">
        <v>39</v>
      </c>
      <c r="B24" s="20">
        <v>3785.7885700000002</v>
      </c>
      <c r="C24" s="21">
        <v>943.54540199999997</v>
      </c>
      <c r="D24" s="21">
        <v>125.61542900000001</v>
      </c>
      <c r="E24" s="21">
        <v>20.545704000000001</v>
      </c>
      <c r="F24" s="21">
        <v>91.920648</v>
      </c>
      <c r="G24" s="21">
        <v>198.03380200000001</v>
      </c>
      <c r="H24" s="21">
        <v>563.62980600000003</v>
      </c>
      <c r="I24" s="21">
        <v>153.11258599999999</v>
      </c>
      <c r="J24" s="21">
        <v>553.97231399999998</v>
      </c>
      <c r="K24" s="21">
        <v>944.80613300000005</v>
      </c>
      <c r="L24" s="21">
        <v>10.762098</v>
      </c>
      <c r="M24" s="21">
        <v>266.24568099999999</v>
      </c>
      <c r="N24" s="21">
        <v>-86.401032999999998</v>
      </c>
      <c r="O24" s="30">
        <f t="shared" si="0"/>
        <v>2096.4033770000001</v>
      </c>
      <c r="P24" s="3">
        <f t="shared" si="1"/>
        <v>10.762098</v>
      </c>
      <c r="Q24" s="30">
        <f t="shared" si="2"/>
        <v>2107.1654750000002</v>
      </c>
    </row>
    <row r="25" spans="1:17" ht="15.5" customHeight="1">
      <c r="A25" s="9" t="s">
        <v>38</v>
      </c>
      <c r="B25" s="22">
        <v>14343.522494000001</v>
      </c>
      <c r="C25" s="23">
        <v>1244.94255</v>
      </c>
      <c r="D25" s="23">
        <v>140.11472800000001</v>
      </c>
      <c r="E25" s="23">
        <v>150.22985800000001</v>
      </c>
      <c r="F25" s="23">
        <v>150.83390900000001</v>
      </c>
      <c r="G25" s="23">
        <v>209.04104699999999</v>
      </c>
      <c r="H25" s="23">
        <v>1510.2118439999999</v>
      </c>
      <c r="I25" s="23">
        <v>263.61628400000001</v>
      </c>
      <c r="J25" s="23">
        <v>1575.7629010000001</v>
      </c>
      <c r="K25" s="23">
        <v>2119.782318</v>
      </c>
      <c r="L25" s="23">
        <v>6613.7428380000001</v>
      </c>
      <c r="M25" s="23">
        <v>467.59172799999999</v>
      </c>
      <c r="N25" s="23">
        <v>-102.347511</v>
      </c>
      <c r="O25" s="30">
        <f t="shared" si="0"/>
        <v>3668.9902200000001</v>
      </c>
      <c r="P25" s="3">
        <f t="shared" si="1"/>
        <v>6613.7428380000001</v>
      </c>
      <c r="Q25" s="30">
        <f t="shared" si="2"/>
        <v>10282.733058</v>
      </c>
    </row>
    <row r="26" spans="1:17" ht="15.5" customHeight="1">
      <c r="A26" s="10" t="s">
        <v>37</v>
      </c>
      <c r="B26" s="20">
        <v>20864.779727000001</v>
      </c>
      <c r="C26" s="21">
        <v>2716.1765540000001</v>
      </c>
      <c r="D26" s="21">
        <v>365.566303</v>
      </c>
      <c r="E26" s="21">
        <v>373.19126499999999</v>
      </c>
      <c r="F26" s="21">
        <v>37.573090999999998</v>
      </c>
      <c r="G26" s="21">
        <v>277.41094399999997</v>
      </c>
      <c r="H26" s="21">
        <v>1414.0756919999999</v>
      </c>
      <c r="I26" s="21">
        <v>406.74065400000001</v>
      </c>
      <c r="J26" s="21">
        <v>1623.7209029999999</v>
      </c>
      <c r="K26" s="21">
        <v>4236.0274239999999</v>
      </c>
      <c r="L26" s="21">
        <v>8828.5774729999994</v>
      </c>
      <c r="M26" s="21">
        <v>774.29811199999995</v>
      </c>
      <c r="N26" s="21">
        <v>-188.578688</v>
      </c>
      <c r="O26" s="30">
        <f t="shared" si="0"/>
        <v>5590.7345030000006</v>
      </c>
      <c r="P26" s="3">
        <f t="shared" si="1"/>
        <v>8828.5774729999994</v>
      </c>
      <c r="Q26" s="30">
        <f t="shared" si="2"/>
        <v>14419.311976000001</v>
      </c>
    </row>
    <row r="27" spans="1:17" ht="15.5" customHeight="1">
      <c r="A27" s="9" t="s">
        <v>36</v>
      </c>
      <c r="B27" s="22">
        <v>21023.267979</v>
      </c>
      <c r="C27" s="23">
        <v>1368.0119159999999</v>
      </c>
      <c r="D27" s="23">
        <v>258.444479</v>
      </c>
      <c r="E27" s="23">
        <v>27.313981999999999</v>
      </c>
      <c r="F27" s="23">
        <v>18.335187999999999</v>
      </c>
      <c r="G27" s="23">
        <v>246.28447299999999</v>
      </c>
      <c r="H27" s="23">
        <v>751.27449100000001</v>
      </c>
      <c r="I27" s="23">
        <v>608.876845</v>
      </c>
      <c r="J27" s="23">
        <v>2129.4082950000002</v>
      </c>
      <c r="K27" s="23">
        <v>1059.2981179999999</v>
      </c>
      <c r="L27" s="23">
        <v>14067.560978</v>
      </c>
      <c r="M27" s="23">
        <v>785.61102000000005</v>
      </c>
      <c r="N27" s="23">
        <v>-297.15180600000002</v>
      </c>
      <c r="O27" s="30">
        <f t="shared" si="0"/>
        <v>3278.5413739999995</v>
      </c>
      <c r="P27" s="3">
        <f t="shared" si="1"/>
        <v>14067.560978</v>
      </c>
      <c r="Q27" s="30">
        <f t="shared" si="2"/>
        <v>17346.102351999998</v>
      </c>
    </row>
    <row r="28" spans="1:17" ht="15.5" customHeight="1">
      <c r="A28" s="10" t="s">
        <v>73</v>
      </c>
      <c r="B28" s="20">
        <v>16158.756246999999</v>
      </c>
      <c r="C28" s="21">
        <v>611.68955100000005</v>
      </c>
      <c r="D28" s="21">
        <v>169.88561799999999</v>
      </c>
      <c r="E28" s="21">
        <v>21.093188999999999</v>
      </c>
      <c r="F28" s="21">
        <v>124.744451</v>
      </c>
      <c r="G28" s="21">
        <v>174.23310799999999</v>
      </c>
      <c r="H28" s="21">
        <v>1016.2455629999999</v>
      </c>
      <c r="I28" s="21">
        <v>-314.24138399999998</v>
      </c>
      <c r="J28" s="21">
        <v>1172.2076320000001</v>
      </c>
      <c r="K28" s="21">
        <v>4920.0486309999997</v>
      </c>
      <c r="L28" s="21">
        <v>8121.8337659999997</v>
      </c>
      <c r="M28" s="21">
        <v>279.04471999999998</v>
      </c>
      <c r="N28" s="21">
        <v>-138.02859799999999</v>
      </c>
      <c r="O28" s="30">
        <f t="shared" si="0"/>
        <v>1803.6500960000003</v>
      </c>
      <c r="P28" s="3">
        <f t="shared" si="1"/>
        <v>8121.8337659999997</v>
      </c>
      <c r="Q28" s="30">
        <f t="shared" si="2"/>
        <v>9925.483862000001</v>
      </c>
    </row>
    <row r="29" spans="1:17" ht="15.5" customHeight="1">
      <c r="A29" s="9" t="s">
        <v>35</v>
      </c>
      <c r="B29" s="22">
        <v>5943.7401110000001</v>
      </c>
      <c r="C29" s="23">
        <v>780.50218199999995</v>
      </c>
      <c r="D29" s="23">
        <v>150.22738699999999</v>
      </c>
      <c r="E29" s="23">
        <v>5.4115190000000002</v>
      </c>
      <c r="F29" s="23">
        <v>31.030491999999999</v>
      </c>
      <c r="G29" s="23">
        <v>65.346896999999998</v>
      </c>
      <c r="H29" s="23">
        <v>306.33289400000001</v>
      </c>
      <c r="I29" s="23">
        <v>71.789468999999997</v>
      </c>
      <c r="J29" s="23">
        <v>1091.777159</v>
      </c>
      <c r="K29" s="23">
        <v>555.91893900000002</v>
      </c>
      <c r="L29" s="23">
        <v>2573.52961</v>
      </c>
      <c r="M29" s="23">
        <v>337.47377599999999</v>
      </c>
      <c r="N29" s="23">
        <v>-25.600213</v>
      </c>
      <c r="O29" s="30">
        <f t="shared" si="0"/>
        <v>1410.6408399999998</v>
      </c>
      <c r="P29" s="3">
        <f t="shared" si="1"/>
        <v>2573.52961</v>
      </c>
      <c r="Q29" s="30">
        <f t="shared" si="2"/>
        <v>3984.1704499999996</v>
      </c>
    </row>
    <row r="30" spans="1:17" ht="15.5" customHeight="1">
      <c r="A30" s="10" t="s">
        <v>34</v>
      </c>
      <c r="B30" s="20">
        <v>13013.125297000001</v>
      </c>
      <c r="C30" s="21">
        <v>2846.6672210000002</v>
      </c>
      <c r="D30" s="21">
        <v>12.226645</v>
      </c>
      <c r="E30" s="21">
        <v>3.9409079999999999</v>
      </c>
      <c r="F30" s="21">
        <v>13.531516999999999</v>
      </c>
      <c r="G30" s="21">
        <v>457.911768</v>
      </c>
      <c r="H30" s="21">
        <v>871.58308999999997</v>
      </c>
      <c r="I30" s="21">
        <v>585.25660500000004</v>
      </c>
      <c r="J30" s="21">
        <v>1454.717995</v>
      </c>
      <c r="K30" s="21">
        <v>2788.4044130000002</v>
      </c>
      <c r="L30" s="21">
        <v>3594.5998989999998</v>
      </c>
      <c r="M30" s="21">
        <v>463.324096</v>
      </c>
      <c r="N30" s="21">
        <v>-79.03886</v>
      </c>
      <c r="O30" s="30">
        <f t="shared" si="0"/>
        <v>4791.1177540000008</v>
      </c>
      <c r="P30" s="3">
        <f t="shared" si="1"/>
        <v>3594.5998989999998</v>
      </c>
      <c r="Q30" s="30">
        <f t="shared" si="2"/>
        <v>8385.7176529999997</v>
      </c>
    </row>
    <row r="31" spans="1:17" ht="15.5" customHeight="1">
      <c r="A31" s="9" t="s">
        <v>33</v>
      </c>
      <c r="B31" s="22">
        <v>2343.639013</v>
      </c>
      <c r="C31" s="23">
        <v>937.734779</v>
      </c>
      <c r="D31" s="23">
        <v>158.19342499999999</v>
      </c>
      <c r="E31" s="23">
        <v>61.019483999999999</v>
      </c>
      <c r="F31" s="23">
        <v>83.547713000000002</v>
      </c>
      <c r="G31" s="23">
        <v>85.052728999999999</v>
      </c>
      <c r="H31" s="23">
        <v>298.55389100000002</v>
      </c>
      <c r="I31" s="23">
        <v>135.485221</v>
      </c>
      <c r="J31" s="23">
        <v>188.13351499999999</v>
      </c>
      <c r="K31" s="23">
        <v>303.28048200000001</v>
      </c>
      <c r="L31" s="23">
        <v>52.827624999999998</v>
      </c>
      <c r="M31" s="23">
        <v>62.912278999999998</v>
      </c>
      <c r="N31" s="23">
        <v>-23.102129999999999</v>
      </c>
      <c r="O31" s="30">
        <f t="shared" si="0"/>
        <v>1759.5872419999998</v>
      </c>
      <c r="P31" s="3">
        <f t="shared" si="1"/>
        <v>52.827624999999998</v>
      </c>
      <c r="Q31" s="30">
        <f t="shared" si="2"/>
        <v>1812.4148669999997</v>
      </c>
    </row>
    <row r="32" spans="1:17" ht="15.5" customHeight="1">
      <c r="A32" s="10" t="s">
        <v>74</v>
      </c>
      <c r="B32" s="20">
        <v>3295.9089949999998</v>
      </c>
      <c r="C32" s="21">
        <v>39.257024000000001</v>
      </c>
      <c r="D32" s="21">
        <v>2.4445169999999998</v>
      </c>
      <c r="E32" s="21">
        <v>5.7029999999999997E-3</v>
      </c>
      <c r="F32" s="21">
        <v>8.1436999999999996E-2</v>
      </c>
      <c r="G32" s="21">
        <v>0.39938200000000001</v>
      </c>
      <c r="H32" s="21">
        <v>55.671832000000002</v>
      </c>
      <c r="I32" s="21">
        <v>-0.16484799999999999</v>
      </c>
      <c r="J32" s="21">
        <v>533.75619800000004</v>
      </c>
      <c r="K32" s="21">
        <v>641.55035699999996</v>
      </c>
      <c r="L32" s="21">
        <v>2013.6619599999999</v>
      </c>
      <c r="M32" s="21">
        <v>59.173205000000003</v>
      </c>
      <c r="N32" s="21">
        <v>-49.927771999999997</v>
      </c>
      <c r="O32" s="30">
        <f t="shared" si="0"/>
        <v>97.695046999999988</v>
      </c>
      <c r="P32" s="3">
        <f t="shared" si="1"/>
        <v>2013.6619599999999</v>
      </c>
      <c r="Q32" s="30">
        <f t="shared" si="2"/>
        <v>2111.3570070000001</v>
      </c>
    </row>
    <row r="33" spans="1:17" ht="15.5" customHeight="1">
      <c r="A33" s="9" t="s">
        <v>32</v>
      </c>
      <c r="B33" s="22">
        <v>5052.6627369999997</v>
      </c>
      <c r="C33" s="23">
        <v>636.79648099999997</v>
      </c>
      <c r="D33" s="23">
        <v>161.005697</v>
      </c>
      <c r="E33" s="23">
        <v>75.959140000000005</v>
      </c>
      <c r="F33" s="23">
        <v>39.163511999999997</v>
      </c>
      <c r="G33" s="23">
        <v>76.479831000000004</v>
      </c>
      <c r="H33" s="23">
        <v>411.94662499999998</v>
      </c>
      <c r="I33" s="23">
        <v>137.438118</v>
      </c>
      <c r="J33" s="23">
        <v>386.82356399999998</v>
      </c>
      <c r="K33" s="23">
        <v>396.42046800000003</v>
      </c>
      <c r="L33" s="23">
        <v>2512.1756890000001</v>
      </c>
      <c r="M33" s="23">
        <v>253.85565</v>
      </c>
      <c r="N33" s="23">
        <v>-35.402037999999997</v>
      </c>
      <c r="O33" s="30">
        <f t="shared" si="0"/>
        <v>1538.7894039999999</v>
      </c>
      <c r="P33" s="3">
        <f t="shared" si="1"/>
        <v>2512.1756890000001</v>
      </c>
      <c r="Q33" s="30">
        <f t="shared" si="2"/>
        <v>4050.9650929999998</v>
      </c>
    </row>
    <row r="34" spans="1:17" ht="15.5" customHeight="1">
      <c r="A34" s="10" t="s">
        <v>75</v>
      </c>
      <c r="B34" s="20">
        <v>2460.870676</v>
      </c>
      <c r="C34" s="21">
        <v>247.804293</v>
      </c>
      <c r="D34" s="21">
        <v>4.2460069999999996</v>
      </c>
      <c r="E34" s="21">
        <v>22.408411999999998</v>
      </c>
      <c r="F34" s="21">
        <v>1.054054</v>
      </c>
      <c r="G34" s="21">
        <v>3.8741840000000001</v>
      </c>
      <c r="H34" s="21">
        <v>164.32789099999999</v>
      </c>
      <c r="I34" s="21">
        <v>-90.222588000000002</v>
      </c>
      <c r="J34" s="21">
        <v>433.25075600000002</v>
      </c>
      <c r="K34" s="21">
        <v>493.51692000000003</v>
      </c>
      <c r="L34" s="21">
        <v>1134.8614419999999</v>
      </c>
      <c r="M34" s="21">
        <v>55.092395000000003</v>
      </c>
      <c r="N34" s="21">
        <v>-9.3430900000000001</v>
      </c>
      <c r="O34" s="30">
        <f t="shared" si="0"/>
        <v>353.49225300000001</v>
      </c>
      <c r="P34" s="3">
        <f t="shared" si="1"/>
        <v>1134.8614419999999</v>
      </c>
      <c r="Q34" s="30">
        <f t="shared" si="2"/>
        <v>1488.3536949999998</v>
      </c>
    </row>
    <row r="35" spans="1:17" ht="15.5" customHeight="1">
      <c r="A35" s="9" t="s">
        <v>31</v>
      </c>
      <c r="B35" s="22">
        <v>20872.611334000001</v>
      </c>
      <c r="C35" s="23">
        <v>1284.709167</v>
      </c>
      <c r="D35" s="23">
        <v>54.265211999999998</v>
      </c>
      <c r="E35" s="23">
        <v>0.43233300000000002</v>
      </c>
      <c r="F35" s="23">
        <v>17.577442999999999</v>
      </c>
      <c r="G35" s="23">
        <v>517.54272700000001</v>
      </c>
      <c r="H35" s="23">
        <v>1177.98036</v>
      </c>
      <c r="I35" s="23">
        <v>7.4193490000000004</v>
      </c>
      <c r="J35" s="23">
        <v>1372.3883410000001</v>
      </c>
      <c r="K35" s="23">
        <v>2375.8176880000001</v>
      </c>
      <c r="L35" s="23">
        <v>13758.888379</v>
      </c>
      <c r="M35" s="23">
        <v>586.68855799999994</v>
      </c>
      <c r="N35" s="23">
        <v>-281.09822300000002</v>
      </c>
      <c r="O35" s="30">
        <f t="shared" si="0"/>
        <v>3059.9265909999995</v>
      </c>
      <c r="P35" s="3">
        <f t="shared" si="1"/>
        <v>13758.888379</v>
      </c>
      <c r="Q35" s="30">
        <f t="shared" si="2"/>
        <v>16818.814969999999</v>
      </c>
    </row>
    <row r="36" spans="1:17" ht="15.5" customHeight="1">
      <c r="A36" s="10" t="s">
        <v>30</v>
      </c>
      <c r="B36" s="20">
        <v>8257.9657299999999</v>
      </c>
      <c r="C36" s="21">
        <v>503.030509</v>
      </c>
      <c r="D36" s="21">
        <v>22.252299000000001</v>
      </c>
      <c r="E36" s="21">
        <v>7.5295620000000003</v>
      </c>
      <c r="F36" s="21">
        <v>51.412700000000001</v>
      </c>
      <c r="G36" s="21">
        <v>6.3761270000000003</v>
      </c>
      <c r="H36" s="21">
        <v>119.595113</v>
      </c>
      <c r="I36" s="21">
        <v>1.5808629999999999</v>
      </c>
      <c r="J36" s="21">
        <v>39.593905999999997</v>
      </c>
      <c r="K36" s="21">
        <v>705.55138199999999</v>
      </c>
      <c r="L36" s="21">
        <v>6606.3179819999996</v>
      </c>
      <c r="M36" s="21">
        <v>209.36809400000001</v>
      </c>
      <c r="N36" s="21">
        <v>-14.642806999999999</v>
      </c>
      <c r="O36" s="30">
        <f t="shared" si="0"/>
        <v>711.77717300000006</v>
      </c>
      <c r="P36" s="3">
        <f t="shared" si="1"/>
        <v>6606.3179819999996</v>
      </c>
      <c r="Q36" s="30">
        <f t="shared" si="2"/>
        <v>7318.095155</v>
      </c>
    </row>
    <row r="37" spans="1:17" ht="15.5" customHeight="1">
      <c r="A37" s="9" t="s">
        <v>76</v>
      </c>
      <c r="B37" s="22">
        <v>80518.406335000007</v>
      </c>
      <c r="C37" s="23">
        <v>8752.1641350000009</v>
      </c>
      <c r="D37" s="23">
        <v>276.75349299999999</v>
      </c>
      <c r="E37" s="23">
        <v>13.785429000000001</v>
      </c>
      <c r="F37" s="23">
        <v>154.75712100000001</v>
      </c>
      <c r="G37" s="23">
        <v>1188.9416510000001</v>
      </c>
      <c r="H37" s="23">
        <v>4262.3823220000004</v>
      </c>
      <c r="I37" s="23">
        <v>-3577.5141159999998</v>
      </c>
      <c r="J37" s="23">
        <v>8605.2456710000006</v>
      </c>
      <c r="K37" s="23">
        <v>9947.2296559999995</v>
      </c>
      <c r="L37" s="23">
        <v>51134.392914999997</v>
      </c>
      <c r="M37" s="23">
        <v>2487.1159240000002</v>
      </c>
      <c r="N37" s="23">
        <v>-2726.8478660000001</v>
      </c>
      <c r="O37" s="30">
        <f t="shared" si="0"/>
        <v>11071.270035000003</v>
      </c>
      <c r="P37" s="3">
        <f t="shared" si="1"/>
        <v>51134.392914999997</v>
      </c>
      <c r="Q37" s="30">
        <f t="shared" si="2"/>
        <v>62205.662949999998</v>
      </c>
    </row>
    <row r="38" spans="1:17" ht="15.5" customHeight="1">
      <c r="A38" s="10" t="s">
        <v>29</v>
      </c>
      <c r="B38" s="20">
        <v>18403.697744000001</v>
      </c>
      <c r="C38" s="21">
        <v>2388.0442360000002</v>
      </c>
      <c r="D38" s="21">
        <v>325.46094599999998</v>
      </c>
      <c r="E38" s="21">
        <v>349.53608300000002</v>
      </c>
      <c r="F38" s="21">
        <v>55.024928000000003</v>
      </c>
      <c r="G38" s="21">
        <v>160.452673</v>
      </c>
      <c r="H38" s="21">
        <v>1076.129402</v>
      </c>
      <c r="I38" s="21">
        <v>212.266186</v>
      </c>
      <c r="J38" s="21">
        <v>2111.252277</v>
      </c>
      <c r="K38" s="21">
        <v>1130.8834159999999</v>
      </c>
      <c r="L38" s="21">
        <v>10104.115374000001</v>
      </c>
      <c r="M38" s="21">
        <v>669.87394400000005</v>
      </c>
      <c r="N38" s="21">
        <v>-179.34172100000001</v>
      </c>
      <c r="O38" s="30">
        <f t="shared" si="0"/>
        <v>4566.9144540000007</v>
      </c>
      <c r="P38" s="3">
        <f t="shared" si="1"/>
        <v>10104.115374000001</v>
      </c>
      <c r="Q38" s="30">
        <f t="shared" si="2"/>
        <v>14671.029828000002</v>
      </c>
    </row>
    <row r="39" spans="1:17" ht="15.5" customHeight="1">
      <c r="A39" s="9" t="s">
        <v>28</v>
      </c>
      <c r="B39" s="22">
        <v>1524.1480759999999</v>
      </c>
      <c r="C39" s="23">
        <v>163.975762</v>
      </c>
      <c r="D39" s="23">
        <v>39.788921000000002</v>
      </c>
      <c r="E39" s="23">
        <v>14.828506000000001</v>
      </c>
      <c r="F39" s="23">
        <v>21.621361</v>
      </c>
      <c r="G39" s="23">
        <v>17.170855</v>
      </c>
      <c r="H39" s="23">
        <v>64.367058</v>
      </c>
      <c r="I39" s="23">
        <v>48.609501000000002</v>
      </c>
      <c r="J39" s="23">
        <v>422.90789799999999</v>
      </c>
      <c r="K39" s="23">
        <v>283.45903600000003</v>
      </c>
      <c r="L39" s="23">
        <v>433.34888100000001</v>
      </c>
      <c r="M39" s="23">
        <v>22.894812000000002</v>
      </c>
      <c r="N39" s="23">
        <v>-8.8245149999999999</v>
      </c>
      <c r="O39" s="30">
        <f t="shared" si="0"/>
        <v>370.361964</v>
      </c>
      <c r="P39" s="3">
        <f t="shared" si="1"/>
        <v>433.34888100000001</v>
      </c>
      <c r="Q39" s="30">
        <f t="shared" si="2"/>
        <v>803.71084500000006</v>
      </c>
    </row>
    <row r="40" spans="1:17" ht="15.5" customHeight="1">
      <c r="A40" s="10" t="s">
        <v>27</v>
      </c>
      <c r="B40" s="20">
        <v>30024.849008000001</v>
      </c>
      <c r="C40" s="21">
        <v>923.84274400000004</v>
      </c>
      <c r="D40" s="21">
        <v>155.32372100000001</v>
      </c>
      <c r="E40" s="21">
        <v>29.279132000000001</v>
      </c>
      <c r="F40" s="21">
        <v>14.625171999999999</v>
      </c>
      <c r="G40" s="21">
        <v>166.177087</v>
      </c>
      <c r="H40" s="21">
        <v>823.99071600000002</v>
      </c>
      <c r="I40" s="21">
        <v>134.797169</v>
      </c>
      <c r="J40" s="21">
        <v>2656.3174309999999</v>
      </c>
      <c r="K40" s="21">
        <v>4675.545768</v>
      </c>
      <c r="L40" s="21">
        <v>19843.212488000001</v>
      </c>
      <c r="M40" s="21">
        <v>833.548811</v>
      </c>
      <c r="N40" s="21">
        <v>-231.81123099999999</v>
      </c>
      <c r="O40" s="30">
        <f t="shared" si="0"/>
        <v>2248.0357410000001</v>
      </c>
      <c r="P40" s="3">
        <f t="shared" si="1"/>
        <v>19843.212488000001</v>
      </c>
      <c r="Q40" s="30">
        <f t="shared" si="2"/>
        <v>22091.248229000001</v>
      </c>
    </row>
    <row r="41" spans="1:17" ht="15.5" customHeight="1">
      <c r="A41" s="9" t="s">
        <v>26</v>
      </c>
      <c r="B41" s="22">
        <v>7523.2407430000003</v>
      </c>
      <c r="C41" s="23">
        <v>2816.762667</v>
      </c>
      <c r="D41" s="23">
        <v>729.57793300000003</v>
      </c>
      <c r="E41" s="23">
        <v>174.83262400000001</v>
      </c>
      <c r="F41" s="23">
        <v>45.724446</v>
      </c>
      <c r="G41" s="23">
        <v>703.25658199999998</v>
      </c>
      <c r="H41" s="23">
        <v>600.61611700000003</v>
      </c>
      <c r="I41" s="23">
        <v>1106.947705</v>
      </c>
      <c r="J41" s="23">
        <v>970.38991399999998</v>
      </c>
      <c r="K41" s="23">
        <v>763.161427</v>
      </c>
      <c r="L41" s="23">
        <v>107.8053</v>
      </c>
      <c r="M41" s="23">
        <v>235.62432899999999</v>
      </c>
      <c r="N41" s="23">
        <v>-731.45830100000001</v>
      </c>
      <c r="O41" s="30">
        <f t="shared" si="0"/>
        <v>6177.7180740000003</v>
      </c>
      <c r="P41" s="3">
        <f t="shared" si="1"/>
        <v>107.8053</v>
      </c>
      <c r="Q41" s="30">
        <f t="shared" si="2"/>
        <v>6285.5233740000003</v>
      </c>
    </row>
    <row r="42" spans="1:17" ht="15.5" customHeight="1">
      <c r="A42" s="10" t="s">
        <v>25</v>
      </c>
      <c r="B42" s="20">
        <v>13083.208627</v>
      </c>
      <c r="C42" s="21">
        <v>414.01762600000001</v>
      </c>
      <c r="D42" s="21">
        <v>23.045013999999998</v>
      </c>
      <c r="E42" s="21">
        <v>4.9345400000000001</v>
      </c>
      <c r="F42" s="21">
        <v>19.393733000000001</v>
      </c>
      <c r="G42" s="21">
        <v>407.35816999999997</v>
      </c>
      <c r="H42" s="21">
        <v>485.95715999999999</v>
      </c>
      <c r="I42" s="21">
        <v>89.566070999999994</v>
      </c>
      <c r="J42" s="21">
        <v>584.80258600000002</v>
      </c>
      <c r="K42" s="21">
        <v>2980.728157</v>
      </c>
      <c r="L42" s="21">
        <v>7796.6004430000003</v>
      </c>
      <c r="M42" s="21">
        <v>341.40518700000001</v>
      </c>
      <c r="N42" s="21">
        <v>-64.600059999999999</v>
      </c>
      <c r="O42" s="30">
        <f t="shared" si="0"/>
        <v>1444.2723139999998</v>
      </c>
      <c r="P42" s="3">
        <f t="shared" si="1"/>
        <v>7796.6004430000003</v>
      </c>
      <c r="Q42" s="30">
        <f t="shared" si="2"/>
        <v>9240.872757000001</v>
      </c>
    </row>
    <row r="43" spans="1:17" ht="15.5" customHeight="1">
      <c r="A43" s="9" t="s">
        <v>24</v>
      </c>
      <c r="B43" s="22">
        <v>41178.251106999996</v>
      </c>
      <c r="C43" s="23">
        <v>1883.9937420000001</v>
      </c>
      <c r="D43" s="23">
        <v>33.174863000000002</v>
      </c>
      <c r="E43" s="23">
        <v>5.9151999999999996</v>
      </c>
      <c r="F43" s="23">
        <v>0.70475200000000005</v>
      </c>
      <c r="G43" s="23">
        <v>62.476607999999999</v>
      </c>
      <c r="H43" s="23">
        <v>509.36443200000002</v>
      </c>
      <c r="I43" s="23">
        <v>11.652733</v>
      </c>
      <c r="J43" s="23">
        <v>1362.093265</v>
      </c>
      <c r="K43" s="23">
        <v>3923.948711</v>
      </c>
      <c r="L43" s="23">
        <v>32617.465276999999</v>
      </c>
      <c r="M43" s="23">
        <v>976.43705199999999</v>
      </c>
      <c r="N43" s="23">
        <v>-208.975528</v>
      </c>
      <c r="O43" s="30">
        <f t="shared" si="0"/>
        <v>2507.28233</v>
      </c>
      <c r="P43" s="3">
        <f t="shared" si="1"/>
        <v>32617.465276999999</v>
      </c>
      <c r="Q43" s="30">
        <f t="shared" si="2"/>
        <v>35124.747606999998</v>
      </c>
    </row>
    <row r="44" spans="1:17" ht="15.5" customHeight="1">
      <c r="A44" s="10" t="s">
        <v>23</v>
      </c>
      <c r="B44" s="20">
        <v>3392.5937549999999</v>
      </c>
      <c r="C44" s="21">
        <v>365.99316900000002</v>
      </c>
      <c r="D44" s="21">
        <v>9.7989169999999994</v>
      </c>
      <c r="E44" s="21">
        <v>4.2210450000000002</v>
      </c>
      <c r="F44" s="21">
        <v>0.38211600000000001</v>
      </c>
      <c r="G44" s="21">
        <v>17.644819999999999</v>
      </c>
      <c r="H44" s="21">
        <v>245.23273</v>
      </c>
      <c r="I44" s="21">
        <v>1.9691460000000001</v>
      </c>
      <c r="J44" s="21">
        <v>294.62767100000002</v>
      </c>
      <c r="K44" s="21">
        <v>416.85607599999997</v>
      </c>
      <c r="L44" s="21">
        <v>1963.0683779999999</v>
      </c>
      <c r="M44" s="21">
        <v>87.932955000000007</v>
      </c>
      <c r="N44" s="21">
        <v>-15.133267999999999</v>
      </c>
      <c r="O44" s="30">
        <f t="shared" si="0"/>
        <v>645.24194300000011</v>
      </c>
      <c r="P44" s="3">
        <f t="shared" si="1"/>
        <v>1963.0683779999999</v>
      </c>
      <c r="Q44" s="30">
        <f t="shared" si="2"/>
        <v>2608.3103209999999</v>
      </c>
    </row>
    <row r="45" spans="1:17" ht="15.5" customHeight="1">
      <c r="A45" s="9" t="s">
        <v>22</v>
      </c>
      <c r="B45" s="22">
        <v>7544.266509</v>
      </c>
      <c r="C45" s="23">
        <v>1234.161836</v>
      </c>
      <c r="D45" s="23">
        <v>129.248785</v>
      </c>
      <c r="E45" s="23">
        <v>138.664255</v>
      </c>
      <c r="F45" s="23">
        <v>15.904074</v>
      </c>
      <c r="G45" s="23">
        <v>84.737229999999997</v>
      </c>
      <c r="H45" s="23">
        <v>421.61496299999999</v>
      </c>
      <c r="I45" s="23">
        <v>142.76238499999999</v>
      </c>
      <c r="J45" s="23">
        <v>970.68561</v>
      </c>
      <c r="K45" s="23">
        <v>928.02024200000005</v>
      </c>
      <c r="L45" s="23">
        <v>3439.8700020000001</v>
      </c>
      <c r="M45" s="23">
        <v>332.20456799999999</v>
      </c>
      <c r="N45" s="23">
        <v>-293.60744099999999</v>
      </c>
      <c r="O45" s="30">
        <f t="shared" si="0"/>
        <v>2167.0935279999999</v>
      </c>
      <c r="P45" s="3">
        <f t="shared" si="1"/>
        <v>3439.8700020000001</v>
      </c>
      <c r="Q45" s="30">
        <f t="shared" si="2"/>
        <v>5606.96353</v>
      </c>
    </row>
    <row r="46" spans="1:17" ht="15.5" customHeight="1">
      <c r="A46" s="10" t="s">
        <v>21</v>
      </c>
      <c r="B46" s="20">
        <v>1246.3097250000001</v>
      </c>
      <c r="C46" s="21">
        <v>309.19697200000002</v>
      </c>
      <c r="D46" s="21">
        <v>68.135231000000005</v>
      </c>
      <c r="E46" s="21">
        <v>24.230892999999998</v>
      </c>
      <c r="F46" s="21">
        <v>6.6899920000000002</v>
      </c>
      <c r="G46" s="21">
        <v>64.871893999999998</v>
      </c>
      <c r="H46" s="21">
        <v>100.461972</v>
      </c>
      <c r="I46" s="21">
        <v>87.226033000000001</v>
      </c>
      <c r="J46" s="21">
        <v>230.517436</v>
      </c>
      <c r="K46" s="21">
        <v>316.867503</v>
      </c>
      <c r="L46" s="21">
        <v>1.3906529999999999</v>
      </c>
      <c r="M46" s="21">
        <v>47.342587999999999</v>
      </c>
      <c r="N46" s="21">
        <v>-10.621442</v>
      </c>
      <c r="O46" s="30">
        <f t="shared" si="0"/>
        <v>660.81298700000013</v>
      </c>
      <c r="P46" s="3">
        <f t="shared" si="1"/>
        <v>1.3906529999999999</v>
      </c>
      <c r="Q46" s="30">
        <f t="shared" si="2"/>
        <v>662.20364000000018</v>
      </c>
    </row>
    <row r="47" spans="1:17" ht="15.5" customHeight="1">
      <c r="A47" s="9" t="s">
        <v>20</v>
      </c>
      <c r="B47" s="22">
        <v>11264.609657000001</v>
      </c>
      <c r="C47" s="23">
        <v>611.69860100000005</v>
      </c>
      <c r="D47" s="23">
        <v>30.385705000000002</v>
      </c>
      <c r="E47" s="23">
        <v>151.89646300000001</v>
      </c>
      <c r="F47" s="23">
        <v>0.100536</v>
      </c>
      <c r="G47" s="23">
        <v>99.143212000000005</v>
      </c>
      <c r="H47" s="23">
        <v>347.80331100000001</v>
      </c>
      <c r="I47" s="23">
        <v>541.78087600000003</v>
      </c>
      <c r="J47" s="23">
        <v>267.89583699999997</v>
      </c>
      <c r="K47" s="23">
        <v>753.68835100000001</v>
      </c>
      <c r="L47" s="23">
        <v>7983.9627449999998</v>
      </c>
      <c r="M47" s="23">
        <v>566.55657900000006</v>
      </c>
      <c r="N47" s="23">
        <v>-90.302559000000002</v>
      </c>
      <c r="O47" s="30">
        <f t="shared" si="0"/>
        <v>1782.8087040000003</v>
      </c>
      <c r="P47" s="3">
        <f t="shared" si="1"/>
        <v>7983.9627449999998</v>
      </c>
      <c r="Q47" s="30">
        <f t="shared" si="2"/>
        <v>9766.7714489999998</v>
      </c>
    </row>
    <row r="48" spans="1:17" ht="15.5" customHeight="1">
      <c r="A48" s="10" t="s">
        <v>19</v>
      </c>
      <c r="B48" s="20">
        <v>54941.921302000002</v>
      </c>
      <c r="C48" s="21">
        <v>8384.0000789999995</v>
      </c>
      <c r="D48" s="21">
        <v>122.183024</v>
      </c>
      <c r="E48" s="21">
        <v>12.000461</v>
      </c>
      <c r="F48" s="21">
        <v>2304.5926359999999</v>
      </c>
      <c r="G48" s="21">
        <v>24.217013000000001</v>
      </c>
      <c r="H48" s="21">
        <v>2474.0377549999998</v>
      </c>
      <c r="I48" s="21">
        <v>448.01954799999999</v>
      </c>
      <c r="J48" s="21">
        <v>1692.787319</v>
      </c>
      <c r="K48" s="21">
        <v>2932.6988839999999</v>
      </c>
      <c r="L48" s="21">
        <v>37584.870650999997</v>
      </c>
      <c r="M48" s="21">
        <v>1724.9028169999999</v>
      </c>
      <c r="N48" s="21">
        <v>-2762.3888849999998</v>
      </c>
      <c r="O48" s="30">
        <f t="shared" si="0"/>
        <v>13769.050515999998</v>
      </c>
      <c r="P48" s="3">
        <f t="shared" si="1"/>
        <v>37584.870650999997</v>
      </c>
      <c r="Q48" s="30">
        <f t="shared" si="2"/>
        <v>51353.921166999993</v>
      </c>
    </row>
    <row r="49" spans="1:17" ht="15.5" customHeight="1">
      <c r="A49" s="9" t="s">
        <v>18</v>
      </c>
      <c r="B49" s="22">
        <v>4211.4526139999998</v>
      </c>
      <c r="C49" s="23">
        <v>477.39359100000001</v>
      </c>
      <c r="D49" s="23">
        <v>128.821606</v>
      </c>
      <c r="E49" s="23">
        <v>23.849224</v>
      </c>
      <c r="F49" s="23">
        <v>14.095306000000001</v>
      </c>
      <c r="G49" s="23">
        <v>21.577404999999999</v>
      </c>
      <c r="H49" s="23">
        <v>362.93268499999999</v>
      </c>
      <c r="I49" s="23">
        <v>112.822187</v>
      </c>
      <c r="J49" s="23">
        <v>477.74698699999999</v>
      </c>
      <c r="K49" s="23">
        <v>505.568018</v>
      </c>
      <c r="L49" s="23">
        <v>2050.8119959999999</v>
      </c>
      <c r="M49" s="23">
        <v>71.360871000000003</v>
      </c>
      <c r="N49" s="23">
        <v>-35.527262</v>
      </c>
      <c r="O49" s="30">
        <f t="shared" si="0"/>
        <v>1141.492004</v>
      </c>
      <c r="P49" s="3">
        <f t="shared" si="1"/>
        <v>2050.8119959999999</v>
      </c>
      <c r="Q49" s="30">
        <f t="shared" si="2"/>
        <v>3192.3040000000001</v>
      </c>
    </row>
    <row r="50" spans="1:17" ht="15.5" customHeight="1">
      <c r="A50" s="10" t="s">
        <v>77</v>
      </c>
      <c r="B50" s="20">
        <v>1884.3699670000001</v>
      </c>
      <c r="C50" s="21">
        <v>100.37292600000001</v>
      </c>
      <c r="D50" s="21">
        <v>15.483620999999999</v>
      </c>
      <c r="E50" s="21">
        <v>6.868887</v>
      </c>
      <c r="F50" s="21">
        <v>13.360541</v>
      </c>
      <c r="G50" s="21">
        <v>8.9552250000000004</v>
      </c>
      <c r="H50" s="21">
        <v>1359.9261779999999</v>
      </c>
      <c r="I50" s="21">
        <v>-90.593759000000006</v>
      </c>
      <c r="J50" s="21">
        <v>148.988742</v>
      </c>
      <c r="K50" s="21">
        <v>302.98828099999997</v>
      </c>
      <c r="L50" s="21">
        <v>0</v>
      </c>
      <c r="M50" s="21">
        <v>18.657056999999998</v>
      </c>
      <c r="N50" s="21">
        <v>-0.63773199999999997</v>
      </c>
      <c r="O50" s="30">
        <f t="shared" si="0"/>
        <v>1414.373619</v>
      </c>
      <c r="P50" s="3">
        <f t="shared" si="1"/>
        <v>0</v>
      </c>
      <c r="Q50" s="30">
        <f t="shared" si="2"/>
        <v>1414.373619</v>
      </c>
    </row>
    <row r="51" spans="1:17" ht="15.5" customHeight="1">
      <c r="A51" s="9" t="s">
        <v>78</v>
      </c>
      <c r="B51" s="22">
        <v>17823.746171999999</v>
      </c>
      <c r="C51" s="23">
        <v>3044.0575520000002</v>
      </c>
      <c r="D51" s="23">
        <v>240.55137099999999</v>
      </c>
      <c r="E51" s="23">
        <v>279.32246700000002</v>
      </c>
      <c r="F51" s="23">
        <v>6.3504100000000001</v>
      </c>
      <c r="G51" s="23">
        <v>89.734371999999993</v>
      </c>
      <c r="H51" s="23">
        <v>365.76675599999999</v>
      </c>
      <c r="I51" s="23">
        <v>-17.583137000000001</v>
      </c>
      <c r="J51" s="23">
        <v>383.08295800000002</v>
      </c>
      <c r="K51" s="23">
        <v>2891.9204370000002</v>
      </c>
      <c r="L51" s="23">
        <v>10945.949328000001</v>
      </c>
      <c r="M51" s="23">
        <v>432.424755</v>
      </c>
      <c r="N51" s="23">
        <v>-837.831097</v>
      </c>
      <c r="O51" s="30">
        <f t="shared" si="0"/>
        <v>4008.199791</v>
      </c>
      <c r="P51" s="3">
        <f t="shared" si="1"/>
        <v>10945.949328000001</v>
      </c>
      <c r="Q51" s="30">
        <f t="shared" si="2"/>
        <v>14954.149119000002</v>
      </c>
    </row>
    <row r="52" spans="1:17" ht="15.5" customHeight="1">
      <c r="A52" s="10" t="s">
        <v>17</v>
      </c>
      <c r="B52" s="20">
        <v>17140.713645</v>
      </c>
      <c r="C52" s="21">
        <v>877.24417800000003</v>
      </c>
      <c r="D52" s="21">
        <v>91.555943999999997</v>
      </c>
      <c r="E52" s="21">
        <v>190.708415</v>
      </c>
      <c r="F52" s="21">
        <v>9.8656980000000001</v>
      </c>
      <c r="G52" s="21">
        <v>1068.318049</v>
      </c>
      <c r="H52" s="21">
        <v>913.78941599999996</v>
      </c>
      <c r="I52" s="21">
        <v>620.48407199999997</v>
      </c>
      <c r="J52" s="21">
        <v>1097.207508</v>
      </c>
      <c r="K52" s="21">
        <v>4279.4539100000002</v>
      </c>
      <c r="L52" s="21">
        <v>12368.740717999999</v>
      </c>
      <c r="M52" s="21">
        <v>564.56122800000003</v>
      </c>
      <c r="N52" s="21">
        <v>-4941.2154909999999</v>
      </c>
      <c r="O52" s="30">
        <f t="shared" si="0"/>
        <v>3771.9657719999996</v>
      </c>
      <c r="P52" s="3">
        <f t="shared" si="1"/>
        <v>12368.740717999999</v>
      </c>
      <c r="Q52" s="30">
        <f t="shared" si="2"/>
        <v>16140.706489999999</v>
      </c>
    </row>
    <row r="53" spans="1:17" ht="15.5" customHeight="1">
      <c r="A53" s="9" t="s">
        <v>16</v>
      </c>
      <c r="B53" s="22">
        <v>5183.9334900000003</v>
      </c>
      <c r="C53" s="23">
        <v>216.07917499999999</v>
      </c>
      <c r="D53" s="23">
        <v>27.021211000000001</v>
      </c>
      <c r="E53" s="23">
        <v>4.5481990000000003</v>
      </c>
      <c r="F53" s="23">
        <v>30.489284999999999</v>
      </c>
      <c r="G53" s="23">
        <v>14.002212</v>
      </c>
      <c r="H53" s="23">
        <v>353.62433900000002</v>
      </c>
      <c r="I53" s="23">
        <v>293.343211</v>
      </c>
      <c r="J53" s="23">
        <v>929.30896900000005</v>
      </c>
      <c r="K53" s="23">
        <v>713.26530700000001</v>
      </c>
      <c r="L53" s="23">
        <v>2439.1778509999999</v>
      </c>
      <c r="M53" s="23">
        <v>202.59583599999999</v>
      </c>
      <c r="N53" s="23">
        <v>-39.522105000000003</v>
      </c>
      <c r="O53" s="30">
        <f t="shared" si="0"/>
        <v>939.10763200000008</v>
      </c>
      <c r="P53" s="3">
        <f t="shared" si="1"/>
        <v>2439.1778509999999</v>
      </c>
      <c r="Q53" s="30">
        <f t="shared" si="2"/>
        <v>3378.2854830000001</v>
      </c>
    </row>
    <row r="54" spans="1:17" ht="15.5" customHeight="1">
      <c r="A54" s="10" t="s">
        <v>15</v>
      </c>
      <c r="B54" s="20">
        <v>11429.134969000001</v>
      </c>
      <c r="C54" s="21">
        <v>804.45608300000004</v>
      </c>
      <c r="D54" s="21">
        <v>31.310818000000001</v>
      </c>
      <c r="E54" s="21">
        <v>101.254864</v>
      </c>
      <c r="F54" s="21">
        <v>34.223426000000003</v>
      </c>
      <c r="G54" s="21">
        <v>368.25966199999999</v>
      </c>
      <c r="H54" s="21">
        <v>1049.8120100000001</v>
      </c>
      <c r="I54" s="21">
        <v>615.58508700000004</v>
      </c>
      <c r="J54" s="21">
        <v>777.14322100000004</v>
      </c>
      <c r="K54" s="21">
        <v>1347.6566989999999</v>
      </c>
      <c r="L54" s="21">
        <v>5957.6605499999996</v>
      </c>
      <c r="M54" s="21">
        <v>431.00066199999998</v>
      </c>
      <c r="N54" s="21">
        <v>-89.228112999999993</v>
      </c>
      <c r="O54" s="30">
        <f t="shared" si="0"/>
        <v>3004.9019499999999</v>
      </c>
      <c r="P54" s="3">
        <f t="shared" si="1"/>
        <v>5957.6605499999996</v>
      </c>
      <c r="Q54" s="30">
        <f t="shared" si="2"/>
        <v>8962.5625</v>
      </c>
    </row>
    <row r="55" spans="1:17" ht="15.5" customHeight="1">
      <c r="A55" s="9" t="s">
        <v>14</v>
      </c>
      <c r="B55" s="22">
        <v>668.37141499999996</v>
      </c>
      <c r="C55" s="23">
        <v>142.17733799999999</v>
      </c>
      <c r="D55" s="23">
        <v>69.646901999999997</v>
      </c>
      <c r="E55" s="23">
        <v>11.703376</v>
      </c>
      <c r="F55" s="23">
        <v>2.076095</v>
      </c>
      <c r="G55" s="23">
        <v>49.192594999999997</v>
      </c>
      <c r="H55" s="23">
        <v>30.359515999999999</v>
      </c>
      <c r="I55" s="23">
        <v>42.25573</v>
      </c>
      <c r="J55" s="23">
        <v>139.16839300000001</v>
      </c>
      <c r="K55" s="23">
        <v>165.73112499999999</v>
      </c>
      <c r="L55" s="23">
        <v>2.4033370000000001</v>
      </c>
      <c r="M55" s="23">
        <v>23.045325999999999</v>
      </c>
      <c r="N55" s="23">
        <v>-9.3883179999999999</v>
      </c>
      <c r="O55" s="30">
        <f t="shared" si="0"/>
        <v>347.41155199999992</v>
      </c>
      <c r="P55" s="3">
        <f t="shared" si="1"/>
        <v>2.4033370000000001</v>
      </c>
      <c r="Q55" s="30">
        <f t="shared" si="2"/>
        <v>349.81488899999994</v>
      </c>
    </row>
    <row r="56" spans="1:17" ht="15.5" customHeight="1">
      <c r="A56" s="11" t="s">
        <v>13</v>
      </c>
      <c r="B56" s="24">
        <v>787190.54853300005</v>
      </c>
      <c r="C56" s="24">
        <v>84336.442341000002</v>
      </c>
      <c r="D56" s="24">
        <v>8639.3814810000003</v>
      </c>
      <c r="E56" s="24">
        <v>5159.7383769999997</v>
      </c>
      <c r="F56" s="24">
        <v>4115.3710149999997</v>
      </c>
      <c r="G56" s="24">
        <v>14602.284803</v>
      </c>
      <c r="H56" s="24">
        <v>46084.963388999997</v>
      </c>
      <c r="I56" s="24">
        <v>12382.481460999999</v>
      </c>
      <c r="J56" s="24">
        <v>57205.496098000003</v>
      </c>
      <c r="K56" s="24">
        <v>100960.731244</v>
      </c>
      <c r="L56" s="24">
        <v>444304.93549499998</v>
      </c>
      <c r="M56" s="24">
        <v>26274.777963</v>
      </c>
      <c r="N56" s="24">
        <v>-16876.061358999999</v>
      </c>
      <c r="O56" s="30">
        <f t="shared" si="0"/>
        <v>175320.66286699998</v>
      </c>
      <c r="P56" s="3">
        <f t="shared" si="1"/>
        <v>444304.93549499998</v>
      </c>
      <c r="Q56" s="30">
        <f t="shared" si="2"/>
        <v>619625.59836199996</v>
      </c>
    </row>
    <row r="57" spans="1:17" ht="15.5" customHeight="1">
      <c r="A57" s="9" t="s">
        <v>12</v>
      </c>
      <c r="B57" s="17">
        <v>68.475260000000006</v>
      </c>
      <c r="C57" s="5">
        <v>37.774968999999999</v>
      </c>
      <c r="D57" s="5">
        <v>0.53692499999999999</v>
      </c>
      <c r="E57" s="5">
        <v>0</v>
      </c>
      <c r="F57" s="5">
        <v>0</v>
      </c>
      <c r="G57" s="5">
        <v>6.5397740000000004</v>
      </c>
      <c r="H57" s="5">
        <v>20.500800999999999</v>
      </c>
      <c r="I57" s="5">
        <v>0.48911300000000002</v>
      </c>
      <c r="J57" s="5">
        <v>0</v>
      </c>
      <c r="K57" s="5">
        <v>0.14468500000000001</v>
      </c>
      <c r="L57" s="5">
        <v>0</v>
      </c>
      <c r="M57" s="5">
        <v>2.4889929999999998</v>
      </c>
      <c r="N57" s="5">
        <v>0</v>
      </c>
      <c r="O57" s="30">
        <f t="shared" si="0"/>
        <v>65.841582000000002</v>
      </c>
      <c r="P57" s="3">
        <f t="shared" si="1"/>
        <v>0</v>
      </c>
      <c r="Q57" s="30">
        <f t="shared" si="2"/>
        <v>65.841582000000002</v>
      </c>
    </row>
    <row r="58" spans="1:17" ht="15.5" customHeight="1">
      <c r="A58" s="10" t="s">
        <v>11</v>
      </c>
      <c r="B58" s="16">
        <v>167.05340699999999</v>
      </c>
      <c r="C58" s="4">
        <v>82.658293</v>
      </c>
      <c r="D58" s="4">
        <v>17.701495999999999</v>
      </c>
      <c r="E58" s="4">
        <v>3.4380500000000001</v>
      </c>
      <c r="F58" s="4">
        <v>2.1655000000000001E-2</v>
      </c>
      <c r="G58" s="4">
        <v>1.57721</v>
      </c>
      <c r="H58" s="4">
        <v>36.847059999999999</v>
      </c>
      <c r="I58" s="4">
        <v>21.626124999999998</v>
      </c>
      <c r="J58" s="4">
        <v>0.85351200000000005</v>
      </c>
      <c r="K58" s="4">
        <v>0.557002</v>
      </c>
      <c r="L58" s="4">
        <v>0</v>
      </c>
      <c r="M58" s="4">
        <v>1.773004</v>
      </c>
      <c r="N58" s="4">
        <v>0</v>
      </c>
      <c r="O58" s="30">
        <f t="shared" si="0"/>
        <v>163.869889</v>
      </c>
      <c r="P58" s="3">
        <f t="shared" si="1"/>
        <v>0</v>
      </c>
      <c r="Q58" s="30">
        <f t="shared" si="2"/>
        <v>163.869889</v>
      </c>
    </row>
    <row r="59" spans="1:17" ht="15.5" customHeight="1">
      <c r="A59" s="9" t="s">
        <v>10</v>
      </c>
      <c r="B59" s="17">
        <v>73.254850000000005</v>
      </c>
      <c r="C59" s="5">
        <v>45.748615999999998</v>
      </c>
      <c r="D59" s="5">
        <v>0</v>
      </c>
      <c r="E59" s="5">
        <v>4.9651969999999999</v>
      </c>
      <c r="F59" s="5">
        <v>0</v>
      </c>
      <c r="G59" s="5">
        <v>10.179722999999999</v>
      </c>
      <c r="H59" s="5">
        <v>6.9879660000000001</v>
      </c>
      <c r="I59" s="5">
        <v>3.6050360000000001</v>
      </c>
      <c r="J59" s="5">
        <v>0</v>
      </c>
      <c r="K59" s="5">
        <v>1.0018229999999999</v>
      </c>
      <c r="L59" s="5">
        <v>0</v>
      </c>
      <c r="M59" s="5">
        <v>0.76648899999999998</v>
      </c>
      <c r="N59" s="5">
        <v>0</v>
      </c>
      <c r="O59" s="30">
        <f t="shared" si="0"/>
        <v>71.486537999999996</v>
      </c>
      <c r="P59" s="3">
        <f t="shared" si="1"/>
        <v>0</v>
      </c>
      <c r="Q59" s="30">
        <f t="shared" si="2"/>
        <v>71.486537999999996</v>
      </c>
    </row>
    <row r="60" spans="1:17" ht="15.5" customHeight="1">
      <c r="A60" s="10" t="s">
        <v>9</v>
      </c>
      <c r="B60" s="16">
        <v>5097.7734719999999</v>
      </c>
      <c r="C60" s="4">
        <v>0</v>
      </c>
      <c r="D60" s="4">
        <v>0</v>
      </c>
      <c r="E60" s="4">
        <v>0</v>
      </c>
      <c r="F60" s="4">
        <v>0</v>
      </c>
      <c r="G60" s="4">
        <v>59.830868000000002</v>
      </c>
      <c r="H60" s="4">
        <v>30.977370000000001</v>
      </c>
      <c r="I60" s="4">
        <v>323.48629399999999</v>
      </c>
      <c r="J60" s="4">
        <v>0</v>
      </c>
      <c r="K60" s="4">
        <v>0</v>
      </c>
      <c r="L60" s="4">
        <v>4677.6735159999998</v>
      </c>
      <c r="M60" s="4">
        <v>0</v>
      </c>
      <c r="N60" s="4">
        <v>5.8054240000000004</v>
      </c>
      <c r="O60" s="30">
        <f t="shared" si="0"/>
        <v>414.294532</v>
      </c>
      <c r="P60" s="3">
        <f t="shared" si="1"/>
        <v>4677.6735159999998</v>
      </c>
      <c r="Q60" s="30">
        <f t="shared" si="2"/>
        <v>5091.9680479999997</v>
      </c>
    </row>
    <row r="61" spans="1:17" ht="15.5" customHeight="1">
      <c r="A61" s="9" t="s">
        <v>8</v>
      </c>
      <c r="B61" s="17">
        <v>137.28797599999999</v>
      </c>
      <c r="C61" s="5">
        <v>40.899293</v>
      </c>
      <c r="D61" s="5">
        <v>10.216294</v>
      </c>
      <c r="E61" s="5">
        <v>14.954523999999999</v>
      </c>
      <c r="F61" s="5">
        <v>3.5391279999999998</v>
      </c>
      <c r="G61" s="5">
        <v>13.700212000000001</v>
      </c>
      <c r="H61" s="5">
        <v>12.257858000000001</v>
      </c>
      <c r="I61" s="5">
        <v>32.634666000000003</v>
      </c>
      <c r="J61" s="5">
        <v>2.9347999999999999E-2</v>
      </c>
      <c r="K61" s="5">
        <v>2.053366</v>
      </c>
      <c r="L61" s="5">
        <v>0</v>
      </c>
      <c r="M61" s="5">
        <v>1.380757</v>
      </c>
      <c r="N61" s="5">
        <v>5.6225300000000002</v>
      </c>
      <c r="O61" s="30">
        <f t="shared" si="0"/>
        <v>128.201975</v>
      </c>
      <c r="P61" s="3">
        <f t="shared" si="1"/>
        <v>0</v>
      </c>
      <c r="Q61" s="30">
        <f t="shared" si="2"/>
        <v>128.201975</v>
      </c>
    </row>
    <row r="62" spans="1:17" ht="15.5" customHeight="1">
      <c r="A62" s="11" t="s">
        <v>7</v>
      </c>
      <c r="B62" s="12">
        <v>792734.39349800011</v>
      </c>
      <c r="C62" s="12">
        <v>84543.523512</v>
      </c>
      <c r="D62" s="12">
        <v>8667.8361960000002</v>
      </c>
      <c r="E62" s="12">
        <v>5183.0961479999996</v>
      </c>
      <c r="F62" s="12">
        <v>4118.9317979999996</v>
      </c>
      <c r="G62" s="12">
        <v>14694.112589999999</v>
      </c>
      <c r="H62" s="12">
        <v>46192.534443999997</v>
      </c>
      <c r="I62" s="12">
        <v>12764.322695000001</v>
      </c>
      <c r="J62" s="12">
        <v>57206.378958000001</v>
      </c>
      <c r="K62" s="12">
        <v>100964.48811999999</v>
      </c>
      <c r="L62" s="12">
        <v>448982.60901099996</v>
      </c>
      <c r="M62" s="12">
        <v>26281.187205999999</v>
      </c>
      <c r="N62" s="12">
        <v>-16864.633405</v>
      </c>
      <c r="O62" s="30">
        <f>SUM(C62:I62)</f>
        <v>176164.35738300002</v>
      </c>
      <c r="P62" s="3">
        <f t="shared" si="1"/>
        <v>448982.60901099996</v>
      </c>
      <c r="Q62" s="30">
        <f t="shared" si="2"/>
        <v>625146.96639399999</v>
      </c>
    </row>
    <row r="63" spans="1:17" ht="39">
      <c r="A63" s="13" t="s">
        <v>6</v>
      </c>
      <c r="B63" s="14" t="s">
        <v>5</v>
      </c>
      <c r="C63" s="15">
        <v>0.1044264152409657</v>
      </c>
      <c r="D63" s="15">
        <v>1.0706332362829574E-2</v>
      </c>
      <c r="E63" s="15">
        <v>6.4020533815115138E-3</v>
      </c>
      <c r="F63" s="15">
        <v>5.0876195410298223E-3</v>
      </c>
      <c r="G63" s="15">
        <v>1.81498645807333E-2</v>
      </c>
      <c r="H63" s="15">
        <v>5.7056065118897978E-2</v>
      </c>
      <c r="I63" s="15">
        <v>1.5766227933811605E-2</v>
      </c>
      <c r="J63" s="15">
        <v>7.0660138533878702E-2</v>
      </c>
      <c r="K63" s="15">
        <v>0.12470925179164265</v>
      </c>
      <c r="L63" s="15">
        <v>0.55457405152861816</v>
      </c>
      <c r="M63" s="15">
        <v>3.2461979986080983E-2</v>
      </c>
      <c r="N63" s="14" t="s">
        <v>5</v>
      </c>
      <c r="O63" s="33">
        <f>O62/$Q$62</f>
        <v>0.28179670837908555</v>
      </c>
      <c r="P63" s="33">
        <f t="shared" ref="P63:Q63" si="3">P62/$Q$62</f>
        <v>0.71820329162091445</v>
      </c>
      <c r="Q63" s="33">
        <f t="shared" si="3"/>
        <v>1</v>
      </c>
    </row>
    <row r="64" spans="1:17">
      <c r="A64" s="6"/>
      <c r="B64" s="6"/>
      <c r="C64" s="6"/>
      <c r="D64" s="6"/>
      <c r="E64" s="6"/>
      <c r="F64" s="6"/>
      <c r="G64" s="6"/>
      <c r="H64" s="6"/>
      <c r="I64" s="6"/>
      <c r="J64" s="6"/>
      <c r="K64" s="6"/>
      <c r="L64" s="6"/>
      <c r="M64" s="6"/>
      <c r="N64" s="6"/>
    </row>
    <row r="65" spans="1:14" s="7" customFormat="1" ht="43.25" customHeight="1">
      <c r="A65" s="25" t="s">
        <v>79</v>
      </c>
      <c r="B65" s="25"/>
      <c r="C65" s="25"/>
      <c r="D65" s="25"/>
      <c r="E65" s="25"/>
      <c r="F65" s="25"/>
      <c r="G65" s="25"/>
      <c r="H65" s="25"/>
      <c r="I65" s="25"/>
      <c r="J65" s="25"/>
      <c r="K65" s="25"/>
      <c r="L65" s="25"/>
      <c r="M65" s="25"/>
      <c r="N65" s="25"/>
    </row>
    <row r="66" spans="1:14" s="7" customFormat="1" ht="15" customHeight="1">
      <c r="A66" s="25" t="s">
        <v>85</v>
      </c>
      <c r="B66" s="25"/>
      <c r="C66" s="25"/>
      <c r="D66" s="25"/>
      <c r="E66" s="25"/>
      <c r="F66" s="25"/>
      <c r="G66" s="25"/>
      <c r="H66" s="25"/>
      <c r="I66" s="25"/>
      <c r="J66" s="25"/>
      <c r="K66" s="25"/>
      <c r="L66" s="25"/>
      <c r="M66" s="25"/>
      <c r="N66" s="25"/>
    </row>
    <row r="67" spans="1:14" s="7" customFormat="1" ht="15" customHeight="1">
      <c r="A67" s="25" t="s">
        <v>4</v>
      </c>
      <c r="B67" s="25"/>
      <c r="C67" s="25"/>
      <c r="D67" s="25"/>
      <c r="E67" s="25"/>
      <c r="F67" s="25"/>
      <c r="G67" s="25"/>
      <c r="H67" s="25"/>
      <c r="I67" s="25"/>
      <c r="J67" s="25"/>
      <c r="K67" s="25"/>
      <c r="L67" s="25"/>
      <c r="M67" s="25"/>
      <c r="N67" s="25"/>
    </row>
    <row r="68" spans="1:14" s="7" customFormat="1" ht="16.5" customHeight="1">
      <c r="A68" s="25" t="s">
        <v>82</v>
      </c>
      <c r="B68" s="25"/>
      <c r="C68" s="25"/>
      <c r="D68" s="25"/>
      <c r="E68" s="25"/>
      <c r="F68" s="25"/>
      <c r="G68" s="25"/>
      <c r="H68" s="25"/>
      <c r="I68" s="25"/>
      <c r="J68" s="25"/>
      <c r="K68" s="25"/>
      <c r="L68" s="25"/>
      <c r="M68" s="25"/>
      <c r="N68" s="25"/>
    </row>
    <row r="69" spans="1:14" s="7" customFormat="1" ht="15" customHeight="1">
      <c r="A69" s="25" t="s">
        <v>3</v>
      </c>
      <c r="B69" s="25"/>
      <c r="C69" s="25"/>
      <c r="D69" s="25"/>
      <c r="E69" s="25"/>
      <c r="F69" s="25"/>
      <c r="G69" s="25"/>
      <c r="H69" s="25"/>
      <c r="I69" s="25"/>
      <c r="J69" s="25"/>
      <c r="K69" s="25"/>
      <c r="L69" s="25"/>
      <c r="M69" s="25"/>
      <c r="N69" s="25"/>
    </row>
    <row r="70" spans="1:14" s="7" customFormat="1" ht="15" customHeight="1">
      <c r="A70" s="25" t="s">
        <v>2</v>
      </c>
      <c r="B70" s="25"/>
      <c r="C70" s="25"/>
      <c r="D70" s="25"/>
      <c r="E70" s="25"/>
      <c r="F70" s="25"/>
      <c r="G70" s="25"/>
      <c r="H70" s="25"/>
      <c r="I70" s="25"/>
      <c r="J70" s="25"/>
      <c r="K70" s="25"/>
      <c r="L70" s="25"/>
      <c r="M70" s="25"/>
      <c r="N70" s="25"/>
    </row>
    <row r="71" spans="1:14" s="7" customFormat="1" ht="63" customHeight="1">
      <c r="A71" s="25" t="s">
        <v>87</v>
      </c>
      <c r="B71" s="25"/>
      <c r="C71" s="25"/>
      <c r="D71" s="25"/>
      <c r="E71" s="25"/>
      <c r="F71" s="25"/>
      <c r="G71" s="25"/>
      <c r="H71" s="25"/>
      <c r="I71" s="25"/>
      <c r="J71" s="25"/>
      <c r="K71" s="25"/>
      <c r="L71" s="25"/>
      <c r="M71" s="25"/>
      <c r="N71" s="25"/>
    </row>
    <row r="72" spans="1:14" s="7" customFormat="1" ht="15" customHeight="1">
      <c r="A72" s="25" t="s">
        <v>1</v>
      </c>
      <c r="B72" s="25"/>
      <c r="C72" s="25"/>
      <c r="D72" s="25"/>
      <c r="E72" s="25"/>
      <c r="F72" s="25"/>
      <c r="G72" s="25"/>
      <c r="H72" s="25"/>
      <c r="I72" s="25"/>
      <c r="J72" s="25"/>
      <c r="K72" s="25"/>
      <c r="L72" s="25"/>
      <c r="M72" s="25"/>
      <c r="N72" s="25"/>
    </row>
    <row r="73" spans="1:14" s="7" customFormat="1" ht="15" customHeight="1">
      <c r="A73" s="25" t="s">
        <v>0</v>
      </c>
      <c r="B73" s="25"/>
      <c r="C73" s="25"/>
      <c r="D73" s="25"/>
      <c r="E73" s="25"/>
      <c r="F73" s="25"/>
      <c r="G73" s="25"/>
      <c r="H73" s="25"/>
      <c r="I73" s="25"/>
      <c r="J73" s="25"/>
      <c r="K73" s="25"/>
      <c r="L73" s="25"/>
      <c r="M73" s="25"/>
      <c r="N73" s="25"/>
    </row>
    <row r="74" spans="1:14" s="7" customFormat="1" ht="15" customHeight="1">
      <c r="A74" s="25" t="s">
        <v>86</v>
      </c>
      <c r="B74" s="25"/>
      <c r="C74" s="25"/>
      <c r="D74" s="25"/>
      <c r="E74" s="25"/>
      <c r="F74" s="25"/>
      <c r="G74" s="25"/>
      <c r="H74" s="25"/>
      <c r="I74" s="25"/>
      <c r="J74" s="25"/>
      <c r="K74" s="25"/>
      <c r="L74" s="25"/>
      <c r="M74" s="25"/>
      <c r="N74" s="25"/>
    </row>
    <row r="75" spans="1:14" s="7" customFormat="1" ht="54" customHeight="1">
      <c r="A75" s="25" t="s">
        <v>83</v>
      </c>
      <c r="B75" s="25"/>
      <c r="C75" s="25"/>
      <c r="D75" s="25"/>
      <c r="E75" s="25"/>
      <c r="F75" s="25"/>
      <c r="G75" s="25"/>
      <c r="H75" s="25"/>
      <c r="I75" s="25"/>
      <c r="J75" s="25"/>
      <c r="K75" s="25"/>
      <c r="L75" s="25"/>
      <c r="M75" s="25"/>
      <c r="N75" s="25"/>
    </row>
    <row r="76" spans="1:14" s="7" customFormat="1" ht="47.25" customHeight="1">
      <c r="A76" s="25" t="s">
        <v>65</v>
      </c>
      <c r="B76" s="25"/>
      <c r="C76" s="25"/>
      <c r="D76" s="25"/>
      <c r="E76" s="25"/>
      <c r="F76" s="25"/>
      <c r="G76" s="25"/>
      <c r="H76" s="25"/>
      <c r="I76" s="25"/>
      <c r="J76" s="25"/>
      <c r="K76" s="25"/>
      <c r="L76" s="25"/>
      <c r="M76" s="25"/>
      <c r="N76" s="25"/>
    </row>
    <row r="77" spans="1:14" s="7" customFormat="1" ht="16.5" customHeight="1">
      <c r="A77" s="25" t="s">
        <v>90</v>
      </c>
      <c r="B77" s="25"/>
      <c r="C77" s="25"/>
      <c r="D77" s="25"/>
      <c r="E77" s="25"/>
      <c r="F77" s="25"/>
      <c r="G77" s="25"/>
      <c r="H77" s="25"/>
      <c r="I77" s="25"/>
      <c r="J77" s="25"/>
      <c r="K77" s="25"/>
      <c r="L77" s="25"/>
      <c r="M77" s="25"/>
      <c r="N77" s="25"/>
    </row>
    <row r="78" spans="1:14" s="7" customFormat="1" ht="40.5" customHeight="1">
      <c r="A78" s="25" t="s">
        <v>66</v>
      </c>
      <c r="B78" s="25"/>
      <c r="C78" s="25"/>
      <c r="D78" s="25"/>
      <c r="E78" s="25"/>
      <c r="F78" s="25"/>
      <c r="G78" s="25"/>
      <c r="H78" s="25"/>
      <c r="I78" s="25"/>
      <c r="J78" s="25"/>
      <c r="K78" s="25"/>
      <c r="L78" s="25"/>
      <c r="M78" s="25"/>
      <c r="N78" s="25"/>
    </row>
    <row r="79" spans="1:14" s="7" customFormat="1" ht="15" customHeight="1">
      <c r="A79" s="25" t="s">
        <v>80</v>
      </c>
      <c r="B79" s="25"/>
      <c r="C79" s="25"/>
      <c r="D79" s="25"/>
      <c r="E79" s="25"/>
      <c r="F79" s="25"/>
      <c r="G79" s="25"/>
      <c r="H79" s="25"/>
      <c r="I79" s="25"/>
      <c r="J79" s="25"/>
      <c r="K79" s="25"/>
      <c r="L79" s="25"/>
      <c r="M79" s="25"/>
      <c r="N79" s="25"/>
    </row>
  </sheetData>
  <mergeCells count="22">
    <mergeCell ref="A69:N69"/>
    <mergeCell ref="A70:N70"/>
    <mergeCell ref="A1:N1"/>
    <mergeCell ref="A3:A4"/>
    <mergeCell ref="B3:B4"/>
    <mergeCell ref="C3:K3"/>
    <mergeCell ref="L3:L4"/>
    <mergeCell ref="M3:M4"/>
    <mergeCell ref="N3:N4"/>
    <mergeCell ref="A65:N65"/>
    <mergeCell ref="A66:N66"/>
    <mergeCell ref="A67:N67"/>
    <mergeCell ref="A68:N68"/>
    <mergeCell ref="A77:N77"/>
    <mergeCell ref="A78:N78"/>
    <mergeCell ref="A79:N79"/>
    <mergeCell ref="A71:N71"/>
    <mergeCell ref="A72:N72"/>
    <mergeCell ref="A73:N73"/>
    <mergeCell ref="A74:N74"/>
    <mergeCell ref="A75:N75"/>
    <mergeCell ref="A76:N76"/>
  </mergeCells>
  <pageMargins left="0.75" right="0.75" top="0.75" bottom="0.75" header="0.5" footer="0.5"/>
  <pageSetup scale="83" fitToHeight="3" orientation="landscape" horizontalDpi="4294967293" r:id="rId1"/>
  <headerFooter>
    <oddFooter>&amp;L&amp;G&amp;RPage &amp;P of &amp;N</oddFooter>
  </headerFooter>
  <rowBreaks count="2" manualBreakCount="2">
    <brk id="33" max="16383" man="1"/>
    <brk id="63" max="16383" man="1"/>
  </rowBreaks>
  <colBreaks count="1" manualBreakCount="1">
    <brk id="14" max="1048575" man="1"/>
  </col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Exhibit 17</vt:lpstr>
      <vt:lpstr>'Exhibit 17'!Print_Area</vt:lpstr>
      <vt:lpstr>'Exhibit 17'!Print_Titles</vt:lpstr>
    </vt:vector>
  </TitlesOfParts>
  <Company>MACPAC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Mi</dc:creator>
  <cp:lastModifiedBy>Raymond Packer</cp:lastModifiedBy>
  <dcterms:created xsi:type="dcterms:W3CDTF">2023-08-21T15:48:27Z</dcterms:created>
  <dcterms:modified xsi:type="dcterms:W3CDTF">2024-01-26T17:07:37Z</dcterms:modified>
</cp:coreProperties>
</file>