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defaultThemeVersion="124226"/>
  <mc:AlternateContent xmlns:mc="http://schemas.openxmlformats.org/markup-compatibility/2006">
    <mc:Choice Requires="x15">
      <x15ac:absPath xmlns:x15ac="http://schemas.microsoft.com/office/spreadsheetml/2010/11/ac" url="C:\Users\Owner\Documents\Just Saying That\Consulting\GCO\Program Sources\LIHEAP\Arkansas\"/>
    </mc:Choice>
  </mc:AlternateContent>
  <xr:revisionPtr revIDLastSave="0" documentId="13_ncr:1_{2174FB5D-73EC-4560-9201-2B9ECC37CA7E}" xr6:coauthVersionLast="47" xr6:coauthVersionMax="47" xr10:uidLastSave="{00000000-0000-0000-0000-000000000000}"/>
  <bookViews>
    <workbookView xWindow="6700" yWindow="110" windowWidth="11830" windowHeight="9890" firstSheet="3" activeTab="4" xr2:uid="{00000000-000D-0000-FFFF-FFFF00000000}"/>
  </bookViews>
  <sheets>
    <sheet name="Table 1" sheetId="1" r:id="rId1"/>
    <sheet name="Electricity" sheetId="2" r:id="rId2"/>
    <sheet name="Fuel Oil" sheetId="3" r:id="rId3"/>
    <sheet name="Natural Gas" sheetId="4" r:id="rId4"/>
    <sheet name="Wood" sheetId="5" r:id="rId5"/>
    <sheet name="Propane" sheetId="6" r:id="rId6"/>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2" i="6" l="1"/>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B42" i="5"/>
  <c r="C41" i="5"/>
  <c r="B41" i="5"/>
  <c r="C40" i="5"/>
  <c r="B40" i="5"/>
  <c r="C39" i="5"/>
  <c r="B39" i="5"/>
  <c r="C38" i="5"/>
  <c r="B38" i="5"/>
  <c r="C37" i="5"/>
  <c r="B37" i="5"/>
  <c r="C36" i="5"/>
  <c r="B36" i="5"/>
  <c r="C35" i="5"/>
  <c r="B35" i="5"/>
  <c r="C34" i="5"/>
  <c r="B34" i="5"/>
  <c r="C33" i="5"/>
  <c r="B33" i="5"/>
  <c r="C32" i="5"/>
  <c r="B32" i="5"/>
  <c r="C31" i="5"/>
  <c r="B31" i="5"/>
  <c r="C30" i="5"/>
  <c r="B30" i="5"/>
  <c r="C29" i="5"/>
  <c r="B29" i="5"/>
  <c r="C28" i="5"/>
  <c r="B28" i="5"/>
  <c r="C27" i="5"/>
  <c r="B27" i="5"/>
  <c r="C26" i="5"/>
  <c r="B26" i="5"/>
  <c r="C25" i="5"/>
  <c r="B25" i="5"/>
  <c r="C24" i="5"/>
  <c r="B24" i="5"/>
  <c r="C23" i="5"/>
  <c r="B23" i="5"/>
  <c r="C22" i="5"/>
  <c r="B22" i="5"/>
  <c r="C21" i="5"/>
  <c r="B21" i="5"/>
  <c r="C20" i="5"/>
  <c r="B20" i="5"/>
  <c r="C19" i="5"/>
  <c r="B19" i="5"/>
  <c r="C18" i="5"/>
  <c r="B18" i="5"/>
  <c r="C17" i="5"/>
  <c r="B17" i="5"/>
  <c r="C16" i="5"/>
  <c r="B16" i="5"/>
  <c r="C15" i="5"/>
  <c r="B15" i="5"/>
  <c r="C14" i="5"/>
  <c r="B14" i="5"/>
  <c r="C13" i="5"/>
  <c r="B13" i="5"/>
  <c r="C12" i="5"/>
  <c r="B12" i="5"/>
  <c r="C11" i="5"/>
  <c r="B11" i="5"/>
  <c r="C10" i="5"/>
  <c r="B10" i="5"/>
  <c r="C9" i="5"/>
  <c r="B9" i="5"/>
  <c r="C8" i="5"/>
  <c r="B8" i="5"/>
  <c r="C7" i="5"/>
  <c r="B7" i="5"/>
  <c r="C6" i="5"/>
  <c r="B6" i="5"/>
  <c r="C5" i="5"/>
  <c r="B5" i="5"/>
  <c r="C4" i="5"/>
  <c r="B4" i="5"/>
  <c r="B42" i="4"/>
  <c r="C41" i="4"/>
  <c r="B41" i="4"/>
  <c r="C40" i="4"/>
  <c r="B40" i="4"/>
  <c r="C39" i="4"/>
  <c r="B39" i="4"/>
  <c r="C38" i="4"/>
  <c r="B38" i="4"/>
  <c r="C37" i="4"/>
  <c r="B37" i="4"/>
  <c r="C36" i="4"/>
  <c r="B36" i="4"/>
  <c r="C35" i="4"/>
  <c r="B35" i="4"/>
  <c r="C34" i="4"/>
  <c r="B34" i="4"/>
  <c r="C33" i="4"/>
  <c r="B33" i="4"/>
  <c r="C32" i="4"/>
  <c r="B32" i="4"/>
  <c r="C31" i="4"/>
  <c r="B31" i="4"/>
  <c r="C30" i="4"/>
  <c r="B30" i="4"/>
  <c r="C29" i="4"/>
  <c r="B29" i="4"/>
  <c r="C28" i="4"/>
  <c r="B28" i="4"/>
  <c r="C27" i="4"/>
  <c r="B27" i="4"/>
  <c r="C26" i="4"/>
  <c r="B26" i="4"/>
  <c r="C25" i="4"/>
  <c r="B25" i="4"/>
  <c r="C24" i="4"/>
  <c r="B24" i="4"/>
  <c r="C23" i="4"/>
  <c r="B23" i="4"/>
  <c r="C22" i="4"/>
  <c r="B22" i="4"/>
  <c r="C21" i="4"/>
  <c r="B21" i="4"/>
  <c r="C20" i="4"/>
  <c r="B20" i="4"/>
  <c r="C19" i="4"/>
  <c r="B19" i="4"/>
  <c r="C18" i="4"/>
  <c r="B18" i="4"/>
  <c r="C17" i="4"/>
  <c r="B17" i="4"/>
  <c r="C16" i="4"/>
  <c r="B16" i="4"/>
  <c r="C15" i="4"/>
  <c r="B15" i="4"/>
  <c r="C14" i="4"/>
  <c r="B14" i="4"/>
  <c r="C13" i="4"/>
  <c r="B13" i="4"/>
  <c r="C12" i="4"/>
  <c r="B12" i="4"/>
  <c r="C11" i="4"/>
  <c r="B11" i="4"/>
  <c r="C10" i="4"/>
  <c r="B10" i="4"/>
  <c r="C9" i="4"/>
  <c r="B9" i="4"/>
  <c r="C8" i="4"/>
  <c r="B8" i="4"/>
  <c r="C7" i="4"/>
  <c r="B7" i="4"/>
  <c r="C6" i="4"/>
  <c r="B6" i="4"/>
  <c r="C5" i="4"/>
  <c r="B5" i="4"/>
  <c r="C4" i="4"/>
  <c r="B4" i="4"/>
  <c r="B42" i="3"/>
  <c r="C41" i="3"/>
  <c r="B41" i="3"/>
  <c r="C40" i="3"/>
  <c r="B40" i="3"/>
  <c r="C39" i="3"/>
  <c r="B39" i="3"/>
  <c r="C38" i="3"/>
  <c r="B38" i="3"/>
  <c r="C37" i="3"/>
  <c r="B37" i="3"/>
  <c r="C36" i="3"/>
  <c r="B36" i="3"/>
  <c r="C35" i="3"/>
  <c r="B35" i="3"/>
  <c r="C34" i="3"/>
  <c r="B34" i="3"/>
  <c r="C33" i="3"/>
  <c r="B33" i="3"/>
  <c r="C32" i="3"/>
  <c r="B32" i="3"/>
  <c r="C31" i="3"/>
  <c r="B31" i="3"/>
  <c r="C30" i="3"/>
  <c r="B30" i="3"/>
  <c r="C29" i="3"/>
  <c r="B29" i="3"/>
  <c r="C28" i="3"/>
  <c r="B28" i="3"/>
  <c r="C27" i="3"/>
  <c r="B27" i="3"/>
  <c r="C26" i="3"/>
  <c r="B26" i="3"/>
  <c r="C25" i="3"/>
  <c r="B25" i="3"/>
  <c r="C24" i="3"/>
  <c r="B24" i="3"/>
  <c r="C23" i="3"/>
  <c r="B23" i="3"/>
  <c r="C22" i="3"/>
  <c r="B22" i="3"/>
  <c r="C21" i="3"/>
  <c r="B21" i="3"/>
  <c r="C20" i="3"/>
  <c r="B20" i="3"/>
  <c r="C19" i="3"/>
  <c r="B19" i="3"/>
  <c r="C18" i="3"/>
  <c r="B18" i="3"/>
  <c r="C17" i="3"/>
  <c r="B17" i="3"/>
  <c r="C16" i="3"/>
  <c r="B16" i="3"/>
  <c r="C15" i="3"/>
  <c r="B15" i="3"/>
  <c r="C14" i="3"/>
  <c r="B14" i="3"/>
  <c r="C13" i="3"/>
  <c r="B13" i="3"/>
  <c r="C12" i="3"/>
  <c r="B12" i="3"/>
  <c r="C11" i="3"/>
  <c r="B11" i="3"/>
  <c r="C10" i="3"/>
  <c r="B10" i="3"/>
  <c r="C9" i="3"/>
  <c r="B9" i="3"/>
  <c r="C8" i="3"/>
  <c r="B8" i="3"/>
  <c r="C7" i="3"/>
  <c r="B7" i="3"/>
  <c r="C6" i="3"/>
  <c r="B6" i="3"/>
  <c r="C5" i="3"/>
  <c r="B5" i="3"/>
  <c r="C4" i="3"/>
  <c r="B4" i="3"/>
  <c r="B22" i="2"/>
  <c r="B23" i="2"/>
  <c r="B24" i="2"/>
  <c r="B25" i="2"/>
  <c r="B26" i="2"/>
  <c r="B27" i="2"/>
  <c r="B28" i="2"/>
  <c r="B29" i="2"/>
  <c r="B30" i="2"/>
  <c r="B31" i="2"/>
  <c r="B32" i="2"/>
  <c r="B33" i="2"/>
  <c r="B34" i="2"/>
  <c r="B35" i="2"/>
  <c r="B36" i="2"/>
  <c r="B37" i="2"/>
  <c r="B38" i="2"/>
  <c r="B39" i="2"/>
  <c r="B40" i="2"/>
  <c r="B41" i="2"/>
  <c r="B42" i="2"/>
  <c r="B21" i="2"/>
  <c r="B7" i="2"/>
  <c r="B8" i="2"/>
  <c r="B9" i="2"/>
  <c r="B10" i="2"/>
  <c r="B11" i="2"/>
  <c r="B12" i="2"/>
  <c r="B13" i="2"/>
  <c r="B14" i="2"/>
  <c r="B15" i="2"/>
  <c r="B16" i="2"/>
  <c r="B17" i="2"/>
  <c r="B18" i="2"/>
  <c r="B19" i="2"/>
  <c r="B20" i="2"/>
  <c r="B6" i="2"/>
  <c r="B5" i="2"/>
  <c r="B4" i="2"/>
  <c r="C21" i="2"/>
  <c r="C22" i="2"/>
  <c r="C23" i="2"/>
  <c r="C24" i="2"/>
  <c r="C25" i="2"/>
  <c r="C26" i="2"/>
  <c r="C27" i="2"/>
  <c r="C28" i="2"/>
  <c r="C29" i="2"/>
  <c r="C30" i="2"/>
  <c r="C31" i="2"/>
  <c r="C32" i="2"/>
  <c r="C33" i="2"/>
  <c r="C34" i="2"/>
  <c r="C35" i="2"/>
  <c r="C36" i="2"/>
  <c r="C37" i="2"/>
  <c r="C38" i="2"/>
  <c r="C39" i="2"/>
  <c r="C40" i="2"/>
  <c r="C41" i="2"/>
  <c r="C20" i="2"/>
  <c r="C6" i="2"/>
  <c r="C7" i="2"/>
  <c r="C8" i="2"/>
  <c r="C9" i="2"/>
  <c r="C10" i="2"/>
  <c r="C11" i="2"/>
  <c r="C12" i="2"/>
  <c r="C13" i="2"/>
  <c r="C14" i="2"/>
  <c r="C15" i="2"/>
  <c r="C16" i="2"/>
  <c r="C17" i="2"/>
  <c r="C18" i="2"/>
  <c r="C19" i="2"/>
  <c r="C5" i="2"/>
  <c r="C4" i="2"/>
</calcChain>
</file>

<file path=xl/sharedStrings.xml><?xml version="1.0" encoding="utf-8"?>
<sst xmlns="http://schemas.openxmlformats.org/spreadsheetml/2006/main" count="286" uniqueCount="91">
  <si>
    <r>
      <rPr>
        <b/>
        <sz val="18"/>
        <color rgb="FFFFFFFF"/>
        <rFont val="Calibri"/>
        <family val="2"/>
      </rPr>
      <t>2024 ELECTRICITY F</t>
    </r>
    <r>
      <rPr>
        <b/>
        <sz val="15"/>
        <color rgb="FFFFFFFF"/>
        <rFont val="Calibri"/>
        <family val="2"/>
      </rPr>
      <t xml:space="preserve">UEL </t>
    </r>
    <r>
      <rPr>
        <b/>
        <sz val="18"/>
        <color rgb="FFFFFFFF"/>
        <rFont val="Calibri"/>
        <family val="2"/>
      </rPr>
      <t>B</t>
    </r>
    <r>
      <rPr>
        <b/>
        <sz val="15"/>
        <color rgb="FFFFFFFF"/>
        <rFont val="Calibri"/>
        <family val="2"/>
      </rPr>
      <t xml:space="preserve">ENEFIT </t>
    </r>
    <r>
      <rPr>
        <b/>
        <sz val="18"/>
        <color rgb="FFFFFFFF"/>
        <rFont val="Calibri"/>
        <family val="2"/>
      </rPr>
      <t>M</t>
    </r>
    <r>
      <rPr>
        <b/>
        <sz val="15"/>
        <color rgb="FFFFFFFF"/>
        <rFont val="Calibri"/>
        <family val="2"/>
      </rPr>
      <t xml:space="preserve">ATRIX
</t>
    </r>
    <r>
      <rPr>
        <sz val="18"/>
        <color rgb="FFFFFFFF"/>
        <rFont val="Calibri"/>
        <family val="2"/>
      </rPr>
      <t>R</t>
    </r>
    <r>
      <rPr>
        <sz val="15"/>
        <color rgb="FFFFFFFF"/>
        <rFont val="Calibri"/>
        <family val="2"/>
      </rPr>
      <t xml:space="preserve">EGULAR </t>
    </r>
    <r>
      <rPr>
        <sz val="18"/>
        <color rgb="FFFFFFFF"/>
        <rFont val="Calibri"/>
        <family val="2"/>
      </rPr>
      <t>A</t>
    </r>
    <r>
      <rPr>
        <sz val="15"/>
        <color rgb="FFFFFFFF"/>
        <rFont val="Calibri"/>
        <family val="2"/>
      </rPr>
      <t>SSISTANCE</t>
    </r>
  </si>
  <si>
    <r>
      <rPr>
        <b/>
        <sz val="14"/>
        <rFont val="Calibri"/>
        <family val="2"/>
      </rPr>
      <t>M</t>
    </r>
    <r>
      <rPr>
        <b/>
        <sz val="11"/>
        <rFont val="Calibri"/>
        <family val="2"/>
      </rPr>
      <t xml:space="preserve">ONTHLY </t>
    </r>
    <r>
      <rPr>
        <b/>
        <sz val="14"/>
        <rFont val="Calibri"/>
        <family val="2"/>
      </rPr>
      <t>C</t>
    </r>
    <r>
      <rPr>
        <b/>
        <sz val="11"/>
        <rFont val="Calibri"/>
        <family val="2"/>
      </rPr>
      <t xml:space="preserve">OUNTABLE </t>
    </r>
    <r>
      <rPr>
        <b/>
        <sz val="14"/>
        <rFont val="Calibri"/>
        <family val="2"/>
      </rPr>
      <t>I</t>
    </r>
    <r>
      <rPr>
        <b/>
        <sz val="11"/>
        <rFont val="Calibri"/>
        <family val="2"/>
      </rPr>
      <t>NCOME</t>
    </r>
  </si>
  <si>
    <r>
      <rPr>
        <b/>
        <sz val="14"/>
        <rFont val="Calibri"/>
        <family val="2"/>
      </rPr>
      <t>M</t>
    </r>
    <r>
      <rPr>
        <b/>
        <sz val="11"/>
        <rFont val="Calibri"/>
        <family val="2"/>
      </rPr>
      <t xml:space="preserve">AXIMUM </t>
    </r>
    <r>
      <rPr>
        <b/>
        <sz val="14"/>
        <rFont val="Calibri"/>
        <family val="2"/>
      </rPr>
      <t>B</t>
    </r>
    <r>
      <rPr>
        <b/>
        <sz val="11"/>
        <rFont val="Calibri"/>
        <family val="2"/>
      </rPr>
      <t xml:space="preserve">ENEFIT </t>
    </r>
    <r>
      <rPr>
        <b/>
        <sz val="14"/>
        <rFont val="Calibri"/>
        <family val="2"/>
      </rPr>
      <t>A</t>
    </r>
    <r>
      <rPr>
        <b/>
        <sz val="11"/>
        <rFont val="Calibri"/>
        <family val="2"/>
      </rPr>
      <t xml:space="preserve">MOUNT </t>
    </r>
    <r>
      <rPr>
        <b/>
        <sz val="14"/>
        <rFont val="Calibri"/>
        <family val="2"/>
      </rPr>
      <t>A</t>
    </r>
    <r>
      <rPr>
        <b/>
        <sz val="11"/>
        <rFont val="Calibri"/>
        <family val="2"/>
      </rPr>
      <t>LLOWED</t>
    </r>
  </si>
  <si>
    <r>
      <rPr>
        <b/>
        <sz val="12"/>
        <rFont val="Calibri"/>
        <family val="2"/>
      </rPr>
      <t>Household Size: 1 – 2</t>
    </r>
  </si>
  <si>
    <r>
      <rPr>
        <b/>
        <sz val="12"/>
        <rFont val="Calibri"/>
        <family val="2"/>
      </rPr>
      <t>Household Size: 3 – 4</t>
    </r>
  </si>
  <si>
    <r>
      <rPr>
        <b/>
        <sz val="12"/>
        <rFont val="Calibri"/>
        <family val="2"/>
      </rPr>
      <t>Household Size: 5+</t>
    </r>
  </si>
  <si>
    <r>
      <rPr>
        <sz val="10"/>
        <rFont val="Times New Roman"/>
        <family val="1"/>
      </rPr>
      <t>$ 0-69</t>
    </r>
  </si>
  <si>
    <r>
      <rPr>
        <sz val="10"/>
        <rFont val="Times New Roman"/>
        <family val="1"/>
      </rPr>
      <t>$ 70-129</t>
    </r>
  </si>
  <si>
    <r>
      <rPr>
        <sz val="10"/>
        <rFont val="Times New Roman"/>
        <family val="1"/>
      </rPr>
      <t>$ 130-189</t>
    </r>
  </si>
  <si>
    <r>
      <rPr>
        <sz val="10"/>
        <rFont val="Times New Roman"/>
        <family val="1"/>
      </rPr>
      <t>$ 190-249</t>
    </r>
  </si>
  <si>
    <r>
      <rPr>
        <sz val="10"/>
        <rFont val="Times New Roman"/>
        <family val="1"/>
      </rPr>
      <t>$ 250-309</t>
    </r>
  </si>
  <si>
    <r>
      <rPr>
        <sz val="10"/>
        <rFont val="Times New Roman"/>
        <family val="1"/>
      </rPr>
      <t>$ 310-369</t>
    </r>
  </si>
  <si>
    <r>
      <rPr>
        <sz val="10"/>
        <rFont val="Times New Roman"/>
        <family val="1"/>
      </rPr>
      <t>$ 370-429</t>
    </r>
  </si>
  <si>
    <r>
      <rPr>
        <sz val="10"/>
        <rFont val="Times New Roman"/>
        <family val="1"/>
      </rPr>
      <t>$ 430-489</t>
    </r>
  </si>
  <si>
    <r>
      <rPr>
        <sz val="10"/>
        <rFont val="Times New Roman"/>
        <family val="1"/>
      </rPr>
      <t>$ 490-549</t>
    </r>
  </si>
  <si>
    <r>
      <rPr>
        <sz val="10"/>
        <rFont val="Times New Roman"/>
        <family val="1"/>
      </rPr>
      <t>$ 550-609</t>
    </r>
  </si>
  <si>
    <r>
      <rPr>
        <sz val="10"/>
        <rFont val="Times New Roman"/>
        <family val="1"/>
      </rPr>
      <t>$ 610-669</t>
    </r>
  </si>
  <si>
    <r>
      <rPr>
        <sz val="10"/>
        <rFont val="Times New Roman"/>
        <family val="1"/>
      </rPr>
      <t>$ 670-729</t>
    </r>
  </si>
  <si>
    <r>
      <rPr>
        <sz val="10"/>
        <rFont val="Times New Roman"/>
        <family val="1"/>
      </rPr>
      <t>$ 730-789</t>
    </r>
  </si>
  <si>
    <r>
      <rPr>
        <sz val="10"/>
        <rFont val="Times New Roman"/>
        <family val="1"/>
      </rPr>
      <t>$ 790-849</t>
    </r>
  </si>
  <si>
    <r>
      <rPr>
        <sz val="10"/>
        <rFont val="Times New Roman"/>
        <family val="1"/>
      </rPr>
      <t>$ 850-909</t>
    </r>
  </si>
  <si>
    <r>
      <rPr>
        <sz val="10"/>
        <rFont val="Times New Roman"/>
        <family val="1"/>
      </rPr>
      <t>$ 910-969</t>
    </r>
  </si>
  <si>
    <r>
      <rPr>
        <sz val="10"/>
        <rFont val="Times New Roman"/>
        <family val="1"/>
      </rPr>
      <t>$ 970-1029</t>
    </r>
  </si>
  <si>
    <r>
      <rPr>
        <sz val="10"/>
        <rFont val="Times New Roman"/>
        <family val="1"/>
      </rPr>
      <t>$ 1030-1089</t>
    </r>
  </si>
  <si>
    <r>
      <rPr>
        <sz val="10"/>
        <rFont val="Times New Roman"/>
        <family val="1"/>
      </rPr>
      <t>$ 1090-1149</t>
    </r>
  </si>
  <si>
    <r>
      <rPr>
        <sz val="10"/>
        <rFont val="Times New Roman"/>
        <family val="1"/>
      </rPr>
      <t>$ 1150-1209</t>
    </r>
  </si>
  <si>
    <r>
      <rPr>
        <sz val="10"/>
        <rFont val="Times New Roman"/>
        <family val="1"/>
      </rPr>
      <t>$ 1210-1269</t>
    </r>
  </si>
  <si>
    <r>
      <rPr>
        <sz val="10"/>
        <rFont val="Times New Roman"/>
        <family val="1"/>
      </rPr>
      <t>$ 1270-1329</t>
    </r>
  </si>
  <si>
    <r>
      <rPr>
        <sz val="10"/>
        <rFont val="Times New Roman"/>
        <family val="1"/>
      </rPr>
      <t>$ 1330-1389</t>
    </r>
  </si>
  <si>
    <r>
      <rPr>
        <sz val="10"/>
        <rFont val="Times New Roman"/>
        <family val="1"/>
      </rPr>
      <t>$ 1390-1449</t>
    </r>
  </si>
  <si>
    <r>
      <rPr>
        <sz val="10"/>
        <rFont val="Times New Roman"/>
        <family val="1"/>
      </rPr>
      <t>$ 1450-1509</t>
    </r>
  </si>
  <si>
    <r>
      <rPr>
        <sz val="10"/>
        <rFont val="Times New Roman"/>
        <family val="1"/>
      </rPr>
      <t>$ 1510-1569</t>
    </r>
  </si>
  <si>
    <r>
      <rPr>
        <sz val="10"/>
        <rFont val="Times New Roman"/>
        <family val="1"/>
      </rPr>
      <t>$ 1570-1629</t>
    </r>
  </si>
  <si>
    <r>
      <rPr>
        <sz val="10"/>
        <rFont val="Times New Roman"/>
        <family val="1"/>
      </rPr>
      <t>$ 1630-1689</t>
    </r>
  </si>
  <si>
    <r>
      <rPr>
        <sz val="10"/>
        <rFont val="Times New Roman"/>
        <family val="1"/>
      </rPr>
      <t>$ 1690-1749</t>
    </r>
  </si>
  <si>
    <r>
      <rPr>
        <sz val="10"/>
        <rFont val="Times New Roman"/>
        <family val="1"/>
      </rPr>
      <t>$ 1750-1869</t>
    </r>
  </si>
  <si>
    <r>
      <rPr>
        <sz val="10"/>
        <rFont val="Times New Roman"/>
        <family val="1"/>
      </rPr>
      <t>$ 1870-1989</t>
    </r>
  </si>
  <si>
    <r>
      <rPr>
        <sz val="10"/>
        <rFont val="Times New Roman"/>
        <family val="1"/>
      </rPr>
      <t>$ 1990-2009</t>
    </r>
  </si>
  <si>
    <r>
      <rPr>
        <sz val="10"/>
        <rFont val="Times New Roman"/>
        <family val="1"/>
      </rPr>
      <t>$ 2010-2129</t>
    </r>
  </si>
  <si>
    <r>
      <rPr>
        <sz val="10"/>
        <rFont val="Times New Roman"/>
        <family val="1"/>
      </rPr>
      <t>$ 2130-2249</t>
    </r>
  </si>
  <si>
    <r>
      <rPr>
        <sz val="10"/>
        <rFont val="Times New Roman"/>
        <family val="1"/>
      </rPr>
      <t>$ 2250-2369</t>
    </r>
  </si>
  <si>
    <r>
      <rPr>
        <sz val="10"/>
        <rFont val="Times New Roman"/>
        <family val="1"/>
      </rPr>
      <t>$ 2370-2489</t>
    </r>
  </si>
  <si>
    <r>
      <rPr>
        <sz val="10"/>
        <rFont val="Times New Roman"/>
        <family val="1"/>
      </rPr>
      <t>$ 2490-3317</t>
    </r>
  </si>
  <si>
    <r>
      <rPr>
        <sz val="10"/>
        <rFont val="Times New Roman"/>
        <family val="1"/>
      </rPr>
      <t>$ 3318-4580</t>
    </r>
  </si>
  <si>
    <r>
      <rPr>
        <sz val="10"/>
        <rFont val="Times New Roman"/>
        <family val="1"/>
      </rPr>
      <t>$ 4581-Max</t>
    </r>
  </si>
  <si>
    <r>
      <rPr>
        <sz val="11"/>
        <rFont val="Times New Roman"/>
        <family val="1"/>
      </rPr>
      <t>Categorically Eligible Households with total income outside of chart values are eligible for the lowest available benefit indicated.   Crisis benefit amounts are based on household income and bill amount up to $500.</t>
    </r>
  </si>
  <si>
    <r>
      <rPr>
        <b/>
        <sz val="14"/>
        <rFont val="Calibri"/>
        <family val="2"/>
      </rPr>
      <t>M</t>
    </r>
    <r>
      <rPr>
        <b/>
        <sz val="11"/>
        <rFont val="Calibri"/>
        <family val="2"/>
      </rPr>
      <t xml:space="preserve">ONTHLY Minimum </t>
    </r>
    <r>
      <rPr>
        <b/>
        <sz val="14"/>
        <rFont val="Calibri"/>
        <family val="2"/>
      </rPr>
      <t>I</t>
    </r>
    <r>
      <rPr>
        <b/>
        <sz val="11"/>
        <rFont val="Calibri"/>
        <family val="2"/>
      </rPr>
      <t>NCOME</t>
    </r>
  </si>
  <si>
    <r>
      <rPr>
        <b/>
        <sz val="14"/>
        <rFont val="Calibri"/>
        <family val="2"/>
      </rPr>
      <t>M</t>
    </r>
    <r>
      <rPr>
        <b/>
        <sz val="11"/>
        <rFont val="Calibri"/>
        <family val="2"/>
      </rPr>
      <t xml:space="preserve">ONTHLY Maximum </t>
    </r>
    <r>
      <rPr>
        <b/>
        <sz val="14"/>
        <rFont val="Calibri"/>
        <family val="2"/>
      </rPr>
      <t>I</t>
    </r>
    <r>
      <rPr>
        <b/>
        <sz val="11"/>
        <rFont val="Calibri"/>
        <family val="2"/>
      </rPr>
      <t>NCOME</t>
    </r>
  </si>
  <si>
    <r>
      <rPr>
        <b/>
        <sz val="18"/>
        <color rgb="FFFFFFFF"/>
        <rFont val="Calibri"/>
        <family val="2"/>
      </rPr>
      <t>2024 F</t>
    </r>
    <r>
      <rPr>
        <b/>
        <sz val="15"/>
        <color rgb="FFFFFFFF"/>
        <rFont val="Calibri"/>
        <family val="2"/>
      </rPr>
      <t xml:space="preserve">UEL OIL </t>
    </r>
    <r>
      <rPr>
        <b/>
        <sz val="18"/>
        <color rgb="FFFFFFFF"/>
        <rFont val="Calibri"/>
        <family val="2"/>
      </rPr>
      <t>B</t>
    </r>
    <r>
      <rPr>
        <b/>
        <sz val="15"/>
        <color rgb="FFFFFFFF"/>
        <rFont val="Calibri"/>
        <family val="2"/>
      </rPr>
      <t xml:space="preserve">ENEFIT </t>
    </r>
    <r>
      <rPr>
        <b/>
        <sz val="18"/>
        <color rgb="FFFFFFFF"/>
        <rFont val="Calibri"/>
        <family val="2"/>
      </rPr>
      <t>M</t>
    </r>
    <r>
      <rPr>
        <b/>
        <sz val="15"/>
        <color rgb="FFFFFFFF"/>
        <rFont val="Calibri"/>
        <family val="2"/>
      </rPr>
      <t xml:space="preserve">ATRIX
</t>
    </r>
    <r>
      <rPr>
        <sz val="18"/>
        <color rgb="FFFFFFFF"/>
        <rFont val="Calibri"/>
        <family val="2"/>
      </rPr>
      <t>R</t>
    </r>
    <r>
      <rPr>
        <sz val="15"/>
        <color rgb="FFFFFFFF"/>
        <rFont val="Calibri"/>
        <family val="2"/>
      </rPr>
      <t xml:space="preserve">EGULAR </t>
    </r>
    <r>
      <rPr>
        <sz val="18"/>
        <color rgb="FFFFFFFF"/>
        <rFont val="Calibri"/>
        <family val="2"/>
      </rPr>
      <t>A</t>
    </r>
    <r>
      <rPr>
        <sz val="15"/>
        <color rgb="FFFFFFFF"/>
        <rFont val="Calibri"/>
        <family val="2"/>
      </rPr>
      <t>SSISTANCE</t>
    </r>
  </si>
  <si>
    <t>$ 0-69</t>
  </si>
  <si>
    <t>$ 70-129</t>
  </si>
  <si>
    <t>$ 130-189</t>
  </si>
  <si>
    <t>$ 190-249</t>
  </si>
  <si>
    <t>$ 250-309</t>
  </si>
  <si>
    <t>$ 310-369</t>
  </si>
  <si>
    <t>$ 370-429</t>
  </si>
  <si>
    <t>$ 430-489</t>
  </si>
  <si>
    <t>$ 490-549</t>
  </si>
  <si>
    <t>$ 550-609</t>
  </si>
  <si>
    <t>$ 610-669</t>
  </si>
  <si>
    <t>$ 670-729</t>
  </si>
  <si>
    <t>$ 730-789</t>
  </si>
  <si>
    <t>$ 790-849</t>
  </si>
  <si>
    <t>$ 850-909</t>
  </si>
  <si>
    <t>$ 910-969</t>
  </si>
  <si>
    <t>$ 970-1029</t>
  </si>
  <si>
    <t>$ 1030-1089</t>
  </si>
  <si>
    <t>$ 1090-1149</t>
  </si>
  <si>
    <t>$ 1150-1209</t>
  </si>
  <si>
    <t>$ 1210-1269</t>
  </si>
  <si>
    <t>$ 1270-1329</t>
  </si>
  <si>
    <t>$ 1330-1389</t>
  </si>
  <si>
    <t>$ 1390-1449</t>
  </si>
  <si>
    <t>$ 1450-1509</t>
  </si>
  <si>
    <t>$ 1510-1569</t>
  </si>
  <si>
    <t>$ 1570-1629</t>
  </si>
  <si>
    <t>$ 1630-1689</t>
  </si>
  <si>
    <t>$ 1690-1749</t>
  </si>
  <si>
    <t>$ 1750-1869</t>
  </si>
  <si>
    <t>$ 1870-1989</t>
  </si>
  <si>
    <t>$ 1990-2009</t>
  </si>
  <si>
    <t>$ 2010-2129</t>
  </si>
  <si>
    <t>$ 2130-2249</t>
  </si>
  <si>
    <t>$ 2250-2369</t>
  </si>
  <si>
    <t>$ 2370-2489</t>
  </si>
  <si>
    <t>$ 2490-3317</t>
  </si>
  <si>
    <t>$ 3318-4580</t>
  </si>
  <si>
    <t>$ 4581-Max</t>
  </si>
  <si>
    <r>
      <rPr>
        <b/>
        <sz val="18"/>
        <color rgb="FFFFFFFF"/>
        <rFont val="Calibri"/>
        <family val="2"/>
      </rPr>
      <t>2024 NATURAL GAS F</t>
    </r>
    <r>
      <rPr>
        <b/>
        <sz val="15"/>
        <color rgb="FFFFFFFF"/>
        <rFont val="Calibri"/>
        <family val="2"/>
      </rPr>
      <t xml:space="preserve">UEL </t>
    </r>
    <r>
      <rPr>
        <b/>
        <sz val="18"/>
        <color rgb="FFFFFFFF"/>
        <rFont val="Calibri"/>
        <family val="2"/>
      </rPr>
      <t>B</t>
    </r>
    <r>
      <rPr>
        <b/>
        <sz val="15"/>
        <color rgb="FFFFFFFF"/>
        <rFont val="Calibri"/>
        <family val="2"/>
      </rPr>
      <t xml:space="preserve">ENEFIT </t>
    </r>
    <r>
      <rPr>
        <b/>
        <sz val="18"/>
        <color rgb="FFFFFFFF"/>
        <rFont val="Calibri"/>
        <family val="2"/>
      </rPr>
      <t>M</t>
    </r>
    <r>
      <rPr>
        <b/>
        <sz val="15"/>
        <color rgb="FFFFFFFF"/>
        <rFont val="Calibri"/>
        <family val="2"/>
      </rPr>
      <t xml:space="preserve">ATRIX
</t>
    </r>
    <r>
      <rPr>
        <sz val="18"/>
        <color rgb="FFFFFFFF"/>
        <rFont val="Calibri"/>
        <family val="2"/>
      </rPr>
      <t>R</t>
    </r>
    <r>
      <rPr>
        <sz val="15"/>
        <color rgb="FFFFFFFF"/>
        <rFont val="Calibri"/>
        <family val="2"/>
      </rPr>
      <t xml:space="preserve">EGULAR </t>
    </r>
    <r>
      <rPr>
        <sz val="18"/>
        <color rgb="FFFFFFFF"/>
        <rFont val="Calibri"/>
        <family val="2"/>
      </rPr>
      <t>A</t>
    </r>
    <r>
      <rPr>
        <sz val="15"/>
        <color rgb="FFFFFFFF"/>
        <rFont val="Calibri"/>
        <family val="2"/>
      </rPr>
      <t>SSISTANCE</t>
    </r>
  </si>
  <si>
    <r>
      <rPr>
        <b/>
        <sz val="18"/>
        <color rgb="FFFFFFFF"/>
        <rFont val="Calibri"/>
        <family val="2"/>
      </rPr>
      <t>2024 WOOD PELLETS &amp; OTHER</t>
    </r>
    <r>
      <rPr>
        <b/>
        <sz val="15"/>
        <color rgb="FFFFFFFF"/>
        <rFont val="Calibri"/>
        <family val="2"/>
      </rPr>
      <t xml:space="preserve"> </t>
    </r>
    <r>
      <rPr>
        <b/>
        <sz val="18"/>
        <color rgb="FFFFFFFF"/>
        <rFont val="Calibri"/>
        <family val="2"/>
      </rPr>
      <t>B</t>
    </r>
    <r>
      <rPr>
        <b/>
        <sz val="15"/>
        <color rgb="FFFFFFFF"/>
        <rFont val="Calibri"/>
        <family val="2"/>
      </rPr>
      <t xml:space="preserve">ENEFIT </t>
    </r>
    <r>
      <rPr>
        <b/>
        <sz val="18"/>
        <color rgb="FFFFFFFF"/>
        <rFont val="Calibri"/>
        <family val="2"/>
      </rPr>
      <t>M</t>
    </r>
    <r>
      <rPr>
        <b/>
        <sz val="15"/>
        <color rgb="FFFFFFFF"/>
        <rFont val="Calibri"/>
        <family val="2"/>
      </rPr>
      <t xml:space="preserve">ATRIX
</t>
    </r>
    <r>
      <rPr>
        <sz val="18"/>
        <color rgb="FFFFFFFF"/>
        <rFont val="Calibri"/>
        <family val="2"/>
      </rPr>
      <t>R</t>
    </r>
    <r>
      <rPr>
        <sz val="15"/>
        <color rgb="FFFFFFFF"/>
        <rFont val="Calibri"/>
        <family val="2"/>
      </rPr>
      <t xml:space="preserve">EGULAR </t>
    </r>
    <r>
      <rPr>
        <sz val="18"/>
        <color rgb="FFFFFFFF"/>
        <rFont val="Calibri"/>
        <family val="2"/>
      </rPr>
      <t>A</t>
    </r>
    <r>
      <rPr>
        <sz val="15"/>
        <color rgb="FFFFFFFF"/>
        <rFont val="Calibri"/>
        <family val="2"/>
      </rPr>
      <t>SSISTANCE</t>
    </r>
  </si>
  <si>
    <r>
      <rPr>
        <b/>
        <sz val="18"/>
        <color rgb="FFFFFFFF"/>
        <rFont val="Calibri"/>
        <family val="2"/>
      </rPr>
      <t>2024 PROPANE F</t>
    </r>
    <r>
      <rPr>
        <b/>
        <sz val="15"/>
        <color rgb="FFFFFFFF"/>
        <rFont val="Calibri"/>
        <family val="2"/>
      </rPr>
      <t xml:space="preserve">UEL </t>
    </r>
    <r>
      <rPr>
        <b/>
        <sz val="18"/>
        <color rgb="FFFFFFFF"/>
        <rFont val="Calibri"/>
        <family val="2"/>
      </rPr>
      <t>B</t>
    </r>
    <r>
      <rPr>
        <b/>
        <sz val="15"/>
        <color rgb="FFFFFFFF"/>
        <rFont val="Calibri"/>
        <family val="2"/>
      </rPr>
      <t xml:space="preserve">ENEFIT </t>
    </r>
    <r>
      <rPr>
        <b/>
        <sz val="18"/>
        <color rgb="FFFFFFFF"/>
        <rFont val="Calibri"/>
        <family val="2"/>
      </rPr>
      <t>M</t>
    </r>
    <r>
      <rPr>
        <b/>
        <sz val="15"/>
        <color rgb="FFFFFFFF"/>
        <rFont val="Calibri"/>
        <family val="2"/>
      </rPr>
      <t xml:space="preserve">ATRIX
</t>
    </r>
    <r>
      <rPr>
        <sz val="18"/>
        <color rgb="FFFFFFFF"/>
        <rFont val="Calibri"/>
        <family val="2"/>
      </rPr>
      <t>R</t>
    </r>
    <r>
      <rPr>
        <sz val="15"/>
        <color rgb="FFFFFFFF"/>
        <rFont val="Calibri"/>
        <family val="2"/>
      </rPr>
      <t xml:space="preserve">EGULAR </t>
    </r>
    <r>
      <rPr>
        <sz val="18"/>
        <color rgb="FFFFFFFF"/>
        <rFont val="Calibri"/>
        <family val="2"/>
      </rPr>
      <t>A</t>
    </r>
    <r>
      <rPr>
        <sz val="15"/>
        <color rgb="FFFFFFFF"/>
        <rFont val="Calibri"/>
        <family val="2"/>
      </rPr>
      <t>SSISTANCE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</si>
</sst>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6" x14ac:knownFonts="1">
    <font>
      <sz val="10"/>
      <color rgb="FF000000"/>
      <name val="Times New Roman"/>
      <charset val="204"/>
    </font>
    <font>
      <b/>
      <sz val="12"/>
      <name val="Calibri"/>
    </font>
    <font>
      <sz val="10"/>
      <name val="Times New Roman"/>
    </font>
    <font>
      <sz val="10"/>
      <color rgb="FF000000"/>
      <name val="Times New Roman"/>
      <family val="2"/>
    </font>
    <font>
      <sz val="11"/>
      <name val="Times New Roman"/>
    </font>
    <font>
      <b/>
      <sz val="18"/>
      <color rgb="FFFFFFFF"/>
      <name val="Calibri"/>
      <family val="2"/>
    </font>
    <font>
      <b/>
      <sz val="15"/>
      <color rgb="FFFFFFFF"/>
      <name val="Calibri"/>
      <family val="2"/>
    </font>
    <font>
      <sz val="18"/>
      <color rgb="FFFFFFFF"/>
      <name val="Calibri"/>
      <family val="2"/>
    </font>
    <font>
      <sz val="15"/>
      <color rgb="FFFFFFFF"/>
      <name val="Calibri"/>
      <family val="2"/>
    </font>
    <font>
      <b/>
      <sz val="14"/>
      <name val="Calibri"/>
      <family val="2"/>
    </font>
    <font>
      <b/>
      <sz val="11"/>
      <name val="Calibri"/>
      <family val="2"/>
    </font>
    <font>
      <b/>
      <sz val="12"/>
      <name val="Calibri"/>
      <family val="2"/>
    </font>
    <font>
      <sz val="10"/>
      <name val="Times New Roman"/>
      <family val="1"/>
    </font>
    <font>
      <sz val="11"/>
      <name val="Times New Roman"/>
      <family val="1"/>
    </font>
    <font>
      <b/>
      <sz val="10"/>
      <name val="Calibri"/>
      <family val="2"/>
    </font>
    <font>
      <sz val="10"/>
      <color rgb="FFFFFFFF"/>
      <name val="Calibri"/>
      <family val="2"/>
    </font>
  </fonts>
  <fills count="5">
    <fill>
      <patternFill patternType="none"/>
    </fill>
    <fill>
      <patternFill patternType="gray125"/>
    </fill>
    <fill>
      <patternFill patternType="solid">
        <fgColor rgb="FFFFC000"/>
      </patternFill>
    </fill>
    <fill>
      <patternFill patternType="solid">
        <fgColor rgb="FF23AEB7"/>
      </patternFill>
    </fill>
    <fill>
      <patternFill patternType="solid">
        <fgColor rgb="FFF1F1F1"/>
      </patternFill>
    </fill>
  </fills>
  <borders count="16">
    <border>
      <left/>
      <right/>
      <top/>
      <bottom/>
      <diagonal/>
    </border>
    <border>
      <left style="thin">
        <color rgb="FF23AEB7"/>
      </left>
      <right/>
      <top style="thin">
        <color rgb="FF23AEB7"/>
      </top>
      <bottom/>
      <diagonal/>
    </border>
    <border>
      <left/>
      <right/>
      <top style="thin">
        <color rgb="FF23AEB7"/>
      </top>
      <bottom/>
      <diagonal/>
    </border>
    <border>
      <left/>
      <right style="thin">
        <color rgb="FF23AEB7"/>
      </right>
      <top style="thin">
        <color rgb="FF23AEB7"/>
      </top>
      <bottom/>
      <diagonal/>
    </border>
    <border>
      <left/>
      <right/>
      <top style="thin">
        <color rgb="FFFFFFFF"/>
      </top>
      <bottom style="thin">
        <color rgb="FFFFFFFF"/>
      </bottom>
      <diagonal/>
    </border>
    <border>
      <left/>
      <right/>
      <top style="thin">
        <color rgb="FFFFFFFF"/>
      </top>
      <bottom/>
      <diagonal/>
    </border>
    <border>
      <left/>
      <right/>
      <top/>
      <bottom style="thin">
        <color rgb="FFFFFFFF"/>
      </bottom>
      <diagonal/>
    </border>
    <border>
      <left/>
      <right style="thin">
        <color rgb="FF23AEB7"/>
      </right>
      <top style="thin">
        <color rgb="FFFFFFFF"/>
      </top>
      <bottom style="thin">
        <color rgb="FFFFFFFF"/>
      </bottom>
      <diagonal/>
    </border>
    <border>
      <left style="thin">
        <color rgb="FF23AEB7"/>
      </left>
      <right style="thin">
        <color rgb="FF23AEB7"/>
      </right>
      <top style="thin">
        <color rgb="FFFFFFFF"/>
      </top>
      <bottom style="thin">
        <color rgb="FF23AEB7"/>
      </bottom>
      <diagonal/>
    </border>
    <border>
      <left style="thin">
        <color rgb="FF23AEB7"/>
      </left>
      <right style="thin">
        <color rgb="FF23AEB7"/>
      </right>
      <top style="thin">
        <color rgb="FF23AEB7"/>
      </top>
      <bottom style="thin">
        <color rgb="FF23AEB7"/>
      </bottom>
      <diagonal/>
    </border>
    <border>
      <left style="thin">
        <color rgb="FF23AEB7"/>
      </left>
      <right/>
      <top style="thin">
        <color rgb="FF23AEB7"/>
      </top>
      <bottom style="thin">
        <color rgb="FF23AEB7"/>
      </bottom>
      <diagonal/>
    </border>
    <border>
      <left/>
      <right/>
      <top style="thin">
        <color rgb="FF23AEB7"/>
      </top>
      <bottom style="thin">
        <color rgb="FF23AEB7"/>
      </bottom>
      <diagonal/>
    </border>
    <border>
      <left/>
      <right style="thin">
        <color rgb="FF23AEB7"/>
      </right>
      <top style="thin">
        <color rgb="FF23AEB7"/>
      </top>
      <bottom style="thin">
        <color rgb="FF23AEB7"/>
      </bottom>
      <diagonal/>
    </border>
    <border>
      <left/>
      <right/>
      <top style="thin">
        <color rgb="FF23AEB7"/>
      </top>
      <bottom style="thin">
        <color rgb="FFFFFFFF"/>
      </bottom>
      <diagonal/>
    </border>
    <border>
      <left/>
      <right style="thin">
        <color rgb="FF23AEB7"/>
      </right>
      <top style="thin">
        <color rgb="FF23AEB7"/>
      </top>
      <bottom style="thin">
        <color rgb="FFFFFFFF"/>
      </bottom>
      <diagonal/>
    </border>
    <border>
      <left style="thin">
        <color rgb="FF23AEB7"/>
      </left>
      <right/>
      <top style="thin">
        <color rgb="FF23AEB7"/>
      </top>
      <bottom style="thin">
        <color rgb="FFFFFFFF"/>
      </bottom>
      <diagonal/>
    </border>
  </borders>
  <cellStyleXfs count="1">
    <xf numFmtId="0" fontId="0" fillId="0" borderId="0"/>
  </cellStyleXfs>
  <cellXfs count="21">
    <xf numFmtId="0" fontId="0" fillId="0" borderId="0" xfId="0" applyAlignment="1">
      <alignment horizontal="left" vertical="top"/>
    </xf>
    <xf numFmtId="0" fontId="1" fillId="2" borderId="4" xfId="0" applyFont="1" applyFill="1" applyBorder="1" applyAlignment="1">
      <alignment horizontal="right" vertical="top" wrapText="1"/>
    </xf>
    <xf numFmtId="0" fontId="1" fillId="2" borderId="7" xfId="0" applyFont="1" applyFill="1" applyBorder="1" applyAlignment="1">
      <alignment horizontal="left" vertical="top" wrapText="1" indent="1"/>
    </xf>
    <xf numFmtId="0" fontId="2" fillId="4" borderId="8" xfId="0" applyFont="1" applyFill="1" applyBorder="1" applyAlignment="1">
      <alignment horizontal="right" vertical="top" wrapText="1"/>
    </xf>
    <xf numFmtId="164" fontId="3" fillId="4" borderId="8" xfId="0" applyNumberFormat="1" applyFont="1" applyFill="1" applyBorder="1" applyAlignment="1">
      <alignment horizontal="right" vertical="top" wrapText="1"/>
    </xf>
    <xf numFmtId="0" fontId="2" fillId="4" borderId="9" xfId="0" applyFont="1" applyFill="1" applyBorder="1" applyAlignment="1">
      <alignment horizontal="right" vertical="top" wrapText="1"/>
    </xf>
    <xf numFmtId="164" fontId="3" fillId="4" borderId="9" xfId="0" applyNumberFormat="1" applyFont="1" applyFill="1" applyBorder="1" applyAlignment="1">
      <alignment horizontal="right" vertical="top" wrapText="1"/>
    </xf>
    <xf numFmtId="0" fontId="0" fillId="2" borderId="1" xfId="0" applyFill="1" applyBorder="1" applyAlignment="1">
      <alignment horizontal="center" vertical="top" wrapText="1"/>
    </xf>
    <xf numFmtId="0" fontId="0" fillId="2" borderId="2" xfId="0" applyFill="1" applyBorder="1" applyAlignment="1">
      <alignment horizontal="center" vertical="top" wrapText="1"/>
    </xf>
    <xf numFmtId="0" fontId="0" fillId="2" borderId="3" xfId="0" applyFill="1" applyBorder="1" applyAlignment="1">
      <alignment horizontal="center" vertical="top" wrapText="1"/>
    </xf>
    <xf numFmtId="0" fontId="0" fillId="3" borderId="5" xfId="0" applyFill="1" applyBorder="1" applyAlignment="1">
      <alignment horizontal="left" vertical="top" wrapText="1" indent="5"/>
    </xf>
    <xf numFmtId="0" fontId="0" fillId="3" borderId="6" xfId="0" applyFill="1" applyBorder="1" applyAlignment="1">
      <alignment horizontal="left" vertical="top" wrapText="1" indent="5"/>
    </xf>
    <xf numFmtId="0" fontId="0" fillId="3" borderId="4" xfId="0" applyFill="1" applyBorder="1" applyAlignment="1">
      <alignment horizontal="left" vertical="top" wrapText="1" indent="10"/>
    </xf>
    <xf numFmtId="0" fontId="4" fillId="4" borderId="10" xfId="0" applyFont="1" applyFill="1" applyBorder="1" applyAlignment="1">
      <alignment horizontal="left" vertical="top" wrapText="1"/>
    </xf>
    <xf numFmtId="0" fontId="4" fillId="4" borderId="11" xfId="0" applyFont="1" applyFill="1" applyBorder="1" applyAlignment="1">
      <alignment horizontal="left" vertical="top" wrapText="1"/>
    </xf>
    <xf numFmtId="0" fontId="4" fillId="4" borderId="12" xfId="0" applyFont="1" applyFill="1" applyBorder="1" applyAlignment="1">
      <alignment horizontal="left" vertical="top" wrapText="1"/>
    </xf>
    <xf numFmtId="0" fontId="14" fillId="3" borderId="5" xfId="0" applyFont="1" applyFill="1" applyBorder="1" applyAlignment="1">
      <alignment horizontal="left" vertical="top" wrapText="1" indent="5"/>
    </xf>
    <xf numFmtId="0" fontId="0" fillId="2" borderId="13" xfId="0" applyFill="1" applyBorder="1" applyAlignment="1">
      <alignment horizontal="center" vertical="top" wrapText="1"/>
    </xf>
    <xf numFmtId="0" fontId="0" fillId="2" borderId="14" xfId="0" applyFill="1" applyBorder="1" applyAlignment="1">
      <alignment horizontal="center" vertical="top" wrapText="1"/>
    </xf>
    <xf numFmtId="0" fontId="15" fillId="2" borderId="15" xfId="0" applyFont="1" applyFill="1" applyBorder="1" applyAlignment="1">
      <alignment horizontal="center" vertical="top" wrapText="1"/>
    </xf>
    <xf numFmtId="0" fontId="15" fillId="2"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
  <sheetViews>
    <sheetView workbookViewId="0">
      <selection activeCell="A4" sqref="A4"/>
    </sheetView>
  </sheetViews>
  <sheetFormatPr defaultRowHeight="13" x14ac:dyDescent="0.3"/>
  <cols>
    <col min="1" max="1" width="42.8984375" customWidth="1"/>
    <col min="2" max="4" width="27.09765625" customWidth="1"/>
  </cols>
  <sheetData>
    <row r="1" spans="1:4" ht="56" customHeight="1" x14ac:dyDescent="0.3">
      <c r="A1" s="7" t="s">
        <v>0</v>
      </c>
      <c r="B1" s="8"/>
      <c r="C1" s="8"/>
      <c r="D1" s="9"/>
    </row>
    <row r="2" spans="1:4" ht="22" customHeight="1" x14ac:dyDescent="0.3">
      <c r="A2" s="10" t="s">
        <v>1</v>
      </c>
      <c r="B2" s="12" t="s">
        <v>2</v>
      </c>
      <c r="C2" s="12"/>
      <c r="D2" s="12"/>
    </row>
    <row r="3" spans="1:4" ht="28" customHeight="1" x14ac:dyDescent="0.3">
      <c r="A3" s="11"/>
      <c r="B3" s="1" t="s">
        <v>3</v>
      </c>
      <c r="C3" s="1" t="s">
        <v>4</v>
      </c>
      <c r="D3" s="2" t="s">
        <v>5</v>
      </c>
    </row>
    <row r="4" spans="1:4" ht="14" customHeight="1" x14ac:dyDescent="0.3">
      <c r="A4" s="3" t="s">
        <v>6</v>
      </c>
      <c r="B4" s="4">
        <v>202</v>
      </c>
      <c r="C4" s="4">
        <v>240</v>
      </c>
      <c r="D4" s="4">
        <v>287</v>
      </c>
    </row>
    <row r="5" spans="1:4" ht="13" customHeight="1" x14ac:dyDescent="0.3">
      <c r="A5" s="5" t="s">
        <v>7</v>
      </c>
      <c r="B5" s="6">
        <v>194</v>
      </c>
      <c r="C5" s="6">
        <v>230</v>
      </c>
      <c r="D5" s="6">
        <v>278</v>
      </c>
    </row>
    <row r="6" spans="1:4" ht="13" customHeight="1" x14ac:dyDescent="0.3">
      <c r="A6" s="5" t="s">
        <v>8</v>
      </c>
      <c r="B6" s="6">
        <v>184</v>
      </c>
      <c r="C6" s="6">
        <v>222</v>
      </c>
      <c r="D6" s="6">
        <v>268</v>
      </c>
    </row>
    <row r="7" spans="1:4" ht="13" customHeight="1" x14ac:dyDescent="0.3">
      <c r="A7" s="5" t="s">
        <v>9</v>
      </c>
      <c r="B7" s="6">
        <v>174</v>
      </c>
      <c r="C7" s="6">
        <v>212</v>
      </c>
      <c r="D7" s="6">
        <v>258</v>
      </c>
    </row>
    <row r="8" spans="1:4" ht="13" customHeight="1" x14ac:dyDescent="0.3">
      <c r="A8" s="5" t="s">
        <v>10</v>
      </c>
      <c r="B8" s="6">
        <v>166</v>
      </c>
      <c r="C8" s="6">
        <v>202</v>
      </c>
      <c r="D8" s="6">
        <v>250</v>
      </c>
    </row>
    <row r="9" spans="1:4" ht="13" customHeight="1" x14ac:dyDescent="0.3">
      <c r="A9" s="5" t="s">
        <v>11</v>
      </c>
      <c r="B9" s="6">
        <v>156</v>
      </c>
      <c r="C9" s="6">
        <v>194</v>
      </c>
      <c r="D9" s="6">
        <v>240</v>
      </c>
    </row>
    <row r="10" spans="1:4" ht="13" customHeight="1" x14ac:dyDescent="0.3">
      <c r="A10" s="5" t="s">
        <v>12</v>
      </c>
      <c r="B10" s="6">
        <v>149</v>
      </c>
      <c r="C10" s="6">
        <v>186</v>
      </c>
      <c r="D10" s="6">
        <v>230</v>
      </c>
    </row>
    <row r="11" spans="1:4" ht="13" customHeight="1" x14ac:dyDescent="0.3">
      <c r="A11" s="5" t="s">
        <v>13</v>
      </c>
      <c r="B11" s="6">
        <v>145</v>
      </c>
      <c r="C11" s="6">
        <v>179</v>
      </c>
      <c r="D11" s="6">
        <v>222</v>
      </c>
    </row>
    <row r="12" spans="1:4" ht="13" customHeight="1" x14ac:dyDescent="0.3">
      <c r="A12" s="5" t="s">
        <v>14</v>
      </c>
      <c r="B12" s="6">
        <v>142</v>
      </c>
      <c r="C12" s="6">
        <v>174</v>
      </c>
      <c r="D12" s="6">
        <v>212</v>
      </c>
    </row>
    <row r="13" spans="1:4" ht="13" customHeight="1" x14ac:dyDescent="0.3">
      <c r="A13" s="5" t="s">
        <v>15</v>
      </c>
      <c r="B13" s="6">
        <v>138</v>
      </c>
      <c r="C13" s="6">
        <v>170</v>
      </c>
      <c r="D13" s="6">
        <v>202</v>
      </c>
    </row>
    <row r="14" spans="1:4" ht="13" customHeight="1" x14ac:dyDescent="0.3">
      <c r="A14" s="5" t="s">
        <v>16</v>
      </c>
      <c r="B14" s="6">
        <v>133</v>
      </c>
      <c r="C14" s="6">
        <v>164</v>
      </c>
      <c r="D14" s="6">
        <v>194</v>
      </c>
    </row>
    <row r="15" spans="1:4" ht="13" customHeight="1" x14ac:dyDescent="0.3">
      <c r="A15" s="5" t="s">
        <v>17</v>
      </c>
      <c r="B15" s="6">
        <v>129</v>
      </c>
      <c r="C15" s="6">
        <v>160</v>
      </c>
      <c r="D15" s="6">
        <v>184</v>
      </c>
    </row>
    <row r="16" spans="1:4" ht="13" customHeight="1" x14ac:dyDescent="0.3">
      <c r="A16" s="5" t="s">
        <v>18</v>
      </c>
      <c r="B16" s="6">
        <v>124</v>
      </c>
      <c r="C16" s="6">
        <v>156</v>
      </c>
      <c r="D16" s="6">
        <v>174</v>
      </c>
    </row>
    <row r="17" spans="1:4" ht="13" customHeight="1" x14ac:dyDescent="0.3">
      <c r="A17" s="5" t="s">
        <v>19</v>
      </c>
      <c r="B17" s="6">
        <v>119</v>
      </c>
      <c r="C17" s="6">
        <v>151</v>
      </c>
      <c r="D17" s="6">
        <v>166</v>
      </c>
    </row>
    <row r="18" spans="1:4" ht="13" customHeight="1" x14ac:dyDescent="0.3">
      <c r="A18" s="5" t="s">
        <v>20</v>
      </c>
      <c r="B18" s="6">
        <v>115</v>
      </c>
      <c r="C18" s="6">
        <v>146</v>
      </c>
      <c r="D18" s="6">
        <v>158</v>
      </c>
    </row>
    <row r="19" spans="1:4" ht="13" customHeight="1" x14ac:dyDescent="0.3">
      <c r="A19" s="5" t="s">
        <v>21</v>
      </c>
      <c r="B19" s="6">
        <v>110</v>
      </c>
      <c r="C19" s="6">
        <v>142</v>
      </c>
      <c r="D19" s="6">
        <v>152</v>
      </c>
    </row>
    <row r="20" spans="1:4" ht="13" customHeight="1" x14ac:dyDescent="0.3">
      <c r="A20" s="5" t="s">
        <v>22</v>
      </c>
      <c r="B20" s="6">
        <v>106</v>
      </c>
      <c r="C20" s="6">
        <v>137</v>
      </c>
      <c r="D20" s="6">
        <v>147</v>
      </c>
    </row>
    <row r="21" spans="1:4" ht="13" customHeight="1" x14ac:dyDescent="0.3">
      <c r="A21" s="5" t="s">
        <v>23</v>
      </c>
      <c r="B21" s="6">
        <v>101</v>
      </c>
      <c r="C21" s="6">
        <v>132</v>
      </c>
      <c r="D21" s="6">
        <v>142</v>
      </c>
    </row>
    <row r="22" spans="1:4" ht="13" customHeight="1" x14ac:dyDescent="0.3">
      <c r="A22" s="5" t="s">
        <v>24</v>
      </c>
      <c r="B22" s="6">
        <v>96</v>
      </c>
      <c r="C22" s="6">
        <v>128</v>
      </c>
      <c r="D22" s="6">
        <v>137</v>
      </c>
    </row>
    <row r="23" spans="1:4" ht="13" customHeight="1" x14ac:dyDescent="0.3">
      <c r="A23" s="5" t="s">
        <v>25</v>
      </c>
      <c r="B23" s="6">
        <v>92</v>
      </c>
      <c r="C23" s="6">
        <v>123</v>
      </c>
      <c r="D23" s="6">
        <v>132</v>
      </c>
    </row>
    <row r="24" spans="1:4" ht="13" customHeight="1" x14ac:dyDescent="0.3">
      <c r="A24" s="5" t="s">
        <v>26</v>
      </c>
      <c r="B24" s="6">
        <v>87</v>
      </c>
      <c r="C24" s="6">
        <v>119</v>
      </c>
      <c r="D24" s="6">
        <v>127</v>
      </c>
    </row>
    <row r="25" spans="1:4" ht="13" customHeight="1" x14ac:dyDescent="0.3">
      <c r="A25" s="5" t="s">
        <v>27</v>
      </c>
      <c r="B25" s="6">
        <v>83</v>
      </c>
      <c r="C25" s="6">
        <v>114</v>
      </c>
      <c r="D25" s="6">
        <v>121</v>
      </c>
    </row>
    <row r="26" spans="1:4" ht="13" customHeight="1" x14ac:dyDescent="0.3">
      <c r="A26" s="5" t="s">
        <v>28</v>
      </c>
      <c r="B26" s="6">
        <v>79</v>
      </c>
      <c r="C26" s="6">
        <v>109</v>
      </c>
      <c r="D26" s="6">
        <v>117</v>
      </c>
    </row>
    <row r="27" spans="1:4" ht="13" customHeight="1" x14ac:dyDescent="0.3">
      <c r="A27" s="5" t="s">
        <v>29</v>
      </c>
      <c r="B27" s="6">
        <v>76</v>
      </c>
      <c r="C27" s="6">
        <v>105</v>
      </c>
      <c r="D27" s="6">
        <v>112</v>
      </c>
    </row>
    <row r="28" spans="1:4" ht="13" customHeight="1" x14ac:dyDescent="0.3">
      <c r="A28" s="5" t="s">
        <v>30</v>
      </c>
      <c r="B28" s="6">
        <v>73</v>
      </c>
      <c r="C28" s="6">
        <v>100</v>
      </c>
      <c r="D28" s="6">
        <v>107</v>
      </c>
    </row>
    <row r="29" spans="1:4" ht="13" customHeight="1" x14ac:dyDescent="0.3">
      <c r="A29" s="5" t="s">
        <v>31</v>
      </c>
      <c r="B29" s="6">
        <v>70</v>
      </c>
      <c r="C29" s="6">
        <v>95</v>
      </c>
      <c r="D29" s="6">
        <v>103</v>
      </c>
    </row>
    <row r="30" spans="1:4" ht="13" customHeight="1" x14ac:dyDescent="0.3">
      <c r="A30" s="5" t="s">
        <v>32</v>
      </c>
      <c r="B30" s="6">
        <v>67</v>
      </c>
      <c r="C30" s="6">
        <v>91</v>
      </c>
      <c r="D30" s="6">
        <v>98</v>
      </c>
    </row>
    <row r="31" spans="1:4" ht="13" customHeight="1" x14ac:dyDescent="0.3">
      <c r="A31" s="5" t="s">
        <v>33</v>
      </c>
      <c r="B31" s="6">
        <v>65</v>
      </c>
      <c r="C31" s="6">
        <v>86</v>
      </c>
      <c r="D31" s="6">
        <v>93</v>
      </c>
    </row>
    <row r="32" spans="1:4" ht="13" customHeight="1" x14ac:dyDescent="0.3">
      <c r="A32" s="5" t="s">
        <v>34</v>
      </c>
      <c r="B32" s="6">
        <v>62</v>
      </c>
      <c r="C32" s="6">
        <v>81</v>
      </c>
      <c r="D32" s="6">
        <v>89</v>
      </c>
    </row>
    <row r="33" spans="1:4" ht="13" customHeight="1" x14ac:dyDescent="0.3">
      <c r="A33" s="5" t="s">
        <v>35</v>
      </c>
      <c r="B33" s="6">
        <v>59</v>
      </c>
      <c r="C33" s="6">
        <v>77</v>
      </c>
      <c r="D33" s="6">
        <v>84</v>
      </c>
    </row>
    <row r="34" spans="1:4" ht="13" customHeight="1" x14ac:dyDescent="0.3">
      <c r="A34" s="5" t="s">
        <v>36</v>
      </c>
      <c r="B34" s="6">
        <v>55</v>
      </c>
      <c r="C34" s="6">
        <v>72</v>
      </c>
      <c r="D34" s="6">
        <v>79</v>
      </c>
    </row>
    <row r="35" spans="1:4" ht="13" customHeight="1" x14ac:dyDescent="0.3">
      <c r="A35" s="5" t="s">
        <v>37</v>
      </c>
      <c r="B35" s="6">
        <v>52</v>
      </c>
      <c r="C35" s="6">
        <v>67</v>
      </c>
      <c r="D35" s="6">
        <v>75</v>
      </c>
    </row>
    <row r="36" spans="1:4" ht="13" customHeight="1" x14ac:dyDescent="0.3">
      <c r="A36" s="5" t="s">
        <v>38</v>
      </c>
      <c r="B36" s="6">
        <v>50</v>
      </c>
      <c r="C36" s="6">
        <v>63</v>
      </c>
      <c r="D36" s="6">
        <v>70</v>
      </c>
    </row>
    <row r="37" spans="1:4" ht="13" customHeight="1" x14ac:dyDescent="0.3">
      <c r="A37" s="5" t="s">
        <v>39</v>
      </c>
      <c r="B37" s="6">
        <v>50</v>
      </c>
      <c r="C37" s="6">
        <v>58</v>
      </c>
      <c r="D37" s="6">
        <v>66</v>
      </c>
    </row>
    <row r="38" spans="1:4" ht="13" customHeight="1" x14ac:dyDescent="0.3">
      <c r="A38" s="5" t="s">
        <v>40</v>
      </c>
      <c r="B38" s="6">
        <v>50</v>
      </c>
      <c r="C38" s="6">
        <v>53</v>
      </c>
      <c r="D38" s="6">
        <v>61</v>
      </c>
    </row>
    <row r="39" spans="1:4" ht="13" customHeight="1" x14ac:dyDescent="0.3">
      <c r="A39" s="5" t="s">
        <v>41</v>
      </c>
      <c r="B39" s="6">
        <v>50</v>
      </c>
      <c r="C39" s="6">
        <v>50</v>
      </c>
      <c r="D39" s="6">
        <v>56</v>
      </c>
    </row>
    <row r="40" spans="1:4" ht="13" customHeight="1" x14ac:dyDescent="0.3">
      <c r="A40" s="5" t="s">
        <v>42</v>
      </c>
      <c r="B40" s="6">
        <v>50</v>
      </c>
      <c r="C40" s="6">
        <v>50</v>
      </c>
      <c r="D40" s="6">
        <v>51</v>
      </c>
    </row>
    <row r="41" spans="1:4" ht="13" customHeight="1" x14ac:dyDescent="0.3">
      <c r="A41" s="5" t="s">
        <v>43</v>
      </c>
      <c r="B41" s="6">
        <v>0</v>
      </c>
      <c r="C41" s="6">
        <v>50</v>
      </c>
      <c r="D41" s="6">
        <v>50</v>
      </c>
    </row>
    <row r="42" spans="1:4" ht="14" customHeight="1" x14ac:dyDescent="0.3">
      <c r="A42" s="5" t="s">
        <v>44</v>
      </c>
      <c r="B42" s="6">
        <v>0</v>
      </c>
      <c r="C42" s="6">
        <v>0</v>
      </c>
      <c r="D42" s="6">
        <v>50</v>
      </c>
    </row>
    <row r="43" spans="1:4" ht="34" customHeight="1" x14ac:dyDescent="0.3">
      <c r="A43" s="13" t="s">
        <v>45</v>
      </c>
      <c r="B43" s="14"/>
      <c r="C43" s="14"/>
      <c r="D43" s="15"/>
    </row>
  </sheetData>
  <mergeCells count="4">
    <mergeCell ref="A1:D1"/>
    <mergeCell ref="A2:A3"/>
    <mergeCell ref="B2:D2"/>
    <mergeCell ref="A43:D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FE974-7418-41E6-96C1-CD1778395E7E}">
  <dimension ref="A1:F43"/>
  <sheetViews>
    <sheetView zoomScale="60" zoomScaleNormal="60" workbookViewId="0">
      <selection activeCell="F42" sqref="F4:F42"/>
    </sheetView>
  </sheetViews>
  <sheetFormatPr defaultRowHeight="13" x14ac:dyDescent="0.3"/>
  <cols>
    <col min="1" max="1" width="20.296875" customWidth="1"/>
    <col min="2" max="3" width="18.3984375" customWidth="1"/>
    <col min="4" max="6" width="27.09765625" customWidth="1"/>
  </cols>
  <sheetData>
    <row r="1" spans="1:6" ht="56" customHeight="1" x14ac:dyDescent="0.3">
      <c r="A1" s="7" t="s">
        <v>0</v>
      </c>
      <c r="B1" s="8"/>
      <c r="C1" s="8"/>
      <c r="D1" s="8"/>
      <c r="E1" s="8"/>
      <c r="F1" s="9"/>
    </row>
    <row r="2" spans="1:6" ht="22" customHeight="1" x14ac:dyDescent="0.3">
      <c r="A2" s="10" t="s">
        <v>1</v>
      </c>
      <c r="B2" s="16" t="s">
        <v>46</v>
      </c>
      <c r="C2" s="16" t="s">
        <v>47</v>
      </c>
      <c r="D2" s="12" t="s">
        <v>2</v>
      </c>
      <c r="E2" s="12"/>
      <c r="F2" s="12"/>
    </row>
    <row r="3" spans="1:6" ht="28" customHeight="1" x14ac:dyDescent="0.3">
      <c r="A3" s="11"/>
      <c r="B3" s="11"/>
      <c r="C3" s="11"/>
      <c r="D3" s="1" t="s">
        <v>3</v>
      </c>
      <c r="E3" s="1" t="s">
        <v>4</v>
      </c>
      <c r="F3" s="2" t="s">
        <v>5</v>
      </c>
    </row>
    <row r="4" spans="1:6" ht="14" customHeight="1" x14ac:dyDescent="0.3">
      <c r="A4" s="3" t="s">
        <v>6</v>
      </c>
      <c r="B4" s="3" t="str">
        <f>MID(A4,3,1)</f>
        <v>0</v>
      </c>
      <c r="C4" s="3" t="str">
        <f>RIGHT(A4,2)</f>
        <v>69</v>
      </c>
      <c r="D4" s="4">
        <v>202</v>
      </c>
      <c r="E4" s="4">
        <v>240</v>
      </c>
      <c r="F4" s="4">
        <v>287</v>
      </c>
    </row>
    <row r="5" spans="1:6" ht="13" customHeight="1" x14ac:dyDescent="0.3">
      <c r="A5" s="5" t="s">
        <v>7</v>
      </c>
      <c r="B5" s="3" t="str">
        <f>MID(A5,3,2)</f>
        <v>70</v>
      </c>
      <c r="C5" s="3" t="str">
        <f>RIGHT(A5,3)</f>
        <v>129</v>
      </c>
      <c r="D5" s="6">
        <v>194</v>
      </c>
      <c r="E5" s="6">
        <v>230</v>
      </c>
      <c r="F5" s="6">
        <v>278</v>
      </c>
    </row>
    <row r="6" spans="1:6" ht="13" customHeight="1" x14ac:dyDescent="0.3">
      <c r="A6" s="5" t="s">
        <v>8</v>
      </c>
      <c r="B6" s="3" t="str">
        <f>MID(A6,3,3)</f>
        <v>130</v>
      </c>
      <c r="C6" s="3" t="str">
        <f>RIGHT(A6,3)</f>
        <v>189</v>
      </c>
      <c r="D6" s="6">
        <v>184</v>
      </c>
      <c r="E6" s="6">
        <v>222</v>
      </c>
      <c r="F6" s="6">
        <v>268</v>
      </c>
    </row>
    <row r="7" spans="1:6" ht="13" customHeight="1" x14ac:dyDescent="0.3">
      <c r="A7" s="5" t="s">
        <v>9</v>
      </c>
      <c r="B7" s="3" t="str">
        <f t="shared" ref="B7:B21" si="0">MID(A7,3,3)</f>
        <v>190</v>
      </c>
      <c r="C7" s="3" t="str">
        <f>RIGHT(A7,3)</f>
        <v>249</v>
      </c>
      <c r="D7" s="6">
        <v>174</v>
      </c>
      <c r="E7" s="6">
        <v>212</v>
      </c>
      <c r="F7" s="6">
        <v>258</v>
      </c>
    </row>
    <row r="8" spans="1:6" ht="13" customHeight="1" x14ac:dyDescent="0.3">
      <c r="A8" s="5" t="s">
        <v>10</v>
      </c>
      <c r="B8" s="3" t="str">
        <f t="shared" si="0"/>
        <v>250</v>
      </c>
      <c r="C8" s="3" t="str">
        <f>RIGHT(A8,3)</f>
        <v>309</v>
      </c>
      <c r="D8" s="6">
        <v>166</v>
      </c>
      <c r="E8" s="6">
        <v>202</v>
      </c>
      <c r="F8" s="6">
        <v>250</v>
      </c>
    </row>
    <row r="9" spans="1:6" ht="13" customHeight="1" x14ac:dyDescent="0.3">
      <c r="A9" s="5" t="s">
        <v>11</v>
      </c>
      <c r="B9" s="3" t="str">
        <f t="shared" si="0"/>
        <v>310</v>
      </c>
      <c r="C9" s="3" t="str">
        <f>RIGHT(A9,3)</f>
        <v>369</v>
      </c>
      <c r="D9" s="6">
        <v>156</v>
      </c>
      <c r="E9" s="6">
        <v>194</v>
      </c>
      <c r="F9" s="6">
        <v>240</v>
      </c>
    </row>
    <row r="10" spans="1:6" ht="13" customHeight="1" x14ac:dyDescent="0.3">
      <c r="A10" s="5" t="s">
        <v>12</v>
      </c>
      <c r="B10" s="3" t="str">
        <f t="shared" si="0"/>
        <v>370</v>
      </c>
      <c r="C10" s="3" t="str">
        <f>RIGHT(A10,3)</f>
        <v>429</v>
      </c>
      <c r="D10" s="6">
        <v>149</v>
      </c>
      <c r="E10" s="6">
        <v>186</v>
      </c>
      <c r="F10" s="6">
        <v>230</v>
      </c>
    </row>
    <row r="11" spans="1:6" ht="13" customHeight="1" x14ac:dyDescent="0.3">
      <c r="A11" s="5" t="s">
        <v>13</v>
      </c>
      <c r="B11" s="3" t="str">
        <f t="shared" si="0"/>
        <v>430</v>
      </c>
      <c r="C11" s="3" t="str">
        <f>RIGHT(A11,3)</f>
        <v>489</v>
      </c>
      <c r="D11" s="6">
        <v>145</v>
      </c>
      <c r="E11" s="6">
        <v>179</v>
      </c>
      <c r="F11" s="6">
        <v>222</v>
      </c>
    </row>
    <row r="12" spans="1:6" ht="13" customHeight="1" x14ac:dyDescent="0.3">
      <c r="A12" s="5" t="s">
        <v>14</v>
      </c>
      <c r="B12" s="3" t="str">
        <f t="shared" si="0"/>
        <v>490</v>
      </c>
      <c r="C12" s="3" t="str">
        <f>RIGHT(A12,3)</f>
        <v>549</v>
      </c>
      <c r="D12" s="6">
        <v>142</v>
      </c>
      <c r="E12" s="6">
        <v>174</v>
      </c>
      <c r="F12" s="6">
        <v>212</v>
      </c>
    </row>
    <row r="13" spans="1:6" ht="13" customHeight="1" x14ac:dyDescent="0.3">
      <c r="A13" s="5" t="s">
        <v>15</v>
      </c>
      <c r="B13" s="3" t="str">
        <f t="shared" si="0"/>
        <v>550</v>
      </c>
      <c r="C13" s="3" t="str">
        <f>RIGHT(A13,3)</f>
        <v>609</v>
      </c>
      <c r="D13" s="6">
        <v>138</v>
      </c>
      <c r="E13" s="6">
        <v>170</v>
      </c>
      <c r="F13" s="6">
        <v>202</v>
      </c>
    </row>
    <row r="14" spans="1:6" ht="13" customHeight="1" x14ac:dyDescent="0.3">
      <c r="A14" s="5" t="s">
        <v>16</v>
      </c>
      <c r="B14" s="3" t="str">
        <f t="shared" si="0"/>
        <v>610</v>
      </c>
      <c r="C14" s="3" t="str">
        <f>RIGHT(A14,3)</f>
        <v>669</v>
      </c>
      <c r="D14" s="6">
        <v>133</v>
      </c>
      <c r="E14" s="6">
        <v>164</v>
      </c>
      <c r="F14" s="6">
        <v>194</v>
      </c>
    </row>
    <row r="15" spans="1:6" ht="13" customHeight="1" x14ac:dyDescent="0.3">
      <c r="A15" s="5" t="s">
        <v>17</v>
      </c>
      <c r="B15" s="3" t="str">
        <f t="shared" si="0"/>
        <v>670</v>
      </c>
      <c r="C15" s="3" t="str">
        <f>RIGHT(A15,3)</f>
        <v>729</v>
      </c>
      <c r="D15" s="6">
        <v>129</v>
      </c>
      <c r="E15" s="6">
        <v>160</v>
      </c>
      <c r="F15" s="6">
        <v>184</v>
      </c>
    </row>
    <row r="16" spans="1:6" ht="13" customHeight="1" x14ac:dyDescent="0.3">
      <c r="A16" s="5" t="s">
        <v>18</v>
      </c>
      <c r="B16" s="3" t="str">
        <f t="shared" si="0"/>
        <v>730</v>
      </c>
      <c r="C16" s="3" t="str">
        <f>RIGHT(A16,3)</f>
        <v>789</v>
      </c>
      <c r="D16" s="6">
        <v>124</v>
      </c>
      <c r="E16" s="6">
        <v>156</v>
      </c>
      <c r="F16" s="6">
        <v>174</v>
      </c>
    </row>
    <row r="17" spans="1:6" ht="13" customHeight="1" x14ac:dyDescent="0.3">
      <c r="A17" s="5" t="s">
        <v>19</v>
      </c>
      <c r="B17" s="3" t="str">
        <f t="shared" si="0"/>
        <v>790</v>
      </c>
      <c r="C17" s="3" t="str">
        <f>RIGHT(A17,3)</f>
        <v>849</v>
      </c>
      <c r="D17" s="6">
        <v>119</v>
      </c>
      <c r="E17" s="6">
        <v>151</v>
      </c>
      <c r="F17" s="6">
        <v>166</v>
      </c>
    </row>
    <row r="18" spans="1:6" ht="13" customHeight="1" x14ac:dyDescent="0.3">
      <c r="A18" s="5" t="s">
        <v>20</v>
      </c>
      <c r="B18" s="3" t="str">
        <f t="shared" si="0"/>
        <v>850</v>
      </c>
      <c r="C18" s="3" t="str">
        <f>RIGHT(A18,3)</f>
        <v>909</v>
      </c>
      <c r="D18" s="6">
        <v>115</v>
      </c>
      <c r="E18" s="6">
        <v>146</v>
      </c>
      <c r="F18" s="6">
        <v>158</v>
      </c>
    </row>
    <row r="19" spans="1:6" ht="13" customHeight="1" x14ac:dyDescent="0.3">
      <c r="A19" s="5" t="s">
        <v>21</v>
      </c>
      <c r="B19" s="3" t="str">
        <f t="shared" si="0"/>
        <v>910</v>
      </c>
      <c r="C19" s="3" t="str">
        <f>RIGHT(A19,3)</f>
        <v>969</v>
      </c>
      <c r="D19" s="6">
        <v>110</v>
      </c>
      <c r="E19" s="6">
        <v>142</v>
      </c>
      <c r="F19" s="6">
        <v>152</v>
      </c>
    </row>
    <row r="20" spans="1:6" ht="13" customHeight="1" x14ac:dyDescent="0.3">
      <c r="A20" s="5" t="s">
        <v>22</v>
      </c>
      <c r="B20" s="3" t="str">
        <f t="shared" si="0"/>
        <v>970</v>
      </c>
      <c r="C20" s="3" t="str">
        <f>RIGHT(A20,4)</f>
        <v>1029</v>
      </c>
      <c r="D20" s="6">
        <v>106</v>
      </c>
      <c r="E20" s="6">
        <v>137</v>
      </c>
      <c r="F20" s="6">
        <v>147</v>
      </c>
    </row>
    <row r="21" spans="1:6" ht="13" customHeight="1" x14ac:dyDescent="0.3">
      <c r="A21" s="5" t="s">
        <v>23</v>
      </c>
      <c r="B21" s="3" t="str">
        <f>MID(A21,3,4)</f>
        <v>1030</v>
      </c>
      <c r="C21" s="3" t="str">
        <f t="shared" ref="C21:C41" si="1">RIGHT(A21,4)</f>
        <v>1089</v>
      </c>
      <c r="D21" s="6">
        <v>101</v>
      </c>
      <c r="E21" s="6">
        <v>132</v>
      </c>
      <c r="F21" s="6">
        <v>142</v>
      </c>
    </row>
    <row r="22" spans="1:6" ht="13" customHeight="1" x14ac:dyDescent="0.3">
      <c r="A22" s="5" t="s">
        <v>24</v>
      </c>
      <c r="B22" s="3" t="str">
        <f t="shared" ref="B22:B42" si="2">MID(A22,3,4)</f>
        <v>1090</v>
      </c>
      <c r="C22" s="3" t="str">
        <f t="shared" si="1"/>
        <v>1149</v>
      </c>
      <c r="D22" s="6">
        <v>96</v>
      </c>
      <c r="E22" s="6">
        <v>128</v>
      </c>
      <c r="F22" s="6">
        <v>137</v>
      </c>
    </row>
    <row r="23" spans="1:6" ht="13" customHeight="1" x14ac:dyDescent="0.3">
      <c r="A23" s="5" t="s">
        <v>25</v>
      </c>
      <c r="B23" s="3" t="str">
        <f t="shared" si="2"/>
        <v>1150</v>
      </c>
      <c r="C23" s="3" t="str">
        <f t="shared" si="1"/>
        <v>1209</v>
      </c>
      <c r="D23" s="6">
        <v>92</v>
      </c>
      <c r="E23" s="6">
        <v>123</v>
      </c>
      <c r="F23" s="6">
        <v>132</v>
      </c>
    </row>
    <row r="24" spans="1:6" ht="13" customHeight="1" x14ac:dyDescent="0.3">
      <c r="A24" s="5" t="s">
        <v>26</v>
      </c>
      <c r="B24" s="3" t="str">
        <f t="shared" si="2"/>
        <v>1210</v>
      </c>
      <c r="C24" s="3" t="str">
        <f t="shared" si="1"/>
        <v>1269</v>
      </c>
      <c r="D24" s="6">
        <v>87</v>
      </c>
      <c r="E24" s="6">
        <v>119</v>
      </c>
      <c r="F24" s="6">
        <v>127</v>
      </c>
    </row>
    <row r="25" spans="1:6" ht="13" customHeight="1" x14ac:dyDescent="0.3">
      <c r="A25" s="5" t="s">
        <v>27</v>
      </c>
      <c r="B25" s="3" t="str">
        <f t="shared" si="2"/>
        <v>1270</v>
      </c>
      <c r="C25" s="3" t="str">
        <f t="shared" si="1"/>
        <v>1329</v>
      </c>
      <c r="D25" s="6">
        <v>83</v>
      </c>
      <c r="E25" s="6">
        <v>114</v>
      </c>
      <c r="F25" s="6">
        <v>121</v>
      </c>
    </row>
    <row r="26" spans="1:6" ht="13" customHeight="1" x14ac:dyDescent="0.3">
      <c r="A26" s="5" t="s">
        <v>28</v>
      </c>
      <c r="B26" s="3" t="str">
        <f t="shared" si="2"/>
        <v>1330</v>
      </c>
      <c r="C26" s="3" t="str">
        <f t="shared" si="1"/>
        <v>1389</v>
      </c>
      <c r="D26" s="6">
        <v>79</v>
      </c>
      <c r="E26" s="6">
        <v>109</v>
      </c>
      <c r="F26" s="6">
        <v>117</v>
      </c>
    </row>
    <row r="27" spans="1:6" ht="13" customHeight="1" x14ac:dyDescent="0.3">
      <c r="A27" s="5" t="s">
        <v>29</v>
      </c>
      <c r="B27" s="3" t="str">
        <f t="shared" si="2"/>
        <v>1390</v>
      </c>
      <c r="C27" s="3" t="str">
        <f t="shared" si="1"/>
        <v>1449</v>
      </c>
      <c r="D27" s="6">
        <v>76</v>
      </c>
      <c r="E27" s="6">
        <v>105</v>
      </c>
      <c r="F27" s="6">
        <v>112</v>
      </c>
    </row>
    <row r="28" spans="1:6" ht="13" customHeight="1" x14ac:dyDescent="0.3">
      <c r="A28" s="5" t="s">
        <v>30</v>
      </c>
      <c r="B28" s="3" t="str">
        <f t="shared" si="2"/>
        <v>1450</v>
      </c>
      <c r="C28" s="3" t="str">
        <f t="shared" si="1"/>
        <v>1509</v>
      </c>
      <c r="D28" s="6">
        <v>73</v>
      </c>
      <c r="E28" s="6">
        <v>100</v>
      </c>
      <c r="F28" s="6">
        <v>107</v>
      </c>
    </row>
    <row r="29" spans="1:6" ht="13" customHeight="1" x14ac:dyDescent="0.3">
      <c r="A29" s="5" t="s">
        <v>31</v>
      </c>
      <c r="B29" s="3" t="str">
        <f t="shared" si="2"/>
        <v>1510</v>
      </c>
      <c r="C29" s="3" t="str">
        <f t="shared" si="1"/>
        <v>1569</v>
      </c>
      <c r="D29" s="6">
        <v>70</v>
      </c>
      <c r="E29" s="6">
        <v>95</v>
      </c>
      <c r="F29" s="6">
        <v>103</v>
      </c>
    </row>
    <row r="30" spans="1:6" ht="13" customHeight="1" x14ac:dyDescent="0.3">
      <c r="A30" s="5" t="s">
        <v>32</v>
      </c>
      <c r="B30" s="3" t="str">
        <f t="shared" si="2"/>
        <v>1570</v>
      </c>
      <c r="C30" s="3" t="str">
        <f t="shared" si="1"/>
        <v>1629</v>
      </c>
      <c r="D30" s="6">
        <v>67</v>
      </c>
      <c r="E30" s="6">
        <v>91</v>
      </c>
      <c r="F30" s="6">
        <v>98</v>
      </c>
    </row>
    <row r="31" spans="1:6" ht="13" customHeight="1" x14ac:dyDescent="0.3">
      <c r="A31" s="5" t="s">
        <v>33</v>
      </c>
      <c r="B31" s="3" t="str">
        <f t="shared" si="2"/>
        <v>1630</v>
      </c>
      <c r="C31" s="3" t="str">
        <f t="shared" si="1"/>
        <v>1689</v>
      </c>
      <c r="D31" s="6">
        <v>65</v>
      </c>
      <c r="E31" s="6">
        <v>86</v>
      </c>
      <c r="F31" s="6">
        <v>93</v>
      </c>
    </row>
    <row r="32" spans="1:6" ht="13" customHeight="1" x14ac:dyDescent="0.3">
      <c r="A32" s="5" t="s">
        <v>34</v>
      </c>
      <c r="B32" s="3" t="str">
        <f t="shared" si="2"/>
        <v>1690</v>
      </c>
      <c r="C32" s="3" t="str">
        <f t="shared" si="1"/>
        <v>1749</v>
      </c>
      <c r="D32" s="6">
        <v>62</v>
      </c>
      <c r="E32" s="6">
        <v>81</v>
      </c>
      <c r="F32" s="6">
        <v>89</v>
      </c>
    </row>
    <row r="33" spans="1:6" ht="13" customHeight="1" x14ac:dyDescent="0.3">
      <c r="A33" s="5" t="s">
        <v>35</v>
      </c>
      <c r="B33" s="3" t="str">
        <f t="shared" si="2"/>
        <v>1750</v>
      </c>
      <c r="C33" s="3" t="str">
        <f t="shared" si="1"/>
        <v>1869</v>
      </c>
      <c r="D33" s="6">
        <v>59</v>
      </c>
      <c r="E33" s="6">
        <v>77</v>
      </c>
      <c r="F33" s="6">
        <v>84</v>
      </c>
    </row>
    <row r="34" spans="1:6" ht="13" customHeight="1" x14ac:dyDescent="0.3">
      <c r="A34" s="5" t="s">
        <v>36</v>
      </c>
      <c r="B34" s="3" t="str">
        <f t="shared" si="2"/>
        <v>1870</v>
      </c>
      <c r="C34" s="3" t="str">
        <f t="shared" si="1"/>
        <v>1989</v>
      </c>
      <c r="D34" s="6">
        <v>55</v>
      </c>
      <c r="E34" s="6">
        <v>72</v>
      </c>
      <c r="F34" s="6">
        <v>79</v>
      </c>
    </row>
    <row r="35" spans="1:6" ht="13" customHeight="1" x14ac:dyDescent="0.3">
      <c r="A35" s="5" t="s">
        <v>37</v>
      </c>
      <c r="B35" s="3" t="str">
        <f t="shared" si="2"/>
        <v>1990</v>
      </c>
      <c r="C35" s="3" t="str">
        <f t="shared" si="1"/>
        <v>2009</v>
      </c>
      <c r="D35" s="6">
        <v>52</v>
      </c>
      <c r="E35" s="6">
        <v>67</v>
      </c>
      <c r="F35" s="6">
        <v>75</v>
      </c>
    </row>
    <row r="36" spans="1:6" ht="13" customHeight="1" x14ac:dyDescent="0.3">
      <c r="A36" s="5" t="s">
        <v>38</v>
      </c>
      <c r="B36" s="3" t="str">
        <f t="shared" si="2"/>
        <v>2010</v>
      </c>
      <c r="C36" s="3" t="str">
        <f t="shared" si="1"/>
        <v>2129</v>
      </c>
      <c r="D36" s="6">
        <v>50</v>
      </c>
      <c r="E36" s="6">
        <v>63</v>
      </c>
      <c r="F36" s="6">
        <v>70</v>
      </c>
    </row>
    <row r="37" spans="1:6" ht="13" customHeight="1" x14ac:dyDescent="0.3">
      <c r="A37" s="5" t="s">
        <v>39</v>
      </c>
      <c r="B37" s="3" t="str">
        <f t="shared" si="2"/>
        <v>2130</v>
      </c>
      <c r="C37" s="3" t="str">
        <f t="shared" si="1"/>
        <v>2249</v>
      </c>
      <c r="D37" s="6">
        <v>50</v>
      </c>
      <c r="E37" s="6">
        <v>58</v>
      </c>
      <c r="F37" s="6">
        <v>66</v>
      </c>
    </row>
    <row r="38" spans="1:6" ht="13" customHeight="1" x14ac:dyDescent="0.3">
      <c r="A38" s="5" t="s">
        <v>40</v>
      </c>
      <c r="B38" s="3" t="str">
        <f t="shared" si="2"/>
        <v>2250</v>
      </c>
      <c r="C38" s="3" t="str">
        <f t="shared" si="1"/>
        <v>2369</v>
      </c>
      <c r="D38" s="6">
        <v>50</v>
      </c>
      <c r="E38" s="6">
        <v>53</v>
      </c>
      <c r="F38" s="6">
        <v>61</v>
      </c>
    </row>
    <row r="39" spans="1:6" ht="13" customHeight="1" x14ac:dyDescent="0.3">
      <c r="A39" s="5" t="s">
        <v>41</v>
      </c>
      <c r="B39" s="3" t="str">
        <f t="shared" si="2"/>
        <v>2370</v>
      </c>
      <c r="C39" s="3" t="str">
        <f t="shared" si="1"/>
        <v>2489</v>
      </c>
      <c r="D39" s="6">
        <v>50</v>
      </c>
      <c r="E39" s="6">
        <v>50</v>
      </c>
      <c r="F39" s="6">
        <v>56</v>
      </c>
    </row>
    <row r="40" spans="1:6" ht="13" customHeight="1" x14ac:dyDescent="0.3">
      <c r="A40" s="5" t="s">
        <v>42</v>
      </c>
      <c r="B40" s="3" t="str">
        <f t="shared" si="2"/>
        <v>2490</v>
      </c>
      <c r="C40" s="3" t="str">
        <f t="shared" si="1"/>
        <v>3317</v>
      </c>
      <c r="D40" s="6">
        <v>50</v>
      </c>
      <c r="E40" s="6">
        <v>50</v>
      </c>
      <c r="F40" s="6">
        <v>51</v>
      </c>
    </row>
    <row r="41" spans="1:6" ht="13" customHeight="1" x14ac:dyDescent="0.3">
      <c r="A41" s="5" t="s">
        <v>43</v>
      </c>
      <c r="B41" s="3" t="str">
        <f t="shared" si="2"/>
        <v>3318</v>
      </c>
      <c r="C41" s="3" t="str">
        <f t="shared" si="1"/>
        <v>4580</v>
      </c>
      <c r="D41" s="6">
        <v>0</v>
      </c>
      <c r="E41" s="6">
        <v>50</v>
      </c>
      <c r="F41" s="6">
        <v>50</v>
      </c>
    </row>
    <row r="42" spans="1:6" ht="14" customHeight="1" x14ac:dyDescent="0.3">
      <c r="A42" s="5" t="s">
        <v>44</v>
      </c>
      <c r="B42" s="3" t="str">
        <f t="shared" si="2"/>
        <v>4581</v>
      </c>
      <c r="C42" s="5"/>
      <c r="D42" s="6">
        <v>0</v>
      </c>
      <c r="E42" s="6">
        <v>0</v>
      </c>
      <c r="F42" s="6">
        <v>50</v>
      </c>
    </row>
    <row r="43" spans="1:6" ht="34" customHeight="1" x14ac:dyDescent="0.3">
      <c r="A43" s="13" t="s">
        <v>45</v>
      </c>
      <c r="B43" s="14"/>
      <c r="C43" s="14"/>
      <c r="D43" s="14"/>
      <c r="E43" s="14"/>
      <c r="F43" s="15"/>
    </row>
  </sheetData>
  <mergeCells count="6">
    <mergeCell ref="A1:F1"/>
    <mergeCell ref="A2:A3"/>
    <mergeCell ref="D2:F2"/>
    <mergeCell ref="A43:F4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422AA-EE44-4954-8499-B42085C2017C}">
  <dimension ref="A1:F43"/>
  <sheetViews>
    <sheetView zoomScale="60" zoomScaleNormal="60" workbookViewId="0">
      <selection activeCell="F42" sqref="F4:F42"/>
    </sheetView>
  </sheetViews>
  <sheetFormatPr defaultRowHeight="13" x14ac:dyDescent="0.3"/>
  <cols>
    <col min="1" max="1" width="20.296875" customWidth="1"/>
    <col min="2" max="3" width="18.3984375" customWidth="1"/>
    <col min="4" max="6" width="27.09765625" customWidth="1"/>
  </cols>
  <sheetData>
    <row r="1" spans="1:6" ht="56" customHeight="1" x14ac:dyDescent="0.3">
      <c r="A1" s="19" t="s">
        <v>48</v>
      </c>
      <c r="B1" s="17"/>
      <c r="C1" s="17"/>
      <c r="D1" s="17"/>
      <c r="E1" s="17"/>
      <c r="F1" s="18"/>
    </row>
    <row r="2" spans="1:6" ht="22" customHeight="1" x14ac:dyDescent="0.3">
      <c r="A2" s="10" t="s">
        <v>1</v>
      </c>
      <c r="B2" s="16" t="s">
        <v>46</v>
      </c>
      <c r="C2" s="16" t="s">
        <v>47</v>
      </c>
      <c r="D2" s="12" t="s">
        <v>2</v>
      </c>
      <c r="E2" s="12"/>
      <c r="F2" s="12"/>
    </row>
    <row r="3" spans="1:6" ht="28" customHeight="1" x14ac:dyDescent="0.3">
      <c r="A3" s="11"/>
      <c r="B3" s="11"/>
      <c r="C3" s="11"/>
      <c r="D3" s="1" t="s">
        <v>3</v>
      </c>
      <c r="E3" s="1" t="s">
        <v>4</v>
      </c>
      <c r="F3" s="2" t="s">
        <v>5</v>
      </c>
    </row>
    <row r="4" spans="1:6" ht="14" customHeight="1" x14ac:dyDescent="0.3">
      <c r="A4" s="3" t="s">
        <v>49</v>
      </c>
      <c r="B4" s="3" t="str">
        <f>MID(A4,3,1)</f>
        <v>0</v>
      </c>
      <c r="C4" s="3" t="str">
        <f>RIGHT(A4,2)</f>
        <v>69</v>
      </c>
      <c r="D4" s="4">
        <v>335</v>
      </c>
      <c r="E4" s="4">
        <v>398</v>
      </c>
      <c r="F4" s="4">
        <v>475</v>
      </c>
    </row>
    <row r="5" spans="1:6" ht="13" customHeight="1" x14ac:dyDescent="0.3">
      <c r="A5" s="5" t="s">
        <v>50</v>
      </c>
      <c r="B5" s="3" t="str">
        <f>MID(A5,3,2)</f>
        <v>70</v>
      </c>
      <c r="C5" s="3" t="str">
        <f>RIGHT(A5,3)</f>
        <v>129</v>
      </c>
      <c r="D5" s="6">
        <v>321</v>
      </c>
      <c r="E5" s="6">
        <v>381</v>
      </c>
      <c r="F5" s="6">
        <v>460</v>
      </c>
    </row>
    <row r="6" spans="1:6" ht="13" customHeight="1" x14ac:dyDescent="0.3">
      <c r="A6" s="5" t="s">
        <v>51</v>
      </c>
      <c r="B6" s="3" t="str">
        <f>MID(A6,3,3)</f>
        <v>130</v>
      </c>
      <c r="C6" s="3" t="str">
        <f>RIGHT(A6,3)</f>
        <v>189</v>
      </c>
      <c r="D6" s="6">
        <v>304</v>
      </c>
      <c r="E6" s="6">
        <v>368</v>
      </c>
      <c r="F6" s="6">
        <v>445</v>
      </c>
    </row>
    <row r="7" spans="1:6" ht="13" customHeight="1" x14ac:dyDescent="0.3">
      <c r="A7" s="5" t="s">
        <v>52</v>
      </c>
      <c r="B7" s="3" t="str">
        <f t="shared" ref="B7:B20" si="0">MID(A7,3,3)</f>
        <v>190</v>
      </c>
      <c r="C7" s="3" t="str">
        <f>RIGHT(A7,3)</f>
        <v>249</v>
      </c>
      <c r="D7" s="6">
        <v>289</v>
      </c>
      <c r="E7" s="6">
        <v>352</v>
      </c>
      <c r="F7" s="6">
        <v>428</v>
      </c>
    </row>
    <row r="8" spans="1:6" ht="13" customHeight="1" x14ac:dyDescent="0.3">
      <c r="A8" s="5" t="s">
        <v>53</v>
      </c>
      <c r="B8" s="3" t="str">
        <f t="shared" si="0"/>
        <v>250</v>
      </c>
      <c r="C8" s="3" t="str">
        <f>RIGHT(A8,3)</f>
        <v>309</v>
      </c>
      <c r="D8" s="6">
        <v>275</v>
      </c>
      <c r="E8" s="6">
        <v>335</v>
      </c>
      <c r="F8" s="6">
        <v>414</v>
      </c>
    </row>
    <row r="9" spans="1:6" ht="13" customHeight="1" x14ac:dyDescent="0.3">
      <c r="A9" s="5" t="s">
        <v>54</v>
      </c>
      <c r="B9" s="3" t="str">
        <f t="shared" si="0"/>
        <v>310</v>
      </c>
      <c r="C9" s="3" t="str">
        <f>RIGHT(A9,3)</f>
        <v>369</v>
      </c>
      <c r="D9" s="6">
        <v>258</v>
      </c>
      <c r="E9" s="6">
        <v>321</v>
      </c>
      <c r="F9" s="6">
        <v>398</v>
      </c>
    </row>
    <row r="10" spans="1:6" ht="13" customHeight="1" x14ac:dyDescent="0.3">
      <c r="A10" s="5" t="s">
        <v>55</v>
      </c>
      <c r="B10" s="3" t="str">
        <f t="shared" si="0"/>
        <v>370</v>
      </c>
      <c r="C10" s="3" t="str">
        <f>RIGHT(A10,3)</f>
        <v>429</v>
      </c>
      <c r="D10" s="6">
        <v>247</v>
      </c>
      <c r="E10" s="6">
        <v>308</v>
      </c>
      <c r="F10" s="6">
        <v>381</v>
      </c>
    </row>
    <row r="11" spans="1:6" ht="13" customHeight="1" x14ac:dyDescent="0.3">
      <c r="A11" s="5" t="s">
        <v>56</v>
      </c>
      <c r="B11" s="3" t="str">
        <f t="shared" si="0"/>
        <v>430</v>
      </c>
      <c r="C11" s="3" t="str">
        <f>RIGHT(A11,3)</f>
        <v>489</v>
      </c>
      <c r="D11" s="6">
        <v>240</v>
      </c>
      <c r="E11" s="6">
        <v>297</v>
      </c>
      <c r="F11" s="6">
        <v>368</v>
      </c>
    </row>
    <row r="12" spans="1:6" ht="13" customHeight="1" x14ac:dyDescent="0.3">
      <c r="A12" s="5" t="s">
        <v>57</v>
      </c>
      <c r="B12" s="3" t="str">
        <f t="shared" si="0"/>
        <v>490</v>
      </c>
      <c r="C12" s="3" t="str">
        <f>RIGHT(A12,3)</f>
        <v>549</v>
      </c>
      <c r="D12" s="6">
        <v>235</v>
      </c>
      <c r="E12" s="6">
        <v>289</v>
      </c>
      <c r="F12" s="6">
        <v>352</v>
      </c>
    </row>
    <row r="13" spans="1:6" ht="13" customHeight="1" x14ac:dyDescent="0.3">
      <c r="A13" s="5" t="s">
        <v>58</v>
      </c>
      <c r="B13" s="3" t="str">
        <f t="shared" si="0"/>
        <v>550</v>
      </c>
      <c r="C13" s="3" t="str">
        <f>RIGHT(A13,3)</f>
        <v>609</v>
      </c>
      <c r="D13" s="6">
        <v>229</v>
      </c>
      <c r="E13" s="6">
        <v>281</v>
      </c>
      <c r="F13" s="6">
        <v>335</v>
      </c>
    </row>
    <row r="14" spans="1:6" ht="13" customHeight="1" x14ac:dyDescent="0.3">
      <c r="A14" s="5" t="s">
        <v>59</v>
      </c>
      <c r="B14" s="3" t="str">
        <f t="shared" si="0"/>
        <v>610</v>
      </c>
      <c r="C14" s="3" t="str">
        <f>RIGHT(A14,3)</f>
        <v>669</v>
      </c>
      <c r="D14" s="6">
        <v>221</v>
      </c>
      <c r="E14" s="6">
        <v>272</v>
      </c>
      <c r="F14" s="6">
        <v>321</v>
      </c>
    </row>
    <row r="15" spans="1:6" ht="13" customHeight="1" x14ac:dyDescent="0.3">
      <c r="A15" s="5" t="s">
        <v>60</v>
      </c>
      <c r="B15" s="3" t="str">
        <f t="shared" si="0"/>
        <v>670</v>
      </c>
      <c r="C15" s="3" t="str">
        <f>RIGHT(A15,3)</f>
        <v>729</v>
      </c>
      <c r="D15" s="6">
        <v>214</v>
      </c>
      <c r="E15" s="6">
        <v>266</v>
      </c>
      <c r="F15" s="6">
        <v>304</v>
      </c>
    </row>
    <row r="16" spans="1:6" ht="13" customHeight="1" x14ac:dyDescent="0.3">
      <c r="A16" s="5" t="s">
        <v>61</v>
      </c>
      <c r="B16" s="3" t="str">
        <f t="shared" si="0"/>
        <v>730</v>
      </c>
      <c r="C16" s="3" t="str">
        <f>RIGHT(A16,3)</f>
        <v>789</v>
      </c>
      <c r="D16" s="6">
        <v>206</v>
      </c>
      <c r="E16" s="6">
        <v>258</v>
      </c>
      <c r="F16" s="6">
        <v>289</v>
      </c>
    </row>
    <row r="17" spans="1:6" ht="13" customHeight="1" x14ac:dyDescent="0.3">
      <c r="A17" s="5" t="s">
        <v>62</v>
      </c>
      <c r="B17" s="3" t="str">
        <f t="shared" si="0"/>
        <v>790</v>
      </c>
      <c r="C17" s="3" t="str">
        <f>RIGHT(A17,3)</f>
        <v>849</v>
      </c>
      <c r="D17" s="6">
        <v>198</v>
      </c>
      <c r="E17" s="6">
        <v>251</v>
      </c>
      <c r="F17" s="6">
        <v>275</v>
      </c>
    </row>
    <row r="18" spans="1:6" ht="13" customHeight="1" x14ac:dyDescent="0.3">
      <c r="A18" s="5" t="s">
        <v>63</v>
      </c>
      <c r="B18" s="3" t="str">
        <f t="shared" si="0"/>
        <v>850</v>
      </c>
      <c r="C18" s="3" t="str">
        <f>RIGHT(A18,3)</f>
        <v>909</v>
      </c>
      <c r="D18" s="6">
        <v>190</v>
      </c>
      <c r="E18" s="6">
        <v>243</v>
      </c>
      <c r="F18" s="6">
        <v>261</v>
      </c>
    </row>
    <row r="19" spans="1:6" ht="13" customHeight="1" x14ac:dyDescent="0.3">
      <c r="A19" s="5" t="s">
        <v>64</v>
      </c>
      <c r="B19" s="3" t="str">
        <f t="shared" si="0"/>
        <v>910</v>
      </c>
      <c r="C19" s="3" t="str">
        <f>RIGHT(A19,3)</f>
        <v>969</v>
      </c>
      <c r="D19" s="6">
        <v>183</v>
      </c>
      <c r="E19" s="6">
        <v>235</v>
      </c>
      <c r="F19" s="6">
        <v>252</v>
      </c>
    </row>
    <row r="20" spans="1:6" ht="13" customHeight="1" x14ac:dyDescent="0.3">
      <c r="A20" s="5" t="s">
        <v>65</v>
      </c>
      <c r="B20" s="3" t="str">
        <f t="shared" si="0"/>
        <v>970</v>
      </c>
      <c r="C20" s="3" t="str">
        <f>RIGHT(A20,4)</f>
        <v>1029</v>
      </c>
      <c r="D20" s="6">
        <v>175</v>
      </c>
      <c r="E20" s="6">
        <v>227</v>
      </c>
      <c r="F20" s="6">
        <v>244</v>
      </c>
    </row>
    <row r="21" spans="1:6" ht="13" customHeight="1" x14ac:dyDescent="0.3">
      <c r="A21" s="5" t="s">
        <v>66</v>
      </c>
      <c r="B21" s="3" t="str">
        <f>MID(A21,3,4)</f>
        <v>1030</v>
      </c>
      <c r="C21" s="3" t="str">
        <f t="shared" ref="C21:C41" si="1">RIGHT(A21,4)</f>
        <v>1089</v>
      </c>
      <c r="D21" s="6">
        <v>167</v>
      </c>
      <c r="E21" s="6">
        <v>220</v>
      </c>
      <c r="F21" s="6">
        <v>235</v>
      </c>
    </row>
    <row r="22" spans="1:6" ht="13" customHeight="1" x14ac:dyDescent="0.3">
      <c r="A22" s="5" t="s">
        <v>67</v>
      </c>
      <c r="B22" s="3" t="str">
        <f t="shared" ref="B22:B42" si="2">MID(A22,3,4)</f>
        <v>1090</v>
      </c>
      <c r="C22" s="3" t="str">
        <f t="shared" si="1"/>
        <v>1149</v>
      </c>
      <c r="D22" s="6">
        <v>160</v>
      </c>
      <c r="E22" s="6">
        <v>212</v>
      </c>
      <c r="F22" s="6">
        <v>227</v>
      </c>
    </row>
    <row r="23" spans="1:6" ht="13" customHeight="1" x14ac:dyDescent="0.3">
      <c r="A23" s="5" t="s">
        <v>68</v>
      </c>
      <c r="B23" s="3" t="str">
        <f t="shared" si="2"/>
        <v>1150</v>
      </c>
      <c r="C23" s="3" t="str">
        <f t="shared" si="1"/>
        <v>1209</v>
      </c>
      <c r="D23" s="6">
        <v>152</v>
      </c>
      <c r="E23" s="6">
        <v>204</v>
      </c>
      <c r="F23" s="6">
        <v>218</v>
      </c>
    </row>
    <row r="24" spans="1:6" ht="13" customHeight="1" x14ac:dyDescent="0.3">
      <c r="A24" s="5" t="s">
        <v>69</v>
      </c>
      <c r="B24" s="3" t="str">
        <f t="shared" si="2"/>
        <v>1210</v>
      </c>
      <c r="C24" s="3" t="str">
        <f t="shared" si="1"/>
        <v>1269</v>
      </c>
      <c r="D24" s="6">
        <v>144</v>
      </c>
      <c r="E24" s="6">
        <v>197</v>
      </c>
      <c r="F24" s="6">
        <v>210</v>
      </c>
    </row>
    <row r="25" spans="1:6" ht="13" customHeight="1" x14ac:dyDescent="0.3">
      <c r="A25" s="5" t="s">
        <v>70</v>
      </c>
      <c r="B25" s="3" t="str">
        <f t="shared" si="2"/>
        <v>1270</v>
      </c>
      <c r="C25" s="3" t="str">
        <f t="shared" si="1"/>
        <v>1329</v>
      </c>
      <c r="D25" s="6">
        <v>138</v>
      </c>
      <c r="E25" s="6">
        <v>189</v>
      </c>
      <c r="F25" s="6">
        <v>201</v>
      </c>
    </row>
    <row r="26" spans="1:6" ht="13" customHeight="1" x14ac:dyDescent="0.3">
      <c r="A26" s="5" t="s">
        <v>71</v>
      </c>
      <c r="B26" s="3" t="str">
        <f t="shared" si="2"/>
        <v>1330</v>
      </c>
      <c r="C26" s="3" t="str">
        <f t="shared" si="1"/>
        <v>1389</v>
      </c>
      <c r="D26" s="6">
        <v>132</v>
      </c>
      <c r="E26" s="6">
        <v>181</v>
      </c>
      <c r="F26" s="6">
        <v>194</v>
      </c>
    </row>
    <row r="27" spans="1:6" ht="13" customHeight="1" x14ac:dyDescent="0.3">
      <c r="A27" s="5" t="s">
        <v>72</v>
      </c>
      <c r="B27" s="3" t="str">
        <f t="shared" si="2"/>
        <v>1390</v>
      </c>
      <c r="C27" s="3" t="str">
        <f t="shared" si="1"/>
        <v>1449</v>
      </c>
      <c r="D27" s="6">
        <v>126</v>
      </c>
      <c r="E27" s="6">
        <v>174</v>
      </c>
      <c r="F27" s="6">
        <v>186</v>
      </c>
    </row>
    <row r="28" spans="1:6" ht="13" customHeight="1" x14ac:dyDescent="0.3">
      <c r="A28" s="5" t="s">
        <v>73</v>
      </c>
      <c r="B28" s="3" t="str">
        <f t="shared" si="2"/>
        <v>1450</v>
      </c>
      <c r="C28" s="3" t="str">
        <f t="shared" si="1"/>
        <v>1509</v>
      </c>
      <c r="D28" s="6">
        <v>121</v>
      </c>
      <c r="E28" s="6">
        <v>166</v>
      </c>
      <c r="F28" s="6">
        <v>178</v>
      </c>
    </row>
    <row r="29" spans="1:6" ht="13" customHeight="1" x14ac:dyDescent="0.3">
      <c r="A29" s="5" t="s">
        <v>74</v>
      </c>
      <c r="B29" s="3" t="str">
        <f t="shared" si="2"/>
        <v>1510</v>
      </c>
      <c r="C29" s="3" t="str">
        <f t="shared" si="1"/>
        <v>1569</v>
      </c>
      <c r="D29" s="6">
        <v>117</v>
      </c>
      <c r="E29" s="6">
        <v>158</v>
      </c>
      <c r="F29" s="6">
        <v>170</v>
      </c>
    </row>
    <row r="30" spans="1:6" ht="13" customHeight="1" x14ac:dyDescent="0.3">
      <c r="A30" s="5" t="s">
        <v>75</v>
      </c>
      <c r="B30" s="3" t="str">
        <f t="shared" si="2"/>
        <v>1570</v>
      </c>
      <c r="C30" s="3" t="str">
        <f t="shared" si="1"/>
        <v>1629</v>
      </c>
      <c r="D30" s="6">
        <v>112</v>
      </c>
      <c r="E30" s="6">
        <v>150</v>
      </c>
      <c r="F30" s="6">
        <v>163</v>
      </c>
    </row>
    <row r="31" spans="1:6" ht="13" customHeight="1" x14ac:dyDescent="0.3">
      <c r="A31" s="5" t="s">
        <v>76</v>
      </c>
      <c r="B31" s="3" t="str">
        <f t="shared" si="2"/>
        <v>1630</v>
      </c>
      <c r="C31" s="3" t="str">
        <f t="shared" si="1"/>
        <v>1689</v>
      </c>
      <c r="D31" s="6">
        <v>107</v>
      </c>
      <c r="E31" s="6">
        <v>143</v>
      </c>
      <c r="F31" s="6">
        <v>155</v>
      </c>
    </row>
    <row r="32" spans="1:6" ht="13" customHeight="1" x14ac:dyDescent="0.3">
      <c r="A32" s="5" t="s">
        <v>77</v>
      </c>
      <c r="B32" s="3" t="str">
        <f t="shared" si="2"/>
        <v>1690</v>
      </c>
      <c r="C32" s="3" t="str">
        <f t="shared" si="1"/>
        <v>1749</v>
      </c>
      <c r="D32" s="6">
        <v>103</v>
      </c>
      <c r="E32" s="6">
        <v>135</v>
      </c>
      <c r="F32" s="6">
        <v>147</v>
      </c>
    </row>
    <row r="33" spans="1:6" ht="13" customHeight="1" x14ac:dyDescent="0.3">
      <c r="A33" s="5" t="s">
        <v>78</v>
      </c>
      <c r="B33" s="3" t="str">
        <f t="shared" si="2"/>
        <v>1750</v>
      </c>
      <c r="C33" s="3" t="str">
        <f t="shared" si="1"/>
        <v>1869</v>
      </c>
      <c r="D33" s="6">
        <v>98</v>
      </c>
      <c r="E33" s="6">
        <v>127</v>
      </c>
      <c r="F33" s="6">
        <v>140</v>
      </c>
    </row>
    <row r="34" spans="1:6" ht="13" customHeight="1" x14ac:dyDescent="0.3">
      <c r="A34" s="5" t="s">
        <v>79</v>
      </c>
      <c r="B34" s="3" t="str">
        <f t="shared" si="2"/>
        <v>1870</v>
      </c>
      <c r="C34" s="3" t="str">
        <f t="shared" si="1"/>
        <v>1989</v>
      </c>
      <c r="D34" s="6">
        <v>92</v>
      </c>
      <c r="E34" s="6">
        <v>120</v>
      </c>
      <c r="F34" s="6">
        <v>132</v>
      </c>
    </row>
    <row r="35" spans="1:6" ht="13" customHeight="1" x14ac:dyDescent="0.3">
      <c r="A35" s="5" t="s">
        <v>80</v>
      </c>
      <c r="B35" s="3" t="str">
        <f t="shared" si="2"/>
        <v>1990</v>
      </c>
      <c r="C35" s="3" t="str">
        <f t="shared" si="1"/>
        <v>2009</v>
      </c>
      <c r="D35" s="6">
        <v>86</v>
      </c>
      <c r="E35" s="6">
        <v>112</v>
      </c>
      <c r="F35" s="6">
        <v>124</v>
      </c>
    </row>
    <row r="36" spans="1:6" ht="13" customHeight="1" x14ac:dyDescent="0.3">
      <c r="A36" s="5" t="s">
        <v>81</v>
      </c>
      <c r="B36" s="3" t="str">
        <f t="shared" si="2"/>
        <v>2010</v>
      </c>
      <c r="C36" s="3" t="str">
        <f t="shared" si="1"/>
        <v>2129</v>
      </c>
      <c r="D36" s="6">
        <v>80</v>
      </c>
      <c r="E36" s="6">
        <v>104</v>
      </c>
      <c r="F36" s="6">
        <v>117</v>
      </c>
    </row>
    <row r="37" spans="1:6" ht="13" customHeight="1" x14ac:dyDescent="0.3">
      <c r="A37" s="5" t="s">
        <v>82</v>
      </c>
      <c r="B37" s="3" t="str">
        <f t="shared" si="2"/>
        <v>2130</v>
      </c>
      <c r="C37" s="3" t="str">
        <f t="shared" si="1"/>
        <v>2249</v>
      </c>
      <c r="D37" s="6">
        <v>74</v>
      </c>
      <c r="E37" s="6">
        <v>97</v>
      </c>
      <c r="F37" s="6">
        <v>109</v>
      </c>
    </row>
    <row r="38" spans="1:6" ht="13" customHeight="1" x14ac:dyDescent="0.3">
      <c r="A38" s="5" t="s">
        <v>83</v>
      </c>
      <c r="B38" s="3" t="str">
        <f t="shared" si="2"/>
        <v>2250</v>
      </c>
      <c r="C38" s="3" t="str">
        <f t="shared" si="1"/>
        <v>2369</v>
      </c>
      <c r="D38" s="6">
        <v>68</v>
      </c>
      <c r="E38" s="6">
        <v>89</v>
      </c>
      <c r="F38" s="6">
        <v>101</v>
      </c>
    </row>
    <row r="39" spans="1:6" ht="13" customHeight="1" x14ac:dyDescent="0.3">
      <c r="A39" s="5" t="s">
        <v>84</v>
      </c>
      <c r="B39" s="3" t="str">
        <f t="shared" si="2"/>
        <v>2370</v>
      </c>
      <c r="C39" s="3" t="str">
        <f t="shared" si="1"/>
        <v>2489</v>
      </c>
      <c r="D39" s="6">
        <v>62</v>
      </c>
      <c r="E39" s="6">
        <v>81</v>
      </c>
      <c r="F39" s="6">
        <v>93</v>
      </c>
    </row>
    <row r="40" spans="1:6" ht="13" customHeight="1" x14ac:dyDescent="0.3">
      <c r="A40" s="5" t="s">
        <v>85</v>
      </c>
      <c r="B40" s="3" t="str">
        <f t="shared" si="2"/>
        <v>2490</v>
      </c>
      <c r="C40" s="3" t="str">
        <f t="shared" si="1"/>
        <v>3317</v>
      </c>
      <c r="D40" s="6">
        <v>56</v>
      </c>
      <c r="E40" s="6">
        <v>73</v>
      </c>
      <c r="F40" s="6">
        <v>85</v>
      </c>
    </row>
    <row r="41" spans="1:6" ht="13" customHeight="1" x14ac:dyDescent="0.3">
      <c r="A41" s="5" t="s">
        <v>86</v>
      </c>
      <c r="B41" s="3" t="str">
        <f t="shared" si="2"/>
        <v>3318</v>
      </c>
      <c r="C41" s="3" t="str">
        <f t="shared" si="1"/>
        <v>4580</v>
      </c>
      <c r="D41" s="6">
        <v>0</v>
      </c>
      <c r="E41" s="6">
        <v>65</v>
      </c>
      <c r="F41" s="6">
        <v>77</v>
      </c>
    </row>
    <row r="42" spans="1:6" ht="14" customHeight="1" x14ac:dyDescent="0.3">
      <c r="A42" s="5" t="s">
        <v>87</v>
      </c>
      <c r="B42" s="3" t="str">
        <f t="shared" si="2"/>
        <v>4581</v>
      </c>
      <c r="C42" s="5"/>
      <c r="D42" s="6">
        <v>0</v>
      </c>
      <c r="E42" s="6">
        <v>0</v>
      </c>
      <c r="F42" s="6">
        <v>69</v>
      </c>
    </row>
    <row r="43" spans="1:6" ht="34" customHeight="1" x14ac:dyDescent="0.3">
      <c r="A43" s="13" t="s">
        <v>45</v>
      </c>
      <c r="B43" s="14"/>
      <c r="C43" s="14"/>
      <c r="D43" s="14"/>
      <c r="E43" s="14"/>
      <c r="F43" s="15"/>
    </row>
  </sheetData>
  <mergeCells count="6">
    <mergeCell ref="A1:F1"/>
    <mergeCell ref="A2:A3"/>
    <mergeCell ref="B2:B3"/>
    <mergeCell ref="C2:C3"/>
    <mergeCell ref="D2:F2"/>
    <mergeCell ref="A43:F4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D8515-1ACF-444D-B7F9-EA6504274A8A}">
  <dimension ref="A1:F43"/>
  <sheetViews>
    <sheetView zoomScale="60" zoomScaleNormal="60" workbookViewId="0">
      <selection activeCell="F42" sqref="F4:F42"/>
    </sheetView>
  </sheetViews>
  <sheetFormatPr defaultRowHeight="13" x14ac:dyDescent="0.3"/>
  <cols>
    <col min="1" max="1" width="20.296875" customWidth="1"/>
    <col min="2" max="3" width="18.3984375" customWidth="1"/>
    <col min="4" max="6" width="27.09765625" customWidth="1"/>
  </cols>
  <sheetData>
    <row r="1" spans="1:6" ht="56" customHeight="1" x14ac:dyDescent="0.3">
      <c r="A1" s="20" t="s">
        <v>88</v>
      </c>
      <c r="B1" s="8"/>
      <c r="C1" s="8"/>
      <c r="D1" s="8"/>
      <c r="E1" s="8"/>
      <c r="F1" s="9"/>
    </row>
    <row r="2" spans="1:6" ht="22" customHeight="1" x14ac:dyDescent="0.3">
      <c r="A2" s="10" t="s">
        <v>1</v>
      </c>
      <c r="B2" s="16" t="s">
        <v>46</v>
      </c>
      <c r="C2" s="16" t="s">
        <v>47</v>
      </c>
      <c r="D2" s="12" t="s">
        <v>2</v>
      </c>
      <c r="E2" s="12"/>
      <c r="F2" s="12"/>
    </row>
    <row r="3" spans="1:6" ht="28" customHeight="1" x14ac:dyDescent="0.3">
      <c r="A3" s="11"/>
      <c r="B3" s="11"/>
      <c r="C3" s="11"/>
      <c r="D3" s="1" t="s">
        <v>3</v>
      </c>
      <c r="E3" s="1" t="s">
        <v>4</v>
      </c>
      <c r="F3" s="2" t="s">
        <v>5</v>
      </c>
    </row>
    <row r="4" spans="1:6" ht="14" customHeight="1" x14ac:dyDescent="0.3">
      <c r="A4" s="3" t="s">
        <v>49</v>
      </c>
      <c r="B4" s="3" t="str">
        <f>MID(A4,3,1)</f>
        <v>0</v>
      </c>
      <c r="C4" s="3" t="str">
        <f>RIGHT(A4,2)</f>
        <v>69</v>
      </c>
      <c r="D4" s="4">
        <v>257</v>
      </c>
      <c r="E4" s="4">
        <v>305</v>
      </c>
      <c r="F4" s="4">
        <v>364</v>
      </c>
    </row>
    <row r="5" spans="1:6" ht="13" customHeight="1" x14ac:dyDescent="0.3">
      <c r="A5" s="5" t="s">
        <v>50</v>
      </c>
      <c r="B5" s="3" t="str">
        <f>MID(A5,3,2)</f>
        <v>70</v>
      </c>
      <c r="C5" s="3" t="str">
        <f>RIGHT(A5,3)</f>
        <v>129</v>
      </c>
      <c r="D5" s="6">
        <v>246</v>
      </c>
      <c r="E5" s="6">
        <v>292</v>
      </c>
      <c r="F5" s="6">
        <v>352</v>
      </c>
    </row>
    <row r="6" spans="1:6" ht="13" customHeight="1" x14ac:dyDescent="0.3">
      <c r="A6" s="5" t="s">
        <v>51</v>
      </c>
      <c r="B6" s="3" t="str">
        <f>MID(A6,3,3)</f>
        <v>130</v>
      </c>
      <c r="C6" s="3" t="str">
        <f>RIGHT(A6,3)</f>
        <v>189</v>
      </c>
      <c r="D6" s="6">
        <v>233</v>
      </c>
      <c r="E6" s="6">
        <v>282</v>
      </c>
      <c r="F6" s="6">
        <v>341</v>
      </c>
    </row>
    <row r="7" spans="1:6" ht="13" customHeight="1" x14ac:dyDescent="0.3">
      <c r="A7" s="5" t="s">
        <v>52</v>
      </c>
      <c r="B7" s="3" t="str">
        <f t="shared" ref="B7:B20" si="0">MID(A7,3,3)</f>
        <v>190</v>
      </c>
      <c r="C7" s="3" t="str">
        <f>RIGHT(A7,3)</f>
        <v>249</v>
      </c>
      <c r="D7" s="6">
        <v>221</v>
      </c>
      <c r="E7" s="6">
        <v>270</v>
      </c>
      <c r="F7" s="6">
        <v>328</v>
      </c>
    </row>
    <row r="8" spans="1:6" ht="13" customHeight="1" x14ac:dyDescent="0.3">
      <c r="A8" s="5" t="s">
        <v>53</v>
      </c>
      <c r="B8" s="3" t="str">
        <f t="shared" si="0"/>
        <v>250</v>
      </c>
      <c r="C8" s="3" t="str">
        <f>RIGHT(A8,3)</f>
        <v>309</v>
      </c>
      <c r="D8" s="6">
        <v>211</v>
      </c>
      <c r="E8" s="6">
        <v>257</v>
      </c>
      <c r="F8" s="6">
        <v>317</v>
      </c>
    </row>
    <row r="9" spans="1:6" ht="13" customHeight="1" x14ac:dyDescent="0.3">
      <c r="A9" s="5" t="s">
        <v>54</v>
      </c>
      <c r="B9" s="3" t="str">
        <f t="shared" si="0"/>
        <v>310</v>
      </c>
      <c r="C9" s="3" t="str">
        <f>RIGHT(A9,3)</f>
        <v>369</v>
      </c>
      <c r="D9" s="6">
        <v>198</v>
      </c>
      <c r="E9" s="6">
        <v>246</v>
      </c>
      <c r="F9" s="6">
        <v>305</v>
      </c>
    </row>
    <row r="10" spans="1:6" ht="13" customHeight="1" x14ac:dyDescent="0.3">
      <c r="A10" s="5" t="s">
        <v>55</v>
      </c>
      <c r="B10" s="3" t="str">
        <f t="shared" si="0"/>
        <v>370</v>
      </c>
      <c r="C10" s="3" t="str">
        <f>RIGHT(A10,3)</f>
        <v>429</v>
      </c>
      <c r="D10" s="6">
        <v>189</v>
      </c>
      <c r="E10" s="6">
        <v>236</v>
      </c>
      <c r="F10" s="6">
        <v>292</v>
      </c>
    </row>
    <row r="11" spans="1:6" ht="13" customHeight="1" x14ac:dyDescent="0.3">
      <c r="A11" s="5" t="s">
        <v>56</v>
      </c>
      <c r="B11" s="3" t="str">
        <f t="shared" si="0"/>
        <v>430</v>
      </c>
      <c r="C11" s="3" t="str">
        <f>RIGHT(A11,3)</f>
        <v>489</v>
      </c>
      <c r="D11" s="6">
        <v>184</v>
      </c>
      <c r="E11" s="6">
        <v>227</v>
      </c>
      <c r="F11" s="6">
        <v>282</v>
      </c>
    </row>
    <row r="12" spans="1:6" ht="13" customHeight="1" x14ac:dyDescent="0.3">
      <c r="A12" s="5" t="s">
        <v>57</v>
      </c>
      <c r="B12" s="3" t="str">
        <f t="shared" si="0"/>
        <v>490</v>
      </c>
      <c r="C12" s="3" t="str">
        <f>RIGHT(A12,3)</f>
        <v>549</v>
      </c>
      <c r="D12" s="6">
        <v>180</v>
      </c>
      <c r="E12" s="6">
        <v>221</v>
      </c>
      <c r="F12" s="6">
        <v>270</v>
      </c>
    </row>
    <row r="13" spans="1:6" ht="13" customHeight="1" x14ac:dyDescent="0.3">
      <c r="A13" s="5" t="s">
        <v>58</v>
      </c>
      <c r="B13" s="3" t="str">
        <f t="shared" si="0"/>
        <v>550</v>
      </c>
      <c r="C13" s="3" t="str">
        <f>RIGHT(A13,3)</f>
        <v>609</v>
      </c>
      <c r="D13" s="6">
        <v>175</v>
      </c>
      <c r="E13" s="6">
        <v>215</v>
      </c>
      <c r="F13" s="6">
        <v>257</v>
      </c>
    </row>
    <row r="14" spans="1:6" ht="13" customHeight="1" x14ac:dyDescent="0.3">
      <c r="A14" s="5" t="s">
        <v>59</v>
      </c>
      <c r="B14" s="3" t="str">
        <f t="shared" si="0"/>
        <v>610</v>
      </c>
      <c r="C14" s="3" t="str">
        <f>RIGHT(A14,3)</f>
        <v>669</v>
      </c>
      <c r="D14" s="6">
        <v>169</v>
      </c>
      <c r="E14" s="6">
        <v>208</v>
      </c>
      <c r="F14" s="6">
        <v>246</v>
      </c>
    </row>
    <row r="15" spans="1:6" ht="13" customHeight="1" x14ac:dyDescent="0.3">
      <c r="A15" s="5" t="s">
        <v>60</v>
      </c>
      <c r="B15" s="3" t="str">
        <f t="shared" si="0"/>
        <v>670</v>
      </c>
      <c r="C15" s="3" t="str">
        <f>RIGHT(A15,3)</f>
        <v>729</v>
      </c>
      <c r="D15" s="6">
        <v>164</v>
      </c>
      <c r="E15" s="6">
        <v>204</v>
      </c>
      <c r="F15" s="6">
        <v>233</v>
      </c>
    </row>
    <row r="16" spans="1:6" ht="13" customHeight="1" x14ac:dyDescent="0.3">
      <c r="A16" s="5" t="s">
        <v>61</v>
      </c>
      <c r="B16" s="3" t="str">
        <f t="shared" si="0"/>
        <v>730</v>
      </c>
      <c r="C16" s="3" t="str">
        <f>RIGHT(A16,3)</f>
        <v>789</v>
      </c>
      <c r="D16" s="6">
        <v>158</v>
      </c>
      <c r="E16" s="6">
        <v>198</v>
      </c>
      <c r="F16" s="6">
        <v>221</v>
      </c>
    </row>
    <row r="17" spans="1:6" ht="13" customHeight="1" x14ac:dyDescent="0.3">
      <c r="A17" s="5" t="s">
        <v>62</v>
      </c>
      <c r="B17" s="3" t="str">
        <f t="shared" si="0"/>
        <v>790</v>
      </c>
      <c r="C17" s="3" t="str">
        <f>RIGHT(A17,3)</f>
        <v>849</v>
      </c>
      <c r="D17" s="6">
        <v>152</v>
      </c>
      <c r="E17" s="6">
        <v>192</v>
      </c>
      <c r="F17" s="6">
        <v>211</v>
      </c>
    </row>
    <row r="18" spans="1:6" ht="13" customHeight="1" x14ac:dyDescent="0.3">
      <c r="A18" s="5" t="s">
        <v>63</v>
      </c>
      <c r="B18" s="3" t="str">
        <f t="shared" si="0"/>
        <v>850</v>
      </c>
      <c r="C18" s="3" t="str">
        <f>RIGHT(A18,3)</f>
        <v>909</v>
      </c>
      <c r="D18" s="6">
        <v>146</v>
      </c>
      <c r="E18" s="6">
        <v>186</v>
      </c>
      <c r="F18" s="6">
        <v>200</v>
      </c>
    </row>
    <row r="19" spans="1:6" ht="13" customHeight="1" x14ac:dyDescent="0.3">
      <c r="A19" s="5" t="s">
        <v>64</v>
      </c>
      <c r="B19" s="3" t="str">
        <f t="shared" si="0"/>
        <v>910</v>
      </c>
      <c r="C19" s="3" t="str">
        <f>RIGHT(A19,3)</f>
        <v>969</v>
      </c>
      <c r="D19" s="6">
        <v>140</v>
      </c>
      <c r="E19" s="6">
        <v>180</v>
      </c>
      <c r="F19" s="6">
        <v>193</v>
      </c>
    </row>
    <row r="20" spans="1:6" ht="13" customHeight="1" x14ac:dyDescent="0.3">
      <c r="A20" s="5" t="s">
        <v>65</v>
      </c>
      <c r="B20" s="3" t="str">
        <f t="shared" si="0"/>
        <v>970</v>
      </c>
      <c r="C20" s="3" t="str">
        <f>RIGHT(A20,4)</f>
        <v>1029</v>
      </c>
      <c r="D20" s="6">
        <v>134</v>
      </c>
      <c r="E20" s="6">
        <v>174</v>
      </c>
      <c r="F20" s="6">
        <v>187</v>
      </c>
    </row>
    <row r="21" spans="1:6" ht="13" customHeight="1" x14ac:dyDescent="0.3">
      <c r="A21" s="5" t="s">
        <v>66</v>
      </c>
      <c r="B21" s="3" t="str">
        <f>MID(A21,3,4)</f>
        <v>1030</v>
      </c>
      <c r="C21" s="3" t="str">
        <f t="shared" ref="C21:C41" si="1">RIGHT(A21,4)</f>
        <v>1089</v>
      </c>
      <c r="D21" s="6">
        <v>128</v>
      </c>
      <c r="E21" s="6">
        <v>168</v>
      </c>
      <c r="F21" s="6">
        <v>180</v>
      </c>
    </row>
    <row r="22" spans="1:6" ht="13" customHeight="1" x14ac:dyDescent="0.3">
      <c r="A22" s="5" t="s">
        <v>67</v>
      </c>
      <c r="B22" s="3" t="str">
        <f t="shared" ref="B22:B42" si="2">MID(A22,3,4)</f>
        <v>1090</v>
      </c>
      <c r="C22" s="3" t="str">
        <f t="shared" si="1"/>
        <v>1149</v>
      </c>
      <c r="D22" s="6">
        <v>122</v>
      </c>
      <c r="E22" s="6">
        <v>162</v>
      </c>
      <c r="F22" s="6">
        <v>174</v>
      </c>
    </row>
    <row r="23" spans="1:6" ht="13" customHeight="1" x14ac:dyDescent="0.3">
      <c r="A23" s="5" t="s">
        <v>68</v>
      </c>
      <c r="B23" s="3" t="str">
        <f t="shared" si="2"/>
        <v>1150</v>
      </c>
      <c r="C23" s="3" t="str">
        <f t="shared" si="1"/>
        <v>1209</v>
      </c>
      <c r="D23" s="6">
        <v>116</v>
      </c>
      <c r="E23" s="6">
        <v>156</v>
      </c>
      <c r="F23" s="6">
        <v>167</v>
      </c>
    </row>
    <row r="24" spans="1:6" ht="13" customHeight="1" x14ac:dyDescent="0.3">
      <c r="A24" s="5" t="s">
        <v>69</v>
      </c>
      <c r="B24" s="3" t="str">
        <f t="shared" si="2"/>
        <v>1210</v>
      </c>
      <c r="C24" s="3" t="str">
        <f t="shared" si="1"/>
        <v>1269</v>
      </c>
      <c r="D24" s="6">
        <v>110</v>
      </c>
      <c r="E24" s="6">
        <v>151</v>
      </c>
      <c r="F24" s="6">
        <v>161</v>
      </c>
    </row>
    <row r="25" spans="1:6" ht="13" customHeight="1" x14ac:dyDescent="0.3">
      <c r="A25" s="5" t="s">
        <v>70</v>
      </c>
      <c r="B25" s="3" t="str">
        <f t="shared" si="2"/>
        <v>1270</v>
      </c>
      <c r="C25" s="3" t="str">
        <f t="shared" si="1"/>
        <v>1329</v>
      </c>
      <c r="D25" s="6">
        <v>106</v>
      </c>
      <c r="E25" s="6">
        <v>145</v>
      </c>
      <c r="F25" s="6">
        <v>154</v>
      </c>
    </row>
    <row r="26" spans="1:6" ht="13" customHeight="1" x14ac:dyDescent="0.3">
      <c r="A26" s="5" t="s">
        <v>71</v>
      </c>
      <c r="B26" s="3" t="str">
        <f t="shared" si="2"/>
        <v>1330</v>
      </c>
      <c r="C26" s="3" t="str">
        <f t="shared" si="1"/>
        <v>1389</v>
      </c>
      <c r="D26" s="6">
        <v>101</v>
      </c>
      <c r="E26" s="6">
        <v>139</v>
      </c>
      <c r="F26" s="6">
        <v>148</v>
      </c>
    </row>
    <row r="27" spans="1:6" ht="13" customHeight="1" x14ac:dyDescent="0.3">
      <c r="A27" s="5" t="s">
        <v>72</v>
      </c>
      <c r="B27" s="3" t="str">
        <f t="shared" si="2"/>
        <v>1390</v>
      </c>
      <c r="C27" s="3" t="str">
        <f t="shared" si="1"/>
        <v>1449</v>
      </c>
      <c r="D27" s="6">
        <v>96</v>
      </c>
      <c r="E27" s="6">
        <v>133</v>
      </c>
      <c r="F27" s="6">
        <v>142</v>
      </c>
    </row>
    <row r="28" spans="1:6" ht="13" customHeight="1" x14ac:dyDescent="0.3">
      <c r="A28" s="5" t="s">
        <v>73</v>
      </c>
      <c r="B28" s="3" t="str">
        <f t="shared" si="2"/>
        <v>1450</v>
      </c>
      <c r="C28" s="3" t="str">
        <f t="shared" si="1"/>
        <v>1509</v>
      </c>
      <c r="D28" s="6">
        <v>93</v>
      </c>
      <c r="E28" s="6">
        <v>127</v>
      </c>
      <c r="F28" s="6">
        <v>136</v>
      </c>
    </row>
    <row r="29" spans="1:6" ht="13" customHeight="1" x14ac:dyDescent="0.3">
      <c r="A29" s="5" t="s">
        <v>74</v>
      </c>
      <c r="B29" s="3" t="str">
        <f t="shared" si="2"/>
        <v>1510</v>
      </c>
      <c r="C29" s="3" t="str">
        <f t="shared" si="1"/>
        <v>1569</v>
      </c>
      <c r="D29" s="6">
        <v>89</v>
      </c>
      <c r="E29" s="6">
        <v>121</v>
      </c>
      <c r="F29" s="6">
        <v>130</v>
      </c>
    </row>
    <row r="30" spans="1:6" ht="13" customHeight="1" x14ac:dyDescent="0.3">
      <c r="A30" s="5" t="s">
        <v>75</v>
      </c>
      <c r="B30" s="3" t="str">
        <f t="shared" si="2"/>
        <v>1570</v>
      </c>
      <c r="C30" s="3" t="str">
        <f t="shared" si="1"/>
        <v>1629</v>
      </c>
      <c r="D30" s="6">
        <v>86</v>
      </c>
      <c r="E30" s="6">
        <v>115</v>
      </c>
      <c r="F30" s="6">
        <v>125</v>
      </c>
    </row>
    <row r="31" spans="1:6" ht="13" customHeight="1" x14ac:dyDescent="0.3">
      <c r="A31" s="5" t="s">
        <v>76</v>
      </c>
      <c r="B31" s="3" t="str">
        <f t="shared" si="2"/>
        <v>1630</v>
      </c>
      <c r="C31" s="3" t="str">
        <f t="shared" si="1"/>
        <v>1689</v>
      </c>
      <c r="D31" s="6">
        <v>82</v>
      </c>
      <c r="E31" s="6">
        <v>109</v>
      </c>
      <c r="F31" s="6">
        <v>119</v>
      </c>
    </row>
    <row r="32" spans="1:6" ht="13" customHeight="1" x14ac:dyDescent="0.3">
      <c r="A32" s="5" t="s">
        <v>77</v>
      </c>
      <c r="B32" s="3" t="str">
        <f t="shared" si="2"/>
        <v>1690</v>
      </c>
      <c r="C32" s="3" t="str">
        <f t="shared" si="1"/>
        <v>1749</v>
      </c>
      <c r="D32" s="6">
        <v>79</v>
      </c>
      <c r="E32" s="6">
        <v>103</v>
      </c>
      <c r="F32" s="6">
        <v>113</v>
      </c>
    </row>
    <row r="33" spans="1:6" ht="13" customHeight="1" x14ac:dyDescent="0.3">
      <c r="A33" s="5" t="s">
        <v>78</v>
      </c>
      <c r="B33" s="3" t="str">
        <f t="shared" si="2"/>
        <v>1750</v>
      </c>
      <c r="C33" s="3" t="str">
        <f t="shared" si="1"/>
        <v>1869</v>
      </c>
      <c r="D33" s="6">
        <v>75</v>
      </c>
      <c r="E33" s="6">
        <v>97</v>
      </c>
      <c r="F33" s="6">
        <v>107</v>
      </c>
    </row>
    <row r="34" spans="1:6" ht="13" customHeight="1" x14ac:dyDescent="0.3">
      <c r="A34" s="5" t="s">
        <v>79</v>
      </c>
      <c r="B34" s="3" t="str">
        <f t="shared" si="2"/>
        <v>1870</v>
      </c>
      <c r="C34" s="3" t="str">
        <f t="shared" si="1"/>
        <v>1989</v>
      </c>
      <c r="D34" s="6">
        <v>70</v>
      </c>
      <c r="E34" s="6">
        <v>92</v>
      </c>
      <c r="F34" s="6">
        <v>101</v>
      </c>
    </row>
    <row r="35" spans="1:6" ht="13" customHeight="1" x14ac:dyDescent="0.3">
      <c r="A35" s="5" t="s">
        <v>80</v>
      </c>
      <c r="B35" s="3" t="str">
        <f t="shared" si="2"/>
        <v>1990</v>
      </c>
      <c r="C35" s="3" t="str">
        <f t="shared" si="1"/>
        <v>2009</v>
      </c>
      <c r="D35" s="6">
        <v>66</v>
      </c>
      <c r="E35" s="6">
        <v>86</v>
      </c>
      <c r="F35" s="6">
        <v>95</v>
      </c>
    </row>
    <row r="36" spans="1:6" ht="13" customHeight="1" x14ac:dyDescent="0.3">
      <c r="A36" s="5" t="s">
        <v>81</v>
      </c>
      <c r="B36" s="3" t="str">
        <f t="shared" si="2"/>
        <v>2010</v>
      </c>
      <c r="C36" s="3" t="str">
        <f t="shared" si="1"/>
        <v>2129</v>
      </c>
      <c r="D36" s="6">
        <v>61</v>
      </c>
      <c r="E36" s="6">
        <v>80</v>
      </c>
      <c r="F36" s="6">
        <v>89</v>
      </c>
    </row>
    <row r="37" spans="1:6" ht="13" customHeight="1" x14ac:dyDescent="0.3">
      <c r="A37" s="5" t="s">
        <v>82</v>
      </c>
      <c r="B37" s="3" t="str">
        <f t="shared" si="2"/>
        <v>2130</v>
      </c>
      <c r="C37" s="3" t="str">
        <f t="shared" si="1"/>
        <v>2249</v>
      </c>
      <c r="D37" s="6">
        <v>57</v>
      </c>
      <c r="E37" s="6">
        <v>74</v>
      </c>
      <c r="F37" s="6">
        <v>83</v>
      </c>
    </row>
    <row r="38" spans="1:6" ht="13" customHeight="1" x14ac:dyDescent="0.3">
      <c r="A38" s="5" t="s">
        <v>83</v>
      </c>
      <c r="B38" s="3" t="str">
        <f t="shared" si="2"/>
        <v>2250</v>
      </c>
      <c r="C38" s="3" t="str">
        <f t="shared" si="1"/>
        <v>2369</v>
      </c>
      <c r="D38" s="6">
        <v>53</v>
      </c>
      <c r="E38" s="6">
        <v>68</v>
      </c>
      <c r="F38" s="6">
        <v>77</v>
      </c>
    </row>
    <row r="39" spans="1:6" ht="13" customHeight="1" x14ac:dyDescent="0.3">
      <c r="A39" s="5" t="s">
        <v>84</v>
      </c>
      <c r="B39" s="3" t="str">
        <f t="shared" si="2"/>
        <v>2370</v>
      </c>
      <c r="C39" s="3" t="str">
        <f t="shared" si="1"/>
        <v>2489</v>
      </c>
      <c r="D39" s="6">
        <v>50</v>
      </c>
      <c r="E39" s="6">
        <v>62</v>
      </c>
      <c r="F39" s="6">
        <v>71</v>
      </c>
    </row>
    <row r="40" spans="1:6" ht="13" customHeight="1" x14ac:dyDescent="0.3">
      <c r="A40" s="5" t="s">
        <v>85</v>
      </c>
      <c r="B40" s="3" t="str">
        <f t="shared" si="2"/>
        <v>2490</v>
      </c>
      <c r="C40" s="3" t="str">
        <f t="shared" si="1"/>
        <v>3317</v>
      </c>
      <c r="D40" s="6">
        <v>50</v>
      </c>
      <c r="E40" s="6">
        <v>50</v>
      </c>
      <c r="F40" s="6">
        <v>50</v>
      </c>
    </row>
    <row r="41" spans="1:6" ht="13" customHeight="1" x14ac:dyDescent="0.3">
      <c r="A41" s="5" t="s">
        <v>86</v>
      </c>
      <c r="B41" s="3" t="str">
        <f t="shared" si="2"/>
        <v>3318</v>
      </c>
      <c r="C41" s="3" t="str">
        <f t="shared" si="1"/>
        <v>4580</v>
      </c>
      <c r="D41" s="6">
        <v>0</v>
      </c>
      <c r="E41" s="6">
        <v>50</v>
      </c>
      <c r="F41" s="6">
        <v>50</v>
      </c>
    </row>
    <row r="42" spans="1:6" ht="14" customHeight="1" x14ac:dyDescent="0.3">
      <c r="A42" s="5" t="s">
        <v>87</v>
      </c>
      <c r="B42" s="3" t="str">
        <f t="shared" si="2"/>
        <v>4581</v>
      </c>
      <c r="C42" s="5"/>
      <c r="D42" s="6">
        <v>0</v>
      </c>
      <c r="E42" s="6">
        <v>0</v>
      </c>
      <c r="F42" s="6">
        <v>50</v>
      </c>
    </row>
    <row r="43" spans="1:6" ht="34" customHeight="1" x14ac:dyDescent="0.3">
      <c r="A43" s="13" t="s">
        <v>45</v>
      </c>
      <c r="B43" s="14"/>
      <c r="C43" s="14"/>
      <c r="D43" s="14"/>
      <c r="E43" s="14"/>
      <c r="F43" s="15"/>
    </row>
  </sheetData>
  <mergeCells count="6">
    <mergeCell ref="A1:F1"/>
    <mergeCell ref="A2:A3"/>
    <mergeCell ref="B2:B3"/>
    <mergeCell ref="C2:C3"/>
    <mergeCell ref="D2:F2"/>
    <mergeCell ref="A43:F4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A6FFA-76BE-4D2A-9670-42A55B93593A}">
  <dimension ref="A1:F43"/>
  <sheetViews>
    <sheetView tabSelected="1" topLeftCell="A11" zoomScale="60" zoomScaleNormal="60" workbookViewId="0">
      <selection activeCell="F4" sqref="F4:F42"/>
    </sheetView>
  </sheetViews>
  <sheetFormatPr defaultRowHeight="13" x14ac:dyDescent="0.3"/>
  <cols>
    <col min="1" max="1" width="20.296875" customWidth="1"/>
    <col min="2" max="3" width="18.3984375" customWidth="1"/>
    <col min="4" max="6" width="27.09765625" customWidth="1"/>
  </cols>
  <sheetData>
    <row r="1" spans="1:6" ht="56" customHeight="1" x14ac:dyDescent="0.3">
      <c r="A1" s="20" t="s">
        <v>89</v>
      </c>
      <c r="B1" s="8"/>
      <c r="C1" s="8"/>
      <c r="D1" s="8"/>
      <c r="E1" s="8"/>
      <c r="F1" s="9"/>
    </row>
    <row r="2" spans="1:6" ht="22" customHeight="1" x14ac:dyDescent="0.3">
      <c r="A2" s="10" t="s">
        <v>1</v>
      </c>
      <c r="B2" s="16" t="s">
        <v>46</v>
      </c>
      <c r="C2" s="16" t="s">
        <v>47</v>
      </c>
      <c r="D2" s="12" t="s">
        <v>2</v>
      </c>
      <c r="E2" s="12"/>
      <c r="F2" s="12"/>
    </row>
    <row r="3" spans="1:6" ht="28" customHeight="1" x14ac:dyDescent="0.3">
      <c r="A3" s="11"/>
      <c r="B3" s="11"/>
      <c r="C3" s="11"/>
      <c r="D3" s="1" t="s">
        <v>3</v>
      </c>
      <c r="E3" s="1" t="s">
        <v>4</v>
      </c>
      <c r="F3" s="2" t="s">
        <v>5</v>
      </c>
    </row>
    <row r="4" spans="1:6" ht="14" customHeight="1" x14ac:dyDescent="0.3">
      <c r="A4" s="3" t="s">
        <v>49</v>
      </c>
      <c r="B4" s="3" t="str">
        <f>MID(A4,3,1)</f>
        <v>0</v>
      </c>
      <c r="C4" s="3" t="str">
        <f>RIGHT(A4,2)</f>
        <v>69</v>
      </c>
      <c r="D4" s="4">
        <v>241</v>
      </c>
      <c r="E4" s="4">
        <v>287</v>
      </c>
      <c r="F4" s="4">
        <v>342</v>
      </c>
    </row>
    <row r="5" spans="1:6" ht="13" customHeight="1" x14ac:dyDescent="0.3">
      <c r="A5" s="5" t="s">
        <v>50</v>
      </c>
      <c r="B5" s="3" t="str">
        <f>MID(A5,3,2)</f>
        <v>70</v>
      </c>
      <c r="C5" s="3" t="str">
        <f>RIGHT(A5,3)</f>
        <v>129</v>
      </c>
      <c r="D5" s="6">
        <v>231</v>
      </c>
      <c r="E5" s="6">
        <v>275</v>
      </c>
      <c r="F5" s="6">
        <v>331</v>
      </c>
    </row>
    <row r="6" spans="1:6" ht="13" customHeight="1" x14ac:dyDescent="0.3">
      <c r="A6" s="5" t="s">
        <v>51</v>
      </c>
      <c r="B6" s="3" t="str">
        <f>MID(A6,3,3)</f>
        <v>130</v>
      </c>
      <c r="C6" s="3" t="str">
        <f>RIGHT(A6,3)</f>
        <v>189</v>
      </c>
      <c r="D6" s="6">
        <v>219</v>
      </c>
      <c r="E6" s="6">
        <v>265</v>
      </c>
      <c r="F6" s="6">
        <v>320</v>
      </c>
    </row>
    <row r="7" spans="1:6" ht="13" customHeight="1" x14ac:dyDescent="0.3">
      <c r="A7" s="5" t="s">
        <v>52</v>
      </c>
      <c r="B7" s="3" t="str">
        <f t="shared" ref="B7:B20" si="0">MID(A7,3,3)</f>
        <v>190</v>
      </c>
      <c r="C7" s="3" t="str">
        <f>RIGHT(A7,3)</f>
        <v>249</v>
      </c>
      <c r="D7" s="6">
        <v>208</v>
      </c>
      <c r="E7" s="6">
        <v>254</v>
      </c>
      <c r="F7" s="6">
        <v>308</v>
      </c>
    </row>
    <row r="8" spans="1:6" ht="13" customHeight="1" x14ac:dyDescent="0.3">
      <c r="A8" s="5" t="s">
        <v>53</v>
      </c>
      <c r="B8" s="3" t="str">
        <f t="shared" si="0"/>
        <v>250</v>
      </c>
      <c r="C8" s="3" t="str">
        <f>RIGHT(A8,3)</f>
        <v>309</v>
      </c>
      <c r="D8" s="6">
        <v>198</v>
      </c>
      <c r="E8" s="6">
        <v>241</v>
      </c>
      <c r="F8" s="6">
        <v>298</v>
      </c>
    </row>
    <row r="9" spans="1:6" ht="13" customHeight="1" x14ac:dyDescent="0.3">
      <c r="A9" s="5" t="s">
        <v>54</v>
      </c>
      <c r="B9" s="3" t="str">
        <f t="shared" si="0"/>
        <v>310</v>
      </c>
      <c r="C9" s="3" t="str">
        <f>RIGHT(A9,3)</f>
        <v>369</v>
      </c>
      <c r="D9" s="6">
        <v>186</v>
      </c>
      <c r="E9" s="6">
        <v>231</v>
      </c>
      <c r="F9" s="6">
        <v>287</v>
      </c>
    </row>
    <row r="10" spans="1:6" ht="13" customHeight="1" x14ac:dyDescent="0.3">
      <c r="A10" s="5" t="s">
        <v>55</v>
      </c>
      <c r="B10" s="3" t="str">
        <f t="shared" si="0"/>
        <v>370</v>
      </c>
      <c r="C10" s="3" t="str">
        <f>RIGHT(A10,3)</f>
        <v>429</v>
      </c>
      <c r="D10" s="6">
        <v>178</v>
      </c>
      <c r="E10" s="6">
        <v>222</v>
      </c>
      <c r="F10" s="6">
        <v>275</v>
      </c>
    </row>
    <row r="11" spans="1:6" ht="13" customHeight="1" x14ac:dyDescent="0.3">
      <c r="A11" s="5" t="s">
        <v>56</v>
      </c>
      <c r="B11" s="3" t="str">
        <f t="shared" si="0"/>
        <v>430</v>
      </c>
      <c r="C11" s="3" t="str">
        <f>RIGHT(A11,3)</f>
        <v>489</v>
      </c>
      <c r="D11" s="6">
        <v>173</v>
      </c>
      <c r="E11" s="6">
        <v>214</v>
      </c>
      <c r="F11" s="6">
        <v>265</v>
      </c>
    </row>
    <row r="12" spans="1:6" ht="13" customHeight="1" x14ac:dyDescent="0.3">
      <c r="A12" s="5" t="s">
        <v>57</v>
      </c>
      <c r="B12" s="3" t="str">
        <f t="shared" si="0"/>
        <v>490</v>
      </c>
      <c r="C12" s="3" t="str">
        <f>RIGHT(A12,3)</f>
        <v>549</v>
      </c>
      <c r="D12" s="6">
        <v>169</v>
      </c>
      <c r="E12" s="6">
        <v>208</v>
      </c>
      <c r="F12" s="6">
        <v>254</v>
      </c>
    </row>
    <row r="13" spans="1:6" ht="13" customHeight="1" x14ac:dyDescent="0.3">
      <c r="A13" s="5" t="s">
        <v>58</v>
      </c>
      <c r="B13" s="3" t="str">
        <f t="shared" si="0"/>
        <v>550</v>
      </c>
      <c r="C13" s="3" t="str">
        <f>RIGHT(A13,3)</f>
        <v>609</v>
      </c>
      <c r="D13" s="6">
        <v>165</v>
      </c>
      <c r="E13" s="6">
        <v>203</v>
      </c>
      <c r="F13" s="6">
        <v>241</v>
      </c>
    </row>
    <row r="14" spans="1:6" ht="13" customHeight="1" x14ac:dyDescent="0.3">
      <c r="A14" s="5" t="s">
        <v>59</v>
      </c>
      <c r="B14" s="3" t="str">
        <f t="shared" si="0"/>
        <v>610</v>
      </c>
      <c r="C14" s="3" t="str">
        <f>RIGHT(A14,3)</f>
        <v>669</v>
      </c>
      <c r="D14" s="6">
        <v>159</v>
      </c>
      <c r="E14" s="6">
        <v>196</v>
      </c>
      <c r="F14" s="6">
        <v>231</v>
      </c>
    </row>
    <row r="15" spans="1:6" ht="13" customHeight="1" x14ac:dyDescent="0.3">
      <c r="A15" s="5" t="s">
        <v>60</v>
      </c>
      <c r="B15" s="3" t="str">
        <f t="shared" si="0"/>
        <v>670</v>
      </c>
      <c r="C15" s="3" t="str">
        <f>RIGHT(A15,3)</f>
        <v>729</v>
      </c>
      <c r="D15" s="6">
        <v>154</v>
      </c>
      <c r="E15" s="6">
        <v>192</v>
      </c>
      <c r="F15" s="6">
        <v>219</v>
      </c>
    </row>
    <row r="16" spans="1:6" ht="13" customHeight="1" x14ac:dyDescent="0.3">
      <c r="A16" s="5" t="s">
        <v>61</v>
      </c>
      <c r="B16" s="3" t="str">
        <f t="shared" si="0"/>
        <v>730</v>
      </c>
      <c r="C16" s="3" t="str">
        <f>RIGHT(A16,3)</f>
        <v>789</v>
      </c>
      <c r="D16" s="6">
        <v>148</v>
      </c>
      <c r="E16" s="6">
        <v>186</v>
      </c>
      <c r="F16" s="6">
        <v>208</v>
      </c>
    </row>
    <row r="17" spans="1:6" ht="13" customHeight="1" x14ac:dyDescent="0.3">
      <c r="A17" s="5" t="s">
        <v>62</v>
      </c>
      <c r="B17" s="3" t="str">
        <f t="shared" si="0"/>
        <v>790</v>
      </c>
      <c r="C17" s="3" t="str">
        <f>RIGHT(A17,3)</f>
        <v>849</v>
      </c>
      <c r="D17" s="6">
        <v>143</v>
      </c>
      <c r="E17" s="6">
        <v>180</v>
      </c>
      <c r="F17" s="6">
        <v>198</v>
      </c>
    </row>
    <row r="18" spans="1:6" ht="13" customHeight="1" x14ac:dyDescent="0.3">
      <c r="A18" s="5" t="s">
        <v>63</v>
      </c>
      <c r="B18" s="3" t="str">
        <f t="shared" si="0"/>
        <v>850</v>
      </c>
      <c r="C18" s="3" t="str">
        <f>RIGHT(A18,3)</f>
        <v>909</v>
      </c>
      <c r="D18" s="6">
        <v>137</v>
      </c>
      <c r="E18" s="6">
        <v>175</v>
      </c>
      <c r="F18" s="6">
        <v>188</v>
      </c>
    </row>
    <row r="19" spans="1:6" ht="13" customHeight="1" x14ac:dyDescent="0.3">
      <c r="A19" s="5" t="s">
        <v>64</v>
      </c>
      <c r="B19" s="3" t="str">
        <f t="shared" si="0"/>
        <v>910</v>
      </c>
      <c r="C19" s="3" t="str">
        <f>RIGHT(A19,3)</f>
        <v>969</v>
      </c>
      <c r="D19" s="6">
        <v>132</v>
      </c>
      <c r="E19" s="6">
        <v>169</v>
      </c>
      <c r="F19" s="6">
        <v>182</v>
      </c>
    </row>
    <row r="20" spans="1:6" ht="13" customHeight="1" x14ac:dyDescent="0.3">
      <c r="A20" s="5" t="s">
        <v>65</v>
      </c>
      <c r="B20" s="3" t="str">
        <f t="shared" si="0"/>
        <v>970</v>
      </c>
      <c r="C20" s="3" t="str">
        <f>RIGHT(A20,4)</f>
        <v>1029</v>
      </c>
      <c r="D20" s="6">
        <v>126</v>
      </c>
      <c r="E20" s="6">
        <v>164</v>
      </c>
      <c r="F20" s="6">
        <v>176</v>
      </c>
    </row>
    <row r="21" spans="1:6" ht="13" customHeight="1" x14ac:dyDescent="0.3">
      <c r="A21" s="5" t="s">
        <v>66</v>
      </c>
      <c r="B21" s="3" t="str">
        <f>MID(A21,3,4)</f>
        <v>1030</v>
      </c>
      <c r="C21" s="3" t="str">
        <f t="shared" ref="C21:C41" si="1">RIGHT(A21,4)</f>
        <v>1089</v>
      </c>
      <c r="D21" s="6">
        <v>120</v>
      </c>
      <c r="E21" s="6">
        <v>158</v>
      </c>
      <c r="F21" s="6">
        <v>169</v>
      </c>
    </row>
    <row r="22" spans="1:6" ht="13" customHeight="1" x14ac:dyDescent="0.3">
      <c r="A22" s="5" t="s">
        <v>67</v>
      </c>
      <c r="B22" s="3" t="str">
        <f t="shared" ref="B22:B42" si="2">MID(A22,3,4)</f>
        <v>1090</v>
      </c>
      <c r="C22" s="3" t="str">
        <f t="shared" si="1"/>
        <v>1149</v>
      </c>
      <c r="D22" s="6">
        <v>115</v>
      </c>
      <c r="E22" s="6">
        <v>153</v>
      </c>
      <c r="F22" s="6">
        <v>164</v>
      </c>
    </row>
    <row r="23" spans="1:6" ht="13" customHeight="1" x14ac:dyDescent="0.3">
      <c r="A23" s="5" t="s">
        <v>68</v>
      </c>
      <c r="B23" s="3" t="str">
        <f t="shared" si="2"/>
        <v>1150</v>
      </c>
      <c r="C23" s="3" t="str">
        <f t="shared" si="1"/>
        <v>1209</v>
      </c>
      <c r="D23" s="6">
        <v>109</v>
      </c>
      <c r="E23" s="6">
        <v>147</v>
      </c>
      <c r="F23" s="6">
        <v>157</v>
      </c>
    </row>
    <row r="24" spans="1:6" ht="13" customHeight="1" x14ac:dyDescent="0.3">
      <c r="A24" s="5" t="s">
        <v>69</v>
      </c>
      <c r="B24" s="3" t="str">
        <f t="shared" si="2"/>
        <v>1210</v>
      </c>
      <c r="C24" s="3" t="str">
        <f t="shared" si="1"/>
        <v>1269</v>
      </c>
      <c r="D24" s="6">
        <v>104</v>
      </c>
      <c r="E24" s="6">
        <v>142</v>
      </c>
      <c r="F24" s="6">
        <v>152</v>
      </c>
    </row>
    <row r="25" spans="1:6" ht="13" customHeight="1" x14ac:dyDescent="0.3">
      <c r="A25" s="5" t="s">
        <v>70</v>
      </c>
      <c r="B25" s="3" t="str">
        <f t="shared" si="2"/>
        <v>1270</v>
      </c>
      <c r="C25" s="3" t="str">
        <f t="shared" si="1"/>
        <v>1329</v>
      </c>
      <c r="D25" s="6">
        <v>99</v>
      </c>
      <c r="E25" s="6">
        <v>136</v>
      </c>
      <c r="F25" s="6">
        <v>145</v>
      </c>
    </row>
    <row r="26" spans="1:6" ht="13" customHeight="1" x14ac:dyDescent="0.3">
      <c r="A26" s="5" t="s">
        <v>71</v>
      </c>
      <c r="B26" s="3" t="str">
        <f t="shared" si="2"/>
        <v>1330</v>
      </c>
      <c r="C26" s="3" t="str">
        <f t="shared" si="1"/>
        <v>1389</v>
      </c>
      <c r="D26" s="6">
        <v>95</v>
      </c>
      <c r="E26" s="6">
        <v>130</v>
      </c>
      <c r="F26" s="6">
        <v>139</v>
      </c>
    </row>
    <row r="27" spans="1:6" ht="13" customHeight="1" x14ac:dyDescent="0.3">
      <c r="A27" s="5" t="s">
        <v>72</v>
      </c>
      <c r="B27" s="3" t="str">
        <f t="shared" si="2"/>
        <v>1390</v>
      </c>
      <c r="C27" s="3" t="str">
        <f t="shared" si="1"/>
        <v>1449</v>
      </c>
      <c r="D27" s="6">
        <v>91</v>
      </c>
      <c r="E27" s="6">
        <v>125</v>
      </c>
      <c r="F27" s="6">
        <v>134</v>
      </c>
    </row>
    <row r="28" spans="1:6" ht="13" customHeight="1" x14ac:dyDescent="0.3">
      <c r="A28" s="5" t="s">
        <v>73</v>
      </c>
      <c r="B28" s="3" t="str">
        <f t="shared" si="2"/>
        <v>1450</v>
      </c>
      <c r="C28" s="3" t="str">
        <f t="shared" si="1"/>
        <v>1509</v>
      </c>
      <c r="D28" s="6">
        <v>87</v>
      </c>
      <c r="E28" s="6">
        <v>119</v>
      </c>
      <c r="F28" s="6">
        <v>128</v>
      </c>
    </row>
    <row r="29" spans="1:6" ht="13" customHeight="1" x14ac:dyDescent="0.3">
      <c r="A29" s="5" t="s">
        <v>74</v>
      </c>
      <c r="B29" s="3" t="str">
        <f t="shared" si="2"/>
        <v>1510</v>
      </c>
      <c r="C29" s="3" t="str">
        <f t="shared" si="1"/>
        <v>1569</v>
      </c>
      <c r="D29" s="6">
        <v>84</v>
      </c>
      <c r="E29" s="6">
        <v>114</v>
      </c>
      <c r="F29" s="6">
        <v>123</v>
      </c>
    </row>
    <row r="30" spans="1:6" ht="13" customHeight="1" x14ac:dyDescent="0.3">
      <c r="A30" s="5" t="s">
        <v>75</v>
      </c>
      <c r="B30" s="3" t="str">
        <f t="shared" si="2"/>
        <v>1570</v>
      </c>
      <c r="C30" s="3" t="str">
        <f t="shared" si="1"/>
        <v>1629</v>
      </c>
      <c r="D30" s="6">
        <v>81</v>
      </c>
      <c r="E30" s="6">
        <v>108</v>
      </c>
      <c r="F30" s="6">
        <v>117</v>
      </c>
    </row>
    <row r="31" spans="1:6" ht="13" customHeight="1" x14ac:dyDescent="0.3">
      <c r="A31" s="5" t="s">
        <v>76</v>
      </c>
      <c r="B31" s="3" t="str">
        <f t="shared" si="2"/>
        <v>1630</v>
      </c>
      <c r="C31" s="3" t="str">
        <f t="shared" si="1"/>
        <v>1689</v>
      </c>
      <c r="D31" s="6">
        <v>77</v>
      </c>
      <c r="E31" s="6">
        <v>103</v>
      </c>
      <c r="F31" s="6">
        <v>112</v>
      </c>
    </row>
    <row r="32" spans="1:6" ht="13" customHeight="1" x14ac:dyDescent="0.3">
      <c r="A32" s="5" t="s">
        <v>77</v>
      </c>
      <c r="B32" s="3" t="str">
        <f t="shared" si="2"/>
        <v>1690</v>
      </c>
      <c r="C32" s="3" t="str">
        <f t="shared" si="1"/>
        <v>1749</v>
      </c>
      <c r="D32" s="6">
        <v>74</v>
      </c>
      <c r="E32" s="6">
        <v>97</v>
      </c>
      <c r="F32" s="6">
        <v>106</v>
      </c>
    </row>
    <row r="33" spans="1:6" ht="13" customHeight="1" x14ac:dyDescent="0.3">
      <c r="A33" s="5" t="s">
        <v>78</v>
      </c>
      <c r="B33" s="3" t="str">
        <f t="shared" si="2"/>
        <v>1750</v>
      </c>
      <c r="C33" s="3" t="str">
        <f t="shared" si="1"/>
        <v>1869</v>
      </c>
      <c r="D33" s="6">
        <v>71</v>
      </c>
      <c r="E33" s="6">
        <v>92</v>
      </c>
      <c r="F33" s="6">
        <v>101</v>
      </c>
    </row>
    <row r="34" spans="1:6" ht="13" customHeight="1" x14ac:dyDescent="0.3">
      <c r="A34" s="5" t="s">
        <v>79</v>
      </c>
      <c r="B34" s="3" t="str">
        <f t="shared" si="2"/>
        <v>1870</v>
      </c>
      <c r="C34" s="3" t="str">
        <f t="shared" si="1"/>
        <v>1989</v>
      </c>
      <c r="D34" s="6">
        <v>66</v>
      </c>
      <c r="E34" s="6">
        <v>86</v>
      </c>
      <c r="F34" s="6">
        <v>95</v>
      </c>
    </row>
    <row r="35" spans="1:6" ht="13" customHeight="1" x14ac:dyDescent="0.3">
      <c r="A35" s="5" t="s">
        <v>80</v>
      </c>
      <c r="B35" s="3" t="str">
        <f t="shared" si="2"/>
        <v>1990</v>
      </c>
      <c r="C35" s="3" t="str">
        <f t="shared" si="1"/>
        <v>2009</v>
      </c>
      <c r="D35" s="6">
        <v>62</v>
      </c>
      <c r="E35" s="6">
        <v>81</v>
      </c>
      <c r="F35" s="6">
        <v>89</v>
      </c>
    </row>
    <row r="36" spans="1:6" ht="13" customHeight="1" x14ac:dyDescent="0.3">
      <c r="A36" s="5" t="s">
        <v>81</v>
      </c>
      <c r="B36" s="3" t="str">
        <f t="shared" si="2"/>
        <v>2010</v>
      </c>
      <c r="C36" s="3" t="str">
        <f t="shared" si="1"/>
        <v>2129</v>
      </c>
      <c r="D36" s="6">
        <v>57</v>
      </c>
      <c r="E36" s="6">
        <v>75</v>
      </c>
      <c r="F36" s="6">
        <v>84</v>
      </c>
    </row>
    <row r="37" spans="1:6" ht="13" customHeight="1" x14ac:dyDescent="0.3">
      <c r="A37" s="5" t="s">
        <v>82</v>
      </c>
      <c r="B37" s="3" t="str">
        <f t="shared" si="2"/>
        <v>2130</v>
      </c>
      <c r="C37" s="3" t="str">
        <f t="shared" si="1"/>
        <v>2249</v>
      </c>
      <c r="D37" s="6">
        <v>53</v>
      </c>
      <c r="E37" s="6">
        <v>69</v>
      </c>
      <c r="F37" s="6">
        <v>78</v>
      </c>
    </row>
    <row r="38" spans="1:6" ht="13" customHeight="1" x14ac:dyDescent="0.3">
      <c r="A38" s="5" t="s">
        <v>83</v>
      </c>
      <c r="B38" s="3" t="str">
        <f t="shared" si="2"/>
        <v>2250</v>
      </c>
      <c r="C38" s="3" t="str">
        <f t="shared" si="1"/>
        <v>2369</v>
      </c>
      <c r="D38" s="6">
        <v>50</v>
      </c>
      <c r="E38" s="6">
        <v>64</v>
      </c>
      <c r="F38" s="6">
        <v>73</v>
      </c>
    </row>
    <row r="39" spans="1:6" ht="13" customHeight="1" x14ac:dyDescent="0.3">
      <c r="A39" s="5" t="s">
        <v>84</v>
      </c>
      <c r="B39" s="3" t="str">
        <f t="shared" si="2"/>
        <v>2370</v>
      </c>
      <c r="C39" s="3" t="str">
        <f t="shared" si="1"/>
        <v>2489</v>
      </c>
      <c r="D39" s="6">
        <v>50</v>
      </c>
      <c r="E39" s="6">
        <v>58</v>
      </c>
      <c r="F39" s="6">
        <v>67</v>
      </c>
    </row>
    <row r="40" spans="1:6" ht="13" customHeight="1" x14ac:dyDescent="0.3">
      <c r="A40" s="5" t="s">
        <v>85</v>
      </c>
      <c r="B40" s="3" t="str">
        <f t="shared" si="2"/>
        <v>2490</v>
      </c>
      <c r="C40" s="3" t="str">
        <f t="shared" si="1"/>
        <v>3317</v>
      </c>
      <c r="D40" s="6">
        <v>50</v>
      </c>
      <c r="E40" s="6">
        <v>53</v>
      </c>
      <c r="F40" s="6">
        <v>62</v>
      </c>
    </row>
    <row r="41" spans="1:6" ht="13" customHeight="1" x14ac:dyDescent="0.3">
      <c r="A41" s="5" t="s">
        <v>86</v>
      </c>
      <c r="B41" s="3" t="str">
        <f t="shared" si="2"/>
        <v>3318</v>
      </c>
      <c r="C41" s="3" t="str">
        <f t="shared" si="1"/>
        <v>4580</v>
      </c>
      <c r="D41" s="6">
        <v>0</v>
      </c>
      <c r="E41" s="6">
        <v>50</v>
      </c>
      <c r="F41" s="6">
        <v>56</v>
      </c>
    </row>
    <row r="42" spans="1:6" ht="14" customHeight="1" x14ac:dyDescent="0.3">
      <c r="A42" s="5" t="s">
        <v>87</v>
      </c>
      <c r="B42" s="3" t="str">
        <f t="shared" si="2"/>
        <v>4581</v>
      </c>
      <c r="C42" s="5"/>
      <c r="D42" s="6">
        <v>0</v>
      </c>
      <c r="E42" s="6">
        <v>0</v>
      </c>
      <c r="F42" s="6">
        <v>50</v>
      </c>
    </row>
    <row r="43" spans="1:6" ht="34" customHeight="1" x14ac:dyDescent="0.3">
      <c r="A43" s="13" t="s">
        <v>45</v>
      </c>
      <c r="B43" s="14"/>
      <c r="C43" s="14"/>
      <c r="D43" s="14"/>
      <c r="E43" s="14"/>
      <c r="F43" s="15"/>
    </row>
  </sheetData>
  <mergeCells count="6">
    <mergeCell ref="A1:F1"/>
    <mergeCell ref="A2:A3"/>
    <mergeCell ref="B2:B3"/>
    <mergeCell ref="C2:C3"/>
    <mergeCell ref="D2:F2"/>
    <mergeCell ref="A43:F4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8A311-EBA7-4630-AA0C-E30BBC4B97B7}">
  <dimension ref="A1:F43"/>
  <sheetViews>
    <sheetView zoomScale="60" zoomScaleNormal="60" workbookViewId="0">
      <selection activeCell="F42" sqref="F4:F42"/>
    </sheetView>
  </sheetViews>
  <sheetFormatPr defaultRowHeight="13" x14ac:dyDescent="0.3"/>
  <cols>
    <col min="1" max="1" width="20.296875" customWidth="1"/>
    <col min="2" max="3" width="18.3984375" customWidth="1"/>
    <col min="4" max="6" width="27.09765625" customWidth="1"/>
  </cols>
  <sheetData>
    <row r="1" spans="1:6" ht="56" customHeight="1" x14ac:dyDescent="0.3">
      <c r="A1" s="20" t="s">
        <v>90</v>
      </c>
      <c r="B1" s="8"/>
      <c r="C1" s="8"/>
      <c r="D1" s="8"/>
      <c r="E1" s="8"/>
      <c r="F1" s="9"/>
    </row>
    <row r="2" spans="1:6" ht="22" customHeight="1" x14ac:dyDescent="0.3">
      <c r="A2" s="10" t="s">
        <v>1</v>
      </c>
      <c r="B2" s="16" t="s">
        <v>46</v>
      </c>
      <c r="C2" s="16" t="s">
        <v>47</v>
      </c>
      <c r="D2" s="12" t="s">
        <v>2</v>
      </c>
      <c r="E2" s="12"/>
      <c r="F2" s="12"/>
    </row>
    <row r="3" spans="1:6" ht="28" customHeight="1" x14ac:dyDescent="0.3">
      <c r="A3" s="11"/>
      <c r="B3" s="11"/>
      <c r="C3" s="11"/>
      <c r="D3" s="1" t="s">
        <v>3</v>
      </c>
      <c r="E3" s="1" t="s">
        <v>4</v>
      </c>
      <c r="F3" s="2" t="s">
        <v>5</v>
      </c>
    </row>
    <row r="4" spans="1:6" ht="14" customHeight="1" x14ac:dyDescent="0.3">
      <c r="A4" s="3" t="s">
        <v>49</v>
      </c>
      <c r="B4" s="3" t="str">
        <f>MID(A4,3,1)</f>
        <v>0</v>
      </c>
      <c r="C4" s="3" t="str">
        <f>RIGHT(A4,2)</f>
        <v>69</v>
      </c>
      <c r="D4" s="4">
        <v>331</v>
      </c>
      <c r="E4" s="4">
        <v>393</v>
      </c>
      <c r="F4" s="4">
        <v>469</v>
      </c>
    </row>
    <row r="5" spans="1:6" ht="13" customHeight="1" x14ac:dyDescent="0.3">
      <c r="A5" s="5" t="s">
        <v>50</v>
      </c>
      <c r="B5" s="3" t="str">
        <f>MID(A5,3,2)</f>
        <v>70</v>
      </c>
      <c r="C5" s="3" t="str">
        <f>RIGHT(A5,3)</f>
        <v>129</v>
      </c>
      <c r="D5" s="6">
        <v>317</v>
      </c>
      <c r="E5" s="6">
        <v>376</v>
      </c>
      <c r="F5" s="6">
        <v>454</v>
      </c>
    </row>
    <row r="6" spans="1:6" ht="13" customHeight="1" x14ac:dyDescent="0.3">
      <c r="A6" s="5" t="s">
        <v>51</v>
      </c>
      <c r="B6" s="3" t="str">
        <f>MID(A6,3,3)</f>
        <v>130</v>
      </c>
      <c r="C6" s="3" t="str">
        <f>RIGHT(A6,3)</f>
        <v>189</v>
      </c>
      <c r="D6" s="6">
        <v>300</v>
      </c>
      <c r="E6" s="6">
        <v>363</v>
      </c>
      <c r="F6" s="6">
        <v>439</v>
      </c>
    </row>
    <row r="7" spans="1:6" ht="13" customHeight="1" x14ac:dyDescent="0.3">
      <c r="A7" s="5" t="s">
        <v>52</v>
      </c>
      <c r="B7" s="3" t="str">
        <f t="shared" ref="B7:B20" si="0">MID(A7,3,3)</f>
        <v>190</v>
      </c>
      <c r="C7" s="3" t="str">
        <f>RIGHT(A7,3)</f>
        <v>249</v>
      </c>
      <c r="D7" s="6">
        <v>285</v>
      </c>
      <c r="E7" s="6">
        <v>348</v>
      </c>
      <c r="F7" s="6">
        <v>422</v>
      </c>
    </row>
    <row r="8" spans="1:6" ht="13" customHeight="1" x14ac:dyDescent="0.3">
      <c r="A8" s="5" t="s">
        <v>53</v>
      </c>
      <c r="B8" s="3" t="str">
        <f t="shared" si="0"/>
        <v>250</v>
      </c>
      <c r="C8" s="3" t="str">
        <f>RIGHT(A8,3)</f>
        <v>309</v>
      </c>
      <c r="D8" s="6">
        <v>272</v>
      </c>
      <c r="E8" s="6">
        <v>331</v>
      </c>
      <c r="F8" s="6">
        <v>408</v>
      </c>
    </row>
    <row r="9" spans="1:6" ht="13" customHeight="1" x14ac:dyDescent="0.3">
      <c r="A9" s="5" t="s">
        <v>54</v>
      </c>
      <c r="B9" s="3" t="str">
        <f t="shared" si="0"/>
        <v>310</v>
      </c>
      <c r="C9" s="3" t="str">
        <f>RIGHT(A9,3)</f>
        <v>369</v>
      </c>
      <c r="D9" s="6">
        <v>255</v>
      </c>
      <c r="E9" s="6">
        <v>317</v>
      </c>
      <c r="F9" s="6">
        <v>393</v>
      </c>
    </row>
    <row r="10" spans="1:6" ht="13" customHeight="1" x14ac:dyDescent="0.3">
      <c r="A10" s="5" t="s">
        <v>55</v>
      </c>
      <c r="B10" s="3" t="str">
        <f t="shared" si="0"/>
        <v>370</v>
      </c>
      <c r="C10" s="3" t="str">
        <f>RIGHT(A10,3)</f>
        <v>429</v>
      </c>
      <c r="D10" s="6">
        <v>244</v>
      </c>
      <c r="E10" s="6">
        <v>304</v>
      </c>
      <c r="F10" s="6">
        <v>376</v>
      </c>
    </row>
    <row r="11" spans="1:6" ht="13" customHeight="1" x14ac:dyDescent="0.3">
      <c r="A11" s="5" t="s">
        <v>56</v>
      </c>
      <c r="B11" s="3" t="str">
        <f t="shared" si="0"/>
        <v>430</v>
      </c>
      <c r="C11" s="3" t="str">
        <f>RIGHT(A11,3)</f>
        <v>489</v>
      </c>
      <c r="D11" s="6">
        <v>237</v>
      </c>
      <c r="E11" s="6">
        <v>293</v>
      </c>
      <c r="F11" s="6">
        <v>363</v>
      </c>
    </row>
    <row r="12" spans="1:6" ht="13" customHeight="1" x14ac:dyDescent="0.3">
      <c r="A12" s="5" t="s">
        <v>57</v>
      </c>
      <c r="B12" s="3" t="str">
        <f t="shared" si="0"/>
        <v>490</v>
      </c>
      <c r="C12" s="3" t="str">
        <f>RIGHT(A12,3)</f>
        <v>549</v>
      </c>
      <c r="D12" s="6">
        <v>232</v>
      </c>
      <c r="E12" s="6">
        <v>285</v>
      </c>
      <c r="F12" s="6">
        <v>348</v>
      </c>
    </row>
    <row r="13" spans="1:6" ht="13" customHeight="1" x14ac:dyDescent="0.3">
      <c r="A13" s="5" t="s">
        <v>58</v>
      </c>
      <c r="B13" s="3" t="str">
        <f t="shared" si="0"/>
        <v>550</v>
      </c>
      <c r="C13" s="3" t="str">
        <f>RIGHT(A13,3)</f>
        <v>609</v>
      </c>
      <c r="D13" s="6">
        <v>226</v>
      </c>
      <c r="E13" s="6">
        <v>278</v>
      </c>
      <c r="F13" s="6">
        <v>331</v>
      </c>
    </row>
    <row r="14" spans="1:6" ht="13" customHeight="1" x14ac:dyDescent="0.3">
      <c r="A14" s="5" t="s">
        <v>59</v>
      </c>
      <c r="B14" s="3" t="str">
        <f t="shared" si="0"/>
        <v>610</v>
      </c>
      <c r="C14" s="3" t="str">
        <f>RIGHT(A14,3)</f>
        <v>669</v>
      </c>
      <c r="D14" s="6">
        <v>218</v>
      </c>
      <c r="E14" s="6">
        <v>269</v>
      </c>
      <c r="F14" s="6">
        <v>317</v>
      </c>
    </row>
    <row r="15" spans="1:6" ht="13" customHeight="1" x14ac:dyDescent="0.3">
      <c r="A15" s="5" t="s">
        <v>60</v>
      </c>
      <c r="B15" s="3" t="str">
        <f t="shared" si="0"/>
        <v>670</v>
      </c>
      <c r="C15" s="3" t="str">
        <f>RIGHT(A15,3)</f>
        <v>729</v>
      </c>
      <c r="D15" s="6">
        <v>211</v>
      </c>
      <c r="E15" s="6">
        <v>262</v>
      </c>
      <c r="F15" s="6">
        <v>300</v>
      </c>
    </row>
    <row r="16" spans="1:6" ht="13" customHeight="1" x14ac:dyDescent="0.3">
      <c r="A16" s="5" t="s">
        <v>61</v>
      </c>
      <c r="B16" s="3" t="str">
        <f t="shared" si="0"/>
        <v>730</v>
      </c>
      <c r="C16" s="3" t="str">
        <f>RIGHT(A16,3)</f>
        <v>789</v>
      </c>
      <c r="D16" s="6">
        <v>203</v>
      </c>
      <c r="E16" s="6">
        <v>255</v>
      </c>
      <c r="F16" s="6">
        <v>285</v>
      </c>
    </row>
    <row r="17" spans="1:6" ht="13" customHeight="1" x14ac:dyDescent="0.3">
      <c r="A17" s="5" t="s">
        <v>62</v>
      </c>
      <c r="B17" s="3" t="str">
        <f t="shared" si="0"/>
        <v>790</v>
      </c>
      <c r="C17" s="3" t="str">
        <f>RIGHT(A17,3)</f>
        <v>849</v>
      </c>
      <c r="D17" s="6">
        <v>196</v>
      </c>
      <c r="E17" s="6">
        <v>247</v>
      </c>
      <c r="F17" s="6">
        <v>272</v>
      </c>
    </row>
    <row r="18" spans="1:6" ht="13" customHeight="1" x14ac:dyDescent="0.3">
      <c r="A18" s="5" t="s">
        <v>63</v>
      </c>
      <c r="B18" s="3" t="str">
        <f t="shared" si="0"/>
        <v>850</v>
      </c>
      <c r="C18" s="3" t="str">
        <f>RIGHT(A18,3)</f>
        <v>909</v>
      </c>
      <c r="D18" s="6">
        <v>188</v>
      </c>
      <c r="E18" s="6">
        <v>240</v>
      </c>
      <c r="F18" s="6">
        <v>258</v>
      </c>
    </row>
    <row r="19" spans="1:6" ht="13" customHeight="1" x14ac:dyDescent="0.3">
      <c r="A19" s="5" t="s">
        <v>64</v>
      </c>
      <c r="B19" s="3" t="str">
        <f t="shared" si="0"/>
        <v>910</v>
      </c>
      <c r="C19" s="3" t="str">
        <f>RIGHT(A19,3)</f>
        <v>969</v>
      </c>
      <c r="D19" s="6">
        <v>180</v>
      </c>
      <c r="E19" s="6">
        <v>232</v>
      </c>
      <c r="F19" s="6">
        <v>249</v>
      </c>
    </row>
    <row r="20" spans="1:6" ht="13" customHeight="1" x14ac:dyDescent="0.3">
      <c r="A20" s="5" t="s">
        <v>65</v>
      </c>
      <c r="B20" s="3" t="str">
        <f t="shared" si="0"/>
        <v>970</v>
      </c>
      <c r="C20" s="3" t="str">
        <f>RIGHT(A20,4)</f>
        <v>1029</v>
      </c>
      <c r="D20" s="6">
        <v>173</v>
      </c>
      <c r="E20" s="6">
        <v>224</v>
      </c>
      <c r="F20" s="6">
        <v>241</v>
      </c>
    </row>
    <row r="21" spans="1:6" ht="13" customHeight="1" x14ac:dyDescent="0.3">
      <c r="A21" s="5" t="s">
        <v>66</v>
      </c>
      <c r="B21" s="3" t="str">
        <f>MID(A21,3,4)</f>
        <v>1030</v>
      </c>
      <c r="C21" s="3" t="str">
        <f t="shared" ref="C21:C41" si="1">RIGHT(A21,4)</f>
        <v>1089</v>
      </c>
      <c r="D21" s="6">
        <v>165</v>
      </c>
      <c r="E21" s="6">
        <v>217</v>
      </c>
      <c r="F21" s="6">
        <v>232</v>
      </c>
    </row>
    <row r="22" spans="1:6" ht="13" customHeight="1" x14ac:dyDescent="0.3">
      <c r="A22" s="5" t="s">
        <v>67</v>
      </c>
      <c r="B22" s="3" t="str">
        <f t="shared" ref="B22:B42" si="2">MID(A22,3,4)</f>
        <v>1090</v>
      </c>
      <c r="C22" s="3" t="str">
        <f t="shared" si="1"/>
        <v>1149</v>
      </c>
      <c r="D22" s="6">
        <v>158</v>
      </c>
      <c r="E22" s="6">
        <v>209</v>
      </c>
      <c r="F22" s="6">
        <v>224</v>
      </c>
    </row>
    <row r="23" spans="1:6" ht="13" customHeight="1" x14ac:dyDescent="0.3">
      <c r="A23" s="5" t="s">
        <v>68</v>
      </c>
      <c r="B23" s="3" t="str">
        <f t="shared" si="2"/>
        <v>1150</v>
      </c>
      <c r="C23" s="3" t="str">
        <f t="shared" si="1"/>
        <v>1209</v>
      </c>
      <c r="D23" s="6">
        <v>150</v>
      </c>
      <c r="E23" s="6">
        <v>202</v>
      </c>
      <c r="F23" s="6">
        <v>215</v>
      </c>
    </row>
    <row r="24" spans="1:6" ht="13" customHeight="1" x14ac:dyDescent="0.3">
      <c r="A24" s="5" t="s">
        <v>69</v>
      </c>
      <c r="B24" s="3" t="str">
        <f t="shared" si="2"/>
        <v>1210</v>
      </c>
      <c r="C24" s="3" t="str">
        <f t="shared" si="1"/>
        <v>1269</v>
      </c>
      <c r="D24" s="6">
        <v>142</v>
      </c>
      <c r="E24" s="6">
        <v>194</v>
      </c>
      <c r="F24" s="6">
        <v>208</v>
      </c>
    </row>
    <row r="25" spans="1:6" ht="13" customHeight="1" x14ac:dyDescent="0.3">
      <c r="A25" s="5" t="s">
        <v>70</v>
      </c>
      <c r="B25" s="3" t="str">
        <f t="shared" si="2"/>
        <v>1270</v>
      </c>
      <c r="C25" s="3" t="str">
        <f t="shared" si="1"/>
        <v>1329</v>
      </c>
      <c r="D25" s="6">
        <v>136</v>
      </c>
      <c r="E25" s="6">
        <v>186</v>
      </c>
      <c r="F25" s="6">
        <v>199</v>
      </c>
    </row>
    <row r="26" spans="1:6" ht="13" customHeight="1" x14ac:dyDescent="0.3">
      <c r="A26" s="5" t="s">
        <v>71</v>
      </c>
      <c r="B26" s="3" t="str">
        <f t="shared" si="2"/>
        <v>1330</v>
      </c>
      <c r="C26" s="3" t="str">
        <f t="shared" si="1"/>
        <v>1389</v>
      </c>
      <c r="D26" s="6">
        <v>130</v>
      </c>
      <c r="E26" s="6">
        <v>179</v>
      </c>
      <c r="F26" s="6">
        <v>191</v>
      </c>
    </row>
    <row r="27" spans="1:6" ht="13" customHeight="1" x14ac:dyDescent="0.3">
      <c r="A27" s="5" t="s">
        <v>72</v>
      </c>
      <c r="B27" s="3" t="str">
        <f t="shared" si="2"/>
        <v>1390</v>
      </c>
      <c r="C27" s="3" t="str">
        <f t="shared" si="1"/>
        <v>1449</v>
      </c>
      <c r="D27" s="6">
        <v>124</v>
      </c>
      <c r="E27" s="6">
        <v>171</v>
      </c>
      <c r="F27" s="6">
        <v>183</v>
      </c>
    </row>
    <row r="28" spans="1:6" ht="13" customHeight="1" x14ac:dyDescent="0.3">
      <c r="A28" s="5" t="s">
        <v>73</v>
      </c>
      <c r="B28" s="3" t="str">
        <f t="shared" si="2"/>
        <v>1450</v>
      </c>
      <c r="C28" s="3" t="str">
        <f t="shared" si="1"/>
        <v>1509</v>
      </c>
      <c r="D28" s="6">
        <v>120</v>
      </c>
      <c r="E28" s="6">
        <v>164</v>
      </c>
      <c r="F28" s="6">
        <v>176</v>
      </c>
    </row>
    <row r="29" spans="1:6" ht="13" customHeight="1" x14ac:dyDescent="0.3">
      <c r="A29" s="5" t="s">
        <v>74</v>
      </c>
      <c r="B29" s="3" t="str">
        <f t="shared" si="2"/>
        <v>1510</v>
      </c>
      <c r="C29" s="3" t="str">
        <f t="shared" si="1"/>
        <v>1569</v>
      </c>
      <c r="D29" s="6">
        <v>115</v>
      </c>
      <c r="E29" s="6">
        <v>156</v>
      </c>
      <c r="F29" s="6">
        <v>168</v>
      </c>
    </row>
    <row r="30" spans="1:6" ht="13" customHeight="1" x14ac:dyDescent="0.3">
      <c r="A30" s="5" t="s">
        <v>75</v>
      </c>
      <c r="B30" s="3" t="str">
        <f t="shared" si="2"/>
        <v>1570</v>
      </c>
      <c r="C30" s="3" t="str">
        <f t="shared" si="1"/>
        <v>1629</v>
      </c>
      <c r="D30" s="6">
        <v>110</v>
      </c>
      <c r="E30" s="6">
        <v>148</v>
      </c>
      <c r="F30" s="6">
        <v>161</v>
      </c>
    </row>
    <row r="31" spans="1:6" ht="13" customHeight="1" x14ac:dyDescent="0.3">
      <c r="A31" s="5" t="s">
        <v>76</v>
      </c>
      <c r="B31" s="3" t="str">
        <f t="shared" si="2"/>
        <v>1630</v>
      </c>
      <c r="C31" s="3" t="str">
        <f t="shared" si="1"/>
        <v>1689</v>
      </c>
      <c r="D31" s="6">
        <v>106</v>
      </c>
      <c r="E31" s="6">
        <v>141</v>
      </c>
      <c r="F31" s="6">
        <v>153</v>
      </c>
    </row>
    <row r="32" spans="1:6" ht="13" customHeight="1" x14ac:dyDescent="0.3">
      <c r="A32" s="5" t="s">
        <v>77</v>
      </c>
      <c r="B32" s="3" t="str">
        <f t="shared" si="2"/>
        <v>1690</v>
      </c>
      <c r="C32" s="3" t="str">
        <f t="shared" si="1"/>
        <v>1749</v>
      </c>
      <c r="D32" s="6">
        <v>101</v>
      </c>
      <c r="E32" s="6">
        <v>133</v>
      </c>
      <c r="F32" s="6">
        <v>145</v>
      </c>
    </row>
    <row r="33" spans="1:6" ht="13" customHeight="1" x14ac:dyDescent="0.3">
      <c r="A33" s="5" t="s">
        <v>78</v>
      </c>
      <c r="B33" s="3" t="str">
        <f t="shared" si="2"/>
        <v>1750</v>
      </c>
      <c r="C33" s="3" t="str">
        <f t="shared" si="1"/>
        <v>1869</v>
      </c>
      <c r="D33" s="6">
        <v>97</v>
      </c>
      <c r="E33" s="6">
        <v>126</v>
      </c>
      <c r="F33" s="6">
        <v>138</v>
      </c>
    </row>
    <row r="34" spans="1:6" ht="13" customHeight="1" x14ac:dyDescent="0.3">
      <c r="A34" s="5" t="s">
        <v>79</v>
      </c>
      <c r="B34" s="3" t="str">
        <f t="shared" si="2"/>
        <v>1870</v>
      </c>
      <c r="C34" s="3" t="str">
        <f t="shared" si="1"/>
        <v>1989</v>
      </c>
      <c r="D34" s="6">
        <v>91</v>
      </c>
      <c r="E34" s="6">
        <v>118</v>
      </c>
      <c r="F34" s="6">
        <v>130</v>
      </c>
    </row>
    <row r="35" spans="1:6" ht="13" customHeight="1" x14ac:dyDescent="0.3">
      <c r="A35" s="5" t="s">
        <v>80</v>
      </c>
      <c r="B35" s="3" t="str">
        <f t="shared" si="2"/>
        <v>1990</v>
      </c>
      <c r="C35" s="3" t="str">
        <f t="shared" si="1"/>
        <v>2009</v>
      </c>
      <c r="D35" s="6">
        <v>85</v>
      </c>
      <c r="E35" s="6">
        <v>110</v>
      </c>
      <c r="F35" s="6">
        <v>123</v>
      </c>
    </row>
    <row r="36" spans="1:6" ht="13" customHeight="1" x14ac:dyDescent="0.3">
      <c r="A36" s="5" t="s">
        <v>81</v>
      </c>
      <c r="B36" s="3" t="str">
        <f t="shared" si="2"/>
        <v>2010</v>
      </c>
      <c r="C36" s="3" t="str">
        <f t="shared" si="1"/>
        <v>2129</v>
      </c>
      <c r="D36" s="6">
        <v>79</v>
      </c>
      <c r="E36" s="6">
        <v>103</v>
      </c>
      <c r="F36" s="6">
        <v>115</v>
      </c>
    </row>
    <row r="37" spans="1:6" ht="13" customHeight="1" x14ac:dyDescent="0.3">
      <c r="A37" s="5" t="s">
        <v>82</v>
      </c>
      <c r="B37" s="3" t="str">
        <f t="shared" si="2"/>
        <v>2130</v>
      </c>
      <c r="C37" s="3" t="str">
        <f t="shared" si="1"/>
        <v>2249</v>
      </c>
      <c r="D37" s="6">
        <v>73</v>
      </c>
      <c r="E37" s="6">
        <v>95</v>
      </c>
      <c r="F37" s="6">
        <v>107</v>
      </c>
    </row>
    <row r="38" spans="1:6" ht="13" customHeight="1" x14ac:dyDescent="0.3">
      <c r="A38" s="5" t="s">
        <v>83</v>
      </c>
      <c r="B38" s="3" t="str">
        <f t="shared" si="2"/>
        <v>2250</v>
      </c>
      <c r="C38" s="3" t="str">
        <f t="shared" si="1"/>
        <v>2369</v>
      </c>
      <c r="D38" s="6">
        <v>67</v>
      </c>
      <c r="E38" s="6">
        <v>88</v>
      </c>
      <c r="F38" s="6">
        <v>99</v>
      </c>
    </row>
    <row r="39" spans="1:6" ht="13" customHeight="1" x14ac:dyDescent="0.3">
      <c r="A39" s="5" t="s">
        <v>84</v>
      </c>
      <c r="B39" s="3" t="str">
        <f t="shared" si="2"/>
        <v>2370</v>
      </c>
      <c r="C39" s="3" t="str">
        <f t="shared" si="1"/>
        <v>2489</v>
      </c>
      <c r="D39" s="6">
        <v>61</v>
      </c>
      <c r="E39" s="6">
        <v>80</v>
      </c>
      <c r="F39" s="6">
        <v>92</v>
      </c>
    </row>
    <row r="40" spans="1:6" ht="13" customHeight="1" x14ac:dyDescent="0.3">
      <c r="A40" s="5" t="s">
        <v>85</v>
      </c>
      <c r="B40" s="3" t="str">
        <f t="shared" si="2"/>
        <v>2490</v>
      </c>
      <c r="C40" s="3" t="str">
        <f t="shared" si="1"/>
        <v>3317</v>
      </c>
      <c r="D40" s="6">
        <v>55</v>
      </c>
      <c r="E40" s="6">
        <v>72</v>
      </c>
      <c r="F40" s="6">
        <v>91</v>
      </c>
    </row>
    <row r="41" spans="1:6" ht="13" customHeight="1" x14ac:dyDescent="0.3">
      <c r="A41" s="5" t="s">
        <v>86</v>
      </c>
      <c r="B41" s="3" t="str">
        <f t="shared" si="2"/>
        <v>3318</v>
      </c>
      <c r="C41" s="3" t="str">
        <f t="shared" si="1"/>
        <v>4580</v>
      </c>
      <c r="D41" s="6">
        <v>0</v>
      </c>
      <c r="E41" s="6">
        <v>64</v>
      </c>
      <c r="F41" s="6">
        <v>83</v>
      </c>
    </row>
    <row r="42" spans="1:6" ht="14" customHeight="1" x14ac:dyDescent="0.3">
      <c r="A42" s="5" t="s">
        <v>87</v>
      </c>
      <c r="B42" s="3" t="str">
        <f t="shared" si="2"/>
        <v>4581</v>
      </c>
      <c r="C42" s="5"/>
      <c r="D42" s="6">
        <v>0</v>
      </c>
      <c r="E42" s="6">
        <v>0</v>
      </c>
      <c r="F42" s="6">
        <v>75</v>
      </c>
    </row>
    <row r="43" spans="1:6" ht="34" customHeight="1" x14ac:dyDescent="0.3">
      <c r="A43" s="13" t="s">
        <v>45</v>
      </c>
      <c r="B43" s="14"/>
      <c r="C43" s="14"/>
      <c r="D43" s="14"/>
      <c r="E43" s="14"/>
      <c r="F43" s="15"/>
    </row>
  </sheetData>
  <mergeCells count="6">
    <mergeCell ref="A1:F1"/>
    <mergeCell ref="A2:A3"/>
    <mergeCell ref="B2:B3"/>
    <mergeCell ref="C2:C3"/>
    <mergeCell ref="D2:F2"/>
    <mergeCell ref="A43:F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Table 1</vt:lpstr>
      <vt:lpstr>Electricity</vt:lpstr>
      <vt:lpstr>Fuel Oil</vt:lpstr>
      <vt:lpstr>Natural Gas</vt:lpstr>
      <vt:lpstr>Wood</vt:lpstr>
      <vt:lpstr>Propane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Microsoft Word - 2024 Fuel Benefit Matrices_modified color</dc:title>
  <dc:creator>amanda.mcmillan</dc:creator>
  <cp:lastModifiedBy>Raymond Packer</cp:lastModifiedBy>
  <dcterms:created xsi:type="dcterms:W3CDTF">2024-07-01T09:50:56Z</dcterms:created>
  <dcterms:modified xsi:type="dcterms:W3CDTF">2024-07-01T18:39:49Z</dcterms:modified>
</cp:coreProperties>
</file>